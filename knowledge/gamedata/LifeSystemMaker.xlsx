
<file path=[Content_Types].xml><?xml version="1.0" encoding="utf-8"?>
<Types xmlns="http://schemas.openxmlformats.org/package/2006/content-types">
  <Default ContentType="application/vnd.openxmlformats-officedocument.vmlDrawing" Extension="vml"/>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45" windowHeight="12105"/>
  </bookViews>
  <sheets>
    <sheet name="Sheet1" sheetId="1" r:id="rId1"/>
    <sheet name="Sheet2" sheetId="2" r:id="rId2"/>
    <sheet name="Sheet3" sheetId="3" r:id="rId3"/>
  </sheets>
  <externalReferences>
    <externalReference r:id="rId4"/>
  </externalReferences>
  <definedNames>
    <definedName name="_xlnm._FilterDatabase" localSheetId="0" hidden="1">Sheet1!$C$1:$C$167</definedName>
  </definedNames>
  <calcPr calcId="144525" fullCalcOnLoad="1"/>
</workbook>
</file>

<file path=xl/comments1.xml><?xml version="1.0" encoding="utf-8"?>
<comments xmlns="http://schemas.openxmlformats.org/spreadsheetml/2006/main">
  <authors>
    <author>sh</author>
    <author>作者</author>
  </authors>
  <commentList>
    <comment ref="C2" authorId="0">
      <text>
        <r>
          <rPr>
            <b/>
            <sz val="9"/>
            <rFont val="宋体"/>
            <charset val="134"/>
          </rPr>
          <t>sh:</t>
        </r>
        <r>
          <rPr>
            <sz val="9"/>
            <rFont val="宋体"/>
            <charset val="134"/>
          </rPr>
          <t xml:space="preserve">
	LIFE_SKILL_FELLING = 1;		//伐木
	LIFE_SKILL_GATHER = 2;		//采集
	LIFE_SKILL_FISHING = 3;		//钓鱼
	LIFE_SKILL_MINING = 4;		//挖矿
	LIFE_COMPOSE_SHIP = 5;		//造船
	LIFE_COMPOSE_MEDICINE = 6;	//制药
	LIFE_COMPOSE_COOKING = 7;	//烹饪
	LIFE_COMPOSE_JUMBO = 8;		//珠宝</t>
        </r>
      </text>
    </comment>
    <comment ref="H2" authorId="1">
      <text>
        <r>
          <rPr>
            <b/>
            <sz val="9"/>
            <rFont val="宋体"/>
            <charset val="134"/>
          </rPr>
          <t>作者:</t>
        </r>
        <r>
          <rPr>
            <sz val="9"/>
            <rFont val="宋体"/>
            <charset val="134"/>
          </rPr>
          <t xml:space="preserve">
按照一万算
比如 如果几率要设置成1%   则填写100
如果几率要设置成0.1%      则填写成10
以此类推</t>
        </r>
      </text>
    </comment>
  </commentList>
</comments>
</file>

<file path=xl/sharedStrings.xml><?xml version="1.0" encoding="utf-8"?>
<sst xmlns="http://schemas.openxmlformats.org/spreadsheetml/2006/main" count="533" uniqueCount="533">
  <si>
    <t>自增id</t>
  </si>
  <si>
    <t>合成的道具</t>
  </si>
  <si>
    <t>技能类型</t>
  </si>
  <si>
    <t>技能等级</t>
  </si>
  <si>
    <t>阶级</t>
  </si>
  <si>
    <t>普通消耗</t>
  </si>
  <si>
    <t>特殊消耗</t>
  </si>
  <si>
    <t>失败率</t>
  </si>
  <si>
    <t>消耗活力值</t>
  </si>
  <si>
    <t>增加经验值</t>
  </si>
  <si>
    <t>EmptyKey-K2</t>
  </si>
  <si>
    <t>EmptyKey-L2</t>
  </si>
  <si>
    <t>EmptyKey-M2</t>
  </si>
  <si>
    <t>EmptyKey-N2</t>
  </si>
  <si>
    <t>EmptyKey-O2</t>
  </si>
  <si>
    <t>EmptyKey-P2</t>
  </si>
  <si>
    <t>EmptyKey-Q2</t>
  </si>
  <si>
    <t>EmptyKey-R2</t>
  </si>
  <si>
    <t>EmptyKey-S2</t>
  </si>
  <si>
    <t>id</t>
  </si>
  <si>
    <t>getItem</t>
  </si>
  <si>
    <t>skillType</t>
  </si>
  <si>
    <t>skillLevel</t>
  </si>
  <si>
    <t>itemSubLevel</t>
  </si>
  <si>
    <t>generalCost</t>
  </si>
  <si>
    <t>specialCost</t>
  </si>
  <si>
    <t>failureRate</t>
  </si>
  <si>
    <r xmlns="http://schemas.openxmlformats.org/spreadsheetml/2006/main">
      <rPr>
        <sz val="11"/>
        <color theme="1"/>
        <rFont val="宋体"/>
        <charset val="134"/>
      </rPr>
      <t>c</t>
    </r>
    <r xmlns="http://schemas.openxmlformats.org/spreadsheetml/2006/main">
      <rPr>
        <sz val="11"/>
        <color theme="1"/>
        <rFont val="宋体"/>
        <charset val="134"/>
      </rPr>
      <t>ostEnergy</t>
    </r>
  </si>
  <si>
    <t>addExp</t>
  </si>
  <si>
    <t>int</t>
  </si>
  <si>
    <t>string</t>
  </si>
  <si>
    <r xmlns="http://schemas.openxmlformats.org/spreadsheetml/2006/main">
      <rPr>
        <sz val="11"/>
        <color theme="1"/>
        <rFont val="宋体"/>
        <charset val="134"/>
      </rPr>
      <t>i</t>
    </r>
    <r xmlns="http://schemas.openxmlformats.org/spreadsheetml/2006/main">
      <rPr>
        <sz val="11"/>
        <color theme="1"/>
        <rFont val="宋体"/>
        <charset val="134"/>
      </rPr>
      <t>nt</t>
    </r>
  </si>
  <si>
    <t>primary</t>
  </si>
  <si>
    <t>none</t>
  </si>
  <si>
    <t>ID</t>
  </si>
  <si>
    <t>1001,460016,6;1001,465012,2;1001,465011,2;1001,465003,2</t>
  </si>
  <si>
    <t>1001,461016,12;1001,465012,4;1001,465011,4;1001,465003,4</t>
  </si>
  <si>
    <t>1001,462016,18;1001,465012,6;1001,465011,6;1001,465003,6</t>
  </si>
  <si>
    <t>1001,463016,24;1001,465012,8;1001,465011,8;1001,465003,8</t>
  </si>
  <si>
    <t>1001,464016,30;1001,465012,10;1001,465011,10;1001,465003,10</t>
  </si>
  <si>
    <t>1001,460007,2;1001,460018,2;1001,460015,2;1001,465010,6</t>
  </si>
  <si>
    <t>1001,461007,4;1001,461018,4;1001,461015,4;1001,465010,12</t>
  </si>
  <si>
    <t>1001,462007,6;1001,462018,6;1001,462015,6;1001,465010,18</t>
  </si>
  <si>
    <t>1001,463007,8;1001,463018,8;1001,463015,8;1001,465010,24</t>
  </si>
  <si>
    <t>1001,464007,10;1001,464018,10;1001,464015,10;1001,465010,30</t>
  </si>
  <si>
    <t>1001,460013,3;1001,460024,3;1001,465006,3;1001,465011,3</t>
  </si>
  <si>
    <t>1001,461013,6;1001,461024,6;1001,465006,6;1001,465011,6</t>
  </si>
  <si>
    <t>1001,462013,9;1001,462024,9;1001,465006,9;1001,465011,9</t>
  </si>
  <si>
    <t>1001,463013,12;1001,463024,12;1001,465006,12;1001,465011,12</t>
  </si>
  <si>
    <t>1001,464013,15;1001,464024,15;1001,465006,15;1001,465011,15</t>
  </si>
  <si>
    <t>1001,460021,3;1001,460006,3;1001,465001,6;</t>
  </si>
  <si>
    <t>1001,461021,6;1001,461006,6;1001,465001,12;</t>
  </si>
  <si>
    <t>1001,462021,9;1001,462006,9;1001,465001,18;</t>
  </si>
  <si>
    <t>1001,463021,12;1001,463006,12;1001,465001,24;</t>
  </si>
  <si>
    <t>1001,464021,15;1001,464006,15;1001,465001,30;</t>
  </si>
  <si>
    <t>1001,460012,2;1001,465001,4;1001,465002,4;</t>
  </si>
  <si>
    <t>1001,461012,5;1001,465001,8;1001,465002,8;</t>
  </si>
  <si>
    <t>1001,462012,8;1001,465001,12;1001,465002,12;</t>
  </si>
  <si>
    <t>1001,463012,11;1001,465001,16;1001,465002,16;</t>
  </si>
  <si>
    <t>1001,464012,14;1001,465001,20;1001,465002,20;</t>
  </si>
  <si>
    <t>1001,460012,1;1001,460019,2;1001,460015,2;1001,465001,4;1001,465002,4</t>
  </si>
  <si>
    <t>1001,461012,3;1001,461019,4;1001,461015,4;1001,465001,8;1001,465002,8</t>
  </si>
  <si>
    <t>1001,462012,5;1001,462019,6;1001,462015,6;1001,465001,12;1001,465002,12</t>
  </si>
  <si>
    <t>1001,463012,7;1001,463019,8;1001,463015,8;1001,465001,16;1001,465002,16</t>
  </si>
  <si>
    <t>1001,464012,9;1001,464019,10;1001,464015,10;1001,465001,20;1001,465002,20</t>
  </si>
  <si>
    <t>1001,460001,1;1001,460003,1;1001,460002,1;1001,460005,1;1001,460004,1</t>
  </si>
  <si>
    <t>1001,461001,3;1001,461003,2;1001,461002,2;1001,461005,2;1001,461004,2</t>
  </si>
  <si>
    <t>1001,462001,5;1001,462003,3;1001,462002,3;1001,462005,3;1001,462004,3</t>
  </si>
  <si>
    <t>1001,463001,7;1001,463003,4;1001,463002,4;1001,463005,4;1001,463004,4</t>
  </si>
  <si>
    <t>1001,464001,9;1001,464003,5;1001,464002,5;1001,464005,5;1001,464004,5</t>
  </si>
  <si>
    <t>1001,460014,1;1001,460019,4;1001,465013,4;1001,465011,4</t>
  </si>
  <si>
    <t>1001,461014,3;1001,461019,8;1001,465013,8;1001,465011,8</t>
  </si>
  <si>
    <t>1001,462014,5;1001,462019,12;1001,465013,12;1001,465011,12</t>
  </si>
  <si>
    <t>1001,463014,7;1001,463019,16;1001,465013,16;1001,465011,16</t>
  </si>
  <si>
    <t>1001,464014,9;1001,464019,20;1001,465013,20;1001,465011,20</t>
  </si>
  <si>
    <t>1001,460014,1;1001,460022,2;1001,460018,2;1001,465001,8</t>
  </si>
  <si>
    <t>1001,461014,3;1001,461022,4;1001,461018,4;1001,465001,16</t>
  </si>
  <si>
    <t>1001,462014,5;1001,462022,6;1001,462018,6;1001,465001,24</t>
  </si>
  <si>
    <t>1001,463014,7;1001,463022,8;1001,463018,8;1001,465001,32</t>
  </si>
  <si>
    <t>1001,464014,9;1001,464022,10;1001,464018,10;1001,465001,40</t>
  </si>
  <si>
    <t>1001,460009,1;1001,460018,4;1001,465001,4;1001,465009,4</t>
  </si>
  <si>
    <t>1001,461009,3;1001,461018,8;1001,465001,8;1001,465009,8</t>
  </si>
  <si>
    <t>1001,462009,5;1001,462018,12;1001,465001,12;1001,465009,12</t>
  </si>
  <si>
    <t>1001,463009,7;1001,463018,16;1001,465001,16;1001,465009,16</t>
  </si>
  <si>
    <t>1001,464009,9;1001,464018,20;1001,465001,20;1001,465009,20</t>
  </si>
  <si>
    <t>1001,460012,1;1001,460015,4;1001,465002,4;1001,465007,4</t>
  </si>
  <si>
    <t>1001,461012,3;1001,461015,8;1001,465002,8;1001,465007,8</t>
  </si>
  <si>
    <t>1001,462012,5;1001,462015,12;1001,465002,12;1001,465007,12</t>
  </si>
  <si>
    <t>1001,463012,7;1001,463015,16;1001,465002,16;1001,465007,16</t>
  </si>
  <si>
    <t>1001,464012,9;1001,464015,20;1001,465002,20;1001,465007,20</t>
  </si>
  <si>
    <t>1001,460001,1;1001,460016,4;1001,465010,4;1001,465011,4</t>
  </si>
  <si>
    <t>1001,461001,3;1001,461016,8;1001,465010,8;1001,465011,8</t>
  </si>
  <si>
    <t>1001,462001,5;1001,462016,12;1001,465010,12;1001,465011,12</t>
  </si>
  <si>
    <t>1001,463001,7;1001,463016,16;1001,465010,16;1001,465011,16</t>
  </si>
  <si>
    <t>1001,464001,9;1001,464016,20;1001,465010,20;1001,465011,20</t>
  </si>
  <si>
    <t>1001,460009,1;1001,460016,4;1001,465011,4;1001,465006,4</t>
  </si>
  <si>
    <t>1001,461009,3;1001,461016,8;1001,465011,8;1001,465006,8</t>
  </si>
  <si>
    <t>1001,462009,5;1001,462016,12;1001,465011,12;1001,465006,12</t>
  </si>
  <si>
    <t>1001,463009,7;1001,463016,16;1001,465011,16;1001,465006,16</t>
  </si>
  <si>
    <t>1001,464009,9;1001,464016,20;1001,465011,20;1001,465006,20</t>
  </si>
  <si>
    <t>1001,460012,1;1001,460018,4;1001,465011,4;1001,465013,4</t>
  </si>
  <si>
    <t>1001,461012,3;1001,461018,8;1001,465011,8;1001,465013,8</t>
  </si>
  <si>
    <t>1001,462012,5;1001,462018,12;1001,465011,12;1001,465013,12</t>
  </si>
  <si>
    <t>1001,463012,7;1001,463018,16;1001,465011,16;1001,465013,16</t>
  </si>
  <si>
    <t>1001,464012,9;1001,464018,20;1001,465011,20;1001,465013,20</t>
  </si>
  <si>
    <t>1001,411005,5;1001,411001,5;1001,411002,5;1001,412006,1</t>
  </si>
  <si>
    <t>初级回复药剂</t>
  </si>
  <si>
    <t>1001,411005,4;1001,411003,2;1001,411004,1;1001,411001,1;1001,411002,4;1001,412007,1</t>
  </si>
  <si>
    <t>初级攻击药剂</t>
  </si>
  <si>
    <t>1001,411005,4;1001,411003,1;1001,411004,2;1001,411001,4;1001,411002,1;1001,413006,1</t>
  </si>
  <si>
    <t>初级防御药剂</t>
  </si>
  <si>
    <t>1001,411005,3;1001,411003,2;1001,411001,6;1001,413006,1</t>
  </si>
  <si>
    <t>初级暴击药剂</t>
  </si>
  <si>
    <t>1001,411005,3;1001,411004,2;1001,411002,6;1001,413007,1</t>
  </si>
  <si>
    <t>初级韧性药剂</t>
  </si>
  <si>
    <t>1001,411005,3;1001,411003,2;1001,411001,5;1001,411002,5;1001,414007,1</t>
  </si>
  <si>
    <t>初级速度药剂</t>
  </si>
  <si>
    <t>1001,411005,3;1001,411004,2;1001,411001,4;1001,411002,1;1001,412006,1</t>
  </si>
  <si>
    <t>初级命中药剂</t>
  </si>
  <si>
    <t>1001,411005,3;1001,411003,2;1001,411001,1;1001,411002,4;1001,412007,1</t>
  </si>
  <si>
    <t>初级闪避药剂</t>
  </si>
  <si>
    <t>1001,411008,1;1001,412005,5;1001,412003,2;1001,411001,10;1001,411002,10;1001,413006,1</t>
  </si>
  <si>
    <t>初级寒冰药剂</t>
  </si>
  <si>
    <t>1001,411008,1;1001,412005,5;1001,412004,2;1001,411001,10;1001,411002,10;1001,413007,1</t>
  </si>
  <si>
    <t>初级烈焰药剂</t>
  </si>
  <si>
    <t>1001,411008,1;1001,412005,5;1001,412003,1;1001,412004,1;1001,411001,12;1001,411002,8;1001,414006,1</t>
  </si>
  <si>
    <t>初级雷电药剂</t>
  </si>
  <si>
    <t>1001,411008,1;1001,412005,7;1001,412003,1;1001,411001,8;1001,411002,12;1001,414007,1</t>
  </si>
  <si>
    <t>初级狂风药剂</t>
  </si>
  <si>
    <t>1001,411008,1;1001,412005,7;1001,412004,1;1001,411001,10;1001,411002,10;1001,412006,1</t>
  </si>
  <si>
    <t>初级剧毒药剂</t>
  </si>
  <si>
    <t>1001,411008,1;1001,412005,8;1001,411001,10;1001,411002,10;1001,412007,1</t>
  </si>
  <si>
    <t>初级闪光药剂</t>
  </si>
  <si>
    <t>1001,411008,1;1001,412005,8;1001,411001,12;1001,411002,8;1001,414007,1;</t>
  </si>
  <si>
    <t>初级激流药丸</t>
  </si>
  <si>
    <t>1001,411008,1;1001,412005,8;1001,411001,8;1001,411002,12;1001,413006,1</t>
  </si>
  <si>
    <t>初级暗影药剂</t>
  </si>
  <si>
    <t>1001,413005,5;1001,411001,5;1001,411002,8;1001,413007,1</t>
  </si>
  <si>
    <t>高级回复药剂</t>
  </si>
  <si>
    <t>1001,413005,4;1001,413003,2;1001,413004,1;1001,411001,1;1001,411002,4;1001,414006,1</t>
  </si>
  <si>
    <t>高级攻击药剂</t>
  </si>
  <si>
    <t>1001,413005,4;1001,413003,1;1001,413004,2;1001,411001,4;1001,411002,1;1001,414007,1</t>
  </si>
  <si>
    <t>高级防御药剂</t>
  </si>
  <si>
    <t>1001,413005,3;1001,413003,2;1001,411001,6;1001,412006,1</t>
  </si>
  <si>
    <t>高级暴击药剂</t>
  </si>
  <si>
    <t>1001,413005,3;1001,413004,2;1001,411002,6;1001,412007,1</t>
  </si>
  <si>
    <t>高级韧性药剂</t>
  </si>
  <si>
    <t>1001,413005,3;1001,413003,2;1001,411001,5;1001,411002,5;1001,413006,1</t>
  </si>
  <si>
    <t>高级速度药剂</t>
  </si>
  <si>
    <t>1001,413005,4;1001,413004,2;1001,411001,4;1001,411002,1;1001,413007,1</t>
  </si>
  <si>
    <t>高级命中药剂</t>
  </si>
  <si>
    <t>1001,413005,3;1001,413003,2;1001,411001,1;1001,411002,4;1001,414006,1</t>
  </si>
  <si>
    <t>高级闪避药剂</t>
  </si>
  <si>
    <t>1001,413005,5;1001,413003,1;1001,413004,1;1001,411001,5;1001,411002,5;1001,414007,1</t>
  </si>
  <si>
    <t>初级丰收药剂</t>
  </si>
  <si>
    <t>1001,414005,15;1001,414004,5;1001,411001,30;1001,411002,30;1001,412006,1</t>
  </si>
  <si>
    <t>超级回复药剂</t>
  </si>
  <si>
    <t>1001,411009,1;1001,414005,20;1001,414003,8;1001,411001,40;1001,411002,40;1001,412007,1</t>
  </si>
  <si>
    <t>高级抗寒药剂</t>
  </si>
  <si>
    <t>1001,411009,1;1001,414005,20;1001,414004,8;1001,411001,40;1001,411002,40;1001,413006,1</t>
  </si>
  <si>
    <t>高级抗火药剂</t>
  </si>
  <si>
    <t>1001,411009,1;1001,414005,20;1001,414003,6;1001,414004,6;1001,411001,48;1001,411002,32;1001,413007,1</t>
  </si>
  <si>
    <t>高级抗雷药剂</t>
  </si>
  <si>
    <t>1001,411009,1;1001,414005,25;1001,414003,7;1001,411001,32;1001,411002,48;1001,414006,1</t>
  </si>
  <si>
    <t>高级防风药剂</t>
  </si>
  <si>
    <t>1001,411009,1;1001,414005,25;1001,414004,7;1001,411001,40;1001,411002,40;1001,414007,1</t>
  </si>
  <si>
    <t>高级抗毒药剂</t>
  </si>
  <si>
    <t>1001,411009,1;1001,414005,30;1001,414003,5;1001,414004,5;1001,411001,40;1001,411002,40;1001,412006,1</t>
  </si>
  <si>
    <t>高级抗光药剂</t>
  </si>
  <si>
    <t>1001,411009,1;1001,414005,30;1001,414003,5;1001,414004,5;1001,411001,32;1001,411002,48;1001,412007,1</t>
  </si>
  <si>
    <t>高级抗暗药剂</t>
  </si>
  <si>
    <t>1001,411009,1;1001,414005,30;1001,414003,5;1001,414004,5;1001,411001,48;1001,411002,32;1001,414006,1</t>
  </si>
  <si>
    <t>高级抗水药剂</t>
  </si>
  <si>
    <t>1001,414005,15;1001,414003,5;1001,411001,30;1001,411002,30;1001,413006,1</t>
  </si>
  <si>
    <t>高级丰收药剂</t>
  </si>
  <si>
    <t>超级回复合剂</t>
  </si>
  <si>
    <t>1001,511006,10;1001,511003,1;1001,511001,3</t>
  </si>
  <si>
    <t>木条</t>
  </si>
  <si>
    <t>1001,511009,10;1001,511005,3;1001,511003,1</t>
  </si>
  <si>
    <t>木板</t>
  </si>
  <si>
    <t>1001,511018,10;1001,511012,2;1001,511003,2</t>
  </si>
  <si>
    <t>桅柱</t>
  </si>
  <si>
    <t>1001,511006,10;1001,511019,3;1001,511003,1</t>
  </si>
  <si>
    <t>风帆</t>
  </si>
  <si>
    <t>1001,511009,10;1001,511012,2;1001,511005,2</t>
  </si>
  <si>
    <t>钢板</t>
  </si>
  <si>
    <t>1001,511015,5;1001,511013,8</t>
  </si>
  <si>
    <t>舰船主炮</t>
  </si>
  <si>
    <t>1001,511020,5;1001,511022,8</t>
  </si>
  <si>
    <t>龙骨骨架</t>
  </si>
  <si>
    <t>1001,511022,5;1001,511021,8</t>
  </si>
  <si>
    <t>舰船桅杆</t>
  </si>
  <si>
    <t>1001,511010,5;1001,511021,8</t>
  </si>
  <si>
    <t>舰船舱室</t>
  </si>
  <si>
    <t>1001,511007,5;1001,511013,8</t>
  </si>
  <si>
    <t>舰船炮台</t>
  </si>
  <si>
    <t>1001,511007,5;1001,511010,8</t>
  </si>
  <si>
    <t>舰船甲板</t>
  </si>
  <si>
    <t>1001,512006,10;1001,512003,1;1001,512001,3</t>
  </si>
  <si>
    <t>1001,512009,10;1001,512005,3;1001,512003,1</t>
  </si>
  <si>
    <t>1001,512018,10;1001,512012,2;1001,512003,2</t>
  </si>
  <si>
    <t>1001,512006,10;1001,512019,3;1001,512003,1</t>
  </si>
  <si>
    <t>1001,512009,10;1001,512012,2;1001,512005,2</t>
  </si>
  <si>
    <t>1001,512015,5;1001,512013,8</t>
  </si>
  <si>
    <t>1001,512020,5;1001,512022,8</t>
  </si>
  <si>
    <t>1001,512022,5;1001,512021,8</t>
  </si>
  <si>
    <t>1001,512010,5;1001,512021,8</t>
  </si>
  <si>
    <t>1001,512007,5;1001,512013,8</t>
  </si>
  <si>
    <t>1001,512007,5;1001,512010,8</t>
  </si>
  <si>
    <t>1001,513006,10;1001,513003,1;1001,513001,3</t>
  </si>
  <si>
    <t>1001,513009,10;1001,513005,3;1001,513003,1</t>
  </si>
  <si>
    <t>1001,513018,10;1001,513012,2;1001,513003,2</t>
  </si>
  <si>
    <t>1001,513006,10;1001,513019,3;1001,513003,1</t>
  </si>
  <si>
    <t>1001,513009,10;1001,513012,2;1001,513005,2</t>
  </si>
  <si>
    <t>1001,513015,5;1001,513013,8</t>
  </si>
  <si>
    <t>1001,513020,5;1001,513022,8</t>
  </si>
  <si>
    <t>1001,513022,5;1001,513021,8</t>
  </si>
  <si>
    <t>1001,513010,5;1001,513021,8</t>
  </si>
  <si>
    <t>1001,513007,5;1001,513013,8</t>
  </si>
  <si>
    <t>1001,513007,5;1001,513010,8</t>
  </si>
  <si>
    <t>1001,514006,10;1001,514003,1;1001,514001,3</t>
  </si>
  <si>
    <t>1001,514009,10;1001,514005,3;1001,514003,1</t>
  </si>
  <si>
    <t>1001,514018,10;1001,514012,2;1001,514003,2</t>
  </si>
  <si>
    <t>1001,514006,10;1001,514019,3;1001,514003,1</t>
  </si>
  <si>
    <t>1001,514009,10;1001,514012,2;1001,514005,2</t>
  </si>
  <si>
    <t>1001,514015,5;1001,514013,8</t>
  </si>
  <si>
    <t>1001,514020,5;1001,514022,8</t>
  </si>
  <si>
    <t>1001,514022,5;1001,514021,8</t>
  </si>
  <si>
    <t>1001,514010,5;1001,514021,8</t>
  </si>
  <si>
    <t>1001,514007,5;1001,514013,8</t>
  </si>
  <si>
    <t>1001,514007,5;1001,514010,8</t>
  </si>
  <si>
    <t>1001,515006,10;1001,515003,1;1001,515001,3</t>
  </si>
  <si>
    <t>1001,515009,10;1001,515005,3;1001,515003,1</t>
  </si>
  <si>
    <t>1001,515018,10;1001,515012,2;1001,515003,2</t>
  </si>
  <si>
    <t>1001,515006,10;1001,515019,3;1001,515003,1</t>
  </si>
  <si>
    <t>1001,515009,10;1001,515012,2;1001,515005,2</t>
  </si>
  <si>
    <t>1001,515015,5;1001,515013,8</t>
  </si>
  <si>
    <t>1001,515020,5;1001,515022,8</t>
  </si>
  <si>
    <t>1001,515022,5;1001,515021,8</t>
  </si>
  <si>
    <t>1001,515010,5;1001,515021,8</t>
  </si>
  <si>
    <t>1001,515007,5;1001,515013,8</t>
  </si>
  <si>
    <t>1001,515007,5;1001,515010,8</t>
  </si>
  <si>
    <t>学徒恢复药剂</t>
  </si>
  <si>
    <t>白色草药根</t>
  </si>
  <si>
    <t>白色草药茎</t>
  </si>
  <si>
    <t>石制药碾</t>
  </si>
  <si>
    <t>石制药杵</t>
  </si>
  <si>
    <t>初级恢复药剂</t>
  </si>
  <si>
    <t>绿色草药根</t>
  </si>
  <si>
    <t>绿色草药茎</t>
  </si>
  <si>
    <t>玻璃试管</t>
  </si>
  <si>
    <t>玻璃烧瓶</t>
  </si>
  <si>
    <t>中级恢复药剂</t>
  </si>
  <si>
    <t>蓝色草药根</t>
  </si>
  <si>
    <t>蓝色草药茎</t>
  </si>
  <si>
    <t>强化玻璃试管</t>
  </si>
  <si>
    <t>强化玻璃烧瓶</t>
  </si>
  <si>
    <t>高级恢复药剂</t>
  </si>
  <si>
    <t>紫色草药根</t>
  </si>
  <si>
    <t>紫色草药茎</t>
  </si>
  <si>
    <t>水晶试管</t>
  </si>
  <si>
    <t>水晶烧瓶</t>
  </si>
  <si>
    <t>大师恢复药剂</t>
  </si>
  <si>
    <t>金色草药根</t>
  </si>
  <si>
    <t>金色草药茎</t>
  </si>
  <si>
    <t>黄金药碾</t>
  </si>
  <si>
    <t>黄金药杵</t>
  </si>
  <si>
    <t>学徒丰收药剂</t>
  </si>
  <si>
    <t>白色草药叶</t>
  </si>
  <si>
    <t>白色草药花</t>
  </si>
  <si>
    <t>绿色草药叶</t>
  </si>
  <si>
    <t>绿色草药花</t>
  </si>
  <si>
    <t>中级丰收药剂</t>
  </si>
  <si>
    <t>蓝色草药叶</t>
  </si>
  <si>
    <t>蓝色草药花</t>
  </si>
  <si>
    <t>紫色草药叶</t>
  </si>
  <si>
    <t>紫色草药花</t>
  </si>
  <si>
    <t>大师丰收药剂</t>
  </si>
  <si>
    <t>金色草药叶</t>
  </si>
  <si>
    <t>金色草药花</t>
  </si>
  <si>
    <t>学徒强毒药丸</t>
  </si>
  <si>
    <t>白色草药果实</t>
  </si>
  <si>
    <t>初级强毒药丸</t>
  </si>
  <si>
    <t>绿色草药果实</t>
  </si>
  <si>
    <t>中级强毒药丸</t>
  </si>
  <si>
    <t>蓝色草药果实</t>
  </si>
  <si>
    <t>高级强毒药丸</t>
  </si>
  <si>
    <t>紫色草药果实</t>
  </si>
  <si>
    <t>大师强毒药丸</t>
  </si>
  <si>
    <t>金色草药果实</t>
  </si>
  <si>
    <t>学徒强水药丸</t>
  </si>
  <si>
    <t>初级强水药丸</t>
  </si>
  <si>
    <t>中级强水药丸</t>
  </si>
  <si>
    <t>高级强水药丸</t>
  </si>
  <si>
    <t>大师强水药丸</t>
  </si>
  <si>
    <t>学徒强火药丸</t>
  </si>
  <si>
    <t>初级强火药丸</t>
  </si>
  <si>
    <t>中级强火药丸</t>
  </si>
  <si>
    <t>高级强火药丸</t>
  </si>
  <si>
    <t>大师强火药丸</t>
  </si>
  <si>
    <t>学徒强冰药丸</t>
  </si>
  <si>
    <t>初级强冰药丸</t>
  </si>
  <si>
    <t>中级强冰药丸</t>
  </si>
  <si>
    <t>高级强冰药丸</t>
  </si>
  <si>
    <t>大师强冰药丸</t>
  </si>
  <si>
    <t>学徒强风药丸</t>
  </si>
  <si>
    <t>初级强风药丸</t>
  </si>
  <si>
    <t>中级强风药丸</t>
  </si>
  <si>
    <t>高级强风药丸</t>
  </si>
  <si>
    <t>大师强风药丸</t>
  </si>
  <si>
    <t>学徒强雷药丸</t>
  </si>
  <si>
    <t>初级强雷药丸</t>
  </si>
  <si>
    <t>中级强雷药丸</t>
  </si>
  <si>
    <t>高级强雷药丸</t>
  </si>
  <si>
    <t>大师强雷药丸</t>
  </si>
  <si>
    <t>学徒强光药丸</t>
  </si>
  <si>
    <t>初级强光药丸</t>
  </si>
  <si>
    <t>中级强光药丸</t>
  </si>
  <si>
    <t>高级强光药丸</t>
  </si>
  <si>
    <t>大师强光药丸</t>
  </si>
  <si>
    <t>学徒强暗药丸</t>
  </si>
  <si>
    <t>初级强暗药丸</t>
  </si>
  <si>
    <t>中级强暗药丸</t>
  </si>
  <si>
    <t>高级强暗药丸</t>
  </si>
  <si>
    <t>大师强暗药丸</t>
  </si>
  <si>
    <t>学徒生命药丸</t>
  </si>
  <si>
    <t>初级生命药丸</t>
  </si>
  <si>
    <t>中级生命药丸</t>
  </si>
  <si>
    <t>高级生命药丸</t>
  </si>
  <si>
    <t>大师生命药丸</t>
  </si>
  <si>
    <t>学徒格挡药丸</t>
  </si>
  <si>
    <t>初级格挡药丸</t>
  </si>
  <si>
    <t>中级格挡药丸</t>
  </si>
  <si>
    <t>高级格挡药丸</t>
  </si>
  <si>
    <t>大师格挡药丸</t>
  </si>
  <si>
    <t>学徒暴击药丸</t>
  </si>
  <si>
    <t>初级暴击药丸</t>
  </si>
  <si>
    <t>中级暴击药丸</t>
  </si>
  <si>
    <t>高级暴击药丸</t>
  </si>
  <si>
    <t>大师暴击药丸</t>
  </si>
  <si>
    <t>学徒破击药丸</t>
  </si>
  <si>
    <t>初级破击药丸</t>
  </si>
  <si>
    <t>中级破击药丸</t>
  </si>
  <si>
    <t>高级破击药丸</t>
  </si>
  <si>
    <t>大师破击药丸</t>
  </si>
  <si>
    <t>学徒闪避药丸</t>
  </si>
  <si>
    <t>初级闪避药丸</t>
  </si>
  <si>
    <t>中级闪避药丸</t>
  </si>
  <si>
    <t>高级闪避药丸</t>
  </si>
  <si>
    <t>大师闪避药丸</t>
  </si>
  <si>
    <t>学徒韧性药丸</t>
  </si>
  <si>
    <t>初级韧性药丸</t>
  </si>
  <si>
    <t>中级韧性药丸</t>
  </si>
  <si>
    <t>高级韧性药丸</t>
  </si>
  <si>
    <t>大师韧性药丸</t>
  </si>
  <si>
    <t>学徒攻击药丸</t>
  </si>
  <si>
    <t>初级攻击药丸</t>
  </si>
  <si>
    <t>中级攻击药丸</t>
  </si>
  <si>
    <t>高级攻击药丸</t>
  </si>
  <si>
    <t>大师攻击药丸</t>
  </si>
  <si>
    <t>学徒防御药丸</t>
  </si>
  <si>
    <t>初级防御药丸</t>
  </si>
  <si>
    <t>中级防御药丸</t>
  </si>
  <si>
    <t>高级防御药丸</t>
  </si>
  <si>
    <t>大师防御药丸</t>
  </si>
  <si>
    <t>学徒速度药丸</t>
  </si>
  <si>
    <t>初级速度药丸</t>
  </si>
  <si>
    <t>中级速度药丸</t>
  </si>
  <si>
    <t>高级速度药丸</t>
  </si>
  <si>
    <t>大师速度药丸</t>
  </si>
  <si>
    <t>学徒命中药丸</t>
  </si>
  <si>
    <t>初级命中药丸</t>
  </si>
  <si>
    <t>中级命中药丸</t>
  </si>
  <si>
    <t>高级命中药丸</t>
  </si>
  <si>
    <t>大师命中药丸</t>
  </si>
  <si>
    <t>学徒抗毒药剂</t>
  </si>
  <si>
    <t>白色泪滴草药</t>
  </si>
  <si>
    <t>初级抗毒药剂</t>
  </si>
  <si>
    <t>绿色泪滴草药</t>
  </si>
  <si>
    <t>中级抗毒药剂</t>
  </si>
  <si>
    <t>蓝色泪滴草药</t>
  </si>
  <si>
    <t>紫色泪滴草药</t>
  </si>
  <si>
    <t>大师抗毒药剂</t>
  </si>
  <si>
    <t>金色泪滴草药</t>
  </si>
  <si>
    <t>学徒抗水药剂</t>
  </si>
  <si>
    <t>初级抗水药剂</t>
  </si>
  <si>
    <t>中级抗水药剂</t>
  </si>
  <si>
    <t>大师抗水药剂</t>
  </si>
  <si>
    <t>学徒抗火药剂</t>
  </si>
  <si>
    <t>白色彩虹草药</t>
  </si>
  <si>
    <t>初级抗火药剂</t>
  </si>
  <si>
    <t>绿色彩虹草药</t>
  </si>
  <si>
    <t>中级抗火药剂</t>
  </si>
  <si>
    <t>蓝色彩虹草药</t>
  </si>
  <si>
    <t>紫色彩虹草药</t>
  </si>
  <si>
    <t>大师抗火药剂</t>
  </si>
  <si>
    <t>金色彩虹草药</t>
  </si>
  <si>
    <t>学徒冰抗药剂</t>
  </si>
  <si>
    <t>初级冰抗药剂</t>
  </si>
  <si>
    <t>中级冰抗药剂</t>
  </si>
  <si>
    <t>高级冰抗药剂</t>
  </si>
  <si>
    <t>大师冰抗药剂</t>
  </si>
  <si>
    <t>学徒抗风药剂</t>
  </si>
  <si>
    <t>白色梦幻草药</t>
  </si>
  <si>
    <t>初级抗风药剂</t>
  </si>
  <si>
    <t>绿色梦幻草药</t>
  </si>
  <si>
    <t>中级抗风药剂</t>
  </si>
  <si>
    <t>蓝色梦幻草药</t>
  </si>
  <si>
    <t>高级抗风药剂</t>
  </si>
  <si>
    <t>紫色梦幻草药</t>
  </si>
  <si>
    <t>大师抗风药剂</t>
  </si>
  <si>
    <t>金色梦幻草药</t>
  </si>
  <si>
    <t>学徒抗雷药剂</t>
  </si>
  <si>
    <t>初级抗雷药剂</t>
  </si>
  <si>
    <t>中级抗雷药剂</t>
  </si>
  <si>
    <t>大师抗雷药剂</t>
  </si>
  <si>
    <t>学徒抗光药剂</t>
  </si>
  <si>
    <t>白色远古草药</t>
  </si>
  <si>
    <t>初级抗光药剂</t>
  </si>
  <si>
    <t>绿色远古草药</t>
  </si>
  <si>
    <t>中级抗光药剂</t>
  </si>
  <si>
    <t>蓝色远古草药</t>
  </si>
  <si>
    <t>紫色远古草药</t>
  </si>
  <si>
    <t>大师抗光药剂</t>
  </si>
  <si>
    <t>金色远古草药</t>
  </si>
  <si>
    <t>学徒抗暗药剂</t>
  </si>
  <si>
    <t>初级抗暗药剂</t>
  </si>
  <si>
    <t>中级抗暗药剂</t>
  </si>
  <si>
    <t>大师抗暗药剂</t>
  </si>
  <si>
    <t>名称</t>
  </si>
  <si>
    <t>属性</t>
  </si>
  <si>
    <t>解锁等级</t>
  </si>
  <si>
    <t>配方</t>
  </si>
  <si>
    <t>小型剧毒药丸</t>
  </si>
  <si>
    <t>毒属性伤害增强100</t>
  </si>
  <si>
    <t>泪滴草药</t>
  </si>
  <si>
    <t>草药根</t>
  </si>
  <si>
    <t>草药茎</t>
  </si>
  <si>
    <t>小型烈火药丸</t>
  </si>
  <si>
    <t>火属性伤害增强100</t>
  </si>
  <si>
    <t>小型寒冰药丸</t>
  </si>
  <si>
    <t>冰属性伤害增强100</t>
  </si>
  <si>
    <t>小型暴风药丸</t>
  </si>
  <si>
    <t>风属性伤害增强100</t>
  </si>
  <si>
    <t>小型雷电药丸</t>
  </si>
  <si>
    <t>雷属性伤害增强100</t>
  </si>
  <si>
    <t>小型光明药丸</t>
  </si>
  <si>
    <t>光属性伤害增强100</t>
  </si>
  <si>
    <t>小型黑暗药丸</t>
  </si>
  <si>
    <t>暗属性伤害增强100</t>
  </si>
  <si>
    <t>小型抗毒药剂</t>
  </si>
  <si>
    <t>抗毒属性增加100</t>
  </si>
  <si>
    <t>小型抗火药剂</t>
  </si>
  <si>
    <t>抗火属性增加100</t>
  </si>
  <si>
    <t>小型抗冰药剂</t>
  </si>
  <si>
    <t>抗冰属性增加100</t>
  </si>
  <si>
    <t>小型抗风药剂</t>
  </si>
  <si>
    <t>抗风属性增加100</t>
  </si>
  <si>
    <t>小型抗雷药剂</t>
  </si>
  <si>
    <t>抗雷属性增加100</t>
  </si>
  <si>
    <t>小型抗光药剂</t>
  </si>
  <si>
    <t>抗光属性增加100</t>
  </si>
  <si>
    <t>小型抗暗药剂</t>
  </si>
  <si>
    <t>抗暗属性增加100</t>
  </si>
  <si>
    <t>大型抗毒药剂</t>
  </si>
  <si>
    <t>抗毒属性增加200</t>
  </si>
  <si>
    <t>彩虹草药</t>
  </si>
  <si>
    <t>大型抗火药剂</t>
  </si>
  <si>
    <t>抗火属性增加200</t>
  </si>
  <si>
    <t>大型抗冰药剂</t>
  </si>
  <si>
    <t>抗冰属性增加200</t>
  </si>
  <si>
    <t>大型抗风药剂</t>
  </si>
  <si>
    <t>抗风属性增加200</t>
  </si>
  <si>
    <t>大型抗雷药剂</t>
  </si>
  <si>
    <t>抗雷属性增加200</t>
  </si>
  <si>
    <t>大型抗光药剂</t>
  </si>
  <si>
    <t>抗光属性增加200</t>
  </si>
  <si>
    <t>大型抗暗药剂</t>
  </si>
  <si>
    <t>抗暗属性增加200</t>
  </si>
  <si>
    <t>大型剧毒药丸</t>
  </si>
  <si>
    <t>毒属性伤害增强200</t>
  </si>
  <si>
    <t>大型烈火药丸</t>
  </si>
  <si>
    <t>火属性伤害增强200</t>
  </si>
  <si>
    <t>大型寒冰药丸</t>
  </si>
  <si>
    <t>冰属性伤害增强200</t>
  </si>
  <si>
    <t>大型暴风药丸</t>
  </si>
  <si>
    <t>风属性伤害增强200</t>
  </si>
  <si>
    <t>大型雷电药丸</t>
  </si>
  <si>
    <t>雷属性伤害增强200</t>
  </si>
  <si>
    <t>大型光明药丸</t>
  </si>
  <si>
    <t>光属性伤害增强200</t>
  </si>
  <si>
    <t>大型黑暗药丸</t>
  </si>
  <si>
    <t>暗属性伤害增强200</t>
  </si>
  <si>
    <t>小型攻击药丸</t>
  </si>
  <si>
    <t>攻击力增加200</t>
  </si>
  <si>
    <t>小型防御药丸</t>
  </si>
  <si>
    <t>防御力增加200</t>
  </si>
  <si>
    <t>小型生命药丸</t>
  </si>
  <si>
    <t>生命上限增加1000</t>
  </si>
  <si>
    <t>1001,411008,1;1001,411004,1;1001,411001,1;1001,411002,1;1001,412006,1;1001,412007,1</t>
  </si>
  <si>
    <t>小型速度药丸</t>
  </si>
  <si>
    <t>速度增加200</t>
  </si>
  <si>
    <t>小型暴击药丸</t>
  </si>
  <si>
    <t>暴击值增加200</t>
  </si>
  <si>
    <t>小型韧性药丸</t>
  </si>
  <si>
    <t>韧性值增加200</t>
  </si>
  <si>
    <t>小型闪避药丸</t>
  </si>
  <si>
    <t>闪避值增加200</t>
  </si>
  <si>
    <t>小型命中药丸</t>
  </si>
  <si>
    <t>命中值增加200</t>
  </si>
  <si>
    <t>小型格挡药丸</t>
  </si>
  <si>
    <t>格挡值增加200</t>
  </si>
  <si>
    <t>小型破击药丸</t>
  </si>
  <si>
    <t>破击值增加200</t>
  </si>
  <si>
    <t>大型攻击药丸</t>
  </si>
  <si>
    <t>大型防御药丸</t>
  </si>
  <si>
    <t>大型生命药丸</t>
  </si>
  <si>
    <t>大型速度药丸</t>
  </si>
  <si>
    <t>大型暴击药丸</t>
  </si>
  <si>
    <t>大型韧性药丸</t>
  </si>
  <si>
    <t>大型闪避药丸</t>
  </si>
  <si>
    <t>大型命中药丸</t>
  </si>
  <si>
    <t>大型格挡药丸</t>
  </si>
  <si>
    <t>大型破击药丸</t>
  </si>
  <si>
    <t>小型丰收药剂</t>
  </si>
  <si>
    <t>野外收益增加100%</t>
  </si>
  <si>
    <t>白色草药果</t>
  </si>
  <si>
    <t>大型丰收药剂</t>
  </si>
  <si>
    <t>野外收益增加150%</t>
  </si>
  <si>
    <t>小型属性抵抗药剂</t>
  </si>
  <si>
    <t>所有种类属性伤害防御增加10%</t>
  </si>
  <si>
    <t>大型属性抵抗药剂</t>
  </si>
  <si>
    <t>所有种类属性伤害防御增加20%</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</si>
</sst>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6">
    <font>
      <sz val="11"/>
      <color theme="1"/>
      <name val="宋体"/>
      <charset val="134"/>
      <scheme val="minor"/>
    </font>
    <font>
      <sz val="11"/>
      <color theme="1"/>
      <name val="微软雅黑"/>
      <charset val="134"/>
    </font>
    <font>
      <sz val="11"/>
      <name val="微软雅黑"/>
      <charset val="134"/>
    </font>
    <font>
      <sz val="10"/>
      <color theme="1"/>
      <name val="微软雅黑"/>
      <charset val="134"/>
    </font>
    <font>
      <sz val="10"/>
      <color rgb="FFFF0000"/>
      <name val="微软雅黑"/>
      <charset val="134"/>
    </font>
    <font>
      <sz val="10"/>
      <color theme="1"/>
      <name val="宋体"/>
      <charset val="134"/>
      <scheme val="minor"/>
    </font>
    <font>
      <sz val="11"/>
      <color theme="1"/>
      <name val="宋体"/>
      <charset val="0"/>
      <scheme val="minor"/>
    </font>
    <font>
      <sz val="11"/>
      <color theme="0"/>
      <name val="宋体"/>
      <charset val="0"/>
      <scheme val="minor"/>
    </font>
    <font>
      <sz val="11"/>
      <color rgb="FFFA7D00"/>
      <name val="宋体"/>
      <charset val="0"/>
      <scheme val="minor"/>
    </font>
    <font>
      <sz val="11"/>
      <color rgb="FF0061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indexed="8"/>
      <name val="宋体"/>
      <charset val="134"/>
    </font>
    <font>
      <b/>
      <sz val="11"/>
      <color rgb="FFFFFFFF"/>
      <name val="宋体"/>
      <charset val="0"/>
      <scheme val="minor"/>
    </font>
    <font>
      <b/>
      <sz val="13"/>
      <color theme="3"/>
      <name val="宋体"/>
      <charset val="134"/>
      <scheme val="minor"/>
    </font>
    <font>
      <sz val="11"/>
      <color rgb="FFFF0000"/>
      <name val="宋体"/>
      <charset val="0"/>
      <scheme val="minor"/>
    </font>
    <font>
      <b/>
      <sz val="11"/>
      <color theme="1"/>
      <name val="宋体"/>
      <charset val="0"/>
      <scheme val="minor"/>
    </font>
    <font>
      <sz val="11"/>
      <color rgb="FF3F3F76"/>
      <name val="宋体"/>
      <charset val="0"/>
      <scheme val="minor"/>
    </font>
    <font>
      <b/>
      <sz val="11"/>
      <color rgb="FFFA7D00"/>
      <name val="宋体"/>
      <charset val="0"/>
      <scheme val="minor"/>
    </font>
    <font>
      <b/>
      <sz val="11"/>
      <color rgb="FF3F3F3F"/>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b/>
      <sz val="15"/>
      <color theme="3"/>
      <name val="宋体"/>
      <charset val="134"/>
      <scheme val="minor"/>
    </font>
  </fonts>
  <fills count="4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25"/>
        <bgColor indexed="64"/>
      </patternFill>
    </fill>
    <fill>
      <patternFill patternType="solid">
        <fgColor rgb="FF00B0F0"/>
        <bgColor indexed="64"/>
      </patternFill>
    </fill>
    <fill>
      <patternFill patternType="solid">
        <fgColor rgb="FF92D050"/>
        <bgColor indexed="64"/>
      </patternFill>
    </fill>
    <fill>
      <patternFill patternType="solid">
        <fgColor theme="7" tint="0.4"/>
        <bgColor indexed="64"/>
      </patternFill>
    </fill>
    <fill>
      <patternFill patternType="solid">
        <fgColor rgb="FF00B050"/>
        <bgColor indexed="64"/>
      </patternFill>
    </fill>
    <fill>
      <patternFill patternType="solid">
        <fgColor theme="2"/>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rgb="FFA5A5A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FCC99"/>
        <bgColor indexed="64"/>
      </patternFill>
    </fill>
    <fill>
      <patternFill patternType="solid">
        <fgColor theme="9"/>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FFFCC"/>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50">
    <xf numFmtId="0" fontId="0" fillId="0" borderId="0"/>
    <xf numFmtId="42" fontId="0" fillId="0" borderId="0">
      <alignment vertical="center"/>
    </xf>
    <xf numFmtId="0" fontId="6" fillId="32" borderId="0">
      <alignment vertical="center"/>
    </xf>
    <xf numFmtId="0" fontId="19" fillId="24" borderId="9">
      <alignment vertical="center"/>
    </xf>
    <xf numFmtId="44" fontId="0" fillId="0" borderId="0">
      <alignment vertical="center"/>
    </xf>
    <xf numFmtId="41" fontId="0" fillId="0" borderId="0">
      <alignment vertical="center"/>
    </xf>
    <xf numFmtId="0" fontId="6" fillId="20" borderId="0">
      <alignment vertical="center"/>
    </xf>
    <xf numFmtId="0" fontId="13" fillId="16" borderId="0">
      <alignment vertical="center"/>
    </xf>
    <xf numFmtId="43" fontId="0" fillId="0" borderId="0">
      <alignment vertical="center"/>
    </xf>
    <xf numFmtId="0" fontId="7" fillId="28" borderId="0">
      <alignment vertical="center"/>
    </xf>
    <xf numFmtId="0" fontId="12" fillId="0" borderId="0">
      <alignment vertical="center"/>
    </xf>
    <xf numFmtId="9" fontId="0" fillId="0" borderId="0">
      <alignment vertical="center"/>
    </xf>
    <xf numFmtId="0" fontId="24" fillId="0" borderId="0">
      <alignment vertical="center"/>
    </xf>
    <xf numFmtId="0" fontId="0" fillId="40" borderId="11">
      <alignment vertical="center"/>
    </xf>
    <xf numFmtId="0" fontId="7" fillId="27" borderId="0">
      <alignment vertical="center"/>
    </xf>
    <xf numFmtId="0" fontId="10" fillId="0" borderId="0">
      <alignment vertical="center"/>
    </xf>
    <xf numFmtId="0" fontId="17" fillId="0" borderId="0">
      <alignment vertical="center"/>
    </xf>
    <xf numFmtId="0" fontId="11" fillId="0" borderId="0">
      <alignment vertical="center"/>
    </xf>
    <xf numFmtId="0" fontId="23" fillId="0" borderId="0">
      <alignment vertical="center"/>
    </xf>
    <xf numFmtId="0" fontId="25" fillId="0" borderId="7">
      <alignment vertical="center"/>
    </xf>
    <xf numFmtId="0" fontId="16" fillId="0" borderId="7">
      <alignment vertical="center"/>
    </xf>
    <xf numFmtId="0" fontId="7" fillId="15" borderId="0">
      <alignment vertical="center"/>
    </xf>
    <xf numFmtId="0" fontId="10" fillId="0" borderId="5">
      <alignment vertical="center"/>
    </xf>
    <xf numFmtId="0" fontId="7" fillId="23" borderId="0">
      <alignment vertical="center"/>
    </xf>
    <xf numFmtId="0" fontId="21" fillId="26" borderId="10">
      <alignment vertical="center"/>
    </xf>
    <xf numFmtId="0" fontId="20" fillId="26" borderId="9">
      <alignment vertical="center"/>
    </xf>
    <xf numFmtId="0" fontId="15" fillId="19" borderId="6">
      <alignment vertical="center"/>
    </xf>
    <xf numFmtId="0" fontId="6" fillId="39" borderId="0">
      <alignment vertical="center"/>
    </xf>
    <xf numFmtId="0" fontId="7" fillId="36" borderId="0">
      <alignment vertical="center"/>
    </xf>
    <xf numFmtId="0" fontId="8" fillId="0" borderId="4">
      <alignment vertical="center"/>
    </xf>
    <xf numFmtId="0" fontId="18" fillId="0" borderId="8">
      <alignment vertical="center"/>
    </xf>
    <xf numFmtId="0" fontId="9" fillId="14" borderId="0">
      <alignment vertical="center"/>
    </xf>
    <xf numFmtId="0" fontId="22" fillId="35" borderId="0">
      <alignment vertical="center"/>
    </xf>
    <xf numFmtId="0" fontId="6" fillId="13" borderId="0">
      <alignment vertical="center"/>
    </xf>
    <xf numFmtId="0" fontId="7" fillId="18" borderId="0">
      <alignment vertical="center"/>
    </xf>
    <xf numFmtId="0" fontId="6" fillId="38" borderId="0">
      <alignment vertical="center"/>
    </xf>
    <xf numFmtId="0" fontId="6" fillId="31" borderId="0">
      <alignment vertical="center"/>
    </xf>
    <xf numFmtId="0" fontId="6" fillId="37" borderId="0">
      <alignment vertical="center"/>
    </xf>
    <xf numFmtId="0" fontId="6" fillId="30" borderId="0">
      <alignment vertical="center"/>
    </xf>
    <xf numFmtId="0" fontId="7" fillId="34" borderId="0">
      <alignment vertical="center"/>
    </xf>
    <xf numFmtId="0" fontId="7" fillId="17" borderId="0">
      <alignment vertical="center"/>
    </xf>
    <xf numFmtId="0" fontId="6" fillId="22" borderId="0">
      <alignment vertical="center"/>
    </xf>
    <xf numFmtId="0" fontId="6" fillId="21" borderId="0">
      <alignment vertical="center"/>
    </xf>
    <xf numFmtId="0" fontId="7" fillId="12" borderId="0">
      <alignment vertical="center"/>
    </xf>
    <xf numFmtId="0" fontId="6" fillId="33" borderId="0">
      <alignment vertical="center"/>
    </xf>
    <xf numFmtId="0" fontId="7" fillId="11" borderId="0">
      <alignment vertical="center"/>
    </xf>
    <xf numFmtId="0" fontId="7" fillId="25" borderId="0">
      <alignment vertical="center"/>
    </xf>
    <xf numFmtId="0" fontId="6" fillId="10" borderId="0">
      <alignment vertical="center"/>
    </xf>
    <xf numFmtId="0" fontId="7" fillId="29" borderId="0">
      <alignment vertical="center"/>
    </xf>
    <xf numFmtId="0" fontId="14" fillId="0" borderId="0">
      <alignment vertical="center"/>
    </xf>
  </cellStyleXfs>
  <cellXfs count="50">
    <xf numFmtId="0" applyNumberFormat="1" fontId="0" applyFont="1" fillId="0" applyFill="1" borderId="0" applyBorder="1" xfId="0" applyProtection="1"/>
    <xf numFmtId="0" applyNumberFormat="1" fontId="0" applyFont="1" fillId="2" applyFill="1" borderId="0" applyBorder="1" xfId="0" applyProtection="1"/>
    <xf numFmtId="0" applyNumberFormat="1" fontId="0" applyFont="1" fillId="0" applyFill="1" borderId="1" applyBorder="1" xfId="0" applyProtection="1" applyAlignment="1">
      <alignment horizontal="center" vertical="center"/>
    </xf>
    <xf numFmtId="0" applyNumberFormat="1" fontId="0" applyFont="1" fillId="0" applyFill="1" borderId="2" applyBorder="1" xfId="0" applyProtection="1" applyAlignment="1">
      <alignment horizontal="center" vertical="center"/>
    </xf>
    <xf numFmtId="0" applyNumberFormat="1" fontId="0" applyFont="1" fillId="0" applyFill="1" borderId="1" applyBorder="1" xfId="0" applyProtection="1" applyAlignment="1">
      <alignment vertical="center"/>
    </xf>
    <xf numFmtId="0" applyNumberFormat="1" fontId="1" applyFont="1" fillId="0" applyFill="1" borderId="2" applyBorder="1" xfId="0" applyProtection="1" applyAlignment="1">
      <alignment horizontal="center" vertical="center"/>
    </xf>
    <xf numFmtId="0" applyNumberFormat="1" fontId="1" applyFont="1" fillId="3" applyFill="1" borderId="3" applyBorder="1" xfId="0" applyProtection="1" applyAlignment="1">
      <alignment horizontal="center" vertical="center"/>
    </xf>
    <xf numFmtId="0" applyNumberFormat="1" fontId="1" applyFont="1" fillId="4" applyFill="1" borderId="1" applyBorder="1" xfId="0" applyProtection="1" applyAlignment="1">
      <alignment horizontal="center" vertical="center"/>
    </xf>
    <xf numFmtId="0" applyNumberFormat="1" fontId="1" applyFont="1" fillId="4" applyFill="1" borderId="3" applyBorder="1" xfId="0" applyProtection="1" applyAlignment="1">
      <alignment horizontal="center" vertical="center"/>
    </xf>
    <xf numFmtId="0" applyNumberFormat="1" fontId="1" applyFont="1" fillId="3" applyFill="1" borderId="1" applyBorder="1" xfId="0" applyProtection="1" applyAlignment="1">
      <alignment horizontal="center" vertical="center"/>
    </xf>
    <xf numFmtId="0" applyNumberFormat="1" fontId="2" applyFont="1" fillId="5" applyFill="1" borderId="1" applyBorder="1" xfId="0" applyProtection="1" applyAlignment="1">
      <alignment horizontal="center" vertical="center"/>
    </xf>
    <xf numFmtId="0" applyNumberFormat="1" fontId="1" applyFont="1" fillId="6" applyFill="1" borderId="1" applyBorder="1" xfId="0" applyProtection="1" applyAlignment="1">
      <alignment horizontal="center" vertical="center"/>
    </xf>
    <xf numFmtId="0" applyNumberFormat="1" fontId="1" applyFont="1" fillId="7" applyFill="1" borderId="1" applyBorder="1" xfId="0" applyProtection="1" applyAlignment="1">
      <alignment horizontal="center" vertical="center"/>
    </xf>
    <xf numFmtId="0" applyNumberFormat="1" fontId="0" applyFont="1" fillId="0" applyFill="1" borderId="2" applyBorder="1" xfId="0" applyProtection="1" applyAlignment="1">
      <alignment vertical="center"/>
    </xf>
    <xf numFmtId="3" applyNumberFormat="1" fontId="0" applyFont="1" fillId="0" applyFill="1" borderId="0" applyBorder="1" xfId="0" applyProtection="1"/>
    <xf numFmtId="0" applyNumberFormat="1" fontId="0" applyFont="1" fillId="5" applyFill="1" borderId="1" applyBorder="1" xfId="0" applyProtection="1" applyAlignment="1">
      <alignment horizontal="center" vertical="center"/>
    </xf>
    <xf numFmtId="0" applyNumberFormat="1" fontId="3" applyFont="1" fillId="5" applyFill="1" borderId="1" applyBorder="1" xfId="0" applyProtection="1" applyAlignment="1">
      <alignment horizontal="center" vertical="center"/>
    </xf>
    <xf numFmtId="0" applyNumberFormat="1" fontId="0" applyFont="1" fillId="8" applyFill="1" borderId="1" applyBorder="1" xfId="0" applyProtection="1" applyAlignment="1">
      <alignment horizontal="center" vertical="center"/>
    </xf>
    <xf numFmtId="0" applyNumberFormat="1" fontId="3" applyFont="1" fillId="8" applyFill="1" borderId="1" applyBorder="1" xfId="0" applyProtection="1" applyAlignment="1">
      <alignment horizontal="center" vertical="center"/>
    </xf>
    <xf numFmtId="0" applyNumberFormat="1" fontId="4" applyFont="1" fillId="5" applyFill="1" borderId="1" applyBorder="1" xfId="0" applyProtection="1" applyAlignment="1">
      <alignment horizontal="center" vertical="center"/>
    </xf>
    <xf numFmtId="0" applyNumberFormat="1" fontId="4" applyFont="1" fillId="8" applyFill="1" borderId="1" applyBorder="1" xfId="0" applyProtection="1" applyAlignment="1">
      <alignment horizontal="center" vertical="center"/>
    </xf>
    <xf numFmtId="0" applyNumberFormat="1" fontId="0" applyFont="1" fillId="0" applyFill="1" borderId="0" applyBorder="1" xfId="0" applyProtection="1"/>
    <xf numFmtId="0" applyNumberFormat="1" fontId="0" applyFont="1" fillId="0" applyFill="1" borderId="0" applyBorder="1" xfId="0" applyProtection="1"/>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vertical="center"/>
    </xf>
    <xf numFmtId="0" applyNumberFormat="1" fontId="5" applyFont="1" fillId="0" applyFill="1" borderId="0" applyBorder="1" xfId="0" applyProtection="1" applyAlignment="1">
      <alignment horizontal="center" vertical="center"/>
    </xf>
    <xf numFmtId="0" applyNumberFormat="1" fontId="0" applyFont="1" fillId="9" applyFill="1" borderId="0" applyBorder="1" xfId="0" applyProtection="1"/>
    <xf numFmtId="3" applyNumberFormat="1" fontId="0" applyFont="1" fillId="9" applyFill="1" borderId="0" applyBorder="1" xfId="0" applyProtection="1" applyAlignment="1">
      <alignment horizontal="left"/>
    </xf>
    <xf numFmtId="0" applyNumberFormat="1" fontId="0" applyFont="1" fillId="9" applyFill="1" borderId="0" applyBorder="1" xfId="0" applyProtection="1" applyAlignment="1">
      <alignment horizontal="left"/>
    </xf>
    <xf numFmtId="0" applyNumberFormat="1" fontId="0" applyFont="1" fillId="8" applyFill="1" borderId="0" applyBorder="1" xfId="0" applyProtection="1"/>
    <xf numFmtId="0" applyNumberFormat="1" fontId="0" applyFont="1" fillId="6" applyFill="1" borderId="0" applyBorder="1" xfId="0" applyProtection="1" applyAlignment="1">
      <alignment horizontal="left"/>
    </xf>
    <xf numFmtId="0" applyNumberFormat="1" fontId="0" applyFont="1" fillId="6" applyFill="1" borderId="0" applyBorder="1" xfId="0" applyProtection="1" applyAlignment="1">
      <alignment horizontal="left" vertical="center"/>
    </xf>
    <xf numFmtId="0" applyNumberFormat="1" fontId="0" applyFont="1" fillId="0" applyFill="1" borderId="0" applyBorder="1" xfId="0" applyProtection="1" applyAlignment="1">
      <alignment horizontal="left" vertical="center"/>
    </xf>
    <xf numFmtId="0" applyNumberFormat="1" fontId="0" applyFont="1" fillId="0" applyFill="1" borderId="0" applyBorder="1" xfId="0" applyProtection="1" applyAlignment="1">
      <alignment vertical="center"/>
    </xf>
    <xf numFmtId="0" applyNumberFormat="1" fontId="3" applyFont="1" fillId="0" applyFill="1" borderId="0" applyBorder="1" xfId="0" applyProtection="1" applyAlignment="1">
      <alignment horizontal="center" vertical="center"/>
    </xf>
    <xf numFmtId="0" applyNumberFormat="1" fontId="3" applyFont="1" fillId="0" applyFill="1" borderId="0" applyBorder="1" xfId="0" applyProtection="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06" xfId="49"/>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Item.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物品ID定义"/>
      <sheetName val="获取途径"/>
      <sheetName val="普通道具定义"/>
      <sheetName val="Sheet2"/>
    </sheetNames>
    <sheetDataSet>
      <sheetData sheetId="0">
        <row r="2">
          <cell r="E2" t="str">
            <v>名字</v>
          </cell>
          <cell r="F2" t="str">
            <v>名字文本</v>
          </cell>
          <cell r="G2" t="str">
            <v>描述文本</v>
          </cell>
          <cell r="H2" t="str">
            <v>图标</v>
          </cell>
        </row>
        <row r="3">
          <cell r="F3" t="str">
            <v>name</v>
          </cell>
          <cell r="G3" t="str">
            <v>intro</v>
          </cell>
          <cell r="H3" t="str">
            <v>icon</v>
          </cell>
        </row>
        <row r="4">
          <cell r="F4" t="str">
            <v>string(intern)</v>
          </cell>
          <cell r="G4" t="str">
            <v>string(intern)</v>
          </cell>
          <cell r="H4" t="str">
            <v>string(intern)</v>
          </cell>
        </row>
        <row r="5">
          <cell r="F5" t="str">
            <v>none</v>
          </cell>
          <cell r="G5" t="str">
            <v>none</v>
          </cell>
          <cell r="H5" t="str">
            <v>none</v>
          </cell>
        </row>
        <row r="6">
          <cell r="F6" t="str">
            <v>nameIndex</v>
          </cell>
          <cell r="G6" t="str">
            <v>introIndex</v>
          </cell>
        </row>
        <row r="7">
          <cell r="E7" t="str">
            <v>经验卷轴</v>
          </cell>
          <cell r="F7" t="str">
            <v>经验卷轴</v>
          </cell>
          <cell r="G7" t="str">
            <v>经验道具，用于增加角色经验。</v>
          </cell>
          <cell r="H7" t="str">
            <v>item_112001</v>
          </cell>
        </row>
        <row r="8">
          <cell r="E8" t="str">
            <v>精炼石</v>
          </cell>
          <cell r="F8" t="str">
            <v>精炼石</v>
          </cell>
          <cell r="G8" t="str">
            <v>装备精炼道具，用于提高装备的精炼等级。</v>
          </cell>
          <cell r="H8" t="str">
            <v>item_112002</v>
          </cell>
        </row>
        <row r="9">
          <cell r="E9" t="str">
            <v>招募券</v>
          </cell>
          <cell r="F9" t="str">
            <v>招募券</v>
          </cell>
          <cell r="G9" t="str">
            <v>招募道具，用于在招募界面进行船员招募。</v>
          </cell>
          <cell r="H9" t="str">
            <v>item_112003</v>
          </cell>
        </row>
        <row r="10">
          <cell r="E10" t="str">
            <v>秘传书</v>
          </cell>
          <cell r="F10" t="str">
            <v>秘传书</v>
          </cell>
          <cell r="G10" t="str">
            <v>可以增加角色的技能点，用于技能升级。</v>
          </cell>
          <cell r="H10" t="str">
            <v>item_112004</v>
          </cell>
        </row>
        <row r="11">
          <cell r="E11" t="str">
            <v>蓝钻</v>
          </cell>
          <cell r="F11" t="str">
            <v>蓝钻</v>
          </cell>
          <cell r="G11" t="str">
            <v>航海王中珍贵的货币，可用于购买活动次数、商城兑换等。</v>
          </cell>
          <cell r="H11" t="str">
            <v>item_122001</v>
          </cell>
        </row>
        <row r="12">
          <cell r="E12" t="str">
            <v>经验</v>
          </cell>
          <cell r="F12" t="str">
            <v>经验</v>
          </cell>
          <cell r="G12" t="str">
            <v>玩家和角色升级所需的经验。</v>
          </cell>
          <cell r="H12" t="str">
            <v>item_122002</v>
          </cell>
        </row>
        <row r="13">
          <cell r="E13" t="str">
            <v>金块</v>
          </cell>
          <cell r="F13" t="str">
            <v>金块</v>
          </cell>
          <cell r="G13" t="str">
            <v>航海王中常用的货币，用于日常消费。</v>
          </cell>
          <cell r="H13" t="str">
            <v>item_122003</v>
          </cell>
        </row>
        <row r="14">
          <cell r="E14" t="str">
            <v>千里阳光号</v>
          </cell>
          <cell r="F14" t="str">
            <v>千里阳光号</v>
          </cell>
          <cell r="G14" t="str">
            <v>由宝树亚当制成的草帽一伙的海盗船！是穿越千里大海的梦想之船。</v>
          </cell>
          <cell r="H14" t="str">
            <v>ship_icon_10_1</v>
          </cell>
        </row>
        <row r="15">
          <cell r="E15" t="str">
            <v>海军战舰</v>
          </cell>
          <cell r="F15" t="str">
            <v>海军战舰</v>
          </cell>
          <cell r="G15" t="str">
            <v>为将目标全部粉碎的大型军舰。由海军总部中将担任指挥。</v>
          </cell>
          <cell r="H15" t="str">
            <v>ship_icon_8_1</v>
          </cell>
        </row>
        <row r="16">
          <cell r="E16" t="str">
            <v>黄金梅丽号</v>
          </cell>
          <cell r="F16" t="str">
            <v>黄金梅丽号</v>
          </cell>
          <cell r="G16" t="str">
            <v>伴随草帽海盗团的成长，是草帽一伙形影不离、不可或缺的伙伴。</v>
          </cell>
          <cell r="H16" t="str">
            <v>ship_icon_3_1</v>
          </cell>
        </row>
        <row r="17">
          <cell r="E17" t="str">
            <v>黑色战士号</v>
          </cell>
          <cell r="F17" t="str">
            <v>黑色战士号</v>
          </cell>
          <cell r="G17" t="str">
            <v>黑猫海盗团的船，标志就是船头的黑猫，是船长克洛的标志。</v>
          </cell>
          <cell r="H17" t="str">
            <v>ship_icon_4_1</v>
          </cell>
        </row>
        <row r="18">
          <cell r="E18" t="str">
            <v>海军军舰</v>
          </cell>
          <cell r="F18" t="str">
            <v>海军军舰</v>
          </cell>
          <cell r="G18" t="str">
            <v>标准的海军船。装备有和总部联络用的各种电话虫。</v>
          </cell>
          <cell r="H18" t="str">
            <v>ship_icon_7_1</v>
          </cell>
        </row>
        <row r="19">
          <cell r="E19" t="str">
            <v>可爱小鸭号</v>
          </cell>
          <cell r="F19" t="str">
            <v>可爱小鸭号</v>
          </cell>
          <cell r="G19" t="str">
            <v>船头是一只可爱的天鹅，船帆有“2”的标志，是Mr.2的船。</v>
          </cell>
          <cell r="H19" t="str">
            <v>ship_icon_6_1</v>
          </cell>
        </row>
        <row r="20">
          <cell r="E20" t="str">
            <v>性感福克斯号</v>
          </cell>
          <cell r="F20" t="str">
            <v>性感福克斯号</v>
          </cell>
          <cell r="G20" t="str">
            <v>福克斯海盗团的船。船首和海盗旗、锁链等，都是醒目的狐狸标记。</v>
          </cell>
          <cell r="H20" t="str">
            <v>ship_icon_5_1</v>
          </cell>
        </row>
        <row r="21">
          <cell r="E21" t="str">
            <v>黑胡子木筏</v>
          </cell>
          <cell r="F21" t="str">
            <v>黑胡子木筏</v>
          </cell>
          <cell r="G21" t="str">
            <v>黑胡子一伙的标志性木筏。在四周都设有大炮。</v>
          </cell>
          <cell r="H21" t="str">
            <v>ship_icon_9_1</v>
          </cell>
        </row>
        <row r="22">
          <cell r="E22" t="str">
            <v>九蛇海盗船</v>
          </cell>
          <cell r="F22" t="str">
            <v>九蛇海盗船</v>
          </cell>
          <cell r="G22" t="str">
            <v>汉库珂所率领的九蛇海盗团的船。船头设有毒蛇，保护轮船不受敌人攻击。</v>
          </cell>
          <cell r="H22" t="str">
            <v>ship_icon_11_1</v>
          </cell>
        </row>
        <row r="23">
          <cell r="E23" t="str">
            <v>雷德·佛斯号</v>
          </cell>
          <cell r="F23" t="str">
            <v>雷德·佛斯号</v>
          </cell>
          <cell r="G23" t="str">
            <v>航行在新世界的后半段，以龙形船首为特征的红发海盗团的船。</v>
          </cell>
          <cell r="H23" t="str">
            <v>ship_icon_12_1</v>
          </cell>
        </row>
        <row r="24">
          <cell r="E24" t="str">
            <v>巴拉蒂</v>
          </cell>
          <cell r="F24" t="str">
            <v>巴拉蒂</v>
          </cell>
          <cell r="G24" t="str">
            <v>漂浮在“东海”上的巨大海上餐厅。除了餐厅以外，还设有宽敞的厨房和储藏间。</v>
          </cell>
          <cell r="H24" t="str">
            <v>ship_icon_13_1</v>
          </cell>
        </row>
        <row r="25">
          <cell r="E25" t="str">
            <v>革命军船</v>
          </cell>
          <cell r="F25" t="str">
            <v>风·格拉玛号</v>
          </cell>
          <cell r="G25" t="str">
            <v>在各地不断掀起叛乱的，龙率领武装组织的船。以漆黑船体和龙头船首为特征的母舰。</v>
          </cell>
          <cell r="H25" t="str">
            <v>ship_icon_19_1</v>
          </cell>
        </row>
        <row r="26">
          <cell r="E26" t="str">
            <v>戈普的军舰</v>
          </cell>
          <cell r="F26" t="str">
            <v>戈普的军舰</v>
          </cell>
          <cell r="G26" t="str">
            <v>海军总部戈普的军舰。船首是只衔着骨头的狗。</v>
          </cell>
          <cell r="H26" t="str">
            <v>ship_icon_15_1</v>
          </cell>
        </row>
        <row r="27">
          <cell r="E27" t="str">
            <v>太阳海盗船</v>
          </cell>
          <cell r="F27" t="str">
            <v>太阳海盗船</v>
          </cell>
          <cell r="G27" t="str">
            <v>船首是一只让人想到泰格的鲷鱼头。旗帜上的太阳刻印迎风飘扬。</v>
          </cell>
          <cell r="H27" t="str">
            <v>ship_icon_16_1</v>
          </cell>
        </row>
        <row r="28">
          <cell r="E28" t="str">
            <v>潜水艇</v>
          </cell>
          <cell r="F28" t="str">
            <v>极地潜水号</v>
          </cell>
          <cell r="G28" t="str">
            <v>罗的潜水艇，拥有先进的医疗设备。</v>
          </cell>
          <cell r="H28" t="str">
            <v>ship_icon_17_1</v>
          </cell>
        </row>
        <row r="29">
          <cell r="E29" t="str">
            <v>幽灵船</v>
          </cell>
          <cell r="F29" t="str">
            <v>幽灵船</v>
          </cell>
          <cell r="G29" t="str">
            <v>据说是会出没在“魔鬼三角地带”的海域中，载着死者的神秘船只。</v>
          </cell>
          <cell r="H29" t="str">
            <v>ship_icon_18_1</v>
          </cell>
        </row>
        <row r="30">
          <cell r="E30" t="str">
            <v>黑桃海盗船</v>
          </cell>
          <cell r="F30" t="str">
            <v>黑桃海盗船</v>
          </cell>
          <cell r="G30" t="str">
            <v>艾斯做船长时的海盗船！以黑桃为背景的骷髅图案为其海盗旗标志。</v>
          </cell>
          <cell r="H30" t="str">
            <v>ship_icon_20_1</v>
          </cell>
        </row>
        <row r="31">
          <cell r="E31" t="str">
            <v>飞翔的荷兰人号</v>
          </cell>
          <cell r="F31" t="str">
            <v>飞翔的荷兰人号</v>
          </cell>
          <cell r="G31" t="str">
            <v>从数百年前开始就徘徊于海底的传说中的幽灵船。不过实际上是飞翔海盗团的船只。</v>
          </cell>
          <cell r="H31" t="str">
            <v>ship_icon_21_1</v>
          </cell>
        </row>
        <row r="32">
          <cell r="E32" t="str">
            <v>莫比迪克号</v>
          </cell>
          <cell r="F32" t="str">
            <v>莫比迪克号</v>
          </cell>
          <cell r="G32" t="str">
            <v>以船长为首的全体船员无一例外都是猛者。同巨大的母船一起，创立了一个时代。</v>
          </cell>
          <cell r="H32" t="str">
            <v>ship_icon_22_1</v>
          </cell>
        </row>
        <row r="33">
          <cell r="E33" t="str">
            <v>弗拉门戈号</v>
          </cell>
          <cell r="F33" t="str">
            <v>弗拉门戈号</v>
          </cell>
          <cell r="G33" t="str">
            <v>多弗拉门戈的战船，火烈鸟般的外形承载着唐吉坷德家族的野心。</v>
          </cell>
          <cell r="H33" t="str">
            <v>ship_icon_23_1</v>
          </cell>
        </row>
        <row r="34">
          <cell r="E34" t="str">
            <v>战船任选</v>
          </cell>
          <cell r="F34" t="str">
            <v>战船任选礼盒</v>
          </cell>
          <cell r="G34" t="str">
            <v>从风·格拉玛号、雷德·佛斯号、九蛇海盗船、幽灵船、黑桃海盗船中任选一个战船。</v>
          </cell>
          <cell r="H34" t="str">
            <v>item_box_10</v>
          </cell>
        </row>
        <row r="35">
          <cell r="E35" t="str">
            <v>阵法任选</v>
          </cell>
          <cell r="F35" t="str">
            <v>阵法任选礼盒</v>
          </cell>
          <cell r="G35" t="str">
            <v>从激进之阵、曙光之阵、元素之阵、冲击之阵、专注之阵中任选一个阵法图纸。</v>
          </cell>
          <cell r="H35" t="str">
            <v>item_box_10</v>
          </cell>
        </row>
        <row r="36">
          <cell r="E36" t="str">
            <v>初级经验卷轴</v>
          </cell>
          <cell r="F36" t="str">
            <v>初级经验卷轴</v>
          </cell>
          <cell r="G36" t="str">
            <v>记录角色冒险经历的初级经验卷轴，使用后可增加角色500点角色经验。</v>
          </cell>
          <cell r="H36" t="str">
            <v>item_2001</v>
          </cell>
        </row>
        <row r="37">
          <cell r="E37" t="str">
            <v>中级经验卷轴</v>
          </cell>
          <cell r="F37" t="str">
            <v>中级经验卷轴</v>
          </cell>
          <cell r="G37" t="str">
            <v>记录角色冒险经历的中级经验卷轴，使用后可增加角色1500点角色经验。</v>
          </cell>
          <cell r="H37" t="str">
            <v>item_3001</v>
          </cell>
        </row>
        <row r="38">
          <cell r="E38" t="str">
            <v>高级经验卷轴</v>
          </cell>
          <cell r="F38" t="str">
            <v>高级经验卷轴</v>
          </cell>
          <cell r="G38" t="str">
            <v>记录角色冒险经历的高级经验卷轴，使用后可增加角色3000点角色经验。</v>
          </cell>
          <cell r="H38" t="str">
            <v>item_4001</v>
          </cell>
        </row>
        <row r="39">
          <cell r="E39" t="str">
            <v>超级经验卷轴</v>
          </cell>
          <cell r="F39" t="str">
            <v>超级经验卷轴</v>
          </cell>
          <cell r="G39" t="str">
            <v>记录角色冒险经历的超级经验卷轴，使用后增加角色10000点角色经验。</v>
          </cell>
          <cell r="H39" t="str">
            <v>item_5001</v>
          </cell>
        </row>
        <row r="40">
          <cell r="E40" t="str">
            <v>奥义经验卷轴</v>
          </cell>
          <cell r="F40" t="str">
            <v>奥义经验卷轴</v>
          </cell>
          <cell r="G40" t="str">
            <v>记录角色冒险经历的奥义经验卷轴，使用后增加角色30000点角色经验。</v>
          </cell>
          <cell r="H40" t="str">
            <v>item_261001</v>
          </cell>
        </row>
        <row r="41">
          <cell r="E41">
            <v>1</v>
          </cell>
          <cell r="F41">
            <v>1</v>
          </cell>
          <cell r="G41">
            <v>1</v>
          </cell>
          <cell r="H41" t="str">
            <v>item_1</v>
          </cell>
        </row>
        <row r="42">
          <cell r="E42" t="str">
            <v>低级精炼石</v>
          </cell>
          <cell r="F42" t="str">
            <v>初级精炼石</v>
          </cell>
          <cell r="G42" t="str">
            <v>稀有的金属矿石，可以用于提高装备精炼等级。</v>
          </cell>
          <cell r="H42" t="str">
            <v>item_2002</v>
          </cell>
        </row>
        <row r="43">
          <cell r="E43" t="str">
            <v>中级精炼石</v>
          </cell>
          <cell r="F43" t="str">
            <v>中级精炼石</v>
          </cell>
          <cell r="G43" t="str">
            <v>稀有的金属矿石，可以用于提高装备精炼等级。</v>
          </cell>
          <cell r="H43" t="str">
            <v>item_3002</v>
          </cell>
        </row>
        <row r="44">
          <cell r="E44" t="str">
            <v>高级精炼石</v>
          </cell>
          <cell r="F44" t="str">
            <v>高级精炼石</v>
          </cell>
          <cell r="G44" t="str">
            <v>稀有的金属矿石，可以用于提高装备精炼等级。</v>
          </cell>
          <cell r="H44" t="str">
            <v>item_4002</v>
          </cell>
        </row>
        <row r="45">
          <cell r="E45" t="str">
            <v>超级精炼石</v>
          </cell>
          <cell r="F45" t="str">
            <v>超级精炼石</v>
          </cell>
          <cell r="G45" t="str">
            <v>稀有的金属矿石，可以用于提高装备精炼等级。</v>
          </cell>
          <cell r="H45" t="str">
            <v>item_5002</v>
          </cell>
        </row>
        <row r="46">
          <cell r="E46" t="str">
            <v>重铸符文石</v>
          </cell>
          <cell r="F46" t="str">
            <v>重铸符文石</v>
          </cell>
          <cell r="G46" t="str">
            <v>由工匠们制造的刻有符号的石头，可以用于重新鉴定装备属性。</v>
          </cell>
          <cell r="H46" t="str">
            <v>item_6002</v>
          </cell>
        </row>
        <row r="47">
          <cell r="E47" t="str">
            <v>精钢石</v>
          </cell>
          <cell r="F47" t="str">
            <v>精钢石</v>
          </cell>
          <cell r="G47" t="str">
            <v>由珍稀矿石淬炼而成的精钢石，可用于40级装备的宝石打孔。</v>
          </cell>
          <cell r="H47" t="str">
            <v>item_2004</v>
          </cell>
        </row>
        <row r="48">
          <cell r="E48" t="str">
            <v>海蓝石</v>
          </cell>
          <cell r="F48" t="str">
            <v>海蓝石</v>
          </cell>
          <cell r="G48" t="str">
            <v>由珍稀矿石淬炼而成的海蓝石，可用于50至60级装备的宝石打孔。</v>
          </cell>
          <cell r="H48" t="str">
            <v>item_3004</v>
          </cell>
        </row>
        <row r="49">
          <cell r="E49" t="str">
            <v>钢岩石</v>
          </cell>
          <cell r="F49" t="str">
            <v>钢岩石</v>
          </cell>
          <cell r="G49" t="str">
            <v>由珍稀矿石淬炼而成的钢岩石，可用于80级装备的宝石打孔。</v>
          </cell>
          <cell r="H49" t="str">
            <v>item_4004</v>
          </cell>
        </row>
        <row r="50">
          <cell r="E50" t="str">
            <v>圣辉石</v>
          </cell>
          <cell r="F50" t="str">
            <v>圣辉石</v>
          </cell>
          <cell r="G50" t="str">
            <v>由珍稀矿石淬炼而成的圣辉石，可用于100级装备的宝石打孔。</v>
          </cell>
          <cell r="H50" t="str">
            <v>item_5004</v>
          </cell>
        </row>
        <row r="51">
          <cell r="E51" t="str">
            <v>古铜战魂</v>
          </cell>
          <cell r="F51" t="str">
            <v>古铜战魂</v>
          </cell>
          <cell r="G51" t="str">
            <v>承载着强大海上战士的信念，用于R品质和SR品质角色超越。</v>
          </cell>
          <cell r="H51" t="str">
            <v>item_0214011</v>
          </cell>
        </row>
        <row r="52">
          <cell r="E52" t="str">
            <v>黄金战魂</v>
          </cell>
          <cell r="F52" t="str">
            <v>黄金战魂</v>
          </cell>
          <cell r="G52" t="str">
            <v>承载着英勇海上战士的信念，用于SSR品质角色超越。</v>
          </cell>
          <cell r="H52" t="str">
            <v>item_0215011</v>
          </cell>
        </row>
        <row r="53">
          <cell r="E53" t="str">
            <v>一袋金币</v>
          </cell>
          <cell r="F53" t="str">
            <v>一袋金币</v>
          </cell>
          <cell r="G53" t="str">
            <v>一小袋鼓鼓的金币，开启获得500金币。</v>
          </cell>
          <cell r="H53" t="str">
            <v>item_12</v>
          </cell>
        </row>
        <row r="54">
          <cell r="E54" t="str">
            <v>一袋金币</v>
          </cell>
          <cell r="F54" t="str">
            <v>一袋金币</v>
          </cell>
          <cell r="G54" t="str">
            <v>一小袋鼓鼓的金币，开启获得2500金币。</v>
          </cell>
          <cell r="H54" t="str">
            <v>item_12</v>
          </cell>
        </row>
        <row r="55">
          <cell r="E55" t="str">
            <v>一袋金币</v>
          </cell>
          <cell r="F55" t="str">
            <v>一袋金币</v>
          </cell>
          <cell r="G55" t="str">
            <v>一大袋鼓鼓的金币，开启获得50000金币。</v>
          </cell>
          <cell r="H55" t="str">
            <v>item_12</v>
          </cell>
        </row>
        <row r="56">
          <cell r="E56" t="str">
            <v>一袋金币</v>
          </cell>
          <cell r="F56" t="str">
            <v>一袋金币</v>
          </cell>
          <cell r="G56" t="str">
            <v>一大袋鼓鼓的金币，开启获得100000金币。</v>
          </cell>
          <cell r="H56" t="str">
            <v>item_12</v>
          </cell>
        </row>
        <row r="57">
          <cell r="E57" t="str">
            <v>一袋蓝钻</v>
          </cell>
          <cell r="F57" t="str">
            <v>一袋蓝钻</v>
          </cell>
          <cell r="G57" t="str">
            <v>一小袋鼓鼓的蓝钻，开启获得50蓝钻。</v>
          </cell>
          <cell r="H57" t="str">
            <v>item_16</v>
          </cell>
        </row>
        <row r="58">
          <cell r="E58" t="str">
            <v>一袋金块</v>
          </cell>
          <cell r="F58" t="str">
            <v>一袋金块</v>
          </cell>
          <cell r="G58" t="str">
            <v>一小袋鼓鼓的金块，开启获得5000金块。</v>
          </cell>
          <cell r="H58" t="str">
            <v>item_23</v>
          </cell>
        </row>
        <row r="59">
          <cell r="E59" t="str">
            <v>一袋蓝钻</v>
          </cell>
          <cell r="F59" t="str">
            <v>一袋蓝钻</v>
          </cell>
          <cell r="G59" t="str">
            <v>一大袋鼓鼓的蓝钻，开启获得500蓝钻。</v>
          </cell>
          <cell r="H59" t="str">
            <v>item_16</v>
          </cell>
        </row>
        <row r="60">
          <cell r="E60" t="str">
            <v>一袋金块</v>
          </cell>
          <cell r="F60" t="str">
            <v>一袋金块</v>
          </cell>
          <cell r="G60" t="str">
            <v>一大袋鼓鼓的金块，开启获得100000金块。</v>
          </cell>
          <cell r="H60" t="str">
            <v>item_23</v>
          </cell>
        </row>
        <row r="61">
          <cell r="E61" t="str">
            <v>一袋蓝钻</v>
          </cell>
          <cell r="F61" t="str">
            <v>一袋蓝钻</v>
          </cell>
          <cell r="G61" t="str">
            <v>一大袋鼓鼓的蓝钻，开启获得200蓝钻。</v>
          </cell>
          <cell r="H61" t="str">
            <v>item_16</v>
          </cell>
        </row>
        <row r="62">
          <cell r="H62" t="str">
            <v>item_box_08</v>
          </cell>
        </row>
        <row r="63">
          <cell r="E63" t="str">
            <v>初级秘传书</v>
          </cell>
          <cell r="F63" t="str">
            <v>初级秘传书</v>
          </cell>
          <cell r="G63" t="str">
            <v>记载如何更好发掘自身潜力的初级书籍，使用后角色获得2技能点数。</v>
          </cell>
          <cell r="H63" t="str">
            <v>item_2007</v>
          </cell>
        </row>
        <row r="64">
          <cell r="E64" t="str">
            <v>中级秘传书</v>
          </cell>
          <cell r="F64" t="str">
            <v>中级秘传书</v>
          </cell>
          <cell r="G64" t="str">
            <v>记载如何更好发掘自身潜力的中级书籍，使用后角色获得4技能点数。</v>
          </cell>
          <cell r="H64" t="str">
            <v>item_3007</v>
          </cell>
        </row>
        <row r="65">
          <cell r="E65" t="str">
            <v>高级秘传书</v>
          </cell>
          <cell r="F65" t="str">
            <v>高级秘传书</v>
          </cell>
          <cell r="G65" t="str">
            <v>记载如何更好发掘自身潜力的高级书籍，使用后角色获得6技能点数。</v>
          </cell>
          <cell r="H65" t="str">
            <v>item_4007</v>
          </cell>
        </row>
        <row r="66">
          <cell r="E66" t="str">
            <v>奥义秘传书</v>
          </cell>
          <cell r="F66" t="str">
            <v>奥义秘传书</v>
          </cell>
          <cell r="G66" t="str">
            <v>记载如何更好发掘自身潜力的奥义书籍，使用后角色获得8技能点数。</v>
          </cell>
          <cell r="H66" t="str">
            <v>item_5007</v>
          </cell>
        </row>
        <row r="67">
          <cell r="E67" t="str">
            <v>英雄之石</v>
          </cell>
          <cell r="F67" t="str">
            <v>英雄之石</v>
          </cell>
          <cell r="G67" t="str">
            <v>由多种稀有的矿石熔炼而成的英雄之石，用于装备精炼。</v>
          </cell>
          <cell r="H67" t="str">
            <v>item_4003</v>
          </cell>
        </row>
        <row r="68">
          <cell r="E68" t="str">
            <v>技能重置书</v>
          </cell>
          <cell r="F68" t="str">
            <v>技能重置书</v>
          </cell>
          <cell r="G68" t="str">
            <v>记录着神秘信息的书本，可以使角色忘记学过的技能，重置角色所有的技能点。</v>
          </cell>
          <cell r="H68" t="str">
            <v>item_4008</v>
          </cell>
        </row>
        <row r="69">
          <cell r="E69" t="str">
            <v>玩家改名卡</v>
          </cell>
          <cell r="F69" t="str">
            <v>玩家改名卡</v>
          </cell>
          <cell r="G69" t="str">
            <v>拥有神秘力量的卡片，可以用于更改冒险者的名字。</v>
          </cell>
          <cell r="H69" t="str">
            <v>item_4010</v>
          </cell>
        </row>
        <row r="70">
          <cell r="E70" t="str">
            <v>普通招募劵</v>
          </cell>
          <cell r="F70" t="str">
            <v>普通招募券</v>
          </cell>
          <cell r="G70" t="str">
            <v>普通的酒馆招募券，可以在酒馆进行普通招募。</v>
          </cell>
          <cell r="H70" t="str">
            <v>item_4011</v>
          </cell>
        </row>
        <row r="71">
          <cell r="E71" t="str">
            <v>强者招募劵</v>
          </cell>
          <cell r="F71" t="str">
            <v>强者招募券</v>
          </cell>
          <cell r="G71" t="str">
            <v>高级的酒馆使用券，可以在酒馆进行强者招募。</v>
          </cell>
          <cell r="H71" t="str">
            <v>item_5011</v>
          </cell>
        </row>
        <row r="72">
          <cell r="E72" t="str">
            <v>电话虫</v>
          </cell>
          <cell r="F72" t="str">
            <v>电话虫</v>
          </cell>
          <cell r="G72" t="str">
            <v>向全世界发布信息的电话虫，使用后可以让所有的玩家听到自己的声音。</v>
          </cell>
          <cell r="H72" t="str">
            <v>item_4012</v>
          </cell>
        </row>
        <row r="73">
          <cell r="E73" t="str">
            <v>珍珠</v>
          </cell>
          <cell r="F73" t="str">
            <v>珍珠</v>
          </cell>
          <cell r="G73" t="str">
            <v>增加角色100点亲密度。</v>
          </cell>
          <cell r="H73" t="str">
            <v>item_221001</v>
          </cell>
        </row>
        <row r="74">
          <cell r="E74" t="str">
            <v>幻彩水晶</v>
          </cell>
          <cell r="F74" t="str">
            <v>幻彩水晶</v>
          </cell>
          <cell r="G74" t="str">
            <v>增加角色150点亲密度。</v>
          </cell>
          <cell r="H74" t="str">
            <v>item_24</v>
          </cell>
        </row>
        <row r="75">
          <cell r="E75" t="str">
            <v>冒险指南</v>
          </cell>
          <cell r="F75" t="str">
            <v>冒险指南</v>
          </cell>
          <cell r="G75" t="str">
            <v>增加角色200点亲密度。</v>
          </cell>
          <cell r="H75" t="str">
            <v>item_11</v>
          </cell>
        </row>
        <row r="76">
          <cell r="E76" t="str">
            <v>荣誉勋章</v>
          </cell>
          <cell r="F76" t="str">
            <v>荣誉勋章</v>
          </cell>
          <cell r="G76" t="str">
            <v>增加角色400点亲密度。</v>
          </cell>
          <cell r="H76" t="str">
            <v>item_12000003</v>
          </cell>
        </row>
        <row r="77">
          <cell r="E77" t="str">
            <v>公会改名卡</v>
          </cell>
          <cell r="F77" t="str">
            <v>公会改名卡</v>
          </cell>
          <cell r="G77" t="str">
            <v>可以用于更改公会名称的卡片，仅公会会长可以使用；该道具与公会管理员对话使用。</v>
          </cell>
          <cell r="H77" t="str">
            <v>item_214050</v>
          </cell>
        </row>
        <row r="78">
          <cell r="E78" t="str">
            <v>装备精炼提升道具</v>
          </cell>
          <cell r="F78" t="str">
            <v>古铜锭</v>
          </cell>
          <cell r="G78" t="str">
            <v>少量提升精炼成功率。</v>
          </cell>
          <cell r="H78" t="str">
            <v>item_212014</v>
          </cell>
        </row>
        <row r="79">
          <cell r="E79" t="str">
            <v>装备精炼提升道具</v>
          </cell>
          <cell r="F79" t="str">
            <v>锡铁锭</v>
          </cell>
          <cell r="G79" t="str">
            <v>部分提升精炼成功率。</v>
          </cell>
          <cell r="H79" t="str">
            <v>item_213014</v>
          </cell>
        </row>
        <row r="80">
          <cell r="E80" t="str">
            <v>装备精炼提升道具</v>
          </cell>
          <cell r="F80" t="str">
            <v>精金锭</v>
          </cell>
          <cell r="G80" t="str">
            <v>较高提升精炼成功率。</v>
          </cell>
          <cell r="H80" t="str">
            <v>item_214014</v>
          </cell>
        </row>
        <row r="81">
          <cell r="E81" t="str">
            <v>限时铸造券</v>
          </cell>
          <cell r="F81" t="str">
            <v>限时铸造券</v>
          </cell>
          <cell r="G81" t="str">
            <v>在限时武器店使用的铸造券，可以通过限时铸造获得装备。</v>
          </cell>
          <cell r="H81" t="str">
            <v>item_215015</v>
          </cell>
        </row>
        <row r="82">
          <cell r="E82" t="str">
            <v>船只加点</v>
          </cell>
          <cell r="F82" t="str">
            <v>初级改造图纸</v>
          </cell>
          <cell r="G82" t="str">
            <v>增加战船1点改造点数。</v>
          </cell>
          <cell r="H82" t="str">
            <v>item_212016</v>
          </cell>
        </row>
        <row r="83">
          <cell r="E83" t="str">
            <v>船只加点</v>
          </cell>
          <cell r="F83" t="str">
            <v>中级改造图纸</v>
          </cell>
          <cell r="G83" t="str">
            <v>增加战船2点改造点数。</v>
          </cell>
          <cell r="H83" t="str">
            <v>item_213016</v>
          </cell>
        </row>
        <row r="84">
          <cell r="E84" t="str">
            <v>船只加点</v>
          </cell>
          <cell r="F84" t="str">
            <v>高级改造图纸</v>
          </cell>
          <cell r="G84" t="str">
            <v>增加战船3点改造点数。</v>
          </cell>
          <cell r="H84" t="str">
            <v>item_214016</v>
          </cell>
        </row>
        <row r="85">
          <cell r="E85" t="str">
            <v>船只加点</v>
          </cell>
          <cell r="F85" t="str">
            <v>超级改造图纸</v>
          </cell>
          <cell r="G85" t="str">
            <v>增加战船5点改造点数。</v>
          </cell>
          <cell r="H85" t="str">
            <v>item_215016</v>
          </cell>
        </row>
        <row r="86">
          <cell r="E86" t="str">
            <v>黄金之匙</v>
          </cell>
          <cell r="F86" t="str">
            <v>黄金之匙</v>
          </cell>
          <cell r="G86" t="str">
            <v>可以用于开启黄金试炼的钥匙，每次开启时间持续20分钟。</v>
          </cell>
          <cell r="H86" t="str">
            <v>item_24002</v>
          </cell>
        </row>
        <row r="87">
          <cell r="E87" t="str">
            <v>勇者之匙</v>
          </cell>
          <cell r="F87" t="str">
            <v>勇者之匙</v>
          </cell>
          <cell r="G87" t="str">
            <v>可以用于开启勇者试炼的钥匙，每次开启时间持续20分钟。</v>
          </cell>
          <cell r="H87" t="str">
            <v>item_24001</v>
          </cell>
        </row>
        <row r="88">
          <cell r="E88" t="str">
            <v>克比碎片</v>
          </cell>
          <cell r="F88" t="str">
            <v>可比碎片</v>
          </cell>
          <cell r="G88" t="str">
            <v>记载可比经历的碎片，集齐10个可合成可比。</v>
          </cell>
          <cell r="H88" t="str">
            <v>hero_2d_1001</v>
          </cell>
        </row>
        <row r="89">
          <cell r="E89" t="str">
            <v>斧手蒙卡碎片</v>
          </cell>
          <cell r="F89" t="str">
            <v>摩根碎片</v>
          </cell>
          <cell r="G89" t="str">
            <v>记载摩根经历的碎片，集齐10个可合成摩根。</v>
          </cell>
          <cell r="H89" t="str">
            <v>hero_2d_1002</v>
          </cell>
        </row>
        <row r="90">
          <cell r="E90" t="str">
            <v>卡巴奇碎片</v>
          </cell>
          <cell r="F90" t="str">
            <v>卡巴奇碎片</v>
          </cell>
          <cell r="G90" t="str">
            <v>记载卡巴奇经历的碎片，集齐10个可合成卡巴奇。</v>
          </cell>
          <cell r="H90" t="str">
            <v>hero_2d_1003</v>
          </cell>
        </row>
        <row r="91">
          <cell r="E91" t="str">
            <v>克洛碎片</v>
          </cell>
          <cell r="F91" t="str">
            <v>克洛碎片</v>
          </cell>
          <cell r="G91" t="str">
            <v>记载克洛经历的碎片，集齐10个可合成克洛。</v>
          </cell>
          <cell r="H91" t="str">
            <v>hero_2d_1004</v>
          </cell>
        </row>
        <row r="92">
          <cell r="E92" t="str">
            <v>强高碎片</v>
          </cell>
          <cell r="F92" t="str">
            <v>强高碎片</v>
          </cell>
          <cell r="G92" t="str">
            <v>记载强高经历的碎片，集齐10个可合成强高。</v>
          </cell>
          <cell r="H92" t="str">
            <v>hero_2d_1005</v>
          </cell>
        </row>
        <row r="93">
          <cell r="E93" t="str">
            <v>克里克碎片</v>
          </cell>
          <cell r="F93" t="str">
            <v>克里克碎片</v>
          </cell>
          <cell r="G93" t="str">
            <v>记载克里克经历的碎片，集齐10个可合成克里克。</v>
          </cell>
          <cell r="H93" t="str">
            <v>hero_2d_1006</v>
          </cell>
        </row>
        <row r="94">
          <cell r="E94" t="str">
            <v>阿金碎片</v>
          </cell>
          <cell r="F94" t="str">
            <v>阿金碎片</v>
          </cell>
          <cell r="G94" t="str">
            <v>记载阿金经历的碎片，集齐10个可合成阿金。</v>
          </cell>
          <cell r="H94" t="str">
            <v>hero_2d_1007</v>
          </cell>
        </row>
        <row r="95">
          <cell r="E95" t="str">
            <v>帕鲁碎片</v>
          </cell>
          <cell r="F95" t="str">
            <v>帕鲁碎片</v>
          </cell>
          <cell r="G95" t="str">
            <v>记载帕鲁经历的碎片，集齐10个可合成帕鲁。</v>
          </cell>
          <cell r="H95" t="str">
            <v>hero_2d_1008</v>
          </cell>
        </row>
        <row r="96">
          <cell r="E96" t="str">
            <v>阿龙碎片</v>
          </cell>
          <cell r="F96" t="str">
            <v>阿龙碎片</v>
          </cell>
          <cell r="G96" t="str">
            <v>记载阿龙经历的碎片，集齐10个可合成阿龙。</v>
          </cell>
          <cell r="H96" t="str">
            <v>hero_2d_1009</v>
          </cell>
        </row>
        <row r="97">
          <cell r="E97" t="str">
            <v>阿八碎片</v>
          </cell>
          <cell r="F97" t="str">
            <v>小八碎片</v>
          </cell>
          <cell r="G97" t="str">
            <v>记载小八经历的碎片，集齐10个可合成小八。</v>
          </cell>
          <cell r="H97" t="str">
            <v>hero_2d_1010</v>
          </cell>
        </row>
        <row r="98">
          <cell r="E98" t="str">
            <v>薇薇碎片</v>
          </cell>
          <cell r="F98" t="str">
            <v>薇薇碎片</v>
          </cell>
          <cell r="G98" t="str">
            <v>记载薇薇经历的碎片，集齐10个可合成薇薇。</v>
          </cell>
          <cell r="H98" t="str">
            <v>hero_2d_1011</v>
          </cell>
        </row>
        <row r="99">
          <cell r="E99" t="str">
            <v>Mr.5碎片</v>
          </cell>
          <cell r="F99" t="str">
            <v>Mr.5碎片</v>
          </cell>
          <cell r="G99" t="str">
            <v>记载Mr.5经历的碎片，集齐10个可合成Mr.5。</v>
          </cell>
          <cell r="H99" t="str">
            <v>hero_2d_1012</v>
          </cell>
        </row>
        <row r="100">
          <cell r="E100" t="str">
            <v>瓦尔波碎片</v>
          </cell>
          <cell r="F100" t="str">
            <v>瓦波尔碎片</v>
          </cell>
          <cell r="G100" t="str">
            <v>记载瓦波尔经历的碎片，集齐10个可合成瓦波尔。</v>
          </cell>
          <cell r="H100" t="str">
            <v>hero_2d_1013</v>
          </cell>
        </row>
        <row r="101">
          <cell r="E101" t="str">
            <v>Mr.4碎片</v>
          </cell>
          <cell r="F101" t="str">
            <v>Mr.4碎片</v>
          </cell>
          <cell r="G101" t="str">
            <v>记载Mr.4经历的碎片，集齐10个可合成Mr.4。</v>
          </cell>
          <cell r="H101" t="str">
            <v>hero_2d_1014</v>
          </cell>
        </row>
        <row r="102">
          <cell r="E102" t="str">
            <v>Miss.黄金周碎片</v>
          </cell>
          <cell r="F102" t="str">
            <v>Ms.黄金周碎片</v>
          </cell>
          <cell r="G102" t="str">
            <v>记载Ms.黄金周经历的碎片，集齐10个可合成Ms.黄金周。</v>
          </cell>
          <cell r="H102" t="str">
            <v>hero_2d_1015</v>
          </cell>
        </row>
        <row r="103">
          <cell r="E103" t="str">
            <v>约撒碎片</v>
          </cell>
          <cell r="F103" t="str">
            <v>约撒碎片</v>
          </cell>
          <cell r="G103" t="str">
            <v>记载约撒经历的碎片，集齐10个可合成约撒。</v>
          </cell>
          <cell r="H103" t="str">
            <v>hero_2d_21031</v>
          </cell>
        </row>
        <row r="104">
          <cell r="E104" t="str">
            <v>路飞碎片</v>
          </cell>
          <cell r="F104" t="str">
            <v>路飞碎片</v>
          </cell>
          <cell r="G104" t="str">
            <v>记载路飞经历的碎片，集齐30个可合成路飞。</v>
          </cell>
          <cell r="H104" t="str">
            <v>hero_2d_2001</v>
          </cell>
        </row>
        <row r="105">
          <cell r="E105" t="str">
            <v>佐罗碎片</v>
          </cell>
          <cell r="F105" t="str">
            <v>佐罗碎片</v>
          </cell>
          <cell r="G105" t="str">
            <v>记载佐罗经历的碎片，集齐30个可合成佐罗。</v>
          </cell>
          <cell r="H105" t="str">
            <v>hero_2d_2002</v>
          </cell>
        </row>
        <row r="106">
          <cell r="E106" t="str">
            <v>奈美碎片</v>
          </cell>
          <cell r="F106" t="str">
            <v>奈美碎片</v>
          </cell>
          <cell r="G106" t="str">
            <v>记载奈美经历的碎片，集齐30个可合成奈美。</v>
          </cell>
          <cell r="H106" t="str">
            <v>hero_2d_2003</v>
          </cell>
        </row>
        <row r="107">
          <cell r="E107" t="str">
            <v>撒谎布碎片</v>
          </cell>
          <cell r="F107" t="str">
            <v>撒谎布碎片</v>
          </cell>
          <cell r="G107" t="str">
            <v>记载撒谎布经历的碎片，集齐30个可合成撒谎布。</v>
          </cell>
          <cell r="H107" t="str">
            <v>hero_2d_2004</v>
          </cell>
        </row>
        <row r="108">
          <cell r="E108" t="str">
            <v>山智碎片</v>
          </cell>
          <cell r="F108" t="str">
            <v>山智碎片</v>
          </cell>
          <cell r="G108" t="str">
            <v>记载山智经历的碎片，集齐30个可合成山智。</v>
          </cell>
          <cell r="H108" t="str">
            <v>hero_2d_2005</v>
          </cell>
        </row>
        <row r="109">
          <cell r="E109" t="str">
            <v>乔巴碎片</v>
          </cell>
          <cell r="F109" t="str">
            <v>乔巴碎片</v>
          </cell>
          <cell r="G109" t="str">
            <v>记载乔巴经历的碎片，集齐30个可合成乔巴。</v>
          </cell>
          <cell r="H109" t="str">
            <v>hero_2d_2006</v>
          </cell>
        </row>
        <row r="110">
          <cell r="E110" t="str">
            <v>罗宾碎片</v>
          </cell>
          <cell r="F110" t="str">
            <v>罗宾碎片</v>
          </cell>
          <cell r="G110" t="str">
            <v>记载罗宾经历的碎片，集齐30个可合成罗宾。</v>
          </cell>
          <cell r="H110" t="str">
            <v>hero_2d_2007</v>
          </cell>
        </row>
        <row r="111">
          <cell r="E111" t="str">
            <v>弗兰奇碎片</v>
          </cell>
          <cell r="F111" t="str">
            <v>弗兰奇碎片</v>
          </cell>
          <cell r="G111" t="str">
            <v>记载弗兰奇经历的碎片，集齐30个可合成弗兰奇。</v>
          </cell>
          <cell r="H111" t="str">
            <v>hero_2d_2008</v>
          </cell>
        </row>
        <row r="112">
          <cell r="E112" t="str">
            <v>布鲁克碎片</v>
          </cell>
          <cell r="F112" t="str">
            <v>布鲁克碎片</v>
          </cell>
          <cell r="G112" t="str">
            <v>记载布鲁克经历的碎片，集齐30个可合成布鲁克。</v>
          </cell>
          <cell r="H112" t="str">
            <v>hero_2d_2009</v>
          </cell>
        </row>
        <row r="113">
          <cell r="E113" t="str">
            <v>巴基碎片</v>
          </cell>
          <cell r="F113" t="str">
            <v>巴奇碎片</v>
          </cell>
          <cell r="G113" t="str">
            <v>记载巴奇经历的碎片，集齐30个可合成巴奇。</v>
          </cell>
          <cell r="H113" t="str">
            <v>hero_2d_2010</v>
          </cell>
        </row>
        <row r="114">
          <cell r="E114" t="str">
            <v>斯摩格碎片</v>
          </cell>
          <cell r="F114" t="str">
            <v>烟鬼碎片</v>
          </cell>
          <cell r="G114" t="str">
            <v>记载烟鬼经历的碎片，集齐30个可合成烟鬼。</v>
          </cell>
          <cell r="H114" t="str">
            <v>hero_2d_2011</v>
          </cell>
        </row>
        <row r="115">
          <cell r="E115" t="str">
            <v>塔西琪碎片</v>
          </cell>
          <cell r="F115" t="str">
            <v>塔希米碎片</v>
          </cell>
          <cell r="G115" t="str">
            <v>记载塔希米经历的碎片，集齐30个可合成塔希米。</v>
          </cell>
          <cell r="H115" t="str">
            <v>hero_2d_2012</v>
          </cell>
        </row>
        <row r="116">
          <cell r="E116" t="str">
            <v>Mr.1碎片</v>
          </cell>
          <cell r="F116" t="str">
            <v>Mr.1碎片</v>
          </cell>
          <cell r="G116" t="str">
            <v>记载Mr.1经历的碎片，集齐30个可合成Mr.1。</v>
          </cell>
          <cell r="H116" t="str">
            <v>hero_2d_2013</v>
          </cell>
        </row>
        <row r="117">
          <cell r="E117" t="str">
            <v>Mr.2碎片</v>
          </cell>
          <cell r="F117" t="str">
            <v>Mr.2碎片</v>
          </cell>
          <cell r="G117" t="str">
            <v>记载Mr.2经历的碎片，集齐30个可合成Mr.2。</v>
          </cell>
          <cell r="H117" t="str">
            <v>hero_2d_2014</v>
          </cell>
        </row>
        <row r="118">
          <cell r="E118" t="str">
            <v>Mr.3碎片</v>
          </cell>
          <cell r="F118" t="str">
            <v>Mr.3碎片</v>
          </cell>
          <cell r="G118" t="str">
            <v>记载Mr.3经历的碎片，集齐30个可合成Mr.3。</v>
          </cell>
          <cell r="H118" t="str">
            <v>hero_2d_2015</v>
          </cell>
        </row>
        <row r="119">
          <cell r="E119" t="str">
            <v>Miss.双手指碎片</v>
          </cell>
          <cell r="F119" t="str">
            <v>Ms.双手指碎片</v>
          </cell>
          <cell r="G119" t="str">
            <v>记载Ms.双手指经历的碎片，集齐30个可合成Ms.双手指。</v>
          </cell>
          <cell r="H119" t="str">
            <v>hero_2d_2016</v>
          </cell>
        </row>
        <row r="120">
          <cell r="E120" t="str">
            <v>贝拉米碎片</v>
          </cell>
          <cell r="F120" t="str">
            <v>贝拉密碎片</v>
          </cell>
          <cell r="G120" t="str">
            <v>记载贝拉密经历的碎片，集齐30个可合成贝拉密。</v>
          </cell>
          <cell r="H120" t="str">
            <v>hero_2d_2017</v>
          </cell>
        </row>
        <row r="121">
          <cell r="E121" t="str">
            <v>瓦帕碎片</v>
          </cell>
          <cell r="F121" t="str">
            <v>瓦帕碎片</v>
          </cell>
          <cell r="G121" t="str">
            <v>记载瓦帕经历的碎片，集齐30个可合成瓦帕。</v>
          </cell>
          <cell r="H121" t="str">
            <v>hero_2d_2018</v>
          </cell>
        </row>
        <row r="122">
          <cell r="E122" t="str">
            <v>杰布拉碎片</v>
          </cell>
          <cell r="F122" t="str">
            <v>杰布拉碎片</v>
          </cell>
          <cell r="G122" t="str">
            <v>记载杰布拉经历的碎片，集齐30个可合成杰布拉。</v>
          </cell>
          <cell r="H122" t="str">
            <v>hero_2d_2019</v>
          </cell>
        </row>
        <row r="123">
          <cell r="E123" t="str">
            <v>佳妮法碎片</v>
          </cell>
          <cell r="F123" t="str">
            <v>佳妮法碎片</v>
          </cell>
          <cell r="G123" t="str">
            <v>记载佳妮法经历的碎片，集齐30个可合成佳妮法。</v>
          </cell>
          <cell r="H123" t="str">
            <v>hero_2d_2020</v>
          </cell>
        </row>
        <row r="124">
          <cell r="E124" t="str">
            <v>卡古碎片</v>
          </cell>
          <cell r="F124" t="str">
            <v>卡古碎片</v>
          </cell>
          <cell r="G124" t="str">
            <v>记载卡古经历的碎片，集齐30个可合成卡古。</v>
          </cell>
          <cell r="H124" t="str">
            <v>hero_2d_2021</v>
          </cell>
        </row>
        <row r="125">
          <cell r="E125" t="str">
            <v>罗布路奇碎片</v>
          </cell>
          <cell r="F125" t="str">
            <v>鲁兹碎片</v>
          </cell>
          <cell r="G125" t="str">
            <v>记载罗布·鲁兹经历的碎片，集齐30个可合成鲁兹。</v>
          </cell>
          <cell r="H125" t="str">
            <v>hero_2d_2022</v>
          </cell>
        </row>
        <row r="126">
          <cell r="E126" t="str">
            <v>阿布萨罗姆碎片</v>
          </cell>
          <cell r="F126" t="str">
            <v>阿布萨罗姆碎片</v>
          </cell>
          <cell r="G126" t="str">
            <v>记载阿布萨罗姆经历的碎片，集齐30个可合成阿布萨罗姆。</v>
          </cell>
          <cell r="H126" t="str">
            <v>hero_2d_2023</v>
          </cell>
        </row>
        <row r="127">
          <cell r="E127" t="str">
            <v>豪格巴克碎片</v>
          </cell>
          <cell r="F127" t="str">
            <v>豪格巴克碎片</v>
          </cell>
          <cell r="G127" t="str">
            <v>记载豪格巴克经历的碎片，集齐30个可合成豪格巴克。</v>
          </cell>
          <cell r="H127" t="str">
            <v>hero_2d_2024</v>
          </cell>
        </row>
        <row r="128">
          <cell r="E128" t="str">
            <v>佩罗娜碎片</v>
          </cell>
          <cell r="F128" t="str">
            <v>佩罗娜碎片</v>
          </cell>
          <cell r="G128" t="str">
            <v>记载佩罗娜经历的碎片，集齐30个可合成佩罗娜。</v>
          </cell>
          <cell r="H128" t="str">
            <v>hero_2d_2025</v>
          </cell>
        </row>
        <row r="129">
          <cell r="E129" t="str">
            <v>龙马碎片</v>
          </cell>
          <cell r="F129" t="str">
            <v>龙马碎片</v>
          </cell>
          <cell r="G129" t="str">
            <v>记载龙马经历的碎片，集齐30个可合成龙马。</v>
          </cell>
          <cell r="H129" t="str">
            <v>hero_2d_2026</v>
          </cell>
        </row>
        <row r="130">
          <cell r="E130" t="str">
            <v>贝宝碎片</v>
          </cell>
          <cell r="F130" t="str">
            <v>贝宝碎片</v>
          </cell>
          <cell r="G130" t="str">
            <v>记载贝宝经历的碎片，集齐30个可合成贝宝。</v>
          </cell>
          <cell r="H130" t="str">
            <v>hero_2d_2027</v>
          </cell>
        </row>
        <row r="131">
          <cell r="E131" t="str">
            <v>战桃丸碎片</v>
          </cell>
          <cell r="F131" t="str">
            <v>战桃丸碎片</v>
          </cell>
          <cell r="G131" t="str">
            <v>记载战桃丸经历的碎片，集齐50个可合成战桃丸。</v>
          </cell>
          <cell r="H131" t="str">
            <v>hero_2d_2028</v>
          </cell>
        </row>
        <row r="132">
          <cell r="E132" t="str">
            <v>克洛克达尔碎片</v>
          </cell>
          <cell r="F132" t="str">
            <v>沙·鳄鱼碎片</v>
          </cell>
          <cell r="G132" t="str">
            <v>记载沙·鳄鱼经历的碎片，集齐50个可合成沙·鳄鱼。</v>
          </cell>
          <cell r="H132" t="str">
            <v>hero_2d_3001</v>
          </cell>
        </row>
        <row r="133">
          <cell r="E133" t="str">
            <v>艾尼路碎片</v>
          </cell>
          <cell r="F133" t="str">
            <v>艾尼路碎片</v>
          </cell>
          <cell r="G133" t="str">
            <v>记载艾尼路经历的碎片，集齐50个可合成艾尼路。</v>
          </cell>
          <cell r="H133" t="str">
            <v>hero_2d_3002</v>
          </cell>
        </row>
        <row r="134">
          <cell r="E134" t="str">
            <v>青雉碎片</v>
          </cell>
          <cell r="F134" t="str">
            <v>青雉碎片</v>
          </cell>
          <cell r="G134" t="str">
            <v>记载青雉经历的碎片，集齐50个可合成青雉。</v>
          </cell>
          <cell r="H134" t="str">
            <v>hero_2d_3003</v>
          </cell>
        </row>
        <row r="135">
          <cell r="E135" t="str">
            <v>蒙奇·D·戈普碎片</v>
          </cell>
          <cell r="F135" t="str">
            <v>戈普碎片</v>
          </cell>
          <cell r="G135" t="str">
            <v>记载戈普经历的碎片，集齐50个可合成戈普。</v>
          </cell>
          <cell r="H135" t="str">
            <v>hero_2d_3004</v>
          </cell>
        </row>
        <row r="136">
          <cell r="E136" t="str">
            <v>月光·莫利亚碎片</v>
          </cell>
          <cell r="F136" t="str">
            <v>莫利亚碎片</v>
          </cell>
          <cell r="G136" t="str">
            <v>记载莫利亚经历的碎片，集齐50个可合成莫利亚。</v>
          </cell>
          <cell r="H136" t="str">
            <v>hero_2d_3005</v>
          </cell>
        </row>
        <row r="137">
          <cell r="E137" t="str">
            <v>大熊碎片</v>
          </cell>
          <cell r="F137" t="str">
            <v>大熊碎片</v>
          </cell>
          <cell r="G137" t="str">
            <v>记载大熊经历的碎片，集齐50个可合成大熊。</v>
          </cell>
          <cell r="H137" t="str">
            <v>hero_2d_3006</v>
          </cell>
        </row>
        <row r="138">
          <cell r="E138" t="str">
            <v>波尔萨利诺碎片</v>
          </cell>
          <cell r="F138" t="str">
            <v>黄猿碎片</v>
          </cell>
          <cell r="G138" t="str">
            <v>记载黄猿经历的碎片，集齐50个可合成黄猿。</v>
          </cell>
          <cell r="H138" t="str">
            <v>hero_2d_3007</v>
          </cell>
        </row>
        <row r="139">
          <cell r="E139" t="str">
            <v>波特夹斯·D·艾斯碎片</v>
          </cell>
          <cell r="F139" t="str">
            <v>艾斯碎片</v>
          </cell>
          <cell r="G139" t="str">
            <v>记载艾斯经历的碎片，集齐50个可合成艾斯。</v>
          </cell>
          <cell r="H139" t="str">
            <v>hero_2d_3008</v>
          </cell>
        </row>
        <row r="140">
          <cell r="E140" t="str">
            <v>萨卡斯基碎片</v>
          </cell>
          <cell r="F140" t="str">
            <v>赤犬碎片</v>
          </cell>
          <cell r="G140" t="str">
            <v>记载赤犬经历的碎片，集齐50个可合成赤犬。</v>
          </cell>
          <cell r="H140" t="str">
            <v>hero_2d_3009</v>
          </cell>
        </row>
        <row r="141">
          <cell r="E141" t="str">
            <v>杰拉基尔·米霍克碎片</v>
          </cell>
          <cell r="F141" t="str">
            <v>米霍克碎片</v>
          </cell>
          <cell r="G141" t="str">
            <v>记载米霍克经历的碎片，集齐50个可合成米霍克。</v>
          </cell>
          <cell r="H141" t="str">
            <v>hero_2d_3010</v>
          </cell>
        </row>
        <row r="142">
          <cell r="E142" t="str">
            <v>路奇碎片</v>
          </cell>
          <cell r="F142" t="str">
            <v>鲁兹碎片</v>
          </cell>
          <cell r="G142" t="str">
            <v>记载鲁兹经历的碎片，集齐50个可合成鲁兹。</v>
          </cell>
          <cell r="H142" t="str">
            <v>hero_2d_3011</v>
          </cell>
        </row>
        <row r="143">
          <cell r="E143" t="str">
            <v>甚平碎片</v>
          </cell>
          <cell r="F143" t="str">
            <v>甚平碎片</v>
          </cell>
          <cell r="G143" t="str">
            <v>记载甚平经历的碎片，集齐50个可合成甚平。</v>
          </cell>
          <cell r="H143" t="str">
            <v>hero_2d_3012</v>
          </cell>
        </row>
        <row r="144">
          <cell r="E144" t="str">
            <v>女帝碎片</v>
          </cell>
          <cell r="F144" t="str">
            <v>汉库珂碎片</v>
          </cell>
          <cell r="G144" t="str">
            <v>记载汉库珂经历的碎片，集齐50个可合成汉库珂。</v>
          </cell>
          <cell r="H144" t="str">
            <v>hero_2d_3013</v>
          </cell>
        </row>
        <row r="145">
          <cell r="E145" t="str">
            <v>罗碎片</v>
          </cell>
          <cell r="F145" t="str">
            <v>罗碎片</v>
          </cell>
          <cell r="G145" t="str">
            <v>记载罗经历的碎片，集齐50个可合成罗。</v>
          </cell>
          <cell r="H145" t="str">
            <v>hero_2d_3014</v>
          </cell>
        </row>
        <row r="146">
          <cell r="E146" t="str">
            <v>基德碎片</v>
          </cell>
          <cell r="F146" t="str">
            <v>基德碎片</v>
          </cell>
          <cell r="G146" t="str">
            <v>记载基德经历的碎片，集齐50个可合成基德。</v>
          </cell>
          <cell r="H146" t="str">
            <v>hero_2d_3015</v>
          </cell>
        </row>
        <row r="147">
          <cell r="E147" t="str">
            <v>雷利碎片</v>
          </cell>
          <cell r="F147" t="str">
            <v>雷利碎片</v>
          </cell>
          <cell r="G147" t="str">
            <v>记载雷利经历的碎片，集齐50个可合成雷利。</v>
          </cell>
          <cell r="H147" t="str">
            <v>hero_2d_3016</v>
          </cell>
        </row>
        <row r="148">
          <cell r="E148" t="str">
            <v>战国碎片</v>
          </cell>
          <cell r="F148" t="str">
            <v>战国碎片</v>
          </cell>
          <cell r="G148" t="str">
            <v>记载战国经历的碎片，集齐50个可合成战国。</v>
          </cell>
          <cell r="H148" t="str">
            <v>hero_2d_3017</v>
          </cell>
        </row>
        <row r="149">
          <cell r="E149" t="str">
            <v>麦哲伦碎片</v>
          </cell>
          <cell r="F149" t="str">
            <v>麦哲伦碎片</v>
          </cell>
          <cell r="G149" t="str">
            <v>记载麦哲伦经历的碎片，集齐50个可合成麦哲伦。</v>
          </cell>
          <cell r="H149" t="str">
            <v>hero_2d_3018</v>
          </cell>
        </row>
        <row r="150">
          <cell r="E150" t="str">
            <v>伊娃碎片</v>
          </cell>
          <cell r="F150" t="str">
            <v>伊娃科夫碎片</v>
          </cell>
          <cell r="G150" t="str">
            <v>记载伊娃科夫经历的碎片，集齐50个可合成伊娃科夫。</v>
          </cell>
          <cell r="H150" t="str">
            <v>hero_2d_3019</v>
          </cell>
        </row>
        <row r="151">
          <cell r="E151" t="str">
            <v>乔兹碎片</v>
          </cell>
          <cell r="F151" t="str">
            <v>乔兹碎片</v>
          </cell>
          <cell r="G151" t="str">
            <v>记载乔兹经历的碎片，集齐50个可合成乔兹。</v>
          </cell>
          <cell r="H151" t="str">
            <v>hero_2d_3020</v>
          </cell>
        </row>
        <row r="152">
          <cell r="E152" t="str">
            <v>白胡子碎片</v>
          </cell>
          <cell r="F152" t="str">
            <v>白胡子碎片</v>
          </cell>
          <cell r="G152" t="str">
            <v>记载白胡子经历的碎片，集齐50个可合成白胡子。</v>
          </cell>
          <cell r="H152" t="str">
            <v>hero_2d_3021</v>
          </cell>
        </row>
        <row r="153">
          <cell r="E153" t="str">
            <v>马尔高碎片</v>
          </cell>
          <cell r="F153" t="str">
            <v>马尔高碎片</v>
          </cell>
          <cell r="G153" t="str">
            <v>记载马尔高经历的碎片，集齐50个可合成马尔高。</v>
          </cell>
          <cell r="H153" t="str">
            <v>hero_2d_3022</v>
          </cell>
        </row>
        <row r="154">
          <cell r="E154" t="str">
            <v>比斯塔碎片</v>
          </cell>
          <cell r="F154" t="str">
            <v>比斯塔碎片</v>
          </cell>
          <cell r="G154" t="str">
            <v>记载比斯塔经历的碎片，集齐50个可合成比斯塔。</v>
          </cell>
          <cell r="H154" t="str">
            <v>hero_2d_3023</v>
          </cell>
        </row>
        <row r="155">
          <cell r="E155" t="str">
            <v>杰克斯碎片</v>
          </cell>
          <cell r="F155" t="str">
            <v>杰克斯碎片</v>
          </cell>
          <cell r="G155" t="str">
            <v>记载杰克斯经历的碎片，集齐50个可合成杰克斯。</v>
          </cell>
          <cell r="H155" t="str">
            <v>hero_2d_3024</v>
          </cell>
        </row>
        <row r="156">
          <cell r="E156" t="str">
            <v>撒谎布碎片</v>
          </cell>
          <cell r="F156" t="str">
            <v>新世界撒谎布碎片</v>
          </cell>
          <cell r="G156" t="str">
            <v>记载新世界撒谎布经历的碎片，集齐50个可合成新世界撒谎布。</v>
          </cell>
          <cell r="H156" t="str">
            <v>hero_2d_3025</v>
          </cell>
        </row>
        <row r="157">
          <cell r="E157" t="str">
            <v>新世界佐罗碎片</v>
          </cell>
          <cell r="F157" t="str">
            <v>新世界佐罗碎片</v>
          </cell>
          <cell r="G157" t="str">
            <v>记载新世界佐罗经历的碎片，集齐50个可合成新世界佐罗。</v>
          </cell>
          <cell r="H157" t="str">
            <v>hero_2d_3026</v>
          </cell>
        </row>
        <row r="158">
          <cell r="E158" t="str">
            <v>黑胡子碎片</v>
          </cell>
          <cell r="F158" t="str">
            <v>黑胡子碎片</v>
          </cell>
          <cell r="G158" t="str">
            <v>记载黑胡子经历的碎片，集齐50个可合成黑胡子。</v>
          </cell>
          <cell r="H158" t="str">
            <v>hero_2d_3027</v>
          </cell>
        </row>
        <row r="159">
          <cell r="E159" t="str">
            <v>新世界奈美</v>
          </cell>
          <cell r="F159" t="str">
            <v>新世界奈美碎片</v>
          </cell>
          <cell r="G159" t="str">
            <v>记载新世界奈美经历的碎片，集齐50个可合成新世界奈美。</v>
          </cell>
          <cell r="H159" t="str">
            <v>hero_2d_3028</v>
          </cell>
        </row>
        <row r="160">
          <cell r="E160" t="str">
            <v>新世界罗宾</v>
          </cell>
          <cell r="F160" t="str">
            <v>新世界罗宾碎片</v>
          </cell>
          <cell r="G160" t="str">
            <v>记载新世界罗宾经历的碎片，集齐50个可合成新世界罗宾。</v>
          </cell>
          <cell r="H160" t="str">
            <v>hero_2d_3029</v>
          </cell>
        </row>
        <row r="161">
          <cell r="E161" t="str">
            <v>多弗拉门戈</v>
          </cell>
          <cell r="F161" t="str">
            <v>多弗拉门戈碎片</v>
          </cell>
          <cell r="G161" t="str">
            <v>记载多弗拉门戈经历的碎片，集齐50个可合成多弗拉门戈。</v>
          </cell>
          <cell r="H161" t="str">
            <v>hero_2d_3030</v>
          </cell>
        </row>
        <row r="162">
          <cell r="E162" t="str">
            <v>新世界路飞碎片</v>
          </cell>
          <cell r="F162" t="str">
            <v>新世界路飞碎片</v>
          </cell>
          <cell r="G162" t="str">
            <v>记载新世界路飞经历的碎片，集齐50个可合成新世界路飞。</v>
          </cell>
          <cell r="H162" t="str">
            <v>hero_2d_3031</v>
          </cell>
        </row>
        <row r="163">
          <cell r="E163" t="str">
            <v>新世界烟鬼</v>
          </cell>
          <cell r="F163" t="str">
            <v>新世界烟鬼碎片</v>
          </cell>
          <cell r="G163" t="str">
            <v>记载新世界烟鬼经历的碎片，集齐50个可合成新世界烟鬼。</v>
          </cell>
          <cell r="H163" t="str">
            <v>hero_2d_3032</v>
          </cell>
        </row>
        <row r="164">
          <cell r="E164" t="str">
            <v>新世界塔希米</v>
          </cell>
          <cell r="F164" t="str">
            <v>新世界塔希米碎片</v>
          </cell>
          <cell r="G164" t="str">
            <v>记载新世界塔希米经历的碎片，集齐50个可合成新世界塔希米。</v>
          </cell>
          <cell r="H164" t="str">
            <v>hero_2d_3033</v>
          </cell>
        </row>
        <row r="165">
          <cell r="H165" t="str">
            <v>hero_2d_1001</v>
          </cell>
        </row>
        <row r="166">
          <cell r="E166" t="str">
            <v>新世界弗兰奇</v>
          </cell>
          <cell r="F166" t="str">
            <v>新世界弗兰奇碎片</v>
          </cell>
          <cell r="G166" t="str">
            <v>记载新世界弗兰奇经历的碎片，集齐50个可合成新世界弗兰奇。</v>
          </cell>
          <cell r="H166" t="str">
            <v>hero_2d_3035</v>
          </cell>
        </row>
        <row r="167">
          <cell r="E167" t="str">
            <v>新世界布鲁克</v>
          </cell>
          <cell r="F167" t="str">
            <v>新世界布鲁克碎片</v>
          </cell>
          <cell r="G167" t="str">
            <v>记载新世界布鲁克经历的碎片，集齐50个可合成新世界布鲁克。</v>
          </cell>
          <cell r="H167" t="str">
            <v>hero_2d_3036</v>
          </cell>
        </row>
        <row r="168">
          <cell r="E168" t="str">
            <v>新世界山智</v>
          </cell>
          <cell r="F168" t="str">
            <v>新世界山智碎片</v>
          </cell>
          <cell r="G168" t="str">
            <v>记载新世界山智经历的碎片，集齐50个可合成新世界山智。</v>
          </cell>
          <cell r="H168" t="str">
            <v>hero_2d_3037</v>
          </cell>
        </row>
        <row r="169">
          <cell r="E169" t="str">
            <v>新世界乔巴</v>
          </cell>
          <cell r="F169" t="str">
            <v>新世界乔巴碎片</v>
          </cell>
          <cell r="G169" t="str">
            <v>记载新世界乔巴经历的碎片，集齐50个可合成新世界乔巴。</v>
          </cell>
          <cell r="H169" t="str">
            <v>hero_2d_3038</v>
          </cell>
        </row>
        <row r="170">
          <cell r="E170" t="str">
            <v>新世界罗</v>
          </cell>
          <cell r="F170" t="str">
            <v>新世界罗碎片</v>
          </cell>
          <cell r="G170" t="str">
            <v>记载新世界罗经历的碎片，集齐50个可合成新世界罗。</v>
          </cell>
          <cell r="H170" t="str">
            <v>hero_2d_3039</v>
          </cell>
        </row>
        <row r="171">
          <cell r="E171" t="str">
            <v>藤虎</v>
          </cell>
          <cell r="F171" t="str">
            <v>藤虎碎片</v>
          </cell>
          <cell r="G171" t="str">
            <v>记载藤虎经历的碎片，集齐50个可合成藤虎。</v>
          </cell>
          <cell r="H171" t="str">
            <v>hero_2d_3043</v>
          </cell>
        </row>
        <row r="172">
          <cell r="H172" t="str">
            <v>hero_2d_1001</v>
          </cell>
        </row>
        <row r="173">
          <cell r="E173" t="str">
            <v>精准之阵</v>
          </cell>
          <cell r="F173" t="str">
            <v>精准之阵</v>
          </cell>
          <cell r="G173" t="str">
            <v>记载精准之阵奇妙信息的图纸，使用后可以学习精准之阵。</v>
          </cell>
          <cell r="H173" t="str">
            <v>item_233007</v>
          </cell>
        </row>
        <row r="174">
          <cell r="E174" t="str">
            <v>会心之阵</v>
          </cell>
          <cell r="F174" t="str">
            <v>会心之阵</v>
          </cell>
          <cell r="G174" t="str">
            <v>记载会心之阵奇妙信息的图纸，使用后可以学习会心之阵。</v>
          </cell>
          <cell r="H174" t="str">
            <v>item_233008</v>
          </cell>
        </row>
        <row r="175">
          <cell r="E175" t="str">
            <v>平静之阵</v>
          </cell>
          <cell r="F175" t="str">
            <v>平静之阵</v>
          </cell>
          <cell r="G175" t="str">
            <v>记载平静之阵奇妙信息的图纸，使用后可以学习平静之阵。</v>
          </cell>
          <cell r="H175" t="str">
            <v>item_233009</v>
          </cell>
        </row>
        <row r="176">
          <cell r="E176" t="str">
            <v>疾行之阵</v>
          </cell>
          <cell r="F176" t="str">
            <v>疾行之阵</v>
          </cell>
          <cell r="G176" t="str">
            <v>记载疾行之阵奇妙信息的图纸，使用后可以学习疾行之阵。</v>
          </cell>
          <cell r="H176" t="str">
            <v>item_233010</v>
          </cell>
        </row>
        <row r="177">
          <cell r="E177" t="str">
            <v>治愈之阵</v>
          </cell>
          <cell r="F177" t="str">
            <v>治愈之阵</v>
          </cell>
          <cell r="G177" t="str">
            <v>记载治愈之阵奇妙信息的图纸，使用后可以学习治愈之阵。</v>
          </cell>
          <cell r="H177" t="str">
            <v>item_233011</v>
          </cell>
        </row>
        <row r="178">
          <cell r="E178" t="str">
            <v>沉稳之阵</v>
          </cell>
          <cell r="F178" t="str">
            <v>沉稳之阵</v>
          </cell>
          <cell r="G178" t="str">
            <v>记载沉稳之阵奇妙信息的图纸，使用后可以学习沉稳之阵。</v>
          </cell>
          <cell r="H178" t="str">
            <v>item_233012</v>
          </cell>
        </row>
        <row r="179">
          <cell r="E179" t="str">
            <v>狂怒之阵</v>
          </cell>
          <cell r="F179" t="str">
            <v>狂怒之阵</v>
          </cell>
          <cell r="G179" t="str">
            <v>记载狂怒之阵奇妙信息的图纸，使用后可以学习狂怒之阵。</v>
          </cell>
          <cell r="H179" t="str">
            <v>item_233013</v>
          </cell>
        </row>
        <row r="180">
          <cell r="E180" t="str">
            <v>壁垒之阵</v>
          </cell>
          <cell r="F180" t="str">
            <v>壁垒之阵</v>
          </cell>
          <cell r="G180" t="str">
            <v>记载壁垒之阵奇妙信息的图纸，使用后可以学习壁垒之阵。</v>
          </cell>
          <cell r="H180" t="str">
            <v>item_233014</v>
          </cell>
        </row>
        <row r="181">
          <cell r="E181" t="str">
            <v>激励之阵</v>
          </cell>
          <cell r="F181" t="str">
            <v>激励之阵</v>
          </cell>
          <cell r="G181" t="str">
            <v>记载激励之阵奇妙信息的图纸，使用后可以学习激励之阵。</v>
          </cell>
          <cell r="H181" t="str">
            <v>item_233015</v>
          </cell>
        </row>
        <row r="182">
          <cell r="E182" t="str">
            <v>战魂之阵</v>
          </cell>
          <cell r="F182" t="str">
            <v>战魂之阵</v>
          </cell>
          <cell r="G182" t="str">
            <v>记载战魂之阵奇妙信息的图纸，使用后可以学习战魂之阵。</v>
          </cell>
          <cell r="H182" t="str">
            <v>item_233016</v>
          </cell>
        </row>
        <row r="183">
          <cell r="E183" t="str">
            <v>突袭之阵</v>
          </cell>
          <cell r="F183" t="str">
            <v>突袭之阵</v>
          </cell>
          <cell r="G183" t="str">
            <v>记载突袭之阵奇妙信息的图纸，使用后可以学习突袭之阵。</v>
          </cell>
          <cell r="H183" t="str">
            <v>item_233017</v>
          </cell>
        </row>
        <row r="184">
          <cell r="E184" t="str">
            <v>对决之阵</v>
          </cell>
          <cell r="F184" t="str">
            <v>对决之阵</v>
          </cell>
          <cell r="G184" t="str">
            <v>记载对决之阵奇妙信息的图纸，使用后可以学习对决之阵。</v>
          </cell>
          <cell r="H184" t="str">
            <v>item_233018</v>
          </cell>
        </row>
        <row r="185">
          <cell r="E185" t="str">
            <v>极护之阵</v>
          </cell>
          <cell r="F185" t="str">
            <v>极护之阵</v>
          </cell>
          <cell r="G185" t="str">
            <v>记载极护之阵奇妙信息的图纸，使用后可以学习极护之阵。</v>
          </cell>
          <cell r="H185" t="str">
            <v>item_233019</v>
          </cell>
        </row>
        <row r="186">
          <cell r="E186" t="str">
            <v>精锐之阵</v>
          </cell>
          <cell r="F186" t="str">
            <v>精锐之阵</v>
          </cell>
          <cell r="G186" t="str">
            <v>记载精锐之阵奇妙信息的图纸，使用后可以学习精锐之阵。</v>
          </cell>
          <cell r="H186" t="str">
            <v>item_233020</v>
          </cell>
        </row>
        <row r="187">
          <cell r="E187" t="str">
            <v>凶恶之阵</v>
          </cell>
          <cell r="F187" t="str">
            <v>凶恶之阵</v>
          </cell>
          <cell r="G187" t="str">
            <v>记载凶恶之阵奇妙信息的图纸，使用后可以学习凶恶之阵。</v>
          </cell>
          <cell r="H187" t="str">
            <v>item_233021</v>
          </cell>
        </row>
        <row r="188">
          <cell r="E188" t="str">
            <v>欢欣之阵</v>
          </cell>
          <cell r="F188" t="str">
            <v>欢欣之阵</v>
          </cell>
          <cell r="G188" t="str">
            <v>记载欢欣之阵奇妙信息的图纸，使用后可以学习欢欣之阵。</v>
          </cell>
          <cell r="H188" t="str">
            <v>item_233022</v>
          </cell>
        </row>
        <row r="189">
          <cell r="E189" t="str">
            <v>猎手之阵</v>
          </cell>
          <cell r="F189" t="str">
            <v>猎手之阵</v>
          </cell>
          <cell r="G189" t="str">
            <v>记载猎手之阵奇妙信息的图纸，使用后可以学习猎手之阵。</v>
          </cell>
          <cell r="H189" t="str">
            <v>item_233023</v>
          </cell>
        </row>
        <row r="190">
          <cell r="E190" t="str">
            <v>灵性之阵</v>
          </cell>
          <cell r="F190" t="str">
            <v>灵性之阵</v>
          </cell>
          <cell r="G190" t="str">
            <v>记载灵性之阵奇妙信息的图纸，使用后可以学习灵性之阵。</v>
          </cell>
          <cell r="H190" t="str">
            <v>item_233024</v>
          </cell>
        </row>
        <row r="191">
          <cell r="E191" t="str">
            <v>虚无之阵</v>
          </cell>
          <cell r="F191" t="str">
            <v>虚无之阵</v>
          </cell>
          <cell r="G191" t="str">
            <v>记载虚无之阵奇妙信息的图纸，使用后可以学习虚无之阵。</v>
          </cell>
          <cell r="H191" t="str">
            <v>item_233025</v>
          </cell>
        </row>
        <row r="192">
          <cell r="E192" t="str">
            <v>凛冬之阵</v>
          </cell>
          <cell r="F192" t="str">
            <v>凛冬之阵</v>
          </cell>
          <cell r="G192" t="str">
            <v>记载凛冬之阵奇妙信息的图纸，使用后可以学习凛冬之阵。</v>
          </cell>
          <cell r="H192" t="str">
            <v>item_233026</v>
          </cell>
        </row>
        <row r="193">
          <cell r="E193" t="str">
            <v>雷炎之阵</v>
          </cell>
          <cell r="F193" t="str">
            <v>雷炎之阵</v>
          </cell>
          <cell r="G193" t="str">
            <v>记载雷炎之阵奇妙信息的图纸，使用后可以学习雷炎之阵。</v>
          </cell>
          <cell r="H193" t="str">
            <v>item_233027</v>
          </cell>
        </row>
        <row r="194">
          <cell r="E194" t="str">
            <v>曙光之阵</v>
          </cell>
          <cell r="F194" t="str">
            <v>曙光之阵</v>
          </cell>
          <cell r="G194" t="str">
            <v>记载曙光之阵奇妙信息的图纸，使用后可以学习曙光之阵。</v>
          </cell>
          <cell r="H194" t="str">
            <v>item_233028</v>
          </cell>
        </row>
        <row r="195">
          <cell r="E195" t="str">
            <v>防护之阵</v>
          </cell>
          <cell r="F195" t="str">
            <v>防护之阵</v>
          </cell>
          <cell r="G195" t="str">
            <v>记载防护之阵奇妙信息的图纸，使用后可以学习防护之阵。</v>
          </cell>
          <cell r="H195" t="str">
            <v>item_233029</v>
          </cell>
        </row>
        <row r="196">
          <cell r="E196" t="str">
            <v>冲击之阵</v>
          </cell>
          <cell r="F196" t="str">
            <v>冲击之阵</v>
          </cell>
          <cell r="G196" t="str">
            <v>记载冲击之阵奇妙信息的图纸，使用后可以学习冲击之阵。</v>
          </cell>
          <cell r="H196" t="str">
            <v>item_233030</v>
          </cell>
        </row>
        <row r="197">
          <cell r="E197" t="str">
            <v>进击之阵</v>
          </cell>
          <cell r="F197" t="str">
            <v>进击之阵</v>
          </cell>
          <cell r="G197" t="str">
            <v>记载进击之阵奇妙信息的图纸，使用后可以学习进击之阵。</v>
          </cell>
          <cell r="H197" t="str">
            <v>item_233031</v>
          </cell>
        </row>
        <row r="198">
          <cell r="E198" t="str">
            <v>元素之阵</v>
          </cell>
          <cell r="F198" t="str">
            <v>元素之阵</v>
          </cell>
          <cell r="G198" t="str">
            <v>记载元素之阵奇妙信息的图纸，使用后可以学习元素之阵。</v>
          </cell>
          <cell r="H198" t="str">
            <v>item_233032</v>
          </cell>
        </row>
        <row r="199">
          <cell r="E199" t="str">
            <v>专注之阵</v>
          </cell>
          <cell r="F199" t="str">
            <v>专注之阵</v>
          </cell>
          <cell r="G199" t="str">
            <v>记载专注之阵奇妙信息的图纸，使用后可以学习专注之阵。</v>
          </cell>
          <cell r="H199" t="str">
            <v>item_233033</v>
          </cell>
        </row>
        <row r="200">
          <cell r="E200" t="str">
            <v>激进之阵</v>
          </cell>
          <cell r="F200" t="str">
            <v>激进之阵</v>
          </cell>
          <cell r="G200" t="str">
            <v>记载激进之阵奇妙信息的图纸，使用后可以学习激进之阵。</v>
          </cell>
          <cell r="H200" t="str">
            <v>item_233034</v>
          </cell>
        </row>
        <row r="201">
          <cell r="E201" t="str">
            <v>冥想之阵</v>
          </cell>
          <cell r="F201" t="str">
            <v>冥想之阵</v>
          </cell>
          <cell r="G201" t="str">
            <v>记载冥想之阵奇妙信息的图纸，使用后可以学习冥想之阵。</v>
          </cell>
          <cell r="H201" t="str">
            <v>item_233035</v>
          </cell>
        </row>
        <row r="202">
          <cell r="E202" t="str">
            <v>急速之阵</v>
          </cell>
          <cell r="F202" t="str">
            <v>急速之阵</v>
          </cell>
          <cell r="G202" t="str">
            <v>记载急速之阵奇妙信息的图纸，使用后可以学习急速之阵。</v>
          </cell>
          <cell r="H202" t="str">
            <v>item_233036</v>
          </cell>
        </row>
        <row r="203">
          <cell r="E203" t="str">
            <v>争霸之阵</v>
          </cell>
          <cell r="F203" t="str">
            <v>争霸之阵</v>
          </cell>
          <cell r="G203" t="str">
            <v>记载争霸之阵奇妙信息的图纸，使用后可以学习争霸之阵。</v>
          </cell>
          <cell r="H203" t="str">
            <v>item_233033</v>
          </cell>
        </row>
        <row r="204">
          <cell r="E204" t="str">
            <v>守护之阵</v>
          </cell>
          <cell r="F204" t="str">
            <v>守护之阵</v>
          </cell>
          <cell r="G204" t="str">
            <v>记载守护之阵奇妙信息的图纸，使用后可以学习守护之阵。</v>
          </cell>
          <cell r="H204" t="str">
            <v>item_233034</v>
          </cell>
        </row>
        <row r="205">
          <cell r="E205" t="str">
            <v>御敌之阵</v>
          </cell>
          <cell r="F205" t="str">
            <v>御敌之阵</v>
          </cell>
          <cell r="G205" t="str">
            <v>记载御敌之阵奇妙信息的图纸，使用后可以学习御敌之阵。</v>
          </cell>
          <cell r="H205" t="str">
            <v>item_233035</v>
          </cell>
        </row>
        <row r="206">
          <cell r="E206" t="str">
            <v>勇者之阵</v>
          </cell>
          <cell r="F206" t="str">
            <v>勇者之阵</v>
          </cell>
          <cell r="G206" t="str">
            <v>记载勇者之阵奇妙信息的图纸，使用后可以学习勇者之阵。</v>
          </cell>
          <cell r="H206" t="str">
            <v>item_233036</v>
          </cell>
        </row>
        <row r="207">
          <cell r="E207" t="str">
            <v>1级生命训练书</v>
          </cell>
          <cell r="F207" t="str">
            <v>生命训练书</v>
          </cell>
          <cell r="G207" t="str">
            <v>1级生命训练材料，用于角色生命训练。</v>
          </cell>
          <cell r="H207" t="str">
            <v>item_211018</v>
          </cell>
        </row>
        <row r="208">
          <cell r="E208" t="str">
            <v>2级生命训练书</v>
          </cell>
          <cell r="F208" t="str">
            <v>生命训练书</v>
          </cell>
          <cell r="G208" t="str">
            <v>2级生命训练材料，用于角色生命训练。</v>
          </cell>
          <cell r="H208" t="str">
            <v>item_211018</v>
          </cell>
        </row>
        <row r="209">
          <cell r="E209" t="str">
            <v>3级生命训练书</v>
          </cell>
          <cell r="F209" t="str">
            <v>生命训练书</v>
          </cell>
          <cell r="G209" t="str">
            <v>3级生命训练材料，用于角色生命训练。</v>
          </cell>
          <cell r="H209" t="str">
            <v>item_211018</v>
          </cell>
        </row>
        <row r="210">
          <cell r="E210" t="str">
            <v>4级生命训练书</v>
          </cell>
          <cell r="F210" t="str">
            <v>生命训练书</v>
          </cell>
          <cell r="G210" t="str">
            <v>4级生命训练材料，用于角色生命训练。</v>
          </cell>
          <cell r="H210" t="str">
            <v>item_211018</v>
          </cell>
        </row>
        <row r="211">
          <cell r="E211" t="str">
            <v>5级生命训练书</v>
          </cell>
          <cell r="F211" t="str">
            <v>生命训练书</v>
          </cell>
          <cell r="G211" t="str">
            <v>5级生命训练材料，用于角色生命训练。</v>
          </cell>
          <cell r="H211" t="str">
            <v>item_214018</v>
          </cell>
        </row>
        <row r="212">
          <cell r="E212" t="str">
            <v>6级生命训练书</v>
          </cell>
          <cell r="F212" t="str">
            <v>生命训练书</v>
          </cell>
          <cell r="G212" t="str">
            <v>6级生命训练材料，用于角色生命训练。</v>
          </cell>
          <cell r="H212" t="str">
            <v>item_214018</v>
          </cell>
        </row>
        <row r="213">
          <cell r="E213" t="str">
            <v>7级生命训练书</v>
          </cell>
          <cell r="F213" t="str">
            <v>生命训练书</v>
          </cell>
          <cell r="G213" t="str">
            <v>7级生命训练材料，用于角色生命训练。</v>
          </cell>
          <cell r="H213" t="str">
            <v>item_217018</v>
          </cell>
        </row>
        <row r="214">
          <cell r="E214" t="str">
            <v>8级生命训练书</v>
          </cell>
          <cell r="F214" t="str">
            <v>生命训练书</v>
          </cell>
          <cell r="G214" t="str">
            <v>8级生命训练材料，用于角色生命训练。</v>
          </cell>
          <cell r="H214" t="str">
            <v>item_217018</v>
          </cell>
        </row>
        <row r="215">
          <cell r="E215" t="str">
            <v>9级生命训练书</v>
          </cell>
          <cell r="F215" t="str">
            <v>生命训练书</v>
          </cell>
          <cell r="G215" t="str">
            <v>9级生命训练材料，用于角色生命训练。</v>
          </cell>
          <cell r="H215" t="str">
            <v>item_219018</v>
          </cell>
        </row>
        <row r="216">
          <cell r="E216" t="str">
            <v>10级生命训练书</v>
          </cell>
          <cell r="F216" t="str">
            <v>生命训练书</v>
          </cell>
          <cell r="G216" t="str">
            <v>10级生命训练材料，用于角色生命训练。</v>
          </cell>
          <cell r="H216" t="str">
            <v>item_219018</v>
          </cell>
        </row>
        <row r="217">
          <cell r="E217" t="str">
            <v>11级生命训练书</v>
          </cell>
          <cell r="F217" t="str">
            <v>生命训练书</v>
          </cell>
          <cell r="G217" t="str">
            <v>11级生命训练材料，用于角色生命训练。</v>
          </cell>
          <cell r="H217" t="str">
            <v>item_219018</v>
          </cell>
        </row>
        <row r="218">
          <cell r="E218" t="str">
            <v>12级生命训练书</v>
          </cell>
          <cell r="F218" t="str">
            <v>生命训练书</v>
          </cell>
          <cell r="G218" t="str">
            <v>12级生命训练材料，用于角色生命训练。</v>
          </cell>
          <cell r="H218" t="str">
            <v>item_219018</v>
          </cell>
        </row>
        <row r="219">
          <cell r="E219" t="str">
            <v>13级生命训练书</v>
          </cell>
          <cell r="F219" t="str">
            <v>生命训练书</v>
          </cell>
          <cell r="G219" t="str">
            <v>13级生命训练材料，用于角色生命训练。</v>
          </cell>
          <cell r="H219" t="str">
            <v>item_219018</v>
          </cell>
        </row>
        <row r="220">
          <cell r="E220" t="str">
            <v>14级生命训练书</v>
          </cell>
          <cell r="F220" t="str">
            <v>生命训练书</v>
          </cell>
          <cell r="G220" t="str">
            <v>14级生命训练材料，用于角色生命训练。</v>
          </cell>
          <cell r="H220" t="str">
            <v>item_219018</v>
          </cell>
        </row>
        <row r="221">
          <cell r="E221" t="str">
            <v>15级生命训练书</v>
          </cell>
          <cell r="F221" t="str">
            <v>生命训练书</v>
          </cell>
          <cell r="G221" t="str">
            <v>15级生命训练材料，用于角色生命训练。</v>
          </cell>
          <cell r="H221" t="str">
            <v>item_219018</v>
          </cell>
        </row>
        <row r="222">
          <cell r="E222" t="str">
            <v>1级防御训练书</v>
          </cell>
          <cell r="F222" t="str">
            <v>防御训练书</v>
          </cell>
          <cell r="G222" t="str">
            <v>1级防御训练材料，用于角色防御训练。</v>
          </cell>
          <cell r="H222" t="str">
            <v>item_211019</v>
          </cell>
        </row>
        <row r="223">
          <cell r="E223" t="str">
            <v>2级防御训练书</v>
          </cell>
          <cell r="F223" t="str">
            <v>防御训练书</v>
          </cell>
          <cell r="G223" t="str">
            <v>2级防御训练材料，用于角色防御训练。</v>
          </cell>
          <cell r="H223" t="str">
            <v>item_211019</v>
          </cell>
        </row>
        <row r="224">
          <cell r="E224" t="str">
            <v>3级防御训练书</v>
          </cell>
          <cell r="F224" t="str">
            <v>防御训练书</v>
          </cell>
          <cell r="G224" t="str">
            <v>3级防御训练材料，用于角色防御训练。</v>
          </cell>
          <cell r="H224" t="str">
            <v>item_211019</v>
          </cell>
        </row>
        <row r="225">
          <cell r="E225" t="str">
            <v>4级防御训练书</v>
          </cell>
          <cell r="F225" t="str">
            <v>防御训练书</v>
          </cell>
          <cell r="G225" t="str">
            <v>4级防御训练材料，用于角色防御训练。</v>
          </cell>
          <cell r="H225" t="str">
            <v>item_211019</v>
          </cell>
        </row>
        <row r="226">
          <cell r="E226" t="str">
            <v>5级防御训练书</v>
          </cell>
          <cell r="F226" t="str">
            <v>防御训练书</v>
          </cell>
          <cell r="G226" t="str">
            <v>5级防御训练材料，用于角色防御训练。</v>
          </cell>
          <cell r="H226" t="str">
            <v>item_214019</v>
          </cell>
        </row>
        <row r="227">
          <cell r="E227" t="str">
            <v>6级防御训练书</v>
          </cell>
          <cell r="F227" t="str">
            <v>防御训练书</v>
          </cell>
          <cell r="G227" t="str">
            <v>6级防御训练材料，用于角色防御训练。</v>
          </cell>
          <cell r="H227" t="str">
            <v>item_214019</v>
          </cell>
        </row>
        <row r="228">
          <cell r="E228" t="str">
            <v>7级防御训练书</v>
          </cell>
          <cell r="F228" t="str">
            <v>防御训练书</v>
          </cell>
          <cell r="G228" t="str">
            <v>7级防御训练材料，用于角色防御训练。</v>
          </cell>
          <cell r="H228" t="str">
            <v>item_217019</v>
          </cell>
        </row>
        <row r="229">
          <cell r="E229" t="str">
            <v>8级防御训练书</v>
          </cell>
          <cell r="F229" t="str">
            <v>防御训练书</v>
          </cell>
          <cell r="G229" t="str">
            <v>8级防御训练材料，用于角色防御训练。</v>
          </cell>
          <cell r="H229" t="str">
            <v>item_217019</v>
          </cell>
        </row>
        <row r="230">
          <cell r="E230" t="str">
            <v>9级防御训练书</v>
          </cell>
          <cell r="F230" t="str">
            <v>防御训练书</v>
          </cell>
          <cell r="G230" t="str">
            <v>9级防御训练材料，用于角色防御训练。</v>
          </cell>
          <cell r="H230" t="str">
            <v>item_219019</v>
          </cell>
        </row>
        <row r="231">
          <cell r="E231" t="str">
            <v>10级防御训练书</v>
          </cell>
          <cell r="F231" t="str">
            <v>防御训练书</v>
          </cell>
          <cell r="G231" t="str">
            <v>10级防御训练材料，用于角色防御训练。</v>
          </cell>
          <cell r="H231" t="str">
            <v>item_219019</v>
          </cell>
        </row>
        <row r="232">
          <cell r="E232" t="str">
            <v>11级防御训练书</v>
          </cell>
          <cell r="F232" t="str">
            <v>防御训练书</v>
          </cell>
          <cell r="G232" t="str">
            <v>11级防御训练材料，用于角色防御训练。</v>
          </cell>
          <cell r="H232" t="str">
            <v>item_219019</v>
          </cell>
        </row>
        <row r="233">
          <cell r="E233" t="str">
            <v>12级防御训练书</v>
          </cell>
          <cell r="F233" t="str">
            <v>防御训练书</v>
          </cell>
          <cell r="G233" t="str">
            <v>12级防御训练材料，用于角色防御训练。</v>
          </cell>
          <cell r="H233" t="str">
            <v>item_219019</v>
          </cell>
        </row>
        <row r="234">
          <cell r="E234" t="str">
            <v>13级防御训练书</v>
          </cell>
          <cell r="F234" t="str">
            <v>防御训练书</v>
          </cell>
          <cell r="G234" t="str">
            <v>13级防御训练材料，用于角色防御训练。</v>
          </cell>
          <cell r="H234" t="str">
            <v>item_219019</v>
          </cell>
        </row>
        <row r="235">
          <cell r="E235" t="str">
            <v>14级防御训练书</v>
          </cell>
          <cell r="F235" t="str">
            <v>防御训练书</v>
          </cell>
          <cell r="G235" t="str">
            <v>14级防御训练材料，用于角色防御训练。</v>
          </cell>
          <cell r="H235" t="str">
            <v>item_219019</v>
          </cell>
        </row>
        <row r="236">
          <cell r="E236" t="str">
            <v>15级防御训练书</v>
          </cell>
          <cell r="F236" t="str">
            <v>防御训练书</v>
          </cell>
          <cell r="G236" t="str">
            <v>15级防御训练材料，用于角色防御训练。</v>
          </cell>
          <cell r="H236" t="str">
            <v>item_219019</v>
          </cell>
        </row>
        <row r="237">
          <cell r="E237" t="str">
            <v>1级攻击训练书</v>
          </cell>
          <cell r="F237" t="str">
            <v>攻击训练书</v>
          </cell>
          <cell r="G237" t="str">
            <v>1级攻击训练材料，用于角色攻击训练。</v>
          </cell>
          <cell r="H237" t="str">
            <v>item_211020</v>
          </cell>
        </row>
        <row r="238">
          <cell r="E238" t="str">
            <v>2级攻击训练书</v>
          </cell>
          <cell r="F238" t="str">
            <v>攻击训练书</v>
          </cell>
          <cell r="G238" t="str">
            <v>2级攻击训练材料，用于角色攻击训练。</v>
          </cell>
          <cell r="H238" t="str">
            <v>item_211020</v>
          </cell>
        </row>
        <row r="239">
          <cell r="E239" t="str">
            <v>3级攻击训练书</v>
          </cell>
          <cell r="F239" t="str">
            <v>攻击训练书</v>
          </cell>
          <cell r="G239" t="str">
            <v>3级攻击训练材料，用于角色攻击训练。</v>
          </cell>
          <cell r="H239" t="str">
            <v>item_211020</v>
          </cell>
        </row>
        <row r="240">
          <cell r="E240" t="str">
            <v>4级攻击训练书</v>
          </cell>
          <cell r="F240" t="str">
            <v>攻击训练书</v>
          </cell>
          <cell r="G240" t="str">
            <v>4级攻击训练材料，用于角色攻击训练。</v>
          </cell>
          <cell r="H240" t="str">
            <v>item_211020</v>
          </cell>
        </row>
        <row r="241">
          <cell r="E241" t="str">
            <v>5级攻击训练书</v>
          </cell>
          <cell r="F241" t="str">
            <v>攻击训练书</v>
          </cell>
          <cell r="G241" t="str">
            <v>5级攻击训练材料，用于角色攻击训练。</v>
          </cell>
          <cell r="H241" t="str">
            <v>item_214020</v>
          </cell>
        </row>
        <row r="242">
          <cell r="E242" t="str">
            <v>6级攻击训练书</v>
          </cell>
          <cell r="F242" t="str">
            <v>攻击训练书</v>
          </cell>
          <cell r="G242" t="str">
            <v>6级攻击训练材料，用于角色攻击训练。</v>
          </cell>
          <cell r="H242" t="str">
            <v>item_214020</v>
          </cell>
        </row>
        <row r="243">
          <cell r="E243" t="str">
            <v>7级攻击训练书</v>
          </cell>
          <cell r="F243" t="str">
            <v>攻击训练书</v>
          </cell>
          <cell r="G243" t="str">
            <v>7级攻击训练材料，用于角色攻击训练。</v>
          </cell>
          <cell r="H243" t="str">
            <v>item_217020</v>
          </cell>
        </row>
        <row r="244">
          <cell r="E244" t="str">
            <v>8级攻击训练书</v>
          </cell>
          <cell r="F244" t="str">
            <v>攻击训练书</v>
          </cell>
          <cell r="G244" t="str">
            <v>8级攻击训练材料，用于角色攻击训练。</v>
          </cell>
          <cell r="H244" t="str">
            <v>item_217020</v>
          </cell>
        </row>
        <row r="245">
          <cell r="E245" t="str">
            <v>9级攻击训练书</v>
          </cell>
          <cell r="F245" t="str">
            <v>攻击训练书</v>
          </cell>
          <cell r="G245" t="str">
            <v>9级攻击训练材料，用于角色攻击训练。</v>
          </cell>
          <cell r="H245" t="str">
            <v>item_219020</v>
          </cell>
        </row>
        <row r="246">
          <cell r="E246" t="str">
            <v>10级攻击训练书</v>
          </cell>
          <cell r="F246" t="str">
            <v>攻击训练书</v>
          </cell>
          <cell r="G246" t="str">
            <v>10级攻击训练材料，用于角色攻击训练。</v>
          </cell>
          <cell r="H246" t="str">
            <v>item_219020</v>
          </cell>
        </row>
        <row r="247">
          <cell r="E247" t="str">
            <v>11级攻击训练书</v>
          </cell>
          <cell r="F247" t="str">
            <v>攻击训练书</v>
          </cell>
          <cell r="G247" t="str">
            <v>11级攻击训练材料，用于角色攻击训练。</v>
          </cell>
          <cell r="H247" t="str">
            <v>item_219020</v>
          </cell>
        </row>
        <row r="248">
          <cell r="E248" t="str">
            <v>12级攻击训练书</v>
          </cell>
          <cell r="F248" t="str">
            <v>攻击训练书</v>
          </cell>
          <cell r="G248" t="str">
            <v>12级攻击训练材料，用于角色攻击训练。</v>
          </cell>
          <cell r="H248" t="str">
            <v>item_219020</v>
          </cell>
        </row>
        <row r="249">
          <cell r="E249" t="str">
            <v>13级攻击训练书</v>
          </cell>
          <cell r="F249" t="str">
            <v>攻击训练书</v>
          </cell>
          <cell r="G249" t="str">
            <v>13级攻击训练材料，用于角色攻击训练。</v>
          </cell>
          <cell r="H249" t="str">
            <v>item_219020</v>
          </cell>
        </row>
        <row r="250">
          <cell r="E250" t="str">
            <v>14级攻击训练书</v>
          </cell>
          <cell r="F250" t="str">
            <v>攻击训练书</v>
          </cell>
          <cell r="G250" t="str">
            <v>14级攻击训练材料，用于角色攻击训练。</v>
          </cell>
          <cell r="H250" t="str">
            <v>item_219020</v>
          </cell>
        </row>
        <row r="251">
          <cell r="E251" t="str">
            <v>15级攻击训练书</v>
          </cell>
          <cell r="F251" t="str">
            <v>攻击训练书</v>
          </cell>
          <cell r="G251" t="str">
            <v>15级攻击训练材料，用于角色攻击训练。</v>
          </cell>
          <cell r="H251" t="str">
            <v>item_219020</v>
          </cell>
        </row>
        <row r="252">
          <cell r="E252" t="str">
            <v>珍珠</v>
          </cell>
          <cell r="F252" t="str">
            <v>珍珠</v>
          </cell>
          <cell r="G252" t="str">
            <v>海岸边晶莹剔透的珍珠，采集后用于交付任务。</v>
          </cell>
          <cell r="H252" t="str">
            <v>item_221001</v>
          </cell>
        </row>
        <row r="253">
          <cell r="E253" t="str">
            <v>贝壳</v>
          </cell>
          <cell r="F253" t="str">
            <v>贝壳</v>
          </cell>
          <cell r="G253" t="str">
            <v>海岸边光滑的贝壳，采集后用于交付任务。</v>
          </cell>
          <cell r="H253" t="str">
            <v>item_240001</v>
          </cell>
        </row>
        <row r="254">
          <cell r="E254" t="str">
            <v>木材</v>
          </cell>
          <cell r="F254" t="str">
            <v>木材</v>
          </cell>
          <cell r="G254" t="str">
            <v>看着还不错的木材，采集后用于交付任务。</v>
          </cell>
          <cell r="H254" t="str">
            <v>item_240002</v>
          </cell>
        </row>
        <row r="255">
          <cell r="E255" t="str">
            <v>野菜</v>
          </cell>
          <cell r="F255" t="str">
            <v>野菜</v>
          </cell>
          <cell r="G255" t="str">
            <v>生长在野外的不知名的植物，采集后用于交付任务。</v>
          </cell>
          <cell r="H255" t="str">
            <v>item_240003</v>
          </cell>
        </row>
        <row r="256">
          <cell r="E256" t="str">
            <v>稀有草药</v>
          </cell>
          <cell r="F256" t="str">
            <v>稀有草药</v>
          </cell>
          <cell r="G256" t="str">
            <v>很少见的草药，用来缓解疼痛，采集后用于交付任务。</v>
          </cell>
          <cell r="H256" t="str">
            <v>item_240004</v>
          </cell>
        </row>
        <row r="257">
          <cell r="E257" t="str">
            <v>河豚</v>
          </cell>
          <cell r="F257" t="str">
            <v>河豚</v>
          </cell>
          <cell r="G257" t="str">
            <v>从浅水区域钓上来的河豚，收集后用于交付任务。</v>
          </cell>
          <cell r="H257" t="str">
            <v>item_431003</v>
          </cell>
        </row>
        <row r="258">
          <cell r="E258" t="str">
            <v>新鲜的鱼</v>
          </cell>
          <cell r="F258" t="str">
            <v>河豚</v>
          </cell>
          <cell r="G258" t="str">
            <v>从浅水区域钓上来的河豚，收集后用于交付任务。</v>
          </cell>
          <cell r="H258" t="str">
            <v>item_431005</v>
          </cell>
        </row>
        <row r="259">
          <cell r="E259" t="str">
            <v>地毡草</v>
          </cell>
          <cell r="F259" t="str">
            <v>贝壳</v>
          </cell>
          <cell r="G259" t="str">
            <v>海岸边光滑的贝壳，采集后用于交付任务。</v>
          </cell>
          <cell r="H259" t="str">
            <v>item_240001</v>
          </cell>
        </row>
        <row r="260">
          <cell r="E260" t="str">
            <v>桫椤</v>
          </cell>
          <cell r="F260" t="str">
            <v>贝壳</v>
          </cell>
          <cell r="G260" t="str">
            <v>海岸边光滑的贝壳，采集后用于交付任务。</v>
          </cell>
          <cell r="H260" t="str">
            <v>item_240001</v>
          </cell>
        </row>
        <row r="261">
          <cell r="E261" t="str">
            <v>紫云英</v>
          </cell>
          <cell r="F261" t="str">
            <v>贝壳</v>
          </cell>
          <cell r="G261" t="str">
            <v>海岸边光滑的贝壳，采集后用于交付任务。</v>
          </cell>
          <cell r="H261" t="str">
            <v>item_240001</v>
          </cell>
        </row>
        <row r="262">
          <cell r="E262" t="str">
            <v>幽灵兰</v>
          </cell>
          <cell r="F262" t="str">
            <v>贝壳</v>
          </cell>
          <cell r="G262" t="str">
            <v>海岸边光滑的贝壳，采集后用于交付任务。</v>
          </cell>
          <cell r="H262" t="str">
            <v>item_240001</v>
          </cell>
        </row>
        <row r="263">
          <cell r="E263" t="str">
            <v>苦檀果</v>
          </cell>
          <cell r="F263" t="str">
            <v>贝壳</v>
          </cell>
          <cell r="G263" t="str">
            <v>海岸边光滑的贝壳，采集后用于交付任务。</v>
          </cell>
          <cell r="H263" t="str">
            <v>item_240001</v>
          </cell>
        </row>
        <row r="264">
          <cell r="E264" t="str">
            <v>鬼针草</v>
          </cell>
          <cell r="F264" t="str">
            <v>贝壳</v>
          </cell>
          <cell r="G264" t="str">
            <v>海岸边光滑的贝壳，采集后用于交付任务。</v>
          </cell>
          <cell r="H264" t="str">
            <v>item_240001</v>
          </cell>
        </row>
        <row r="265">
          <cell r="E265" t="str">
            <v>贝壳</v>
          </cell>
          <cell r="F265" t="str">
            <v>贝壳</v>
          </cell>
          <cell r="G265" t="str">
            <v>海岸边光滑的贝壳，采集后用于交付任务。</v>
          </cell>
          <cell r="H265" t="str">
            <v>item_240001</v>
          </cell>
        </row>
        <row r="266">
          <cell r="E266" t="str">
            <v>新鲜的鱼</v>
          </cell>
          <cell r="F266" t="str">
            <v>新鲜的鱼</v>
          </cell>
          <cell r="G266" t="str">
            <v>从近海区域钓上来的鱼，收集后用于交付任务。</v>
          </cell>
          <cell r="H266" t="str">
            <v>item_431005</v>
          </cell>
        </row>
        <row r="267">
          <cell r="E267" t="str">
            <v>新鲜的鱼</v>
          </cell>
          <cell r="F267" t="str">
            <v>新鲜的鱼</v>
          </cell>
          <cell r="G267" t="str">
            <v>从近海区域钓上来的鱼，收集后用于交付任务。</v>
          </cell>
          <cell r="H267" t="str">
            <v>item_431005</v>
          </cell>
        </row>
        <row r="268">
          <cell r="E268" t="str">
            <v>新鲜的鱼</v>
          </cell>
          <cell r="F268" t="str">
            <v>河豚</v>
          </cell>
          <cell r="G268" t="str">
            <v>从浅水区域钓上来的河豚，收集后用于交付任务。</v>
          </cell>
          <cell r="H268" t="str">
            <v>item_431005</v>
          </cell>
        </row>
        <row r="269">
          <cell r="E269" t="str">
            <v>新鲜的鱼</v>
          </cell>
          <cell r="F269" t="str">
            <v>新鲜的鱼</v>
          </cell>
          <cell r="G269" t="str">
            <v>从近海区域钓上来的鱼，收集后用于交付任务。</v>
          </cell>
          <cell r="H269" t="str">
            <v>item_431005</v>
          </cell>
        </row>
        <row r="270">
          <cell r="E270" t="str">
            <v>野菜</v>
          </cell>
          <cell r="F270" t="str">
            <v>野菜</v>
          </cell>
          <cell r="G270" t="str">
            <v>生长在野外的不知名的植物，采集后用于交付任务。</v>
          </cell>
          <cell r="H270" t="str">
            <v>item_240003</v>
          </cell>
        </row>
        <row r="271">
          <cell r="E271" t="str">
            <v>稀有草药</v>
          </cell>
          <cell r="F271" t="str">
            <v>稀有草药</v>
          </cell>
          <cell r="G271" t="str">
            <v>很少见的草药，用来缓解疼痛，采集后用于交付任务。</v>
          </cell>
          <cell r="H271" t="str">
            <v>item_240004</v>
          </cell>
        </row>
        <row r="272">
          <cell r="E272" t="str">
            <v>木材</v>
          </cell>
          <cell r="F272" t="str">
            <v>木材</v>
          </cell>
          <cell r="G272" t="str">
            <v>看着还不错的木材，采集后用于交付任务。</v>
          </cell>
          <cell r="H272" t="str">
            <v>item_240002</v>
          </cell>
        </row>
        <row r="273">
          <cell r="E273" t="str">
            <v>新鲜的鱼</v>
          </cell>
          <cell r="F273" t="str">
            <v>新鲜的鱼</v>
          </cell>
          <cell r="G273" t="str">
            <v>从近海区域钓上来的鱼，收集后用于交付任务。</v>
          </cell>
          <cell r="H273" t="str">
            <v>item_431005</v>
          </cell>
        </row>
        <row r="274">
          <cell r="E274" t="str">
            <v>黄帽子海盗的鞋子</v>
          </cell>
          <cell r="F274" t="str">
            <v>黄帽子海盗的鞋子</v>
          </cell>
          <cell r="G274" t="str">
            <v>黄帽子海盗脚下穿的鞋，因为穿了太久鞋底都有点要磨穿了。还会散发出阵阵恶臭，不知道谁会要这种东西。</v>
          </cell>
          <cell r="H274" t="str">
            <v>item_box_19</v>
          </cell>
        </row>
        <row r="275">
          <cell r="E275" t="str">
            <v>黄帽子海盗的帽子</v>
          </cell>
          <cell r="F275" t="str">
            <v>黄帽子海盗的帽子</v>
          </cell>
          <cell r="G275" t="str">
            <v>黄帽子海盗的帽子，类似于马戏团小丑的帽子。戴起来很有喜感，也不知道一个海盗带这种帽子有什么用。</v>
          </cell>
          <cell r="H275" t="str">
            <v>item_box_19</v>
          </cell>
        </row>
        <row r="276">
          <cell r="E276" t="str">
            <v>光头海盗的裤子</v>
          </cell>
          <cell r="F276" t="str">
            <v>光头海盗的裤子</v>
          </cell>
          <cell r="G276" t="str">
            <v>光头海盗的裤子，后打的补丁比原材料还多的一条裤子。</v>
          </cell>
          <cell r="H276" t="str">
            <v>item_box_19</v>
          </cell>
        </row>
        <row r="277">
          <cell r="E277" t="str">
            <v>光头海盗的上衣</v>
          </cell>
          <cell r="F277" t="str">
            <v>光头海盗的上衣</v>
          </cell>
          <cell r="G277" t="str">
            <v>光头海盗的上衣，上面印有一些可爱的字母。</v>
          </cell>
          <cell r="H277" t="str">
            <v>item_box_19</v>
          </cell>
        </row>
        <row r="278">
          <cell r="E278" t="str">
            <v>被偷走的武器</v>
          </cell>
          <cell r="F278" t="str">
            <v>被偷走的武器</v>
          </cell>
          <cell r="G278" t="str">
            <v>武器老板店里被偷走的武器，因为存放过久已经有一些陈旧了。</v>
          </cell>
          <cell r="H278" t="str">
            <v>sjwq_0011</v>
          </cell>
        </row>
        <row r="279">
          <cell r="E279" t="str">
            <v>被偷走的蔬菜</v>
          </cell>
          <cell r="F279" t="str">
            <v>被偷走的蔬菜</v>
          </cell>
          <cell r="G279" t="str">
            <v>村民们自己种植的蔬菜，经过仔细的照料长得非常好，吃起来肯定也不错。</v>
          </cell>
          <cell r="H279" t="str">
            <v>item_nangua</v>
          </cell>
        </row>
        <row r="280">
          <cell r="E280" t="str">
            <v>刺豚鱼人的武器</v>
          </cell>
          <cell r="F280" t="str">
            <v>刺豚鱼人的武器</v>
          </cell>
          <cell r="G280" t="str">
            <v>刺豚鱼人的武器，长时间的战斗导致武器已经不那么锋利。</v>
          </cell>
          <cell r="H280" t="str">
            <v>sjwq_0005</v>
          </cell>
        </row>
        <row r="281">
          <cell r="E281" t="str">
            <v>胖鱼人的衣服</v>
          </cell>
          <cell r="F281" t="str">
            <v>胖鱼人的衣服</v>
          </cell>
          <cell r="G281" t="str">
            <v>胖鱼人的衣服，因为长久被过于肥胖的身体穿在身上已经没什么弹性了。</v>
          </cell>
          <cell r="H281" t="str">
            <v>item_100</v>
          </cell>
        </row>
        <row r="282">
          <cell r="E282" t="str">
            <v>阔嘴鱼人的财宝</v>
          </cell>
          <cell r="F282" t="str">
            <v>阔嘴鱼人的财宝</v>
          </cell>
          <cell r="G282" t="str">
            <v>阔嘴鱼人的财宝，看上去很值钱，但是很可惜你卖不掉它。</v>
          </cell>
          <cell r="H282" t="str">
            <v>item_100</v>
          </cell>
        </row>
        <row r="283">
          <cell r="E283" t="str">
            <v>记录指针</v>
          </cell>
          <cell r="F283" t="str">
            <v>记录指针</v>
          </cell>
          <cell r="G283" t="str">
            <v>无名探险家的记录指针，在伟大航线航行的必须道具之一。</v>
          </cell>
          <cell r="H283" t="str">
            <v>item_100</v>
          </cell>
        </row>
        <row r="284">
          <cell r="E284" t="str">
            <v>无名探险家的衣服</v>
          </cell>
          <cell r="F284" t="str">
            <v>无名探险家的衣服</v>
          </cell>
          <cell r="G284" t="str">
            <v>无名探险家的衣服，虽然有些陈旧但是却意外的干净整洁。</v>
          </cell>
          <cell r="H284" t="str">
            <v>item_100</v>
          </cell>
        </row>
        <row r="285">
          <cell r="E285" t="str">
            <v>小胡子海盗的裤子</v>
          </cell>
          <cell r="F285" t="str">
            <v>小胡子海盗的裤子</v>
          </cell>
          <cell r="G285" t="str">
            <v>从小胡子海盗背包里缴获的裤子，大小非常的不合适，很明显是从别人手里抢来的裤子。</v>
          </cell>
          <cell r="H285" t="str">
            <v>item_100</v>
          </cell>
        </row>
        <row r="286">
          <cell r="E286" t="str">
            <v>小胡子海盗的上衣</v>
          </cell>
          <cell r="F286" t="str">
            <v>小胡子海盗的上衣</v>
          </cell>
          <cell r="G286" t="str">
            <v>从小胡子海盗那里缴获的上衣，大小和风格明显不是他的。</v>
          </cell>
          <cell r="H286" t="str">
            <v>item_100</v>
          </cell>
        </row>
        <row r="287">
          <cell r="E287" t="str">
            <v>慌张海盗的食物</v>
          </cell>
          <cell r="F287" t="str">
            <v>慌张海盗的食物</v>
          </cell>
          <cell r="G287" t="str">
            <v>慌张海盗被夺走的食物，放的时间有点久，已经不那么新鲜了。这种东西吃下去肯定会不舒服的吧。</v>
          </cell>
          <cell r="H287" t="str">
            <v>item_nangua</v>
          </cell>
        </row>
        <row r="288">
          <cell r="E288" t="str">
            <v>慌张海盗的衣服</v>
          </cell>
          <cell r="F288" t="str">
            <v>慌张海盗的衣服</v>
          </cell>
          <cell r="G288" t="str">
            <v>慌张海盗被夺走的衣服，又旧又破打满补丁。竟然还有人要抢，太可怕了。</v>
          </cell>
          <cell r="H288" t="str">
            <v>item_100</v>
          </cell>
        </row>
        <row r="289">
          <cell r="E289" t="str">
            <v>慌张海盗的裤子</v>
          </cell>
          <cell r="F289" t="str">
            <v>慌张海盗的裤子</v>
          </cell>
          <cell r="G289" t="str">
            <v>慌张海盗被夺走的裤子，又旧又破打满补丁。竟然还有人要抢，太可怕了。</v>
          </cell>
          <cell r="H289" t="str">
            <v>item_100</v>
          </cell>
        </row>
        <row r="290">
          <cell r="E290" t="str">
            <v>慌张海盗的鞋</v>
          </cell>
          <cell r="F290" t="str">
            <v>慌张海盗的鞋</v>
          </cell>
          <cell r="G290" t="str">
            <v>慌张海盗被夺走的鞋，隔着好几米都能闻到上面散发的臭味。</v>
          </cell>
          <cell r="H290" t="str">
            <v>item_100</v>
          </cell>
        </row>
        <row r="291">
          <cell r="E291" t="str">
            <v>慌张海盗的武器</v>
          </cell>
          <cell r="F291" t="str">
            <v>慌张海盗的武器</v>
          </cell>
          <cell r="G291" t="str">
            <v>慌张海盗被夺走的武器，并不是什么很好的武器，但是保养的很不错。武器的主人应该很珍惜它吧。</v>
          </cell>
          <cell r="H291" t="str">
            <v>item_100</v>
          </cell>
        </row>
        <row r="292">
          <cell r="E292" t="str">
            <v>戏剧头海盗的武器</v>
          </cell>
          <cell r="F292" t="str">
            <v>扎辫子的海盗的武器</v>
          </cell>
          <cell r="G292" t="str">
            <v>扎辫子的海盗的武器</v>
          </cell>
          <cell r="H292" t="str">
            <v>item_100</v>
          </cell>
        </row>
        <row r="293">
          <cell r="E293" t="str">
            <v>落难海盗的衣服</v>
          </cell>
          <cell r="F293" t="str">
            <v>落难海盗的衣服</v>
          </cell>
          <cell r="G293" t="str">
            <v>落难海盗被夺走的的衣服，已经不是很新，长时间的清洗导致已经泛白。</v>
          </cell>
          <cell r="H293" t="str">
            <v>item_100</v>
          </cell>
        </row>
        <row r="294">
          <cell r="E294" t="str">
            <v>落难海盗的裤子</v>
          </cell>
          <cell r="F294" t="str">
            <v>落难海盗的裤子</v>
          </cell>
          <cell r="G294" t="str">
            <v>落难海盗被夺走的裤子，上面沾满了污渍，看来裤子的主人对它并不是很友好。</v>
          </cell>
          <cell r="H294" t="str">
            <v>item_100</v>
          </cell>
        </row>
        <row r="295">
          <cell r="E295" t="str">
            <v>落难海盗的武器</v>
          </cell>
          <cell r="F295" t="str">
            <v>落难海盗的武器</v>
          </cell>
          <cell r="G295" t="str">
            <v>落难海盗被夺走的武器，磨损的非常厉害。</v>
          </cell>
          <cell r="H295" t="str">
            <v>item_100</v>
          </cell>
        </row>
        <row r="296">
          <cell r="E296" t="str">
            <v>落难海盗的鞋子</v>
          </cell>
          <cell r="F296" t="str">
            <v>落难海盗的鞋子</v>
          </cell>
          <cell r="G296" t="str">
            <v>落难海盗的鞋子，鞋底已经快磨穿了，味道也是非常大。</v>
          </cell>
          <cell r="H296" t="str">
            <v>item_100</v>
          </cell>
        </row>
        <row r="297">
          <cell r="E297" t="str">
            <v>落难海盗的衣服</v>
          </cell>
          <cell r="F297" t="str">
            <v>落难海盗的衣服</v>
          </cell>
          <cell r="G297" t="str">
            <v>落难海盗被夺走的的衣服，已经不是很新，长时间的清洗导致已经泛白。</v>
          </cell>
          <cell r="H297" t="str">
            <v>item_100</v>
          </cell>
        </row>
        <row r="298">
          <cell r="E298" t="str">
            <v>落难海盗的裤子</v>
          </cell>
          <cell r="F298" t="str">
            <v>落难海盗的裤子</v>
          </cell>
          <cell r="G298" t="str">
            <v>落难海盗被夺走的裤子，上面沾满了污渍，看来裤子的主人对它并不是很友好。</v>
          </cell>
          <cell r="H298" t="str">
            <v>item_100</v>
          </cell>
        </row>
        <row r="299">
          <cell r="E299" t="str">
            <v>散落的货物</v>
          </cell>
          <cell r="F299" t="str">
            <v>散落的货物</v>
          </cell>
          <cell r="G299" t="str">
            <v>远行商人遗落在路上的货物，包装的箱子还很完好。</v>
          </cell>
          <cell r="H299" t="str">
            <v>item_100</v>
          </cell>
        </row>
        <row r="300">
          <cell r="E300" t="str">
            <v>矿石</v>
          </cell>
          <cell r="F300" t="str">
            <v>矿石</v>
          </cell>
          <cell r="G300" t="str">
            <v>坚硬的石材，可以用来修建房屋或者围墙。</v>
          </cell>
          <cell r="H300" t="str">
            <v>item_shiliao</v>
          </cell>
        </row>
        <row r="301">
          <cell r="E301" t="str">
            <v>便当</v>
          </cell>
          <cell r="F301" t="str">
            <v>便当</v>
          </cell>
          <cell r="G301" t="str">
            <v>美味的海盗便当，制作的厨师手艺肯定很棒！</v>
          </cell>
          <cell r="H301" t="str">
            <v>item_biandangf</v>
          </cell>
        </row>
        <row r="302">
          <cell r="E302" t="str">
            <v>酒</v>
          </cell>
          <cell r="F302" t="str">
            <v>酒</v>
          </cell>
          <cell r="G302" t="str">
            <v>酒</v>
          </cell>
          <cell r="H302" t="str">
            <v>item_jiu</v>
          </cell>
        </row>
        <row r="303">
          <cell r="E303" t="str">
            <v>钓具</v>
          </cell>
          <cell r="F303" t="str">
            <v>钓具</v>
          </cell>
          <cell r="G303" t="str">
            <v>渔民的钓具</v>
          </cell>
          <cell r="H303" t="str">
            <v>item_100</v>
          </cell>
        </row>
        <row r="304">
          <cell r="E304" t="str">
            <v>矿石</v>
          </cell>
          <cell r="F304" t="str">
            <v>矿石</v>
          </cell>
          <cell r="G304" t="str">
            <v>坚硬的石材，可以用来修建房屋或者围墙。</v>
          </cell>
          <cell r="H304" t="str">
            <v>item_shiliao</v>
          </cell>
        </row>
        <row r="305">
          <cell r="E305" t="str">
            <v>石子</v>
          </cell>
          <cell r="F305" t="str">
            <v>石子</v>
          </cell>
          <cell r="G305" t="str">
            <v>圆形的小石子，拿来当弹弓的子弹太适合不过了。</v>
          </cell>
          <cell r="H305" t="str">
            <v>item_shiliao</v>
          </cell>
        </row>
        <row r="306">
          <cell r="E306" t="str">
            <v>肥料</v>
          </cell>
          <cell r="F306" t="str">
            <v>肥料</v>
          </cell>
          <cell r="G306" t="str">
            <v>种植蔬菜或者药材所需要的肥料，别名金坷垃，用了都说好！</v>
          </cell>
          <cell r="H306" t="str">
            <v>item_100</v>
          </cell>
        </row>
        <row r="307">
          <cell r="E307" t="str">
            <v>食物（连续支线）</v>
          </cell>
          <cell r="F307" t="str">
            <v>便当</v>
          </cell>
          <cell r="G307" t="str">
            <v>食物</v>
          </cell>
          <cell r="H307" t="str">
            <v>item_shiwu</v>
          </cell>
        </row>
        <row r="308">
          <cell r="E308" t="str">
            <v>丢失的货物</v>
          </cell>
          <cell r="F308" t="str">
            <v>丢失的货物</v>
          </cell>
          <cell r="G308" t="str">
            <v>丢失的货物</v>
          </cell>
          <cell r="H308" t="str">
            <v>item_100</v>
          </cell>
        </row>
        <row r="309">
          <cell r="E309" t="str">
            <v>宝箱</v>
          </cell>
          <cell r="F309" t="str">
            <v>宝箱</v>
          </cell>
          <cell r="G309" t="str">
            <v>宝箱</v>
          </cell>
          <cell r="H309" t="str">
            <v>item_100</v>
          </cell>
        </row>
        <row r="310">
          <cell r="E310" t="str">
            <v>存放着美酒的货箱</v>
          </cell>
          <cell r="F310" t="str">
            <v>装满酒的货箱</v>
          </cell>
          <cell r="G310" t="str">
            <v>存放着美酒的货箱</v>
          </cell>
          <cell r="H310" t="str">
            <v>item_100</v>
          </cell>
        </row>
        <row r="311">
          <cell r="E311" t="str">
            <v>便当</v>
          </cell>
          <cell r="F311" t="str">
            <v>便当</v>
          </cell>
          <cell r="G311" t="str">
            <v>美味的海盗便当，制作的厨师手艺肯定很棒！</v>
          </cell>
          <cell r="H311" t="str">
            <v>item_biandangf</v>
          </cell>
        </row>
        <row r="312">
          <cell r="E312" t="str">
            <v>美酒</v>
          </cell>
          <cell r="F312" t="str">
            <v>美酒</v>
          </cell>
          <cell r="G312" t="str">
            <v>美酒，海盗们最喜爱的东西。</v>
          </cell>
          <cell r="H312" t="str">
            <v>item_jiu</v>
          </cell>
        </row>
        <row r="313">
          <cell r="E313" t="str">
            <v>木材</v>
          </cell>
          <cell r="F313" t="str">
            <v>木材</v>
          </cell>
          <cell r="G313" t="str">
            <v>看着还不错的木材，采集后用于交付任务。</v>
          </cell>
          <cell r="H313" t="str">
            <v>item_muliao</v>
          </cell>
        </row>
        <row r="314">
          <cell r="E314" t="str">
            <v>白色草药根</v>
          </cell>
          <cell r="F314" t="str">
            <v>草药根</v>
          </cell>
          <cell r="G314" t="str">
            <v>用于制作药品的基础材料，分解完整药材可以获得</v>
          </cell>
          <cell r="H314" t="str">
            <v>item_411001</v>
          </cell>
        </row>
        <row r="315">
          <cell r="E315" t="str">
            <v>行李</v>
          </cell>
          <cell r="F315" t="str">
            <v>行李</v>
          </cell>
          <cell r="G315" t="str">
            <v>海盗的行李</v>
          </cell>
          <cell r="H315" t="str">
            <v>item_100</v>
          </cell>
        </row>
        <row r="316">
          <cell r="E316" t="str">
            <v>矿石</v>
          </cell>
          <cell r="F316" t="str">
            <v>矿石</v>
          </cell>
          <cell r="G316" t="str">
            <v>坚硬的石材，可以用来修建房屋或者围墙。</v>
          </cell>
          <cell r="H316" t="str">
            <v>item_shiliao</v>
          </cell>
        </row>
        <row r="317">
          <cell r="E317" t="str">
            <v>木材</v>
          </cell>
          <cell r="F317" t="str">
            <v>木材</v>
          </cell>
          <cell r="G317" t="str">
            <v>看着还不错的木材，采集后用于交付任务。</v>
          </cell>
          <cell r="H317" t="str">
            <v>item_240002</v>
          </cell>
        </row>
        <row r="318">
          <cell r="E318" t="str">
            <v>稀有草药</v>
          </cell>
          <cell r="F318" t="str">
            <v>稀有草药</v>
          </cell>
          <cell r="G318" t="str">
            <v>很少见的草药，用来缓解疼痛，采集后用于交付任务。</v>
          </cell>
          <cell r="H318" t="str">
            <v>item_240004</v>
          </cell>
        </row>
        <row r="319">
          <cell r="E319" t="str">
            <v>木材</v>
          </cell>
          <cell r="F319" t="str">
            <v>木材</v>
          </cell>
          <cell r="G319" t="str">
            <v>看着还不错的木材，采集后用于交付任务。</v>
          </cell>
          <cell r="H319" t="str">
            <v>item_240002</v>
          </cell>
        </row>
        <row r="320">
          <cell r="E320" t="str">
            <v>木材</v>
          </cell>
          <cell r="F320" t="str">
            <v>木材</v>
          </cell>
          <cell r="G320" t="str">
            <v>看着还不错的木材，采集后用于交付任务。</v>
          </cell>
          <cell r="H320" t="str">
            <v>item_240002</v>
          </cell>
        </row>
        <row r="321">
          <cell r="E321" t="str">
            <v>稀有草药</v>
          </cell>
          <cell r="F321" t="str">
            <v>稀有草药</v>
          </cell>
          <cell r="G321" t="str">
            <v>很少见的草药，用来缓解疼痛，采集后用于交付任务。</v>
          </cell>
          <cell r="H321" t="str">
            <v>item_240004</v>
          </cell>
        </row>
        <row r="322">
          <cell r="E322" t="str">
            <v>稀有草药</v>
          </cell>
          <cell r="F322" t="str">
            <v>稀有草药</v>
          </cell>
          <cell r="G322" t="str">
            <v>很少见的草药，用来缓解疼痛，采集后用于交付任务。</v>
          </cell>
          <cell r="H322" t="str">
            <v>item_240004</v>
          </cell>
        </row>
        <row r="323">
          <cell r="E323" t="str">
            <v>稀有草药</v>
          </cell>
          <cell r="F323" t="str">
            <v>稀有草药</v>
          </cell>
          <cell r="G323" t="str">
            <v>很少见的草药，用来缓解疼痛，采集后用于交付任务。</v>
          </cell>
          <cell r="H323" t="str">
            <v>item_240004</v>
          </cell>
        </row>
        <row r="324">
          <cell r="E324" t="str">
            <v>稀有草药</v>
          </cell>
          <cell r="F324" t="str">
            <v>稀有草药</v>
          </cell>
          <cell r="G324" t="str">
            <v>很少见的草药，用来缓解疼痛，采集后用于交付任务。</v>
          </cell>
          <cell r="H324" t="str">
            <v>item_240004</v>
          </cell>
        </row>
        <row r="325">
          <cell r="E325" t="str">
            <v>稀有药草（磁鼓）</v>
          </cell>
          <cell r="F325" t="str">
            <v>稀有草药</v>
          </cell>
          <cell r="G325" t="str">
            <v>很少见的草药，用来缓解疼痛，采集后用于交付任务。</v>
          </cell>
          <cell r="H325" t="str">
            <v>item_240004</v>
          </cell>
        </row>
        <row r="326">
          <cell r="E326" t="str">
            <v>木材（磁鼓）</v>
          </cell>
          <cell r="F326" t="str">
            <v>木材</v>
          </cell>
          <cell r="G326" t="str">
            <v>看着还不错的木材，采集后用于交付任务。</v>
          </cell>
          <cell r="H326" t="str">
            <v>item_240002</v>
          </cell>
        </row>
        <row r="327">
          <cell r="E327" t="str">
            <v>稀有药草（磁鼓）</v>
          </cell>
          <cell r="F327" t="str">
            <v>稀有草药</v>
          </cell>
          <cell r="G327" t="str">
            <v>治疗伤病效果非常好的草药。</v>
          </cell>
          <cell r="H327" t="str">
            <v>item_240004</v>
          </cell>
        </row>
        <row r="328">
          <cell r="E328" t="str">
            <v>被大雪覆盖的货物</v>
          </cell>
          <cell r="F328" t="str">
            <v>被大雪覆盖的货物</v>
          </cell>
          <cell r="G328" t="str">
            <v>商人被大雪掩埋的商品。</v>
          </cell>
          <cell r="H328" t="str">
            <v>item_100</v>
          </cell>
        </row>
        <row r="329">
          <cell r="E329" t="str">
            <v>被夺走的衣服</v>
          </cell>
          <cell r="F329" t="str">
            <v>被夺走的衣服</v>
          </cell>
          <cell r="G329" t="str">
            <v>装备商人为民间护卫团准备的衣物，保暖效果很不错。</v>
          </cell>
          <cell r="H329" t="str">
            <v>item_100</v>
          </cell>
        </row>
        <row r="330">
          <cell r="E330" t="str">
            <v>被夺走的武器</v>
          </cell>
          <cell r="F330" t="str">
            <v>被夺走的武器</v>
          </cell>
          <cell r="G330" t="str">
            <v>装备商人为民间护卫团准备的武器。</v>
          </cell>
          <cell r="H330" t="str">
            <v>item_100</v>
          </cell>
        </row>
        <row r="331">
          <cell r="E331" t="str">
            <v>食物</v>
          </cell>
          <cell r="F331" t="str">
            <v>食物</v>
          </cell>
          <cell r="G331" t="str">
            <v>在野外找到的装有食物的货箱。</v>
          </cell>
          <cell r="H331" t="str">
            <v>item_100</v>
          </cell>
        </row>
        <row r="332">
          <cell r="E332" t="str">
            <v>货物</v>
          </cell>
          <cell r="F332" t="str">
            <v>货物</v>
          </cell>
          <cell r="G332" t="str">
            <v>供水商人遗落在野外的货物。</v>
          </cell>
          <cell r="H332" t="str">
            <v>item_100</v>
          </cell>
        </row>
        <row r="333">
          <cell r="E333" t="str">
            <v>河豚</v>
          </cell>
          <cell r="F333" t="str">
            <v>河豚</v>
          </cell>
          <cell r="G333" t="str">
            <v>从浅水区域钓上来的河豚，收集后用于交付任务。</v>
          </cell>
          <cell r="H333" t="str">
            <v>item_431003</v>
          </cell>
        </row>
        <row r="334">
          <cell r="E334" t="str">
            <v>新鲜的鱼</v>
          </cell>
          <cell r="F334" t="str">
            <v>河豚</v>
          </cell>
          <cell r="G334" t="str">
            <v>从浅水区域钓上来的河豚，收集后用于交付任务。</v>
          </cell>
          <cell r="H334" t="str">
            <v>item_431005</v>
          </cell>
        </row>
        <row r="335">
          <cell r="E335" t="str">
            <v>便当</v>
          </cell>
          <cell r="F335" t="str">
            <v>便当</v>
          </cell>
          <cell r="G335" t="str">
            <v>美味的海盗便当，制作的厨师手艺肯定很棒！</v>
          </cell>
          <cell r="H335" t="str">
            <v>item_biandangf</v>
          </cell>
        </row>
        <row r="336">
          <cell r="E336" t="str">
            <v>酒</v>
          </cell>
          <cell r="F336" t="str">
            <v>酒</v>
          </cell>
          <cell r="G336" t="str">
            <v>酒</v>
          </cell>
          <cell r="H336" t="str">
            <v>item_jiu</v>
          </cell>
        </row>
        <row r="337">
          <cell r="E337" t="str">
            <v>书写精美的航海日志</v>
          </cell>
          <cell r="F337" t="str">
            <v>书写精美的航海日志</v>
          </cell>
          <cell r="G337" t="str">
            <v>看上去很精致的航海日志，能看出作者十分用心。</v>
          </cell>
          <cell r="H337" t="str">
            <v>item_100</v>
          </cell>
        </row>
        <row r="338">
          <cell r="E338" t="str">
            <v>破破烂烂的航海日志</v>
          </cell>
          <cell r="F338" t="str">
            <v>破破烂烂的航海日志</v>
          </cell>
          <cell r="G338" t="str">
            <v>破破烂烂的航海日志，记录着一些无意义的日常。</v>
          </cell>
          <cell r="H338" t="str">
            <v>item_100</v>
          </cell>
        </row>
        <row r="339">
          <cell r="E339" t="str">
            <v>藏宝图</v>
          </cell>
          <cell r="F339" t="str">
            <v>藏宝图</v>
          </cell>
          <cell r="G339" t="str">
            <v>一张记载着宝物位置的藏宝图。</v>
          </cell>
          <cell r="H339" t="str">
            <v>item_100</v>
          </cell>
        </row>
        <row r="340">
          <cell r="E340" t="str">
            <v>藏宝图的碎片</v>
          </cell>
          <cell r="F340" t="str">
            <v>藏宝图的碎片</v>
          </cell>
          <cell r="G340" t="str">
            <v>藏宝图的碎片，完全看不出藏宝地点。</v>
          </cell>
          <cell r="H340" t="str">
            <v>item_100</v>
          </cell>
        </row>
        <row r="341">
          <cell r="E341" t="str">
            <v>木材</v>
          </cell>
          <cell r="F341" t="str">
            <v>木材</v>
          </cell>
          <cell r="G341" t="str">
            <v>看着还不错的木材，采集后用于交付任务。</v>
          </cell>
          <cell r="H341" t="str">
            <v>item_240002</v>
          </cell>
        </row>
        <row r="342">
          <cell r="E342" t="str">
            <v>稀有草药</v>
          </cell>
          <cell r="F342" t="str">
            <v>稀有草药</v>
          </cell>
          <cell r="G342" t="str">
            <v>很少见的草药，用来缓解疼痛，采集后用于交付任务。</v>
          </cell>
          <cell r="H342" t="str">
            <v>item_240004</v>
          </cell>
        </row>
        <row r="343">
          <cell r="E343" t="str">
            <v>新鲜的鱼</v>
          </cell>
          <cell r="F343" t="str">
            <v>河豚</v>
          </cell>
          <cell r="G343" t="str">
            <v>从浅水区域钓上来的河豚，收集后用于交付任务。</v>
          </cell>
          <cell r="H343" t="str">
            <v>item_431005</v>
          </cell>
        </row>
        <row r="344">
          <cell r="E344" t="str">
            <v>货物</v>
          </cell>
          <cell r="F344" t="str">
            <v>货物</v>
          </cell>
          <cell r="G344" t="str">
            <v>供水商人遗落在野外的货物。</v>
          </cell>
          <cell r="H344" t="str">
            <v>item_100</v>
          </cell>
        </row>
        <row r="345">
          <cell r="E345" t="str">
            <v>反叛军的物资</v>
          </cell>
          <cell r="F345" t="str">
            <v>反叛军的物资</v>
          </cell>
          <cell r="G345" t="str">
            <v>反叛军被夺走的物资。</v>
          </cell>
          <cell r="H345" t="str">
            <v>item_100</v>
          </cell>
        </row>
        <row r="346">
          <cell r="E346" t="str">
            <v>鼓鼓的麻袋</v>
          </cell>
          <cell r="F346" t="str">
            <v>鼓鼓的麻袋</v>
          </cell>
          <cell r="G346" t="str">
            <v>装满物品的麻袋。</v>
          </cell>
          <cell r="H346" t="str">
            <v>item_100</v>
          </cell>
        </row>
        <row r="347">
          <cell r="E347" t="str">
            <v>海军士兵的衣物</v>
          </cell>
          <cell r="F347" t="str">
            <v>海军士兵的衣物</v>
          </cell>
          <cell r="G347" t="str">
            <v>海军士兵的衣物</v>
          </cell>
          <cell r="H347" t="str">
            <v>item_100</v>
          </cell>
        </row>
        <row r="348">
          <cell r="E348" t="str">
            <v>货物</v>
          </cell>
          <cell r="F348" t="str">
            <v>货物</v>
          </cell>
          <cell r="G348" t="str">
            <v>供水商人遗落在野外的货物。</v>
          </cell>
          <cell r="H348" t="str">
            <v>item_100</v>
          </cell>
        </row>
        <row r="349">
          <cell r="E349" t="str">
            <v>食物</v>
          </cell>
          <cell r="F349" t="str">
            <v>食物</v>
          </cell>
          <cell r="G349" t="str">
            <v>在野外找到的装有食物的货箱。</v>
          </cell>
          <cell r="H349" t="str">
            <v>item_100</v>
          </cell>
        </row>
        <row r="350">
          <cell r="E350" t="str">
            <v>矿石</v>
          </cell>
          <cell r="F350" t="str">
            <v>矿石</v>
          </cell>
          <cell r="G350" t="str">
            <v>坚硬的石材，可以用来修建房屋或者围墙。</v>
          </cell>
          <cell r="H350" t="str">
            <v>item_shiliao</v>
          </cell>
        </row>
        <row r="351">
          <cell r="E351" t="str">
            <v>装满财宝的箱子</v>
          </cell>
          <cell r="F351" t="str">
            <v>装满财宝的箱子</v>
          </cell>
          <cell r="G351" t="str">
            <v>据说里面的财宝价值10亿贝里，可惜你打不开。</v>
          </cell>
          <cell r="H351" t="str">
            <v>item_100</v>
          </cell>
        </row>
        <row r="352">
          <cell r="E352" t="str">
            <v>商人的货物</v>
          </cell>
          <cell r="F352" t="str">
            <v>商人的货物</v>
          </cell>
          <cell r="G352" t="str">
            <v>里面都是特别值钱的货物，要是能据为己有的话肯定能让你的战力直升10万。可惜你不能据为己有。</v>
          </cell>
          <cell r="H352" t="str">
            <v>item_100</v>
          </cell>
        </row>
        <row r="353">
          <cell r="E353" t="str">
            <v>日常奖励</v>
          </cell>
          <cell r="F353" t="str">
            <v>每日任务奖励</v>
          </cell>
          <cell r="G353" t="str">
            <v>完成日常任务将会获得大量经验卷轴并有几率获得钻石抽卡卷等稀有道具。</v>
          </cell>
          <cell r="H353" t="str">
            <v>lb-4</v>
          </cell>
        </row>
        <row r="354">
          <cell r="E354" t="str">
            <v>稀有草药</v>
          </cell>
          <cell r="F354" t="str">
            <v>稀有草药</v>
          </cell>
          <cell r="G354" t="str">
            <v>很少见的草药，用来缓解疼痛，采集后用于交付任务。</v>
          </cell>
          <cell r="H354" t="str">
            <v>item_240004</v>
          </cell>
        </row>
        <row r="355">
          <cell r="E355" t="str">
            <v>20级未鉴定英雄套装箱</v>
          </cell>
          <cell r="F355" t="str">
            <v>20级英雄套装箱</v>
          </cell>
          <cell r="G355" t="str">
            <v>开启后可获得完整一套20级英雄套装</v>
          </cell>
          <cell r="H355" t="str">
            <v>item_box_06</v>
          </cell>
        </row>
        <row r="356">
          <cell r="E356" t="str">
            <v>40级未鉴定英雄套装箱</v>
          </cell>
          <cell r="F356" t="str">
            <v>40级英雄套装箱</v>
          </cell>
          <cell r="G356" t="str">
            <v>开启后可获得完整一套40级英雄套装</v>
          </cell>
          <cell r="H356" t="str">
            <v>item_box_06</v>
          </cell>
        </row>
        <row r="357">
          <cell r="E357" t="str">
            <v>货箱</v>
          </cell>
          <cell r="F357" t="str">
            <v>木箱</v>
          </cell>
          <cell r="G357" t="str">
            <v>可用于装各种东西的大箱子</v>
          </cell>
          <cell r="H357" t="str">
            <v>item_100</v>
          </cell>
        </row>
        <row r="358">
          <cell r="E358" t="str">
            <v>石材</v>
          </cell>
          <cell r="F358" t="str">
            <v>石材</v>
          </cell>
          <cell r="G358" t="str">
            <v>坚硬的石材，可以用来修建房屋或者围墙。</v>
          </cell>
          <cell r="H358" t="str">
            <v>item_shiliao</v>
          </cell>
        </row>
        <row r="359">
          <cell r="E359" t="str">
            <v>稀有种子</v>
          </cell>
          <cell r="F359" t="str">
            <v>稀有种子</v>
          </cell>
          <cell r="G359" t="str">
            <v>很少见的草药，用来缓解疼痛，采集后用于交付任务。</v>
          </cell>
          <cell r="H359" t="str">
            <v>item_100</v>
          </cell>
        </row>
        <row r="360">
          <cell r="E360" t="str">
            <v>斩击贝</v>
          </cell>
          <cell r="F360" t="str">
            <v>斩击贝</v>
          </cell>
          <cell r="G360" t="str">
            <v>很少见的草药，用来缓解疼痛，采集后用于交付任务。</v>
          </cell>
          <cell r="H360" t="str">
            <v>item_100</v>
          </cell>
        </row>
        <row r="361">
          <cell r="E361" t="str">
            <v>被抢走的商品</v>
          </cell>
          <cell r="F361" t="str">
            <v>被抢走的商品</v>
          </cell>
          <cell r="G361" t="str">
            <v>很少见的草药，用来缓解疼痛，采集后用于交付任务。</v>
          </cell>
          <cell r="H361" t="str">
            <v>item_100</v>
          </cell>
        </row>
        <row r="362">
          <cell r="E362" t="str">
            <v>木材堆</v>
          </cell>
          <cell r="F362" t="str">
            <v>木材</v>
          </cell>
          <cell r="G362" t="str">
            <v>很少见的草药，用来缓解疼痛，采集后用于交付任务。</v>
          </cell>
          <cell r="H362" t="str">
            <v>item_100</v>
          </cell>
        </row>
        <row r="363">
          <cell r="E363" t="str">
            <v>疗伤草药</v>
          </cell>
          <cell r="F363" t="str">
            <v>稀有草药</v>
          </cell>
          <cell r="G363" t="str">
            <v>很少见的草药，用来缓解疼痛，采集后用于交付任务。</v>
          </cell>
          <cell r="H363" t="str">
            <v>item_100</v>
          </cell>
        </row>
        <row r="364">
          <cell r="E364" t="str">
            <v>杂乱的木材</v>
          </cell>
          <cell r="F364" t="str">
            <v>木材</v>
          </cell>
          <cell r="G364" t="str">
            <v>很少见的草药，用来缓解疼痛，采集后用于交付任务。</v>
          </cell>
          <cell r="H364" t="str">
            <v>item_100</v>
          </cell>
        </row>
        <row r="365">
          <cell r="E365" t="str">
            <v>空箱子</v>
          </cell>
          <cell r="F365" t="str">
            <v>木箱</v>
          </cell>
          <cell r="G365" t="str">
            <v>很少见的草药，用来缓解疼痛，采集后用于交付任务。</v>
          </cell>
          <cell r="H365" t="str">
            <v>item_100</v>
          </cell>
        </row>
        <row r="366">
          <cell r="E366" t="str">
            <v>60级未鉴定普通套装箱</v>
          </cell>
          <cell r="F366" t="str">
            <v>60级普通套装箱</v>
          </cell>
          <cell r="G366" t="str">
            <v>开启后可获得完整一套60级套装</v>
          </cell>
          <cell r="H366" t="str">
            <v>item_box_06</v>
          </cell>
        </row>
        <row r="367">
          <cell r="E367" t="str">
            <v>珍贵的石头</v>
          </cell>
          <cell r="F367" t="str">
            <v>珍贵的石头</v>
          </cell>
          <cell r="G367" t="str">
            <v>很少见的草药，用来缓解疼痛，采集后用于交付任务。</v>
          </cell>
          <cell r="H367" t="str">
            <v>item_100</v>
          </cell>
        </row>
        <row r="368">
          <cell r="E368" t="str">
            <v>贵重的草药</v>
          </cell>
          <cell r="F368" t="str">
            <v>贵重的草药</v>
          </cell>
          <cell r="G368" t="str">
            <v>很少见的草药，用来缓解疼痛，采集后用于交付任务。</v>
          </cell>
          <cell r="H368" t="str">
            <v>item_100</v>
          </cell>
        </row>
        <row r="369">
          <cell r="E369" t="str">
            <v>隐藏的东西</v>
          </cell>
          <cell r="F369" t="str">
            <v>隐藏的东西</v>
          </cell>
          <cell r="G369" t="str">
            <v>很少见的草药，用来缓解疼痛，采集后用于交付任务。</v>
          </cell>
          <cell r="H369" t="str">
            <v>item_100</v>
          </cell>
        </row>
        <row r="370">
          <cell r="E370" t="str">
            <v>引以为豪的斧子</v>
          </cell>
          <cell r="F370" t="str">
            <v>引以为豪的斧子</v>
          </cell>
          <cell r="G370" t="str">
            <v>很少见的草药，用来缓解疼痛，采集后用于交付任务。</v>
          </cell>
          <cell r="H370" t="str">
            <v>item_100</v>
          </cell>
        </row>
        <row r="371">
          <cell r="E371" t="str">
            <v>薄荷</v>
          </cell>
          <cell r="F371" t="str">
            <v>薄荷</v>
          </cell>
          <cell r="G371" t="str">
            <v>很少见的草药，用来缓解疼痛，采集后用于交付任务。</v>
          </cell>
          <cell r="H371" t="str">
            <v>item_100</v>
          </cell>
        </row>
        <row r="372">
          <cell r="E372" t="str">
            <v>钥匙</v>
          </cell>
          <cell r="F372" t="str">
            <v>钥匙</v>
          </cell>
          <cell r="G372" t="str">
            <v>很少见的草药，用来缓解疼痛，采集后用于交付任务。</v>
          </cell>
          <cell r="H372" t="str">
            <v>item_100</v>
          </cell>
        </row>
        <row r="373">
          <cell r="E373" t="str">
            <v>重要的行李</v>
          </cell>
          <cell r="F373" t="str">
            <v>重要的行李</v>
          </cell>
          <cell r="G373" t="str">
            <v>很少见的草药，用来缓解疼痛，采集后用于交付任务。</v>
          </cell>
          <cell r="H373" t="str">
            <v>item_100</v>
          </cell>
        </row>
        <row r="374">
          <cell r="E374" t="str">
            <v>重要的记录</v>
          </cell>
          <cell r="F374" t="str">
            <v>重要的记录</v>
          </cell>
          <cell r="G374" t="str">
            <v>很少见的草药，用来缓解疼痛，采集后用于交付任务。</v>
          </cell>
          <cell r="H374" t="str">
            <v>item_100</v>
          </cell>
        </row>
        <row r="375">
          <cell r="E375" t="str">
            <v>贵妇的商品</v>
          </cell>
          <cell r="F375" t="str">
            <v>贵妇的商品</v>
          </cell>
          <cell r="G375" t="str">
            <v>很少见的草药，用来缓解疼痛，采集后用于交付任务。</v>
          </cell>
          <cell r="H375" t="str">
            <v>item_100</v>
          </cell>
        </row>
        <row r="376">
          <cell r="E376" t="str">
            <v>解毒草</v>
          </cell>
          <cell r="F376" t="str">
            <v>解毒草</v>
          </cell>
          <cell r="G376" t="str">
            <v>很少见的草药，用来缓解疼痛，采集后用于交付任务。</v>
          </cell>
          <cell r="H376" t="str">
            <v>item_100</v>
          </cell>
        </row>
        <row r="377">
          <cell r="E377" t="str">
            <v>初级突破书</v>
          </cell>
          <cell r="F377" t="str">
            <v>初级突破书</v>
          </cell>
          <cell r="G377" t="str">
            <v>角色突破道具。</v>
          </cell>
          <cell r="H377" t="str">
            <v>item_2009</v>
          </cell>
        </row>
        <row r="378">
          <cell r="E378" t="str">
            <v>初级突破皇冠</v>
          </cell>
          <cell r="F378" t="str">
            <v>初级突破皇冠</v>
          </cell>
          <cell r="G378" t="str">
            <v>角色突破道具。</v>
          </cell>
          <cell r="H378" t="str">
            <v>item_2111</v>
          </cell>
        </row>
        <row r="379">
          <cell r="E379" t="str">
            <v>初级突破卷轴</v>
          </cell>
          <cell r="F379" t="str">
            <v>初级突破卷轴</v>
          </cell>
          <cell r="G379" t="str">
            <v>角色突破道具。</v>
          </cell>
          <cell r="H379" t="str">
            <v>item_2112</v>
          </cell>
        </row>
        <row r="380">
          <cell r="E380" t="str">
            <v>初级突破海图</v>
          </cell>
          <cell r="F380" t="str">
            <v>初级突破海图</v>
          </cell>
          <cell r="G380" t="str">
            <v>角色突破道具。</v>
          </cell>
          <cell r="H380" t="str">
            <v>item_2113</v>
          </cell>
        </row>
        <row r="381">
          <cell r="E381" t="str">
            <v>初级突破灵药</v>
          </cell>
          <cell r="F381" t="str">
            <v>初级突破灵药</v>
          </cell>
          <cell r="G381" t="str">
            <v>角色突破道具。</v>
          </cell>
          <cell r="H381" t="str">
            <v>item_2114</v>
          </cell>
        </row>
        <row r="382">
          <cell r="E382" t="str">
            <v>中级突破书</v>
          </cell>
          <cell r="F382" t="str">
            <v>中级突破书</v>
          </cell>
          <cell r="G382" t="str">
            <v>角色突破道具。</v>
          </cell>
          <cell r="H382" t="str">
            <v>item_3009</v>
          </cell>
        </row>
        <row r="383">
          <cell r="E383" t="str">
            <v>中级突破皇冠</v>
          </cell>
          <cell r="F383" t="str">
            <v>中级突破皇冠</v>
          </cell>
          <cell r="G383" t="str">
            <v>角色突破道具。</v>
          </cell>
          <cell r="H383" t="str">
            <v>item_3111</v>
          </cell>
        </row>
        <row r="384">
          <cell r="E384" t="str">
            <v>中级突破卷轴</v>
          </cell>
          <cell r="F384" t="str">
            <v>中级突破卷轴</v>
          </cell>
          <cell r="G384" t="str">
            <v>角色突破道具。</v>
          </cell>
          <cell r="H384" t="str">
            <v>item_3112</v>
          </cell>
        </row>
        <row r="385">
          <cell r="E385" t="str">
            <v>中级突破海图</v>
          </cell>
          <cell r="F385" t="str">
            <v>中级突破海图</v>
          </cell>
          <cell r="G385" t="str">
            <v>角色突破道具。</v>
          </cell>
          <cell r="H385" t="str">
            <v>item_3113</v>
          </cell>
        </row>
        <row r="386">
          <cell r="E386" t="str">
            <v>中级突破灵药</v>
          </cell>
          <cell r="F386" t="str">
            <v>中级突破灵药</v>
          </cell>
          <cell r="G386" t="str">
            <v>角色突破道具。</v>
          </cell>
          <cell r="H386" t="str">
            <v>item_3114</v>
          </cell>
        </row>
        <row r="387">
          <cell r="E387" t="str">
            <v>高级突破书</v>
          </cell>
          <cell r="F387" t="str">
            <v>高级突破书</v>
          </cell>
          <cell r="G387" t="str">
            <v>角色突破道具。</v>
          </cell>
          <cell r="H387" t="str">
            <v>item_4009</v>
          </cell>
        </row>
        <row r="388">
          <cell r="E388" t="str">
            <v>高级突破皇冠</v>
          </cell>
          <cell r="F388" t="str">
            <v>高级突破皇冠</v>
          </cell>
          <cell r="G388" t="str">
            <v>角色突破道具。</v>
          </cell>
          <cell r="H388" t="str">
            <v>item_4111</v>
          </cell>
        </row>
        <row r="389">
          <cell r="E389" t="str">
            <v>高级突破卷轴</v>
          </cell>
          <cell r="F389" t="str">
            <v>高级突破卷轴</v>
          </cell>
          <cell r="G389" t="str">
            <v>角色突破道具。</v>
          </cell>
          <cell r="H389" t="str">
            <v>item_4112</v>
          </cell>
        </row>
        <row r="390">
          <cell r="E390" t="str">
            <v>高级突破海图</v>
          </cell>
          <cell r="F390" t="str">
            <v>高级突破海图</v>
          </cell>
          <cell r="G390" t="str">
            <v>角色突破道具。</v>
          </cell>
          <cell r="H390" t="str">
            <v>item_4113</v>
          </cell>
        </row>
        <row r="391">
          <cell r="E391" t="str">
            <v>高级突破灵药</v>
          </cell>
          <cell r="F391" t="str">
            <v>高级突破灵药</v>
          </cell>
          <cell r="G391" t="str">
            <v>角色突破道具。</v>
          </cell>
          <cell r="H391" t="str">
            <v>item_4114</v>
          </cell>
        </row>
        <row r="392">
          <cell r="E392" t="str">
            <v>超级突破书</v>
          </cell>
          <cell r="F392" t="str">
            <v>超级突破书</v>
          </cell>
          <cell r="G392" t="str">
            <v>角色突破道具。</v>
          </cell>
          <cell r="H392" t="str">
            <v>item_5009</v>
          </cell>
        </row>
        <row r="393">
          <cell r="E393" t="str">
            <v>超级突破皇冠</v>
          </cell>
          <cell r="F393" t="str">
            <v>超级突破皇冠</v>
          </cell>
          <cell r="G393" t="str">
            <v>角色突破道具。</v>
          </cell>
          <cell r="H393" t="str">
            <v>item_5111</v>
          </cell>
        </row>
        <row r="394">
          <cell r="E394" t="str">
            <v>超级突破卷轴</v>
          </cell>
          <cell r="F394" t="str">
            <v>超级突破卷轴</v>
          </cell>
          <cell r="G394" t="str">
            <v>角色突破道具。</v>
          </cell>
          <cell r="H394" t="str">
            <v>item_5112</v>
          </cell>
        </row>
        <row r="395">
          <cell r="E395" t="str">
            <v>超级突破海图</v>
          </cell>
          <cell r="F395" t="str">
            <v>超级突破海图</v>
          </cell>
          <cell r="G395" t="str">
            <v>角色突破道具。</v>
          </cell>
          <cell r="H395" t="str">
            <v>item_5113</v>
          </cell>
        </row>
        <row r="396">
          <cell r="E396" t="str">
            <v>超级突破灵药</v>
          </cell>
          <cell r="F396" t="str">
            <v>超级突破灵药</v>
          </cell>
          <cell r="G396" t="str">
            <v>角色突破道具。</v>
          </cell>
          <cell r="H396" t="str">
            <v>item_5114</v>
          </cell>
        </row>
        <row r="397">
          <cell r="E397" t="str">
            <v>20级装备宝箱</v>
          </cell>
          <cell r="F397" t="str">
            <v>装备宝箱</v>
          </cell>
          <cell r="G397" t="str">
            <v>打开随机获得20级装备。</v>
          </cell>
          <cell r="H397" t="str">
            <v>item_box_05</v>
          </cell>
        </row>
        <row r="398">
          <cell r="E398" t="str">
            <v>30级装备宝箱</v>
          </cell>
          <cell r="F398" t="str">
            <v>装备宝箱</v>
          </cell>
          <cell r="G398" t="str">
            <v>打开随机获得30级装备。</v>
          </cell>
          <cell r="H398" t="str">
            <v>item_box_05</v>
          </cell>
        </row>
        <row r="399">
          <cell r="E399" t="str">
            <v>40级装备宝箱</v>
          </cell>
          <cell r="F399" t="str">
            <v>装备宝箱</v>
          </cell>
          <cell r="G399" t="str">
            <v>打开随机获得40级装备。</v>
          </cell>
          <cell r="H399" t="str">
            <v>item_box_05</v>
          </cell>
        </row>
        <row r="400">
          <cell r="E400" t="str">
            <v>50级装备宝箱</v>
          </cell>
          <cell r="F400" t="str">
            <v>装备宝箱</v>
          </cell>
          <cell r="G400" t="str">
            <v>打开随机获得50级装备。</v>
          </cell>
          <cell r="H400" t="str">
            <v>item_box_05</v>
          </cell>
        </row>
        <row r="401">
          <cell r="E401" t="str">
            <v>60级装备宝箱</v>
          </cell>
          <cell r="F401" t="str">
            <v>装备宝箱</v>
          </cell>
          <cell r="G401" t="str">
            <v>打开随机获得60级装备。</v>
          </cell>
          <cell r="H401" t="str">
            <v>item_box_05</v>
          </cell>
        </row>
        <row r="402">
          <cell r="E402" t="str">
            <v>英雄套装宝箱</v>
          </cell>
          <cell r="F402" t="str">
            <v>英雄套装宝箱</v>
          </cell>
          <cell r="G402" t="str">
            <v>打开随机获得一套60级英雄套装。</v>
          </cell>
          <cell r="H402" t="str">
            <v>item_box_02</v>
          </cell>
        </row>
        <row r="403">
          <cell r="E403" t="str">
            <v>英雄装备宝箱</v>
          </cell>
          <cell r="F403" t="str">
            <v>英雄装备宝箱</v>
          </cell>
          <cell r="G403" t="str">
            <v>打开随机获得一件60级英雄装备。</v>
          </cell>
          <cell r="H403" t="str">
            <v>item_box_02</v>
          </cell>
        </row>
        <row r="404">
          <cell r="E404" t="str">
            <v>40英雄武器</v>
          </cell>
          <cell r="F404" t="str">
            <v>完美武器宝箱</v>
          </cell>
          <cell r="G404" t="str">
            <v>打开随机获得一件40级英雄武器。</v>
          </cell>
          <cell r="H404" t="str">
            <v>item_box_05</v>
          </cell>
        </row>
        <row r="405">
          <cell r="E405" t="str">
            <v>40英雄防具</v>
          </cell>
          <cell r="F405" t="str">
            <v>完美防具宝箱</v>
          </cell>
          <cell r="G405" t="str">
            <v>打开随机获得一件40级英雄防具。</v>
          </cell>
          <cell r="H405" t="str">
            <v>item_box_05</v>
          </cell>
        </row>
        <row r="406">
          <cell r="E406" t="str">
            <v>40英雄戒指</v>
          </cell>
          <cell r="F406" t="str">
            <v>完美戒指宝箱</v>
          </cell>
          <cell r="G406" t="str">
            <v>打开随机获得一件40级英雄戒指。</v>
          </cell>
          <cell r="H406" t="str">
            <v>item_box_05</v>
          </cell>
        </row>
        <row r="407">
          <cell r="E407" t="str">
            <v>40英雄项链</v>
          </cell>
          <cell r="F407" t="str">
            <v>完美项链宝箱</v>
          </cell>
          <cell r="G407" t="str">
            <v>打开随机获得一件40级英雄项链。</v>
          </cell>
          <cell r="H407" t="str">
            <v>item_box_05</v>
          </cell>
        </row>
        <row r="408">
          <cell r="E408" t="str">
            <v>英雄武器宝箱
（只有60级的）</v>
          </cell>
          <cell r="F408" t="str">
            <v>极致武器宝箱</v>
          </cell>
          <cell r="G408" t="str">
            <v>打开随机获得一件60级英雄武器。</v>
          </cell>
          <cell r="H408" t="str">
            <v>item_box_06</v>
          </cell>
        </row>
        <row r="409">
          <cell r="E409" t="str">
            <v>60英雄防具</v>
          </cell>
          <cell r="F409" t="str">
            <v>极致防具宝箱</v>
          </cell>
          <cell r="G409" t="str">
            <v>打开随机获得一件60级英雄防具。</v>
          </cell>
          <cell r="H409" t="str">
            <v>item_box_06</v>
          </cell>
        </row>
        <row r="410">
          <cell r="E410" t="str">
            <v>60英雄戒指</v>
          </cell>
          <cell r="F410" t="str">
            <v>极致戒指宝箱</v>
          </cell>
          <cell r="G410" t="str">
            <v>打开随机获得一件60级英雄戒指。</v>
          </cell>
          <cell r="H410" t="str">
            <v>item_box_06</v>
          </cell>
        </row>
        <row r="411">
          <cell r="E411" t="str">
            <v>60英雄项链</v>
          </cell>
          <cell r="F411" t="str">
            <v>极致项链宝箱</v>
          </cell>
          <cell r="G411" t="str">
            <v>打开随机获得一件60级英雄项链。</v>
          </cell>
          <cell r="H411" t="str">
            <v>item_box_06</v>
          </cell>
        </row>
        <row r="412">
          <cell r="E412" t="str">
            <v>每日任务奖励袋子</v>
          </cell>
          <cell r="F412" t="str">
            <v>日常任务奖励</v>
          </cell>
          <cell r="G412" t="str">
            <v>每日任务中获得的奖励。</v>
          </cell>
          <cell r="H412" t="str">
            <v>item_box_07</v>
          </cell>
        </row>
        <row r="413">
          <cell r="E413" t="str">
            <v>讨伐任务袋子</v>
          </cell>
          <cell r="F413" t="str">
            <v>讨伐任务奖励</v>
          </cell>
          <cell r="G413" t="str">
            <v>讨伐任务中获得的奖励，打开后可以随机获得道具和装备奖励。</v>
          </cell>
          <cell r="H413" t="str">
            <v>item_box_07</v>
          </cell>
        </row>
        <row r="414">
          <cell r="E414" t="str">
            <v>队长奖励袋子</v>
          </cell>
          <cell r="F414" t="str">
            <v>队长奖励袋</v>
          </cell>
          <cell r="G414" t="str">
            <v>讨伐任务中作为队长额外获得的奖励，打开后可以获得经验卷轴。</v>
          </cell>
          <cell r="H414" t="str">
            <v>item_box_07</v>
          </cell>
        </row>
        <row r="415">
          <cell r="E415" t="str">
            <v>队长奖励袋子</v>
          </cell>
          <cell r="F415" t="str">
            <v>队长奖励袋</v>
          </cell>
          <cell r="G415" t="str">
            <v>讨伐任务中作为队长额外获得的奖励，打开后可以获得经验卷轴。</v>
          </cell>
          <cell r="H415" t="str">
            <v>item_box_07</v>
          </cell>
        </row>
        <row r="416">
          <cell r="E416" t="str">
            <v>队长奖励袋子</v>
          </cell>
          <cell r="F416" t="str">
            <v>队长奖励袋</v>
          </cell>
          <cell r="G416" t="str">
            <v>讨伐任务中作为队长额外获得的奖励，打开后可以获得经验卷轴。</v>
          </cell>
          <cell r="H416" t="str">
            <v>item_box_08</v>
          </cell>
        </row>
        <row r="417">
          <cell r="E417" t="str">
            <v>队长奖励袋子</v>
          </cell>
          <cell r="F417" t="str">
            <v>队长奖励袋</v>
          </cell>
          <cell r="G417" t="str">
            <v>讨伐任务中作为队长额外获得的奖励，打开后可以获得经验卷轴。</v>
          </cell>
          <cell r="H417" t="str">
            <v>item_box_09</v>
          </cell>
        </row>
        <row r="418">
          <cell r="E418" t="str">
            <v>日常任务礼包1</v>
          </cell>
          <cell r="F418" t="str">
            <v>日常任务礼包</v>
          </cell>
          <cell r="G418" t="str">
            <v>打开后随机获得一件道具，有概率获得稀有道具。</v>
          </cell>
          <cell r="H418" t="str">
            <v>item_box_11</v>
          </cell>
        </row>
        <row r="419">
          <cell r="E419" t="str">
            <v>日常任务礼包20</v>
          </cell>
          <cell r="F419" t="str">
            <v>日常任务礼包</v>
          </cell>
          <cell r="G419" t="str">
            <v>打开后随机获得一件道具，有概率获得稀有道具。</v>
          </cell>
          <cell r="H419" t="str">
            <v>item_box_12</v>
          </cell>
        </row>
        <row r="420">
          <cell r="E420" t="str">
            <v>日常任务礼包40</v>
          </cell>
          <cell r="F420" t="str">
            <v>日常任务礼包</v>
          </cell>
          <cell r="G420" t="str">
            <v>打开后随机获得一件道具，有概率获得稀有道具。</v>
          </cell>
          <cell r="H420" t="str">
            <v>item_box_13</v>
          </cell>
        </row>
        <row r="421">
          <cell r="E421" t="str">
            <v>日常任务礼包60</v>
          </cell>
          <cell r="F421" t="str">
            <v>日常任务礼包</v>
          </cell>
          <cell r="G421" t="str">
            <v>打开后随机获得一件道具，有概率获得稀有道具。</v>
          </cell>
          <cell r="H421" t="str">
            <v>item_box_14</v>
          </cell>
        </row>
        <row r="422">
          <cell r="E422" t="str">
            <v>讨伐任务礼包</v>
          </cell>
          <cell r="F422" t="str">
            <v>讨伐任务礼包</v>
          </cell>
          <cell r="G422" t="str">
            <v>打开后随机获得一件道具，有概率获得稀有道具。</v>
          </cell>
          <cell r="H422" t="str">
            <v>item_box_15</v>
          </cell>
        </row>
        <row r="423">
          <cell r="E423" t="str">
            <v>讨伐任务礼包</v>
          </cell>
          <cell r="F423" t="str">
            <v>讨伐任务礼包</v>
          </cell>
          <cell r="G423" t="str">
            <v>打开后随机获得一件道具，有概率获得稀有道具。</v>
          </cell>
          <cell r="H423" t="str">
            <v>item_box_16</v>
          </cell>
        </row>
        <row r="424">
          <cell r="E424" t="str">
            <v>讨伐任务礼包</v>
          </cell>
          <cell r="F424" t="str">
            <v>讨伐任务礼包</v>
          </cell>
          <cell r="G424" t="str">
            <v>打开后随机获得一件道具，有概率获得稀有道具。</v>
          </cell>
          <cell r="H424" t="str">
            <v>item_box_17</v>
          </cell>
        </row>
        <row r="425">
          <cell r="E425" t="str">
            <v>讨伐任务礼包</v>
          </cell>
          <cell r="F425" t="str">
            <v>讨伐任务礼包</v>
          </cell>
          <cell r="G425" t="str">
            <v>打开后随机获得一件道具，有概率获得稀有道具。</v>
          </cell>
          <cell r="H425" t="str">
            <v>item_box_18</v>
          </cell>
        </row>
        <row r="426">
          <cell r="E426" t="str">
            <v>20英雄装备（讨伐）</v>
          </cell>
          <cell r="F426" t="str">
            <v>英雄装备箱</v>
          </cell>
          <cell r="G426" t="str">
            <v>打开后随机获得一件20级英雄装备。</v>
          </cell>
          <cell r="H426" t="str">
            <v>item_box_01</v>
          </cell>
        </row>
        <row r="427">
          <cell r="E427" t="str">
            <v>40英雄装备（讨伐）</v>
          </cell>
          <cell r="F427" t="str">
            <v>英雄装备箱</v>
          </cell>
          <cell r="G427" t="str">
            <v>打开后随机获得一件40级英雄装备。</v>
          </cell>
          <cell r="H427" t="str">
            <v>item_box_02</v>
          </cell>
        </row>
        <row r="428">
          <cell r="E428" t="str">
            <v>60英雄装备（讨伐）</v>
          </cell>
          <cell r="F428" t="str">
            <v>英雄装备箱</v>
          </cell>
          <cell r="G428" t="str">
            <v>打开后随机获得一件60级英雄装备。</v>
          </cell>
          <cell r="H428" t="str">
            <v>item_box_02</v>
          </cell>
        </row>
        <row r="429">
          <cell r="E429" t="str">
            <v>20装备（讨伐）</v>
          </cell>
          <cell r="F429" t="str">
            <v>装备宝箱</v>
          </cell>
          <cell r="G429" t="str">
            <v>打开随机获得一件20级装备。</v>
          </cell>
          <cell r="H429" t="str">
            <v>item_box_01</v>
          </cell>
        </row>
        <row r="430">
          <cell r="E430" t="str">
            <v>40装备（讨伐）</v>
          </cell>
          <cell r="F430" t="str">
            <v>装备宝箱</v>
          </cell>
          <cell r="G430" t="str">
            <v>打开随机获得一件40级装备。</v>
          </cell>
          <cell r="H430" t="str">
            <v>item_box_02</v>
          </cell>
        </row>
        <row r="431">
          <cell r="E431" t="str">
            <v>60装备（讨伐）</v>
          </cell>
          <cell r="F431" t="str">
            <v>装备宝箱</v>
          </cell>
          <cell r="G431" t="str">
            <v>打开随机获得一件60级装备。</v>
          </cell>
          <cell r="H431" t="str">
            <v>item_box_02</v>
          </cell>
        </row>
        <row r="432">
          <cell r="E432" t="str">
            <v>15级野外礼包</v>
          </cell>
          <cell r="F432" t="str">
            <v>野外礼包</v>
          </cell>
          <cell r="G432" t="str">
            <v>野外挂机时掉落的特殊礼包，打开可以获得金块、经验卷轴、宝石等奖励。</v>
          </cell>
          <cell r="H432" t="str">
            <v>item_box_11</v>
          </cell>
        </row>
        <row r="433">
          <cell r="E433" t="str">
            <v>25级野外礼包</v>
          </cell>
          <cell r="F433" t="str">
            <v>野外礼包</v>
          </cell>
          <cell r="G433" t="str">
            <v>野外挂机时掉落的特殊礼包，打开可以获得金块、经验卷轴、宝石等奖励。</v>
          </cell>
          <cell r="H433" t="str">
            <v>item_box_11</v>
          </cell>
        </row>
        <row r="434">
          <cell r="E434" t="str">
            <v>黑市20武器</v>
          </cell>
          <cell r="F434" t="str">
            <v>部位：武器</v>
          </cell>
          <cell r="G434" t="str">
            <v>随机获得一件20级未鉴定武器。</v>
          </cell>
          <cell r="H434" t="str">
            <v>item_250051</v>
          </cell>
        </row>
        <row r="435">
          <cell r="E435" t="str">
            <v>黑市20防具</v>
          </cell>
          <cell r="F435" t="str">
            <v>部位：防具</v>
          </cell>
          <cell r="G435" t="str">
            <v>随机获得一件20级未鉴定防具。</v>
          </cell>
          <cell r="H435" t="str">
            <v>item_250052</v>
          </cell>
        </row>
        <row r="436">
          <cell r="E436" t="str">
            <v>黑市20戒指</v>
          </cell>
          <cell r="F436" t="str">
            <v>部位：戒指</v>
          </cell>
          <cell r="G436" t="str">
            <v>随机获得一件20级未鉴定戒指。</v>
          </cell>
          <cell r="H436" t="str">
            <v>item_250053</v>
          </cell>
        </row>
        <row r="437">
          <cell r="E437" t="str">
            <v>黑市20项链</v>
          </cell>
          <cell r="F437" t="str">
            <v>部位：项链</v>
          </cell>
          <cell r="G437" t="str">
            <v>随机获得一件20级未鉴定项链。</v>
          </cell>
          <cell r="H437" t="str">
            <v>item_250054</v>
          </cell>
        </row>
        <row r="438">
          <cell r="E438" t="str">
            <v>黑市40武器</v>
          </cell>
          <cell r="F438" t="str">
            <v>部位：武器</v>
          </cell>
          <cell r="G438" t="str">
            <v>随机获得一件40级未鉴定武器。</v>
          </cell>
          <cell r="H438" t="str">
            <v>item_250051</v>
          </cell>
        </row>
        <row r="439">
          <cell r="E439" t="str">
            <v>黑市40防具</v>
          </cell>
          <cell r="F439" t="str">
            <v>部位：防具</v>
          </cell>
          <cell r="G439" t="str">
            <v>随机获得一件40级未鉴定防具。</v>
          </cell>
          <cell r="H439" t="str">
            <v>item_250052</v>
          </cell>
        </row>
        <row r="440">
          <cell r="E440" t="str">
            <v>黑市40戒指</v>
          </cell>
          <cell r="F440" t="str">
            <v>部位：戒指</v>
          </cell>
          <cell r="G440" t="str">
            <v>随机获得一件40级未鉴定戒指。</v>
          </cell>
          <cell r="H440" t="str">
            <v>item_250053</v>
          </cell>
        </row>
        <row r="441">
          <cell r="E441" t="str">
            <v>黑市40项链</v>
          </cell>
          <cell r="F441" t="str">
            <v>部位：项链</v>
          </cell>
          <cell r="G441" t="str">
            <v>随机获得一件40级未鉴定项链。</v>
          </cell>
          <cell r="H441" t="str">
            <v>item_250054</v>
          </cell>
        </row>
        <row r="442">
          <cell r="E442" t="str">
            <v>30级英雄装备箱</v>
          </cell>
          <cell r="F442" t="str">
            <v>英雄装备箱</v>
          </cell>
          <cell r="G442" t="str">
            <v>打开后获得一套30级英雄装备。</v>
          </cell>
          <cell r="H442" t="str">
            <v>item_box_06</v>
          </cell>
        </row>
        <row r="443">
          <cell r="E443" t="str">
            <v>黑市60武器</v>
          </cell>
          <cell r="F443" t="str">
            <v>部位：武器</v>
          </cell>
          <cell r="G443" t="str">
            <v>随机获得一件60级未鉴定武器。</v>
          </cell>
          <cell r="H443" t="str">
            <v>item_250051</v>
          </cell>
        </row>
        <row r="444">
          <cell r="E444" t="str">
            <v>黑市60防具</v>
          </cell>
          <cell r="F444" t="str">
            <v>部位：防具</v>
          </cell>
          <cell r="G444" t="str">
            <v>随机获得一件60级未鉴定防具。</v>
          </cell>
          <cell r="H444" t="str">
            <v>item_250052</v>
          </cell>
        </row>
        <row r="445">
          <cell r="E445" t="str">
            <v>黑市60戒指</v>
          </cell>
          <cell r="F445" t="str">
            <v>部位：戒指</v>
          </cell>
          <cell r="G445" t="str">
            <v>随机获得一件60级未鉴定戒指。</v>
          </cell>
          <cell r="H445" t="str">
            <v>item_250053</v>
          </cell>
        </row>
        <row r="446">
          <cell r="E446" t="str">
            <v>黑市60项链</v>
          </cell>
          <cell r="F446" t="str">
            <v>部位：项链</v>
          </cell>
          <cell r="G446" t="str">
            <v>随机获得一件60级未鉴定项链。</v>
          </cell>
          <cell r="H446" t="str">
            <v>item_250054</v>
          </cell>
        </row>
        <row r="447">
          <cell r="E447" t="str">
            <v>30级野外礼包</v>
          </cell>
          <cell r="F447" t="str">
            <v>野外礼包</v>
          </cell>
          <cell r="G447" t="str">
            <v>野外挂机时掉落的特殊礼包，打开可以获得金块、经验卷轴、宝石等奖励。</v>
          </cell>
          <cell r="H447" t="str">
            <v>item_box_11</v>
          </cell>
        </row>
        <row r="448">
          <cell r="E448" t="str">
            <v>40级野外礼包</v>
          </cell>
          <cell r="F448" t="str">
            <v>野外礼包</v>
          </cell>
          <cell r="G448" t="str">
            <v>野外挂机时掉落的特殊礼包，打开可以获得金块、经验卷轴、宝石等奖励。</v>
          </cell>
          <cell r="H448" t="str">
            <v>item_box_11</v>
          </cell>
        </row>
        <row r="449">
          <cell r="E449" t="str">
            <v>50级野外礼包</v>
          </cell>
          <cell r="F449" t="str">
            <v>野外礼包</v>
          </cell>
          <cell r="G449" t="str">
            <v>野外挂机时掉落的特殊礼包，打开可以获得金块、经验卷轴、宝石等奖励。</v>
          </cell>
          <cell r="H449" t="str">
            <v>item_box_11</v>
          </cell>
        </row>
        <row r="450">
          <cell r="E450" t="str">
            <v>60级野外礼包</v>
          </cell>
          <cell r="F450" t="str">
            <v>野外礼包</v>
          </cell>
          <cell r="G450" t="str">
            <v>野外挂机时掉落的特殊礼包，打开可以获得金块、经验卷轴、宝石等奖励。</v>
          </cell>
          <cell r="H450" t="str">
            <v>item_box_11</v>
          </cell>
        </row>
        <row r="451">
          <cell r="E451" t="str">
            <v>英雄套装宝箱（40）</v>
          </cell>
          <cell r="F451" t="str">
            <v>英雄套装宝箱</v>
          </cell>
          <cell r="G451" t="str">
            <v>打开后随机获得一件40级未鉴定英雄套装。</v>
          </cell>
          <cell r="H451" t="str">
            <v>item_box_05</v>
          </cell>
        </row>
        <row r="452">
          <cell r="E452" t="str">
            <v>英雄装备宝箱（40）</v>
          </cell>
          <cell r="F452" t="str">
            <v>英雄装备宝箱</v>
          </cell>
          <cell r="G452" t="str">
            <v>打开后随机获得一件40级未鉴定英雄装备，有概率获得英雄套装。</v>
          </cell>
          <cell r="H452" t="str">
            <v>item_box_05</v>
          </cell>
        </row>
        <row r="453">
          <cell r="E453" t="str">
            <v>随机装备宝箱（40）</v>
          </cell>
          <cell r="F453" t="str">
            <v>随机装备宝箱</v>
          </cell>
          <cell r="G453" t="str">
            <v>打开后随机获得一件40级装备，有概率获得英雄装备及英雄套装。</v>
          </cell>
          <cell r="H453" t="str">
            <v>item_box_05</v>
          </cell>
        </row>
        <row r="454">
          <cell r="E454" t="str">
            <v>英雄套装宝箱（60）</v>
          </cell>
          <cell r="F454" t="str">
            <v>英雄套装宝箱</v>
          </cell>
          <cell r="G454" t="str">
            <v>打开后随机获得一件60级未鉴定英雄套装。</v>
          </cell>
          <cell r="H454" t="str">
            <v>item_box_06</v>
          </cell>
        </row>
        <row r="455">
          <cell r="E455" t="str">
            <v>英雄装备宝箱（60）</v>
          </cell>
          <cell r="F455" t="str">
            <v>英雄装备宝箱</v>
          </cell>
          <cell r="G455" t="str">
            <v>打开后随机获得一件60级未鉴定英雄装备，有概率获得英雄套装。</v>
          </cell>
          <cell r="H455" t="str">
            <v>item_box_06</v>
          </cell>
        </row>
        <row r="456">
          <cell r="E456" t="str">
            <v>随机装备宝箱（60）</v>
          </cell>
          <cell r="F456" t="str">
            <v>随机装备宝箱</v>
          </cell>
          <cell r="G456" t="str">
            <v>打开后随机获得一件60级装备，有概率获得英雄装备及英雄套装。</v>
          </cell>
          <cell r="H456" t="str">
            <v>item_box_06</v>
          </cell>
        </row>
        <row r="457">
          <cell r="E457" t="str">
            <v>随机SR礼盒</v>
          </cell>
          <cell r="F457" t="str">
            <v>随机SR礼盒</v>
          </cell>
          <cell r="G457" t="str">
            <v>打开后随机获得一名SR角色。</v>
          </cell>
          <cell r="H457" t="str">
            <v>item_box_03</v>
          </cell>
        </row>
        <row r="458">
          <cell r="E458" t="str">
            <v>随机SSR礼盒</v>
          </cell>
          <cell r="F458" t="str">
            <v>随机SSR礼盒</v>
          </cell>
          <cell r="G458" t="str">
            <v>打开后随机获得一名SSR角色。</v>
          </cell>
          <cell r="H458" t="str">
            <v>item_box_04</v>
          </cell>
        </row>
        <row r="459">
          <cell r="E459" t="str">
            <v>英雄装备宝箱（50）</v>
          </cell>
          <cell r="F459" t="str">
            <v>英雄装备宝箱</v>
          </cell>
          <cell r="G459" t="str">
            <v>打开后随机获得一件50级未鉴定英雄装备。</v>
          </cell>
          <cell r="H459" t="str">
            <v>item_box_06</v>
          </cell>
        </row>
        <row r="460">
          <cell r="E460" t="str">
            <v>黑市30武器</v>
          </cell>
          <cell r="F460" t="str">
            <v>部位：武器</v>
          </cell>
          <cell r="G460" t="str">
            <v>随机获得一件30级未鉴定武器。</v>
          </cell>
          <cell r="H460" t="str">
            <v>item_250051</v>
          </cell>
        </row>
        <row r="461">
          <cell r="E461" t="str">
            <v>黑市30防具</v>
          </cell>
          <cell r="F461" t="str">
            <v>部位：防具</v>
          </cell>
          <cell r="G461" t="str">
            <v>随机获得一件30级未鉴定防具。</v>
          </cell>
          <cell r="H461" t="str">
            <v>item_250052</v>
          </cell>
        </row>
        <row r="462">
          <cell r="E462" t="str">
            <v>黑市30戒指</v>
          </cell>
          <cell r="F462" t="str">
            <v>部位：戒指</v>
          </cell>
          <cell r="G462" t="str">
            <v>随机获得一件30级未鉴定戒指。</v>
          </cell>
          <cell r="H462" t="str">
            <v>item_250053</v>
          </cell>
        </row>
        <row r="463">
          <cell r="E463" t="str">
            <v>黑市30项链</v>
          </cell>
          <cell r="F463" t="str">
            <v>部位：项链</v>
          </cell>
          <cell r="G463" t="str">
            <v>随机获得一件30级未鉴定项链。</v>
          </cell>
          <cell r="H463" t="str">
            <v>item_250054</v>
          </cell>
        </row>
        <row r="464">
          <cell r="E464" t="str">
            <v>黑市50武器</v>
          </cell>
          <cell r="F464" t="str">
            <v>部位：武器</v>
          </cell>
          <cell r="G464" t="str">
            <v>随机获得一件50级未鉴定武器。</v>
          </cell>
          <cell r="H464" t="str">
            <v>item_250051</v>
          </cell>
        </row>
        <row r="465">
          <cell r="E465" t="str">
            <v>黑市50防具</v>
          </cell>
          <cell r="F465" t="str">
            <v>部位：防具</v>
          </cell>
          <cell r="G465" t="str">
            <v>随机获得一件50级未鉴定防具。</v>
          </cell>
          <cell r="H465" t="str">
            <v>item_250052</v>
          </cell>
        </row>
        <row r="466">
          <cell r="E466" t="str">
            <v>黑市50戒指</v>
          </cell>
          <cell r="F466" t="str">
            <v>部位：戒指</v>
          </cell>
          <cell r="G466" t="str">
            <v>随机获得一件50级未鉴定戒指。</v>
          </cell>
          <cell r="H466" t="str">
            <v>item_250053</v>
          </cell>
        </row>
        <row r="467">
          <cell r="E467" t="str">
            <v>黑市50项链</v>
          </cell>
          <cell r="F467" t="str">
            <v>部位：项链</v>
          </cell>
          <cell r="G467" t="str">
            <v>随机获得一件50级未鉴定项链。</v>
          </cell>
          <cell r="H467" t="str">
            <v>item_250054</v>
          </cell>
        </row>
        <row r="468">
          <cell r="E468" t="str">
            <v>黑市40英雄武器</v>
          </cell>
          <cell r="F468" t="str">
            <v>部位：武器</v>
          </cell>
          <cell r="G468" t="str">
            <v>随机获得一件40级未鉴定英雄武器。</v>
          </cell>
          <cell r="H468" t="str">
            <v>item_250056</v>
          </cell>
        </row>
        <row r="469">
          <cell r="E469" t="str">
            <v>黑市40英雄防具</v>
          </cell>
          <cell r="F469" t="str">
            <v>部位：防具</v>
          </cell>
          <cell r="G469" t="str">
            <v>随机获得一件40级未鉴定英雄防具。</v>
          </cell>
          <cell r="H469" t="str">
            <v>item_250057</v>
          </cell>
        </row>
        <row r="470">
          <cell r="E470" t="str">
            <v>黑市40英雄戒指</v>
          </cell>
          <cell r="F470" t="str">
            <v>部位：戒指</v>
          </cell>
          <cell r="G470" t="str">
            <v>随机获得一件40级未鉴定英雄戒指。</v>
          </cell>
          <cell r="H470" t="str">
            <v>item_250058</v>
          </cell>
        </row>
        <row r="471">
          <cell r="E471" t="str">
            <v>黑市40英雄项链</v>
          </cell>
          <cell r="F471" t="str">
            <v>部位：项链</v>
          </cell>
          <cell r="G471" t="str">
            <v>随机获得一件40级未鉴定英雄项链。</v>
          </cell>
          <cell r="H471" t="str">
            <v>item_250059</v>
          </cell>
        </row>
        <row r="472">
          <cell r="E472" t="str">
            <v>黑市60英雄武器</v>
          </cell>
          <cell r="F472" t="str">
            <v>部位：武器</v>
          </cell>
          <cell r="G472" t="str">
            <v>随机获得一件60级未鉴定英雄武器。</v>
          </cell>
          <cell r="H472" t="str">
            <v>item_250056</v>
          </cell>
        </row>
        <row r="473">
          <cell r="E473" t="str">
            <v>黑市60英雄防具</v>
          </cell>
          <cell r="F473" t="str">
            <v>部位：防具</v>
          </cell>
          <cell r="G473" t="str">
            <v>随机获得一件60级未鉴定英雄防具。</v>
          </cell>
          <cell r="H473" t="str">
            <v>item_250057</v>
          </cell>
        </row>
        <row r="474">
          <cell r="E474" t="str">
            <v>黑市60英雄戒指</v>
          </cell>
          <cell r="F474" t="str">
            <v>部位：戒指</v>
          </cell>
          <cell r="G474" t="str">
            <v>随机获得一件60级未鉴定英雄戒指。</v>
          </cell>
          <cell r="H474" t="str">
            <v>item_250058</v>
          </cell>
        </row>
        <row r="475">
          <cell r="E475" t="str">
            <v>黑市60英雄项链</v>
          </cell>
          <cell r="F475" t="str">
            <v>部位：项链</v>
          </cell>
          <cell r="G475" t="str">
            <v>随机获得一件60级未鉴定英雄项链。</v>
          </cell>
          <cell r="H475" t="str">
            <v>item_250059</v>
          </cell>
        </row>
        <row r="476">
          <cell r="E476" t="str">
            <v>随机装备宝箱（60）</v>
          </cell>
          <cell r="F476" t="str">
            <v>随机英雄装备箱</v>
          </cell>
          <cell r="G476" t="str">
            <v>随机获得一件60级未鉴定英雄装备，有概率获得一件英雄套装。</v>
          </cell>
          <cell r="H476" t="str">
            <v>lb-ziyu</v>
          </cell>
        </row>
        <row r="477">
          <cell r="E477" t="str">
            <v>南瓜头</v>
          </cell>
          <cell r="F477" t="str">
            <v>南瓜头</v>
          </cell>
          <cell r="G477" t="str">
            <v>一个带着诡异微笑的南瓜头，似乎有什么神秘的作用！可用于兑换道具。</v>
          </cell>
          <cell r="H477" t="str">
            <v>lb-baiyin</v>
          </cell>
        </row>
        <row r="478">
          <cell r="E478" t="str">
            <v>英雄套装箱（不绑定）</v>
          </cell>
          <cell r="F478" t="str">
            <v>英雄套装箱</v>
          </cell>
          <cell r="G478" t="str">
            <v>随机获得一件60级未鉴定英雄套装。</v>
          </cell>
          <cell r="H478" t="str">
            <v>lb-zuanshi</v>
          </cell>
        </row>
        <row r="479">
          <cell r="E479" t="str">
            <v>黑市60英雄武器（活动）</v>
          </cell>
          <cell r="F479" t="str">
            <v>未鉴定武器</v>
          </cell>
          <cell r="G479" t="str">
            <v>随机获得一件60级未鉴定英雄武器。</v>
          </cell>
          <cell r="H479" t="str">
            <v>item_250056</v>
          </cell>
        </row>
        <row r="480">
          <cell r="E480" t="str">
            <v>黑市60英雄防具（活动）</v>
          </cell>
          <cell r="F480" t="str">
            <v>未鉴定防具</v>
          </cell>
          <cell r="G480" t="str">
            <v>随机获得一件60级未鉴定英雄防具。</v>
          </cell>
          <cell r="H480" t="str">
            <v>item_250057</v>
          </cell>
        </row>
        <row r="481">
          <cell r="E481" t="str">
            <v>黑市60英雄戒指（活动）</v>
          </cell>
          <cell r="F481" t="str">
            <v>未鉴定戒指</v>
          </cell>
          <cell r="G481" t="str">
            <v>随机获得一件60级未鉴定英雄戒指。</v>
          </cell>
          <cell r="H481" t="str">
            <v>item_250058</v>
          </cell>
        </row>
        <row r="482">
          <cell r="E482" t="str">
            <v>黑市60英雄项链（活动）</v>
          </cell>
          <cell r="F482" t="str">
            <v>未鉴定项链</v>
          </cell>
          <cell r="G482" t="str">
            <v>随机获得一件60级未鉴定英雄项链。</v>
          </cell>
          <cell r="H482" t="str">
            <v>item_250059</v>
          </cell>
        </row>
        <row r="483">
          <cell r="E483" t="str">
            <v>英雄套装箱（绑定）</v>
          </cell>
          <cell r="F483" t="str">
            <v>英雄套装箱</v>
          </cell>
          <cell r="G483" t="str">
            <v>随机获得一件60级未鉴定英雄套装。</v>
          </cell>
          <cell r="H483" t="str">
            <v>lb-zuanshi</v>
          </cell>
        </row>
        <row r="484">
          <cell r="E484" t="str">
            <v>黑市80英雄武器</v>
          </cell>
          <cell r="F484" t="str">
            <v>部位：武器</v>
          </cell>
          <cell r="G484" t="str">
            <v>随机获得一件80级未鉴定英雄武器。</v>
          </cell>
          <cell r="H484" t="str">
            <v>item_250056</v>
          </cell>
        </row>
        <row r="485">
          <cell r="E485" t="str">
            <v>黑市80英雄防具</v>
          </cell>
          <cell r="F485" t="str">
            <v>部位：防具</v>
          </cell>
          <cell r="G485" t="str">
            <v>随机获得一件80级未鉴定英雄防具。</v>
          </cell>
          <cell r="H485" t="str">
            <v>item_250057</v>
          </cell>
        </row>
        <row r="486">
          <cell r="E486" t="str">
            <v>黑市80英雄戒指</v>
          </cell>
          <cell r="F486" t="str">
            <v>部位：戒指</v>
          </cell>
          <cell r="G486" t="str">
            <v>随机获得一件80级未鉴定英雄戒指。</v>
          </cell>
          <cell r="H486" t="str">
            <v>item_250058</v>
          </cell>
        </row>
        <row r="487">
          <cell r="E487" t="str">
            <v>黑市80英雄项链</v>
          </cell>
          <cell r="F487" t="str">
            <v>部位：项链</v>
          </cell>
          <cell r="G487" t="str">
            <v>随机获得一件80级未鉴定英雄项链。</v>
          </cell>
          <cell r="H487" t="str">
            <v>item_250059</v>
          </cell>
        </row>
        <row r="488">
          <cell r="E488" t="str">
            <v>黑市80武器</v>
          </cell>
          <cell r="F488" t="str">
            <v>部位：武器</v>
          </cell>
          <cell r="G488" t="str">
            <v>随机获得一件80级未鉴定武器。</v>
          </cell>
          <cell r="H488" t="str">
            <v>item_250056</v>
          </cell>
        </row>
        <row r="489">
          <cell r="E489" t="str">
            <v>黑市80防具</v>
          </cell>
          <cell r="F489" t="str">
            <v>部位：防具</v>
          </cell>
          <cell r="G489" t="str">
            <v>随机获得一件80级未鉴定防具。</v>
          </cell>
          <cell r="H489" t="str">
            <v>item_250057</v>
          </cell>
        </row>
        <row r="490">
          <cell r="E490" t="str">
            <v>黑市80戒指</v>
          </cell>
          <cell r="F490" t="str">
            <v>部位：戒指</v>
          </cell>
          <cell r="G490" t="str">
            <v>随机获得一件80级未鉴定戒指。</v>
          </cell>
          <cell r="H490" t="str">
            <v>item_250058</v>
          </cell>
        </row>
        <row r="491">
          <cell r="E491" t="str">
            <v>黑市80项链</v>
          </cell>
          <cell r="F491" t="str">
            <v>部位：项链</v>
          </cell>
          <cell r="G491" t="str">
            <v>随机获得一件80级未鉴定项链。</v>
          </cell>
          <cell r="H491" t="str">
            <v>item_250059</v>
          </cell>
        </row>
        <row r="492">
          <cell r="E492" t="str">
            <v>黄金装备宝箱</v>
          </cell>
          <cell r="F492" t="str">
            <v>黄金套装宝箱</v>
          </cell>
          <cell r="G492" t="str">
            <v>打开后可以获得一套60级黄金套装。</v>
          </cell>
          <cell r="H492" t="str">
            <v>lb-zuanshi</v>
          </cell>
        </row>
        <row r="493">
          <cell r="E493" t="str">
            <v>队长奖励袋子80</v>
          </cell>
          <cell r="F493" t="str">
            <v>队长奖励袋</v>
          </cell>
          <cell r="G493" t="str">
            <v>讨伐任务中作为队长额外获得的奖励，打开后可以获得经验卷轴。</v>
          </cell>
          <cell r="H493" t="str">
            <v>item_box_09</v>
          </cell>
        </row>
        <row r="494">
          <cell r="E494" t="str">
            <v>日常任务礼包80</v>
          </cell>
          <cell r="F494" t="str">
            <v>日常任务礼包</v>
          </cell>
          <cell r="G494" t="str">
            <v>打开后随机获得一件道具，有概率获得稀有道具。</v>
          </cell>
          <cell r="H494" t="str">
            <v>item_box_11</v>
          </cell>
        </row>
        <row r="495">
          <cell r="E495" t="str">
            <v>80级野外礼包</v>
          </cell>
          <cell r="F495" t="str">
            <v>野外礼包</v>
          </cell>
          <cell r="G495" t="str">
            <v>野外挂机时掉落的特殊礼包，打开可以获得金块、经验卷轴、宝石等奖励。</v>
          </cell>
          <cell r="H495" t="str">
            <v>item_box_11</v>
          </cell>
        </row>
        <row r="496">
          <cell r="E496" t="str">
            <v>10级训练宝箱</v>
          </cell>
          <cell r="F496" t="str">
            <v>训练宝箱</v>
          </cell>
          <cell r="G496" t="str">
            <v>打开后随机获得一个10级训练道具。</v>
          </cell>
          <cell r="H496" t="str">
            <v>item_box_06</v>
          </cell>
        </row>
        <row r="497">
          <cell r="E497" t="str">
            <v>豪华套装宝箱</v>
          </cell>
          <cell r="F497" t="str">
            <v>豪华套装宝箱</v>
          </cell>
          <cell r="G497" t="str">
            <v>随机获得一件80级未鉴定稀有英雄套装。</v>
          </cell>
          <cell r="H497" t="str">
            <v>item_250110</v>
          </cell>
        </row>
        <row r="498">
          <cell r="E498" t="str">
            <v>精品套装宝箱</v>
          </cell>
          <cell r="F498" t="str">
            <v>精品套装宝箱</v>
          </cell>
          <cell r="G498" t="str">
            <v>随机获得一件80级未鉴定英雄套装。</v>
          </cell>
          <cell r="H498" t="str">
            <v>item_250111</v>
          </cell>
        </row>
        <row r="499">
          <cell r="E499" t="str">
            <v>80级装备宝箱</v>
          </cell>
          <cell r="F499" t="str">
            <v>80级装备宝箱</v>
          </cell>
          <cell r="G499" t="str">
            <v>随机获得一件80级未鉴定装备。</v>
          </cell>
          <cell r="H499" t="str">
            <v>item_box_25</v>
          </cell>
        </row>
        <row r="500">
          <cell r="E500" t="str">
            <v>红包</v>
          </cell>
          <cell r="F500" t="str">
            <v>红包</v>
          </cell>
          <cell r="G500" t="str">
            <v>新年红包，会给新的一年带来好运。用于兑换道具。</v>
          </cell>
          <cell r="H500" t="str">
            <v>item_36</v>
          </cell>
        </row>
        <row r="501">
          <cell r="E501" t="str">
            <v>黑市60英雄武器</v>
          </cell>
          <cell r="F501" t="str">
            <v>60级英雄武器</v>
          </cell>
          <cell r="G501" t="str">
            <v>随机获得一件60级未鉴定英雄武器。</v>
          </cell>
          <cell r="H501" t="str">
            <v>item_250056</v>
          </cell>
        </row>
        <row r="502">
          <cell r="E502" t="str">
            <v>黑市60英雄防具</v>
          </cell>
          <cell r="F502" t="str">
            <v>60级英雄防具</v>
          </cell>
          <cell r="G502" t="str">
            <v>随机获得一件60级未鉴定英雄防具。</v>
          </cell>
          <cell r="H502" t="str">
            <v>item_250057</v>
          </cell>
        </row>
        <row r="503">
          <cell r="E503" t="str">
            <v>黑市60英雄戒指</v>
          </cell>
          <cell r="F503" t="str">
            <v>60级英雄戒指</v>
          </cell>
          <cell r="G503" t="str">
            <v>随机获得一件60级未鉴定英雄戒指。</v>
          </cell>
          <cell r="H503" t="str">
            <v>item_250058</v>
          </cell>
        </row>
        <row r="504">
          <cell r="E504" t="str">
            <v>黑市60英雄项链</v>
          </cell>
          <cell r="F504" t="str">
            <v>60级英雄项链</v>
          </cell>
          <cell r="G504" t="str">
            <v>随机获得一件60级未鉴定英雄项链。</v>
          </cell>
          <cell r="H504" t="str">
            <v>item_250059</v>
          </cell>
        </row>
        <row r="505">
          <cell r="E505" t="str">
            <v>黑市80英雄武器</v>
          </cell>
          <cell r="F505" t="str">
            <v>80级英雄武器</v>
          </cell>
          <cell r="G505" t="str">
            <v>随机获得一件80级未鉴定英雄武器。</v>
          </cell>
          <cell r="H505" t="str">
            <v>item_250056</v>
          </cell>
        </row>
        <row r="506">
          <cell r="E506" t="str">
            <v>黑市80英雄防具</v>
          </cell>
          <cell r="F506" t="str">
            <v>80级英雄防具</v>
          </cell>
          <cell r="G506" t="str">
            <v>随机获得一件80级未鉴定英雄防具。</v>
          </cell>
          <cell r="H506" t="str">
            <v>item_250057</v>
          </cell>
        </row>
        <row r="507">
          <cell r="E507" t="str">
            <v>黑市80英雄戒指</v>
          </cell>
          <cell r="F507" t="str">
            <v>80级英雄戒指</v>
          </cell>
          <cell r="G507" t="str">
            <v>随机获得一件80级未鉴定英雄戒指。</v>
          </cell>
          <cell r="H507" t="str">
            <v>item_250058</v>
          </cell>
        </row>
        <row r="508">
          <cell r="E508" t="str">
            <v>黑市80英雄项链</v>
          </cell>
          <cell r="F508" t="str">
            <v>80级英雄项链</v>
          </cell>
          <cell r="G508" t="str">
            <v>随机获得一件80级未鉴定英雄项链。</v>
          </cell>
          <cell r="H508" t="str">
            <v>item_250059</v>
          </cell>
        </row>
        <row r="509">
          <cell r="E509" t="str">
            <v>日常任务礼包85</v>
          </cell>
          <cell r="F509" t="str">
            <v>日常任务礼包</v>
          </cell>
          <cell r="G509" t="str">
            <v>打开后随机获得一件道具，有概率获得稀有道具。</v>
          </cell>
          <cell r="H509" t="str">
            <v>item_box_11</v>
          </cell>
        </row>
        <row r="510">
          <cell r="E510" t="str">
            <v>队长奖励袋子85</v>
          </cell>
          <cell r="F510" t="str">
            <v>队长奖励袋</v>
          </cell>
          <cell r="G510" t="str">
            <v>讨伐任务中作为队长额外获得的奖励，打开后可以获得经验卷轴。</v>
          </cell>
          <cell r="H510" t="str">
            <v>item_box_09</v>
          </cell>
        </row>
        <row r="511">
          <cell r="E511" t="str">
            <v>85香波迪群岛声望装备箱</v>
          </cell>
          <cell r="F511" t="str">
            <v>繁星宝箱</v>
          </cell>
          <cell r="G511" t="str">
            <v>打开后获得一件英雄·繁星戒指，一件英雄·繁星项链。</v>
          </cell>
          <cell r="H511" t="str">
            <v>item_box_06</v>
          </cell>
        </row>
        <row r="512">
          <cell r="E512" t="str">
            <v>85级野外礼包</v>
          </cell>
          <cell r="F512" t="str">
            <v>野外礼包</v>
          </cell>
          <cell r="G512" t="str">
            <v>野外挂机时掉落的特殊礼包，打开可以获得金块、经验卷轴、宝石等奖励。</v>
          </cell>
          <cell r="H512" t="str">
            <v>item_box_11</v>
          </cell>
        </row>
        <row r="513">
          <cell r="E513" t="str">
            <v>红包</v>
          </cell>
          <cell r="F513" t="str">
            <v>红包</v>
          </cell>
          <cell r="G513" t="str">
            <v>新年红包送豪礼，开袋有惊喜~</v>
          </cell>
          <cell r="H513" t="str">
            <v>item_36</v>
          </cell>
        </row>
        <row r="514">
          <cell r="E514" t="str">
            <v>福字</v>
          </cell>
          <cell r="F514" t="str">
            <v>福字</v>
          </cell>
          <cell r="G514" t="str">
            <v>新年祝福送到来，使用有惊喜~</v>
          </cell>
          <cell r="H514" t="str">
            <v>item_35</v>
          </cell>
        </row>
        <row r="515">
          <cell r="E515" t="str">
            <v>鞭炮</v>
          </cell>
          <cell r="F515" t="str">
            <v>鞭炮</v>
          </cell>
          <cell r="G515" t="str">
            <v>鞭炮声声响，祝福新年步步高升，可用于兑换神秘道具。</v>
          </cell>
          <cell r="H515" t="str">
            <v>item_34</v>
          </cell>
        </row>
        <row r="516">
          <cell r="E516" t="str">
            <v>决斗者套装箱</v>
          </cell>
          <cell r="F516" t="str">
            <v>决斗者套装箱</v>
          </cell>
          <cell r="G516" t="str">
            <v>打开后随机获得一件80级决斗者套装。</v>
          </cell>
          <cell r="H516" t="str">
            <v>lb-huangjin</v>
          </cell>
        </row>
        <row r="517">
          <cell r="E517" t="str">
            <v>打火石</v>
          </cell>
          <cell r="F517" t="str">
            <v>打火石</v>
          </cell>
          <cell r="G517" t="str">
            <v>原始的生火工具，可用于燃放烟花。</v>
          </cell>
          <cell r="H517" t="str">
            <v>item_55</v>
          </cell>
        </row>
        <row r="518">
          <cell r="E518" t="str">
            <v>火把</v>
          </cell>
          <cell r="F518" t="str">
            <v>火把</v>
          </cell>
          <cell r="G518" t="str">
            <v>燃烧着的火把，可用于燃放高级烟花。</v>
          </cell>
          <cell r="H518" t="str">
            <v>item_56</v>
          </cell>
        </row>
        <row r="519">
          <cell r="E519" t="str">
            <v>玫瑰花</v>
          </cell>
          <cell r="F519" t="str">
            <v>玫瑰花</v>
          </cell>
          <cell r="G519" t="str">
            <v>炽热爱意的玫瑰，献给最亲爱的你，使用可随机获得道具。</v>
          </cell>
          <cell r="H519" t="str">
            <v>item_47</v>
          </cell>
        </row>
        <row r="520">
          <cell r="E520" t="str">
            <v>康乃馨</v>
          </cell>
          <cell r="F520" t="str">
            <v>康乃馨</v>
          </cell>
          <cell r="G520" t="str">
            <v>女神们最喜欢的花朵之一，使用后可获得神秘道具。</v>
          </cell>
          <cell r="H520" t="str">
            <v>item_41</v>
          </cell>
        </row>
        <row r="521">
          <cell r="E521" t="str">
            <v>庆典礼盒</v>
          </cell>
          <cell r="F521" t="str">
            <v>庆典礼盒</v>
          </cell>
          <cell r="G521" t="str">
            <v>【航海王：燃烧意志】半周年庆典礼盒，可以兑换道具。</v>
          </cell>
          <cell r="H521" t="str">
            <v>item_43</v>
          </cell>
        </row>
        <row r="522">
          <cell r="E522" t="str">
            <v>黄金套装宝箱</v>
          </cell>
          <cell r="F522" t="str">
            <v>黄金套装宝箱</v>
          </cell>
          <cell r="G522" t="str">
            <v>打开后可以获得一套60级黄金套装（等级达到60可开启）。</v>
          </cell>
          <cell r="H522" t="str">
            <v>lb-zuanshi</v>
          </cell>
        </row>
        <row r="523">
          <cell r="E523" t="str">
            <v>随机SSR宝箱</v>
          </cell>
          <cell r="F523" t="str">
            <v>随机SSR宝箱</v>
          </cell>
          <cell r="G523" t="str">
            <v>随机获得一个未拥有的SSR角色。</v>
          </cell>
          <cell r="H523" t="str">
            <v>item_250136</v>
          </cell>
        </row>
        <row r="524">
          <cell r="E524" t="str">
            <v>随机时装宝箱</v>
          </cell>
          <cell r="F524" t="str">
            <v>随机时装宝箱</v>
          </cell>
          <cell r="G524" t="str">
            <v>随机获得一件未拥有的时装。</v>
          </cell>
          <cell r="H524" t="str">
            <v>item_250137</v>
          </cell>
        </row>
        <row r="525">
          <cell r="E525" t="str">
            <v>随机套装宝箱</v>
          </cell>
          <cell r="F525" t="str">
            <v>随机套装宝箱</v>
          </cell>
          <cell r="G525" t="str">
            <v>随机获得一件80级未鉴定装备。</v>
          </cell>
          <cell r="H525" t="str">
            <v>item_250138</v>
          </cell>
        </row>
        <row r="526">
          <cell r="E526" t="str">
            <v>柳条</v>
          </cell>
          <cell r="F526" t="str">
            <v>柳条</v>
          </cell>
          <cell r="G526" t="str">
            <v>用来祭奠英灵的物品，可用来兑换神秘道具。</v>
          </cell>
          <cell r="H526" t="str">
            <v>item_44</v>
          </cell>
        </row>
        <row r="527">
          <cell r="E527" t="str">
            <v>新版庆典礼盒</v>
          </cell>
          <cell r="F527" t="str">
            <v>新版庆典礼盒</v>
          </cell>
          <cell r="G527" t="str">
            <v>迎新版本庆典礼盒，使用后可获得神秘奖励</v>
          </cell>
          <cell r="H527" t="str">
            <v>item_43</v>
          </cell>
        </row>
        <row r="528">
          <cell r="E528" t="str">
            <v>幸运彩蛋</v>
          </cell>
          <cell r="F528" t="str">
            <v>幸运彩蛋</v>
          </cell>
          <cell r="G528" t="str">
            <v>使用后可获得幸运奖励。</v>
          </cell>
          <cell r="H528" t="str">
            <v>item_25</v>
          </cell>
        </row>
        <row r="529">
          <cell r="E529" t="str">
            <v>粽子</v>
          </cell>
          <cell r="F529" t="str">
            <v>粽子</v>
          </cell>
          <cell r="G529" t="str">
            <v>端午节的必备食物，使用后获得道具。</v>
          </cell>
          <cell r="H529" t="str">
            <v>item_59</v>
          </cell>
        </row>
        <row r="530">
          <cell r="E530" t="str">
            <v>属性药丸盒</v>
          </cell>
          <cell r="F530" t="str">
            <v>属性药丸盒</v>
          </cell>
          <cell r="G530" t="str">
            <v>使用后随机获得一个属性伤害药丸。</v>
          </cell>
          <cell r="H530" t="str">
            <v>item_box_16</v>
          </cell>
        </row>
        <row r="531">
          <cell r="E531" t="str">
            <v>抗性药剂盒</v>
          </cell>
          <cell r="F531" t="str">
            <v>抗性药剂盒</v>
          </cell>
          <cell r="G531" t="str">
            <v>使用后随机获得一个高级抗性药剂。</v>
          </cell>
          <cell r="H531" t="str">
            <v>item_box_17</v>
          </cell>
        </row>
        <row r="532">
          <cell r="E532" t="str">
            <v>黑市100武器</v>
          </cell>
          <cell r="F532" t="str">
            <v>部位：武器</v>
          </cell>
          <cell r="G532" t="str">
            <v>随机获得一件100级未鉴定武器。</v>
          </cell>
          <cell r="H532" t="str">
            <v>item_250056</v>
          </cell>
        </row>
        <row r="533">
          <cell r="E533" t="str">
            <v>黑市100防具</v>
          </cell>
          <cell r="F533" t="str">
            <v>部位：防具</v>
          </cell>
          <cell r="G533" t="str">
            <v>随机获得一件100级未鉴定防具。</v>
          </cell>
          <cell r="H533" t="str">
            <v>item_250057</v>
          </cell>
        </row>
        <row r="534">
          <cell r="E534" t="str">
            <v>黑市100戒指</v>
          </cell>
          <cell r="F534" t="str">
            <v>部位：戒指</v>
          </cell>
          <cell r="G534" t="str">
            <v>随机获得一件100级未鉴定戒指。</v>
          </cell>
          <cell r="H534" t="str">
            <v>item_250058</v>
          </cell>
        </row>
        <row r="535">
          <cell r="E535" t="str">
            <v>黑市100项链</v>
          </cell>
          <cell r="F535" t="str">
            <v>部位：项链</v>
          </cell>
          <cell r="G535" t="str">
            <v>随机获得一件100级未鉴定项链。</v>
          </cell>
          <cell r="H535" t="str">
            <v>item_250059</v>
          </cell>
        </row>
        <row r="536">
          <cell r="E536" t="str">
            <v>黑市100英雄武器</v>
          </cell>
          <cell r="F536" t="str">
            <v>部位：武器</v>
          </cell>
          <cell r="G536" t="str">
            <v>随机获得一件100级未鉴定英雄武器。</v>
          </cell>
          <cell r="H536" t="str">
            <v>item_250056</v>
          </cell>
        </row>
        <row r="537">
          <cell r="E537" t="str">
            <v>黑市100英雄防具</v>
          </cell>
          <cell r="F537" t="str">
            <v>部位：防具</v>
          </cell>
          <cell r="G537" t="str">
            <v>随机获得一件100级未鉴定英雄防具。</v>
          </cell>
          <cell r="H537" t="str">
            <v>item_250057</v>
          </cell>
        </row>
        <row r="538">
          <cell r="E538" t="str">
            <v>黑市100英雄戒指</v>
          </cell>
          <cell r="F538" t="str">
            <v>部位：戒指</v>
          </cell>
          <cell r="G538" t="str">
            <v>随机获得一件100级未鉴定英雄戒指。</v>
          </cell>
          <cell r="H538" t="str">
            <v>item_250058</v>
          </cell>
        </row>
        <row r="539">
          <cell r="E539" t="str">
            <v>黑市100英雄项链</v>
          </cell>
          <cell r="F539" t="str">
            <v>部位：项链</v>
          </cell>
          <cell r="G539" t="str">
            <v>随机获得一件100级未鉴定英雄项链。</v>
          </cell>
          <cell r="H539" t="str">
            <v>item_250059</v>
          </cell>
        </row>
        <row r="540">
          <cell r="E540" t="str">
            <v>100级小礼包</v>
          </cell>
          <cell r="F540" t="str">
            <v>日常任务礼包</v>
          </cell>
          <cell r="G540" t="str">
            <v>打开后随机获得一件道具，有概率获得稀有道具。</v>
          </cell>
          <cell r="H540" t="str">
            <v>item_box_11</v>
          </cell>
        </row>
        <row r="541">
          <cell r="E541" t="str">
            <v>队长奖励袋子100</v>
          </cell>
          <cell r="F541" t="str">
            <v>队长奖励袋</v>
          </cell>
          <cell r="G541" t="str">
            <v>讨伐任务中作为队长额外获得的奖励，打开后可以获得经验卷轴。</v>
          </cell>
          <cell r="H541" t="str">
            <v>item_box_09</v>
          </cell>
        </row>
        <row r="542">
          <cell r="E542" t="str">
            <v>100级野外礼包</v>
          </cell>
          <cell r="F542" t="str">
            <v>野外礼包</v>
          </cell>
          <cell r="G542" t="str">
            <v>野外挂机时掉落的特殊礼包，打开可以获得金块、经验卷轴、宝石等奖励。</v>
          </cell>
          <cell r="H542" t="str">
            <v>item_box_11</v>
          </cell>
        </row>
        <row r="543">
          <cell r="E543" t="str">
            <v>资源找回突破绿</v>
          </cell>
          <cell r="F543" t="str">
            <v>初级突破盒</v>
          </cell>
          <cell r="G543" t="str">
            <v>打开后随机获得一个初级突破道具。</v>
          </cell>
          <cell r="H543" t="str">
            <v>item_box_15</v>
          </cell>
        </row>
        <row r="544">
          <cell r="E544" t="str">
            <v>资源找回突破蓝</v>
          </cell>
          <cell r="F544" t="str">
            <v>中级突破盒</v>
          </cell>
          <cell r="G544" t="str">
            <v>打开后随机获得一个中级突破道具。</v>
          </cell>
          <cell r="H544" t="str">
            <v>item_box_16</v>
          </cell>
        </row>
        <row r="545">
          <cell r="E545" t="str">
            <v>资源找回突破紫</v>
          </cell>
          <cell r="F545" t="str">
            <v>高级突破盒</v>
          </cell>
          <cell r="G545" t="str">
            <v>打开后随机获得一个高级突破道具。</v>
          </cell>
          <cell r="H545" t="str">
            <v>item_box_17</v>
          </cell>
        </row>
        <row r="546">
          <cell r="E546" t="str">
            <v>资源找回突破橙</v>
          </cell>
          <cell r="F546" t="str">
            <v>超级突破盒</v>
          </cell>
          <cell r="G546" t="str">
            <v>打开后随机获得一个超级突破道具。</v>
          </cell>
          <cell r="H546" t="str">
            <v>item_box_18</v>
          </cell>
        </row>
        <row r="547">
          <cell r="E547" t="str">
            <v>资源找回40级装备</v>
          </cell>
          <cell r="F547" t="str">
            <v>装备宝箱</v>
          </cell>
          <cell r="G547" t="str">
            <v>打开后随机获得一件40级装备。</v>
          </cell>
          <cell r="H547" t="str">
            <v>item_box_01</v>
          </cell>
        </row>
        <row r="548">
          <cell r="E548" t="str">
            <v>资源找回50级装备</v>
          </cell>
          <cell r="F548" t="str">
            <v>装备宝箱</v>
          </cell>
          <cell r="G548" t="str">
            <v>打开后随机获得一件50级装备，有概率获得60级装备。</v>
          </cell>
          <cell r="H548" t="str">
            <v>item_box_01</v>
          </cell>
        </row>
        <row r="549">
          <cell r="E549" t="str">
            <v>资源找回60级装备</v>
          </cell>
          <cell r="F549" t="str">
            <v>装备宝箱</v>
          </cell>
          <cell r="G549" t="str">
            <v>打开后随机获得一件60级装备。</v>
          </cell>
          <cell r="H549" t="str">
            <v>item_box_01</v>
          </cell>
        </row>
        <row r="550">
          <cell r="E550" t="str">
            <v>资源找回60级套装</v>
          </cell>
          <cell r="F550" t="str">
            <v>装备宝箱</v>
          </cell>
          <cell r="G550" t="str">
            <v>打开后随机获得一件60级装备。</v>
          </cell>
          <cell r="H550" t="str">
            <v>item_box_01</v>
          </cell>
        </row>
        <row r="551">
          <cell r="E551" t="str">
            <v>资源找回80级套装</v>
          </cell>
          <cell r="F551" t="str">
            <v>装备宝箱</v>
          </cell>
          <cell r="G551" t="str">
            <v>打开后随机获得一件80级装备。</v>
          </cell>
          <cell r="H551" t="str">
            <v>item_box_01</v>
          </cell>
        </row>
        <row r="552">
          <cell r="E552" t="str">
            <v>资源找回远征D</v>
          </cell>
          <cell r="F552" t="str">
            <v>远征宝箱</v>
          </cell>
          <cell r="G552" t="str">
            <v>打开后随机获得一件D级远征任务奖励。</v>
          </cell>
          <cell r="H552" t="str">
            <v>item_box_11</v>
          </cell>
        </row>
        <row r="553">
          <cell r="E553" t="str">
            <v>资源找回远征C</v>
          </cell>
          <cell r="F553" t="str">
            <v>远征宝箱</v>
          </cell>
          <cell r="G553" t="str">
            <v>打开后随机获得一件C级远征任务奖励。</v>
          </cell>
          <cell r="H553" t="str">
            <v>item_box_11</v>
          </cell>
        </row>
        <row r="554">
          <cell r="E554" t="str">
            <v>资源找回远征B</v>
          </cell>
          <cell r="F554" t="str">
            <v>远征宝箱</v>
          </cell>
          <cell r="G554" t="str">
            <v>打开后随机获得一件B级远征任务奖励。</v>
          </cell>
          <cell r="H554" t="str">
            <v>item_box_12</v>
          </cell>
        </row>
        <row r="555">
          <cell r="E555" t="str">
            <v>资源找回远征A</v>
          </cell>
          <cell r="F555" t="str">
            <v>远征宝箱</v>
          </cell>
          <cell r="G555" t="str">
            <v>打开后随机获得一件A级远征任务奖励。</v>
          </cell>
          <cell r="H555" t="str">
            <v>item_box_12</v>
          </cell>
        </row>
        <row r="556">
          <cell r="E556" t="str">
            <v>资源找回远征S</v>
          </cell>
          <cell r="F556" t="str">
            <v>远征宝箱</v>
          </cell>
          <cell r="G556" t="str">
            <v>打开后随机获得一件S级远征任务奖励。</v>
          </cell>
          <cell r="H556" t="str">
            <v>item_box_13</v>
          </cell>
        </row>
        <row r="557">
          <cell r="E557" t="str">
            <v>周年庆狂欢宝石礼包</v>
          </cell>
          <cell r="F557" t="str">
            <v>周年庆狂欢宝石礼包</v>
          </cell>
          <cell r="G557" t="str">
            <v>打开会随机获得 2 颗 LV5 ~ LV7的（攻击宝石，生命宝石，防御宝石，速度宝石，怒气宝石）宝石。</v>
          </cell>
          <cell r="H557" t="str">
            <v>large_bag_80</v>
          </cell>
        </row>
        <row r="558">
          <cell r="E558" t="str">
            <v>春节宝石礼包</v>
          </cell>
          <cell r="F558" t="str">
            <v>春节宝石礼包</v>
          </cell>
          <cell r="G558" t="str">
            <v>打开会随机获得 2 颗 LV5 ~ LV7的（攻击宝石，生命宝石，防御宝石，速度宝石，怒气宝石）宝石。</v>
          </cell>
          <cell r="H558" t="str">
            <v>large_bag_80</v>
          </cell>
        </row>
        <row r="559">
          <cell r="E559" t="str">
            <v>随机训练箱</v>
          </cell>
          <cell r="F559" t="str">
            <v>随机训练箱</v>
          </cell>
          <cell r="G559" t="str">
            <v>打开后随机获得一本1级训练书。</v>
          </cell>
          <cell r="H559" t="str">
            <v>item_100</v>
          </cell>
        </row>
        <row r="560">
          <cell r="E560" t="str">
            <v>随机训练箱</v>
          </cell>
          <cell r="F560" t="str">
            <v>随机训练箱</v>
          </cell>
          <cell r="G560" t="str">
            <v>打开后随机获得一本2级训练书。</v>
          </cell>
          <cell r="H560" t="str">
            <v>item_100</v>
          </cell>
        </row>
        <row r="561">
          <cell r="E561" t="str">
            <v>草药根</v>
          </cell>
          <cell r="F561" t="str">
            <v>草药根</v>
          </cell>
          <cell r="G561" t="str">
            <v>用于制作药品的基础材料，分解完整药材可以获得</v>
          </cell>
          <cell r="H561" t="str">
            <v>item_411001</v>
          </cell>
        </row>
        <row r="562">
          <cell r="E562" t="str">
            <v>草药茎</v>
          </cell>
          <cell r="F562" t="str">
            <v>草药茎</v>
          </cell>
          <cell r="G562" t="str">
            <v>用于制作药品的基础材料，分解完整药材可以获得</v>
          </cell>
          <cell r="H562" t="str">
            <v>item_411002</v>
          </cell>
        </row>
        <row r="563">
          <cell r="E563" t="str">
            <v>普通草药叶</v>
          </cell>
          <cell r="F563" t="str">
            <v>普通草药叶</v>
          </cell>
          <cell r="G563" t="str">
            <v>用于制作药品的高级材料，分解完整药材可以获得</v>
          </cell>
          <cell r="H563" t="str">
            <v>item_411003</v>
          </cell>
        </row>
        <row r="564">
          <cell r="E564" t="str">
            <v>普通草药花</v>
          </cell>
          <cell r="F564" t="str">
            <v>普通草药花</v>
          </cell>
          <cell r="G564" t="str">
            <v>用于制作药品的高级材料，分解完整药材可以获得</v>
          </cell>
          <cell r="H564" t="str">
            <v>item_411004</v>
          </cell>
        </row>
        <row r="565">
          <cell r="E565" t="str">
            <v>普通草药果实</v>
          </cell>
          <cell r="F565" t="str">
            <v>普通草药果实</v>
          </cell>
          <cell r="G565" t="str">
            <v>用于制作药品的高级材料，分解完整药材可以获得</v>
          </cell>
          <cell r="H565" t="str">
            <v>item_411005</v>
          </cell>
        </row>
        <row r="566">
          <cell r="E566" t="str">
            <v>石制药碾</v>
          </cell>
          <cell r="F566" t="str">
            <v>石制药碾</v>
          </cell>
          <cell r="G566" t="str">
            <v>分解药材时需要的工具，可以在杂货店购买</v>
          </cell>
          <cell r="H566" t="str">
            <v>item_411006</v>
          </cell>
        </row>
        <row r="567">
          <cell r="E567" t="str">
            <v>石制药杵</v>
          </cell>
          <cell r="F567" t="str">
            <v>石制药杵</v>
          </cell>
          <cell r="G567" t="str">
            <v>分解药材时需要的工具，可以在杂货店购买</v>
          </cell>
          <cell r="H567" t="str">
            <v>item_411007</v>
          </cell>
        </row>
        <row r="568">
          <cell r="E568" t="str">
            <v>泪滴草药</v>
          </cell>
          <cell r="F568" t="str">
            <v>泪滴草药</v>
          </cell>
          <cell r="G568" t="str">
            <v>制作特殊药品的稀有材料，分解完整药材可以获得。</v>
          </cell>
          <cell r="H568" t="str">
            <v>item_411008</v>
          </cell>
        </row>
        <row r="569">
          <cell r="E569" t="str">
            <v>彩虹草药</v>
          </cell>
          <cell r="F569" t="str">
            <v>彩虹草药</v>
          </cell>
          <cell r="G569" t="str">
            <v>制作特殊药品的稀有材料，分解完整药材可以获得。</v>
          </cell>
          <cell r="H569" t="str">
            <v>item_411009</v>
          </cell>
        </row>
        <row r="570">
          <cell r="E570" t="str">
            <v>白色梦幻草药</v>
          </cell>
          <cell r="F570" t="str">
            <v>梦幻草药</v>
          </cell>
          <cell r="G570" t="str">
            <v>制作特殊药品的稀有材料，分解完整药材可以获得。</v>
          </cell>
          <cell r="H570" t="str">
            <v>item_411010</v>
          </cell>
        </row>
        <row r="571">
          <cell r="E571" t="str">
            <v>白色远古草药</v>
          </cell>
          <cell r="F571" t="str">
            <v>远古草药</v>
          </cell>
          <cell r="G571" t="str">
            <v>制作特殊药品的稀有材料，分解完整药材可以获得。</v>
          </cell>
          <cell r="H571" t="str">
            <v>item_411011</v>
          </cell>
        </row>
        <row r="572">
          <cell r="E572" t="str">
            <v>稀有草药叶</v>
          </cell>
          <cell r="F572" t="str">
            <v>稀有草药叶</v>
          </cell>
          <cell r="G572" t="str">
            <v>用于制作药品的高级材料，分解完整药材可以获得</v>
          </cell>
          <cell r="H572" t="str">
            <v>item_412003</v>
          </cell>
        </row>
        <row r="573">
          <cell r="E573" t="str">
            <v>稀有草药花</v>
          </cell>
          <cell r="F573" t="str">
            <v>稀有草药花</v>
          </cell>
          <cell r="G573" t="str">
            <v>用于制作药品的高级材料，分解完整药材可以获得</v>
          </cell>
          <cell r="H573" t="str">
            <v>item_412004</v>
          </cell>
        </row>
        <row r="574">
          <cell r="E574" t="str">
            <v>稀有草药果实</v>
          </cell>
          <cell r="F574" t="str">
            <v>稀有草药果实</v>
          </cell>
          <cell r="G574" t="str">
            <v>用于制作药品的高级材料，分解完整药材可以获得</v>
          </cell>
          <cell r="H574" t="str">
            <v>item_412005</v>
          </cell>
        </row>
        <row r="575">
          <cell r="E575" t="str">
            <v>玻璃试管</v>
          </cell>
          <cell r="F575" t="str">
            <v>玻璃试管</v>
          </cell>
          <cell r="G575" t="str">
            <v>用于制作药品的工具，可以在杂货店购买</v>
          </cell>
          <cell r="H575" t="str">
            <v>item_412006</v>
          </cell>
        </row>
        <row r="576">
          <cell r="E576" t="str">
            <v>玻璃烧瓶</v>
          </cell>
          <cell r="F576" t="str">
            <v>玻璃烧瓶</v>
          </cell>
          <cell r="G576" t="str">
            <v>用于制作药品的工具，可以在杂货店购买</v>
          </cell>
          <cell r="H576" t="str">
            <v>item_412007</v>
          </cell>
        </row>
        <row r="577">
          <cell r="E577" t="str">
            <v>非凡草药叶</v>
          </cell>
          <cell r="F577" t="str">
            <v>非凡草药叶</v>
          </cell>
          <cell r="G577" t="str">
            <v>用于制作药品的高级材料，分解完整药材可以获得</v>
          </cell>
          <cell r="H577" t="str">
            <v>item_413003</v>
          </cell>
        </row>
        <row r="578">
          <cell r="E578" t="str">
            <v>非凡草药花</v>
          </cell>
          <cell r="F578" t="str">
            <v>非凡草药花</v>
          </cell>
          <cell r="G578" t="str">
            <v>用于制作药品的高级材料，分解完整药材可以获得</v>
          </cell>
          <cell r="H578" t="str">
            <v>item_413004</v>
          </cell>
        </row>
        <row r="579">
          <cell r="E579" t="str">
            <v>非凡草药果实</v>
          </cell>
          <cell r="F579" t="str">
            <v>非凡草药果实</v>
          </cell>
          <cell r="G579" t="str">
            <v>用于制作药品的高级材料，分解完整药材可以获得</v>
          </cell>
          <cell r="H579" t="str">
            <v>item_413005</v>
          </cell>
        </row>
        <row r="580">
          <cell r="E580" t="str">
            <v>强化玻璃试管</v>
          </cell>
          <cell r="F580" t="str">
            <v>强化玻璃试管</v>
          </cell>
          <cell r="G580" t="str">
            <v>用于制作药品的工具，可以在杂货店购买</v>
          </cell>
          <cell r="H580" t="str">
            <v>item_413006</v>
          </cell>
        </row>
        <row r="581">
          <cell r="E581" t="str">
            <v>强化玻璃烧瓶</v>
          </cell>
          <cell r="F581" t="str">
            <v>强化玻璃烧瓶</v>
          </cell>
          <cell r="G581" t="str">
            <v>用于制作药品的工具，可以在杂货店购买</v>
          </cell>
          <cell r="H581" t="str">
            <v>item_413007</v>
          </cell>
        </row>
        <row r="582">
          <cell r="E582" t="str">
            <v>史诗草药叶</v>
          </cell>
          <cell r="F582" t="str">
            <v>史诗草药叶</v>
          </cell>
          <cell r="G582" t="str">
            <v>用于制作药品的高级材料，分解完整药材可以获得</v>
          </cell>
          <cell r="H582" t="str">
            <v>item_414003</v>
          </cell>
        </row>
        <row r="583">
          <cell r="E583" t="str">
            <v>史诗草药花</v>
          </cell>
          <cell r="F583" t="str">
            <v>史诗草药花</v>
          </cell>
          <cell r="G583" t="str">
            <v>用于制作药品的高级材料，分解完整药材可以获得</v>
          </cell>
          <cell r="H583" t="str">
            <v>item_414004</v>
          </cell>
        </row>
        <row r="584">
          <cell r="E584" t="str">
            <v>史诗草药果实</v>
          </cell>
          <cell r="F584" t="str">
            <v>史诗草药果实</v>
          </cell>
          <cell r="G584" t="str">
            <v>用于制作药品的高级材料，分解完整药材可以获得</v>
          </cell>
          <cell r="H584" t="str">
            <v>item_414005</v>
          </cell>
        </row>
        <row r="585">
          <cell r="E585" t="str">
            <v>水晶试管</v>
          </cell>
          <cell r="F585" t="str">
            <v>水晶试管</v>
          </cell>
          <cell r="G585" t="str">
            <v>用于制作药品的工具，可以在杂货店购买</v>
          </cell>
          <cell r="H585" t="str">
            <v>item_414006</v>
          </cell>
        </row>
        <row r="586">
          <cell r="E586" t="str">
            <v>水晶烧瓶</v>
          </cell>
          <cell r="F586" t="str">
            <v>水晶烧瓶</v>
          </cell>
          <cell r="G586" t="str">
            <v>用于制作药品的工具，可以在杂货店购买</v>
          </cell>
          <cell r="H586" t="str">
            <v>item_414007</v>
          </cell>
        </row>
        <row r="587">
          <cell r="E587" t="str">
            <v>传奇草药根</v>
          </cell>
          <cell r="F587" t="str">
            <v>传奇草药根</v>
          </cell>
          <cell r="G587" t="str">
            <v>用于制作药品的基础材料，分解完整药材可以获得</v>
          </cell>
          <cell r="H587" t="str">
            <v>item_415001</v>
          </cell>
        </row>
        <row r="588">
          <cell r="E588" t="str">
            <v>传奇草药茎</v>
          </cell>
          <cell r="F588" t="str">
            <v>传奇草药茎</v>
          </cell>
          <cell r="G588" t="str">
            <v>用于制作药品的基础材料，分解完整药材可以获得</v>
          </cell>
          <cell r="H588" t="str">
            <v>item_415002</v>
          </cell>
        </row>
        <row r="589">
          <cell r="E589" t="str">
            <v>传奇草药叶</v>
          </cell>
          <cell r="F589" t="str">
            <v>传奇草药叶</v>
          </cell>
          <cell r="G589" t="str">
            <v>用于制作药品的高级材料，分解完整药材可以获得</v>
          </cell>
          <cell r="H589" t="str">
            <v>item_415003</v>
          </cell>
        </row>
        <row r="590">
          <cell r="E590" t="str">
            <v>传奇草药花</v>
          </cell>
          <cell r="F590" t="str">
            <v>传奇草药花</v>
          </cell>
          <cell r="G590" t="str">
            <v>用于制作药品的高级材料，分解完整药材可以获得</v>
          </cell>
          <cell r="H590" t="str">
            <v>item_415004</v>
          </cell>
        </row>
        <row r="591">
          <cell r="E591" t="str">
            <v>传奇草药果实</v>
          </cell>
          <cell r="F591" t="str">
            <v>传奇草药果实</v>
          </cell>
          <cell r="G591" t="str">
            <v>用于制作药品的高级材料，分解完整药材可以获得</v>
          </cell>
          <cell r="H591" t="str">
            <v>item_415005</v>
          </cell>
        </row>
        <row r="592">
          <cell r="E592" t="str">
            <v>黄金药碾</v>
          </cell>
          <cell r="F592" t="str">
            <v>黄金药碾</v>
          </cell>
          <cell r="G592" t="str">
            <v>分解药材时需要的工具，可以在杂货店购买</v>
          </cell>
          <cell r="H592" t="str">
            <v>item_415006</v>
          </cell>
        </row>
        <row r="593">
          <cell r="E593" t="str">
            <v>黄金药杵</v>
          </cell>
          <cell r="F593" t="str">
            <v>黄金药杵</v>
          </cell>
          <cell r="G593" t="str">
            <v>分解药材时需要的工具，可以在杂货店购买</v>
          </cell>
          <cell r="H593" t="str">
            <v>item_415007</v>
          </cell>
        </row>
        <row r="594">
          <cell r="E594" t="str">
            <v>虚幻草药根</v>
          </cell>
          <cell r="F594" t="str">
            <v>虚幻草药根</v>
          </cell>
          <cell r="G594" t="str">
            <v>用于制作药品的传奇材料，分解完整药材可以获得</v>
          </cell>
          <cell r="H594" t="str">
            <v>item_416001</v>
          </cell>
        </row>
        <row r="595">
          <cell r="E595" t="str">
            <v>虚幻草药茎</v>
          </cell>
          <cell r="F595" t="str">
            <v>虚幻草药茎</v>
          </cell>
          <cell r="G595" t="str">
            <v>用于制作药品的传奇材料，分解完整药材可以获得</v>
          </cell>
          <cell r="H595" t="str">
            <v>item_416002</v>
          </cell>
        </row>
        <row r="596">
          <cell r="E596" t="str">
            <v>虚幻草药叶</v>
          </cell>
          <cell r="F596" t="str">
            <v>虚幻草药叶</v>
          </cell>
          <cell r="G596" t="str">
            <v>用于制作药品的传奇材料，分解完整药材可以获得</v>
          </cell>
          <cell r="H596" t="str">
            <v>item_416003</v>
          </cell>
        </row>
        <row r="597">
          <cell r="E597" t="str">
            <v>虚幻草药花</v>
          </cell>
          <cell r="F597" t="str">
            <v>虚幻草药花</v>
          </cell>
          <cell r="G597" t="str">
            <v>用于制作药品的传奇材料，分解完整药材可以获得</v>
          </cell>
          <cell r="H597" t="str">
            <v>item_416004</v>
          </cell>
        </row>
        <row r="598">
          <cell r="E598" t="str">
            <v>虚幻草药果实</v>
          </cell>
          <cell r="F598" t="str">
            <v>虚幻草药果实</v>
          </cell>
          <cell r="G598" t="str">
            <v>用于制作药品的传奇材料，分解完整药材可以获得</v>
          </cell>
          <cell r="H598" t="str">
            <v>item_416005</v>
          </cell>
        </row>
        <row r="599">
          <cell r="E599" t="str">
            <v>虚幻草药</v>
          </cell>
          <cell r="F599" t="str">
            <v>虚幻草药</v>
          </cell>
          <cell r="G599" t="str">
            <v>用于制作药品的传奇材料，分解完整药材可以获得</v>
          </cell>
          <cell r="H599" t="str">
            <v>item_416006</v>
          </cell>
        </row>
        <row r="600">
          <cell r="E600" t="str">
            <v>奇异种子</v>
          </cell>
          <cell r="F600" t="str">
            <v>奇异种子</v>
          </cell>
          <cell r="G600" t="str">
            <v>用于制作药品的传奇材料。</v>
          </cell>
          <cell r="H600" t="str">
            <v>item_417002</v>
          </cell>
        </row>
        <row r="601">
          <cell r="E601" t="str">
            <v>奇异种子</v>
          </cell>
          <cell r="F601" t="str">
            <v>奇异种子</v>
          </cell>
          <cell r="G601" t="str">
            <v>用于制作药品的传奇材料。</v>
          </cell>
          <cell r="H601" t="str">
            <v>item_417001</v>
          </cell>
        </row>
        <row r="602">
          <cell r="E602" t="str">
            <v>初级恢复药剂</v>
          </cell>
          <cell r="F602" t="str">
            <v>初级恢复药剂</v>
          </cell>
          <cell r="G602" t="str">
            <v>使用后全队立刻恢复20%生命，同类型道具冷却时间15秒</v>
          </cell>
          <cell r="H602" t="str">
            <v>item_441001</v>
          </cell>
        </row>
        <row r="603">
          <cell r="E603" t="str">
            <v>高级恢复药剂</v>
          </cell>
          <cell r="F603" t="str">
            <v>高级恢复药剂</v>
          </cell>
          <cell r="G603" t="str">
            <v>使用后全队立刻恢复50%生命，同类型道具冷却时间15秒</v>
          </cell>
          <cell r="H603" t="str">
            <v>item_441003</v>
          </cell>
        </row>
        <row r="604">
          <cell r="E604" t="str">
            <v>超级恢复药剂</v>
          </cell>
          <cell r="F604" t="str">
            <v>超级恢复药剂</v>
          </cell>
          <cell r="G604" t="str">
            <v>使用后全队立刻恢复80%生命，同类型道具冷却时间15秒</v>
          </cell>
          <cell r="H604" t="str">
            <v>item_441004</v>
          </cell>
        </row>
        <row r="605">
          <cell r="E605" t="str">
            <v>完美恢复合剂</v>
          </cell>
          <cell r="F605" t="str">
            <v>完美恢复合剂</v>
          </cell>
          <cell r="G605" t="str">
            <v>使用后全队立刻恢复100%生命，同类型道具冷却时间15秒</v>
          </cell>
          <cell r="H605" t="str">
            <v>item_441005</v>
          </cell>
        </row>
        <row r="606">
          <cell r="E606" t="str">
            <v>初级剧毒药丸</v>
          </cell>
          <cell r="F606" t="str">
            <v>初级剧毒药丸</v>
          </cell>
          <cell r="G606" t="str">
            <v>毒属性伤害永久提升1%，每个角色使用上限30个</v>
          </cell>
          <cell r="H606" t="str">
            <v>item_491001</v>
          </cell>
        </row>
        <row r="607">
          <cell r="E607" t="str">
            <v>初级激流药丸</v>
          </cell>
          <cell r="F607" t="str">
            <v>初级激流药丸</v>
          </cell>
          <cell r="G607" t="str">
            <v>水属性伤害永久提升1%，每个角色使用上限30个</v>
          </cell>
          <cell r="H607" t="str">
            <v>item_491002</v>
          </cell>
        </row>
        <row r="608">
          <cell r="E608" t="str">
            <v>初级烈焰药丸</v>
          </cell>
          <cell r="F608" t="str">
            <v>初级烈焰药丸</v>
          </cell>
          <cell r="G608" t="str">
            <v>火属性伤害永久提升1%，每个角色使用上限30个</v>
          </cell>
          <cell r="H608" t="str">
            <v>item_491003</v>
          </cell>
        </row>
        <row r="609">
          <cell r="E609" t="str">
            <v>初级寒冰药剂</v>
          </cell>
          <cell r="F609" t="str">
            <v>初级寒冰药丸</v>
          </cell>
          <cell r="G609" t="str">
            <v>冰属性伤害永久提升1%，每个角色使用上限30个</v>
          </cell>
          <cell r="H609" t="str">
            <v>item_491004</v>
          </cell>
        </row>
        <row r="610">
          <cell r="E610" t="str">
            <v>初级狂风药丸</v>
          </cell>
          <cell r="F610" t="str">
            <v>初级狂风药丸</v>
          </cell>
          <cell r="G610" t="str">
            <v>风属性伤害永久提升1%，每个角色使用上限30个</v>
          </cell>
          <cell r="H610" t="str">
            <v>item_491005</v>
          </cell>
        </row>
        <row r="611">
          <cell r="E611" t="str">
            <v>初级雷电药丸</v>
          </cell>
          <cell r="F611" t="str">
            <v>初级雷电药丸</v>
          </cell>
          <cell r="G611" t="str">
            <v>雷属性伤害永久提升1%，每个角色使用上限30个</v>
          </cell>
          <cell r="H611" t="str">
            <v>item_491006</v>
          </cell>
        </row>
        <row r="612">
          <cell r="E612" t="str">
            <v>初级耀光药丸</v>
          </cell>
          <cell r="F612" t="str">
            <v>初级耀光药丸</v>
          </cell>
          <cell r="G612" t="str">
            <v>光属性伤害永久提升1%，每个角色使用上限30个</v>
          </cell>
          <cell r="H612" t="str">
            <v>item_491007</v>
          </cell>
        </row>
        <row r="613">
          <cell r="E613" t="str">
            <v>初级幽暗药丸</v>
          </cell>
          <cell r="F613" t="str">
            <v>初级幽暗药丸</v>
          </cell>
          <cell r="G613" t="str">
            <v>暗属性伤害永久提升1%，每个角色使用上限30个</v>
          </cell>
          <cell r="H613" t="str">
            <v>item_491008</v>
          </cell>
        </row>
        <row r="614">
          <cell r="E614" t="str">
            <v>初级抗毒药剂</v>
          </cell>
          <cell r="F614" t="str">
            <v>初级抗毒药剂</v>
          </cell>
          <cell r="G614" t="str">
            <v>受到毒属性伤害永久降低2%，每个角色使用上限30个</v>
          </cell>
          <cell r="H614" t="str">
            <v>item_491009</v>
          </cell>
        </row>
        <row r="615">
          <cell r="E615" t="str">
            <v>初级抗火药剂</v>
          </cell>
          <cell r="F615" t="str">
            <v>初级抗火药剂</v>
          </cell>
          <cell r="G615" t="str">
            <v>受到火属性伤害永久降低2%，每个角色使用上限30个</v>
          </cell>
          <cell r="H615" t="str">
            <v>item_491011</v>
          </cell>
        </row>
        <row r="616">
          <cell r="E616" t="str">
            <v>初级抗风药剂</v>
          </cell>
          <cell r="F616" t="str">
            <v>初级抗风药剂</v>
          </cell>
          <cell r="G616" t="str">
            <v>受到风属性伤害永久降低2%，每个角色使用上限30个</v>
          </cell>
          <cell r="H616" t="str">
            <v>item_491012</v>
          </cell>
        </row>
        <row r="617">
          <cell r="E617" t="str">
            <v>初级抗冰药剂</v>
          </cell>
          <cell r="F617" t="str">
            <v>初级抗冰药剂</v>
          </cell>
          <cell r="G617" t="str">
            <v>受到冰属性伤害永久降低2%，每个角色使用上限30个</v>
          </cell>
          <cell r="H617" t="str">
            <v>item_491013</v>
          </cell>
        </row>
        <row r="618">
          <cell r="E618" t="str">
            <v>初级抗雷药剂</v>
          </cell>
          <cell r="F618" t="str">
            <v>初级抗雷药剂</v>
          </cell>
          <cell r="G618" t="str">
            <v>受到雷属性伤害永久降低2%，每个角色使用上限30个</v>
          </cell>
          <cell r="H618" t="str">
            <v>item_491014</v>
          </cell>
        </row>
        <row r="619">
          <cell r="E619" t="str">
            <v>初级抗光药剂</v>
          </cell>
          <cell r="F619" t="str">
            <v>初级抗光药剂</v>
          </cell>
          <cell r="G619" t="str">
            <v>受到光属性伤害永久降低2%，每个角色使用上限30个</v>
          </cell>
          <cell r="H619" t="str">
            <v>item_491015</v>
          </cell>
        </row>
        <row r="620">
          <cell r="E620" t="str">
            <v>初级抗暗药剂</v>
          </cell>
          <cell r="F620" t="str">
            <v>初级抗暗药剂</v>
          </cell>
          <cell r="G620" t="str">
            <v>受到暗属性伤害永久降低2%，每个角色使用上限30个</v>
          </cell>
          <cell r="H620" t="str">
            <v>item_491016</v>
          </cell>
        </row>
        <row r="621">
          <cell r="E621" t="str">
            <v>初级生命药丸</v>
          </cell>
          <cell r="F621" t="str">
            <v>初级生命药丸</v>
          </cell>
          <cell r="G621" t="str">
            <v>生命上限增加1000，与玩家战斗不生效，持续60分钟，同类型不可累积使用</v>
          </cell>
          <cell r="H621" t="str">
            <v>item_491017</v>
          </cell>
        </row>
        <row r="622">
          <cell r="E622" t="str">
            <v>初级攻击药丸</v>
          </cell>
          <cell r="F622" t="str">
            <v>初级攻击药丸</v>
          </cell>
          <cell r="G622" t="str">
            <v>单个角色攻击增加10%，与玩家战斗不生效，持续30分钟，同类型不可累积使用</v>
          </cell>
          <cell r="H622" t="str">
            <v>item_491018</v>
          </cell>
        </row>
        <row r="623">
          <cell r="E623" t="str">
            <v>初级防御药丸</v>
          </cell>
          <cell r="F623" t="str">
            <v>初级防御药丸</v>
          </cell>
          <cell r="G623" t="str">
            <v>单个角色防御增加10%，与玩家战斗不生效，持续30分钟，同类型不可累积使用</v>
          </cell>
          <cell r="H623" t="str">
            <v>item_491019</v>
          </cell>
        </row>
        <row r="624">
          <cell r="E624" t="str">
            <v>初级暴击药丸</v>
          </cell>
          <cell r="F624" t="str">
            <v>初级暴击药丸</v>
          </cell>
          <cell r="G624" t="str">
            <v>单个角色暴击增加10%，与玩家战斗不生效，持续30分钟，同类型不可累积使用</v>
          </cell>
          <cell r="H624" t="str">
            <v>item_491020</v>
          </cell>
        </row>
        <row r="625">
          <cell r="E625" t="str">
            <v>初级韧性药丸</v>
          </cell>
          <cell r="F625" t="str">
            <v>初级韧性药丸</v>
          </cell>
          <cell r="G625" t="str">
            <v>单个角色韧性增加10%，与玩家战斗不生效，持续30分钟，同类型不可累积使用</v>
          </cell>
          <cell r="H625" t="str">
            <v>item_491021</v>
          </cell>
        </row>
        <row r="626">
          <cell r="E626" t="str">
            <v>初级命中药丸</v>
          </cell>
          <cell r="F626" t="str">
            <v>初级命中药丸</v>
          </cell>
          <cell r="G626" t="str">
            <v>单个角色命中增加10%，与玩家战斗不生效，持续30分钟，同类型不可累积使用</v>
          </cell>
          <cell r="H626" t="str">
            <v>item_491022</v>
          </cell>
        </row>
        <row r="627">
          <cell r="E627" t="str">
            <v>初级闪避药丸</v>
          </cell>
          <cell r="F627" t="str">
            <v>初级闪避药丸</v>
          </cell>
          <cell r="G627" t="str">
            <v>单个角色闪避增加10%，与玩家战斗不生效，持续30分钟，同类型不可累积使用</v>
          </cell>
          <cell r="H627" t="str">
            <v>item_491023</v>
          </cell>
        </row>
        <row r="628">
          <cell r="E628" t="str">
            <v>初级速度药丸</v>
          </cell>
          <cell r="F628" t="str">
            <v>初级速度药丸</v>
          </cell>
          <cell r="G628" t="str">
            <v>单个角色速度增加10%，与玩家战斗不生效，持续30分钟，同类型不可累积使用</v>
          </cell>
          <cell r="H628" t="str">
            <v>item_491024</v>
          </cell>
        </row>
        <row r="629">
          <cell r="E629" t="str">
            <v>初级丰收药剂</v>
          </cell>
          <cell r="F629" t="str">
            <v>初级丰收药剂</v>
          </cell>
          <cell r="G629" t="str">
            <v>战胜野怪后获得金块和经验增加10%，持续30分钟，同类型不会累积效果</v>
          </cell>
          <cell r="H629" t="str">
            <v>item_491025</v>
          </cell>
        </row>
        <row r="630">
          <cell r="E630" t="str">
            <v>初级格挡药丸</v>
          </cell>
          <cell r="F630" t="str">
            <v>初级格挡药丸</v>
          </cell>
          <cell r="G630" t="str">
            <v>增加格挡值200，与玩家战斗不生效，持续60分钟，同类型不可累积使用</v>
          </cell>
          <cell r="H630" t="str">
            <v>item_491026</v>
          </cell>
        </row>
        <row r="631">
          <cell r="E631" t="str">
            <v>初级破击药丸</v>
          </cell>
          <cell r="F631" t="str">
            <v>初级破击药丸</v>
          </cell>
          <cell r="G631" t="str">
            <v>增加破击值200，与玩家战斗不生效，持续60分钟，同类型不可累积使用</v>
          </cell>
          <cell r="H631" t="str">
            <v>item_491027</v>
          </cell>
        </row>
        <row r="632">
          <cell r="E632" t="str">
            <v>初级经验药剂</v>
          </cell>
          <cell r="F632" t="str">
            <v>初级经验药剂</v>
          </cell>
          <cell r="G632" t="str">
            <v>经验获取提升10%</v>
          </cell>
          <cell r="H632" t="str">
            <v>item_460004</v>
          </cell>
        </row>
        <row r="633">
          <cell r="E633" t="str">
            <v>初级金币药剂</v>
          </cell>
          <cell r="F633" t="str">
            <v>初级金币药剂</v>
          </cell>
          <cell r="G633" t="str">
            <v>金币获取提升10%</v>
          </cell>
          <cell r="H633" t="str">
            <v>item_460004</v>
          </cell>
        </row>
        <row r="634">
          <cell r="E634" t="str">
            <v>超级攻击合剂</v>
          </cell>
          <cell r="F634" t="str">
            <v>超级回复合剂</v>
          </cell>
          <cell r="G634" t="str">
            <v>自我再生？别做梦了，自我安慰</v>
          </cell>
          <cell r="H634" t="str">
            <v>item_491032</v>
          </cell>
        </row>
        <row r="635">
          <cell r="E635" t="str">
            <v>超级治疗合剂</v>
          </cell>
          <cell r="F635" t="str">
            <v>超级治疗合剂</v>
          </cell>
          <cell r="G635" t="str">
            <v>中西药结合，家中常备</v>
          </cell>
          <cell r="H635" t="str">
            <v>item_491038</v>
          </cell>
        </row>
        <row r="636">
          <cell r="E636" t="str">
            <v>超级降暴合剂</v>
          </cell>
          <cell r="F636" t="str">
            <v>超级降暴合剂</v>
          </cell>
          <cell r="G636" t="str">
            <v>让你的对手下不去手</v>
          </cell>
          <cell r="H636" t="str">
            <v>item_491034</v>
          </cell>
        </row>
        <row r="637">
          <cell r="E637" t="str">
            <v>超级降伤合剂</v>
          </cell>
          <cell r="F637" t="str">
            <v>超级降伤合剂</v>
          </cell>
          <cell r="G637" t="str">
            <v>再用点力，我还可以</v>
          </cell>
          <cell r="H637" t="str">
            <v>item_491035</v>
          </cell>
        </row>
        <row r="638">
          <cell r="E638" t="str">
            <v>超级抗暴伤合剂</v>
          </cell>
          <cell r="F638" t="str">
            <v>超级抗暴伤合剂</v>
          </cell>
          <cell r="G638" t="str">
            <v>抗暴抗锯齿</v>
          </cell>
          <cell r="H638" t="str">
            <v>item_491037</v>
          </cell>
        </row>
        <row r="639">
          <cell r="E639" t="str">
            <v>超级伤免合剂</v>
          </cell>
          <cell r="F639" t="str">
            <v>超级伤免合剂</v>
          </cell>
          <cell r="G639" t="str">
            <v>有限无敌了解一下</v>
          </cell>
          <cell r="H639" t="str">
            <v>item_491036</v>
          </cell>
        </row>
        <row r="640">
          <cell r="E640" t="str">
            <v>完美抗暴药剂</v>
          </cell>
          <cell r="F640" t="str">
            <v>完美抗暴药剂</v>
          </cell>
          <cell r="G640" t="str">
            <v>脸皮得厚</v>
          </cell>
          <cell r="H640" t="str">
            <v>item_491043</v>
          </cell>
        </row>
        <row r="641">
          <cell r="E641" t="str">
            <v>完美闪避药剂</v>
          </cell>
          <cell r="F641" t="str">
            <v>完美闪避药剂</v>
          </cell>
          <cell r="G641" t="str">
            <v>酒精含量70%，只要你觉得没打到，那就是没打到</v>
          </cell>
          <cell r="H641" t="str">
            <v>item_491044</v>
          </cell>
        </row>
        <row r="642">
          <cell r="E642" t="str">
            <v>完美命中药剂</v>
          </cell>
          <cell r="F642" t="str">
            <v>完美命中药剂</v>
          </cell>
          <cell r="G642" t="str">
            <v>打哪指哪</v>
          </cell>
          <cell r="H642" t="str">
            <v>item_491042</v>
          </cell>
        </row>
        <row r="643">
          <cell r="E643" t="str">
            <v>完美攻击药剂</v>
          </cell>
          <cell r="F643" t="str">
            <v>完美攻击药剂</v>
          </cell>
          <cell r="G643" t="str">
            <v>困了累了，喝它</v>
          </cell>
          <cell r="H643" t="str">
            <v>item_491041</v>
          </cell>
        </row>
        <row r="644">
          <cell r="E644" t="str">
            <v>完美生命药剂</v>
          </cell>
          <cell r="F644" t="str">
            <v>完美生命药剂</v>
          </cell>
          <cell r="G644" t="str">
            <v>越喝越胖</v>
          </cell>
          <cell r="H644" t="str">
            <v>item_491039</v>
          </cell>
        </row>
        <row r="645">
          <cell r="E645" t="str">
            <v>完美防御药剂</v>
          </cell>
          <cell r="F645" t="str">
            <v>完美防御药剂</v>
          </cell>
          <cell r="G645" t="str">
            <v>越喝越壮</v>
          </cell>
          <cell r="H645" t="str">
            <v>item_491040</v>
          </cell>
        </row>
        <row r="646">
          <cell r="E646" t="str">
            <v>完美暴伤药剂</v>
          </cell>
          <cell r="F646" t="str">
            <v>完美暴伤药剂</v>
          </cell>
          <cell r="G646" t="str">
            <v>大耳帖子不要钱</v>
          </cell>
          <cell r="H646" t="str">
            <v>item_491033</v>
          </cell>
        </row>
        <row r="647">
          <cell r="E647" t="str">
            <v>大型剧毒药丸</v>
          </cell>
          <cell r="F647" t="str">
            <v>超级剧毒合剂</v>
          </cell>
          <cell r="G647" t="str">
            <v>毒属性伤害永久提升2%，每个角色使用上限30个</v>
          </cell>
          <cell r="H647" t="str">
            <v>item_491001</v>
          </cell>
        </row>
        <row r="648">
          <cell r="E648" t="str">
            <v>大型激流药丸</v>
          </cell>
          <cell r="F648" t="str">
            <v>超级激流合剂</v>
          </cell>
          <cell r="G648" t="str">
            <v>水属性伤害永久提升2%，每个角色使用上限30个</v>
          </cell>
          <cell r="H648" t="str">
            <v>item_491002</v>
          </cell>
        </row>
        <row r="649">
          <cell r="E649" t="str">
            <v>大型烈火药丸</v>
          </cell>
          <cell r="F649" t="str">
            <v>大型烈火药丸</v>
          </cell>
          <cell r="G649" t="str">
            <v>增加火属性伤害100，与玩家战斗不生效，持续60分钟，同类型不可累积使用</v>
          </cell>
          <cell r="H649" t="str">
            <v>item_491003</v>
          </cell>
        </row>
        <row r="650">
          <cell r="E650" t="str">
            <v>大型寒冰药丸</v>
          </cell>
          <cell r="F650" t="str">
            <v>大型寒冰药丸</v>
          </cell>
          <cell r="G650" t="str">
            <v>增加冰属性伤害100，与玩家战斗不生效，持续60分钟，同类型不可累积使用</v>
          </cell>
          <cell r="H650" t="str">
            <v>item_491004</v>
          </cell>
        </row>
        <row r="651">
          <cell r="E651" t="str">
            <v>大型暴风药丸</v>
          </cell>
          <cell r="F651" t="str">
            <v>大型暴风药丸</v>
          </cell>
          <cell r="G651" t="str">
            <v>增加风属性伤害100，与玩家战斗不生效，持续60分钟，同类型不可累积使用</v>
          </cell>
          <cell r="H651" t="str">
            <v>item_491005</v>
          </cell>
        </row>
        <row r="652">
          <cell r="E652" t="str">
            <v>大型雷电药丸</v>
          </cell>
          <cell r="F652" t="str">
            <v>大型雷电药丸</v>
          </cell>
          <cell r="G652" t="str">
            <v>增加雷属性伤害100，与玩家战斗不生效，持续60分钟，同类型不可累积使用</v>
          </cell>
          <cell r="H652" t="str">
            <v>item_491006</v>
          </cell>
        </row>
        <row r="653">
          <cell r="E653" t="str">
            <v>大型光明药丸</v>
          </cell>
          <cell r="F653" t="str">
            <v>大型光明药丸</v>
          </cell>
          <cell r="G653" t="str">
            <v>增加光属性伤害100，与玩家战斗不生效，持续60分钟，同类型不可累积使用</v>
          </cell>
          <cell r="H653" t="str">
            <v>item_491007</v>
          </cell>
        </row>
        <row r="654">
          <cell r="E654" t="str">
            <v>大型黑暗药丸</v>
          </cell>
          <cell r="F654" t="str">
            <v>大型黑暗药丸</v>
          </cell>
          <cell r="G654" t="str">
            <v>增加暗属性伤害100，与玩家战斗不生效，持续60分钟，同类型不可累积使用</v>
          </cell>
          <cell r="H654" t="str">
            <v>item_491008</v>
          </cell>
        </row>
        <row r="655">
          <cell r="E655" t="str">
            <v>高级抗毒药剂</v>
          </cell>
          <cell r="F655" t="str">
            <v>高级抗毒药剂</v>
          </cell>
          <cell r="G655" t="str">
            <v>受到毒属性伤害永久降低2%，每个角色使用上限30个</v>
          </cell>
          <cell r="H655" t="str">
            <v>item_491009</v>
          </cell>
        </row>
        <row r="656">
          <cell r="E656" t="str">
            <v>高级抗水药剂</v>
          </cell>
          <cell r="F656" t="str">
            <v>高级抗水药剂</v>
          </cell>
          <cell r="G656" t="str">
            <v>受到水属性伤害永久降低2%，每个角色使用上限30个</v>
          </cell>
          <cell r="H656" t="str">
            <v>item_491010</v>
          </cell>
        </row>
        <row r="657">
          <cell r="E657" t="str">
            <v>高级抗火药剂</v>
          </cell>
          <cell r="F657" t="str">
            <v>高级抗火药剂</v>
          </cell>
          <cell r="G657" t="str">
            <v>受到火属性伤害永久降低2%，每个角色使用上限30个</v>
          </cell>
          <cell r="H657" t="str">
            <v>item_491011</v>
          </cell>
        </row>
        <row r="658">
          <cell r="E658" t="str">
            <v>高级抗风药剂</v>
          </cell>
          <cell r="F658" t="str">
            <v>高级抗风药剂</v>
          </cell>
          <cell r="G658" t="str">
            <v>受到风属性伤害永久降低2%，每个角色使用上限30个</v>
          </cell>
          <cell r="H658" t="str">
            <v>item_491012</v>
          </cell>
        </row>
        <row r="659">
          <cell r="E659" t="str">
            <v>高级抗冰药剂</v>
          </cell>
          <cell r="F659" t="str">
            <v>高级抗冰药剂</v>
          </cell>
          <cell r="G659" t="str">
            <v>受到冰属性伤害永久降低2%，每个角色使用上限30个</v>
          </cell>
          <cell r="H659" t="str">
            <v>item_491013</v>
          </cell>
        </row>
        <row r="660">
          <cell r="E660" t="str">
            <v>高级抗雷药剂</v>
          </cell>
          <cell r="F660" t="str">
            <v>高级抗雷药剂</v>
          </cell>
          <cell r="G660" t="str">
            <v>受到雷属性伤害永久降低2%，每个角色使用上限30个</v>
          </cell>
          <cell r="H660" t="str">
            <v>item_491014</v>
          </cell>
        </row>
        <row r="661">
          <cell r="E661" t="str">
            <v>高级抗光药剂</v>
          </cell>
          <cell r="F661" t="str">
            <v>高级抗光药剂</v>
          </cell>
          <cell r="G661" t="str">
            <v>受到光属性伤害永久降低2%，每个角色使用上限30个</v>
          </cell>
          <cell r="H661" t="str">
            <v>item_491015</v>
          </cell>
        </row>
        <row r="662">
          <cell r="E662" t="str">
            <v>高级抗暗药剂</v>
          </cell>
          <cell r="F662" t="str">
            <v>高级抗暗药剂</v>
          </cell>
          <cell r="G662" t="str">
            <v>受到暗属性伤害永久降低2%，每个角色使用上限30个</v>
          </cell>
          <cell r="H662" t="str">
            <v>item_491016</v>
          </cell>
        </row>
        <row r="663">
          <cell r="E663" t="str">
            <v>大型生命药丸</v>
          </cell>
          <cell r="F663" t="str">
            <v>大型生命药丸</v>
          </cell>
          <cell r="G663" t="str">
            <v>生命上限增加1000，与玩家战斗不生效，持续60分钟，同类型不可累积使用</v>
          </cell>
          <cell r="H663" t="str">
            <v>item_491017</v>
          </cell>
        </row>
        <row r="664">
          <cell r="E664" t="str">
            <v>高级攻击药丸</v>
          </cell>
          <cell r="F664" t="str">
            <v>高级攻击药丸</v>
          </cell>
          <cell r="G664" t="str">
            <v>单个角色攻击增加20%，与玩家战斗不生效，持续30分钟，同类型不会累积效果</v>
          </cell>
          <cell r="H664" t="str">
            <v>item_491018</v>
          </cell>
        </row>
        <row r="665">
          <cell r="E665" t="str">
            <v>高级防御药丸</v>
          </cell>
          <cell r="F665" t="str">
            <v>高级防御药丸</v>
          </cell>
          <cell r="G665" t="str">
            <v>单个角色防御增加20%，与玩家战斗不生效，持续30分钟，同类型不会累积效果</v>
          </cell>
          <cell r="H665" t="str">
            <v>item_491019</v>
          </cell>
        </row>
        <row r="666">
          <cell r="E666" t="str">
            <v>高级暴击药丸</v>
          </cell>
          <cell r="F666" t="str">
            <v>高级暴击药丸</v>
          </cell>
          <cell r="G666" t="str">
            <v>单个角色暴击增加20%，与玩家战斗不生效，持续30分钟，同类型不会累积效果</v>
          </cell>
          <cell r="H666" t="str">
            <v>item_491020</v>
          </cell>
        </row>
        <row r="667">
          <cell r="E667" t="str">
            <v>高级韧性药丸</v>
          </cell>
          <cell r="F667" t="str">
            <v>高级韧性药丸</v>
          </cell>
          <cell r="G667" t="str">
            <v>单个角色韧性增加20%，与玩家战斗不生效，持续30分钟，同类型不会累积效果</v>
          </cell>
          <cell r="H667" t="str">
            <v>item_491021</v>
          </cell>
        </row>
        <row r="668">
          <cell r="E668" t="str">
            <v>高级命中药丸</v>
          </cell>
          <cell r="F668" t="str">
            <v>高级命中药丸</v>
          </cell>
          <cell r="G668" t="str">
            <v>单个角色命中增加20%，与玩家战斗不生效，持续30分钟，同类型不会累积效果</v>
          </cell>
          <cell r="H668" t="str">
            <v>item_491022</v>
          </cell>
        </row>
        <row r="669">
          <cell r="E669" t="str">
            <v>高级闪避药丸</v>
          </cell>
          <cell r="F669" t="str">
            <v>高级闪避药丸</v>
          </cell>
          <cell r="G669" t="str">
            <v>单个角色闪避增加20%，与玩家战斗不生效，持续30分钟，同类型不会累积效果</v>
          </cell>
          <cell r="H669" t="str">
            <v>item_491023</v>
          </cell>
        </row>
        <row r="670">
          <cell r="E670" t="str">
            <v>高级速度药丸</v>
          </cell>
          <cell r="F670" t="str">
            <v>高级速度药丸</v>
          </cell>
          <cell r="G670" t="str">
            <v>单个角色速度增加20%，与玩家战斗不生效，持续30分钟，同类型不会累积效果</v>
          </cell>
          <cell r="H670" t="str">
            <v>item_491024</v>
          </cell>
        </row>
        <row r="671">
          <cell r="E671" t="str">
            <v>高级丰收药剂</v>
          </cell>
          <cell r="F671" t="str">
            <v>高级丰收药剂</v>
          </cell>
          <cell r="G671" t="str">
            <v>战胜野怪后获得金块和经验增加15%，持续30分钟，同类型不会累积效果</v>
          </cell>
          <cell r="H671" t="str">
            <v>item_491025</v>
          </cell>
        </row>
        <row r="672">
          <cell r="E672" t="str">
            <v>大型格挡药丸</v>
          </cell>
          <cell r="F672" t="str">
            <v>大型格挡药丸</v>
          </cell>
          <cell r="G672" t="str">
            <v>增加格挡值400，与玩家战斗不生效，持续60分钟，同类型不可累积使用</v>
          </cell>
          <cell r="H672" t="str">
            <v>item_491026</v>
          </cell>
        </row>
        <row r="673">
          <cell r="E673" t="str">
            <v>大型破击药丸</v>
          </cell>
          <cell r="F673" t="str">
            <v>大型破击药丸</v>
          </cell>
          <cell r="G673" t="str">
            <v>增加破击值400，与玩家战斗不生效，持续60分钟，同类型不可累积使用</v>
          </cell>
          <cell r="H673" t="str">
            <v>item_491027</v>
          </cell>
        </row>
        <row r="674">
          <cell r="E674" t="str">
            <v>高级经验药剂</v>
          </cell>
          <cell r="F674" t="str">
            <v>高级经验药剂</v>
          </cell>
          <cell r="G674" t="str">
            <v>使用后玩家获得经验增加50%，持续24小时，同类型不会累积效果</v>
          </cell>
          <cell r="H674" t="str">
            <v>item_493001</v>
          </cell>
        </row>
        <row r="675">
          <cell r="E675" t="str">
            <v>奥义经验药剂</v>
          </cell>
          <cell r="F675" t="str">
            <v>奥义经验药剂</v>
          </cell>
          <cell r="G675" t="str">
            <v>使用后玩家获得经验增加150%，持续24小时，同类型不会累积效果</v>
          </cell>
          <cell r="H675" t="str">
            <v>item_493002</v>
          </cell>
        </row>
        <row r="676">
          <cell r="E676" t="str">
            <v>榉木</v>
          </cell>
          <cell r="F676" t="str">
            <v>榉木</v>
          </cell>
          <cell r="G676" t="str">
            <v>榉木</v>
          </cell>
          <cell r="H676" t="str">
            <v>item_411001</v>
          </cell>
        </row>
        <row r="677">
          <cell r="E677" t="str">
            <v>水曲柳</v>
          </cell>
          <cell r="F677" t="str">
            <v>水曲柳</v>
          </cell>
          <cell r="G677" t="str">
            <v>水曲柳</v>
          </cell>
          <cell r="H677" t="str">
            <v>item_411001</v>
          </cell>
        </row>
        <row r="678">
          <cell r="E678" t="str">
            <v>柞木</v>
          </cell>
          <cell r="F678" t="str">
            <v>柞木</v>
          </cell>
          <cell r="G678" t="str">
            <v>柞木</v>
          </cell>
          <cell r="H678" t="str">
            <v>item_411001</v>
          </cell>
        </row>
        <row r="679">
          <cell r="E679" t="str">
            <v>椴木</v>
          </cell>
          <cell r="F679" t="str">
            <v>椴木</v>
          </cell>
          <cell r="G679" t="str">
            <v>椴木</v>
          </cell>
          <cell r="H679" t="str">
            <v>item_411001</v>
          </cell>
        </row>
        <row r="680">
          <cell r="E680" t="str">
            <v>榆木</v>
          </cell>
          <cell r="F680" t="str">
            <v>榆木</v>
          </cell>
          <cell r="G680" t="str">
            <v>榆木</v>
          </cell>
          <cell r="H680" t="str">
            <v>item_411001</v>
          </cell>
        </row>
        <row r="681">
          <cell r="E681" t="str">
            <v>木条</v>
          </cell>
          <cell r="F681" t="str">
            <v>木条</v>
          </cell>
          <cell r="G681" t="str">
            <v>木条</v>
          </cell>
          <cell r="H681" t="str">
            <v>item_411001</v>
          </cell>
        </row>
        <row r="682">
          <cell r="E682" t="str">
            <v>铁片</v>
          </cell>
          <cell r="F682" t="str">
            <v>铁片</v>
          </cell>
          <cell r="G682" t="str">
            <v>铁片</v>
          </cell>
          <cell r="H682" t="str">
            <v>item_411001</v>
          </cell>
        </row>
        <row r="683">
          <cell r="E683" t="str">
            <v>枫木</v>
          </cell>
          <cell r="F683" t="str">
            <v>枫木</v>
          </cell>
          <cell r="G683" t="str">
            <v>枫木</v>
          </cell>
          <cell r="H683" t="str">
            <v>item_411001</v>
          </cell>
        </row>
        <row r="684">
          <cell r="E684" t="str">
            <v>樟木</v>
          </cell>
          <cell r="F684" t="str">
            <v>樟木</v>
          </cell>
          <cell r="G684" t="str">
            <v>樟木</v>
          </cell>
          <cell r="H684" t="str">
            <v>item_411001</v>
          </cell>
        </row>
        <row r="685">
          <cell r="E685" t="str">
            <v>红松</v>
          </cell>
          <cell r="F685" t="str">
            <v>红松</v>
          </cell>
          <cell r="G685" t="str">
            <v>红松</v>
          </cell>
          <cell r="H685" t="str">
            <v>item_411001</v>
          </cell>
        </row>
        <row r="686">
          <cell r="E686" t="str">
            <v>桦木</v>
          </cell>
          <cell r="F686" t="str">
            <v>桦木</v>
          </cell>
          <cell r="G686" t="str">
            <v>桦木</v>
          </cell>
          <cell r="H686" t="str">
            <v>item_411001</v>
          </cell>
        </row>
        <row r="687">
          <cell r="E687" t="str">
            <v>柳木</v>
          </cell>
          <cell r="F687" t="str">
            <v>柳木</v>
          </cell>
          <cell r="G687" t="str">
            <v>柳木</v>
          </cell>
          <cell r="H687" t="str">
            <v>item_411001</v>
          </cell>
        </row>
        <row r="688">
          <cell r="E688" t="str">
            <v>木板</v>
          </cell>
          <cell r="F688" t="str">
            <v>木板</v>
          </cell>
          <cell r="G688" t="str">
            <v>木板</v>
          </cell>
          <cell r="H688" t="str">
            <v>item_411001</v>
          </cell>
        </row>
        <row r="689">
          <cell r="E689" t="str">
            <v>齿轮</v>
          </cell>
          <cell r="F689" t="str">
            <v>齿轮</v>
          </cell>
          <cell r="G689" t="str">
            <v>齿轮</v>
          </cell>
          <cell r="H689" t="str">
            <v>item_411001</v>
          </cell>
        </row>
        <row r="690">
          <cell r="E690" t="str">
            <v>红衫木</v>
          </cell>
          <cell r="F690" t="str">
            <v>红衫木</v>
          </cell>
          <cell r="G690" t="str">
            <v>红衫木</v>
          </cell>
          <cell r="H690" t="str">
            <v>item_411001</v>
          </cell>
        </row>
        <row r="691">
          <cell r="E691" t="str">
            <v>紫檀木</v>
          </cell>
          <cell r="F691" t="str">
            <v>紫檀木</v>
          </cell>
          <cell r="G691" t="str">
            <v>紫檀木</v>
          </cell>
          <cell r="H691" t="str">
            <v>item_411001</v>
          </cell>
        </row>
        <row r="692">
          <cell r="E692" t="str">
            <v>白松</v>
          </cell>
          <cell r="F692" t="str">
            <v>白松</v>
          </cell>
          <cell r="G692" t="str">
            <v>白松</v>
          </cell>
          <cell r="H692" t="str">
            <v>item_411001</v>
          </cell>
        </row>
        <row r="693">
          <cell r="E693" t="str">
            <v>楠木</v>
          </cell>
          <cell r="F693" t="str">
            <v>楠木</v>
          </cell>
          <cell r="G693" t="str">
            <v>楠木</v>
          </cell>
          <cell r="H693" t="str">
            <v>item_411001</v>
          </cell>
        </row>
        <row r="694">
          <cell r="E694" t="str">
            <v>乌木</v>
          </cell>
          <cell r="F694" t="str">
            <v>乌木</v>
          </cell>
          <cell r="G694" t="str">
            <v>乌木</v>
          </cell>
          <cell r="H694" t="str">
            <v>item_411001</v>
          </cell>
        </row>
        <row r="695">
          <cell r="E695" t="str">
            <v>帆布</v>
          </cell>
          <cell r="F695" t="str">
            <v>帆布</v>
          </cell>
          <cell r="G695" t="str">
            <v>帆布</v>
          </cell>
          <cell r="H695" t="str">
            <v>item_411001</v>
          </cell>
        </row>
        <row r="696">
          <cell r="E696" t="str">
            <v>弹簧</v>
          </cell>
          <cell r="F696" t="str">
            <v>弹簧</v>
          </cell>
          <cell r="G696" t="str">
            <v>弹簧</v>
          </cell>
          <cell r="H696" t="str">
            <v>item_411001</v>
          </cell>
        </row>
        <row r="697">
          <cell r="E697" t="str">
            <v>黑檀木</v>
          </cell>
          <cell r="F697" t="str">
            <v>黑檀木</v>
          </cell>
          <cell r="G697" t="str">
            <v>黑檀木</v>
          </cell>
          <cell r="H697" t="str">
            <v>item_411001</v>
          </cell>
        </row>
        <row r="698">
          <cell r="E698" t="str">
            <v>水杉木</v>
          </cell>
          <cell r="F698" t="str">
            <v>水杉木</v>
          </cell>
          <cell r="G698" t="str">
            <v>水杉木</v>
          </cell>
          <cell r="H698" t="str">
            <v>item_411001</v>
          </cell>
        </row>
        <row r="699">
          <cell r="E699" t="str">
            <v>箭毒木</v>
          </cell>
          <cell r="F699" t="str">
            <v>箭毒木</v>
          </cell>
          <cell r="G699" t="str">
            <v>箭毒木</v>
          </cell>
          <cell r="H699" t="str">
            <v>item_411001</v>
          </cell>
        </row>
        <row r="700">
          <cell r="E700" t="str">
            <v>铁桦木</v>
          </cell>
          <cell r="F700" t="str">
            <v>铁桦木</v>
          </cell>
          <cell r="G700" t="str">
            <v>铁桦木</v>
          </cell>
          <cell r="H700" t="str">
            <v>item_411001</v>
          </cell>
        </row>
        <row r="701">
          <cell r="E701" t="str">
            <v>铁力木</v>
          </cell>
          <cell r="F701" t="str">
            <v>铁力木</v>
          </cell>
          <cell r="G701" t="str">
            <v>铁力木</v>
          </cell>
          <cell r="H701" t="str">
            <v>item_411001</v>
          </cell>
        </row>
        <row r="702">
          <cell r="E702" t="str">
            <v>铰链</v>
          </cell>
          <cell r="F702" t="str">
            <v>铰链</v>
          </cell>
          <cell r="G702" t="str">
            <v>铰链</v>
          </cell>
          <cell r="H702" t="str">
            <v>item_411001</v>
          </cell>
        </row>
        <row r="703">
          <cell r="E703" t="str">
            <v>曲柄</v>
          </cell>
          <cell r="F703" t="str">
            <v>曲柄</v>
          </cell>
          <cell r="G703" t="str">
            <v>曲柄</v>
          </cell>
          <cell r="H703" t="str">
            <v>item_411001</v>
          </cell>
        </row>
        <row r="704">
          <cell r="E704" t="str">
            <v>亚当宝树</v>
          </cell>
          <cell r="F704" t="str">
            <v>亚当宝树</v>
          </cell>
          <cell r="G704" t="str">
            <v>亚当宝树</v>
          </cell>
          <cell r="H704" t="str">
            <v>item_411001</v>
          </cell>
        </row>
        <row r="705">
          <cell r="E705" t="str">
            <v>龙血木</v>
          </cell>
          <cell r="F705" t="str">
            <v>龙血木</v>
          </cell>
          <cell r="G705" t="str">
            <v>龙血木</v>
          </cell>
          <cell r="H705" t="str">
            <v>item_411001</v>
          </cell>
        </row>
        <row r="706">
          <cell r="E706" t="str">
            <v>梧桐木</v>
          </cell>
          <cell r="F706" t="str">
            <v>梧桐木</v>
          </cell>
          <cell r="G706" t="str">
            <v>梧桐木</v>
          </cell>
          <cell r="H706" t="str">
            <v>item_411001</v>
          </cell>
        </row>
        <row r="707">
          <cell r="E707" t="str">
            <v>阳树夏娃</v>
          </cell>
          <cell r="F707" t="str">
            <v>阳树夏娃</v>
          </cell>
          <cell r="G707" t="str">
            <v>阳树夏娃</v>
          </cell>
          <cell r="H707" t="str">
            <v>item_411001</v>
          </cell>
        </row>
        <row r="708">
          <cell r="E708" t="str">
            <v>全知之树</v>
          </cell>
          <cell r="F708" t="str">
            <v>全知之树</v>
          </cell>
          <cell r="G708" t="str">
            <v>全知之树</v>
          </cell>
          <cell r="H708" t="str">
            <v>item_411001</v>
          </cell>
        </row>
        <row r="709">
          <cell r="E709" t="str">
            <v>桅杆</v>
          </cell>
          <cell r="F709" t="str">
            <v>桅杆</v>
          </cell>
          <cell r="G709" t="str">
            <v>桅杆</v>
          </cell>
          <cell r="H709" t="str">
            <v>item_411001</v>
          </cell>
        </row>
        <row r="710">
          <cell r="E710" t="str">
            <v>螺栓</v>
          </cell>
          <cell r="F710" t="str">
            <v>螺栓</v>
          </cell>
          <cell r="G710" t="str">
            <v>螺栓</v>
          </cell>
          <cell r="H710" t="str">
            <v>item_411001</v>
          </cell>
        </row>
        <row r="711">
          <cell r="E711" t="str">
            <v>甘草胶囊</v>
          </cell>
          <cell r="F711" t="str">
            <v>低级治愈胶囊</v>
          </cell>
          <cell r="G711" t="str">
            <v>简单快速的小剂量恢复药剂，使用后立刻恢复1000血量。（10级使用）</v>
          </cell>
          <cell r="H711" t="str">
            <v>item_med001</v>
          </cell>
        </row>
        <row r="712">
          <cell r="E712" t="str">
            <v>蘑菇胶囊</v>
          </cell>
          <cell r="F712" t="str">
            <v>低级治愈喷雾</v>
          </cell>
          <cell r="G712" t="str">
            <v>有恢复效果的小剂量药剂，使用后每秒恢复50点血，持续15秒。（10级使用）</v>
          </cell>
          <cell r="H712" t="str">
            <v>item_med002</v>
          </cell>
        </row>
        <row r="713">
          <cell r="E713" t="str">
            <v>苦檀胶囊</v>
          </cell>
          <cell r="F713" t="str">
            <v>中级治愈胶囊</v>
          </cell>
          <cell r="G713" t="str">
            <v>简单快速的恢复中剂量药剂，使用后立刻恢复1500血量。（20级使用）</v>
          </cell>
          <cell r="H713" t="str">
            <v>item_med003</v>
          </cell>
        </row>
        <row r="714">
          <cell r="E714" t="str">
            <v>薄荷喷雾</v>
          </cell>
          <cell r="F714" t="str">
            <v>中级治愈药水</v>
          </cell>
          <cell r="G714" t="str">
            <v>有恢复效果的中剂量药剂，使用后每秒恢复100点血，持续15秒。（20级使用）</v>
          </cell>
          <cell r="H714" t="str">
            <v>item_med004</v>
          </cell>
        </row>
        <row r="715">
          <cell r="E715" t="str">
            <v>紫云英胶囊</v>
          </cell>
          <cell r="F715" t="str">
            <v>高级治愈胶囊</v>
          </cell>
          <cell r="G715" t="str">
            <v>简单快速的大剂量恢复药剂，使用后立刻恢复2000血量。（30级使用）</v>
          </cell>
          <cell r="H715" t="str">
            <v>item_med005</v>
          </cell>
        </row>
        <row r="716">
          <cell r="E716" t="str">
            <v>灵息粉</v>
          </cell>
          <cell r="F716" t="str">
            <v>高级治愈药粉</v>
          </cell>
          <cell r="G716" t="str">
            <v>有恢复效果的大剂量药剂，使用后每秒恢复150点血，持续15秒。（30级使用）</v>
          </cell>
          <cell r="H716" t="str">
            <v>item_med006</v>
          </cell>
        </row>
        <row r="717">
          <cell r="E717" t="str">
            <v>普通樱桃</v>
          </cell>
          <cell r="F717" t="str">
            <v>普通樱桃</v>
          </cell>
          <cell r="G717" t="str">
            <v>烹饪中需要的材料之一。</v>
          </cell>
          <cell r="H717" t="str">
            <v>item_460001</v>
          </cell>
        </row>
        <row r="718">
          <cell r="E718" t="str">
            <v>普通柠檬</v>
          </cell>
          <cell r="F718" t="str">
            <v>普通柠檬</v>
          </cell>
          <cell r="G718" t="str">
            <v>烹饪中需要的材料之一。</v>
          </cell>
          <cell r="H718" t="str">
            <v>item_460002</v>
          </cell>
        </row>
        <row r="719">
          <cell r="E719" t="str">
            <v>普通菠萝</v>
          </cell>
          <cell r="F719" t="str">
            <v>普通菠萝</v>
          </cell>
          <cell r="G719" t="str">
            <v>烹饪中需要的材料之一。</v>
          </cell>
          <cell r="H719" t="str">
            <v>item_460003</v>
          </cell>
        </row>
        <row r="720">
          <cell r="E720" t="str">
            <v>普通香蕉</v>
          </cell>
          <cell r="F720" t="str">
            <v>普通香蕉</v>
          </cell>
          <cell r="G720" t="str">
            <v>烹饪中需要的材料之一。</v>
          </cell>
          <cell r="H720" t="str">
            <v>item_460004</v>
          </cell>
        </row>
        <row r="721">
          <cell r="E721" t="str">
            <v>普通苹果</v>
          </cell>
          <cell r="F721" t="str">
            <v>普通苹果</v>
          </cell>
          <cell r="G721" t="str">
            <v>烹饪中需要的材料之一。</v>
          </cell>
          <cell r="H721" t="str">
            <v>item_460005</v>
          </cell>
        </row>
        <row r="722">
          <cell r="E722" t="str">
            <v>普通鲷鱼</v>
          </cell>
          <cell r="F722" t="str">
            <v>普通鲷鱼</v>
          </cell>
          <cell r="G722" t="str">
            <v>烹饪中需要的材料之一。</v>
          </cell>
          <cell r="H722" t="str">
            <v>item_460006</v>
          </cell>
        </row>
        <row r="723">
          <cell r="E723" t="str">
            <v>普通蛤蜊</v>
          </cell>
          <cell r="F723" t="str">
            <v>普通蛤蜊</v>
          </cell>
          <cell r="G723" t="str">
            <v>烹饪中需要的材料之一。</v>
          </cell>
          <cell r="H723" t="str">
            <v>item_460007</v>
          </cell>
        </row>
        <row r="724">
          <cell r="E724" t="str">
            <v>普通虾</v>
          </cell>
          <cell r="F724" t="str">
            <v>普通虾</v>
          </cell>
          <cell r="G724" t="str">
            <v>烹饪中需要的材料之一。</v>
          </cell>
          <cell r="H724" t="str">
            <v>item_460008</v>
          </cell>
        </row>
        <row r="725">
          <cell r="E725" t="str">
            <v>普通章鱼</v>
          </cell>
          <cell r="F725" t="str">
            <v>普通章鱼</v>
          </cell>
          <cell r="G725" t="str">
            <v>烹饪中需要的材料之一。</v>
          </cell>
          <cell r="H725" t="str">
            <v>item_460009</v>
          </cell>
        </row>
        <row r="726">
          <cell r="E726" t="str">
            <v>普通沙丁鱼</v>
          </cell>
          <cell r="F726" t="str">
            <v>普通沙丁鱼</v>
          </cell>
          <cell r="G726" t="str">
            <v>烹饪中需要的材料之一。</v>
          </cell>
          <cell r="H726" t="str">
            <v>item_460010</v>
          </cell>
        </row>
        <row r="727">
          <cell r="E727" t="str">
            <v>普通秋刀鱼</v>
          </cell>
          <cell r="F727" t="str">
            <v>普通秋刀鱼</v>
          </cell>
          <cell r="G727" t="str">
            <v>烹饪中需要的材料之一。</v>
          </cell>
          <cell r="H727" t="str">
            <v>item_460011</v>
          </cell>
        </row>
        <row r="728">
          <cell r="E728" t="str">
            <v>普通猪肉</v>
          </cell>
          <cell r="F728" t="str">
            <v>普通猪肉</v>
          </cell>
          <cell r="G728" t="str">
            <v>烹饪中需要的材料之一。</v>
          </cell>
          <cell r="H728" t="str">
            <v>item_460012</v>
          </cell>
        </row>
        <row r="729">
          <cell r="E729" t="str">
            <v>普通鸡肉</v>
          </cell>
          <cell r="F729" t="str">
            <v>普通鸡肉</v>
          </cell>
          <cell r="G729" t="str">
            <v>烹饪中需要的材料之一。</v>
          </cell>
          <cell r="H729" t="str">
            <v>item_460013</v>
          </cell>
        </row>
        <row r="730">
          <cell r="E730" t="str">
            <v>普通牛肉</v>
          </cell>
          <cell r="F730" t="str">
            <v>普通牛肉</v>
          </cell>
          <cell r="G730" t="str">
            <v>烹饪中需要的材料之一。</v>
          </cell>
          <cell r="H730" t="str">
            <v>item_460014</v>
          </cell>
        </row>
        <row r="731">
          <cell r="E731" t="str">
            <v>普通胡萝卜</v>
          </cell>
          <cell r="F731" t="str">
            <v>普通胡萝卜</v>
          </cell>
          <cell r="G731" t="str">
            <v>烹饪中需要的材料之一。</v>
          </cell>
          <cell r="H731" t="str">
            <v>item_460015</v>
          </cell>
        </row>
        <row r="732">
          <cell r="E732" t="str">
            <v>普通鸡蛋</v>
          </cell>
          <cell r="F732" t="str">
            <v>普通鸡蛋</v>
          </cell>
          <cell r="G732" t="str">
            <v>烹饪中需要的材料之一。</v>
          </cell>
          <cell r="H732" t="str">
            <v>item_460016</v>
          </cell>
        </row>
        <row r="733">
          <cell r="E733" t="str">
            <v>普通豆芽</v>
          </cell>
          <cell r="F733" t="str">
            <v>普通豆芽</v>
          </cell>
          <cell r="G733" t="str">
            <v>烹饪中需要的材料之一。</v>
          </cell>
          <cell r="H733" t="str">
            <v>item_460017</v>
          </cell>
        </row>
        <row r="734">
          <cell r="E734" t="str">
            <v>普通洋葱</v>
          </cell>
          <cell r="F734" t="str">
            <v>普通洋葱</v>
          </cell>
          <cell r="G734" t="str">
            <v>烹饪中需要的材料之一。</v>
          </cell>
          <cell r="H734" t="str">
            <v>item_460018</v>
          </cell>
        </row>
        <row r="735">
          <cell r="E735" t="str">
            <v>普通土豆</v>
          </cell>
          <cell r="F735" t="str">
            <v>普通土豆</v>
          </cell>
          <cell r="G735" t="str">
            <v>烹饪中需要的材料之一。</v>
          </cell>
          <cell r="H735" t="str">
            <v>item_460019</v>
          </cell>
        </row>
        <row r="736">
          <cell r="E736" t="str">
            <v>普通裙带菜</v>
          </cell>
          <cell r="F736" t="str">
            <v>普通裙带菜</v>
          </cell>
          <cell r="G736" t="str">
            <v>烹饪中需要的材料之一。</v>
          </cell>
          <cell r="H736" t="str">
            <v>item_460020</v>
          </cell>
        </row>
        <row r="737">
          <cell r="E737" t="str">
            <v>普通海带</v>
          </cell>
          <cell r="F737" t="str">
            <v>普通海带</v>
          </cell>
          <cell r="G737" t="str">
            <v>烹饪中需要的材料之一。</v>
          </cell>
          <cell r="H737" t="str">
            <v>item_460021</v>
          </cell>
        </row>
        <row r="738">
          <cell r="E738" t="str">
            <v>普通豆子</v>
          </cell>
          <cell r="F738" t="str">
            <v>普通豆子</v>
          </cell>
          <cell r="G738" t="str">
            <v>烹饪中需要的材料之一。</v>
          </cell>
          <cell r="H738" t="str">
            <v>item_460022</v>
          </cell>
        </row>
        <row r="739">
          <cell r="E739" t="str">
            <v>普通油炸豆腐</v>
          </cell>
          <cell r="F739" t="str">
            <v>普通油炸豆腐</v>
          </cell>
          <cell r="G739" t="str">
            <v>烹饪中需要的材料之一。</v>
          </cell>
          <cell r="H739" t="str">
            <v>item_460023</v>
          </cell>
        </row>
        <row r="740">
          <cell r="E740" t="str">
            <v>普通米饭</v>
          </cell>
          <cell r="F740" t="str">
            <v>普通的米饭</v>
          </cell>
          <cell r="G740" t="str">
            <v>烹饪中需要的材料之一。</v>
          </cell>
          <cell r="H740" t="str">
            <v>item_460024</v>
          </cell>
        </row>
        <row r="741">
          <cell r="E741" t="str">
            <v>普通南瓜</v>
          </cell>
          <cell r="F741" t="str">
            <v>普通南瓜</v>
          </cell>
          <cell r="G741" t="str">
            <v>烹饪中需要的材料之一。</v>
          </cell>
          <cell r="H741" t="str">
            <v>item_460025</v>
          </cell>
        </row>
        <row r="742">
          <cell r="E742" t="str">
            <v>优质樱桃</v>
          </cell>
          <cell r="F742" t="str">
            <v>优质樱桃</v>
          </cell>
          <cell r="G742" t="str">
            <v>烹饪中需要的材料之一。</v>
          </cell>
          <cell r="H742" t="str">
            <v>item_460004</v>
          </cell>
        </row>
        <row r="743">
          <cell r="E743" t="str">
            <v>优质柠檬</v>
          </cell>
          <cell r="F743" t="str">
            <v>优质柠檬</v>
          </cell>
          <cell r="G743" t="str">
            <v>烹饪中需要的材料之一。</v>
          </cell>
          <cell r="H743" t="str">
            <v>item_460004</v>
          </cell>
        </row>
        <row r="744">
          <cell r="E744" t="str">
            <v>优质菠萝</v>
          </cell>
          <cell r="F744" t="str">
            <v>优质菠萝</v>
          </cell>
          <cell r="G744" t="str">
            <v>烹饪中需要的材料之一。</v>
          </cell>
          <cell r="H744" t="str">
            <v>item_460004</v>
          </cell>
        </row>
        <row r="745">
          <cell r="E745" t="str">
            <v>优质香蕉</v>
          </cell>
          <cell r="F745" t="str">
            <v>优质香蕉</v>
          </cell>
          <cell r="G745" t="str">
            <v>烹饪中需要的材料之一。</v>
          </cell>
          <cell r="H745" t="str">
            <v>item_460004</v>
          </cell>
        </row>
        <row r="746">
          <cell r="E746" t="str">
            <v>优质苹果</v>
          </cell>
          <cell r="F746" t="str">
            <v>优质苹果</v>
          </cell>
          <cell r="G746" t="str">
            <v>烹饪中需要的材料之一。</v>
          </cell>
          <cell r="H746" t="str">
            <v>item_460004</v>
          </cell>
        </row>
        <row r="747">
          <cell r="E747" t="str">
            <v>优质鲷鱼</v>
          </cell>
          <cell r="F747" t="str">
            <v>优质鲷鱼</v>
          </cell>
          <cell r="G747" t="str">
            <v>烹饪中需要的材料之一。</v>
          </cell>
          <cell r="H747" t="str">
            <v>item_460004</v>
          </cell>
        </row>
        <row r="748">
          <cell r="E748" t="str">
            <v>优质蛤蜊</v>
          </cell>
          <cell r="F748" t="str">
            <v>优质蛤蜊</v>
          </cell>
          <cell r="G748" t="str">
            <v>烹饪中需要的材料之一。</v>
          </cell>
          <cell r="H748" t="str">
            <v>item_460004</v>
          </cell>
        </row>
        <row r="749">
          <cell r="E749" t="str">
            <v>优质虾</v>
          </cell>
          <cell r="F749" t="str">
            <v>优质虾</v>
          </cell>
          <cell r="G749" t="str">
            <v>烹饪中需要的材料之一。</v>
          </cell>
          <cell r="H749" t="str">
            <v>item_460004</v>
          </cell>
        </row>
        <row r="750">
          <cell r="E750" t="str">
            <v>优质章鱼</v>
          </cell>
          <cell r="F750" t="str">
            <v>优质章鱼</v>
          </cell>
          <cell r="G750" t="str">
            <v>烹饪中需要的材料之一。</v>
          </cell>
          <cell r="H750" t="str">
            <v>item_460004</v>
          </cell>
        </row>
        <row r="751">
          <cell r="E751" t="str">
            <v>优质沙丁鱼</v>
          </cell>
          <cell r="F751" t="str">
            <v>优质沙丁鱼</v>
          </cell>
          <cell r="G751" t="str">
            <v>烹饪中需要的材料之一。</v>
          </cell>
          <cell r="H751" t="str">
            <v>item_460004</v>
          </cell>
        </row>
        <row r="752">
          <cell r="E752" t="str">
            <v>优质秋刀鱼</v>
          </cell>
          <cell r="F752" t="str">
            <v>优质秋刀鱼</v>
          </cell>
          <cell r="G752" t="str">
            <v>烹饪中需要的材料之一。</v>
          </cell>
          <cell r="H752" t="str">
            <v>item_460004</v>
          </cell>
        </row>
        <row r="753">
          <cell r="E753" t="str">
            <v>优质猪肉</v>
          </cell>
          <cell r="F753" t="str">
            <v>优质猪肉</v>
          </cell>
          <cell r="G753" t="str">
            <v>烹饪中需要的材料之一。</v>
          </cell>
          <cell r="H753" t="str">
            <v>item_460004</v>
          </cell>
        </row>
        <row r="754">
          <cell r="E754" t="str">
            <v>优质鸡肉</v>
          </cell>
          <cell r="F754" t="str">
            <v>优质鸡肉</v>
          </cell>
          <cell r="G754" t="str">
            <v>烹饪中需要的材料之一。</v>
          </cell>
          <cell r="H754" t="str">
            <v>item_460004</v>
          </cell>
        </row>
        <row r="755">
          <cell r="E755" t="str">
            <v>优质牛肉</v>
          </cell>
          <cell r="F755" t="str">
            <v>优质牛肉</v>
          </cell>
          <cell r="G755" t="str">
            <v>烹饪中需要的材料之一。</v>
          </cell>
          <cell r="H755" t="str">
            <v>item_460004</v>
          </cell>
        </row>
        <row r="756">
          <cell r="E756" t="str">
            <v>优质胡萝卜</v>
          </cell>
          <cell r="F756" t="str">
            <v>优质胡萝卜</v>
          </cell>
          <cell r="G756" t="str">
            <v>烹饪中需要的材料之一。</v>
          </cell>
          <cell r="H756" t="str">
            <v>item_460004</v>
          </cell>
        </row>
        <row r="757">
          <cell r="E757" t="str">
            <v>优质鸡蛋</v>
          </cell>
          <cell r="F757" t="str">
            <v>优质鸡蛋</v>
          </cell>
          <cell r="G757" t="str">
            <v>烹饪中需要的材料之一。</v>
          </cell>
          <cell r="H757" t="str">
            <v>item_460004</v>
          </cell>
        </row>
        <row r="758">
          <cell r="E758" t="str">
            <v>优质豆芽</v>
          </cell>
          <cell r="F758" t="str">
            <v>优质豆芽</v>
          </cell>
          <cell r="G758" t="str">
            <v>烹饪中需要的材料之一。</v>
          </cell>
          <cell r="H758" t="str">
            <v>item_460004</v>
          </cell>
        </row>
        <row r="759">
          <cell r="E759" t="str">
            <v>优质洋葱</v>
          </cell>
          <cell r="F759" t="str">
            <v>优质洋葱</v>
          </cell>
          <cell r="G759" t="str">
            <v>烹饪中需要的材料之一。</v>
          </cell>
          <cell r="H759" t="str">
            <v>item_460004</v>
          </cell>
        </row>
        <row r="760">
          <cell r="E760" t="str">
            <v>优质土豆</v>
          </cell>
          <cell r="F760" t="str">
            <v>优质土豆</v>
          </cell>
          <cell r="G760" t="str">
            <v>烹饪中需要的材料之一。</v>
          </cell>
          <cell r="H760" t="str">
            <v>item_460004</v>
          </cell>
        </row>
        <row r="761">
          <cell r="E761" t="str">
            <v>优质裙带菜</v>
          </cell>
          <cell r="F761" t="str">
            <v>优质裙带菜</v>
          </cell>
          <cell r="G761" t="str">
            <v>烹饪中需要的材料之一。</v>
          </cell>
          <cell r="H761" t="str">
            <v>item_460004</v>
          </cell>
        </row>
        <row r="762">
          <cell r="E762" t="str">
            <v>优质海带</v>
          </cell>
          <cell r="F762" t="str">
            <v>优质海带</v>
          </cell>
          <cell r="G762" t="str">
            <v>烹饪中需要的材料之一。</v>
          </cell>
          <cell r="H762" t="str">
            <v>item_460004</v>
          </cell>
        </row>
        <row r="763">
          <cell r="E763" t="str">
            <v>优质豆子</v>
          </cell>
          <cell r="F763" t="str">
            <v>优质豆子</v>
          </cell>
          <cell r="G763" t="str">
            <v>烹饪中需要的材料之一。</v>
          </cell>
          <cell r="H763" t="str">
            <v>item_460004</v>
          </cell>
        </row>
        <row r="764">
          <cell r="E764" t="str">
            <v>优质油炸豆腐</v>
          </cell>
          <cell r="F764" t="str">
            <v>优质油炸豆腐</v>
          </cell>
          <cell r="G764" t="str">
            <v>烹饪中需要的材料之一。</v>
          </cell>
          <cell r="H764" t="str">
            <v>item_460004</v>
          </cell>
        </row>
        <row r="765">
          <cell r="E765" t="str">
            <v>优质米饭</v>
          </cell>
          <cell r="F765" t="str">
            <v>优质的米饭</v>
          </cell>
          <cell r="G765" t="str">
            <v>烹饪中需要的材料之一。</v>
          </cell>
          <cell r="H765" t="str">
            <v>item_460004</v>
          </cell>
        </row>
        <row r="766">
          <cell r="E766" t="str">
            <v>优质南瓜</v>
          </cell>
          <cell r="F766" t="str">
            <v>优质南瓜</v>
          </cell>
          <cell r="G766" t="str">
            <v>烹饪中需要的材料之一。</v>
          </cell>
          <cell r="H766" t="str">
            <v>item_460004</v>
          </cell>
        </row>
        <row r="767">
          <cell r="E767" t="str">
            <v>精品樱桃</v>
          </cell>
          <cell r="F767" t="str">
            <v>精品樱桃</v>
          </cell>
          <cell r="G767" t="str">
            <v>烹饪中需要的材料之一。</v>
          </cell>
          <cell r="H767" t="str">
            <v>item_460004</v>
          </cell>
        </row>
        <row r="768">
          <cell r="E768" t="str">
            <v>精品柠檬</v>
          </cell>
          <cell r="F768" t="str">
            <v>精品柠檬</v>
          </cell>
          <cell r="G768" t="str">
            <v>烹饪中需要的材料之一。</v>
          </cell>
          <cell r="H768" t="str">
            <v>item_460004</v>
          </cell>
        </row>
        <row r="769">
          <cell r="E769" t="str">
            <v>精品菠萝</v>
          </cell>
          <cell r="F769" t="str">
            <v>精品菠萝</v>
          </cell>
          <cell r="G769" t="str">
            <v>烹饪中需要的材料之一。</v>
          </cell>
          <cell r="H769" t="str">
            <v>item_460004</v>
          </cell>
        </row>
        <row r="770">
          <cell r="E770" t="str">
            <v>精品香蕉</v>
          </cell>
          <cell r="F770" t="str">
            <v>精品香蕉</v>
          </cell>
          <cell r="G770" t="str">
            <v>烹饪中需要的材料之一。</v>
          </cell>
          <cell r="H770" t="str">
            <v>item_460004</v>
          </cell>
        </row>
        <row r="771">
          <cell r="E771" t="str">
            <v>精品苹果</v>
          </cell>
          <cell r="F771" t="str">
            <v>精品苹果</v>
          </cell>
          <cell r="G771" t="str">
            <v>烹饪中需要的材料之一。</v>
          </cell>
          <cell r="H771" t="str">
            <v>item_460004</v>
          </cell>
        </row>
        <row r="772">
          <cell r="E772" t="str">
            <v>精品鲷鱼</v>
          </cell>
          <cell r="F772" t="str">
            <v>精品鲷鱼</v>
          </cell>
          <cell r="G772" t="str">
            <v>烹饪中需要的材料之一。</v>
          </cell>
          <cell r="H772" t="str">
            <v>item_460004</v>
          </cell>
        </row>
        <row r="773">
          <cell r="E773" t="str">
            <v>精品蛤蜊</v>
          </cell>
          <cell r="F773" t="str">
            <v>精品蛤蜊</v>
          </cell>
          <cell r="G773" t="str">
            <v>烹饪中需要的材料之一。</v>
          </cell>
          <cell r="H773" t="str">
            <v>item_460004</v>
          </cell>
        </row>
        <row r="774">
          <cell r="E774" t="str">
            <v>精品虾</v>
          </cell>
          <cell r="F774" t="str">
            <v>精品虾</v>
          </cell>
          <cell r="G774" t="str">
            <v>烹饪中需要的材料之一。</v>
          </cell>
          <cell r="H774" t="str">
            <v>item_460004</v>
          </cell>
        </row>
        <row r="775">
          <cell r="E775" t="str">
            <v>精品章鱼</v>
          </cell>
          <cell r="F775" t="str">
            <v>精品章鱼</v>
          </cell>
          <cell r="G775" t="str">
            <v>烹饪中需要的材料之一。</v>
          </cell>
          <cell r="H775" t="str">
            <v>item_460004</v>
          </cell>
        </row>
        <row r="776">
          <cell r="E776" t="str">
            <v>精品沙丁鱼</v>
          </cell>
          <cell r="F776" t="str">
            <v>精品沙丁鱼</v>
          </cell>
          <cell r="G776" t="str">
            <v>烹饪中需要的材料之一。</v>
          </cell>
          <cell r="H776" t="str">
            <v>item_460004</v>
          </cell>
        </row>
        <row r="777">
          <cell r="E777" t="str">
            <v>精品秋刀鱼</v>
          </cell>
          <cell r="F777" t="str">
            <v>精品秋刀鱼</v>
          </cell>
          <cell r="G777" t="str">
            <v>烹饪中需要的材料之一。</v>
          </cell>
          <cell r="H777" t="str">
            <v>item_460004</v>
          </cell>
        </row>
        <row r="778">
          <cell r="E778" t="str">
            <v>精品猪肉</v>
          </cell>
          <cell r="F778" t="str">
            <v>精品猪肉</v>
          </cell>
          <cell r="G778" t="str">
            <v>烹饪中需要的材料之一。</v>
          </cell>
          <cell r="H778" t="str">
            <v>item_460004</v>
          </cell>
        </row>
        <row r="779">
          <cell r="E779" t="str">
            <v>精品鸡肉</v>
          </cell>
          <cell r="F779" t="str">
            <v>精品鸡肉</v>
          </cell>
          <cell r="G779" t="str">
            <v>烹饪中需要的材料之一。</v>
          </cell>
          <cell r="H779" t="str">
            <v>item_460004</v>
          </cell>
        </row>
        <row r="780">
          <cell r="E780" t="str">
            <v>精品牛肉</v>
          </cell>
          <cell r="F780" t="str">
            <v>精品牛肉</v>
          </cell>
          <cell r="G780" t="str">
            <v>烹饪中需要的材料之一。</v>
          </cell>
          <cell r="H780" t="str">
            <v>item_460004</v>
          </cell>
        </row>
        <row r="781">
          <cell r="E781" t="str">
            <v>精品胡萝卜</v>
          </cell>
          <cell r="F781" t="str">
            <v>精品胡萝卜</v>
          </cell>
          <cell r="G781" t="str">
            <v>烹饪中需要的材料之一。</v>
          </cell>
          <cell r="H781" t="str">
            <v>item_460004</v>
          </cell>
        </row>
        <row r="782">
          <cell r="E782" t="str">
            <v>精品鸡蛋</v>
          </cell>
          <cell r="F782" t="str">
            <v>精品鸡蛋</v>
          </cell>
          <cell r="G782" t="str">
            <v>烹饪中需要的材料之一。</v>
          </cell>
          <cell r="H782" t="str">
            <v>item_460004</v>
          </cell>
        </row>
        <row r="783">
          <cell r="E783" t="str">
            <v>精品豆芽</v>
          </cell>
          <cell r="F783" t="str">
            <v>精品豆芽</v>
          </cell>
          <cell r="G783" t="str">
            <v>烹饪中需要的材料之一。</v>
          </cell>
          <cell r="H783" t="str">
            <v>item_460004</v>
          </cell>
        </row>
        <row r="784">
          <cell r="E784" t="str">
            <v>精品洋葱</v>
          </cell>
          <cell r="F784" t="str">
            <v>精品洋葱</v>
          </cell>
          <cell r="G784" t="str">
            <v>烹饪中需要的材料之一。</v>
          </cell>
          <cell r="H784" t="str">
            <v>item_460004</v>
          </cell>
        </row>
        <row r="785">
          <cell r="E785" t="str">
            <v>精品土豆</v>
          </cell>
          <cell r="F785" t="str">
            <v>精品土豆</v>
          </cell>
          <cell r="G785" t="str">
            <v>烹饪中需要的材料之一。</v>
          </cell>
          <cell r="H785" t="str">
            <v>item_460004</v>
          </cell>
        </row>
        <row r="786">
          <cell r="E786" t="str">
            <v>精品裙带菜</v>
          </cell>
          <cell r="F786" t="str">
            <v>精品裙带菜</v>
          </cell>
          <cell r="G786" t="str">
            <v>烹饪中需要的材料之一。</v>
          </cell>
          <cell r="H786" t="str">
            <v>item_460004</v>
          </cell>
        </row>
        <row r="787">
          <cell r="E787" t="str">
            <v>精品海带</v>
          </cell>
          <cell r="F787" t="str">
            <v>精品海带</v>
          </cell>
          <cell r="G787" t="str">
            <v>烹饪中需要的材料之一。</v>
          </cell>
          <cell r="H787" t="str">
            <v>item_460004</v>
          </cell>
        </row>
        <row r="788">
          <cell r="E788" t="str">
            <v>精品豆子</v>
          </cell>
          <cell r="F788" t="str">
            <v>精品豆子</v>
          </cell>
          <cell r="G788" t="str">
            <v>烹饪中需要的材料之一。</v>
          </cell>
          <cell r="H788" t="str">
            <v>item_460004</v>
          </cell>
        </row>
        <row r="789">
          <cell r="E789" t="str">
            <v>精品油炸豆腐</v>
          </cell>
          <cell r="F789" t="str">
            <v>精品油炸豆腐</v>
          </cell>
          <cell r="G789" t="str">
            <v>烹饪中需要的材料之一。</v>
          </cell>
          <cell r="H789" t="str">
            <v>item_460004</v>
          </cell>
        </row>
        <row r="790">
          <cell r="E790" t="str">
            <v>精品米饭</v>
          </cell>
          <cell r="F790" t="str">
            <v>精品的米饭</v>
          </cell>
          <cell r="G790" t="str">
            <v>烹饪中需要的材料之一。</v>
          </cell>
          <cell r="H790" t="str">
            <v>item_460004</v>
          </cell>
        </row>
        <row r="791">
          <cell r="E791" t="str">
            <v>精品南瓜</v>
          </cell>
          <cell r="F791" t="str">
            <v>精品南瓜</v>
          </cell>
          <cell r="G791" t="str">
            <v>烹饪中需要的材料之一。</v>
          </cell>
          <cell r="H791" t="str">
            <v>item_460004</v>
          </cell>
        </row>
        <row r="792">
          <cell r="E792" t="str">
            <v>高级樱桃</v>
          </cell>
          <cell r="F792" t="str">
            <v>高级樱桃</v>
          </cell>
          <cell r="G792" t="str">
            <v>烹饪中需要的材料之一。</v>
          </cell>
          <cell r="H792" t="str">
            <v>item_460004</v>
          </cell>
        </row>
        <row r="793">
          <cell r="E793" t="str">
            <v>高级柠檬</v>
          </cell>
          <cell r="F793" t="str">
            <v>高级柠檬</v>
          </cell>
          <cell r="G793" t="str">
            <v>烹饪中需要的材料之一。</v>
          </cell>
          <cell r="H793" t="str">
            <v>item_460004</v>
          </cell>
        </row>
        <row r="794">
          <cell r="E794" t="str">
            <v>高级菠萝</v>
          </cell>
          <cell r="F794" t="str">
            <v>高级菠萝</v>
          </cell>
          <cell r="G794" t="str">
            <v>烹饪中需要的材料之一。</v>
          </cell>
          <cell r="H794" t="str">
            <v>item_460004</v>
          </cell>
        </row>
        <row r="795">
          <cell r="E795" t="str">
            <v>高级香蕉</v>
          </cell>
          <cell r="F795" t="str">
            <v>高级香蕉</v>
          </cell>
          <cell r="G795" t="str">
            <v>烹饪中需要的材料之一。</v>
          </cell>
          <cell r="H795" t="str">
            <v>item_460004</v>
          </cell>
        </row>
        <row r="796">
          <cell r="E796" t="str">
            <v>高级苹果</v>
          </cell>
          <cell r="F796" t="str">
            <v>高级苹果</v>
          </cell>
          <cell r="G796" t="str">
            <v>烹饪中需要的材料之一。</v>
          </cell>
          <cell r="H796" t="str">
            <v>item_460004</v>
          </cell>
        </row>
        <row r="797">
          <cell r="E797" t="str">
            <v>高级鲷鱼</v>
          </cell>
          <cell r="F797" t="str">
            <v>高级鲷鱼</v>
          </cell>
          <cell r="G797" t="str">
            <v>烹饪中需要的材料之一。</v>
          </cell>
          <cell r="H797" t="str">
            <v>item_460004</v>
          </cell>
        </row>
        <row r="798">
          <cell r="E798" t="str">
            <v>高级蛤蜊</v>
          </cell>
          <cell r="F798" t="str">
            <v>高级蛤蜊</v>
          </cell>
          <cell r="G798" t="str">
            <v>烹饪中需要的材料之一。</v>
          </cell>
          <cell r="H798" t="str">
            <v>item_460004</v>
          </cell>
        </row>
        <row r="799">
          <cell r="E799" t="str">
            <v>高级虾</v>
          </cell>
          <cell r="F799" t="str">
            <v>高级虾</v>
          </cell>
          <cell r="G799" t="str">
            <v>烹饪中需要的材料之一。</v>
          </cell>
          <cell r="H799" t="str">
            <v>item_460004</v>
          </cell>
        </row>
        <row r="800">
          <cell r="E800" t="str">
            <v>高级章鱼</v>
          </cell>
          <cell r="F800" t="str">
            <v>高级章鱼</v>
          </cell>
          <cell r="G800" t="str">
            <v>烹饪中需要的材料之一。</v>
          </cell>
          <cell r="H800" t="str">
            <v>item_460004</v>
          </cell>
        </row>
        <row r="801">
          <cell r="E801" t="str">
            <v>高级沙丁鱼</v>
          </cell>
          <cell r="F801" t="str">
            <v>高级沙丁鱼</v>
          </cell>
          <cell r="G801" t="str">
            <v>烹饪中需要的材料之一。</v>
          </cell>
          <cell r="H801" t="str">
            <v>item_460004</v>
          </cell>
        </row>
        <row r="802">
          <cell r="E802" t="str">
            <v>高级秋刀鱼</v>
          </cell>
          <cell r="F802" t="str">
            <v>高级秋刀鱼</v>
          </cell>
          <cell r="G802" t="str">
            <v>烹饪中需要的材料之一。</v>
          </cell>
          <cell r="H802" t="str">
            <v>item_460004</v>
          </cell>
        </row>
        <row r="803">
          <cell r="E803" t="str">
            <v>高级猪肉</v>
          </cell>
          <cell r="F803" t="str">
            <v>高级猪肉</v>
          </cell>
          <cell r="G803" t="str">
            <v>烹饪中需要的材料之一。</v>
          </cell>
          <cell r="H803" t="str">
            <v>item_460004</v>
          </cell>
        </row>
        <row r="804">
          <cell r="E804" t="str">
            <v>高级鸡肉</v>
          </cell>
          <cell r="F804" t="str">
            <v>高级鸡肉</v>
          </cell>
          <cell r="G804" t="str">
            <v>烹饪中需要的材料之一。</v>
          </cell>
          <cell r="H804" t="str">
            <v>item_460004</v>
          </cell>
        </row>
        <row r="805">
          <cell r="E805" t="str">
            <v>高级牛肉</v>
          </cell>
          <cell r="F805" t="str">
            <v>高级牛肉</v>
          </cell>
          <cell r="G805" t="str">
            <v>烹饪中需要的材料之一。</v>
          </cell>
          <cell r="H805" t="str">
            <v>item_460004</v>
          </cell>
        </row>
        <row r="806">
          <cell r="E806" t="str">
            <v>高级胡萝卜</v>
          </cell>
          <cell r="F806" t="str">
            <v>高级胡萝卜</v>
          </cell>
          <cell r="G806" t="str">
            <v>烹饪中需要的材料之一。</v>
          </cell>
          <cell r="H806" t="str">
            <v>item_460004</v>
          </cell>
        </row>
        <row r="807">
          <cell r="E807" t="str">
            <v>高级鸡蛋</v>
          </cell>
          <cell r="F807" t="str">
            <v>高级鸡蛋</v>
          </cell>
          <cell r="G807" t="str">
            <v>烹饪中需要的材料之一。</v>
          </cell>
          <cell r="H807" t="str">
            <v>item_460004</v>
          </cell>
        </row>
        <row r="808">
          <cell r="E808" t="str">
            <v>高级豆芽</v>
          </cell>
          <cell r="F808" t="str">
            <v>高级豆芽</v>
          </cell>
          <cell r="G808" t="str">
            <v>烹饪中需要的材料之一。</v>
          </cell>
          <cell r="H808" t="str">
            <v>item_460004</v>
          </cell>
        </row>
        <row r="809">
          <cell r="E809" t="str">
            <v>高级洋葱</v>
          </cell>
          <cell r="F809" t="str">
            <v>高级洋葱</v>
          </cell>
          <cell r="G809" t="str">
            <v>烹饪中需要的材料之一。</v>
          </cell>
          <cell r="H809" t="str">
            <v>item_460004</v>
          </cell>
        </row>
        <row r="810">
          <cell r="E810" t="str">
            <v>高级土豆</v>
          </cell>
          <cell r="F810" t="str">
            <v>高级土豆</v>
          </cell>
          <cell r="G810" t="str">
            <v>烹饪中需要的材料之一。</v>
          </cell>
          <cell r="H810" t="str">
            <v>item_460004</v>
          </cell>
        </row>
        <row r="811">
          <cell r="E811" t="str">
            <v>高级裙带菜</v>
          </cell>
          <cell r="F811" t="str">
            <v>高级裙带菜</v>
          </cell>
          <cell r="G811" t="str">
            <v>烹饪中需要的材料之一。</v>
          </cell>
          <cell r="H811" t="str">
            <v>item_460004</v>
          </cell>
        </row>
        <row r="812">
          <cell r="E812" t="str">
            <v>高级海带</v>
          </cell>
          <cell r="F812" t="str">
            <v>高级海带</v>
          </cell>
          <cell r="G812" t="str">
            <v>烹饪中需要的材料之一。</v>
          </cell>
          <cell r="H812" t="str">
            <v>item_460004</v>
          </cell>
        </row>
        <row r="813">
          <cell r="E813" t="str">
            <v>高级豆子</v>
          </cell>
          <cell r="F813" t="str">
            <v>高级豆子</v>
          </cell>
          <cell r="G813" t="str">
            <v>烹饪中需要的材料之一。</v>
          </cell>
          <cell r="H813" t="str">
            <v>item_460004</v>
          </cell>
        </row>
        <row r="814">
          <cell r="E814" t="str">
            <v>高级油炸豆腐</v>
          </cell>
          <cell r="F814" t="str">
            <v>高级油炸豆腐</v>
          </cell>
          <cell r="G814" t="str">
            <v>烹饪中需要的材料之一。</v>
          </cell>
          <cell r="H814" t="str">
            <v>item_460004</v>
          </cell>
        </row>
        <row r="815">
          <cell r="E815" t="str">
            <v>高级米饭</v>
          </cell>
          <cell r="F815" t="str">
            <v>高级的米饭</v>
          </cell>
          <cell r="G815" t="str">
            <v>烹饪中需要的材料之一。</v>
          </cell>
          <cell r="H815" t="str">
            <v>item_460004</v>
          </cell>
        </row>
        <row r="816">
          <cell r="E816" t="str">
            <v>高级南瓜</v>
          </cell>
          <cell r="F816" t="str">
            <v>高级南瓜</v>
          </cell>
          <cell r="G816" t="str">
            <v>烹饪中需要的材料之一。</v>
          </cell>
          <cell r="H816" t="str">
            <v>item_460004</v>
          </cell>
        </row>
        <row r="817">
          <cell r="E817" t="str">
            <v>顶级樱桃</v>
          </cell>
          <cell r="F817" t="str">
            <v>顶级樱桃</v>
          </cell>
          <cell r="G817" t="str">
            <v>烹饪中需要的材料之一。</v>
          </cell>
          <cell r="H817" t="str">
            <v>item_460004</v>
          </cell>
        </row>
        <row r="818">
          <cell r="E818" t="str">
            <v>顶级柠檬</v>
          </cell>
          <cell r="F818" t="str">
            <v>顶级柠檬</v>
          </cell>
          <cell r="G818" t="str">
            <v>烹饪中需要的材料之一。</v>
          </cell>
          <cell r="H818" t="str">
            <v>item_460004</v>
          </cell>
        </row>
        <row r="819">
          <cell r="E819" t="str">
            <v>顶级菠萝</v>
          </cell>
          <cell r="F819" t="str">
            <v>顶级菠萝</v>
          </cell>
          <cell r="G819" t="str">
            <v>烹饪中需要的材料之一。</v>
          </cell>
          <cell r="H819" t="str">
            <v>item_460004</v>
          </cell>
        </row>
        <row r="820">
          <cell r="E820" t="str">
            <v>顶级香蕉</v>
          </cell>
          <cell r="F820" t="str">
            <v>顶级香蕉</v>
          </cell>
          <cell r="G820" t="str">
            <v>烹饪中需要的材料之一。</v>
          </cell>
          <cell r="H820" t="str">
            <v>item_460004</v>
          </cell>
        </row>
        <row r="821">
          <cell r="E821" t="str">
            <v>顶级苹果</v>
          </cell>
          <cell r="F821" t="str">
            <v>顶级苹果</v>
          </cell>
          <cell r="G821" t="str">
            <v>烹饪中需要的材料之一。</v>
          </cell>
          <cell r="H821" t="str">
            <v>item_460004</v>
          </cell>
        </row>
        <row r="822">
          <cell r="E822" t="str">
            <v>顶级鲷鱼</v>
          </cell>
          <cell r="F822" t="str">
            <v>顶级鲷鱼</v>
          </cell>
          <cell r="G822" t="str">
            <v>烹饪中需要的材料之一。</v>
          </cell>
          <cell r="H822" t="str">
            <v>item_460004</v>
          </cell>
        </row>
        <row r="823">
          <cell r="E823" t="str">
            <v>顶级蛤蜊</v>
          </cell>
          <cell r="F823" t="str">
            <v>顶级蛤蜊</v>
          </cell>
          <cell r="G823" t="str">
            <v>烹饪中需要的材料之一。</v>
          </cell>
          <cell r="H823" t="str">
            <v>item_460004</v>
          </cell>
        </row>
        <row r="824">
          <cell r="E824" t="str">
            <v>顶级虾</v>
          </cell>
          <cell r="F824" t="str">
            <v>顶级虾</v>
          </cell>
          <cell r="G824" t="str">
            <v>烹饪中需要的材料之一。</v>
          </cell>
          <cell r="H824" t="str">
            <v>item_460004</v>
          </cell>
        </row>
        <row r="825">
          <cell r="E825" t="str">
            <v>顶级章鱼</v>
          </cell>
          <cell r="F825" t="str">
            <v>顶级章鱼</v>
          </cell>
          <cell r="G825" t="str">
            <v>烹饪中需要的材料之一。</v>
          </cell>
          <cell r="H825" t="str">
            <v>item_460004</v>
          </cell>
        </row>
        <row r="826">
          <cell r="E826" t="str">
            <v>顶级沙丁鱼</v>
          </cell>
          <cell r="F826" t="str">
            <v>顶级沙丁鱼</v>
          </cell>
          <cell r="G826" t="str">
            <v>烹饪中需要的材料之一。</v>
          </cell>
          <cell r="H826" t="str">
            <v>item_460004</v>
          </cell>
        </row>
        <row r="827">
          <cell r="E827" t="str">
            <v>顶级秋刀鱼</v>
          </cell>
          <cell r="F827" t="str">
            <v>顶级秋刀鱼</v>
          </cell>
          <cell r="G827" t="str">
            <v>烹饪中需要的材料之一。</v>
          </cell>
          <cell r="H827" t="str">
            <v>item_460004</v>
          </cell>
        </row>
        <row r="828">
          <cell r="E828" t="str">
            <v>顶级猪肉</v>
          </cell>
          <cell r="F828" t="str">
            <v>顶级猪肉</v>
          </cell>
          <cell r="G828" t="str">
            <v>烹饪中需要的材料之一。</v>
          </cell>
          <cell r="H828" t="str">
            <v>item_460004</v>
          </cell>
        </row>
        <row r="829">
          <cell r="E829" t="str">
            <v>顶级鸡肉</v>
          </cell>
          <cell r="F829" t="str">
            <v>顶级鸡肉</v>
          </cell>
          <cell r="G829" t="str">
            <v>烹饪中需要的材料之一。</v>
          </cell>
          <cell r="H829" t="str">
            <v>item_460004</v>
          </cell>
        </row>
        <row r="830">
          <cell r="E830" t="str">
            <v>顶级牛肉</v>
          </cell>
          <cell r="F830" t="str">
            <v>顶级牛肉</v>
          </cell>
          <cell r="G830" t="str">
            <v>烹饪中需要的材料之一。</v>
          </cell>
          <cell r="H830" t="str">
            <v>item_460004</v>
          </cell>
        </row>
        <row r="831">
          <cell r="E831" t="str">
            <v>顶级胡萝卜</v>
          </cell>
          <cell r="F831" t="str">
            <v>顶级胡萝卜</v>
          </cell>
          <cell r="G831" t="str">
            <v>烹饪中需要的材料之一。</v>
          </cell>
          <cell r="H831" t="str">
            <v>item_460004</v>
          </cell>
        </row>
        <row r="832">
          <cell r="E832" t="str">
            <v>顶级鸡蛋</v>
          </cell>
          <cell r="F832" t="str">
            <v>顶级鸡蛋</v>
          </cell>
          <cell r="G832" t="str">
            <v>烹饪中需要的材料之一。</v>
          </cell>
          <cell r="H832" t="str">
            <v>item_460004</v>
          </cell>
        </row>
        <row r="833">
          <cell r="E833" t="str">
            <v>顶级豆芽</v>
          </cell>
          <cell r="F833" t="str">
            <v>顶级豆芽</v>
          </cell>
          <cell r="G833" t="str">
            <v>烹饪中需要的材料之一。</v>
          </cell>
          <cell r="H833" t="str">
            <v>item_460004</v>
          </cell>
        </row>
        <row r="834">
          <cell r="E834" t="str">
            <v>顶级洋葱</v>
          </cell>
          <cell r="F834" t="str">
            <v>顶级洋葱</v>
          </cell>
          <cell r="G834" t="str">
            <v>烹饪中需要的材料之一。</v>
          </cell>
          <cell r="H834" t="str">
            <v>item_460004</v>
          </cell>
        </row>
        <row r="835">
          <cell r="E835" t="str">
            <v>顶级土豆</v>
          </cell>
          <cell r="F835" t="str">
            <v>顶级土豆</v>
          </cell>
          <cell r="G835" t="str">
            <v>烹饪中需要的材料之一。</v>
          </cell>
          <cell r="H835" t="str">
            <v>item_460004</v>
          </cell>
        </row>
        <row r="836">
          <cell r="E836" t="str">
            <v>顶级裙带菜</v>
          </cell>
          <cell r="F836" t="str">
            <v>顶级裙带菜</v>
          </cell>
          <cell r="G836" t="str">
            <v>烹饪中需要的材料之一。</v>
          </cell>
          <cell r="H836" t="str">
            <v>item_460004</v>
          </cell>
        </row>
        <row r="837">
          <cell r="E837" t="str">
            <v>顶级海带</v>
          </cell>
          <cell r="F837" t="str">
            <v>顶级海带</v>
          </cell>
          <cell r="G837" t="str">
            <v>烹饪中需要的材料之一。</v>
          </cell>
          <cell r="H837" t="str">
            <v>item_460004</v>
          </cell>
        </row>
        <row r="838">
          <cell r="E838" t="str">
            <v>顶级豆子</v>
          </cell>
          <cell r="F838" t="str">
            <v>顶级豆子</v>
          </cell>
          <cell r="G838" t="str">
            <v>烹饪中需要的材料之一。</v>
          </cell>
          <cell r="H838" t="str">
            <v>item_460004</v>
          </cell>
        </row>
        <row r="839">
          <cell r="E839" t="str">
            <v>顶级油炸豆腐</v>
          </cell>
          <cell r="F839" t="str">
            <v>顶级油炸豆腐</v>
          </cell>
          <cell r="G839" t="str">
            <v>烹饪中需要的材料之一。</v>
          </cell>
          <cell r="H839" t="str">
            <v>item_460004</v>
          </cell>
        </row>
        <row r="840">
          <cell r="E840" t="str">
            <v>顶级米饭</v>
          </cell>
          <cell r="F840" t="str">
            <v>顶级的米饭</v>
          </cell>
          <cell r="G840" t="str">
            <v>烹饪中需要的材料之一。</v>
          </cell>
          <cell r="H840" t="str">
            <v>item_460004</v>
          </cell>
        </row>
        <row r="841">
          <cell r="E841" t="str">
            <v>顶级南瓜</v>
          </cell>
          <cell r="F841" t="str">
            <v>顶级南瓜</v>
          </cell>
          <cell r="G841" t="str">
            <v>烹饪中需要的材料之一。</v>
          </cell>
          <cell r="H841" t="str">
            <v>item_460004</v>
          </cell>
        </row>
        <row r="842">
          <cell r="E842" t="str">
            <v>盐</v>
          </cell>
          <cell r="F842" t="str">
            <v>盐</v>
          </cell>
          <cell r="G842" t="str">
            <v>烹饪中需要的材料之一。</v>
          </cell>
          <cell r="H842" t="str">
            <v>item_465001</v>
          </cell>
        </row>
        <row r="843">
          <cell r="E843" t="str">
            <v>黑胡椒</v>
          </cell>
          <cell r="F843" t="str">
            <v>黑胡椒</v>
          </cell>
          <cell r="G843" t="str">
            <v>烹饪中需要的材料之一。</v>
          </cell>
          <cell r="H843" t="str">
            <v>item_465002</v>
          </cell>
        </row>
        <row r="844">
          <cell r="E844" t="str">
            <v>牛奶</v>
          </cell>
          <cell r="F844" t="str">
            <v>牛奶</v>
          </cell>
          <cell r="G844" t="str">
            <v>烹饪中需要的材料之一。</v>
          </cell>
          <cell r="H844" t="str">
            <v>item_465003</v>
          </cell>
        </row>
        <row r="845">
          <cell r="E845" t="str">
            <v>芝士</v>
          </cell>
          <cell r="F845" t="str">
            <v>芝士</v>
          </cell>
          <cell r="G845" t="str">
            <v>烹饪中需要的材料之一。</v>
          </cell>
          <cell r="H845" t="str">
            <v>item_465005</v>
          </cell>
        </row>
        <row r="846">
          <cell r="E846" t="str">
            <v>色拉油</v>
          </cell>
          <cell r="F846" t="str">
            <v>色拉油</v>
          </cell>
          <cell r="G846" t="str">
            <v>烹饪中需要的材料之一。</v>
          </cell>
          <cell r="H846" t="str">
            <v>item_465006</v>
          </cell>
        </row>
        <row r="847">
          <cell r="E847" t="str">
            <v>红酒</v>
          </cell>
          <cell r="F847" t="str">
            <v>红酒</v>
          </cell>
          <cell r="G847" t="str">
            <v>烹饪中需要的材料之一。</v>
          </cell>
          <cell r="H847" t="str">
            <v>item_465007</v>
          </cell>
        </row>
        <row r="848">
          <cell r="E848" t="str">
            <v>咖喱</v>
          </cell>
          <cell r="F848" t="str">
            <v>咖喱</v>
          </cell>
          <cell r="G848" t="str">
            <v>烹饪中需要的材料之一。</v>
          </cell>
          <cell r="H848" t="str">
            <v>item_465008</v>
          </cell>
        </row>
        <row r="849">
          <cell r="E849" t="str">
            <v>橄榄油</v>
          </cell>
          <cell r="F849" t="str">
            <v>橄榄油</v>
          </cell>
          <cell r="G849" t="str">
            <v>烹饪中需要的材料之一。</v>
          </cell>
          <cell r="H849" t="str">
            <v>item_465009</v>
          </cell>
        </row>
        <row r="850">
          <cell r="E850" t="str">
            <v>黄油</v>
          </cell>
          <cell r="F850" t="str">
            <v>黄油</v>
          </cell>
          <cell r="G850" t="str">
            <v>烹饪中需要的材料之一。</v>
          </cell>
          <cell r="H850" t="str">
            <v>item_465010</v>
          </cell>
        </row>
        <row r="851">
          <cell r="E851" t="str">
            <v>面粉</v>
          </cell>
          <cell r="F851" t="str">
            <v>面粉</v>
          </cell>
          <cell r="G851" t="str">
            <v>烹饪中需要的材料之一。</v>
          </cell>
          <cell r="H851" t="str">
            <v>item_465011</v>
          </cell>
        </row>
        <row r="852">
          <cell r="E852" t="str">
            <v>砂糖</v>
          </cell>
          <cell r="F852" t="str">
            <v>砂糖</v>
          </cell>
          <cell r="G852" t="str">
            <v>烹饪中需要的材料之一。</v>
          </cell>
          <cell r="H852" t="str">
            <v>item_465012</v>
          </cell>
        </row>
        <row r="853">
          <cell r="E853" t="str">
            <v>特制酱汁</v>
          </cell>
          <cell r="F853" t="str">
            <v>特制酱汁</v>
          </cell>
        </row>
        <row r="853">
          <cell r="H853" t="str">
            <v>item_460004</v>
          </cell>
        </row>
        <row r="854">
          <cell r="E854" t="str">
            <v>活力药剂</v>
          </cell>
          <cell r="F854" t="str">
            <v>活力药剂</v>
          </cell>
          <cell r="G854" t="str">
            <v>充满活力的药剂，使用后增加1点活力。</v>
          </cell>
          <cell r="H854" t="str">
            <v>item_800001</v>
          </cell>
        </row>
        <row r="855">
          <cell r="E855" t="str">
            <v>10级低级装备宝箱</v>
          </cell>
          <cell r="F855" t="str">
            <v>初级装备宝箱</v>
          </cell>
          <cell r="G855" t="str">
            <v>打开随机获得10级装备。</v>
          </cell>
          <cell r="H855" t="str">
            <v>item_box_05</v>
          </cell>
        </row>
        <row r="856">
          <cell r="E856" t="str">
            <v>10级高级装备宝箱</v>
          </cell>
          <cell r="F856" t="str">
            <v>高级装备宝箱</v>
          </cell>
          <cell r="G856" t="str">
            <v>打开随机获得10级装备。</v>
          </cell>
          <cell r="H856" t="str">
            <v>item_box_05</v>
          </cell>
        </row>
        <row r="857">
          <cell r="E857" t="str">
            <v>20级低级装备宝箱</v>
          </cell>
          <cell r="F857" t="str">
            <v>初级装备宝箱</v>
          </cell>
          <cell r="G857" t="str">
            <v>打开随机获得20级装备。</v>
          </cell>
          <cell r="H857" t="str">
            <v>item_box_05</v>
          </cell>
        </row>
        <row r="858">
          <cell r="E858" t="str">
            <v>20级高级装备宝箱</v>
          </cell>
          <cell r="F858" t="str">
            <v>高级装备宝箱</v>
          </cell>
          <cell r="G858" t="str">
            <v>打开随机获得20级装备。</v>
          </cell>
          <cell r="H858" t="str">
            <v>item_box_05</v>
          </cell>
        </row>
        <row r="859">
          <cell r="E859" t="str">
            <v>30级低级装备宝箱</v>
          </cell>
          <cell r="F859" t="str">
            <v>初级装备宝箱</v>
          </cell>
          <cell r="G859" t="str">
            <v>打开随机获得30级装备。</v>
          </cell>
          <cell r="H859" t="str">
            <v>item_box_05</v>
          </cell>
        </row>
        <row r="860">
          <cell r="E860" t="str">
            <v>30级高级装备宝箱</v>
          </cell>
          <cell r="F860" t="str">
            <v>高级装备宝箱</v>
          </cell>
          <cell r="G860" t="str">
            <v>打开随机获得30级装备。</v>
          </cell>
          <cell r="H860" t="str">
            <v>item_box_21</v>
          </cell>
        </row>
        <row r="861">
          <cell r="E861" t="str">
            <v>高级突破材料箱</v>
          </cell>
          <cell r="F861" t="str">
            <v>高级突破材料箱</v>
          </cell>
          <cell r="G861" t="str">
            <v>打开后随机获得一个高级角色突破材料。</v>
          </cell>
          <cell r="H861" t="str">
            <v>item_box_21</v>
          </cell>
        </row>
        <row r="862">
          <cell r="E862" t="str">
            <v>攻击训练道具箱</v>
          </cell>
          <cell r="F862" t="str">
            <v>攻击训练道具箱</v>
          </cell>
          <cell r="G862" t="str">
            <v>打开后随机获得一本攻击训练书。</v>
          </cell>
          <cell r="H862" t="str">
            <v>item_box_21</v>
          </cell>
        </row>
        <row r="863">
          <cell r="E863" t="str">
            <v>防御训练道具箱</v>
          </cell>
          <cell r="F863" t="str">
            <v>防御训练道具箱</v>
          </cell>
          <cell r="G863" t="str">
            <v>打开后随机获得一本防御训练书。</v>
          </cell>
          <cell r="H863" t="str">
            <v>item_box_21</v>
          </cell>
        </row>
        <row r="864">
          <cell r="E864" t="str">
            <v>生命训练道具箱</v>
          </cell>
          <cell r="F864" t="str">
            <v>生命训练道具箱</v>
          </cell>
          <cell r="G864" t="str">
            <v>打开后随机获得一本生命训练书。</v>
          </cell>
          <cell r="H864" t="str">
            <v>item_box_21</v>
          </cell>
        </row>
        <row r="865">
          <cell r="E865" t="str">
            <v>20级武器</v>
          </cell>
          <cell r="F865" t="str">
            <v>武士刀</v>
          </cell>
          <cell r="G865" t="str">
            <v>通过本关后获得一件20级未鉴定装备【武士刀】。</v>
          </cell>
          <cell r="H865" t="str">
            <v>tzwq_0017</v>
          </cell>
        </row>
        <row r="866">
          <cell r="E866" t="str">
            <v>20级防具</v>
          </cell>
          <cell r="F866" t="str">
            <v>独眼眼罩</v>
          </cell>
          <cell r="G866" t="str">
            <v>通过本关后获得一件20级未鉴定装备【独眼眼罩】。</v>
          </cell>
          <cell r="H866" t="str">
            <v>sjfj_0003</v>
          </cell>
        </row>
        <row r="867">
          <cell r="E867" t="str">
            <v>20级戒指</v>
          </cell>
          <cell r="F867" t="str">
            <v>浪花戒</v>
          </cell>
          <cell r="G867" t="str">
            <v>通过本关后获得一件20级未鉴定装备【浪花戒】。</v>
          </cell>
          <cell r="H867" t="str">
            <v>sjjz_0003</v>
          </cell>
        </row>
        <row r="868">
          <cell r="E868" t="str">
            <v>20级项链</v>
          </cell>
          <cell r="F868" t="str">
            <v>琥珀项链</v>
          </cell>
          <cell r="G868" t="str">
            <v>通过本关后获得一件20级未鉴定装备【琥珀项链】。</v>
          </cell>
          <cell r="H868" t="str">
            <v>sjxl_0003</v>
          </cell>
        </row>
        <row r="869">
          <cell r="E869" t="str">
            <v>30级武器</v>
          </cell>
          <cell r="F869" t="str">
            <v>精铁匕首</v>
          </cell>
          <cell r="G869" t="str">
            <v>通过本关后获得一件30级未鉴定装备【精铁匕首】。</v>
          </cell>
          <cell r="H869" t="str">
            <v>sjwq_0005</v>
          </cell>
        </row>
        <row r="870">
          <cell r="E870" t="str">
            <v>30级防具</v>
          </cell>
          <cell r="F870" t="str">
            <v>探宝帽</v>
          </cell>
          <cell r="G870" t="str">
            <v>通过本关后获得一件30级未鉴定装备【探宝帽】。</v>
          </cell>
          <cell r="H870" t="str">
            <v>sjfj_0005</v>
          </cell>
        </row>
        <row r="871">
          <cell r="E871" t="str">
            <v>30级戒指</v>
          </cell>
          <cell r="F871" t="str">
            <v>神秘戒</v>
          </cell>
          <cell r="G871" t="str">
            <v>通过本关后获得一件30级未鉴定装备【神秘戒】。</v>
          </cell>
          <cell r="H871" t="str">
            <v>sjjz_0005</v>
          </cell>
        </row>
        <row r="872">
          <cell r="E872" t="str">
            <v>30级项链</v>
          </cell>
          <cell r="F872" t="str">
            <v>花瓣链</v>
          </cell>
          <cell r="G872" t="str">
            <v>通过本关后获得一件30级未鉴定装备【花瓣链】。</v>
          </cell>
          <cell r="H872" t="str">
            <v>sjxl_0005</v>
          </cell>
        </row>
        <row r="873">
          <cell r="E873" t="str">
            <v>40级武器</v>
          </cell>
          <cell r="F873" t="str">
            <v>精铁长刀</v>
          </cell>
          <cell r="G873" t="str">
            <v>通过本关后获得一件40级未鉴定装备【精铁长刀】。</v>
          </cell>
          <cell r="H873" t="str">
            <v>sjwq_0007</v>
          </cell>
        </row>
        <row r="874">
          <cell r="E874" t="str">
            <v>40级防具</v>
          </cell>
          <cell r="F874" t="str">
            <v>白色礼帽</v>
          </cell>
          <cell r="G874" t="str">
            <v>通过本关后获得一件40级未鉴定装备【白色礼帽】。</v>
          </cell>
          <cell r="H874" t="str">
            <v>sjfj_0007</v>
          </cell>
        </row>
        <row r="875">
          <cell r="E875" t="str">
            <v>40级戒指</v>
          </cell>
          <cell r="F875" t="str">
            <v>青石指环</v>
          </cell>
          <cell r="G875" t="str">
            <v>通过本关后获得一件40级未鉴定装备【青石指环】。</v>
          </cell>
          <cell r="H875" t="str">
            <v>sjjz_0007</v>
          </cell>
        </row>
        <row r="876">
          <cell r="E876" t="str">
            <v>40级项链</v>
          </cell>
          <cell r="F876" t="str">
            <v>蓝海之心</v>
          </cell>
          <cell r="G876" t="str">
            <v>通过本关后获得一件40级未鉴定装备【蓝海之心】。</v>
          </cell>
          <cell r="H876" t="str">
            <v>sjxl_0007</v>
          </cell>
        </row>
        <row r="877">
          <cell r="E877" t="str">
            <v>50级武器</v>
          </cell>
          <cell r="F877" t="str">
            <v>海盗弯刀</v>
          </cell>
          <cell r="G877" t="str">
            <v>通过本关后获得一件50级未鉴定装备【海盗弯刀】。</v>
          </cell>
          <cell r="H877" t="str">
            <v>sjwq_0011</v>
          </cell>
        </row>
        <row r="878">
          <cell r="E878" t="str">
            <v>50级防具</v>
          </cell>
          <cell r="F878" t="str">
            <v>勇士头盔</v>
          </cell>
          <cell r="G878" t="str">
            <v>通过本关后获得一件50级未鉴定装备【勇士头盔】。</v>
          </cell>
          <cell r="H878" t="str">
            <v>sjfj_0011</v>
          </cell>
        </row>
        <row r="879">
          <cell r="E879" t="str">
            <v>50级戒指</v>
          </cell>
          <cell r="F879" t="str">
            <v>绿草戒</v>
          </cell>
          <cell r="G879" t="str">
            <v>通过本关后获得一件50级未鉴定装备【绿草戒】。</v>
          </cell>
          <cell r="H879" t="str">
            <v>sjjz_0011</v>
          </cell>
        </row>
        <row r="880">
          <cell r="E880" t="str">
            <v>50级项链</v>
          </cell>
          <cell r="F880" t="str">
            <v>碧牙吊坠</v>
          </cell>
          <cell r="G880" t="str">
            <v>通过本关后获得一件50级未鉴定装备【碧牙吊坠】。</v>
          </cell>
          <cell r="H880" t="str">
            <v>sjxl_0011</v>
          </cell>
        </row>
        <row r="881">
          <cell r="E881" t="str">
            <v>60级武器</v>
          </cell>
          <cell r="F881" t="str">
            <v>短剑</v>
          </cell>
          <cell r="G881" t="str">
            <v>通过本关后获得一件60级未鉴定装备【短剑】。</v>
          </cell>
          <cell r="H881" t="str">
            <v>sjwq_0013</v>
          </cell>
        </row>
        <row r="882">
          <cell r="E882" t="str">
            <v>60级防具</v>
          </cell>
          <cell r="F882" t="str">
            <v>船长帽</v>
          </cell>
          <cell r="G882" t="str">
            <v>通过本关后获得一件60级未鉴定装备【船长帽】。</v>
          </cell>
          <cell r="H882" t="str">
            <v>sjfj_0013</v>
          </cell>
        </row>
        <row r="883">
          <cell r="E883" t="str">
            <v>60级戒指</v>
          </cell>
          <cell r="F883" t="str">
            <v>海洋戒</v>
          </cell>
          <cell r="G883" t="str">
            <v>通过本关后获得一件60级未鉴定装备【海洋戒】。</v>
          </cell>
          <cell r="H883" t="str">
            <v>sjjz_0013</v>
          </cell>
        </row>
        <row r="884">
          <cell r="E884" t="str">
            <v>60级项链</v>
          </cell>
          <cell r="F884" t="str">
            <v>火焰之泪</v>
          </cell>
          <cell r="G884" t="str">
            <v>通过本关后获得一件60级未鉴定装备【火焰之泪】。</v>
          </cell>
          <cell r="H884" t="str">
            <v>sjxl_0013</v>
          </cell>
        </row>
        <row r="885">
          <cell r="E885" t="str">
            <v>20级英雄武器</v>
          </cell>
          <cell r="F885" t="str">
            <v>英雄·武士刀</v>
          </cell>
          <cell r="G885" t="str">
            <v>通过本关后有概率获得一件20级装备【英雄·武士刀】。</v>
          </cell>
          <cell r="H885" t="str">
            <v>tzwq_0017</v>
          </cell>
        </row>
        <row r="886">
          <cell r="E886" t="str">
            <v>20级英雄防具</v>
          </cell>
          <cell r="F886" t="str">
            <v>英雄·独眼眼罩</v>
          </cell>
          <cell r="G886" t="str">
            <v>通过本关后有概率获得一件20级装备【英雄·独眼眼罩】。</v>
          </cell>
          <cell r="H886" t="str">
            <v>sjfj_0003</v>
          </cell>
        </row>
        <row r="887">
          <cell r="E887" t="str">
            <v>20级英雄戒指</v>
          </cell>
          <cell r="F887" t="str">
            <v>英雄·浪花戒</v>
          </cell>
          <cell r="G887" t="str">
            <v>通过本关后有概率获得一件20级装备【英雄·浪花戒】。</v>
          </cell>
          <cell r="H887" t="str">
            <v>sjjz_0003</v>
          </cell>
        </row>
        <row r="888">
          <cell r="E888" t="str">
            <v>20级英雄项链</v>
          </cell>
          <cell r="F888" t="str">
            <v>英雄·琥珀项链</v>
          </cell>
          <cell r="G888" t="str">
            <v>通过本关后有概率获得一件20级装备【英雄·琥珀项链】。</v>
          </cell>
          <cell r="H888" t="str">
            <v>sjxl_0003</v>
          </cell>
        </row>
        <row r="889">
          <cell r="E889" t="str">
            <v>20级战斗套装武器</v>
          </cell>
          <cell r="F889" t="str">
            <v>战斗短剑</v>
          </cell>
          <cell r="G889" t="str">
            <v>通过本关后有概率获得一件20级套装【战斗短剑】。</v>
          </cell>
          <cell r="H889" t="str">
            <v>tzwq_0003</v>
          </cell>
        </row>
        <row r="890">
          <cell r="E890" t="str">
            <v>20级战斗套装防具</v>
          </cell>
          <cell r="F890" t="str">
            <v>战斗铠</v>
          </cell>
          <cell r="G890" t="str">
            <v>通过本关后有概率获得一件20级套装【战斗铠】。</v>
          </cell>
          <cell r="H890" t="str">
            <v>tzfj_0003</v>
          </cell>
        </row>
        <row r="891">
          <cell r="E891" t="str">
            <v>20级战斗套装戒指</v>
          </cell>
          <cell r="F891" t="str">
            <v>战斗指环</v>
          </cell>
          <cell r="G891" t="str">
            <v>通过本关后有概率获得一件20级套装【战斗指环】。</v>
          </cell>
          <cell r="H891" t="str">
            <v>tzjz_0003</v>
          </cell>
        </row>
        <row r="892">
          <cell r="E892" t="str">
            <v>20级战斗套装项链</v>
          </cell>
          <cell r="F892" t="str">
            <v>战斗项链</v>
          </cell>
          <cell r="G892" t="str">
            <v>通过本关后有概率获得一件20级套装【战斗项链】。</v>
          </cell>
          <cell r="H892" t="str">
            <v>tzxl_0003</v>
          </cell>
        </row>
        <row r="893">
          <cell r="E893" t="str">
            <v>30级英雄武器</v>
          </cell>
          <cell r="F893" t="str">
            <v>英雄·精铁匕首</v>
          </cell>
          <cell r="G893" t="str">
            <v>通过本关后有概率获得一件30级装备【英雄·精铁匕首】。</v>
          </cell>
          <cell r="H893" t="str">
            <v>sjwq_0005</v>
          </cell>
        </row>
        <row r="894">
          <cell r="E894" t="str">
            <v>30级英雄防具</v>
          </cell>
          <cell r="F894" t="str">
            <v>英雄·探宝帽</v>
          </cell>
          <cell r="G894" t="str">
            <v>通过本关后有概率获得一件30级装备【英雄·探宝帽】。</v>
          </cell>
          <cell r="H894" t="str">
            <v>sjfj_0005</v>
          </cell>
        </row>
        <row r="895">
          <cell r="E895" t="str">
            <v>30级英雄戒指</v>
          </cell>
          <cell r="F895" t="str">
            <v>英雄·神秘戒</v>
          </cell>
          <cell r="G895" t="str">
            <v>通过本关后有概率获得一件30级装备【英雄·神秘戒】。</v>
          </cell>
          <cell r="H895" t="str">
            <v>sjjz_0005</v>
          </cell>
        </row>
        <row r="896">
          <cell r="E896" t="str">
            <v>30级英雄项链</v>
          </cell>
          <cell r="F896" t="str">
            <v>英雄·花瓣链</v>
          </cell>
          <cell r="G896" t="str">
            <v>通过本关后有概率获得一件30级装备【英雄·花瓣链】。</v>
          </cell>
          <cell r="H896" t="str">
            <v>sjxl_0005</v>
          </cell>
        </row>
        <row r="897">
          <cell r="E897" t="str">
            <v>40级英雄武器</v>
          </cell>
          <cell r="F897" t="str">
            <v>英雄·精铁长刀</v>
          </cell>
          <cell r="G897" t="str">
            <v>通过本关后有概率获得一件40级装备【英雄·精铁长刀】。</v>
          </cell>
          <cell r="H897" t="str">
            <v>sjwq_0007</v>
          </cell>
        </row>
        <row r="898">
          <cell r="E898" t="str">
            <v>40级英雄防具</v>
          </cell>
          <cell r="F898" t="str">
            <v>英雄·白色礼帽</v>
          </cell>
          <cell r="G898" t="str">
            <v>通过本关后有概率获得一件40级装备【英雄·白色礼帽】。</v>
          </cell>
          <cell r="H898" t="str">
            <v>sjfj_0007</v>
          </cell>
        </row>
        <row r="899">
          <cell r="E899" t="str">
            <v>40级英雄戒指</v>
          </cell>
          <cell r="F899" t="str">
            <v>英雄·青石指环</v>
          </cell>
          <cell r="G899" t="str">
            <v>通过本关后有概率获得一件40级装备【英雄·青石指环】。</v>
          </cell>
          <cell r="H899" t="str">
            <v>sjjz_0007</v>
          </cell>
        </row>
        <row r="900">
          <cell r="E900" t="str">
            <v>40级英雄项链</v>
          </cell>
          <cell r="F900" t="str">
            <v>英雄·蓝海之心</v>
          </cell>
          <cell r="G900" t="str">
            <v>通过本关后有概率获得一件40级装备【英雄·蓝海之心】。</v>
          </cell>
          <cell r="H900" t="str">
            <v>sjxl_0007</v>
          </cell>
        </row>
        <row r="901">
          <cell r="E901" t="str">
            <v>40级探荒者套装武器</v>
          </cell>
          <cell r="F901" t="str">
            <v>军官手枪</v>
          </cell>
          <cell r="G901" t="str">
            <v>通过本关后有概率获得一件40级套装【军官手枪】。</v>
          </cell>
          <cell r="H901" t="str">
            <v>tzwq_0006</v>
          </cell>
        </row>
        <row r="902">
          <cell r="E902" t="str">
            <v>40级探荒者套装防具</v>
          </cell>
          <cell r="F902" t="str">
            <v>军官外套</v>
          </cell>
          <cell r="G902" t="str">
            <v>通过本关后有概率获得一件40级套装【军官外套】。</v>
          </cell>
          <cell r="H902" t="str">
            <v>tzfj_0006</v>
          </cell>
        </row>
        <row r="903">
          <cell r="E903" t="str">
            <v>40级探荒者套装戒指</v>
          </cell>
          <cell r="F903" t="str">
            <v>军官戒指</v>
          </cell>
          <cell r="G903" t="str">
            <v>通过本关后有概率获得一件40级套装【军官戒指】。</v>
          </cell>
          <cell r="H903" t="str">
            <v>tzjz_0006</v>
          </cell>
        </row>
        <row r="904">
          <cell r="E904" t="str">
            <v>40级探荒者套装项链</v>
          </cell>
          <cell r="F904" t="str">
            <v>军官怀表</v>
          </cell>
          <cell r="G904" t="str">
            <v>通过本关后有概率获得一件40级套装【军官怀表】。</v>
          </cell>
          <cell r="H904" t="str">
            <v>tzxl_0006</v>
          </cell>
        </row>
        <row r="905">
          <cell r="E905" t="str">
            <v>40级先驱者套装武器</v>
          </cell>
          <cell r="F905" t="str">
            <v>海盗弯刀</v>
          </cell>
          <cell r="G905" t="str">
            <v>通过本关后有概率获得一件40级套装【海盗弯刀】。</v>
          </cell>
          <cell r="H905" t="str">
            <v>tzwq_0010</v>
          </cell>
        </row>
        <row r="906">
          <cell r="E906" t="str">
            <v>40级先驱者套装防具</v>
          </cell>
          <cell r="F906" t="str">
            <v>海盗大衣</v>
          </cell>
          <cell r="G906" t="str">
            <v>通过本关后有概率获得一件40级套装【海盗大衣】。</v>
          </cell>
          <cell r="H906" t="str">
            <v>tzfj_0010</v>
          </cell>
        </row>
        <row r="907">
          <cell r="E907" t="str">
            <v>40级先驱者套装戒指</v>
          </cell>
          <cell r="F907" t="str">
            <v>海盗手环</v>
          </cell>
          <cell r="G907" t="str">
            <v>通过本关后有概率获得一件40级套装【海盗手环】。</v>
          </cell>
          <cell r="H907" t="str">
            <v>tzjz_0010</v>
          </cell>
        </row>
        <row r="908">
          <cell r="E908" t="str">
            <v>40级先驱者套装项链</v>
          </cell>
          <cell r="F908" t="str">
            <v>海盗指针</v>
          </cell>
          <cell r="G908" t="str">
            <v>通过本关后有概率获得一件40级套装【海盗指针】。</v>
          </cell>
          <cell r="H908" t="str">
            <v>tzxl_0010</v>
          </cell>
        </row>
        <row r="909">
          <cell r="E909" t="str">
            <v>40级水手套装武器</v>
          </cell>
          <cell r="F909" t="str">
            <v>水手短枪</v>
          </cell>
          <cell r="G909" t="str">
            <v>通过本关后有概率获得一件40级套装【水手短枪】。</v>
          </cell>
          <cell r="H909" t="str">
            <v>tz_wq_shuishou</v>
          </cell>
        </row>
        <row r="910">
          <cell r="E910" t="str">
            <v>40级水手套装防具</v>
          </cell>
          <cell r="F910" t="str">
            <v>水手便服</v>
          </cell>
          <cell r="G910" t="str">
            <v>通过本关后有概率获得一件40级套装【水手便服】。</v>
          </cell>
          <cell r="H910" t="str">
            <v>tz_yf_shuishou</v>
          </cell>
        </row>
        <row r="911">
          <cell r="E911" t="str">
            <v>40级水手套装戒指</v>
          </cell>
          <cell r="F911" t="str">
            <v>水手之戒</v>
          </cell>
          <cell r="G911" t="str">
            <v>通过本关后有概率获得一件40级套装【水手之戒】。</v>
          </cell>
          <cell r="H911" t="str">
            <v>tz_jz_shuishou</v>
          </cell>
        </row>
        <row r="912">
          <cell r="E912" t="str">
            <v>40级水手套装项链</v>
          </cell>
          <cell r="F912" t="str">
            <v>水手罗盘</v>
          </cell>
          <cell r="G912" t="str">
            <v>通过本关后有概率获得一件40级套装【水手罗盘】。</v>
          </cell>
          <cell r="H912" t="str">
            <v>tz_xl_shuishou</v>
          </cell>
        </row>
        <row r="913">
          <cell r="E913" t="str">
            <v>40级绅士套装武器</v>
          </cell>
          <cell r="F913" t="str">
            <v>暗杀太刀</v>
          </cell>
          <cell r="G913" t="str">
            <v>通过本关后有概率获得一件40级套装【暗杀太刀】。</v>
          </cell>
          <cell r="H913" t="str">
            <v>tzwq_0008</v>
          </cell>
        </row>
        <row r="914">
          <cell r="E914" t="str">
            <v>40级绅士套装防具</v>
          </cell>
          <cell r="F914" t="str">
            <v>暗杀西装</v>
          </cell>
          <cell r="G914" t="str">
            <v>通过本关后有概率获得一件40级套装【暗杀西装】。</v>
          </cell>
          <cell r="H914" t="str">
            <v>tzfj_0008</v>
          </cell>
        </row>
        <row r="915">
          <cell r="E915" t="str">
            <v>40级绅士套装戒指</v>
          </cell>
          <cell r="F915" t="str">
            <v>暗杀之戒</v>
          </cell>
          <cell r="G915" t="str">
            <v>通过本关后有概率获得一件40级套装【暗杀之戒】。</v>
          </cell>
          <cell r="H915" t="str">
            <v>tzjz_0008</v>
          </cell>
        </row>
        <row r="916">
          <cell r="E916" t="str">
            <v>40级绅士套装项链</v>
          </cell>
          <cell r="F916" t="str">
            <v>暗杀项圈</v>
          </cell>
          <cell r="G916" t="str">
            <v>通过本关后有概率获得一件40级套装【暗杀项圈】。</v>
          </cell>
          <cell r="H916" t="str">
            <v>tzxl_0008</v>
          </cell>
        </row>
        <row r="917">
          <cell r="E917" t="str">
            <v>40级先驱者英雄套装武器</v>
          </cell>
          <cell r="F917" t="str">
            <v>英雄·海盗弯刀</v>
          </cell>
          <cell r="G917" t="str">
            <v>通过本关后有概率获得一件40级套装【英雄·海盗弯刀】。</v>
          </cell>
          <cell r="H917" t="str">
            <v>tzwq_0010</v>
          </cell>
        </row>
        <row r="918">
          <cell r="E918" t="str">
            <v>40级先驱者英雄套装防具</v>
          </cell>
          <cell r="F918" t="str">
            <v>英雄·海盗大衣</v>
          </cell>
          <cell r="G918" t="str">
            <v>通过本关后有概率获得一件40级套装【英雄·海盗大衣】。</v>
          </cell>
          <cell r="H918" t="str">
            <v>tzfj_0010</v>
          </cell>
        </row>
        <row r="919">
          <cell r="E919" t="str">
            <v>40级先驱者英雄套装戒指</v>
          </cell>
          <cell r="F919" t="str">
            <v>英雄·海盗手环</v>
          </cell>
          <cell r="G919" t="str">
            <v>通过本关后有概率获得一件40级套装【英雄·海盗手环】。</v>
          </cell>
          <cell r="H919" t="str">
            <v>tzjz_0010</v>
          </cell>
        </row>
        <row r="920">
          <cell r="E920" t="str">
            <v>40级先驱者英雄套装项链</v>
          </cell>
          <cell r="F920" t="str">
            <v>英雄·海盗指针</v>
          </cell>
          <cell r="G920" t="str">
            <v>通过本关后有概率获得一件40级套装【英雄·海盗指针】。</v>
          </cell>
          <cell r="H920" t="str">
            <v>tzxl_0010</v>
          </cell>
        </row>
        <row r="921">
          <cell r="E921" t="str">
            <v>40级探荒者英雄套装武器</v>
          </cell>
          <cell r="F921" t="str">
            <v>英雄·军官手枪</v>
          </cell>
          <cell r="G921" t="str">
            <v>通过本关后有概率获得一件40级套装【英雄·军官手枪】。</v>
          </cell>
          <cell r="H921" t="str">
            <v>tzwq_0006</v>
          </cell>
        </row>
        <row r="922">
          <cell r="E922" t="str">
            <v>40级探荒者英雄套装防具</v>
          </cell>
          <cell r="F922" t="str">
            <v>英雄·军官外套</v>
          </cell>
          <cell r="G922" t="str">
            <v>通过本关后有概率获得一件40级套装【英雄·军官外套】。</v>
          </cell>
          <cell r="H922" t="str">
            <v>tzfj_0006</v>
          </cell>
        </row>
        <row r="923">
          <cell r="E923" t="str">
            <v>40级探荒者英雄套装戒指</v>
          </cell>
          <cell r="F923" t="str">
            <v>英雄·军官戒指</v>
          </cell>
          <cell r="G923" t="str">
            <v>通过本关后有概率获得一件40级套装【英雄·军官戒指】。</v>
          </cell>
          <cell r="H923" t="str">
            <v>tzjz_0006</v>
          </cell>
        </row>
        <row r="924">
          <cell r="E924" t="str">
            <v>40级探荒者英雄套装项链</v>
          </cell>
          <cell r="F924" t="str">
            <v>英雄·军官怀表</v>
          </cell>
          <cell r="G924" t="str">
            <v>通过本关后有概率获得一件40级套装【英雄·军官怀表】。</v>
          </cell>
          <cell r="H924" t="str">
            <v>tzxl_0006</v>
          </cell>
        </row>
        <row r="925">
          <cell r="E925" t="str">
            <v>50级英雄武器</v>
          </cell>
          <cell r="F925" t="str">
            <v>海盗弯刀</v>
          </cell>
          <cell r="G925" t="str">
            <v>通过本关后有概率获得一件50级装备【海盗弯刀】。</v>
          </cell>
          <cell r="H925" t="str">
            <v>sjwq_0011</v>
          </cell>
        </row>
        <row r="926">
          <cell r="E926" t="str">
            <v>50级英雄防具</v>
          </cell>
          <cell r="F926" t="str">
            <v>勇士头盔</v>
          </cell>
          <cell r="G926" t="str">
            <v>通过本关后有概率获得一件50级装备【勇士头盔】。</v>
          </cell>
          <cell r="H926" t="str">
            <v>sjfj_0011</v>
          </cell>
        </row>
        <row r="927">
          <cell r="E927" t="str">
            <v>50级英雄戒指</v>
          </cell>
          <cell r="F927" t="str">
            <v>绿草戒</v>
          </cell>
          <cell r="G927" t="str">
            <v>通过本关后有概率获得一件50级装备【绿草戒】。</v>
          </cell>
          <cell r="H927" t="str">
            <v>sjjz_0011</v>
          </cell>
        </row>
        <row r="928">
          <cell r="E928" t="str">
            <v>50级英雄项链</v>
          </cell>
          <cell r="F928" t="str">
            <v>碧牙吊坠</v>
          </cell>
          <cell r="G928" t="str">
            <v>通过本关后有概率获得一件50级装备【碧牙吊坠】。</v>
          </cell>
          <cell r="H928" t="str">
            <v>sjxl_0011</v>
          </cell>
        </row>
        <row r="929">
          <cell r="E929" t="str">
            <v>60级英雄武器</v>
          </cell>
          <cell r="F929" t="str">
            <v>短剑</v>
          </cell>
          <cell r="G929" t="str">
            <v>通过本关后有概率获得一件60级装备【短剑】。</v>
          </cell>
          <cell r="H929" t="str">
            <v>sjwq_0013</v>
          </cell>
        </row>
        <row r="930">
          <cell r="E930" t="str">
            <v>60级英雄防具</v>
          </cell>
          <cell r="F930" t="str">
            <v>船长帽</v>
          </cell>
          <cell r="G930" t="str">
            <v>通过本关后有概率获得一件60级装备【船长帽】。</v>
          </cell>
          <cell r="H930" t="str">
            <v>sjfj_0013</v>
          </cell>
        </row>
        <row r="931">
          <cell r="E931" t="str">
            <v>60级英雄戒指</v>
          </cell>
          <cell r="F931" t="str">
            <v>海洋戒</v>
          </cell>
          <cell r="G931" t="str">
            <v>通过本关后有概率获得一件60级装备【海洋戒】。</v>
          </cell>
          <cell r="H931" t="str">
            <v>sjjz_0013</v>
          </cell>
        </row>
        <row r="932">
          <cell r="E932" t="str">
            <v>60级英雄项链</v>
          </cell>
          <cell r="F932" t="str">
            <v>火焰之泪</v>
          </cell>
          <cell r="G932" t="str">
            <v>通过本关后有概率获得一件60级装备【火焰之泪】。</v>
          </cell>
          <cell r="H932" t="str">
            <v>sjxl_0013</v>
          </cell>
        </row>
        <row r="933">
          <cell r="E933" t="str">
            <v>60级航行者套装武器</v>
          </cell>
          <cell r="F933" t="str">
            <v>航行者之枪</v>
          </cell>
          <cell r="G933" t="str">
            <v>通过本关后有概率获得一件60级套装【航行者之枪】。</v>
          </cell>
          <cell r="H933" t="str">
            <v>tzwq_0009</v>
          </cell>
        </row>
        <row r="934">
          <cell r="E934" t="str">
            <v>60级航行者套装防具</v>
          </cell>
          <cell r="F934" t="str">
            <v>航行者之衣</v>
          </cell>
          <cell r="G934" t="str">
            <v>通过本关后有概率获得一件60级套装【航行者之衣】。</v>
          </cell>
          <cell r="H934" t="str">
            <v>tzfj_0009</v>
          </cell>
        </row>
        <row r="935">
          <cell r="E935" t="str">
            <v>60级航行者套装戒指</v>
          </cell>
          <cell r="F935" t="str">
            <v>航行者之戒</v>
          </cell>
          <cell r="G935" t="str">
            <v>通过本关后有概率获得一件60级套装【航行者之戒】。</v>
          </cell>
          <cell r="H935" t="str">
            <v>tzjz_0009</v>
          </cell>
        </row>
        <row r="936">
          <cell r="E936" t="str">
            <v>60级航行者套装项链</v>
          </cell>
          <cell r="F936" t="str">
            <v>航行者之链</v>
          </cell>
          <cell r="G936" t="str">
            <v>通过本关后有概率获得一件60级套装【航行者之链】。</v>
          </cell>
          <cell r="H936" t="str">
            <v>tzxl_0009</v>
          </cell>
        </row>
        <row r="937">
          <cell r="E937" t="str">
            <v>60级角斗士套装武器</v>
          </cell>
          <cell r="F937" t="str">
            <v>角斗士之斧</v>
          </cell>
          <cell r="G937" t="str">
            <v>通过本关后有概率获得一件60级套装【角斗士之斧】。</v>
          </cell>
          <cell r="H937" t="str">
            <v>tz_wq_jds</v>
          </cell>
        </row>
        <row r="938">
          <cell r="E938" t="str">
            <v>60级角斗士套装防具</v>
          </cell>
          <cell r="F938" t="str">
            <v>角斗士铠甲</v>
          </cell>
          <cell r="G938" t="str">
            <v>通过本关后有概率获得一件60级套装【角斗士铠甲】。</v>
          </cell>
          <cell r="H938" t="str">
            <v>tz_yf_jds</v>
          </cell>
        </row>
        <row r="939">
          <cell r="E939" t="str">
            <v>60级角斗士套装戒指</v>
          </cell>
          <cell r="F939" t="str">
            <v>角斗士之戒</v>
          </cell>
          <cell r="G939" t="str">
            <v>通过本关后有概率获得一件60级套装【角斗士之戒】。</v>
          </cell>
          <cell r="H939" t="str">
            <v>tz_jz_jds</v>
          </cell>
        </row>
        <row r="940">
          <cell r="E940" t="str">
            <v>60级角斗士套装项链</v>
          </cell>
          <cell r="F940" t="str">
            <v>角斗士之链</v>
          </cell>
          <cell r="G940" t="str">
            <v>通过本关后有概率获得一件60级套装【角斗士之链】。</v>
          </cell>
          <cell r="H940" t="str">
            <v>tz_xl_jds</v>
          </cell>
        </row>
        <row r="941">
          <cell r="E941" t="str">
            <v>60级皇家禁卫套装武器</v>
          </cell>
          <cell r="F941" t="str">
            <v>英雄·皇家猎枪</v>
          </cell>
          <cell r="G941" t="str">
            <v>通过本关后有概率获得一件60级套装【英雄·皇家猎枪】。</v>
          </cell>
          <cell r="H941" t="str">
            <v>equip_top_0201</v>
          </cell>
        </row>
        <row r="942">
          <cell r="E942" t="str">
            <v>60级皇家禁卫套装防具</v>
          </cell>
          <cell r="F942" t="str">
            <v>英雄·皇家华服</v>
          </cell>
          <cell r="G942" t="str">
            <v>通过本关后有概率获得一件60级套装【英雄·皇家华服】。</v>
          </cell>
          <cell r="H942" t="str">
            <v>equip_top_0202</v>
          </cell>
        </row>
        <row r="943">
          <cell r="E943" t="str">
            <v>60级皇家禁卫套装戒指</v>
          </cell>
          <cell r="F943" t="str">
            <v>英雄·皇家珠宝</v>
          </cell>
          <cell r="G943" t="str">
            <v>通过本关后有概率获得一件60级套装【英雄·皇家珠宝】。</v>
          </cell>
          <cell r="H943" t="str">
            <v>equip_top_0203</v>
          </cell>
        </row>
        <row r="944">
          <cell r="E944" t="str">
            <v>60级皇家禁卫套装项链</v>
          </cell>
          <cell r="F944" t="str">
            <v>英雄·皇家吊坠</v>
          </cell>
          <cell r="G944" t="str">
            <v>通过本关后有概率获得一件60级套装【英雄·皇家吊坠】。</v>
          </cell>
          <cell r="H944" t="str">
            <v>equip_top_0204</v>
          </cell>
        </row>
        <row r="945">
          <cell r="E945" t="str">
            <v>60级大力士套装武器</v>
          </cell>
          <cell r="F945" t="str">
            <v>英雄·野蛮之刃</v>
          </cell>
          <cell r="G945" t="str">
            <v>通过本关后有概率获得一件60级套装【英雄·野蛮之刃】。</v>
          </cell>
          <cell r="H945" t="str">
            <v>equip_top_0101</v>
          </cell>
        </row>
        <row r="946">
          <cell r="E946" t="str">
            <v>60级大力士套装防具</v>
          </cell>
          <cell r="F946" t="str">
            <v>英雄·狂野战袍</v>
          </cell>
          <cell r="G946" t="str">
            <v>通过本关后有概率获得一件60级套装【英雄·狂野战袍】。</v>
          </cell>
          <cell r="H946" t="str">
            <v>equip_top_0102</v>
          </cell>
        </row>
        <row r="947">
          <cell r="E947" t="str">
            <v>60级大力士套装戒指</v>
          </cell>
          <cell r="F947" t="str">
            <v>英雄·狂野手环</v>
          </cell>
          <cell r="G947" t="str">
            <v>通过本关后有概率获得一件60级套装【英雄·狂野手环】。</v>
          </cell>
          <cell r="H947" t="str">
            <v>equip_top_0103</v>
          </cell>
        </row>
        <row r="948">
          <cell r="E948" t="str">
            <v>60级大力士套装项链</v>
          </cell>
          <cell r="F948" t="str">
            <v>英雄·狂野项圈</v>
          </cell>
          <cell r="G948" t="str">
            <v>通过本关后有概率获得一件60级套装【英雄·狂野项圈】。</v>
          </cell>
          <cell r="H948" t="str">
            <v>equip_top_0104</v>
          </cell>
        </row>
        <row r="949">
          <cell r="E949" t="str">
            <v>60级狩猎者套装武器</v>
          </cell>
          <cell r="F949" t="str">
            <v>英雄·狩猎者之枪</v>
          </cell>
          <cell r="G949" t="str">
            <v>通过本关后有概率获得一件60级套装【英雄·狩猎者之枪】。</v>
          </cell>
          <cell r="H949" t="str">
            <v>equip_top_0301</v>
          </cell>
        </row>
        <row r="950">
          <cell r="E950" t="str">
            <v>60级狩猎者套装防具</v>
          </cell>
          <cell r="F950" t="str">
            <v>英雄·狩猎者外套</v>
          </cell>
          <cell r="G950" t="str">
            <v>通过本关后有概率获得一件60级套装【英雄·狩猎者外套】。</v>
          </cell>
          <cell r="H950" t="str">
            <v>equip_top_0302</v>
          </cell>
        </row>
        <row r="951">
          <cell r="E951" t="str">
            <v>60级狩猎者套装戒指</v>
          </cell>
          <cell r="F951" t="str">
            <v>英雄·狩猎者指环</v>
          </cell>
          <cell r="G951" t="str">
            <v>通过本关后有概率获得一件60级套装【英雄·狩猎者指环】。</v>
          </cell>
          <cell r="H951" t="str">
            <v>equip_top_0303</v>
          </cell>
        </row>
        <row r="952">
          <cell r="E952" t="str">
            <v>60级狩猎者套装项链</v>
          </cell>
          <cell r="F952" t="str">
            <v>英雄·狩猎者项链</v>
          </cell>
          <cell r="G952" t="str">
            <v>通过本关后有概率获得一件60级套装【英雄·狩猎者项链】。</v>
          </cell>
          <cell r="H952" t="str">
            <v>equip_top_0304</v>
          </cell>
        </row>
        <row r="953">
          <cell r="E953" t="str">
            <v>60级黄金套装武器</v>
          </cell>
          <cell r="F953" t="str">
            <v>英雄·黄金短枪</v>
          </cell>
          <cell r="G953" t="str">
            <v>通过本关后有概率获得一件60级套装【英雄·黄金短枪】。</v>
          </cell>
          <cell r="H953" t="str">
            <v>equip_top_0401</v>
          </cell>
        </row>
        <row r="954">
          <cell r="E954" t="str">
            <v>60级黄金套装防具</v>
          </cell>
          <cell r="F954" t="str">
            <v>英雄·黄金斗篷</v>
          </cell>
          <cell r="G954" t="str">
            <v>通过本关后有概率获得一件60级套装【英雄·黄金斗篷】。</v>
          </cell>
          <cell r="H954" t="str">
            <v>equip_top_0402</v>
          </cell>
        </row>
        <row r="955">
          <cell r="E955" t="str">
            <v>60级黄金套装戒指</v>
          </cell>
          <cell r="F955" t="str">
            <v>英雄·黄金手环</v>
          </cell>
          <cell r="G955" t="str">
            <v>通过本关后有概率获得一件60级套装【英雄·黄金手环】。</v>
          </cell>
          <cell r="H955" t="str">
            <v>equip_top_0403</v>
          </cell>
        </row>
        <row r="956">
          <cell r="E956" t="str">
            <v>60级黄金套装项链</v>
          </cell>
          <cell r="F956" t="str">
            <v>英雄·黄金坠饰</v>
          </cell>
          <cell r="G956" t="str">
            <v>通过本关后有概率获得一件60级套装【英雄·黄金坠饰】。</v>
          </cell>
          <cell r="H956" t="str">
            <v>equip_top_0404</v>
          </cell>
        </row>
        <row r="957">
          <cell r="E957" t="str">
            <v>60级公爵套装武器</v>
          </cell>
          <cell r="F957" t="str">
            <v>英雄·公爵之剑</v>
          </cell>
          <cell r="G957" t="str">
            <v>通过本关后有概率获得一件60级套装【英雄·公爵之剑】。</v>
          </cell>
          <cell r="H957" t="str">
            <v>equip_top_0501</v>
          </cell>
        </row>
        <row r="958">
          <cell r="E958" t="str">
            <v>60级公爵套装防具</v>
          </cell>
          <cell r="F958" t="str">
            <v>英雄·公爵外套</v>
          </cell>
          <cell r="G958" t="str">
            <v>通过本关后有概率获得一件60级套装【英雄·公爵外套】。</v>
          </cell>
          <cell r="H958" t="str">
            <v>equip_top_0502</v>
          </cell>
        </row>
        <row r="959">
          <cell r="E959" t="str">
            <v>60级公爵套装戒指</v>
          </cell>
          <cell r="F959" t="str">
            <v>英雄·公爵指环</v>
          </cell>
          <cell r="G959" t="str">
            <v>通过本关后有概率获得一件60级套装【英雄·公爵指环】。</v>
          </cell>
          <cell r="H959" t="str">
            <v>equip_top_0503</v>
          </cell>
        </row>
        <row r="960">
          <cell r="E960" t="str">
            <v>60级公爵套装项链</v>
          </cell>
          <cell r="F960" t="str">
            <v>英雄·公爵项链</v>
          </cell>
          <cell r="G960" t="str">
            <v>通过本关后有概率获得一件60级套装【英雄·公爵项链】。</v>
          </cell>
          <cell r="H960" t="str">
            <v>equip_top_0504</v>
          </cell>
        </row>
        <row r="961">
          <cell r="E961" t="str">
            <v>随机武器宝箱</v>
          </cell>
          <cell r="F961" t="str">
            <v>随机武器宝箱</v>
          </cell>
          <cell r="G961" t="str">
            <v>随机获得一件未鉴定装备。</v>
          </cell>
          <cell r="H961" t="str">
            <v>item_22</v>
          </cell>
        </row>
        <row r="962">
          <cell r="E962" t="str">
            <v>随机武器宝箱</v>
          </cell>
          <cell r="F962" t="str">
            <v>随机武器宝箱</v>
          </cell>
          <cell r="G962" t="str">
            <v>随机获得一件未鉴定装备。</v>
          </cell>
          <cell r="H962" t="str">
            <v>item_22</v>
          </cell>
        </row>
        <row r="963">
          <cell r="E963" t="str">
            <v>20级守卫套装武器</v>
          </cell>
          <cell r="F963" t="str">
            <v>守卫套装武器</v>
          </cell>
        </row>
        <row r="963">
          <cell r="H963" t="str">
            <v>tzwq_0002</v>
          </cell>
        </row>
        <row r="964">
          <cell r="E964" t="str">
            <v>20级守卫套装防具</v>
          </cell>
          <cell r="F964" t="str">
            <v>守卫套装防具</v>
          </cell>
        </row>
        <row r="964">
          <cell r="H964" t="str">
            <v>tzfj_0002</v>
          </cell>
        </row>
        <row r="965">
          <cell r="E965" t="str">
            <v>20级守卫套装戒指</v>
          </cell>
          <cell r="F965" t="str">
            <v>守卫套装戒指</v>
          </cell>
        </row>
        <row r="965">
          <cell r="H965" t="str">
            <v>tzjz_0002</v>
          </cell>
        </row>
        <row r="966">
          <cell r="E966" t="str">
            <v>20级守卫套装项链</v>
          </cell>
          <cell r="F966" t="str">
            <v>守卫套装项链</v>
          </cell>
        </row>
        <row r="966">
          <cell r="H966" t="str">
            <v>tzxl_0002</v>
          </cell>
        </row>
        <row r="967">
          <cell r="E967" t="str">
            <v>20级战斗套装武器</v>
          </cell>
          <cell r="F967" t="str">
            <v>战斗套装武器</v>
          </cell>
        </row>
        <row r="967">
          <cell r="H967" t="str">
            <v>tzwq_0003</v>
          </cell>
        </row>
        <row r="968">
          <cell r="E968" t="str">
            <v>20级战斗套装防具</v>
          </cell>
          <cell r="F968" t="str">
            <v>战斗套装防具</v>
          </cell>
        </row>
        <row r="968">
          <cell r="H968" t="str">
            <v>tzfj_0003</v>
          </cell>
        </row>
        <row r="969">
          <cell r="E969" t="str">
            <v>20级战斗套装戒指</v>
          </cell>
          <cell r="F969" t="str">
            <v>战斗套装戒指</v>
          </cell>
        </row>
        <row r="969">
          <cell r="H969" t="str">
            <v>tzjz_0003</v>
          </cell>
        </row>
        <row r="970">
          <cell r="E970" t="str">
            <v>20级战斗套装项链</v>
          </cell>
          <cell r="F970" t="str">
            <v>战斗套装项链</v>
          </cell>
        </row>
        <row r="970">
          <cell r="H970" t="str">
            <v>tzxl_0003</v>
          </cell>
        </row>
        <row r="971">
          <cell r="E971" t="str">
            <v>20级冒险者套装武器</v>
          </cell>
          <cell r="F971" t="str">
            <v>冒险者套装武器</v>
          </cell>
        </row>
        <row r="971">
          <cell r="H971" t="str">
            <v>tzwq_0016</v>
          </cell>
        </row>
        <row r="972">
          <cell r="E972" t="str">
            <v>20级冒险者套装防具</v>
          </cell>
          <cell r="F972" t="str">
            <v>冒险者套装防具</v>
          </cell>
        </row>
        <row r="972">
          <cell r="H972" t="str">
            <v>tzfj_0016</v>
          </cell>
        </row>
        <row r="973">
          <cell r="E973" t="str">
            <v>20级冒险者套装戒指</v>
          </cell>
          <cell r="F973" t="str">
            <v>冒险者套装戒指</v>
          </cell>
        </row>
        <row r="973">
          <cell r="H973" t="str">
            <v>tzjz_0016</v>
          </cell>
        </row>
        <row r="974">
          <cell r="E974" t="str">
            <v>20级冒险者套装项链</v>
          </cell>
          <cell r="F974" t="str">
            <v>冒险者套装项链</v>
          </cell>
        </row>
        <row r="974">
          <cell r="H974" t="str">
            <v>tzxl_0016</v>
          </cell>
        </row>
        <row r="975">
          <cell r="E975" t="str">
            <v>宝石</v>
          </cell>
          <cell r="F975" t="str">
            <v>宝石</v>
          </cell>
          <cell r="G975" t="str">
            <v>随机获得一个宝石，用于装备镶嵌，提升装备属性。</v>
          </cell>
          <cell r="H975" t="str">
            <v>item_20</v>
          </cell>
        </row>
        <row r="976">
          <cell r="E976" t="str">
            <v>突破材料</v>
          </cell>
          <cell r="F976" t="str">
            <v>突破材料</v>
          </cell>
          <cell r="G976" t="str">
            <v>随机获得一个突破材料，用于角色突破。</v>
          </cell>
          <cell r="H976" t="str">
            <v>item_21</v>
          </cell>
        </row>
        <row r="977">
          <cell r="E977" t="str">
            <v>R卡</v>
          </cell>
          <cell r="F977" t="str">
            <v>R卡碎片</v>
          </cell>
          <cell r="G977" t="str">
            <v>随机获得一个R卡碎片。</v>
          </cell>
          <cell r="H977" t="str">
            <v>item_17</v>
          </cell>
        </row>
        <row r="978">
          <cell r="E978" t="str">
            <v>SR卡</v>
          </cell>
          <cell r="F978" t="str">
            <v>SR卡碎片</v>
          </cell>
          <cell r="G978" t="str">
            <v>随机获得一个SR卡碎片。</v>
          </cell>
          <cell r="H978" t="str">
            <v>item_18</v>
          </cell>
        </row>
        <row r="979">
          <cell r="E979" t="str">
            <v>SSR卡</v>
          </cell>
          <cell r="F979" t="str">
            <v>SSR卡碎片</v>
          </cell>
          <cell r="G979" t="str">
            <v>随机获得一个SSR卡碎片。</v>
          </cell>
          <cell r="H979" t="str">
            <v>item_19</v>
          </cell>
        </row>
        <row r="980">
          <cell r="E980" t="str">
            <v>宝石</v>
          </cell>
          <cell r="F980" t="str">
            <v>宝石</v>
          </cell>
          <cell r="G980" t="str">
            <v>随机获得一个宝石，用于装备镶嵌，提升装备属性。</v>
          </cell>
          <cell r="H980" t="str">
            <v>item_20</v>
          </cell>
        </row>
        <row r="981">
          <cell r="E981" t="str">
            <v>突破材料橙色</v>
          </cell>
          <cell r="F981" t="str">
            <v>突破材料</v>
          </cell>
          <cell r="G981" t="str">
            <v>随机获得一个突破材料，用于角色突破。</v>
          </cell>
          <cell r="H981" t="str">
            <v>item_21</v>
          </cell>
        </row>
        <row r="982">
          <cell r="E982" t="str">
            <v>宝石2级</v>
          </cell>
          <cell r="F982" t="str">
            <v>宝石</v>
          </cell>
          <cell r="G982" t="str">
            <v>随机获得一个宝石，大概率获得2级宝石，用于装备镶嵌，提升装备属性。</v>
          </cell>
          <cell r="H982" t="str">
            <v>item_20</v>
          </cell>
        </row>
        <row r="983">
          <cell r="E983" t="str">
            <v>宝石3级</v>
          </cell>
          <cell r="F983" t="str">
            <v>宝石</v>
          </cell>
          <cell r="G983" t="str">
            <v>随机获得一个宝石，大概率获得3级宝石，用于装备镶嵌，提升装备属性。</v>
          </cell>
          <cell r="H983" t="str">
            <v>item_20</v>
          </cell>
        </row>
        <row r="984">
          <cell r="E984" t="str">
            <v>宝石4级</v>
          </cell>
          <cell r="F984" t="str">
            <v>宝石</v>
          </cell>
          <cell r="G984" t="str">
            <v>随机获得一个宝石，大概率获得4级宝石，用于装备镶嵌，提升装备属性。</v>
          </cell>
          <cell r="H984" t="str">
            <v>item_20</v>
          </cell>
        </row>
        <row r="985">
          <cell r="E985" t="str">
            <v>宝石5级</v>
          </cell>
          <cell r="F985" t="str">
            <v>宝石</v>
          </cell>
          <cell r="G985" t="str">
            <v>随机获得一个宝石，大概率获得5级宝石，用于装备镶嵌，提升装备属性。</v>
          </cell>
          <cell r="H985" t="str">
            <v>item_20</v>
          </cell>
        </row>
        <row r="986">
          <cell r="E986" t="str">
            <v>宝石6级</v>
          </cell>
          <cell r="F986" t="str">
            <v>宝石</v>
          </cell>
          <cell r="G986" t="str">
            <v>随机获得一个宝石，大概率获得6级宝石，用于装备镶嵌，提升装备属性。</v>
          </cell>
          <cell r="H986" t="str">
            <v>item_20</v>
          </cell>
        </row>
        <row r="987">
          <cell r="E987" t="str">
            <v>宝石7级</v>
          </cell>
          <cell r="F987" t="str">
            <v>宝石</v>
          </cell>
          <cell r="G987" t="str">
            <v>随机获得一个宝石，大概率获得7级宝石，用于装备镶嵌，提升装备属性。</v>
          </cell>
          <cell r="H987" t="str">
            <v>item_20</v>
          </cell>
        </row>
        <row r="988">
          <cell r="E988" t="str">
            <v>宝石1级</v>
          </cell>
          <cell r="F988" t="str">
            <v>宝石</v>
          </cell>
          <cell r="G988" t="str">
            <v>随机获得一个1级宝石，用于装备镶嵌，提升装备属性。</v>
          </cell>
          <cell r="H988" t="str">
            <v>item_20</v>
          </cell>
        </row>
        <row r="989">
          <cell r="E989" t="str">
            <v>英雄·商贾巨剑</v>
          </cell>
          <cell r="F989" t="str">
            <v>英雄·商贾巨剑</v>
          </cell>
          <cell r="G989" t="str">
            <v>通过本关后有概率获得一件60级套装【英雄·商贾巨剑】。</v>
          </cell>
          <cell r="H989" t="str">
            <v>equip_top_0801</v>
          </cell>
        </row>
        <row r="990">
          <cell r="E990" t="str">
            <v>英雄·商贾之袍</v>
          </cell>
          <cell r="F990" t="str">
            <v>英雄·商贾之袍</v>
          </cell>
          <cell r="G990" t="str">
            <v>通过本关后有概率获得一件60级套装【英雄·商贾之袍】。</v>
          </cell>
          <cell r="H990" t="str">
            <v>equip_top_0802</v>
          </cell>
        </row>
        <row r="991">
          <cell r="E991" t="str">
            <v>英雄·商贾之戒</v>
          </cell>
          <cell r="F991" t="str">
            <v>英雄·商贾之戒</v>
          </cell>
          <cell r="G991" t="str">
            <v>通过本关后有概率获得一件60级套装【英雄·商贾之戒】。</v>
          </cell>
          <cell r="H991" t="str">
            <v>equip_top_0803</v>
          </cell>
        </row>
        <row r="992">
          <cell r="E992" t="str">
            <v>英雄·商贾项链</v>
          </cell>
          <cell r="F992" t="str">
            <v>英雄·商贾项链</v>
          </cell>
          <cell r="G992" t="str">
            <v>通过本关后有概率获得一件60级套装【英雄·商贾项链】。</v>
          </cell>
          <cell r="H992" t="str">
            <v>equip_top_0804</v>
          </cell>
        </row>
        <row r="993">
          <cell r="E993" t="str">
            <v>英雄·霸者之剑</v>
          </cell>
          <cell r="F993" t="str">
            <v>英雄·霸者之剑</v>
          </cell>
          <cell r="G993" t="str">
            <v>通过本关后有概率获得一件60级套装【英雄·霸者之剑】。</v>
          </cell>
          <cell r="H993" t="str">
            <v>equip_top_0701</v>
          </cell>
        </row>
        <row r="994">
          <cell r="E994" t="str">
            <v>英雄·霸者之衣</v>
          </cell>
          <cell r="F994" t="str">
            <v>英雄·霸者之衣</v>
          </cell>
          <cell r="G994" t="str">
            <v>通过本关后有概率获得一件60级套装【英雄·霸者之衣】。</v>
          </cell>
          <cell r="H994" t="str">
            <v>equip_top_0702</v>
          </cell>
        </row>
        <row r="995">
          <cell r="E995" t="str">
            <v>英雄·霸者之戒</v>
          </cell>
          <cell r="F995" t="str">
            <v>英雄·霸者之戒</v>
          </cell>
          <cell r="G995" t="str">
            <v>通过本关后有概率获得一件60级套装【英雄·霸者之戒】。</v>
          </cell>
          <cell r="H995" t="str">
            <v>equip_top_0703</v>
          </cell>
        </row>
        <row r="996">
          <cell r="E996" t="str">
            <v>英雄·霸者之链</v>
          </cell>
          <cell r="F996" t="str">
            <v>英雄·霸者之链</v>
          </cell>
          <cell r="G996" t="str">
            <v>通过本关后有概率获得一件60级套装【英雄·霸者之链】。</v>
          </cell>
          <cell r="H996" t="str">
            <v>equip_top_0704</v>
          </cell>
        </row>
        <row r="997">
          <cell r="E997" t="str">
            <v>英雄·赤炎之刃</v>
          </cell>
          <cell r="F997" t="str">
            <v>英雄·赤炎之刃</v>
          </cell>
          <cell r="G997" t="str">
            <v>通过本关后有概率获得一件60级套装【英雄·赤炎之刃】。</v>
          </cell>
          <cell r="H997" t="str">
            <v>equip_top_0601</v>
          </cell>
        </row>
        <row r="998">
          <cell r="E998" t="str">
            <v>英雄·赤炎和服</v>
          </cell>
          <cell r="F998" t="str">
            <v>英雄·赤炎和服</v>
          </cell>
          <cell r="G998" t="str">
            <v>通过本关后有概率获得一件60级套装【英雄·赤炎和服】。</v>
          </cell>
          <cell r="H998" t="str">
            <v>equip_top_0602</v>
          </cell>
        </row>
        <row r="999">
          <cell r="E999" t="str">
            <v>英雄·赤炎指环</v>
          </cell>
          <cell r="F999" t="str">
            <v>英雄·赤炎指环</v>
          </cell>
          <cell r="G999" t="str">
            <v>通过本关后有概率获得一件60级套装【英雄·赤炎指环】。</v>
          </cell>
          <cell r="H999" t="str">
            <v>equip_top_0603</v>
          </cell>
        </row>
        <row r="1000">
          <cell r="E1000" t="str">
            <v>英雄·赤炎吊坠</v>
          </cell>
          <cell r="F1000" t="str">
            <v>英雄·赤炎吊坠</v>
          </cell>
          <cell r="G1000" t="str">
            <v>通过本关后有概率获得一件60级套装【英雄·赤炎吊坠】。</v>
          </cell>
          <cell r="H1000" t="str">
            <v>equip_top_0604</v>
          </cell>
        </row>
        <row r="1001">
          <cell r="E1001" t="str">
            <v>80级攻击武器</v>
          </cell>
          <cell r="F1001" t="str">
            <v>黄金剑</v>
          </cell>
          <cell r="G1001" t="str">
            <v>通过本关后获得一件80级装备【黄金剑】。</v>
          </cell>
          <cell r="H1001" t="str">
            <v>sjatk_18001</v>
          </cell>
        </row>
        <row r="1002">
          <cell r="E1002" t="str">
            <v>80级攻击防具</v>
          </cell>
          <cell r="F1002" t="str">
            <v>警长帽</v>
          </cell>
          <cell r="G1002" t="str">
            <v>通过本关后获得一件80级装备【警长帽】。</v>
          </cell>
          <cell r="H1002" t="str">
            <v>sjatk_18002</v>
          </cell>
        </row>
        <row r="1003">
          <cell r="E1003" t="str">
            <v>80级攻击戒指</v>
          </cell>
          <cell r="F1003" t="str">
            <v>天蓝宝石戒指</v>
          </cell>
          <cell r="G1003" t="str">
            <v>通过本关后获得一件80级装备【天蓝宝石戒指】。</v>
          </cell>
          <cell r="H1003" t="str">
            <v>sjatk_18003</v>
          </cell>
        </row>
        <row r="1004">
          <cell r="E1004" t="str">
            <v>80级攻击项链</v>
          </cell>
          <cell r="F1004" t="str">
            <v>珍宝项链</v>
          </cell>
          <cell r="G1004" t="str">
            <v>通过本关后获得一件80级装备【珍宝项链】。</v>
          </cell>
          <cell r="H1004" t="str">
            <v>sjatk_18004</v>
          </cell>
        </row>
        <row r="1005">
          <cell r="E1005" t="str">
            <v>80级攻击英雄武器</v>
          </cell>
          <cell r="F1005" t="str">
            <v>英雄·黄金剑</v>
          </cell>
          <cell r="G1005" t="str">
            <v>通过本关后有概率获得一件80级装备【英雄·黄金剑】。</v>
          </cell>
          <cell r="H1005" t="str">
            <v>sjatk_18001</v>
          </cell>
        </row>
        <row r="1006">
          <cell r="E1006" t="str">
            <v>80级攻击英雄防具</v>
          </cell>
          <cell r="F1006" t="str">
            <v>英雄·警长帽</v>
          </cell>
          <cell r="G1006" t="str">
            <v>通过本关后有概率获得一件80级装备【英雄·警长帽】。</v>
          </cell>
          <cell r="H1006" t="str">
            <v>sjatk_18002</v>
          </cell>
        </row>
        <row r="1007">
          <cell r="E1007" t="str">
            <v>80级攻击英雄戒指</v>
          </cell>
          <cell r="F1007" t="str">
            <v>英雄·天蓝宝石戒指</v>
          </cell>
          <cell r="G1007" t="str">
            <v>通过本关后有概率获得一件80级装备【英雄·天蓝宝石戒指】。</v>
          </cell>
          <cell r="H1007" t="str">
            <v>sjatk_18003</v>
          </cell>
        </row>
        <row r="1008">
          <cell r="E1008" t="str">
            <v>80级攻击英雄项链</v>
          </cell>
          <cell r="F1008" t="str">
            <v>英雄·珍宝项链</v>
          </cell>
          <cell r="G1008" t="str">
            <v>通过本关后有概率获得一件80级装备【英雄·珍宝项链】。</v>
          </cell>
          <cell r="H1008" t="str">
            <v>sjatk_18004</v>
          </cell>
        </row>
        <row r="1009">
          <cell r="E1009" t="str">
            <v>80级勇士武器</v>
          </cell>
          <cell r="F1009" t="str">
            <v>英雄·勇士大剑</v>
          </cell>
          <cell r="G1009" t="str">
            <v>通过本关后有概率获得一件80级套装【英雄·勇士大剑】。</v>
          </cell>
          <cell r="H1009" t="str">
            <v>tzys_8001</v>
          </cell>
        </row>
        <row r="1010">
          <cell r="E1010" t="str">
            <v>80级勇士防具</v>
          </cell>
          <cell r="F1010" t="str">
            <v>英雄·勇士护甲</v>
          </cell>
          <cell r="G1010" t="str">
            <v>通过本关后有概率获得一件80级套装【英雄·勇士护甲】。</v>
          </cell>
          <cell r="H1010" t="str">
            <v>tzys_8002</v>
          </cell>
        </row>
        <row r="1011">
          <cell r="E1011" t="str">
            <v>80级勇士戒指</v>
          </cell>
          <cell r="F1011" t="str">
            <v>英雄·勇士戒指</v>
          </cell>
          <cell r="G1011" t="str">
            <v>通过本关后有概率获得一件80级套装【英雄·勇士戒指】。</v>
          </cell>
          <cell r="H1011" t="str">
            <v>tzys_8003</v>
          </cell>
        </row>
        <row r="1012">
          <cell r="E1012" t="str">
            <v>80级勇士项链</v>
          </cell>
          <cell r="F1012" t="str">
            <v>英雄·勇士项链</v>
          </cell>
          <cell r="G1012" t="str">
            <v>通过本关后有概率获得一件80级套装【英雄·勇士项链】。</v>
          </cell>
          <cell r="H1012" t="str">
            <v>tzys_8004</v>
          </cell>
        </row>
        <row r="1013">
          <cell r="E1013" t="str">
            <v>80级龙鳞武器</v>
          </cell>
          <cell r="F1013" t="str">
            <v>英雄·龙鳞巨刀</v>
          </cell>
          <cell r="G1013" t="str">
            <v>通过本关后有概率获得一件80级套装【英雄·龙鳞巨刀】。</v>
          </cell>
          <cell r="H1013" t="str">
            <v>tzll_8001</v>
          </cell>
        </row>
        <row r="1014">
          <cell r="E1014" t="str">
            <v>80级龙鳞防具</v>
          </cell>
          <cell r="F1014" t="str">
            <v>英雄·龙鳞闪甲</v>
          </cell>
          <cell r="G1014" t="str">
            <v>通过本关后有概率获得一件80级套装【英雄·龙鳞闪甲】。</v>
          </cell>
          <cell r="H1014" t="str">
            <v>tzll_8002</v>
          </cell>
        </row>
        <row r="1015">
          <cell r="E1015" t="str">
            <v>80级龙鳞戒指</v>
          </cell>
          <cell r="F1015" t="str">
            <v>英雄·龙鳞光戒</v>
          </cell>
          <cell r="G1015" t="str">
            <v>通过本关后有概率获得一件80级套装【英雄·龙鳞光戒】。</v>
          </cell>
          <cell r="H1015" t="str">
            <v>tzll_8003</v>
          </cell>
        </row>
        <row r="1016">
          <cell r="E1016" t="str">
            <v>80级龙鳞项链</v>
          </cell>
          <cell r="F1016" t="str">
            <v>英雄·龙鳞光链</v>
          </cell>
          <cell r="G1016" t="str">
            <v>通过本关后有概率获得一件80级套装【英雄·龙鳞光链】。</v>
          </cell>
          <cell r="H1016" t="str">
            <v>tzll_8004</v>
          </cell>
        </row>
        <row r="1017">
          <cell r="E1017" t="str">
            <v>80级骑士武器</v>
          </cell>
          <cell r="F1017" t="str">
            <v>英雄·骑士长剑</v>
          </cell>
          <cell r="G1017" t="str">
            <v>通过本关后有概率获得一件80级套装【英雄·骑士长剑】。</v>
          </cell>
          <cell r="H1017" t="str">
            <v>tzqs_8001</v>
          </cell>
        </row>
        <row r="1018">
          <cell r="E1018" t="str">
            <v>80级骑士防具</v>
          </cell>
          <cell r="F1018" t="str">
            <v>英雄·骑士长袍</v>
          </cell>
          <cell r="G1018" t="str">
            <v>通过本关后有概率获得一件80级套装【英雄·骑士长袍】。</v>
          </cell>
          <cell r="H1018" t="str">
            <v>tzqs_8002</v>
          </cell>
        </row>
        <row r="1019">
          <cell r="E1019" t="str">
            <v>80级骑士戒指</v>
          </cell>
          <cell r="F1019" t="str">
            <v>英雄·骑士戒指</v>
          </cell>
          <cell r="G1019" t="str">
            <v>通过本关后有概率获得一件80级套装【英雄·骑士戒指】。</v>
          </cell>
          <cell r="H1019" t="str">
            <v>tzqs_8003</v>
          </cell>
        </row>
        <row r="1020">
          <cell r="E1020" t="str">
            <v>80级骑士项链</v>
          </cell>
          <cell r="F1020" t="str">
            <v>英雄·骑士项链</v>
          </cell>
          <cell r="G1020" t="str">
            <v>通过本关后有概率获得一件80级套装【英雄·骑士项链】。</v>
          </cell>
          <cell r="H1020" t="str">
            <v>tzqs_8004</v>
          </cell>
        </row>
        <row r="1021">
          <cell r="E1021" t="str">
            <v>80级学者武器</v>
          </cell>
          <cell r="F1021" t="str">
            <v>英雄·学者慧笔</v>
          </cell>
          <cell r="G1021" t="str">
            <v>通过本关后有概率获得一件80级套装【英雄·学者慧笔】。</v>
          </cell>
          <cell r="H1021" t="str">
            <v>tzxz_8001</v>
          </cell>
        </row>
        <row r="1022">
          <cell r="E1022" t="str">
            <v>80级学者防具</v>
          </cell>
          <cell r="F1022" t="str">
            <v>英雄·学者袍</v>
          </cell>
          <cell r="G1022" t="str">
            <v>通过本关后有概率获得一件80级套装【英雄·学者袍】。</v>
          </cell>
          <cell r="H1022" t="str">
            <v>tzxz_8002</v>
          </cell>
        </row>
        <row r="1023">
          <cell r="E1023" t="str">
            <v>80级学者戒指</v>
          </cell>
          <cell r="F1023" t="str">
            <v>英雄·学者戒指</v>
          </cell>
          <cell r="G1023" t="str">
            <v>通过本关后有概率获得一件80级套装【英雄·学者戒指】。</v>
          </cell>
          <cell r="H1023" t="str">
            <v>tzxz_8003</v>
          </cell>
        </row>
        <row r="1024">
          <cell r="E1024" t="str">
            <v>80级学者项链</v>
          </cell>
          <cell r="F1024" t="str">
            <v>英雄·学者项链</v>
          </cell>
          <cell r="G1024" t="str">
            <v>通过本关后有概率获得一件80级套装【英雄·学者项链】。</v>
          </cell>
          <cell r="H1024" t="str">
            <v>tzxz_8004</v>
          </cell>
        </row>
        <row r="1025">
          <cell r="E1025" t="str">
            <v>80级繁星武器</v>
          </cell>
          <cell r="F1025" t="str">
            <v>英雄·繁星剑</v>
          </cell>
          <cell r="G1025" t="str">
            <v>通过本关后有概率获得一件80级套装【英雄·繁星剑】。</v>
          </cell>
          <cell r="H1025" t="str">
            <v>tzsg_8001</v>
          </cell>
        </row>
        <row r="1026">
          <cell r="E1026" t="str">
            <v>80级繁星防具</v>
          </cell>
          <cell r="F1026" t="str">
            <v>英雄·繁星服</v>
          </cell>
          <cell r="G1026" t="str">
            <v>通过本关后有概率获得一件80级套装【英雄·繁星服】。</v>
          </cell>
          <cell r="H1026" t="str">
            <v>tzsg_8002</v>
          </cell>
        </row>
        <row r="1027">
          <cell r="E1027" t="str">
            <v>80级繁星戒指</v>
          </cell>
          <cell r="F1027" t="str">
            <v>英雄·繁星戒指</v>
          </cell>
          <cell r="G1027" t="str">
            <v>通过本关后有概率获得一件80级套装【英雄·繁星戒指】。</v>
          </cell>
          <cell r="H1027" t="str">
            <v>tzsg_8003</v>
          </cell>
        </row>
        <row r="1028">
          <cell r="E1028" t="str">
            <v>80级繁星项链</v>
          </cell>
          <cell r="F1028" t="str">
            <v>英雄·繁星项链</v>
          </cell>
          <cell r="G1028" t="str">
            <v>通过本关后有概率获得一件80级套装【英雄·繁星项链】。</v>
          </cell>
          <cell r="H1028" t="str">
            <v>tzsg_8004</v>
          </cell>
        </row>
        <row r="1029">
          <cell r="E1029" t="str">
            <v>80级防御武器</v>
          </cell>
          <cell r="F1029" t="str">
            <v>豹纹剑</v>
          </cell>
          <cell r="G1029" t="str">
            <v>通过本关后获得一件80级装备【豹纹剑】。</v>
          </cell>
          <cell r="H1029" t="str">
            <v>sjdef_18001</v>
          </cell>
        </row>
        <row r="1030">
          <cell r="E1030" t="str">
            <v>80级防御防具</v>
          </cell>
          <cell r="F1030" t="str">
            <v>猎手帽</v>
          </cell>
          <cell r="G1030" t="str">
            <v>通过本关后获得一件80级装备【猎手帽】。</v>
          </cell>
          <cell r="H1030" t="str">
            <v>sjdef_18002</v>
          </cell>
        </row>
        <row r="1031">
          <cell r="E1031" t="str">
            <v>80级防御戒指</v>
          </cell>
          <cell r="F1031" t="str">
            <v>紫宝石戒指</v>
          </cell>
          <cell r="G1031" t="str">
            <v>通过本关后获得一件80级装备【紫宝石戒指】。</v>
          </cell>
          <cell r="H1031" t="str">
            <v>sjdef_18003</v>
          </cell>
        </row>
        <row r="1032">
          <cell r="E1032" t="str">
            <v>80级防御项链</v>
          </cell>
          <cell r="F1032" t="str">
            <v>红石项链</v>
          </cell>
          <cell r="G1032" t="str">
            <v>通过本关后获得一件80级装备【红石项链】。</v>
          </cell>
          <cell r="H1032" t="str">
            <v>sjdef_18004</v>
          </cell>
        </row>
        <row r="1033">
          <cell r="E1033" t="str">
            <v>80级标准武器</v>
          </cell>
          <cell r="F1033" t="str">
            <v>海螺锤</v>
          </cell>
          <cell r="G1033" t="str">
            <v>通过本关后获得一件80级装备【海螺锤】。</v>
          </cell>
          <cell r="H1033" t="str">
            <v>sjcom_18001</v>
          </cell>
        </row>
        <row r="1034">
          <cell r="E1034" t="str">
            <v>80级标准防具</v>
          </cell>
          <cell r="F1034" t="str">
            <v>护卫坚盔</v>
          </cell>
          <cell r="G1034" t="str">
            <v>通过本关后获得一件80级装备【护卫坚盔】。</v>
          </cell>
          <cell r="H1034" t="str">
            <v>sjcom_18002</v>
          </cell>
        </row>
        <row r="1035">
          <cell r="E1035" t="str">
            <v>80级标准戒指</v>
          </cell>
          <cell r="F1035" t="str">
            <v>红蓝戒指</v>
          </cell>
          <cell r="G1035" t="str">
            <v>通过本关后获得一件80级装备【红蓝戒指】。</v>
          </cell>
          <cell r="H1035" t="str">
            <v>sjcom_18003</v>
          </cell>
        </row>
        <row r="1036">
          <cell r="E1036" t="str">
            <v>80级标准项链</v>
          </cell>
          <cell r="F1036" t="str">
            <v>蓝紫宝石项链</v>
          </cell>
          <cell r="G1036" t="str">
            <v>通过本关后获得一件80级装备【蓝紫宝石项链】。</v>
          </cell>
          <cell r="H1036" t="str">
            <v>sjcom_18004</v>
          </cell>
        </row>
        <row r="1037">
          <cell r="E1037" t="str">
            <v>80级防御英雄武器</v>
          </cell>
          <cell r="F1037" t="str">
            <v>英雄·豹纹剑</v>
          </cell>
          <cell r="G1037" t="str">
            <v>通过本关后有概率获得一件80级装备【英雄·豹纹剑】。</v>
          </cell>
          <cell r="H1037" t="str">
            <v>sjdef_18001</v>
          </cell>
        </row>
        <row r="1038">
          <cell r="E1038" t="str">
            <v>80级防御英雄防具</v>
          </cell>
          <cell r="F1038" t="str">
            <v>英雄·猎手帽</v>
          </cell>
          <cell r="G1038" t="str">
            <v>通过本关后有概率获得一件80级装备【英雄·猎手帽】。</v>
          </cell>
          <cell r="H1038" t="str">
            <v>sjdef_18002</v>
          </cell>
        </row>
        <row r="1039">
          <cell r="E1039" t="str">
            <v>80级防御英雄戒指</v>
          </cell>
          <cell r="F1039" t="str">
            <v>英雄·紫宝石戒指</v>
          </cell>
          <cell r="G1039" t="str">
            <v>通过本关后有概率获得一件80级装备【英雄·紫宝石戒指】。</v>
          </cell>
          <cell r="H1039" t="str">
            <v>sjdef_18003</v>
          </cell>
        </row>
        <row r="1040">
          <cell r="E1040" t="str">
            <v>80级防御英雄项链</v>
          </cell>
          <cell r="F1040" t="str">
            <v>英雄·蓝绿宝石项链</v>
          </cell>
          <cell r="G1040" t="str">
            <v>通过本关后有概率获得一件80级装备【英雄·蓝绿宝石项链】。</v>
          </cell>
          <cell r="H1040" t="str">
            <v>sjdef_18004</v>
          </cell>
        </row>
        <row r="1041">
          <cell r="E1041" t="str">
            <v>80级标准英雄武器</v>
          </cell>
          <cell r="F1041" t="str">
            <v>英雄·海螺锤</v>
          </cell>
          <cell r="G1041" t="str">
            <v>通过本关后有概率获得一件80级装备【英雄·海螺锤】。</v>
          </cell>
          <cell r="H1041" t="str">
            <v>sjcom_18001</v>
          </cell>
        </row>
        <row r="1042">
          <cell r="E1042" t="str">
            <v>80级标准英雄防具</v>
          </cell>
          <cell r="F1042" t="str">
            <v>英雄·护卫坚盔</v>
          </cell>
          <cell r="G1042" t="str">
            <v>通过本关后有概率获得一件80级装备【英雄·护卫坚盔】。</v>
          </cell>
          <cell r="H1042" t="str">
            <v>sjcom_18002</v>
          </cell>
        </row>
        <row r="1043">
          <cell r="E1043" t="str">
            <v>80级标准英雄戒指</v>
          </cell>
          <cell r="F1043" t="str">
            <v>英雄·红蓝戒指</v>
          </cell>
          <cell r="G1043" t="str">
            <v>通过本关后有概率获得一件80级装备【英雄·红蓝戒指】。</v>
          </cell>
          <cell r="H1043" t="str">
            <v>sjcom_18003</v>
          </cell>
        </row>
        <row r="1044">
          <cell r="E1044" t="str">
            <v>80级标准英雄项链</v>
          </cell>
          <cell r="F1044" t="str">
            <v>英雄·蓝紫宝石项链</v>
          </cell>
          <cell r="G1044" t="str">
            <v>通过本关后有概率获得一件80级装备【英雄·蓝紫宝石项链】。</v>
          </cell>
          <cell r="H1044" t="str">
            <v>sjcom_18004</v>
          </cell>
        </row>
        <row r="1045">
          <cell r="E1045" t="str">
            <v>贸易1-绿</v>
          </cell>
          <cell r="F1045" t="str">
            <v>贸易随机奖励</v>
          </cell>
          <cell r="G1045" t="str">
            <v>完成贸易订单后有机会获得经验卷轴、训练材料、精炼石、秘传书、亲密道具、突破材料等道具。</v>
          </cell>
          <cell r="H1045" t="str">
            <v>item_box_11</v>
          </cell>
        </row>
        <row r="1046">
          <cell r="E1046" t="str">
            <v>贸易1-蓝</v>
          </cell>
          <cell r="F1046" t="str">
            <v>贸易随机奖励</v>
          </cell>
          <cell r="G1046" t="str">
            <v>完成贸易订单后有机会获得经验卷轴、训练材料、精炼石、秘传书、亲密道具、突破材料等道具。</v>
          </cell>
          <cell r="H1046" t="str">
            <v>item_box_12</v>
          </cell>
        </row>
        <row r="1047">
          <cell r="E1047" t="str">
            <v>贸易1-紫</v>
          </cell>
          <cell r="F1047" t="str">
            <v>贸易随机奖励</v>
          </cell>
          <cell r="G1047" t="str">
            <v>完成贸易订单后有机会获得经验卷轴、训练材料、精炼石、秘传书、亲密道具、突破材料等道具。</v>
          </cell>
          <cell r="H1047" t="str">
            <v>item_box_13</v>
          </cell>
        </row>
        <row r="1048">
          <cell r="E1048" t="str">
            <v>贸易1-橙</v>
          </cell>
          <cell r="F1048" t="str">
            <v>贸易随机奖励</v>
          </cell>
          <cell r="G1048" t="str">
            <v>完成贸易订单后有机会获得经验卷轴、训练材料、精炼石、秘传书、亲密道具、突破材料等道具。</v>
          </cell>
          <cell r="H1048" t="str">
            <v>item_box_14</v>
          </cell>
        </row>
        <row r="1049">
          <cell r="E1049" t="str">
            <v>贸易2-绿</v>
          </cell>
          <cell r="F1049" t="str">
            <v>贸易随机奖励</v>
          </cell>
          <cell r="G1049" t="str">
            <v>完成贸易订单后有机会获得宝石、经验卷轴、训练材料、精炼石、亲密度材料等道具。</v>
          </cell>
          <cell r="H1049" t="str">
            <v>item_box_11</v>
          </cell>
        </row>
        <row r="1050">
          <cell r="E1050" t="str">
            <v>贸易2-蓝</v>
          </cell>
          <cell r="F1050" t="str">
            <v>贸易随机奖励</v>
          </cell>
          <cell r="G1050" t="str">
            <v>完成贸易订单后有机会获得宝石、经验卷轴、训练材料、秘传书等道具。</v>
          </cell>
          <cell r="H1050" t="str">
            <v>item_box_12</v>
          </cell>
        </row>
        <row r="1051">
          <cell r="E1051" t="str">
            <v>贸易2-紫</v>
          </cell>
          <cell r="F1051" t="str">
            <v>贸易随机奖励</v>
          </cell>
          <cell r="G1051" t="str">
            <v>完成贸易订单后有机会获得宝石、经验卷轴、训练材料、精炼石等道具。</v>
          </cell>
          <cell r="H1051" t="str">
            <v>item_box_13</v>
          </cell>
        </row>
        <row r="1052">
          <cell r="E1052" t="str">
            <v>贸易2-橙</v>
          </cell>
          <cell r="F1052" t="str">
            <v>贸易随机奖励</v>
          </cell>
          <cell r="G1052" t="str">
            <v>完成贸易订单后有机会获得高品质经验卷轴、高等级训练材料等道具。</v>
          </cell>
          <cell r="H1052" t="str">
            <v>item_box_14</v>
          </cell>
        </row>
        <row r="1053">
          <cell r="E1053" t="str">
            <v>贸易3-绿</v>
          </cell>
          <cell r="F1053" t="str">
            <v>贸易随机奖励</v>
          </cell>
          <cell r="G1053" t="str">
            <v>完成贸易订单后有机会获得宝石、经验卷轴、训练材料、精炼石、亲密度材料等道具。</v>
          </cell>
          <cell r="H1053" t="str">
            <v>item_box_11</v>
          </cell>
        </row>
        <row r="1054">
          <cell r="E1054" t="str">
            <v>贸易3-蓝</v>
          </cell>
          <cell r="F1054" t="str">
            <v>贸易随机奖励</v>
          </cell>
          <cell r="G1054" t="str">
            <v>完成贸易订单后有机会获得宝石、经验卷轴、训练材料、亲密度材料等道具。</v>
          </cell>
          <cell r="H1054" t="str">
            <v>item_box_12</v>
          </cell>
        </row>
        <row r="1055">
          <cell r="E1055" t="str">
            <v>贸易3-紫</v>
          </cell>
          <cell r="F1055" t="str">
            <v>贸易随机奖励</v>
          </cell>
          <cell r="G1055" t="str">
            <v>完成贸易订单后有机会获得宝石、经验卷轴、秘传书、亲密度材料等道具。</v>
          </cell>
          <cell r="H1055" t="str">
            <v>item_box_13</v>
          </cell>
        </row>
        <row r="1056">
          <cell r="E1056" t="str">
            <v>贸易3-橙</v>
          </cell>
          <cell r="F1056" t="str">
            <v>贸易随机奖励</v>
          </cell>
          <cell r="G1056" t="str">
            <v>完成贸易订单后有机会获得高品质经验卷轴、高等级训练材料、精炼石、亲密度材料等道具。</v>
          </cell>
          <cell r="H1056" t="str">
            <v>item_box_14</v>
          </cell>
        </row>
        <row r="1057">
          <cell r="E1057" t="str">
            <v>贸易4-绿</v>
          </cell>
          <cell r="F1057" t="str">
            <v>贸易随机奖励</v>
          </cell>
          <cell r="G1057" t="str">
            <v>完成贸易订单后有机会获得宝石、经验卷轴、训练材料、精炼石、亲密度材料等道具。</v>
          </cell>
          <cell r="H1057" t="str">
            <v>item_box_11</v>
          </cell>
        </row>
        <row r="1058">
          <cell r="E1058" t="str">
            <v>贸易4-蓝</v>
          </cell>
          <cell r="F1058" t="str">
            <v>贸易随机奖励</v>
          </cell>
          <cell r="G1058" t="str">
            <v>完成贸易订单后有机会获得宝石、经验卷轴、训练材料、亲密度材料等道具。</v>
          </cell>
          <cell r="H1058" t="str">
            <v>item_box_12</v>
          </cell>
        </row>
        <row r="1059">
          <cell r="E1059" t="str">
            <v>贸易4-紫</v>
          </cell>
          <cell r="F1059" t="str">
            <v>贸易随机奖励</v>
          </cell>
          <cell r="G1059" t="str">
            <v>完成贸易订单后有机会获得宝石、经验卷轴、秘传书、亲密度材料等道具。</v>
          </cell>
          <cell r="H1059" t="str">
            <v>item_box_13</v>
          </cell>
        </row>
        <row r="1060">
          <cell r="E1060" t="str">
            <v>贸易4-橙</v>
          </cell>
          <cell r="F1060" t="str">
            <v>贸易随机奖励</v>
          </cell>
          <cell r="G1060" t="str">
            <v>完成贸易订单后有机会获得高品质经验卷轴、高等级训练材料、精炼石、亲密度材料等道具。</v>
          </cell>
          <cell r="H1060" t="str">
            <v>item_box_14</v>
          </cell>
        </row>
        <row r="1061">
          <cell r="E1061" t="str">
            <v>贸易5-绿</v>
          </cell>
          <cell r="F1061" t="str">
            <v>贸易随机奖励</v>
          </cell>
          <cell r="G1061" t="str">
            <v>完成贸易订单后有机会获得宝石、经验卷轴、训练材料、精炼石、亲密度材料等道具。</v>
          </cell>
          <cell r="H1061" t="str">
            <v>item_box_11</v>
          </cell>
        </row>
        <row r="1062">
          <cell r="E1062" t="str">
            <v>贸易5-蓝</v>
          </cell>
          <cell r="F1062" t="str">
            <v>贸易随机奖励</v>
          </cell>
          <cell r="G1062" t="str">
            <v>完成贸易订单后有机会获得宝石、经验卷轴、训练材料、亲密度材料、突破材料等道具。</v>
          </cell>
          <cell r="H1062" t="str">
            <v>item_box_12</v>
          </cell>
        </row>
        <row r="1063">
          <cell r="E1063" t="str">
            <v>贸易5-紫</v>
          </cell>
          <cell r="F1063" t="str">
            <v>贸易随机奖励</v>
          </cell>
          <cell r="G1063" t="str">
            <v>完成贸易订单后有机会获得宝石、经验卷轴、秘传书、亲密度材料、快速挑战券等道具。</v>
          </cell>
          <cell r="H1063" t="str">
            <v>item_box_13</v>
          </cell>
        </row>
        <row r="1064">
          <cell r="E1064" t="str">
            <v>贸易5-橙</v>
          </cell>
          <cell r="F1064" t="str">
            <v>贸易随机奖励</v>
          </cell>
          <cell r="G1064" t="str">
            <v>完成贸易订单后有机会获得高等级宝石、高品质经验卷轴、高等级训练材料、精炼石、亲密度材料等道具。</v>
          </cell>
          <cell r="H1064" t="str">
            <v>item_box_14</v>
          </cell>
        </row>
        <row r="1065">
          <cell r="E1065" t="str">
            <v>斗士细剑</v>
          </cell>
          <cell r="F1065" t="str">
            <v>斗士细剑</v>
          </cell>
          <cell r="G1065" t="str">
            <v>通过本关后获得一件100级装备【斗士细剑】。</v>
          </cell>
          <cell r="H1065" t="str">
            <v>sjatk_28001</v>
          </cell>
        </row>
        <row r="1066">
          <cell r="E1066" t="str">
            <v>金冠</v>
          </cell>
          <cell r="F1066" t="str">
            <v>金冠</v>
          </cell>
          <cell r="G1066" t="str">
            <v>通过本关后获得一件100级装备【金冠】。</v>
          </cell>
          <cell r="H1066" t="str">
            <v>sjatk_28002</v>
          </cell>
        </row>
        <row r="1067">
          <cell r="E1067" t="str">
            <v>光绿戒指</v>
          </cell>
          <cell r="F1067" t="str">
            <v>光绿戒指</v>
          </cell>
          <cell r="G1067" t="str">
            <v>通过本关后获得一件100级装备【光绿戒指】。</v>
          </cell>
          <cell r="H1067" t="str">
            <v>sjatk_28003</v>
          </cell>
        </row>
        <row r="1068">
          <cell r="E1068" t="str">
            <v>红珍宝项链</v>
          </cell>
          <cell r="F1068" t="str">
            <v>红珍宝项链</v>
          </cell>
          <cell r="G1068" t="str">
            <v>通过本关后获得一件100级装备【红珍宝项链】。</v>
          </cell>
          <cell r="H1068" t="str">
            <v>sjatk_28004</v>
          </cell>
        </row>
        <row r="1069">
          <cell r="E1069" t="str">
            <v>战锤</v>
          </cell>
          <cell r="F1069" t="str">
            <v>战锤</v>
          </cell>
          <cell r="G1069" t="str">
            <v>通过本关后获得一件100级装备【战锤】。</v>
          </cell>
          <cell r="H1069" t="str">
            <v>sjdef_28001</v>
          </cell>
        </row>
        <row r="1070">
          <cell r="E1070" t="str">
            <v>卫兵尖盔</v>
          </cell>
          <cell r="F1070" t="str">
            <v>卫兵尖盔</v>
          </cell>
          <cell r="G1070" t="str">
            <v>通过本关后获得一件100级装备【卫兵尖盔】。</v>
          </cell>
          <cell r="H1070" t="str">
            <v>sjdef_28002</v>
          </cell>
        </row>
        <row r="1071">
          <cell r="E1071" t="str">
            <v>蓝水晶戒指</v>
          </cell>
          <cell r="F1071" t="str">
            <v>蓝水晶戒指</v>
          </cell>
          <cell r="G1071" t="str">
            <v>通过本关后获得一件100级装备【蓝水晶戒指】。</v>
          </cell>
          <cell r="H1071" t="str">
            <v>sjdef_28003</v>
          </cell>
        </row>
        <row r="1072">
          <cell r="E1072" t="str">
            <v>珠花项链</v>
          </cell>
          <cell r="F1072" t="str">
            <v>珠花项链</v>
          </cell>
          <cell r="G1072" t="str">
            <v>通过本关后获得一件100级装备【珠花项链】。</v>
          </cell>
          <cell r="H1072" t="str">
            <v>sjdef_28004</v>
          </cell>
        </row>
        <row r="1073">
          <cell r="E1073" t="str">
            <v>战斗枪</v>
          </cell>
          <cell r="F1073" t="str">
            <v>战斗枪</v>
          </cell>
          <cell r="G1073" t="str">
            <v>通过本关后获得一件100级装备【战斗枪】。</v>
          </cell>
          <cell r="H1073" t="str">
            <v>sjcom_28001</v>
          </cell>
        </row>
        <row r="1074">
          <cell r="E1074" t="str">
            <v>车长帽</v>
          </cell>
          <cell r="F1074" t="str">
            <v>车长帽</v>
          </cell>
          <cell r="G1074" t="str">
            <v>通过本关后获得一件100级装备【车长帽】。</v>
          </cell>
          <cell r="H1074" t="str">
            <v>sjcom_28002</v>
          </cell>
        </row>
        <row r="1075">
          <cell r="E1075" t="str">
            <v>红翡戒指</v>
          </cell>
          <cell r="F1075" t="str">
            <v>红翡戒指</v>
          </cell>
          <cell r="G1075" t="str">
            <v>通过本关后获得一件100级装备【红翡戒指】。</v>
          </cell>
          <cell r="H1075" t="str">
            <v>sjcom_28003</v>
          </cell>
        </row>
        <row r="1076">
          <cell r="E1076" t="str">
            <v>金珠之链</v>
          </cell>
          <cell r="F1076" t="str">
            <v>金珠之链</v>
          </cell>
          <cell r="G1076" t="str">
            <v>通过本关后获得一件100级装备【金珠之链】。</v>
          </cell>
          <cell r="H1076" t="str">
            <v>sjcom_28004</v>
          </cell>
        </row>
        <row r="1077">
          <cell r="E1077" t="str">
            <v>英雄·斗士细剑</v>
          </cell>
          <cell r="F1077" t="str">
            <v>英雄·斗士细剑</v>
          </cell>
          <cell r="G1077" t="str">
            <v>通过本关后有概率获得一件100级装备【英雄·斗士细剑】。</v>
          </cell>
          <cell r="H1077" t="str">
            <v>sjatk_28001</v>
          </cell>
        </row>
        <row r="1078">
          <cell r="E1078" t="str">
            <v>英雄·金冠</v>
          </cell>
          <cell r="F1078" t="str">
            <v>英雄·金冠</v>
          </cell>
          <cell r="G1078" t="str">
            <v>通过本关后有概率获得一件100级装备【英雄·金冠】。</v>
          </cell>
          <cell r="H1078" t="str">
            <v>sjatk_28002</v>
          </cell>
        </row>
        <row r="1079">
          <cell r="E1079" t="str">
            <v>英雄·光绿戒指</v>
          </cell>
          <cell r="F1079" t="str">
            <v>英雄·光绿戒指</v>
          </cell>
          <cell r="G1079" t="str">
            <v>通过本关后有概率获得一件100级装备【英雄·光绿戒指】。</v>
          </cell>
          <cell r="H1079" t="str">
            <v>sjatk_28003</v>
          </cell>
        </row>
        <row r="1080">
          <cell r="E1080" t="str">
            <v>英雄·红珍宝项链</v>
          </cell>
          <cell r="F1080" t="str">
            <v>英雄·红珍宝项链</v>
          </cell>
          <cell r="G1080" t="str">
            <v>通过本关后有概率获得一件100级装备【英雄·红珍宝项链】。</v>
          </cell>
          <cell r="H1080" t="str">
            <v>sjatk_28004</v>
          </cell>
        </row>
        <row r="1081">
          <cell r="E1081" t="str">
            <v>英雄·战锤</v>
          </cell>
          <cell r="F1081" t="str">
            <v>英雄·战锤</v>
          </cell>
          <cell r="G1081" t="str">
            <v>通过本关后有概率获得一件100级装备【英雄·战锤】。</v>
          </cell>
          <cell r="H1081" t="str">
            <v>sjdef_28001</v>
          </cell>
        </row>
        <row r="1082">
          <cell r="E1082" t="str">
            <v>英雄·卫兵尖盔</v>
          </cell>
          <cell r="F1082" t="str">
            <v>英雄·卫兵尖盔</v>
          </cell>
          <cell r="G1082" t="str">
            <v>通过本关后有概率获得一件100级装备【英雄·卫兵尖盔】。</v>
          </cell>
          <cell r="H1082" t="str">
            <v>sjdef_28002</v>
          </cell>
        </row>
        <row r="1083">
          <cell r="E1083" t="str">
            <v>英雄·蓝水晶戒指</v>
          </cell>
          <cell r="F1083" t="str">
            <v>英雄·蓝水晶戒指</v>
          </cell>
          <cell r="G1083" t="str">
            <v>通过本关后有概率获得一件100级装备【英雄·蓝水晶戒指】。</v>
          </cell>
          <cell r="H1083" t="str">
            <v>sjdef_28003</v>
          </cell>
        </row>
        <row r="1084">
          <cell r="E1084" t="str">
            <v>英雄·珠花项链</v>
          </cell>
          <cell r="F1084" t="str">
            <v>英雄·珠花项链</v>
          </cell>
          <cell r="G1084" t="str">
            <v>通过本关后有概率获得一件100级装备【英雄·珠花项链】。</v>
          </cell>
          <cell r="H1084" t="str">
            <v>sjdef_28004</v>
          </cell>
        </row>
        <row r="1085">
          <cell r="E1085" t="str">
            <v>英雄·战斗枪</v>
          </cell>
          <cell r="F1085" t="str">
            <v>英雄·战斗枪</v>
          </cell>
          <cell r="G1085" t="str">
            <v>通过本关后有概率获得一件100级装备【英雄·战斗枪】。</v>
          </cell>
          <cell r="H1085" t="str">
            <v>sjcom_28001</v>
          </cell>
        </row>
        <row r="1086">
          <cell r="E1086" t="str">
            <v>英雄·车长帽</v>
          </cell>
          <cell r="F1086" t="str">
            <v>英雄·车长帽</v>
          </cell>
          <cell r="G1086" t="str">
            <v>通过本关后有概率获得一件100级装备【英雄·车长帽】。</v>
          </cell>
          <cell r="H1086" t="str">
            <v>sjcom_28002</v>
          </cell>
        </row>
        <row r="1087">
          <cell r="E1087" t="str">
            <v>英雄·红翡戒指</v>
          </cell>
          <cell r="F1087" t="str">
            <v>英雄·红翡戒指</v>
          </cell>
          <cell r="G1087" t="str">
            <v>通过本关后有概率获得一件100级装备【英雄·红翡戒指】。</v>
          </cell>
          <cell r="H1087" t="str">
            <v>sjcom_28003</v>
          </cell>
        </row>
        <row r="1088">
          <cell r="E1088" t="str">
            <v>英雄·金珠之链</v>
          </cell>
          <cell r="F1088" t="str">
            <v>英雄·金珠之链</v>
          </cell>
          <cell r="G1088" t="str">
            <v>通过本关后有概率获得一件100级装备【英雄·金珠之链】。</v>
          </cell>
          <cell r="H1088" t="str">
            <v>sjcom_28004</v>
          </cell>
        </row>
        <row r="1089">
          <cell r="E1089" t="str">
            <v>英雄·提督长鞭</v>
          </cell>
          <cell r="F1089" t="str">
            <v>英雄·提督长鞭</v>
          </cell>
          <cell r="G1089" t="str">
            <v>通过本关后有概率获得一件100级装备【英雄·提督长鞭】。</v>
          </cell>
          <cell r="H1089" t="str">
            <v>tztd_1001</v>
          </cell>
        </row>
        <row r="1090">
          <cell r="E1090" t="str">
            <v>英雄·提督长袍</v>
          </cell>
          <cell r="F1090" t="str">
            <v>英雄·提督长袍</v>
          </cell>
          <cell r="G1090" t="str">
            <v>通过本关后有概率获得一件100级装备【英雄·提督长袍】。</v>
          </cell>
          <cell r="H1090" t="str">
            <v>tztd_1002</v>
          </cell>
        </row>
        <row r="1091">
          <cell r="E1091" t="str">
            <v>英雄·提督戒指</v>
          </cell>
          <cell r="F1091" t="str">
            <v>英雄·提督戒指</v>
          </cell>
          <cell r="G1091" t="str">
            <v>通过本关后有概率获得一件100级装备【英雄·提督戒指】。</v>
          </cell>
          <cell r="H1091" t="str">
            <v>tztd_1003</v>
          </cell>
        </row>
        <row r="1092">
          <cell r="E1092" t="str">
            <v>英雄·提督项链</v>
          </cell>
          <cell r="F1092" t="str">
            <v>英雄·提督项链</v>
          </cell>
          <cell r="G1092" t="str">
            <v>通过本关后有概率获得一件100级装备【英雄·提督项链】。</v>
          </cell>
          <cell r="H1092" t="str">
            <v>tztd_1004</v>
          </cell>
        </row>
        <row r="1093">
          <cell r="E1093" t="str">
            <v>英雄·绅士长杖</v>
          </cell>
          <cell r="F1093" t="str">
            <v>英雄·绅士长杖</v>
          </cell>
          <cell r="G1093" t="str">
            <v>通过本关后有概率获得一件100级装备【英雄·绅士长杖】。</v>
          </cell>
          <cell r="H1093" t="str">
            <v>tzss_1001</v>
          </cell>
        </row>
        <row r="1094">
          <cell r="E1094" t="str">
            <v>英雄·绅士礼服</v>
          </cell>
          <cell r="F1094" t="str">
            <v>英雄·绅士礼服</v>
          </cell>
          <cell r="G1094" t="str">
            <v>通过本关后有概率获得一件100级装备【英雄·绅士礼服】。</v>
          </cell>
          <cell r="H1094" t="str">
            <v>tzss_1002</v>
          </cell>
        </row>
        <row r="1095">
          <cell r="E1095" t="str">
            <v>英雄·绅士戒指</v>
          </cell>
          <cell r="F1095" t="str">
            <v>英雄·绅士戒指</v>
          </cell>
          <cell r="G1095" t="str">
            <v>通过本关后有概率获得一件100级装备【英雄·绅士戒指】。</v>
          </cell>
          <cell r="H1095" t="str">
            <v>tzss_1003</v>
          </cell>
        </row>
        <row r="1096">
          <cell r="E1096" t="str">
            <v>英雄·绅士项链</v>
          </cell>
          <cell r="F1096" t="str">
            <v>英雄·绅士项链</v>
          </cell>
          <cell r="G1096" t="str">
            <v>通过本关后有概率获得一件100级装备【英雄·绅士项链】。</v>
          </cell>
          <cell r="H1096" t="str">
            <v>tzss_1004</v>
          </cell>
        </row>
        <row r="1097">
          <cell r="E1097" t="str">
            <v>英雄·起航剑</v>
          </cell>
          <cell r="F1097" t="str">
            <v>英雄·起航剑</v>
          </cell>
          <cell r="G1097" t="str">
            <v>通过本关后有概率获得一件100级装备【英雄·起航剑】。</v>
          </cell>
          <cell r="H1097" t="str">
            <v>tzqh_8001</v>
          </cell>
        </row>
        <row r="1098">
          <cell r="E1098" t="str">
            <v>英雄·起航服</v>
          </cell>
          <cell r="F1098" t="str">
            <v>英雄·起航服</v>
          </cell>
          <cell r="G1098" t="str">
            <v>通过本关后有概率获得一件100级装备【英雄·起航服】。</v>
          </cell>
          <cell r="H1098" t="str">
            <v>tzqh_8002</v>
          </cell>
        </row>
        <row r="1099">
          <cell r="E1099" t="str">
            <v>英雄·起航戒指</v>
          </cell>
          <cell r="F1099" t="str">
            <v>英雄·起航戒指</v>
          </cell>
          <cell r="G1099" t="str">
            <v>通过本关后有概率获得一件100级装备【英雄·起航戒指】。</v>
          </cell>
          <cell r="H1099" t="str">
            <v>tzqh_8003</v>
          </cell>
        </row>
        <row r="1100">
          <cell r="E1100" t="str">
            <v>英雄·起航项链</v>
          </cell>
          <cell r="F1100" t="str">
            <v>英雄·起航项链</v>
          </cell>
          <cell r="G1100" t="str">
            <v>通过本关后有概率获得一件100级装备【英雄·起航项链】。</v>
          </cell>
          <cell r="H1100" t="str">
            <v>tzqh_8004</v>
          </cell>
        </row>
        <row r="1101">
          <cell r="E1101" t="str">
            <v>英雄·勇气剑</v>
          </cell>
          <cell r="F1101" t="str">
            <v>英雄·勇气剑</v>
          </cell>
          <cell r="G1101" t="str">
            <v>通过本关后有概率获得一件100级装备【英雄·勇气剑】。</v>
          </cell>
          <cell r="H1101" t="str">
            <v>tzyq_8001</v>
          </cell>
        </row>
        <row r="1102">
          <cell r="E1102" t="str">
            <v>英雄·勇气服</v>
          </cell>
          <cell r="F1102" t="str">
            <v>英雄·勇气服</v>
          </cell>
          <cell r="G1102" t="str">
            <v>通过本关后有概率获得一件100级装备【英雄·勇气服】。</v>
          </cell>
          <cell r="H1102" t="str">
            <v>tzyq_8002</v>
          </cell>
        </row>
        <row r="1103">
          <cell r="E1103" t="str">
            <v>英雄·勇气戒指</v>
          </cell>
          <cell r="F1103" t="str">
            <v>英雄·勇气戒指</v>
          </cell>
          <cell r="G1103" t="str">
            <v>通过本关后有概率获得一件100级装备【英雄·勇气戒指】。</v>
          </cell>
          <cell r="H1103" t="str">
            <v>tzyq_8003</v>
          </cell>
        </row>
        <row r="1104">
          <cell r="E1104" t="str">
            <v>英雄·勇气项链</v>
          </cell>
          <cell r="F1104" t="str">
            <v>英雄·勇气项链</v>
          </cell>
          <cell r="G1104" t="str">
            <v>通过本关后有概率获得一件100级装备【英雄·勇气项链】。</v>
          </cell>
          <cell r="H1104" t="str">
            <v>tzyq_8004</v>
          </cell>
        </row>
        <row r="1105">
          <cell r="E1105" t="str">
            <v>1级攻击红宝石</v>
          </cell>
          <cell r="F1105" t="str">
            <v>攻击宝石</v>
          </cell>
          <cell r="G1105" t="str">
            <v>镶嵌在装备上的攻击宝石，增加12点攻击力。</v>
          </cell>
          <cell r="H1105" t="str">
            <v>item_1100101</v>
          </cell>
        </row>
        <row r="1106">
          <cell r="E1106" t="str">
            <v>2级攻击红宝石</v>
          </cell>
          <cell r="F1106" t="str">
            <v>攻击宝石</v>
          </cell>
          <cell r="G1106" t="str">
            <v>镶嵌在装备上的攻击宝石，增加18点攻击力。</v>
          </cell>
          <cell r="H1106" t="str">
            <v>item_1100101</v>
          </cell>
        </row>
        <row r="1107">
          <cell r="E1107" t="str">
            <v>3级攻击红宝石</v>
          </cell>
          <cell r="F1107" t="str">
            <v>攻击宝石</v>
          </cell>
          <cell r="G1107" t="str">
            <v>镶嵌在装备上的攻击宝石，增加24点攻击力。</v>
          </cell>
          <cell r="H1107" t="str">
            <v>item_1100101</v>
          </cell>
        </row>
        <row r="1108">
          <cell r="E1108" t="str">
            <v>4级攻击红宝石</v>
          </cell>
          <cell r="F1108" t="str">
            <v>攻击宝石</v>
          </cell>
          <cell r="G1108" t="str">
            <v>镶嵌在装备上的攻击宝石，增加30点攻击力。</v>
          </cell>
          <cell r="H1108" t="str">
            <v>item_1100104</v>
          </cell>
        </row>
        <row r="1109">
          <cell r="E1109" t="str">
            <v>5级攻击红宝石</v>
          </cell>
          <cell r="F1109" t="str">
            <v>攻击宝石</v>
          </cell>
          <cell r="G1109" t="str">
            <v>镶嵌在装备上的攻击宝石，增加36点攻击力。</v>
          </cell>
          <cell r="H1109" t="str">
            <v>item_1100104</v>
          </cell>
        </row>
        <row r="1110">
          <cell r="E1110" t="str">
            <v>6级攻击红宝石</v>
          </cell>
          <cell r="F1110" t="str">
            <v>攻击宝石</v>
          </cell>
          <cell r="G1110" t="str">
            <v>镶嵌在装备上的攻击宝石，增加48点攻击力。</v>
          </cell>
          <cell r="H1110" t="str">
            <v>item_1100104</v>
          </cell>
        </row>
        <row r="1111">
          <cell r="E1111" t="str">
            <v>7级攻击红宝石</v>
          </cell>
          <cell r="F1111" t="str">
            <v>攻击宝石</v>
          </cell>
          <cell r="G1111" t="str">
            <v>镶嵌在装备上的攻击宝石，增加62点攻击力。</v>
          </cell>
          <cell r="H1111" t="str">
            <v>item_1100107</v>
          </cell>
        </row>
        <row r="1112">
          <cell r="E1112" t="str">
            <v>8级攻击红宝石</v>
          </cell>
          <cell r="F1112" t="str">
            <v>攻击宝石</v>
          </cell>
          <cell r="G1112" t="str">
            <v>镶嵌在装备上的攻击宝石，增加80点攻击力。</v>
          </cell>
          <cell r="H1112" t="str">
            <v>item_1100107</v>
          </cell>
        </row>
        <row r="1113">
          <cell r="E1113" t="str">
            <v>9级攻击红宝石</v>
          </cell>
          <cell r="F1113" t="str">
            <v>攻击宝石</v>
          </cell>
          <cell r="G1113" t="str">
            <v>镶嵌在装备上的攻击宝石，增加104点攻击力。</v>
          </cell>
          <cell r="H1113" t="str">
            <v>item_1100107</v>
          </cell>
        </row>
        <row r="1114">
          <cell r="E1114" t="str">
            <v>10级攻击红宝石</v>
          </cell>
          <cell r="F1114" t="str">
            <v>攻击宝石</v>
          </cell>
          <cell r="G1114" t="str">
            <v>镶嵌在装备上的攻击宝石，增加150点攻击力。</v>
          </cell>
          <cell r="H1114" t="str">
            <v>item_1100110</v>
          </cell>
        </row>
        <row r="1115">
          <cell r="E1115" t="str">
            <v>1级防御灰宝石</v>
          </cell>
          <cell r="F1115" t="str">
            <v>防御宝石</v>
          </cell>
          <cell r="G1115" t="str">
            <v>镶嵌在装备上的防御宝石，增加12点防御。</v>
          </cell>
          <cell r="H1115" t="str">
            <v>item_1100201</v>
          </cell>
        </row>
        <row r="1116">
          <cell r="E1116" t="str">
            <v>2级防御灰宝石</v>
          </cell>
          <cell r="F1116" t="str">
            <v>防御宝石</v>
          </cell>
          <cell r="G1116" t="str">
            <v>镶嵌在装备上的防御宝石，增加18点防御。</v>
          </cell>
          <cell r="H1116" t="str">
            <v>item_1100201</v>
          </cell>
        </row>
        <row r="1117">
          <cell r="E1117" t="str">
            <v>3级防御灰宝石</v>
          </cell>
          <cell r="F1117" t="str">
            <v>防御宝石</v>
          </cell>
          <cell r="G1117" t="str">
            <v>镶嵌在装备上的防御宝石，增加24点防御。</v>
          </cell>
          <cell r="H1117" t="str">
            <v>item_1100201</v>
          </cell>
        </row>
        <row r="1118">
          <cell r="E1118" t="str">
            <v>4级防御灰宝石</v>
          </cell>
          <cell r="F1118" t="str">
            <v>防御宝石</v>
          </cell>
          <cell r="G1118" t="str">
            <v>镶嵌在装备上的防御宝石，增加30点防御。</v>
          </cell>
          <cell r="H1118" t="str">
            <v>item_1100204</v>
          </cell>
        </row>
        <row r="1119">
          <cell r="E1119" t="str">
            <v>5级防御灰宝石</v>
          </cell>
          <cell r="F1119" t="str">
            <v>防御宝石</v>
          </cell>
          <cell r="G1119" t="str">
            <v>镶嵌在装备上的防御宝石，增加36点防御。</v>
          </cell>
          <cell r="H1119" t="str">
            <v>item_1100204</v>
          </cell>
        </row>
        <row r="1120">
          <cell r="E1120" t="str">
            <v>6级防御灰宝石</v>
          </cell>
          <cell r="F1120" t="str">
            <v>防御宝石</v>
          </cell>
          <cell r="G1120" t="str">
            <v>镶嵌在装备上的防御宝石，增加48点防御。</v>
          </cell>
          <cell r="H1120" t="str">
            <v>item_1100204</v>
          </cell>
        </row>
        <row r="1121">
          <cell r="E1121" t="str">
            <v>7级防御灰宝石</v>
          </cell>
          <cell r="F1121" t="str">
            <v>防御宝石</v>
          </cell>
          <cell r="G1121" t="str">
            <v>镶嵌在装备上的防御宝石，增加62点防御。</v>
          </cell>
          <cell r="H1121" t="str">
            <v>item_1100207</v>
          </cell>
        </row>
        <row r="1122">
          <cell r="E1122" t="str">
            <v>8级防御灰宝石</v>
          </cell>
          <cell r="F1122" t="str">
            <v>防御宝石</v>
          </cell>
          <cell r="G1122" t="str">
            <v>镶嵌在装备上的防御宝石，增加80点防御。</v>
          </cell>
          <cell r="H1122" t="str">
            <v>item_1100207</v>
          </cell>
        </row>
        <row r="1123">
          <cell r="E1123" t="str">
            <v>9级防御灰宝石</v>
          </cell>
          <cell r="F1123" t="str">
            <v>防御宝石</v>
          </cell>
          <cell r="G1123" t="str">
            <v>镶嵌在装备上的防御宝石，增加104点防御。</v>
          </cell>
          <cell r="H1123" t="str">
            <v>item_1100207</v>
          </cell>
        </row>
        <row r="1124">
          <cell r="E1124" t="str">
            <v>10级防御灰宝石</v>
          </cell>
          <cell r="F1124" t="str">
            <v>防御宝石</v>
          </cell>
          <cell r="G1124" t="str">
            <v>镶嵌在装备上的防御宝石，增加150点防御。</v>
          </cell>
          <cell r="H1124" t="str">
            <v>item_1100210</v>
          </cell>
        </row>
        <row r="1125">
          <cell r="E1125" t="str">
            <v>1级生命红宝石</v>
          </cell>
          <cell r="F1125" t="str">
            <v>生命宝石</v>
          </cell>
          <cell r="G1125" t="str">
            <v>镶嵌在装备上的生命宝石，增加160点血量。</v>
          </cell>
          <cell r="H1125" t="str">
            <v>item_1100301</v>
          </cell>
        </row>
        <row r="1126">
          <cell r="E1126" t="str">
            <v>2级生命红宝石</v>
          </cell>
          <cell r="F1126" t="str">
            <v>生命宝石</v>
          </cell>
          <cell r="G1126" t="str">
            <v>镶嵌在装备上的生命宝石，增加225点血量。</v>
          </cell>
          <cell r="H1126" t="str">
            <v>item_1100301</v>
          </cell>
        </row>
        <row r="1127">
          <cell r="E1127" t="str">
            <v>3级生命红宝石</v>
          </cell>
          <cell r="F1127" t="str">
            <v>生命宝石</v>
          </cell>
          <cell r="G1127" t="str">
            <v>镶嵌在装备上的生命宝石，增加285点血量。</v>
          </cell>
          <cell r="H1127" t="str">
            <v>item_1100301</v>
          </cell>
        </row>
        <row r="1128">
          <cell r="E1128" t="str">
            <v>4级生命红宝石</v>
          </cell>
          <cell r="F1128" t="str">
            <v>生命宝石</v>
          </cell>
          <cell r="G1128" t="str">
            <v>镶嵌在装备上的生命宝石，增加360点血量。</v>
          </cell>
          <cell r="H1128" t="str">
            <v>item_1100304</v>
          </cell>
        </row>
        <row r="1129">
          <cell r="E1129" t="str">
            <v>5级生命红宝石</v>
          </cell>
          <cell r="F1129" t="str">
            <v>生命宝石</v>
          </cell>
          <cell r="G1129" t="str">
            <v>镶嵌在装备上的生命宝石，增加450点血量。</v>
          </cell>
          <cell r="H1129" t="str">
            <v>item_1100304</v>
          </cell>
        </row>
        <row r="1130">
          <cell r="E1130" t="str">
            <v>6级生命红宝石</v>
          </cell>
          <cell r="F1130" t="str">
            <v>生命宝石</v>
          </cell>
          <cell r="G1130" t="str">
            <v>镶嵌在装备上的生命宝石，增加575点血量。</v>
          </cell>
          <cell r="H1130" t="str">
            <v>item_1100304</v>
          </cell>
        </row>
        <row r="1131">
          <cell r="E1131" t="str">
            <v>7级生命红宝石</v>
          </cell>
          <cell r="F1131" t="str">
            <v>生命宝石</v>
          </cell>
          <cell r="G1131" t="str">
            <v>镶嵌在装备上的生命宝石，增加755点血量。</v>
          </cell>
          <cell r="H1131" t="str">
            <v>item_1100307</v>
          </cell>
        </row>
        <row r="1132">
          <cell r="E1132" t="str">
            <v>8级生命红宝石</v>
          </cell>
          <cell r="F1132" t="str">
            <v>生命宝石</v>
          </cell>
          <cell r="G1132" t="str">
            <v>镶嵌在装备上的生命宝石，增加970点血量。</v>
          </cell>
          <cell r="H1132" t="str">
            <v>item_1100307</v>
          </cell>
        </row>
        <row r="1133">
          <cell r="E1133" t="str">
            <v>9级生命红宝石</v>
          </cell>
          <cell r="F1133" t="str">
            <v>生命宝石</v>
          </cell>
          <cell r="G1133" t="str">
            <v>镶嵌在装备上的生命宝石，增加1260点血量。</v>
          </cell>
          <cell r="H1133" t="str">
            <v>item_1100307</v>
          </cell>
        </row>
        <row r="1134">
          <cell r="E1134" t="str">
            <v>10级生命红宝石</v>
          </cell>
          <cell r="F1134" t="str">
            <v>生命宝石</v>
          </cell>
          <cell r="G1134" t="str">
            <v>镶嵌在装备上的生命宝石，增加1800点血量。</v>
          </cell>
          <cell r="H1134" t="str">
            <v>item_1100310</v>
          </cell>
        </row>
        <row r="1135">
          <cell r="E1135" t="str">
            <v>1级速度蓝宝石</v>
          </cell>
          <cell r="F1135" t="str">
            <v>速度宝石</v>
          </cell>
          <cell r="G1135" t="str">
            <v>镶嵌在装备上的速度宝石，增加2点速度。</v>
          </cell>
          <cell r="H1135" t="str">
            <v>item_1100401</v>
          </cell>
        </row>
        <row r="1136">
          <cell r="E1136" t="str">
            <v>2级速度蓝宝石</v>
          </cell>
          <cell r="F1136" t="str">
            <v>速度宝石</v>
          </cell>
          <cell r="G1136" t="str">
            <v>镶嵌在装备上的速度宝石，增加3点速度。</v>
          </cell>
          <cell r="H1136" t="str">
            <v>item_1100401</v>
          </cell>
        </row>
        <row r="1137">
          <cell r="E1137" t="str">
            <v>3级速度蓝宝石</v>
          </cell>
          <cell r="F1137" t="str">
            <v>速度宝石</v>
          </cell>
          <cell r="G1137" t="str">
            <v>镶嵌在装备上的速度宝石，增加4点速度。</v>
          </cell>
          <cell r="H1137" t="str">
            <v>item_1100401</v>
          </cell>
        </row>
        <row r="1138">
          <cell r="E1138" t="str">
            <v>4级速度蓝宝石</v>
          </cell>
          <cell r="F1138" t="str">
            <v>速度宝石</v>
          </cell>
          <cell r="G1138" t="str">
            <v>镶嵌在装备上的速度宝石，增加6点速度。</v>
          </cell>
          <cell r="H1138" t="str">
            <v>item_1100404</v>
          </cell>
        </row>
        <row r="1139">
          <cell r="E1139" t="str">
            <v>5级速度蓝宝石</v>
          </cell>
          <cell r="F1139" t="str">
            <v>速度宝石</v>
          </cell>
          <cell r="G1139" t="str">
            <v>镶嵌在装备上的速度宝石，增加7点速度。</v>
          </cell>
          <cell r="H1139" t="str">
            <v>item_1100404</v>
          </cell>
        </row>
        <row r="1140">
          <cell r="E1140" t="str">
            <v>6级速度蓝宝石</v>
          </cell>
          <cell r="F1140" t="str">
            <v>速度宝石</v>
          </cell>
          <cell r="G1140" t="str">
            <v>镶嵌在装备上的速度宝石，增加9点速度。</v>
          </cell>
          <cell r="H1140" t="str">
            <v>item_1100404</v>
          </cell>
        </row>
        <row r="1141">
          <cell r="E1141" t="str">
            <v>7级速度蓝宝石</v>
          </cell>
          <cell r="F1141" t="str">
            <v>速度宝石</v>
          </cell>
          <cell r="G1141" t="str">
            <v>镶嵌在装备上的速度宝石，增加12点速度。</v>
          </cell>
          <cell r="H1141" t="str">
            <v>item_1100407</v>
          </cell>
        </row>
        <row r="1142">
          <cell r="E1142" t="str">
            <v>8级速度蓝宝石</v>
          </cell>
          <cell r="F1142" t="str">
            <v>速度宝石</v>
          </cell>
          <cell r="G1142" t="str">
            <v>镶嵌在装备上的速度宝石，增加16点速度。</v>
          </cell>
          <cell r="H1142" t="str">
            <v>item_1100407</v>
          </cell>
        </row>
        <row r="1143">
          <cell r="E1143" t="str">
            <v>9级速度蓝宝石</v>
          </cell>
          <cell r="F1143" t="str">
            <v>速度宝石</v>
          </cell>
          <cell r="G1143" t="str">
            <v>镶嵌在装备上的速度宝石，增加21点速度。</v>
          </cell>
          <cell r="H1143" t="str">
            <v>item_1100407</v>
          </cell>
        </row>
        <row r="1144">
          <cell r="E1144" t="str">
            <v>10级速度蓝宝石</v>
          </cell>
          <cell r="F1144" t="str">
            <v>速度宝石</v>
          </cell>
          <cell r="G1144" t="str">
            <v>镶嵌在装备上的速度宝石，增加30点速度。</v>
          </cell>
          <cell r="H1144" t="str">
            <v>item_1100410</v>
          </cell>
        </row>
        <row r="1145">
          <cell r="E1145" t="str">
            <v>1级精准紫宝石</v>
          </cell>
          <cell r="F1145" t="str">
            <v>精准宝石</v>
          </cell>
          <cell r="G1145" t="str">
            <v>镶嵌在装备上的精准宝石，增加5命中值。</v>
          </cell>
          <cell r="H1145" t="str">
            <v>item_1100501</v>
          </cell>
        </row>
        <row r="1146">
          <cell r="E1146" t="str">
            <v>2级精准紫宝石</v>
          </cell>
          <cell r="F1146" t="str">
            <v>精准宝石</v>
          </cell>
          <cell r="G1146" t="str">
            <v>镶嵌在装备上的精准宝石，增加8命中值。</v>
          </cell>
          <cell r="H1146" t="str">
            <v>item_1100501</v>
          </cell>
        </row>
        <row r="1147">
          <cell r="E1147" t="str">
            <v>3级精准紫宝石</v>
          </cell>
          <cell r="F1147" t="str">
            <v>精准宝石</v>
          </cell>
          <cell r="G1147" t="str">
            <v>镶嵌在装备上的精准宝石，增加10命中值。</v>
          </cell>
          <cell r="H1147" t="str">
            <v>item_1100501</v>
          </cell>
        </row>
        <row r="1148">
          <cell r="E1148" t="str">
            <v>4级精准紫宝石</v>
          </cell>
          <cell r="F1148" t="str">
            <v>精准宝石</v>
          </cell>
          <cell r="G1148" t="str">
            <v>镶嵌在装备上的精准宝石，增加13命中值。</v>
          </cell>
          <cell r="H1148" t="str">
            <v>item_1100504</v>
          </cell>
        </row>
        <row r="1149">
          <cell r="E1149" t="str">
            <v>5级精准紫宝石</v>
          </cell>
          <cell r="F1149" t="str">
            <v>精准宝石</v>
          </cell>
          <cell r="G1149" t="str">
            <v>镶嵌在装备上的精准宝石，增加16命中值。</v>
          </cell>
          <cell r="H1149" t="str">
            <v>item_1100504</v>
          </cell>
        </row>
        <row r="1150">
          <cell r="E1150" t="str">
            <v>6级精准紫宝石</v>
          </cell>
          <cell r="F1150" t="str">
            <v>精准宝石</v>
          </cell>
          <cell r="G1150" t="str">
            <v>镶嵌在装备上的精准宝石，增加20命中值。</v>
          </cell>
          <cell r="H1150" t="str">
            <v>item_1100504</v>
          </cell>
        </row>
        <row r="1151">
          <cell r="E1151" t="str">
            <v>7级精准紫宝石</v>
          </cell>
          <cell r="F1151" t="str">
            <v>精准宝石</v>
          </cell>
          <cell r="G1151" t="str">
            <v>镶嵌在装备上的精准宝石，增加26命中值。</v>
          </cell>
          <cell r="H1151" t="str">
            <v>item_1100507</v>
          </cell>
        </row>
        <row r="1152">
          <cell r="E1152" t="str">
            <v>8级精准紫宝石</v>
          </cell>
          <cell r="F1152" t="str">
            <v>精准宝石</v>
          </cell>
          <cell r="G1152" t="str">
            <v>镶嵌在装备上的精准宝石，增加35命中值。</v>
          </cell>
          <cell r="H1152" t="str">
            <v>item_1100507</v>
          </cell>
        </row>
        <row r="1153">
          <cell r="E1153" t="str">
            <v>9级精准紫宝石</v>
          </cell>
          <cell r="F1153" t="str">
            <v>精准宝石</v>
          </cell>
          <cell r="G1153" t="str">
            <v>镶嵌在装备上的精准宝石，增加46命中值。</v>
          </cell>
          <cell r="H1153" t="str">
            <v>item_1100507</v>
          </cell>
        </row>
        <row r="1154">
          <cell r="E1154" t="str">
            <v>10级精准紫宝石</v>
          </cell>
          <cell r="F1154" t="str">
            <v>精准宝石</v>
          </cell>
          <cell r="G1154" t="str">
            <v>镶嵌在装备上的精准宝石，增加66命中值。</v>
          </cell>
          <cell r="H1154" t="str">
            <v>item_1100510</v>
          </cell>
        </row>
        <row r="1155">
          <cell r="E1155" t="str">
            <v>1级闪避蓝宝石</v>
          </cell>
          <cell r="F1155" t="str">
            <v>闪避宝石</v>
          </cell>
          <cell r="G1155" t="str">
            <v>镶嵌在装备上的闪避宝石，增加5闪避值。</v>
          </cell>
          <cell r="H1155" t="str">
            <v>item_1100601</v>
          </cell>
        </row>
        <row r="1156">
          <cell r="E1156" t="str">
            <v>2级闪避蓝宝石</v>
          </cell>
          <cell r="F1156" t="str">
            <v>闪避宝石</v>
          </cell>
          <cell r="G1156" t="str">
            <v>镶嵌在装备上的闪避宝石，增加8闪避值。</v>
          </cell>
          <cell r="H1156" t="str">
            <v>item_1100601</v>
          </cell>
        </row>
        <row r="1157">
          <cell r="E1157" t="str">
            <v>3级闪避蓝宝石</v>
          </cell>
          <cell r="F1157" t="str">
            <v>闪避宝石</v>
          </cell>
          <cell r="G1157" t="str">
            <v>镶嵌在装备上的闪避宝石，增加10闪避值。</v>
          </cell>
          <cell r="H1157" t="str">
            <v>item_1100601</v>
          </cell>
        </row>
        <row r="1158">
          <cell r="E1158" t="str">
            <v>4级闪避蓝宝石</v>
          </cell>
          <cell r="F1158" t="str">
            <v>闪避宝石</v>
          </cell>
          <cell r="G1158" t="str">
            <v>镶嵌在装备上的闪避宝石，增加13闪避值。</v>
          </cell>
          <cell r="H1158" t="str">
            <v>item_1100604</v>
          </cell>
        </row>
        <row r="1159">
          <cell r="E1159" t="str">
            <v>5级闪避蓝宝石</v>
          </cell>
          <cell r="F1159" t="str">
            <v>闪避宝石</v>
          </cell>
          <cell r="G1159" t="str">
            <v>镶嵌在装备上的闪避宝石，增加16闪避值。</v>
          </cell>
          <cell r="H1159" t="str">
            <v>item_1100604</v>
          </cell>
        </row>
        <row r="1160">
          <cell r="E1160" t="str">
            <v>6级闪避蓝宝石</v>
          </cell>
          <cell r="F1160" t="str">
            <v>闪避宝石</v>
          </cell>
          <cell r="G1160" t="str">
            <v>镶嵌在装备上的闪避宝石，增加20闪避值。</v>
          </cell>
          <cell r="H1160" t="str">
            <v>item_1100604</v>
          </cell>
        </row>
        <row r="1161">
          <cell r="E1161" t="str">
            <v>7级闪避蓝宝石</v>
          </cell>
          <cell r="F1161" t="str">
            <v>闪避宝石</v>
          </cell>
          <cell r="G1161" t="str">
            <v>镶嵌在装备上的闪避宝石，增加26闪避值。</v>
          </cell>
          <cell r="H1161" t="str">
            <v>item_1100607</v>
          </cell>
        </row>
        <row r="1162">
          <cell r="E1162" t="str">
            <v>8级闪避蓝宝石</v>
          </cell>
          <cell r="F1162" t="str">
            <v>闪避宝石</v>
          </cell>
          <cell r="G1162" t="str">
            <v>镶嵌在装备上的闪避宝石，增加35闪避值。</v>
          </cell>
          <cell r="H1162" t="str">
            <v>item_1100607</v>
          </cell>
        </row>
        <row r="1163">
          <cell r="E1163" t="str">
            <v>9级闪避蓝宝石</v>
          </cell>
          <cell r="F1163" t="str">
            <v>闪避宝石</v>
          </cell>
          <cell r="G1163" t="str">
            <v>镶嵌在装备上的闪避宝石，增加46闪避值。</v>
          </cell>
          <cell r="H1163" t="str">
            <v>item_1100607</v>
          </cell>
        </row>
        <row r="1164">
          <cell r="E1164" t="str">
            <v>10级闪避蓝宝石</v>
          </cell>
          <cell r="F1164" t="str">
            <v>闪避宝石</v>
          </cell>
          <cell r="G1164" t="str">
            <v>镶嵌在装备上的闪避宝石，增加66闪避值。</v>
          </cell>
          <cell r="H1164" t="str">
            <v>item_1100610</v>
          </cell>
        </row>
        <row r="1165">
          <cell r="E1165" t="str">
            <v>1级暴击黄宝石</v>
          </cell>
          <cell r="F1165" t="str">
            <v>暴击宝石</v>
          </cell>
          <cell r="G1165" t="str">
            <v>镶嵌在装备上的暴击宝石，增加3暴击值。</v>
          </cell>
          <cell r="H1165" t="str">
            <v>item_1100701</v>
          </cell>
        </row>
        <row r="1166">
          <cell r="E1166" t="str">
            <v>2级暴击黄宝石</v>
          </cell>
          <cell r="F1166" t="str">
            <v>暴击宝石</v>
          </cell>
          <cell r="G1166" t="str">
            <v>镶嵌在装备上的暴击宝石，增加5暴击值。</v>
          </cell>
          <cell r="H1166" t="str">
            <v>item_1100701</v>
          </cell>
        </row>
        <row r="1167">
          <cell r="E1167" t="str">
            <v>3级暴击黄宝石</v>
          </cell>
          <cell r="F1167" t="str">
            <v>暴击宝石</v>
          </cell>
          <cell r="G1167" t="str">
            <v>镶嵌在装备上的暴击宝石，增加7暴击值。</v>
          </cell>
          <cell r="H1167" t="str">
            <v>item_1100701</v>
          </cell>
        </row>
        <row r="1168">
          <cell r="E1168" t="str">
            <v>4级暴击黄宝石</v>
          </cell>
          <cell r="F1168" t="str">
            <v>暴击宝石</v>
          </cell>
          <cell r="G1168" t="str">
            <v>镶嵌在装备上的暴击宝石，增加10暴击值。</v>
          </cell>
          <cell r="H1168" t="str">
            <v>item_1100704</v>
          </cell>
        </row>
        <row r="1169">
          <cell r="E1169" t="str">
            <v>5级暴击黄宝石</v>
          </cell>
          <cell r="F1169" t="str">
            <v>暴击宝石</v>
          </cell>
          <cell r="G1169" t="str">
            <v>镶嵌在装备上的暴击宝石，增加12暴击值。</v>
          </cell>
          <cell r="H1169" t="str">
            <v>item_1100704</v>
          </cell>
        </row>
        <row r="1170">
          <cell r="E1170" t="str">
            <v>6级暴击黄宝石</v>
          </cell>
          <cell r="F1170" t="str">
            <v>暴击宝石</v>
          </cell>
          <cell r="G1170" t="str">
            <v>镶嵌在装备上的暴击宝石，增加15暴击值。</v>
          </cell>
          <cell r="H1170" t="str">
            <v>item_1100704</v>
          </cell>
        </row>
        <row r="1171">
          <cell r="E1171" t="str">
            <v>7级暴击黄宝石</v>
          </cell>
          <cell r="F1171" t="str">
            <v>暴击宝石</v>
          </cell>
          <cell r="G1171" t="str">
            <v>镶嵌在装备上的暴击宝石，增加20暴击值。</v>
          </cell>
          <cell r="H1171" t="str">
            <v>item_1100707</v>
          </cell>
        </row>
        <row r="1172">
          <cell r="E1172" t="str">
            <v>8级暴击黄宝石</v>
          </cell>
          <cell r="F1172" t="str">
            <v>暴击宝石</v>
          </cell>
          <cell r="G1172" t="str">
            <v>镶嵌在装备上的暴击宝石，增加26暴击值。</v>
          </cell>
          <cell r="H1172" t="str">
            <v>item_1100707</v>
          </cell>
        </row>
        <row r="1173">
          <cell r="E1173" t="str">
            <v>9级暴击黄宝石</v>
          </cell>
          <cell r="F1173" t="str">
            <v>暴击宝石</v>
          </cell>
          <cell r="G1173" t="str">
            <v>镶嵌在装备上的暴击宝石，增加35暴击值。</v>
          </cell>
          <cell r="H1173" t="str">
            <v>item_1100707</v>
          </cell>
        </row>
        <row r="1174">
          <cell r="E1174" t="str">
            <v>10级暴击黄宝石</v>
          </cell>
          <cell r="F1174" t="str">
            <v>暴击宝石</v>
          </cell>
          <cell r="G1174" t="str">
            <v>镶嵌在装备上的暴击宝石，增加49暴击值。</v>
          </cell>
          <cell r="H1174" t="str">
            <v>item_1100710</v>
          </cell>
        </row>
        <row r="1175">
          <cell r="E1175" t="str">
            <v>1级抗暴蓝宝石</v>
          </cell>
          <cell r="F1175" t="str">
            <v>抗暴宝石</v>
          </cell>
          <cell r="G1175" t="str">
            <v>镶嵌在装备上的抗暴宝石，增加3韧性值。</v>
          </cell>
          <cell r="H1175" t="str">
            <v>item_1100801</v>
          </cell>
        </row>
        <row r="1176">
          <cell r="E1176" t="str">
            <v>2级抗暴蓝宝石</v>
          </cell>
          <cell r="F1176" t="str">
            <v>抗暴宝石</v>
          </cell>
          <cell r="G1176" t="str">
            <v>镶嵌在装备上的抗暴宝石，增加5韧性值。</v>
          </cell>
          <cell r="H1176" t="str">
            <v>item_1100801</v>
          </cell>
        </row>
        <row r="1177">
          <cell r="E1177" t="str">
            <v>3级抗暴蓝宝石</v>
          </cell>
          <cell r="F1177" t="str">
            <v>抗暴宝石</v>
          </cell>
          <cell r="G1177" t="str">
            <v>镶嵌在装备上的抗暴宝石，增加7韧性值。</v>
          </cell>
          <cell r="H1177" t="str">
            <v>item_1100801</v>
          </cell>
        </row>
        <row r="1178">
          <cell r="E1178" t="str">
            <v>4级抗暴蓝宝石</v>
          </cell>
          <cell r="F1178" t="str">
            <v>抗暴宝石</v>
          </cell>
          <cell r="G1178" t="str">
            <v>镶嵌在装备上的抗暴宝石，增加10韧性值。</v>
          </cell>
          <cell r="H1178" t="str">
            <v>item_1100804</v>
          </cell>
        </row>
        <row r="1179">
          <cell r="E1179" t="str">
            <v>5级抗暴蓝宝石</v>
          </cell>
          <cell r="F1179" t="str">
            <v>抗暴宝石</v>
          </cell>
          <cell r="G1179" t="str">
            <v>镶嵌在装备上的抗暴宝石，增加12韧性值。</v>
          </cell>
          <cell r="H1179" t="str">
            <v>item_1100804</v>
          </cell>
        </row>
        <row r="1180">
          <cell r="E1180" t="str">
            <v>6级抗暴蓝宝石</v>
          </cell>
          <cell r="F1180" t="str">
            <v>抗暴宝石</v>
          </cell>
          <cell r="G1180" t="str">
            <v>镶嵌在装备上的抗暴宝石，增加15韧性值。</v>
          </cell>
          <cell r="H1180" t="str">
            <v>item_1100804</v>
          </cell>
        </row>
        <row r="1181">
          <cell r="E1181" t="str">
            <v>7级抗暴蓝宝石</v>
          </cell>
          <cell r="F1181" t="str">
            <v>抗暴宝石</v>
          </cell>
          <cell r="G1181" t="str">
            <v>镶嵌在装备上的抗暴宝石，增加20韧性值。</v>
          </cell>
          <cell r="H1181" t="str">
            <v>item_1100807</v>
          </cell>
        </row>
        <row r="1182">
          <cell r="E1182" t="str">
            <v>8级抗暴蓝宝石</v>
          </cell>
          <cell r="F1182" t="str">
            <v>抗暴宝石</v>
          </cell>
          <cell r="G1182" t="str">
            <v>镶嵌在装备上的抗暴宝石，增加26韧性值。</v>
          </cell>
          <cell r="H1182" t="str">
            <v>item_1100807</v>
          </cell>
        </row>
        <row r="1183">
          <cell r="E1183" t="str">
            <v>9级抗暴蓝宝石</v>
          </cell>
          <cell r="F1183" t="str">
            <v>抗暴宝石</v>
          </cell>
          <cell r="G1183" t="str">
            <v>镶嵌在装备上的抗暴宝石，增加35韧性值。</v>
          </cell>
          <cell r="H1183" t="str">
            <v>item_1100807</v>
          </cell>
        </row>
        <row r="1184">
          <cell r="E1184" t="str">
            <v>10级抗暴蓝宝石</v>
          </cell>
          <cell r="F1184" t="str">
            <v>抗暴宝石</v>
          </cell>
          <cell r="G1184" t="str">
            <v>镶嵌在装备上的抗暴宝石，增加49韧性值。</v>
          </cell>
          <cell r="H1184" t="str">
            <v>item_1100810</v>
          </cell>
        </row>
        <row r="1185">
          <cell r="E1185" t="str">
            <v>1级暴伤黄宝石</v>
          </cell>
          <cell r="F1185" t="str">
            <v>暴伤宝石</v>
          </cell>
          <cell r="G1185" t="str">
            <v>镶嵌在装备上的暴伤宝石，增加0.7%暴击伤害。</v>
          </cell>
          <cell r="H1185" t="str">
            <v>item_1100901</v>
          </cell>
        </row>
        <row r="1186">
          <cell r="E1186" t="str">
            <v>2级暴伤黄宝石</v>
          </cell>
          <cell r="F1186" t="str">
            <v>暴伤宝石</v>
          </cell>
          <cell r="G1186" t="str">
            <v>镶嵌在装备上的暴伤宝石，增加1.0%暴击伤害。</v>
          </cell>
          <cell r="H1186" t="str">
            <v>item_1100901</v>
          </cell>
        </row>
        <row r="1187">
          <cell r="E1187" t="str">
            <v>3级暴伤黄宝石</v>
          </cell>
          <cell r="F1187" t="str">
            <v>暴伤宝石</v>
          </cell>
          <cell r="G1187" t="str">
            <v>镶嵌在装备上的暴伤宝石，增加1.2%暴击伤害。</v>
          </cell>
          <cell r="H1187" t="str">
            <v>item_1100901</v>
          </cell>
        </row>
        <row r="1188">
          <cell r="E1188" t="str">
            <v>4级暴伤黄宝石</v>
          </cell>
          <cell r="F1188" t="str">
            <v>暴伤宝石</v>
          </cell>
          <cell r="G1188" t="str">
            <v>镶嵌在装备上的暴伤宝石，增加1.6%暴击伤害。</v>
          </cell>
          <cell r="H1188" t="str">
            <v>item_1100904</v>
          </cell>
        </row>
        <row r="1189">
          <cell r="E1189" t="str">
            <v>5级暴伤黄宝石</v>
          </cell>
          <cell r="F1189" t="str">
            <v>暴伤宝石</v>
          </cell>
          <cell r="G1189" t="str">
            <v>镶嵌在装备上的暴伤宝石，增加2.0%暴击伤害。</v>
          </cell>
          <cell r="H1189" t="str">
            <v>item_1100904</v>
          </cell>
        </row>
        <row r="1190">
          <cell r="E1190" t="str">
            <v>6级暴伤黄宝石</v>
          </cell>
          <cell r="F1190" t="str">
            <v>暴伤宝石</v>
          </cell>
          <cell r="G1190" t="str">
            <v>镶嵌在装备上的暴伤宝石，增加2.5%暴击伤害。</v>
          </cell>
          <cell r="H1190" t="str">
            <v>item_1100904</v>
          </cell>
        </row>
        <row r="1191">
          <cell r="E1191" t="str">
            <v>7级暴伤黄宝石</v>
          </cell>
          <cell r="F1191" t="str">
            <v>暴伤宝石</v>
          </cell>
          <cell r="G1191" t="str">
            <v>镶嵌在装备上的暴伤宝石，增加3.3%暴击伤害。</v>
          </cell>
          <cell r="H1191" t="str">
            <v>item_1100907</v>
          </cell>
        </row>
        <row r="1192">
          <cell r="E1192" t="str">
            <v>8级暴伤黄宝石</v>
          </cell>
          <cell r="F1192" t="str">
            <v>暴伤宝石</v>
          </cell>
          <cell r="G1192" t="str">
            <v>镶嵌在装备上的暴伤宝石，增加4.3%暴击伤害。</v>
          </cell>
          <cell r="H1192" t="str">
            <v>item_1100907</v>
          </cell>
        </row>
        <row r="1193">
          <cell r="E1193" t="str">
            <v>9级暴伤黄宝石</v>
          </cell>
          <cell r="F1193" t="str">
            <v>暴伤宝石</v>
          </cell>
          <cell r="G1193" t="str">
            <v>镶嵌在装备上的暴伤宝石，增加5.6%暴击伤害。</v>
          </cell>
          <cell r="H1193" t="str">
            <v>item_1100907</v>
          </cell>
        </row>
        <row r="1194">
          <cell r="E1194" t="str">
            <v>10级暴伤黄宝石</v>
          </cell>
          <cell r="F1194" t="str">
            <v>暴伤宝石</v>
          </cell>
          <cell r="G1194" t="str">
            <v>镶嵌在装备上的暴伤宝石，增加8.0%暴击伤害。</v>
          </cell>
          <cell r="H1194" t="str">
            <v>item_1100910</v>
          </cell>
        </row>
        <row r="1195">
          <cell r="E1195" t="str">
            <v>1级怒气红宝石</v>
          </cell>
          <cell r="F1195" t="str">
            <v>怒气宝石</v>
          </cell>
          <cell r="G1195" t="str">
            <v>镶嵌在装备上的怒气宝石，增加0.5点初始怒气。</v>
          </cell>
          <cell r="H1195" t="str">
            <v>item_1101001</v>
          </cell>
        </row>
        <row r="1196">
          <cell r="E1196" t="str">
            <v>2级怒气红宝石</v>
          </cell>
          <cell r="F1196" t="str">
            <v>怒气宝石</v>
          </cell>
          <cell r="G1196" t="str">
            <v>镶嵌在装备上的怒气宝石，增加1点初始怒气。</v>
          </cell>
          <cell r="H1196" t="str">
            <v>item_1101001</v>
          </cell>
        </row>
        <row r="1197">
          <cell r="E1197" t="str">
            <v>3级怒气红宝石</v>
          </cell>
          <cell r="F1197" t="str">
            <v>怒气宝石</v>
          </cell>
          <cell r="G1197" t="str">
            <v>镶嵌在装备上的怒气宝石，增加1.5点初始怒气。</v>
          </cell>
          <cell r="H1197" t="str">
            <v>item_1101001</v>
          </cell>
        </row>
        <row r="1198">
          <cell r="E1198" t="str">
            <v>4级怒气红宝石</v>
          </cell>
          <cell r="F1198" t="str">
            <v>怒气宝石</v>
          </cell>
          <cell r="G1198" t="str">
            <v>镶嵌在装备上的怒气宝石，增加2点初始怒气。</v>
          </cell>
          <cell r="H1198" t="str">
            <v>item_1101004</v>
          </cell>
        </row>
        <row r="1199">
          <cell r="E1199" t="str">
            <v>5级怒气红宝石</v>
          </cell>
          <cell r="F1199" t="str">
            <v>怒气宝石</v>
          </cell>
          <cell r="G1199" t="str">
            <v>镶嵌在装备上的怒气宝石，增加2.5点初始怒气。</v>
          </cell>
          <cell r="H1199" t="str">
            <v>item_1101004</v>
          </cell>
        </row>
        <row r="1200">
          <cell r="E1200" t="str">
            <v>6级怒气红宝石</v>
          </cell>
          <cell r="F1200" t="str">
            <v>怒气宝石</v>
          </cell>
          <cell r="G1200" t="str">
            <v>镶嵌在装备上的怒气宝石，增加3点初始怒气。</v>
          </cell>
          <cell r="H1200" t="str">
            <v>item_1101004</v>
          </cell>
        </row>
        <row r="1201">
          <cell r="E1201" t="str">
            <v>7级怒气红宝石</v>
          </cell>
          <cell r="F1201" t="str">
            <v>怒气宝石</v>
          </cell>
          <cell r="G1201" t="str">
            <v>镶嵌在装备上的怒气宝石，增加3.5点初始怒气。</v>
          </cell>
          <cell r="H1201" t="str">
            <v>item_1101007</v>
          </cell>
        </row>
        <row r="1202">
          <cell r="E1202" t="str">
            <v>8级怒气红宝石</v>
          </cell>
          <cell r="F1202" t="str">
            <v>怒气宝石</v>
          </cell>
          <cell r="G1202" t="str">
            <v>镶嵌在装备上的怒气宝石，增加4点初始怒气。</v>
          </cell>
          <cell r="H1202" t="str">
            <v>item_1101007</v>
          </cell>
        </row>
        <row r="1203">
          <cell r="E1203" t="str">
            <v>9级怒气红宝石</v>
          </cell>
          <cell r="F1203" t="str">
            <v>怒气宝石</v>
          </cell>
          <cell r="G1203" t="str">
            <v>镶嵌在装备上的怒气宝石，增加4.5点初始怒气。</v>
          </cell>
          <cell r="H1203" t="str">
            <v>item_1101007</v>
          </cell>
        </row>
        <row r="1204">
          <cell r="E1204" t="str">
            <v>10级怒气红宝石</v>
          </cell>
          <cell r="F1204" t="str">
            <v>怒气宝石</v>
          </cell>
          <cell r="G1204" t="str">
            <v>镶嵌在装备上的怒气宝石，增加5点初始怒气。</v>
          </cell>
          <cell r="H1204" t="str">
            <v>item_1101010</v>
          </cell>
        </row>
        <row r="1205">
          <cell r="E1205" t="str">
            <v>1级回复绿宝石</v>
          </cell>
          <cell r="F1205" t="str">
            <v>回复宝石</v>
          </cell>
          <cell r="G1205" t="str">
            <v>镶嵌在装备上的回复宝石，每回合恢复25血量。</v>
          </cell>
          <cell r="H1205" t="str">
            <v>item_1101101</v>
          </cell>
        </row>
        <row r="1206">
          <cell r="E1206" t="str">
            <v>2级回复绿宝石</v>
          </cell>
          <cell r="F1206" t="str">
            <v>回复宝石</v>
          </cell>
          <cell r="G1206" t="str">
            <v>镶嵌在装备上的回复宝石，每回合恢复36血量。</v>
          </cell>
          <cell r="H1206" t="str">
            <v>item_1101101</v>
          </cell>
        </row>
        <row r="1207">
          <cell r="E1207" t="str">
            <v>3级回复绿宝石</v>
          </cell>
          <cell r="F1207" t="str">
            <v>回复宝石</v>
          </cell>
          <cell r="G1207" t="str">
            <v>镶嵌在装备上的回复宝石，每回合恢复48血量。</v>
          </cell>
          <cell r="H1207" t="str">
            <v>item_1101101</v>
          </cell>
        </row>
        <row r="1208">
          <cell r="E1208" t="str">
            <v>4级回复绿宝石</v>
          </cell>
          <cell r="F1208" t="str">
            <v>回复宝石</v>
          </cell>
          <cell r="G1208" t="str">
            <v>镶嵌在装备上的回复宝石，每回合恢复60血量。</v>
          </cell>
          <cell r="H1208" t="str">
            <v>item_1101104</v>
          </cell>
        </row>
        <row r="1209">
          <cell r="E1209" t="str">
            <v>5级回复绿宝石</v>
          </cell>
          <cell r="F1209" t="str">
            <v>回复宝石</v>
          </cell>
          <cell r="G1209" t="str">
            <v>镶嵌在装备上的回复宝石，每回合恢复75血量。</v>
          </cell>
          <cell r="H1209" t="str">
            <v>item_1101104</v>
          </cell>
        </row>
        <row r="1210">
          <cell r="E1210" t="str">
            <v>6级回复绿宝石</v>
          </cell>
          <cell r="F1210" t="str">
            <v>回复宝石</v>
          </cell>
          <cell r="G1210" t="str">
            <v>镶嵌在装备上的回复宝石，每回合恢复96血量。</v>
          </cell>
          <cell r="H1210" t="str">
            <v>item_1101104</v>
          </cell>
        </row>
        <row r="1211">
          <cell r="E1211" t="str">
            <v>7级回复绿宝石</v>
          </cell>
          <cell r="F1211" t="str">
            <v>回复宝石</v>
          </cell>
          <cell r="G1211" t="str">
            <v>镶嵌在装备上的回复宝石，每回合恢复126血量。</v>
          </cell>
          <cell r="H1211" t="str">
            <v>item_1101107</v>
          </cell>
        </row>
        <row r="1212">
          <cell r="E1212" t="str">
            <v>8级回复绿宝石</v>
          </cell>
          <cell r="F1212" t="str">
            <v>回复宝石</v>
          </cell>
          <cell r="G1212" t="str">
            <v>镶嵌在装备上的回复宝石，每回合恢复162血量。</v>
          </cell>
          <cell r="H1212" t="str">
            <v>item_1101107</v>
          </cell>
        </row>
        <row r="1213">
          <cell r="E1213" t="str">
            <v>9级回复绿宝石</v>
          </cell>
          <cell r="F1213" t="str">
            <v>回复宝石</v>
          </cell>
          <cell r="G1213" t="str">
            <v>镶嵌在装备上的回复宝石，每回合恢复210血量。</v>
          </cell>
          <cell r="H1213" t="str">
            <v>item_1101107</v>
          </cell>
        </row>
        <row r="1214">
          <cell r="E1214" t="str">
            <v>10级回复绿宝石</v>
          </cell>
          <cell r="F1214" t="str">
            <v>回复宝石</v>
          </cell>
          <cell r="G1214" t="str">
            <v>镶嵌在装备上的回复宝石，每回合恢复300血量。</v>
          </cell>
          <cell r="H1214" t="str">
            <v>item_1101110</v>
          </cell>
        </row>
        <row r="1215">
          <cell r="E1215" t="str">
            <v>1级治愈绿宝石</v>
          </cell>
          <cell r="F1215" t="str">
            <v>治愈宝石</v>
          </cell>
          <cell r="G1215" t="str">
            <v>镶嵌在装备上的治愈宝石，增加1%治疗量。</v>
          </cell>
          <cell r="H1215" t="str">
            <v>item_1101201</v>
          </cell>
        </row>
        <row r="1216">
          <cell r="E1216" t="str">
            <v>2级治愈绿宝石</v>
          </cell>
          <cell r="F1216" t="str">
            <v>治愈宝石</v>
          </cell>
          <cell r="G1216" t="str">
            <v>镶嵌在装备上的治愈宝石，增加2%治疗量。</v>
          </cell>
          <cell r="H1216" t="str">
            <v>item_1101201</v>
          </cell>
        </row>
        <row r="1217">
          <cell r="E1217" t="str">
            <v>3级治愈绿宝石</v>
          </cell>
          <cell r="F1217" t="str">
            <v>治愈宝石</v>
          </cell>
          <cell r="G1217" t="str">
            <v>镶嵌在装备上的治愈宝石，增加3%治疗量。</v>
          </cell>
          <cell r="H1217" t="str">
            <v>item_1101201</v>
          </cell>
        </row>
        <row r="1218">
          <cell r="E1218" t="str">
            <v>4级治愈绿宝石</v>
          </cell>
          <cell r="F1218" t="str">
            <v>治愈宝石</v>
          </cell>
          <cell r="G1218" t="str">
            <v>镶嵌在装备上的治愈宝石，增加4%治疗量。</v>
          </cell>
          <cell r="H1218" t="str">
            <v>item_1101204</v>
          </cell>
        </row>
        <row r="1219">
          <cell r="E1219" t="str">
            <v>5级治愈绿宝石</v>
          </cell>
          <cell r="F1219" t="str">
            <v>治愈宝石</v>
          </cell>
          <cell r="G1219" t="str">
            <v>镶嵌在装备上的治愈宝石，增加5%治疗量。</v>
          </cell>
          <cell r="H1219" t="str">
            <v>item_1101204</v>
          </cell>
        </row>
        <row r="1220">
          <cell r="E1220" t="str">
            <v>6级治愈绿宝石</v>
          </cell>
          <cell r="F1220" t="str">
            <v>治愈宝石</v>
          </cell>
          <cell r="G1220" t="str">
            <v>镶嵌在装备上的治愈宝石，增加6%治疗量。</v>
          </cell>
          <cell r="H1220" t="str">
            <v>item_1101204</v>
          </cell>
        </row>
        <row r="1221">
          <cell r="E1221" t="str">
            <v>7级治愈绿宝石</v>
          </cell>
          <cell r="F1221" t="str">
            <v>治愈宝石</v>
          </cell>
          <cell r="G1221" t="str">
            <v>镶嵌在装备上的治愈宝石，增加7%治疗量。</v>
          </cell>
          <cell r="H1221" t="str">
            <v>item_1101207</v>
          </cell>
        </row>
        <row r="1222">
          <cell r="E1222" t="str">
            <v>8级治愈绿宝石</v>
          </cell>
          <cell r="F1222" t="str">
            <v>治愈宝石</v>
          </cell>
          <cell r="G1222" t="str">
            <v>镶嵌在装备上的治愈宝石，增加8%治疗量。</v>
          </cell>
          <cell r="H1222" t="str">
            <v>item_1101207</v>
          </cell>
        </row>
        <row r="1223">
          <cell r="E1223" t="str">
            <v>9级治愈绿宝石</v>
          </cell>
          <cell r="F1223" t="str">
            <v>治愈宝石</v>
          </cell>
          <cell r="G1223" t="str">
            <v>镶嵌在装备上的治愈宝石，增加9%治疗量。</v>
          </cell>
          <cell r="H1223" t="str">
            <v>item_1101207</v>
          </cell>
        </row>
        <row r="1224">
          <cell r="E1224" t="str">
            <v>10级治愈绿宝石</v>
          </cell>
          <cell r="F1224" t="str">
            <v>治愈宝石</v>
          </cell>
          <cell r="G1224" t="str">
            <v>镶嵌在装备上的治愈宝石，增加10%治疗量。</v>
          </cell>
          <cell r="H1224" t="str">
            <v>item_1101210</v>
          </cell>
        </row>
        <row r="1225">
          <cell r="E1225" t="str">
            <v>1级回血绿宝石</v>
          </cell>
          <cell r="F1225" t="str">
            <v>回血宝石</v>
          </cell>
          <cell r="G1225" t="str">
            <v>镶嵌在装备上的回血宝石，击杀敌人后恢复81血量。</v>
          </cell>
          <cell r="H1225" t="str">
            <v>item_1101301</v>
          </cell>
        </row>
        <row r="1226">
          <cell r="E1226" t="str">
            <v>2级回血绿宝石</v>
          </cell>
          <cell r="F1226" t="str">
            <v>回血宝石</v>
          </cell>
          <cell r="G1226" t="str">
            <v>镶嵌在装备上的回血宝石，击杀敌人后恢复112血量。</v>
          </cell>
          <cell r="H1226" t="str">
            <v>item_1101301</v>
          </cell>
        </row>
        <row r="1227">
          <cell r="E1227" t="str">
            <v>3级回血绿宝石</v>
          </cell>
          <cell r="F1227" t="str">
            <v>回血宝石</v>
          </cell>
          <cell r="G1227" t="str">
            <v>镶嵌在装备上的回血宝石，击杀敌人后恢复144血量。</v>
          </cell>
          <cell r="H1227" t="str">
            <v>item_1101301</v>
          </cell>
        </row>
        <row r="1228">
          <cell r="E1228" t="str">
            <v>4级回血绿宝石</v>
          </cell>
          <cell r="F1228" t="str">
            <v>回血宝石</v>
          </cell>
          <cell r="G1228" t="str">
            <v>镶嵌在装备上的回血宝石，击杀敌人后恢复180血量。</v>
          </cell>
          <cell r="H1228" t="str">
            <v>item_1101304</v>
          </cell>
        </row>
        <row r="1229">
          <cell r="E1229" t="str">
            <v>5级回血绿宝石</v>
          </cell>
          <cell r="F1229" t="str">
            <v>回血宝石</v>
          </cell>
          <cell r="G1229" t="str">
            <v>镶嵌在装备上的回血宝石，击杀敌人后恢复225血量。</v>
          </cell>
          <cell r="H1229" t="str">
            <v>item_1101304</v>
          </cell>
        </row>
        <row r="1230">
          <cell r="E1230" t="str">
            <v>6级回血绿宝石</v>
          </cell>
          <cell r="F1230" t="str">
            <v>回血宝石</v>
          </cell>
          <cell r="G1230" t="str">
            <v>镶嵌在装备上的回血宝石，击杀敌人后恢复288血量。</v>
          </cell>
          <cell r="H1230" t="str">
            <v>item_1101304</v>
          </cell>
        </row>
        <row r="1231">
          <cell r="E1231" t="str">
            <v>7级回血绿宝石</v>
          </cell>
          <cell r="F1231" t="str">
            <v>回血宝石</v>
          </cell>
          <cell r="G1231" t="str">
            <v>镶嵌在装备上的回血宝石，击杀敌人后恢复378血量。</v>
          </cell>
          <cell r="H1231" t="str">
            <v>item_1101307</v>
          </cell>
        </row>
        <row r="1232">
          <cell r="E1232" t="str">
            <v>8级回血绿宝石</v>
          </cell>
          <cell r="F1232" t="str">
            <v>回血宝石</v>
          </cell>
          <cell r="G1232" t="str">
            <v>镶嵌在装备上的回血宝石，击杀敌人后恢复486血量。</v>
          </cell>
          <cell r="H1232" t="str">
            <v>item_1101307</v>
          </cell>
        </row>
        <row r="1233">
          <cell r="E1233" t="str">
            <v>9级回血绿宝石</v>
          </cell>
          <cell r="F1233" t="str">
            <v>回血宝石</v>
          </cell>
          <cell r="G1233" t="str">
            <v>镶嵌在装备上的回血宝石，击杀敌人后恢复630血量。</v>
          </cell>
          <cell r="H1233" t="str">
            <v>item_1101307</v>
          </cell>
        </row>
        <row r="1234">
          <cell r="E1234" t="str">
            <v>10级回血绿宝石</v>
          </cell>
          <cell r="F1234" t="str">
            <v>回血宝石</v>
          </cell>
          <cell r="G1234" t="str">
            <v>镶嵌在装备上的回血宝石，击杀敌人后恢复900血量。</v>
          </cell>
          <cell r="H1234" t="str">
            <v>item_1101310</v>
          </cell>
        </row>
        <row r="1235">
          <cell r="E1235" t="str">
            <v>1级回怒红宝石</v>
          </cell>
          <cell r="F1235" t="str">
            <v>回怒宝石</v>
          </cell>
          <cell r="G1235" t="str">
            <v>镶嵌在装备上的回怒宝石，击杀敌人后恢复1怒气。</v>
          </cell>
          <cell r="H1235" t="str">
            <v>item_1101401</v>
          </cell>
        </row>
        <row r="1236">
          <cell r="E1236" t="str">
            <v>2级回怒红宝石</v>
          </cell>
          <cell r="F1236" t="str">
            <v>回怒宝石</v>
          </cell>
          <cell r="G1236" t="str">
            <v>镶嵌在装备上的回怒宝石，击杀敌人后恢复2怒气。</v>
          </cell>
          <cell r="H1236" t="str">
            <v>item_1101401</v>
          </cell>
        </row>
        <row r="1237">
          <cell r="E1237" t="str">
            <v>3级回怒红宝石</v>
          </cell>
          <cell r="F1237" t="str">
            <v>回怒宝石</v>
          </cell>
          <cell r="G1237" t="str">
            <v>镶嵌在装备上的回怒宝石，击杀敌人后恢复3怒气。</v>
          </cell>
          <cell r="H1237" t="str">
            <v>item_1101401</v>
          </cell>
        </row>
        <row r="1238">
          <cell r="E1238" t="str">
            <v>4级回怒红宝石</v>
          </cell>
          <cell r="F1238" t="str">
            <v>回怒宝石</v>
          </cell>
          <cell r="G1238" t="str">
            <v>镶嵌在装备上的回怒宝石，击杀敌人后恢复4怒气。</v>
          </cell>
          <cell r="H1238" t="str">
            <v>item_1101404</v>
          </cell>
        </row>
        <row r="1239">
          <cell r="E1239" t="str">
            <v>5级回怒红宝石</v>
          </cell>
          <cell r="F1239" t="str">
            <v>回怒宝石</v>
          </cell>
          <cell r="G1239" t="str">
            <v>镶嵌在装备上的回怒宝石，击杀敌人后恢复5怒气。</v>
          </cell>
          <cell r="H1239" t="str">
            <v>item_1101404</v>
          </cell>
        </row>
        <row r="1240">
          <cell r="E1240" t="str">
            <v>6级回怒红宝石</v>
          </cell>
          <cell r="F1240" t="str">
            <v>回怒宝石</v>
          </cell>
          <cell r="G1240" t="str">
            <v>镶嵌在装备上的回怒宝石，击杀敌人后恢复6怒气。</v>
          </cell>
          <cell r="H1240" t="str">
            <v>item_1101404</v>
          </cell>
        </row>
        <row r="1241">
          <cell r="E1241" t="str">
            <v>7级回怒红宝石</v>
          </cell>
          <cell r="F1241" t="str">
            <v>回怒宝石</v>
          </cell>
          <cell r="G1241" t="str">
            <v>镶嵌在装备上的回怒宝石，击杀敌人后恢复7怒气。</v>
          </cell>
          <cell r="H1241" t="str">
            <v>item_1101407</v>
          </cell>
        </row>
        <row r="1242">
          <cell r="E1242" t="str">
            <v>8级回怒红宝石</v>
          </cell>
          <cell r="F1242" t="str">
            <v>回怒宝石</v>
          </cell>
          <cell r="G1242" t="str">
            <v>镶嵌在装备上的回怒宝石，击杀敌人后恢复8怒气。</v>
          </cell>
          <cell r="H1242" t="str">
            <v>item_1101407</v>
          </cell>
        </row>
        <row r="1243">
          <cell r="E1243" t="str">
            <v>9级回怒红宝石</v>
          </cell>
          <cell r="F1243" t="str">
            <v>回怒宝石</v>
          </cell>
          <cell r="G1243" t="str">
            <v>镶嵌在装备上的回怒宝石，击杀敌人后恢复9怒气。</v>
          </cell>
          <cell r="H1243" t="str">
            <v>item_1101407</v>
          </cell>
        </row>
        <row r="1244">
          <cell r="E1244" t="str">
            <v>10级回怒红宝石</v>
          </cell>
          <cell r="F1244" t="str">
            <v>回怒宝石</v>
          </cell>
          <cell r="G1244" t="str">
            <v>镶嵌在装备上的回怒宝石，击杀敌人后恢复10怒气。</v>
          </cell>
          <cell r="H1244" t="str">
            <v>item_1101410</v>
          </cell>
        </row>
        <row r="1245">
          <cell r="E1245" t="str">
            <v>1级正义白宝石</v>
          </cell>
          <cell r="F1245" t="str">
            <v>正义宝石</v>
          </cell>
          <cell r="G1245" t="str">
            <v>镶嵌在装备上的正义宝石，对于海盗势力伤害增加0.4%。</v>
          </cell>
          <cell r="H1245" t="str">
            <v>item_1101501</v>
          </cell>
        </row>
        <row r="1246">
          <cell r="E1246" t="str">
            <v>2级正义白宝石</v>
          </cell>
          <cell r="F1246" t="str">
            <v>正义宝石</v>
          </cell>
          <cell r="G1246" t="str">
            <v>镶嵌在装备上的正义宝石，对于海盗势力伤害增加0.6%。</v>
          </cell>
          <cell r="H1246" t="str">
            <v>item_1101501</v>
          </cell>
        </row>
        <row r="1247">
          <cell r="E1247" t="str">
            <v>3级正义白宝石</v>
          </cell>
          <cell r="F1247" t="str">
            <v>正义宝石</v>
          </cell>
          <cell r="G1247" t="str">
            <v>镶嵌在装备上的正义宝石，对于海盗势力伤害增加0.8%。</v>
          </cell>
          <cell r="H1247" t="str">
            <v>item_1101501</v>
          </cell>
        </row>
        <row r="1248">
          <cell r="E1248" t="str">
            <v>4级正义白宝石</v>
          </cell>
          <cell r="F1248" t="str">
            <v>正义宝石</v>
          </cell>
          <cell r="G1248" t="str">
            <v>镶嵌在装备上的正义宝石，对于海盗势力伤害增加1.0%。</v>
          </cell>
          <cell r="H1248" t="str">
            <v>item_1101504</v>
          </cell>
        </row>
        <row r="1249">
          <cell r="E1249" t="str">
            <v>5级正义白宝石</v>
          </cell>
          <cell r="F1249" t="str">
            <v>正义宝石</v>
          </cell>
          <cell r="G1249" t="str">
            <v>镶嵌在装备上的正义宝石，对于海盗势力伤害增加1.3%。</v>
          </cell>
          <cell r="H1249" t="str">
            <v>item_1101504</v>
          </cell>
        </row>
        <row r="1250">
          <cell r="E1250" t="str">
            <v>6级正义白宝石</v>
          </cell>
          <cell r="F1250" t="str">
            <v>正义宝石</v>
          </cell>
          <cell r="G1250" t="str">
            <v>镶嵌在装备上的正义宝石，对于海盗势力伤害增加1.6%。</v>
          </cell>
          <cell r="H1250" t="str">
            <v>item_1101504</v>
          </cell>
        </row>
        <row r="1251">
          <cell r="E1251" t="str">
            <v>7级正义白宝石</v>
          </cell>
          <cell r="F1251" t="str">
            <v>正义宝石</v>
          </cell>
          <cell r="G1251" t="str">
            <v>镶嵌在装备上的正义宝石，对于海盗势力伤害增加2.1%。</v>
          </cell>
          <cell r="H1251" t="str">
            <v>item_1101507</v>
          </cell>
        </row>
        <row r="1252">
          <cell r="E1252" t="str">
            <v>8级正义白宝石</v>
          </cell>
          <cell r="F1252" t="str">
            <v>正义宝石</v>
          </cell>
          <cell r="G1252" t="str">
            <v>镶嵌在装备上的正义宝石，对于海盗势力伤害增加2.7%。</v>
          </cell>
          <cell r="H1252" t="str">
            <v>item_1101507</v>
          </cell>
        </row>
        <row r="1253">
          <cell r="E1253" t="str">
            <v>9级正义白宝石</v>
          </cell>
          <cell r="F1253" t="str">
            <v>正义宝石</v>
          </cell>
          <cell r="G1253" t="str">
            <v>镶嵌在装备上的正义宝石，对于海盗势力伤害增加3.5%。</v>
          </cell>
          <cell r="H1253" t="str">
            <v>item_1101507</v>
          </cell>
        </row>
        <row r="1254">
          <cell r="E1254" t="str">
            <v>10级正义白宝石</v>
          </cell>
          <cell r="F1254" t="str">
            <v>正义宝石</v>
          </cell>
          <cell r="G1254" t="str">
            <v>镶嵌在装备上的正义宝石，对于海盗势力伤害增加5.0%。</v>
          </cell>
          <cell r="H1254" t="str">
            <v>item_1101510</v>
          </cell>
        </row>
        <row r="1255">
          <cell r="E1255" t="str">
            <v>1级骷髅黑宝石</v>
          </cell>
          <cell r="F1255" t="str">
            <v>骷髅宝石</v>
          </cell>
          <cell r="G1255" t="str">
            <v>镶嵌在装备上的骷髅宝石，对于海军势力伤害增加0.4%。</v>
          </cell>
          <cell r="H1255" t="str">
            <v>item_1101601</v>
          </cell>
        </row>
        <row r="1256">
          <cell r="E1256" t="str">
            <v>2级骷髅黑宝石</v>
          </cell>
          <cell r="F1256" t="str">
            <v>骷髅宝石</v>
          </cell>
          <cell r="G1256" t="str">
            <v>镶嵌在装备上的骷髅宝石，对于海军势力伤害增加0.6%。</v>
          </cell>
          <cell r="H1256" t="str">
            <v>item_1101601</v>
          </cell>
        </row>
        <row r="1257">
          <cell r="E1257" t="str">
            <v>3级骷髅黑宝石</v>
          </cell>
          <cell r="F1257" t="str">
            <v>骷髅宝石</v>
          </cell>
          <cell r="G1257" t="str">
            <v>镶嵌在装备上的骷髅宝石，对于海军势力伤害增加0.8%。</v>
          </cell>
          <cell r="H1257" t="str">
            <v>item_1101601</v>
          </cell>
        </row>
        <row r="1258">
          <cell r="E1258" t="str">
            <v>4级骷髅黑宝石</v>
          </cell>
          <cell r="F1258" t="str">
            <v>骷髅宝石</v>
          </cell>
          <cell r="G1258" t="str">
            <v>镶嵌在装备上的骷髅宝石，对于海军势力伤害增加1.0%。</v>
          </cell>
          <cell r="H1258" t="str">
            <v>item_1101604</v>
          </cell>
        </row>
        <row r="1259">
          <cell r="E1259" t="str">
            <v>5级骷髅黑宝石</v>
          </cell>
          <cell r="F1259" t="str">
            <v>骷髅宝石</v>
          </cell>
          <cell r="G1259" t="str">
            <v>镶嵌在装备上的骷髅宝石，对于海军势力伤害增加1.3%。</v>
          </cell>
          <cell r="H1259" t="str">
            <v>item_1101604</v>
          </cell>
        </row>
        <row r="1260">
          <cell r="E1260" t="str">
            <v>6级骷髅黑宝石</v>
          </cell>
          <cell r="F1260" t="str">
            <v>骷髅宝石</v>
          </cell>
          <cell r="G1260" t="str">
            <v>镶嵌在装备上的骷髅宝石，对于海军势力伤害增加1.6%。</v>
          </cell>
          <cell r="H1260" t="str">
            <v>item_1101604</v>
          </cell>
        </row>
        <row r="1261">
          <cell r="E1261" t="str">
            <v>7级骷髅黑宝石</v>
          </cell>
          <cell r="F1261" t="str">
            <v>骷髅宝石</v>
          </cell>
          <cell r="G1261" t="str">
            <v>镶嵌在装备上的骷髅宝石，对于海军势力伤害增加2.1%。</v>
          </cell>
          <cell r="H1261" t="str">
            <v>item_1101607</v>
          </cell>
        </row>
        <row r="1262">
          <cell r="E1262" t="str">
            <v>8级骷髅黑宝石</v>
          </cell>
          <cell r="F1262" t="str">
            <v>骷髅宝石</v>
          </cell>
          <cell r="G1262" t="str">
            <v>镶嵌在装备上的骷髅宝石，对于海军势力伤害增加2.7%。</v>
          </cell>
          <cell r="H1262" t="str">
            <v>item_1101607</v>
          </cell>
        </row>
        <row r="1263">
          <cell r="E1263" t="str">
            <v>9级骷髅黑宝石</v>
          </cell>
          <cell r="F1263" t="str">
            <v>骷髅宝石</v>
          </cell>
          <cell r="G1263" t="str">
            <v>镶嵌在装备上的骷髅宝石，对于海军势力伤害增加3.5%。</v>
          </cell>
          <cell r="H1263" t="str">
            <v>item_1101607</v>
          </cell>
        </row>
        <row r="1264">
          <cell r="E1264" t="str">
            <v>10级骷髅黑宝石</v>
          </cell>
          <cell r="F1264" t="str">
            <v>骷髅宝石</v>
          </cell>
          <cell r="G1264" t="str">
            <v>镶嵌在装备上的骷髅宝石，对于海军势力伤害增加5.0%。</v>
          </cell>
          <cell r="H1264" t="str">
            <v>item_1101610</v>
          </cell>
        </row>
        <row r="1265">
          <cell r="E1265" t="str">
            <v>1级胜利粉宝石</v>
          </cell>
          <cell r="F1265" t="str">
            <v>胜利宝石</v>
          </cell>
          <cell r="G1265" t="str">
            <v>镶嵌在装备上的胜利宝石，战斗胜利恢复67点血量。</v>
          </cell>
          <cell r="H1265" t="str">
            <v>item_1101701</v>
          </cell>
        </row>
        <row r="1266">
          <cell r="E1266" t="str">
            <v>2级胜利粉宝石</v>
          </cell>
          <cell r="F1266" t="str">
            <v>胜利宝石</v>
          </cell>
          <cell r="G1266" t="str">
            <v>镶嵌在装备上的胜利宝石，战斗胜利恢复95点血量。</v>
          </cell>
          <cell r="H1266" t="str">
            <v>item_1101701</v>
          </cell>
        </row>
        <row r="1267">
          <cell r="E1267" t="str">
            <v>3级胜利粉宝石</v>
          </cell>
          <cell r="F1267" t="str">
            <v>胜利宝石</v>
          </cell>
          <cell r="G1267" t="str">
            <v>镶嵌在装备上的胜利宝石，战斗胜利恢复120点血量。</v>
          </cell>
          <cell r="H1267" t="str">
            <v>item_1101701</v>
          </cell>
        </row>
        <row r="1268">
          <cell r="E1268" t="str">
            <v>4级胜利粉宝石</v>
          </cell>
          <cell r="F1268" t="str">
            <v>胜利宝石</v>
          </cell>
          <cell r="G1268" t="str">
            <v>镶嵌在装备上的胜利宝石，战斗胜利恢复150点血量。</v>
          </cell>
          <cell r="H1268" t="str">
            <v>item_1101704</v>
          </cell>
        </row>
        <row r="1269">
          <cell r="E1269" t="str">
            <v>5级胜利粉宝石</v>
          </cell>
          <cell r="F1269" t="str">
            <v>胜利宝石</v>
          </cell>
          <cell r="G1269" t="str">
            <v>镶嵌在装备上的胜利宝石，战斗胜利恢复190点血量。</v>
          </cell>
          <cell r="H1269" t="str">
            <v>item_1101704</v>
          </cell>
        </row>
        <row r="1270">
          <cell r="E1270" t="str">
            <v>6级胜利粉宝石</v>
          </cell>
          <cell r="F1270" t="str">
            <v>胜利宝石</v>
          </cell>
          <cell r="G1270" t="str">
            <v>镶嵌在装备上的胜利宝石，战斗胜利恢复240点血量。</v>
          </cell>
          <cell r="H1270" t="str">
            <v>item_1101704</v>
          </cell>
        </row>
        <row r="1271">
          <cell r="E1271" t="str">
            <v>7级胜利粉宝石</v>
          </cell>
          <cell r="F1271" t="str">
            <v>胜利宝石</v>
          </cell>
          <cell r="G1271" t="str">
            <v>镶嵌在装备上的胜利宝石，战斗胜利恢复315点血量。</v>
          </cell>
          <cell r="H1271" t="str">
            <v>item_1101707</v>
          </cell>
        </row>
        <row r="1272">
          <cell r="E1272" t="str">
            <v>8级胜利粉宝石</v>
          </cell>
          <cell r="F1272" t="str">
            <v>胜利宝石</v>
          </cell>
          <cell r="G1272" t="str">
            <v>镶嵌在装备上的胜利宝石，战斗胜利恢复405点血量。</v>
          </cell>
          <cell r="H1272" t="str">
            <v>item_1101707</v>
          </cell>
        </row>
        <row r="1273">
          <cell r="E1273" t="str">
            <v>9级胜利粉宝石</v>
          </cell>
          <cell r="F1273" t="str">
            <v>胜利宝石</v>
          </cell>
          <cell r="G1273" t="str">
            <v>镶嵌在装备上的胜利宝石，战斗胜利恢复525点血量。</v>
          </cell>
          <cell r="H1273" t="str">
            <v>item_1101707</v>
          </cell>
        </row>
        <row r="1274">
          <cell r="E1274" t="str">
            <v>10级胜利粉宝石</v>
          </cell>
          <cell r="F1274" t="str">
            <v>胜利宝石</v>
          </cell>
          <cell r="G1274" t="str">
            <v>镶嵌在装备上的胜利宝石，战斗胜利恢复750点血量。</v>
          </cell>
          <cell r="H1274" t="str">
            <v>item_1101710</v>
          </cell>
        </row>
        <row r="1275">
          <cell r="E1275" t="str">
            <v>1级格挡宝石</v>
          </cell>
          <cell r="F1275" t="str">
            <v>格挡宝石</v>
          </cell>
          <cell r="G1275" t="str">
            <v>镶嵌在装备上的格挡宝石，增加5点格挡值。</v>
          </cell>
          <cell r="H1275" t="str">
            <v>item_1101801</v>
          </cell>
        </row>
        <row r="1276">
          <cell r="E1276" t="str">
            <v>2级格挡宝石</v>
          </cell>
          <cell r="F1276" t="str">
            <v>格挡宝石</v>
          </cell>
          <cell r="G1276" t="str">
            <v>镶嵌在装备上的格挡宝石，增加8点格挡值。</v>
          </cell>
          <cell r="H1276" t="str">
            <v>item_1101801</v>
          </cell>
        </row>
        <row r="1277">
          <cell r="E1277" t="str">
            <v>3级格挡宝石</v>
          </cell>
          <cell r="F1277" t="str">
            <v>格挡宝石</v>
          </cell>
          <cell r="G1277" t="str">
            <v>镶嵌在装备上的格挡宝石，增加11点格挡值。</v>
          </cell>
          <cell r="H1277" t="str">
            <v>item_1101801</v>
          </cell>
        </row>
        <row r="1278">
          <cell r="E1278" t="str">
            <v>4级格挡宝石</v>
          </cell>
          <cell r="F1278" t="str">
            <v>格挡宝石</v>
          </cell>
          <cell r="G1278" t="str">
            <v>镶嵌在装备上的格挡宝石，增加13点格挡值。</v>
          </cell>
          <cell r="H1278" t="str">
            <v>item_1101804</v>
          </cell>
        </row>
        <row r="1279">
          <cell r="E1279" t="str">
            <v>5级格挡宝石</v>
          </cell>
          <cell r="F1279" t="str">
            <v>格挡宝石</v>
          </cell>
          <cell r="G1279" t="str">
            <v>镶嵌在装备上的格挡宝石，增加16点格挡值。</v>
          </cell>
          <cell r="H1279" t="str">
            <v>item_1101804</v>
          </cell>
        </row>
        <row r="1280">
          <cell r="E1280" t="str">
            <v>6级格挡宝石</v>
          </cell>
          <cell r="F1280" t="str">
            <v>格挡宝石</v>
          </cell>
          <cell r="G1280" t="str">
            <v>镶嵌在装备上的格挡宝石，增加22点格挡值。</v>
          </cell>
          <cell r="H1280" t="str">
            <v>item_1101804</v>
          </cell>
        </row>
        <row r="1281">
          <cell r="E1281" t="str">
            <v>7级格挡宝石</v>
          </cell>
          <cell r="F1281" t="str">
            <v>格挡宝石</v>
          </cell>
          <cell r="G1281" t="str">
            <v>镶嵌在装备上的格挡宝石，增加28点格挡值。</v>
          </cell>
          <cell r="H1281" t="str">
            <v>item_1101807</v>
          </cell>
        </row>
        <row r="1282">
          <cell r="E1282" t="str">
            <v>8级格挡宝石</v>
          </cell>
          <cell r="F1282" t="str">
            <v>格挡宝石</v>
          </cell>
          <cell r="G1282" t="str">
            <v>镶嵌在装备上的格挡宝石，增加36点格挡值。</v>
          </cell>
          <cell r="H1282" t="str">
            <v>item_1101807</v>
          </cell>
        </row>
        <row r="1283">
          <cell r="E1283" t="str">
            <v>9级格挡宝石</v>
          </cell>
          <cell r="F1283" t="str">
            <v>格挡宝石</v>
          </cell>
          <cell r="G1283" t="str">
            <v>镶嵌在装备上的格挡宝石，增加47点格挡值。</v>
          </cell>
          <cell r="H1283" t="str">
            <v>item_1101807</v>
          </cell>
        </row>
        <row r="1284">
          <cell r="E1284" t="str">
            <v>10级格挡宝石</v>
          </cell>
          <cell r="F1284" t="str">
            <v>格挡宝石</v>
          </cell>
          <cell r="G1284" t="str">
            <v>镶嵌在装备上的格挡宝石，增加67点格挡值。</v>
          </cell>
          <cell r="H1284" t="str">
            <v>item_1101810</v>
          </cell>
        </row>
        <row r="1285">
          <cell r="E1285" t="str">
            <v>1级破击宝石</v>
          </cell>
          <cell r="F1285" t="str">
            <v>破击宝石</v>
          </cell>
          <cell r="G1285" t="str">
            <v>镶嵌在装备上的破击宝石，增加5点破击值。</v>
          </cell>
          <cell r="H1285" t="str">
            <v>item_1101901</v>
          </cell>
        </row>
        <row r="1286">
          <cell r="E1286" t="str">
            <v>2级破击宝石</v>
          </cell>
          <cell r="F1286" t="str">
            <v>破击宝石</v>
          </cell>
          <cell r="G1286" t="str">
            <v>镶嵌在装备上的破击宝石，增加8点破击值。</v>
          </cell>
          <cell r="H1286" t="str">
            <v>item_1101901</v>
          </cell>
        </row>
        <row r="1287">
          <cell r="E1287" t="str">
            <v>3级破击宝石</v>
          </cell>
          <cell r="F1287" t="str">
            <v>破击宝石</v>
          </cell>
          <cell r="G1287" t="str">
            <v>镶嵌在装备上的破击宝石，增加11点破击值。</v>
          </cell>
          <cell r="H1287" t="str">
            <v>item_1101901</v>
          </cell>
        </row>
        <row r="1288">
          <cell r="E1288" t="str">
            <v>4级破击宝石</v>
          </cell>
          <cell r="F1288" t="str">
            <v>破击宝石</v>
          </cell>
          <cell r="G1288" t="str">
            <v>镶嵌在装备上的破击宝石，增加13点破击值。</v>
          </cell>
          <cell r="H1288" t="str">
            <v>item_1101904</v>
          </cell>
        </row>
        <row r="1289">
          <cell r="E1289" t="str">
            <v>5级破击宝石</v>
          </cell>
          <cell r="F1289" t="str">
            <v>破击宝石</v>
          </cell>
          <cell r="G1289" t="str">
            <v>镶嵌在装备上的破击宝石，增加16点破击值。</v>
          </cell>
          <cell r="H1289" t="str">
            <v>item_1101904</v>
          </cell>
        </row>
        <row r="1290">
          <cell r="E1290" t="str">
            <v>6级破击宝石</v>
          </cell>
          <cell r="F1290" t="str">
            <v>破击宝石</v>
          </cell>
          <cell r="G1290" t="str">
            <v>镶嵌在装备上的破击宝石，增加22点破击值。</v>
          </cell>
          <cell r="H1290" t="str">
            <v>item_1101904</v>
          </cell>
        </row>
        <row r="1291">
          <cell r="E1291" t="str">
            <v>7级破击宝石</v>
          </cell>
          <cell r="F1291" t="str">
            <v>破击宝石</v>
          </cell>
          <cell r="G1291" t="str">
            <v>镶嵌在装备上的破击宝石，增加28点破击值。</v>
          </cell>
          <cell r="H1291" t="str">
            <v>item_1101907</v>
          </cell>
        </row>
        <row r="1292">
          <cell r="E1292" t="str">
            <v>8级破击宝石</v>
          </cell>
          <cell r="F1292" t="str">
            <v>破击宝石</v>
          </cell>
          <cell r="G1292" t="str">
            <v>镶嵌在装备上的破击宝石，增加36点破击值。</v>
          </cell>
          <cell r="H1292" t="str">
            <v>item_1101907</v>
          </cell>
        </row>
        <row r="1293">
          <cell r="E1293" t="str">
            <v>9级破击宝石</v>
          </cell>
          <cell r="F1293" t="str">
            <v>破击宝石</v>
          </cell>
          <cell r="G1293" t="str">
            <v>镶嵌在装备上的破击宝石，增加47点破击值。</v>
          </cell>
          <cell r="H1293" t="str">
            <v>item_1101907</v>
          </cell>
        </row>
        <row r="1294">
          <cell r="E1294" t="str">
            <v>10级破击宝石</v>
          </cell>
          <cell r="F1294" t="str">
            <v>破击宝石</v>
          </cell>
          <cell r="G1294" t="str">
            <v>镶嵌在装备上的破击宝石，增加67点破击值。</v>
          </cell>
          <cell r="H1294" t="str">
            <v>item_1101910</v>
          </cell>
        </row>
        <row r="1295">
          <cell r="E1295" t="str">
            <v>1级吸血宝石</v>
          </cell>
          <cell r="F1295" t="str">
            <v>吸血宝石</v>
          </cell>
          <cell r="G1295" t="str">
            <v>镶嵌在装备上的吸血宝石，造成伤害的0.2%转化为自身血量。</v>
          </cell>
          <cell r="H1295" t="str">
            <v>item_1102001</v>
          </cell>
        </row>
        <row r="1296">
          <cell r="E1296" t="str">
            <v>2级吸血宝石</v>
          </cell>
          <cell r="F1296" t="str">
            <v>吸血宝石</v>
          </cell>
          <cell r="G1296" t="str">
            <v>镶嵌在装备上的吸血宝石，造成伤害的0.25%转化为自身血量。</v>
          </cell>
          <cell r="H1296" t="str">
            <v>item_1102001</v>
          </cell>
        </row>
        <row r="1297">
          <cell r="E1297" t="str">
            <v>3级吸血宝石</v>
          </cell>
          <cell r="F1297" t="str">
            <v>吸血宝石</v>
          </cell>
          <cell r="G1297" t="str">
            <v>镶嵌在装备上的吸血宝石，造成伤害的0.32%转化为自身血量。</v>
          </cell>
          <cell r="H1297" t="str">
            <v>item_1102001</v>
          </cell>
        </row>
        <row r="1298">
          <cell r="E1298" t="str">
            <v>4级吸血宝石</v>
          </cell>
          <cell r="F1298" t="str">
            <v>吸血宝石</v>
          </cell>
          <cell r="G1298" t="str">
            <v>镶嵌在装备上的吸血宝石，造成伤害的0.4%转化为自身血量。</v>
          </cell>
          <cell r="H1298" t="str">
            <v>item_1102004</v>
          </cell>
        </row>
        <row r="1299">
          <cell r="E1299" t="str">
            <v>5级吸血宝石</v>
          </cell>
          <cell r="F1299" t="str">
            <v>吸血宝石</v>
          </cell>
          <cell r="G1299" t="str">
            <v>镶嵌在装备上的吸血宝石，造成伤害的0.5%转化为自身血量。</v>
          </cell>
          <cell r="H1299" t="str">
            <v>item_1102004</v>
          </cell>
        </row>
        <row r="1300">
          <cell r="E1300" t="str">
            <v>6级吸血宝石</v>
          </cell>
          <cell r="F1300" t="str">
            <v>吸血宝石</v>
          </cell>
          <cell r="G1300" t="str">
            <v>镶嵌在装备上的吸血宝石，造成伤害的0.64%转化为自身血量。</v>
          </cell>
          <cell r="H1300" t="str">
            <v>item_1102004</v>
          </cell>
        </row>
        <row r="1301">
          <cell r="E1301" t="str">
            <v>7级吸血宝石</v>
          </cell>
          <cell r="F1301" t="str">
            <v>吸血宝石</v>
          </cell>
          <cell r="G1301" t="str">
            <v>镶嵌在装备上的吸血宝石，造成伤害的0.84%转化为自身血量。</v>
          </cell>
          <cell r="H1301" t="str">
            <v>item_1102007</v>
          </cell>
        </row>
        <row r="1302">
          <cell r="E1302" t="str">
            <v>8级吸血宝石</v>
          </cell>
          <cell r="F1302" t="str">
            <v>吸血宝石</v>
          </cell>
          <cell r="G1302" t="str">
            <v>镶嵌在装备上的吸血宝石，造成伤害的1.0%转化为自身血量。</v>
          </cell>
          <cell r="H1302" t="str">
            <v>item_1102007</v>
          </cell>
        </row>
        <row r="1303">
          <cell r="E1303" t="str">
            <v>9级吸血宝石</v>
          </cell>
          <cell r="F1303" t="str">
            <v>吸血宝石</v>
          </cell>
          <cell r="G1303" t="str">
            <v>镶嵌在装备上的吸血宝石，造成伤害的1.4%转化为自身血量。</v>
          </cell>
          <cell r="H1303" t="str">
            <v>item_1102007</v>
          </cell>
        </row>
        <row r="1304">
          <cell r="E1304" t="str">
            <v>10级吸血宝石</v>
          </cell>
          <cell r="F1304" t="str">
            <v>吸血宝石</v>
          </cell>
          <cell r="G1304" t="str">
            <v>镶嵌在装备上的吸血宝石，造成伤害的2.0%转化为自身血量。</v>
          </cell>
          <cell r="H1304" t="str">
            <v>item_1102010</v>
          </cell>
        </row>
        <row r="1305">
          <cell r="E1305" t="str">
            <v>1级穿透宝石</v>
          </cell>
          <cell r="F1305" t="str">
            <v>穿透宝石</v>
          </cell>
          <cell r="G1305" t="str">
            <v>镶嵌在装备上的穿透宝石，降低目标7点防御。</v>
          </cell>
          <cell r="H1305" t="str">
            <v>item_1102101</v>
          </cell>
        </row>
        <row r="1306">
          <cell r="E1306" t="str">
            <v>2级穿透宝石</v>
          </cell>
          <cell r="F1306" t="str">
            <v>穿透宝石</v>
          </cell>
          <cell r="G1306" t="str">
            <v>镶嵌在装备上的穿透宝石，降低目标9点防御。</v>
          </cell>
          <cell r="H1306" t="str">
            <v>item_1102101</v>
          </cell>
        </row>
        <row r="1307">
          <cell r="E1307" t="str">
            <v>3级穿透宝石</v>
          </cell>
          <cell r="F1307" t="str">
            <v>穿透宝石</v>
          </cell>
          <cell r="G1307" t="str">
            <v>镶嵌在装备上的穿透宝石，降低目标12点防御。</v>
          </cell>
          <cell r="H1307" t="str">
            <v>item_1102101</v>
          </cell>
        </row>
        <row r="1308">
          <cell r="E1308" t="str">
            <v>4级穿透宝石</v>
          </cell>
          <cell r="F1308" t="str">
            <v>穿透宝石</v>
          </cell>
          <cell r="G1308" t="str">
            <v>镶嵌在装备上的穿透宝石，降低目标15点防御。</v>
          </cell>
          <cell r="H1308" t="str">
            <v>item_1102104</v>
          </cell>
        </row>
        <row r="1309">
          <cell r="E1309" t="str">
            <v>5级穿透宝石</v>
          </cell>
          <cell r="F1309" t="str">
            <v>穿透宝石</v>
          </cell>
          <cell r="G1309" t="str">
            <v>镶嵌在装备上的穿透宝石，降低目标18点防御。</v>
          </cell>
          <cell r="H1309" t="str">
            <v>item_1102104</v>
          </cell>
        </row>
        <row r="1310">
          <cell r="E1310" t="str">
            <v>6级穿透宝石</v>
          </cell>
          <cell r="F1310" t="str">
            <v>穿透宝石</v>
          </cell>
          <cell r="G1310" t="str">
            <v>镶嵌在装备上的穿透宝石，降低目标24点防御。</v>
          </cell>
          <cell r="H1310" t="str">
            <v>item_1102104</v>
          </cell>
        </row>
        <row r="1311">
          <cell r="E1311" t="str">
            <v>7级穿透宝石</v>
          </cell>
          <cell r="F1311" t="str">
            <v>穿透宝石</v>
          </cell>
          <cell r="G1311" t="str">
            <v>镶嵌在装备上的穿透宝石，降低目标32点防御。</v>
          </cell>
          <cell r="H1311" t="str">
            <v>item_1102107</v>
          </cell>
        </row>
        <row r="1312">
          <cell r="E1312" t="str">
            <v>8级穿透宝石</v>
          </cell>
          <cell r="F1312" t="str">
            <v>穿透宝石</v>
          </cell>
          <cell r="G1312" t="str">
            <v>镶嵌在装备上的穿透宝石，降低目标40点防御。</v>
          </cell>
          <cell r="H1312" t="str">
            <v>item_1102107</v>
          </cell>
        </row>
        <row r="1313">
          <cell r="E1313" t="str">
            <v>9级穿透宝石</v>
          </cell>
          <cell r="F1313" t="str">
            <v>穿透宝石</v>
          </cell>
          <cell r="G1313" t="str">
            <v>镶嵌在装备上的穿透宝石，降低目标52点防御。</v>
          </cell>
          <cell r="H1313" t="str">
            <v>item_1102107</v>
          </cell>
        </row>
        <row r="1314">
          <cell r="E1314" t="str">
            <v>10级穿透宝石</v>
          </cell>
          <cell r="F1314" t="str">
            <v>穿透宝石</v>
          </cell>
          <cell r="G1314" t="str">
            <v>镶嵌在装备上的穿透宝石，降低目标75点防御。</v>
          </cell>
          <cell r="H1314" t="str">
            <v>item_1102110</v>
          </cell>
        </row>
        <row r="1315">
          <cell r="E1315" t="str">
            <v>1级属伤宝石</v>
          </cell>
          <cell r="F1315" t="str">
            <v>属伤宝石</v>
          </cell>
          <cell r="G1315" t="str">
            <v>镶嵌在装备上的属性伤害宝石，提高1%全属性伤害。</v>
          </cell>
          <cell r="H1315" t="str">
            <v>item_1102201</v>
          </cell>
        </row>
        <row r="1316">
          <cell r="E1316" t="str">
            <v>2级属伤宝石</v>
          </cell>
          <cell r="F1316" t="str">
            <v>属伤宝石</v>
          </cell>
          <cell r="G1316" t="str">
            <v>镶嵌在装备上的属性伤害宝石，提高2%全属性伤害。</v>
          </cell>
          <cell r="H1316" t="str">
            <v>item_1102201</v>
          </cell>
        </row>
        <row r="1317">
          <cell r="E1317" t="str">
            <v>3级属伤宝石</v>
          </cell>
          <cell r="F1317" t="str">
            <v>属伤宝石</v>
          </cell>
          <cell r="G1317" t="str">
            <v>镶嵌在装备上的属性伤害宝石，提高3%全属性伤害。</v>
          </cell>
          <cell r="H1317" t="str">
            <v>item_1102201</v>
          </cell>
        </row>
        <row r="1318">
          <cell r="E1318" t="str">
            <v>4级属伤宝石</v>
          </cell>
          <cell r="F1318" t="str">
            <v>属伤宝石</v>
          </cell>
          <cell r="G1318" t="str">
            <v>镶嵌在装备上的属性伤害宝石，提高4%全属性伤害。</v>
          </cell>
          <cell r="H1318" t="str">
            <v>item_1102204</v>
          </cell>
        </row>
        <row r="1319">
          <cell r="E1319" t="str">
            <v>5级属伤宝石</v>
          </cell>
          <cell r="F1319" t="str">
            <v>属伤宝石</v>
          </cell>
          <cell r="G1319" t="str">
            <v>镶嵌在装备上的属性伤害宝石，提高5%全属性伤害。</v>
          </cell>
          <cell r="H1319" t="str">
            <v>item_1102204</v>
          </cell>
        </row>
        <row r="1320">
          <cell r="E1320" t="str">
            <v>6级属伤宝石</v>
          </cell>
          <cell r="F1320" t="str">
            <v>属伤宝石</v>
          </cell>
          <cell r="G1320" t="str">
            <v>镶嵌在装备上的属性伤害宝石，提高6%全属性伤害。</v>
          </cell>
          <cell r="H1320" t="str">
            <v>item_1102204</v>
          </cell>
        </row>
        <row r="1321">
          <cell r="E1321" t="str">
            <v>7级属伤宝石</v>
          </cell>
          <cell r="F1321" t="str">
            <v>属伤宝石</v>
          </cell>
          <cell r="G1321" t="str">
            <v>镶嵌在装备上的属性伤害宝石，提高7%全属性伤害。</v>
          </cell>
          <cell r="H1321" t="str">
            <v>item_1102207</v>
          </cell>
        </row>
        <row r="1322">
          <cell r="E1322" t="str">
            <v>8级属伤宝石</v>
          </cell>
          <cell r="F1322" t="str">
            <v>属伤宝石</v>
          </cell>
          <cell r="G1322" t="str">
            <v>镶嵌在装备上的属性伤害宝石，提高8%全属性伤害。</v>
          </cell>
          <cell r="H1322" t="str">
            <v>item_1102207</v>
          </cell>
        </row>
        <row r="1323">
          <cell r="E1323" t="str">
            <v>9级属伤宝石</v>
          </cell>
          <cell r="F1323" t="str">
            <v>属伤宝石</v>
          </cell>
          <cell r="G1323" t="str">
            <v>镶嵌在装备上的属性伤害宝石，提高9%全属性伤害。</v>
          </cell>
          <cell r="H1323" t="str">
            <v>item_1102207</v>
          </cell>
        </row>
        <row r="1324">
          <cell r="E1324" t="str">
            <v>10级属伤宝石</v>
          </cell>
          <cell r="F1324" t="str">
            <v>属伤宝石</v>
          </cell>
          <cell r="G1324" t="str">
            <v>镶嵌在装备上的属性伤害宝石，提高10%全属性伤害。</v>
          </cell>
          <cell r="H1324" t="str">
            <v>item_1102210</v>
          </cell>
        </row>
        <row r="1325">
          <cell r="E1325" t="str">
            <v>1级抗性宝石</v>
          </cell>
          <cell r="F1325" t="str">
            <v>抗性宝石</v>
          </cell>
          <cell r="G1325" t="str">
            <v>镶嵌在装备上的抗性宝石，提高1%全属性抗性。</v>
          </cell>
          <cell r="H1325" t="str">
            <v>item_1102301</v>
          </cell>
        </row>
        <row r="1326">
          <cell r="E1326" t="str">
            <v>2级抗性宝石</v>
          </cell>
          <cell r="F1326" t="str">
            <v>抗性宝石</v>
          </cell>
          <cell r="G1326" t="str">
            <v>镶嵌在装备上的抗性宝石，提高2%全属性抗性。</v>
          </cell>
          <cell r="H1326" t="str">
            <v>item_1102301</v>
          </cell>
        </row>
        <row r="1327">
          <cell r="E1327" t="str">
            <v>3级抗性宝石</v>
          </cell>
          <cell r="F1327" t="str">
            <v>抗性宝石</v>
          </cell>
          <cell r="G1327" t="str">
            <v>镶嵌在装备上的抗性宝石，提高3%全属性抗性。</v>
          </cell>
          <cell r="H1327" t="str">
            <v>item_1102301</v>
          </cell>
        </row>
        <row r="1328">
          <cell r="E1328" t="str">
            <v>4级抗性宝石</v>
          </cell>
          <cell r="F1328" t="str">
            <v>抗性宝石</v>
          </cell>
          <cell r="G1328" t="str">
            <v>镶嵌在装备上的抗性宝石，提高4%全属性抗性。</v>
          </cell>
          <cell r="H1328" t="str">
            <v>item_1102304</v>
          </cell>
        </row>
        <row r="1329">
          <cell r="E1329" t="str">
            <v>5级抗性宝石</v>
          </cell>
          <cell r="F1329" t="str">
            <v>抗性宝石</v>
          </cell>
          <cell r="G1329" t="str">
            <v>镶嵌在装备上的抗性宝石，提高5%全属性抗性。</v>
          </cell>
          <cell r="H1329" t="str">
            <v>item_1102304</v>
          </cell>
        </row>
        <row r="1330">
          <cell r="E1330" t="str">
            <v>6级抗性宝石</v>
          </cell>
          <cell r="F1330" t="str">
            <v>抗性宝石</v>
          </cell>
          <cell r="G1330" t="str">
            <v>镶嵌在装备上的抗性宝石，提高6%全属性抗性。</v>
          </cell>
          <cell r="H1330" t="str">
            <v>item_1102304</v>
          </cell>
        </row>
        <row r="1331">
          <cell r="E1331" t="str">
            <v>7级抗性宝石</v>
          </cell>
          <cell r="F1331" t="str">
            <v>抗性宝石</v>
          </cell>
          <cell r="G1331" t="str">
            <v>镶嵌在装备上的抗性宝石，提高7%全属性抗性。</v>
          </cell>
          <cell r="H1331" t="str">
            <v>item_1102307</v>
          </cell>
        </row>
        <row r="1332">
          <cell r="E1332" t="str">
            <v>8级抗性宝石</v>
          </cell>
          <cell r="F1332" t="str">
            <v>抗性宝石</v>
          </cell>
          <cell r="G1332" t="str">
            <v>镶嵌在装备上的抗性宝石，提高8%全属性抗性。</v>
          </cell>
          <cell r="H1332" t="str">
            <v>item_1102307</v>
          </cell>
        </row>
        <row r="1333">
          <cell r="E1333" t="str">
            <v>9级抗性宝石</v>
          </cell>
          <cell r="F1333" t="str">
            <v>抗性宝石</v>
          </cell>
          <cell r="G1333" t="str">
            <v>镶嵌在装备上的抗性宝石，提高9%全属性抗性。</v>
          </cell>
          <cell r="H1333" t="str">
            <v>item_1102307</v>
          </cell>
        </row>
        <row r="1334">
          <cell r="E1334" t="str">
            <v>10级抗性宝石</v>
          </cell>
          <cell r="F1334" t="str">
            <v>抗性宝石</v>
          </cell>
          <cell r="G1334" t="str">
            <v>镶嵌在装备上的抗性宝石，提高10%全属性抗性。</v>
          </cell>
          <cell r="H1334" t="str">
            <v>item_1102310</v>
          </cell>
        </row>
        <row r="1335">
          <cell r="E1335" t="str">
            <v>1级抗暴伤宝石</v>
          </cell>
          <cell r="F1335" t="str">
            <v>抗暴伤宝石</v>
          </cell>
          <cell r="G1335" t="str">
            <v>镶嵌在装备上的抗暴伤宝石，提高0.7%抗暴击伤害。</v>
          </cell>
          <cell r="H1335" t="str">
            <v>item_1102401</v>
          </cell>
        </row>
        <row r="1336">
          <cell r="E1336" t="str">
            <v>2级抗暴伤宝石</v>
          </cell>
          <cell r="F1336" t="str">
            <v>抗暴伤宝石</v>
          </cell>
          <cell r="G1336" t="str">
            <v>镶嵌在装备上的抗暴伤宝石，提高1.0%抗暴击伤害。</v>
          </cell>
          <cell r="H1336" t="str">
            <v>item_1102401</v>
          </cell>
        </row>
        <row r="1337">
          <cell r="E1337" t="str">
            <v>3级抗暴伤宝石</v>
          </cell>
          <cell r="F1337" t="str">
            <v>抗暴伤宝石</v>
          </cell>
          <cell r="G1337" t="str">
            <v>镶嵌在装备上的抗暴伤宝石，提高1.2%抗暴击伤害。</v>
          </cell>
          <cell r="H1337" t="str">
            <v>item_1102401</v>
          </cell>
        </row>
        <row r="1338">
          <cell r="E1338" t="str">
            <v>4级抗暴伤宝石</v>
          </cell>
          <cell r="F1338" t="str">
            <v>抗暴伤宝石</v>
          </cell>
          <cell r="G1338" t="str">
            <v>镶嵌在装备上的抗暴伤宝石，提高1.6%抗暴击伤害。</v>
          </cell>
          <cell r="H1338" t="str">
            <v>item_1102404</v>
          </cell>
        </row>
        <row r="1339">
          <cell r="E1339" t="str">
            <v>5级抗暴伤宝石</v>
          </cell>
          <cell r="F1339" t="str">
            <v>抗暴伤宝石</v>
          </cell>
          <cell r="G1339" t="str">
            <v>镶嵌在装备上的抗暴伤宝石，提高2.0%抗暴击伤害。</v>
          </cell>
          <cell r="H1339" t="str">
            <v>item_1102404</v>
          </cell>
        </row>
        <row r="1340">
          <cell r="E1340" t="str">
            <v>6级抗暴伤宝石</v>
          </cell>
          <cell r="F1340" t="str">
            <v>抗暴伤宝石</v>
          </cell>
          <cell r="G1340" t="str">
            <v>镶嵌在装备上的抗暴伤宝石，提高2.5%抗暴击伤害。</v>
          </cell>
          <cell r="H1340" t="str">
            <v>item_1102404</v>
          </cell>
        </row>
        <row r="1341">
          <cell r="E1341" t="str">
            <v>7级抗暴伤宝石</v>
          </cell>
          <cell r="F1341" t="str">
            <v>抗暴伤宝石</v>
          </cell>
          <cell r="G1341" t="str">
            <v>镶嵌在装备上的抗暴伤宝石，提高3.3%抗暴击伤害。</v>
          </cell>
          <cell r="H1341" t="str">
            <v>item_1102407</v>
          </cell>
        </row>
        <row r="1342">
          <cell r="E1342" t="str">
            <v>8级抗暴伤宝石</v>
          </cell>
          <cell r="F1342" t="str">
            <v>抗暴伤宝石</v>
          </cell>
          <cell r="G1342" t="str">
            <v>镶嵌在装备上的抗暴伤宝石，提高4.3%抗暴击伤害。</v>
          </cell>
          <cell r="H1342" t="str">
            <v>item_1102407</v>
          </cell>
        </row>
        <row r="1343">
          <cell r="E1343" t="str">
            <v>9级抗暴伤宝石</v>
          </cell>
          <cell r="F1343" t="str">
            <v>抗暴伤宝石</v>
          </cell>
          <cell r="G1343" t="str">
            <v>镶嵌在装备上的抗暴伤宝石，提高5.6%抗暴击伤害。</v>
          </cell>
          <cell r="H1343" t="str">
            <v>item_1102407</v>
          </cell>
        </row>
        <row r="1344">
          <cell r="E1344" t="str">
            <v>10级抗暴伤宝石</v>
          </cell>
          <cell r="F1344" t="str">
            <v>抗暴伤宝石</v>
          </cell>
          <cell r="G1344" t="str">
            <v>镶嵌在装备上的抗暴伤宝石，提高8.0%抗暴击伤害。</v>
          </cell>
          <cell r="H1344" t="str">
            <v>item_1102410</v>
          </cell>
        </row>
        <row r="1345">
          <cell r="E1345" t="str">
            <v>精致宝石袋</v>
          </cell>
          <cell r="F1345" t="str">
            <v>精致宝石袋</v>
          </cell>
          <cell r="G1345" t="str">
            <v>装有宝石的小袋子，打开后可以获得高档宝石，有几率开出高等级宝石。</v>
          </cell>
          <cell r="H1345" t="str">
            <v>item_box_08</v>
          </cell>
        </row>
        <row r="1346">
          <cell r="E1346" t="str">
            <v>精巧宝石袋</v>
          </cell>
          <cell r="F1346" t="str">
            <v>精巧宝石袋</v>
          </cell>
          <cell r="G1346" t="str">
            <v>装有宝石的小袋子，打开后可以获得高档宝石，有几率开出高等级宝石。</v>
          </cell>
          <cell r="H1346" t="str">
            <v>item_box_27</v>
          </cell>
        </row>
        <row r="1347">
          <cell r="E1347" t="str">
            <v>技能书袋子</v>
          </cell>
          <cell r="F1347" t="str">
            <v>秘传书宝箱</v>
          </cell>
          <cell r="G1347" t="str">
            <v>装有秘传书的宝箱，打开后可以获得秘传书，有几率开出高等级秘传书。</v>
          </cell>
          <cell r="H1347" t="str">
            <v>item_box_01</v>
          </cell>
        </row>
        <row r="1348">
          <cell r="E1348" t="str">
            <v>突破材料袋子</v>
          </cell>
          <cell r="F1348" t="str">
            <v>突破材料宝箱</v>
          </cell>
          <cell r="G1348" t="str">
            <v>装有突破材料的宝箱，打开后可以获得突破材料，有几率开出高品质突破材料。</v>
          </cell>
          <cell r="H1348" t="str">
            <v>item_box_01</v>
          </cell>
        </row>
        <row r="1349">
          <cell r="E1349" t="str">
            <v>打孔道具袋子</v>
          </cell>
          <cell r="F1349" t="str">
            <v>打孔道具袋</v>
          </cell>
          <cell r="G1349" t="str">
            <v>装有打孔石的小袋子，打开后可以获得打孔石，有几率开出高品质打孔石。</v>
          </cell>
          <cell r="H1349" t="str">
            <v>item_box_07</v>
          </cell>
        </row>
        <row r="1350">
          <cell r="E1350" t="str">
            <v>精炼石袋子</v>
          </cell>
          <cell r="F1350" t="str">
            <v>精炼石袋</v>
          </cell>
          <cell r="G1350" t="str">
            <v>装有精炼石的小袋子，打开后可以获得精炼石，有几率开出高品质精炼石。</v>
          </cell>
          <cell r="H1350" t="str">
            <v>item_box_07</v>
          </cell>
        </row>
        <row r="1351">
          <cell r="E1351" t="str">
            <v>精巧宝石袋</v>
          </cell>
          <cell r="F1351" t="str">
            <v>精巧宝石袋</v>
          </cell>
          <cell r="G1351" t="str">
            <v>装有宝石的小袋子，打开后可以随机获得属伤宝石、抗性宝石和抗暴伤宝石，有几率开出高等级宝石。</v>
          </cell>
          <cell r="H1351" t="str">
            <v>item_box_27</v>
          </cell>
        </row>
        <row r="1352">
          <cell r="E1352" t="str">
            <v>高级宝石袋</v>
          </cell>
          <cell r="F1352" t="str">
            <v>高级宝石袋</v>
          </cell>
          <cell r="G1352" t="str">
            <v>装有高级宝石的袋子，打开后可以随机获得一个7级宝石。</v>
          </cell>
          <cell r="H1352" t="str">
            <v>item_box_27</v>
          </cell>
        </row>
        <row r="1353">
          <cell r="E1353" t="str">
            <v>血战宝箱</v>
          </cell>
          <cell r="F1353" t="str">
            <v>血战宝箱</v>
          </cell>
          <cell r="G1353" t="str">
            <v>打开后有概率获得蓝钻、秘传书、宝石。</v>
          </cell>
          <cell r="H1353" t="str">
            <v>item_box_19</v>
          </cell>
        </row>
        <row r="1354">
          <cell r="E1354" t="str">
            <v>血战宝箱</v>
          </cell>
          <cell r="F1354" t="str">
            <v>血战宝箱</v>
          </cell>
          <cell r="G1354" t="str">
            <v>打开后有概率获得蓝钻、秘传书、宝石、英雄之石。</v>
          </cell>
          <cell r="H1354" t="str">
            <v>item_box_21</v>
          </cell>
        </row>
        <row r="1355">
          <cell r="E1355" t="str">
            <v>血战宝箱</v>
          </cell>
          <cell r="F1355" t="str">
            <v>血战宝箱</v>
          </cell>
          <cell r="G1355" t="str">
            <v>打开后有概率获得蓝钻、秘传书、宝石、英雄之石。</v>
          </cell>
          <cell r="H1355" t="str">
            <v>item_box_23</v>
          </cell>
        </row>
        <row r="1356">
          <cell r="E1356" t="str">
            <v>红绸带</v>
          </cell>
          <cell r="F1356" t="str">
            <v>红绸带</v>
          </cell>
          <cell r="G1356" t="str">
            <v>飘扬的红绸带，装饰在船上给人过节的感觉，可用于兑换道具</v>
          </cell>
          <cell r="H1356" t="str">
            <v>gqj_001</v>
          </cell>
        </row>
        <row r="1357">
          <cell r="E1357" t="str">
            <v>红灯笼</v>
          </cell>
          <cell r="F1357" t="str">
            <v>红灯笼</v>
          </cell>
          <cell r="G1357" t="str">
            <v>喜庆的红灯笼，挂在船头可照亮一方无尽的黑夜，可用于兑换道具</v>
          </cell>
          <cell r="H1357" t="str">
            <v>gqj_002</v>
          </cell>
        </row>
        <row r="1358">
          <cell r="E1358" t="str">
            <v>小红旗</v>
          </cell>
          <cell r="F1358" t="str">
            <v>小红旗</v>
          </cell>
          <cell r="G1358" t="str">
            <v>国庆节道具，用于国庆节活动。</v>
          </cell>
          <cell r="H1358" t="str">
            <v>gqj_003</v>
          </cell>
        </row>
        <row r="1359">
          <cell r="E1359" t="str">
            <v>小花灯</v>
          </cell>
          <cell r="F1359" t="str">
            <v>小花灯</v>
          </cell>
          <cell r="G1359" t="str">
            <v>中秋节道具，用于中秋节活动。</v>
          </cell>
          <cell r="H1359" t="str">
            <v>zqj_001</v>
          </cell>
        </row>
        <row r="1360">
          <cell r="E1360" t="str">
            <v>月饼</v>
          </cell>
          <cell r="F1360" t="str">
            <v>月饼</v>
          </cell>
          <cell r="G1360" t="str">
            <v>中秋节道具，用于中秋节活动。</v>
          </cell>
          <cell r="H1360" t="str">
            <v>zqj_002</v>
          </cell>
        </row>
        <row r="1361">
          <cell r="E1361" t="str">
            <v>银指环</v>
          </cell>
          <cell r="F1361" t="str">
            <v>浪花戒</v>
          </cell>
          <cell r="G1361" t="str">
            <v>获得20级戒指，有几率获得英雄装备。</v>
          </cell>
          <cell r="H1361" t="str">
            <v>item_box_01</v>
          </cell>
        </row>
        <row r="1362">
          <cell r="E1362" t="str">
            <v>海蓝项链</v>
          </cell>
          <cell r="F1362" t="str">
            <v>琥珀项链</v>
          </cell>
          <cell r="G1362" t="str">
            <v>获得20级项链，有几率获得英雄装备。</v>
          </cell>
          <cell r="H1362" t="str">
            <v>item_box_01</v>
          </cell>
        </row>
        <row r="1363">
          <cell r="E1363" t="str">
            <v>铁制头盔</v>
          </cell>
          <cell r="F1363" t="str">
            <v>独眼眼罩</v>
          </cell>
          <cell r="G1363" t="str">
            <v>获得20级防具，有几率获得英雄装备。</v>
          </cell>
          <cell r="H1363" t="str">
            <v>item_box_01</v>
          </cell>
        </row>
        <row r="1364">
          <cell r="E1364" t="str">
            <v>铁锈剑</v>
          </cell>
          <cell r="F1364" t="str">
            <v>武士刀</v>
          </cell>
          <cell r="G1364" t="str">
            <v>获得20级武器，有几率获得英雄装备。</v>
          </cell>
          <cell r="H1364" t="str">
            <v>item_box_01</v>
          </cell>
        </row>
        <row r="1365">
          <cell r="E1365" t="str">
            <v>金沙</v>
          </cell>
          <cell r="F1365" t="str">
            <v>金沙</v>
          </cell>
          <cell r="G1365" t="str">
            <v>放在回收站可以换取大额的金块。</v>
          </cell>
          <cell r="H1365" t="str">
            <v>item_700003</v>
          </cell>
        </row>
        <row r="1366">
          <cell r="E1366" t="str">
            <v>金沙</v>
          </cell>
          <cell r="F1366" t="str">
            <v>金沙</v>
          </cell>
          <cell r="G1366" t="str">
            <v>放在回收站可以换取大额的金块。</v>
          </cell>
          <cell r="H1366" t="str">
            <v>item_700004</v>
          </cell>
        </row>
        <row r="1367">
          <cell r="E1367" t="str">
            <v>一袋金沙</v>
          </cell>
          <cell r="F1367" t="str">
            <v>一袋金沙</v>
          </cell>
          <cell r="G1367" t="str">
            <v>放在回收站可以换取大额的金块。</v>
          </cell>
          <cell r="H1367" t="str">
            <v>item_700005</v>
          </cell>
        </row>
        <row r="1368">
          <cell r="E1368" t="str">
            <v>一箱金沙</v>
          </cell>
          <cell r="F1368" t="str">
            <v>一箱金沙</v>
          </cell>
          <cell r="G1368" t="str">
            <v>放在回收站可以换取大额的金块。</v>
          </cell>
          <cell r="H1368" t="str">
            <v>item_700006</v>
          </cell>
        </row>
        <row r="1369">
          <cell r="E1369" t="str">
            <v>20级未鉴定英雄装备箱</v>
          </cell>
          <cell r="F1369" t="str">
            <v>英雄装备箱</v>
          </cell>
          <cell r="G1369" t="str">
            <v>打开后随机获得一件未鉴定的20级英雄装备。</v>
          </cell>
          <cell r="H1369" t="str">
            <v>item_box_06</v>
          </cell>
        </row>
        <row r="1370">
          <cell r="E1370" t="str">
            <v>30级未鉴定英雄装备</v>
          </cell>
          <cell r="F1370" t="str">
            <v>英雄装备箱</v>
          </cell>
          <cell r="G1370" t="str">
            <v>打开后随机获得一件未鉴定的30级英雄装备。</v>
          </cell>
          <cell r="H1370" t="str">
            <v>item_box_06</v>
          </cell>
        </row>
        <row r="1371">
          <cell r="E1371" t="str">
            <v>皇家武器宝箱</v>
          </cell>
          <cell r="F1371" t="str">
            <v>皇家武器宝箱</v>
          </cell>
          <cell r="G1371" t="str">
            <v>打开后获得一件英雄·皇家猎枪。</v>
          </cell>
          <cell r="H1371" t="str">
            <v>item_box_02</v>
          </cell>
        </row>
        <row r="1372">
          <cell r="E1372" t="str">
            <v>皇家防具宝箱</v>
          </cell>
          <cell r="F1372" t="str">
            <v>皇家防具宝箱</v>
          </cell>
          <cell r="G1372" t="str">
            <v>打开后获得一件英雄·皇家华服。</v>
          </cell>
          <cell r="H1372" t="str">
            <v>item_box_02</v>
          </cell>
        </row>
        <row r="1373">
          <cell r="E1373" t="str">
            <v>皇家戒指宝箱</v>
          </cell>
          <cell r="F1373" t="str">
            <v>皇家戒指宝箱</v>
          </cell>
          <cell r="G1373" t="str">
            <v>打开后获得一件英雄·皇家珠宝。</v>
          </cell>
          <cell r="H1373" t="str">
            <v>item_box_02</v>
          </cell>
        </row>
        <row r="1374">
          <cell r="E1374" t="str">
            <v>皇家项链宝箱</v>
          </cell>
          <cell r="F1374" t="str">
            <v>皇家项链宝箱</v>
          </cell>
          <cell r="G1374" t="str">
            <v>打开后获得一件英雄·皇家吊坠。</v>
          </cell>
          <cell r="H1374" t="str">
            <v>item_box_02</v>
          </cell>
        </row>
        <row r="1375">
          <cell r="E1375" t="str">
            <v>竞技场挑战劵</v>
          </cell>
          <cell r="F1375" t="str">
            <v>竞技场挑战券</v>
          </cell>
          <cell r="G1375" t="str">
            <v>进入竞技场需要持有的券，使用后增加竞技场挑战次数。</v>
          </cell>
          <cell r="H1375" t="str">
            <v>item_712001</v>
          </cell>
        </row>
        <row r="1376">
          <cell r="E1376" t="str">
            <v>航海日志</v>
          </cell>
          <cell r="F1376" t="str">
            <v>航海日志</v>
          </cell>
          <cell r="G1376" t="str">
            <v>记录航海事件的日志，使用后增加角色传记次数。</v>
          </cell>
          <cell r="H1376" t="str">
            <v>item_712002</v>
          </cell>
        </row>
        <row r="1377">
          <cell r="E1377" t="str">
            <v>副本挑战券</v>
          </cell>
          <cell r="F1377" t="str">
            <v>副本挑战券</v>
          </cell>
          <cell r="G1377" t="str">
            <v>使用后增加剧情回顾次数。</v>
          </cell>
          <cell r="H1377" t="str">
            <v>item_712003</v>
          </cell>
        </row>
        <row r="1378">
          <cell r="E1378" t="str">
            <v>突破活动挑战劵</v>
          </cell>
          <cell r="F1378" t="str">
            <v>突破活动挑战券</v>
          </cell>
          <cell r="G1378" t="str">
            <v>使用后增加突破副本次数。</v>
          </cell>
          <cell r="H1378" t="str">
            <v>item_712004</v>
          </cell>
        </row>
        <row r="1379">
          <cell r="E1379" t="str">
            <v>秘传活动挑战劵</v>
          </cell>
          <cell r="F1379" t="str">
            <v>秘传活动挑战券</v>
          </cell>
          <cell r="G1379" t="str">
            <v>使用后增加秘传书副本次数。</v>
          </cell>
          <cell r="H1379" t="str">
            <v>item_712005</v>
          </cell>
        </row>
        <row r="1380">
          <cell r="E1380" t="str">
            <v>训练活动挑战劵</v>
          </cell>
          <cell r="F1380" t="str">
            <v>训练活动挑战券</v>
          </cell>
          <cell r="G1380" t="str">
            <v>使用增加训练副本次数。</v>
          </cell>
          <cell r="H1380" t="str">
            <v>item_712017</v>
          </cell>
        </row>
        <row r="1381">
          <cell r="E1381" t="str">
            <v>沙鳄鱼挑战书</v>
          </cell>
          <cell r="F1381" t="str">
            <v>沙·鳄鱼战令</v>
          </cell>
          <cell r="G1381" t="str">
            <v>消耗一张即可在乱入强者NPC处挑战沙·鳄鱼。</v>
          </cell>
          <cell r="H1381" t="str">
            <v>jingpintiaozhanshu</v>
          </cell>
        </row>
        <row r="1382">
          <cell r="E1382" t="str">
            <v>艾尼路挑战书</v>
          </cell>
          <cell r="F1382" t="str">
            <v>艾尼路战令</v>
          </cell>
          <cell r="G1382" t="str">
            <v>消耗一张即可在乱入强者NPC处挑战艾尼路。</v>
          </cell>
          <cell r="H1382" t="str">
            <v>jingpintiaozhanshu</v>
          </cell>
        </row>
        <row r="1383">
          <cell r="E1383" t="str">
            <v>青雉挑战书</v>
          </cell>
          <cell r="F1383" t="str">
            <v>青雉战灵</v>
          </cell>
          <cell r="G1383" t="str">
            <v>消耗一张即可在乱入强者NPC处挑战青雉。</v>
          </cell>
          <cell r="H1383" t="str">
            <v>jingpintiaozhanshu</v>
          </cell>
        </row>
        <row r="1384">
          <cell r="E1384" t="str">
            <v>戈普挑战书</v>
          </cell>
          <cell r="F1384" t="str">
            <v>戈普战令</v>
          </cell>
          <cell r="G1384" t="str">
            <v>消耗一张即可在乱入强者NPC处挑战戈普。</v>
          </cell>
          <cell r="H1384" t="str">
            <v>jingpintiaozhanshu</v>
          </cell>
        </row>
        <row r="1385">
          <cell r="E1385" t="str">
            <v>莫利亚挑战书</v>
          </cell>
          <cell r="F1385" t="str">
            <v>莫利亚战令</v>
          </cell>
          <cell r="G1385" t="str">
            <v>消耗一张即可在乱入强者NPC处挑战莫利亚。</v>
          </cell>
          <cell r="H1385" t="str">
            <v>jingpintiaozhanshu</v>
          </cell>
        </row>
        <row r="1386">
          <cell r="E1386" t="str">
            <v>大熊挑战书</v>
          </cell>
          <cell r="F1386" t="str">
            <v>大熊战令</v>
          </cell>
          <cell r="G1386" t="str">
            <v>消耗一张即可在乱入强者NPC处挑战大熊。</v>
          </cell>
          <cell r="H1386" t="str">
            <v>jingpintiaozhanshu</v>
          </cell>
        </row>
        <row r="1387">
          <cell r="E1387" t="str">
            <v>黄猿挑战书</v>
          </cell>
          <cell r="F1387" t="str">
            <v>黄猿战令</v>
          </cell>
          <cell r="G1387" t="str">
            <v>消耗一张即可在乱入强者NPC处挑战黄猿。</v>
          </cell>
          <cell r="H1387" t="str">
            <v>jingpintiaozhanshu</v>
          </cell>
        </row>
        <row r="1388">
          <cell r="E1388" t="str">
            <v>艾斯挑战书</v>
          </cell>
          <cell r="F1388" t="str">
            <v>艾斯战令</v>
          </cell>
          <cell r="G1388" t="str">
            <v>消耗一张即可在乱入强者NPC处挑战艾斯。</v>
          </cell>
          <cell r="H1388" t="str">
            <v>jingpintiaozhanshu</v>
          </cell>
        </row>
        <row r="1389">
          <cell r="E1389" t="str">
            <v>赤犬挑战书</v>
          </cell>
          <cell r="F1389" t="str">
            <v>赤犬战令</v>
          </cell>
          <cell r="G1389" t="str">
            <v>消耗一张即可在乱入强者NPC处挑战赤犬。</v>
          </cell>
          <cell r="H1389" t="str">
            <v>jingpintiaozhanshu</v>
          </cell>
        </row>
        <row r="1390">
          <cell r="E1390" t="str">
            <v>鹰眼挑战书</v>
          </cell>
          <cell r="F1390" t="str">
            <v>米霍克战令</v>
          </cell>
          <cell r="G1390" t="str">
            <v>消耗一张即可在乱入强者NPC处挑战米霍克。</v>
          </cell>
          <cell r="H1390" t="str">
            <v>jingpintiaozhanshu</v>
          </cell>
        </row>
        <row r="1391">
          <cell r="E1391" t="str">
            <v>乱入强者挑战卷</v>
          </cell>
          <cell r="F1391" t="str">
            <v>强者战令</v>
          </cell>
          <cell r="G1391" t="str">
            <v>消耗一张即可在乱入强者NPC处挑战这个世界真正的强者。</v>
          </cell>
          <cell r="H1391" t="str">
            <v>jingpintiaozhanshu</v>
          </cell>
        </row>
        <row r="1392">
          <cell r="E1392" t="str">
            <v>路奇挑战书</v>
          </cell>
          <cell r="F1392" t="str">
            <v>罗布·鲁兹战令</v>
          </cell>
          <cell r="G1392" t="str">
            <v>消耗一张即可在乱入强者NPC处挑战罗布·鲁兹。</v>
          </cell>
          <cell r="H1392" t="str">
            <v>jingpintiaozhanshu</v>
          </cell>
        </row>
        <row r="1393">
          <cell r="E1393" t="str">
            <v>爆炸头(路飞)时装</v>
          </cell>
          <cell r="F1393" t="str">
            <v>路飞时装</v>
          </cell>
          <cell r="G1393" t="str">
            <v>可以用来解锁时装：爆炸头(路飞)</v>
          </cell>
          <cell r="H1393" t="str">
            <v>item_713013</v>
          </cell>
        </row>
        <row r="1394">
          <cell r="E1394" t="str">
            <v>玛丽弗德(沙·鳄鱼)时装</v>
          </cell>
          <cell r="F1394" t="str">
            <v>沙·鳄鱼时装</v>
          </cell>
          <cell r="G1394" t="str">
            <v>可以用来解锁时装：玛丽弗德(沙·鳄鱼)</v>
          </cell>
          <cell r="H1394" t="str">
            <v>item_713014</v>
          </cell>
        </row>
        <row r="1395">
          <cell r="E1395" t="str">
            <v>水之都(佐罗)时装</v>
          </cell>
          <cell r="F1395" t="str">
            <v>佐罗时装</v>
          </cell>
          <cell r="G1395" t="str">
            <v>可以用来解锁时装：水之都(佐罗)</v>
          </cell>
          <cell r="H1395" t="str">
            <v>item_713015</v>
          </cell>
        </row>
        <row r="1396">
          <cell r="E1396" t="str">
            <v>狗头帽(戈普)时装</v>
          </cell>
          <cell r="F1396" t="str">
            <v>戈普时装</v>
          </cell>
          <cell r="G1396" t="str">
            <v>可以用来解锁时装：狗头帽(戈普)</v>
          </cell>
          <cell r="H1396" t="str">
            <v>item_713016</v>
          </cell>
        </row>
        <row r="1397">
          <cell r="E1397" t="str">
            <v>紫色旗袍(汉库珂)时装</v>
          </cell>
          <cell r="F1397" t="str">
            <v>汉库珂时装</v>
          </cell>
          <cell r="G1397" t="str">
            <v>可以用来解锁时装：紫色旗袍(汉库珂)</v>
          </cell>
          <cell r="H1397" t="str">
            <v>item_713017</v>
          </cell>
        </row>
        <row r="1398">
          <cell r="E1398" t="str">
            <v>阿拉巴斯坦(艾斯)时装</v>
          </cell>
          <cell r="F1398" t="str">
            <v>艾斯时装</v>
          </cell>
          <cell r="G1398" t="str">
            <v>可以用来解锁时装：阿拉巴斯坦(艾斯)</v>
          </cell>
          <cell r="H1398" t="str">
            <v>item_713018</v>
          </cell>
        </row>
        <row r="1399">
          <cell r="E1399" t="str">
            <v>长链岛(撒谎布)时装</v>
          </cell>
          <cell r="F1399" t="str">
            <v>撒谎布时装</v>
          </cell>
          <cell r="G1399" t="str">
            <v>可以用来解锁时装：长链岛(撒谎布)</v>
          </cell>
          <cell r="H1399" t="str">
            <v>item_713019</v>
          </cell>
        </row>
        <row r="1400">
          <cell r="E1400" t="str">
            <v>结婚礼服(奈美)时装</v>
          </cell>
          <cell r="F1400" t="str">
            <v>奈美时装</v>
          </cell>
          <cell r="G1400" t="str">
            <v>可以用来解锁时装：结婚礼服(奈美)</v>
          </cell>
          <cell r="H1400" t="str">
            <v>item_713020</v>
          </cell>
        </row>
        <row r="1401">
          <cell r="E1401" t="str">
            <v>空岛(山智)时装</v>
          </cell>
          <cell r="F1401" t="str">
            <v>山智时装</v>
          </cell>
          <cell r="G1401" t="str">
            <v>可以用来解锁时装：空岛(山智)</v>
          </cell>
          <cell r="H1401" t="str">
            <v>item_713021</v>
          </cell>
        </row>
        <row r="1402">
          <cell r="E1402" t="str">
            <v>巴奇海军时装</v>
          </cell>
          <cell r="F1402" t="str">
            <v>巴奇时装</v>
          </cell>
          <cell r="G1402" t="str">
            <v>可以用来解锁时装：玛丽弗德(巴奇)</v>
          </cell>
          <cell r="H1402" t="str">
            <v>item_713022</v>
          </cell>
        </row>
        <row r="1403">
          <cell r="E1403" t="str">
            <v>薇薇公主时装</v>
          </cell>
          <cell r="F1403" t="str">
            <v>薇薇时装</v>
          </cell>
          <cell r="G1403" t="str">
            <v>可以用来解锁时装：公主装(薇薇)</v>
          </cell>
          <cell r="H1403" t="str">
            <v>item_713023</v>
          </cell>
        </row>
        <row r="1404">
          <cell r="E1404" t="str">
            <v>鲁兹船工时装</v>
          </cell>
          <cell r="F1404" t="str">
            <v>鲁兹时装</v>
          </cell>
          <cell r="G1404" t="str">
            <v>可以用来解锁时装：水之都(鲁兹)</v>
          </cell>
          <cell r="H1404" t="str">
            <v>item_713024</v>
          </cell>
        </row>
        <row r="1405">
          <cell r="E1405" t="str">
            <v>奈美泳装时装</v>
          </cell>
          <cell r="F1405" t="str">
            <v>奈美时装2</v>
          </cell>
          <cell r="G1405" t="str">
            <v>可以用来解锁时装：泳装(奈美)</v>
          </cell>
          <cell r="H1405" t="str">
            <v>item_713025</v>
          </cell>
        </row>
        <row r="1406">
          <cell r="E1406" t="str">
            <v>罗宾泳装时装</v>
          </cell>
          <cell r="F1406" t="str">
            <v>罗宾时装</v>
          </cell>
          <cell r="G1406" t="str">
            <v>可以用来解锁时装：泳装(罗宾)</v>
          </cell>
          <cell r="H1406" t="str">
            <v>item_713026</v>
          </cell>
        </row>
        <row r="1407">
          <cell r="E1407" t="str">
            <v>奈美阿拉巴斯坦舞娘装</v>
          </cell>
          <cell r="F1407" t="str">
            <v>奈美时装3</v>
          </cell>
          <cell r="G1407" t="str">
            <v>可以用来解锁时装：阿拉巴斯坦舞娘装(奈美)</v>
          </cell>
          <cell r="H1407" t="str">
            <v>item_713027</v>
          </cell>
        </row>
        <row r="1408">
          <cell r="E1408" t="str">
            <v>罗宾巴洛克工作社装</v>
          </cell>
          <cell r="F1408" t="str">
            <v>罗宾时装2</v>
          </cell>
          <cell r="G1408" t="str">
            <v>可以用来解锁时装：MissAllSunday(罗宾)</v>
          </cell>
          <cell r="H1408" t="str">
            <v>item_713028</v>
          </cell>
        </row>
        <row r="1409">
          <cell r="E1409" t="str">
            <v>路飞夏威夷服装</v>
          </cell>
          <cell r="F1409" t="str">
            <v>路飞时装2</v>
          </cell>
          <cell r="G1409" t="str">
            <v>可以用来解锁时装：夏威夷服(路飞)</v>
          </cell>
          <cell r="H1409" t="str">
            <v>item_713029</v>
          </cell>
        </row>
        <row r="1410">
          <cell r="E1410" t="str">
            <v>新世界佐罗-黑色西服</v>
          </cell>
          <cell r="F1410" t="str">
            <v>新世界佐罗时装1</v>
          </cell>
          <cell r="G1410" t="str">
            <v>可以用来解锁时装：黑色西服(新世界佐罗)</v>
          </cell>
          <cell r="H1410" t="str">
            <v>item_713030</v>
          </cell>
        </row>
        <row r="1411">
          <cell r="E1411" t="str">
            <v>新世界佐罗-激战</v>
          </cell>
          <cell r="F1411" t="str">
            <v>新世界佐罗时装2</v>
          </cell>
          <cell r="G1411" t="str">
            <v>可以用来解锁时装：激战形态(新世界佐罗)</v>
          </cell>
          <cell r="H1411" t="str">
            <v>item_713031</v>
          </cell>
        </row>
        <row r="1412">
          <cell r="E1412" t="str">
            <v>新世界撒谎布-德雷斯罗萨</v>
          </cell>
          <cell r="F1412" t="str">
            <v>新世界撒谎布时装1</v>
          </cell>
          <cell r="G1412" t="str">
            <v>可以用来解锁时装：德雷斯罗萨(新世界撒谎布)</v>
          </cell>
          <cell r="H1412" t="str">
            <v>item_713032</v>
          </cell>
        </row>
        <row r="1413">
          <cell r="E1413" t="str">
            <v>新世界佐罗-唐装</v>
          </cell>
          <cell r="F1413" t="str">
            <v>新世界佐罗时装3</v>
          </cell>
          <cell r="G1413" t="str">
            <v>可以用来解锁时装：唐装(新世界佐罗)</v>
          </cell>
          <cell r="H1413" t="str">
            <v>item_713033</v>
          </cell>
        </row>
        <row r="1414">
          <cell r="E1414" t="str">
            <v>新世界奈美-唐装</v>
          </cell>
          <cell r="F1414" t="str">
            <v>新世界奈美时装1</v>
          </cell>
          <cell r="G1414" t="str">
            <v>可以用来解锁时装：唐装(新世界奈美)</v>
          </cell>
          <cell r="H1414" t="str">
            <v>item_713034</v>
          </cell>
        </row>
        <row r="1415">
          <cell r="E1415" t="str">
            <v>新世界撒谎布-唐装</v>
          </cell>
          <cell r="F1415" t="str">
            <v>新世界撒谎布时装2</v>
          </cell>
          <cell r="G1415" t="str">
            <v>可以用来解锁时装：唐装(新世界撒谎布)</v>
          </cell>
          <cell r="H1415" t="str">
            <v>item_713035</v>
          </cell>
        </row>
        <row r="1416">
          <cell r="E1416" t="str">
            <v>新世界罗宾-唐装</v>
          </cell>
          <cell r="F1416" t="str">
            <v>新世界罗宾时装1</v>
          </cell>
          <cell r="G1416" t="str">
            <v>可以用来解锁时装：唐装(新世界罗宾)</v>
          </cell>
          <cell r="H1416" t="str">
            <v>item_713036</v>
          </cell>
        </row>
        <row r="1417">
          <cell r="E1417" t="str">
            <v>新世界路飞-唐装</v>
          </cell>
          <cell r="F1417" t="str">
            <v>新世界路飞时装1</v>
          </cell>
          <cell r="G1417" t="str">
            <v>可以用来解锁时装：唐装(新世界路飞)</v>
          </cell>
          <cell r="H1417" t="str">
            <v>item_713037</v>
          </cell>
        </row>
        <row r="1418">
          <cell r="E1418" t="str">
            <v>新世界山智-唐装</v>
          </cell>
          <cell r="F1418" t="str">
            <v>新世界山治时装1</v>
          </cell>
          <cell r="G1418" t="str">
            <v>可以用来解锁时装：唐装(新世界山智)</v>
          </cell>
          <cell r="H1418" t="str">
            <v>item_713038</v>
          </cell>
        </row>
        <row r="1419">
          <cell r="E1419" t="str">
            <v>新世界弗兰奇-金属</v>
          </cell>
          <cell r="F1419" t="str">
            <v>新世界弗兰奇时装1</v>
          </cell>
          <cell r="G1419" t="str">
            <v>可以用来解锁时装：黑犀牛FR-U4(新世界弗兰奇)</v>
          </cell>
          <cell r="H1419" t="str">
            <v>item_713039</v>
          </cell>
        </row>
        <row r="1420">
          <cell r="E1420" t="str">
            <v>新世界路飞-皇者披风</v>
          </cell>
          <cell r="F1420" t="str">
            <v>新世界路飞时装2</v>
          </cell>
          <cell r="G1420" t="str">
            <v>可以用来解锁时装：皇者披风(新世界路飞)</v>
          </cell>
          <cell r="H1420" t="str">
            <v>item_713040</v>
          </cell>
        </row>
        <row r="1421">
          <cell r="E1421" t="str">
            <v>玫瑰礼服(汉库珂)时装</v>
          </cell>
          <cell r="F1421" t="str">
            <v>汉库珂玫瑰礼服</v>
          </cell>
          <cell r="G1421" t="str">
            <v>可以用来解锁时装：玫瑰礼服(汉库珂)</v>
          </cell>
          <cell r="H1421" t="str">
            <v>item_713037</v>
          </cell>
        </row>
        <row r="1422">
          <cell r="E1422" t="str">
            <v>新世界奈美-泳装</v>
          </cell>
          <cell r="F1422" t="str">
            <v>新世界奈美时装2</v>
          </cell>
          <cell r="G1422" t="str">
            <v>可以用来解锁时装：泳装(新世界奈美)</v>
          </cell>
          <cell r="H1422" t="str">
            <v>item_713042</v>
          </cell>
        </row>
        <row r="1423">
          <cell r="E1423" t="str">
            <v>佩罗娜泳装</v>
          </cell>
          <cell r="F1423" t="str">
            <v>佩罗娜泳装</v>
          </cell>
          <cell r="G1423" t="str">
            <v>可以用来解锁时装：泳装(佩罗娜)</v>
          </cell>
          <cell r="H1423" t="str">
            <v>item_713043</v>
          </cell>
        </row>
        <row r="1424">
          <cell r="E1424" t="str">
            <v>薇薇泳装</v>
          </cell>
          <cell r="F1424" t="str">
            <v>薇薇泳装</v>
          </cell>
          <cell r="G1424" t="str">
            <v>可以用来解锁时装：泳装(薇薇)</v>
          </cell>
          <cell r="H1424" t="str">
            <v>item_713044</v>
          </cell>
        </row>
        <row r="1425">
          <cell r="E1425" t="str">
            <v>新世界布鲁克-唐装</v>
          </cell>
          <cell r="F1425" t="str">
            <v>新世界布鲁克时装1</v>
          </cell>
          <cell r="G1425" t="str">
            <v>可以用来解锁时装：唐装(新世界布鲁克)</v>
          </cell>
          <cell r="H1425" t="str">
            <v>item_713045</v>
          </cell>
        </row>
        <row r="1426">
          <cell r="E1426" t="str">
            <v>新世界罗宾泳装</v>
          </cell>
          <cell r="F1426" t="str">
            <v>新世界罗宾泳装</v>
          </cell>
          <cell r="G1426" t="str">
            <v>可以用来解锁时装：泳装(新世界罗宾)</v>
          </cell>
          <cell r="H1426" t="str">
            <v>item_713037</v>
          </cell>
        </row>
        <row r="1427">
          <cell r="E1427" t="str">
            <v>附魂抽卡卷</v>
          </cell>
          <cell r="F1427" t="str">
            <v>搜魂劵</v>
          </cell>
          <cell r="G1427" t="str">
            <v>可以免费搜魂一次</v>
          </cell>
          <cell r="H1427" t="str">
            <v>item_720001</v>
          </cell>
        </row>
        <row r="1428">
          <cell r="E1428" t="str">
            <v>舰船甲板1</v>
          </cell>
          <cell r="F1428" t="str">
            <v>红花水</v>
          </cell>
          <cell r="G1428">
            <v>0</v>
          </cell>
          <cell r="H1428" t="str">
            <v>item_451002</v>
          </cell>
        </row>
        <row r="1429">
          <cell r="E1429" t="str">
            <v>桅杆1</v>
          </cell>
          <cell r="F1429" t="str">
            <v>甘草芦荟丸</v>
          </cell>
          <cell r="G1429" t="str">
            <v>增加10%元素抗性，持续30分钟。</v>
          </cell>
          <cell r="H1429" t="str">
            <v>item_451003</v>
          </cell>
        </row>
        <row r="1430">
          <cell r="E1430" t="str">
            <v>大炮1</v>
          </cell>
          <cell r="F1430" t="str">
            <v>甘草蘑菇丸</v>
          </cell>
          <cell r="G1430">
            <v>0</v>
          </cell>
          <cell r="H1430" t="str">
            <v>item_451004</v>
          </cell>
        </row>
        <row r="1431">
          <cell r="E1431" t="str">
            <v>帆布1</v>
          </cell>
          <cell r="F1431" t="str">
            <v>四叶红花水</v>
          </cell>
          <cell r="G1431" t="str">
            <v>增加10%元素伤害，持续30分钟。</v>
          </cell>
          <cell r="H1431" t="str">
            <v>item_451005</v>
          </cell>
        </row>
        <row r="1432">
          <cell r="E1432" t="str">
            <v>铁钉1</v>
          </cell>
          <cell r="F1432" t="str">
            <v>芦荟四叶酒</v>
          </cell>
          <cell r="G1432" t="str">
            <v>战斗中50%几率几率免疫减速效果，持续30分钟。</v>
          </cell>
          <cell r="H1432" t="str">
            <v>item_451006</v>
          </cell>
        </row>
        <row r="1433">
          <cell r="E1433" t="str">
            <v>缆绳1</v>
          </cell>
          <cell r="F1433" t="str">
            <v>芦荟红花胶囊</v>
          </cell>
          <cell r="G1433" t="str">
            <v>战斗中50%几率几率免疫击退效果，持续30分钟。</v>
          </cell>
          <cell r="H1433" t="str">
            <v>item_451008</v>
          </cell>
        </row>
        <row r="1434">
          <cell r="E1434" t="str">
            <v>快速挑战券</v>
          </cell>
          <cell r="F1434" t="str">
            <v>快速挑战券</v>
          </cell>
          <cell r="G1434" t="str">
            <v>可以在剧情回顾、角色传记、活动副本、血战中快速完成战斗。</v>
          </cell>
          <cell r="H1434" t="str">
            <v>item_713001</v>
          </cell>
        </row>
        <row r="1435">
          <cell r="E1435" t="str">
            <v>历险速战券</v>
          </cell>
          <cell r="F1435" t="str">
            <v>快速挑战券</v>
          </cell>
          <cell r="G1435" t="str">
            <v>可以在历险中快速完成战斗。</v>
          </cell>
          <cell r="H1435" t="str">
            <v>item_452203</v>
          </cell>
        </row>
        <row r="1436">
          <cell r="E1436" t="str">
            <v>青铜勋章</v>
          </cell>
          <cell r="F1436" t="str">
            <v>青铜勋章</v>
          </cell>
          <cell r="G1436" t="str">
            <v>青铜铸造的神秘勋章，可用于兑换指定奖励。</v>
          </cell>
          <cell r="H1436" t="str">
            <v>item_465110</v>
          </cell>
        </row>
        <row r="1437">
          <cell r="E1437" t="str">
            <v>白银徽章1</v>
          </cell>
          <cell r="F1437" t="str">
            <v>白银勋章</v>
          </cell>
          <cell r="G1437" t="str">
            <v>兑换道具</v>
          </cell>
          <cell r="H1437" t="str">
            <v>item_465111</v>
          </cell>
        </row>
        <row r="1438">
          <cell r="E1438" t="str">
            <v>白银徽章2</v>
          </cell>
          <cell r="F1438" t="str">
            <v>白银勋章</v>
          </cell>
          <cell r="G1438" t="str">
            <v>兑换道具</v>
          </cell>
          <cell r="H1438" t="str">
            <v>item_465111</v>
          </cell>
        </row>
        <row r="1439">
          <cell r="E1439" t="str">
            <v>黄金徽章1</v>
          </cell>
          <cell r="F1439" t="str">
            <v>黄金勋章</v>
          </cell>
          <cell r="G1439" t="str">
            <v>兑换道具</v>
          </cell>
          <cell r="H1439" t="str">
            <v>item_465112</v>
          </cell>
        </row>
        <row r="1440">
          <cell r="E1440" t="str">
            <v>学徒布丁</v>
          </cell>
          <cell r="F1440" t="str">
            <v>学徒布丁</v>
          </cell>
          <cell r="G1440" t="str">
            <v>角色获得亲密度时，额外增加2，持续60分钟，同类型不可累积使用。</v>
          </cell>
          <cell r="H1440" t="str">
            <v>item_466001</v>
          </cell>
        </row>
        <row r="1441">
          <cell r="E1441" t="str">
            <v>学徒超美味蛤蜊</v>
          </cell>
          <cell r="F1441" t="str">
            <v>学徒超美味蛤蜊</v>
          </cell>
          <cell r="G1441" t="str">
            <v>角色进入战斗后，立即拥有10%的怒气，与玩家战斗不生效，持续60分钟，同类型不可累积使用。</v>
          </cell>
          <cell r="H1441" t="str">
            <v>item_466002</v>
          </cell>
        </row>
        <row r="1442">
          <cell r="E1442" t="str">
            <v>学徒便当</v>
          </cell>
          <cell r="F1442" t="str">
            <v>学徒便当</v>
          </cell>
          <cell r="G1442" t="str">
            <v>队伍中每个角色立即恢复1500生命，同类型道具冷却时间15秒。</v>
          </cell>
          <cell r="H1442" t="str">
            <v>item_466003</v>
          </cell>
        </row>
        <row r="1443">
          <cell r="E1443" t="str">
            <v>学徒伙食汤</v>
          </cell>
          <cell r="F1443" t="str">
            <v>学徒伙食汤</v>
          </cell>
          <cell r="G1443" t="str">
            <v>增加幸运值10点，幸运值可以提升战胜野外敌人后获得道具几率，持续60分钟，同类型不可累积使用。</v>
          </cell>
          <cell r="H1443" t="str">
            <v>item_466004</v>
          </cell>
        </row>
        <row r="1444">
          <cell r="E1444" t="str">
            <v>学徒棒骨大肉</v>
          </cell>
          <cell r="F1444" t="str">
            <v>学徒棒骨大肉</v>
          </cell>
          <cell r="G1444" t="str">
            <v>永久增加角色生命上限5，每个角色使用上限50个。</v>
          </cell>
          <cell r="H1444" t="str">
            <v>item_466005</v>
          </cell>
        </row>
        <row r="1445">
          <cell r="E1445" t="str">
            <v>学徒炖香肠</v>
          </cell>
          <cell r="F1445" t="str">
            <v>学徒炖香肠</v>
          </cell>
          <cell r="G1445" t="str">
            <v>永久增加角色格挡值5，每个角色使用上限50个。</v>
          </cell>
          <cell r="H1445" t="str">
            <v>item_466006</v>
          </cell>
        </row>
        <row r="1446">
          <cell r="E1446" t="str">
            <v>学徒可乐饼</v>
          </cell>
          <cell r="F1446" t="str">
            <v>学徒可乐饼</v>
          </cell>
          <cell r="G1446" t="str">
            <v>永久增加角色暴击值5，每个角色使用上限50个。</v>
          </cell>
          <cell r="H1446" t="str">
            <v>item_466007</v>
          </cell>
        </row>
        <row r="1447">
          <cell r="E1447" t="str">
            <v>学徒秘制煮豆</v>
          </cell>
          <cell r="F1447" t="str">
            <v>学徒秘制煮豆</v>
          </cell>
          <cell r="G1447" t="str">
            <v>永久增加角色破击值5，每个角色使用上限50个。</v>
          </cell>
          <cell r="H1447" t="str">
            <v>item_466008</v>
          </cell>
        </row>
        <row r="1448">
          <cell r="E1448" t="str">
            <v>学徒切片章鱼</v>
          </cell>
          <cell r="F1448" t="str">
            <v>学徒切片章鱼</v>
          </cell>
          <cell r="G1448" t="str">
            <v>永久增加角色闪避值5，每个角色使用上限50个。</v>
          </cell>
          <cell r="H1448" t="str">
            <v>item_466009</v>
          </cell>
        </row>
        <row r="1449">
          <cell r="E1449" t="str">
            <v>学徒石烧炖菜</v>
          </cell>
          <cell r="F1449" t="str">
            <v>学徒石烧炖菜</v>
          </cell>
          <cell r="G1449" t="str">
            <v>永久增加角色韧性值5，每个角色使用上限50个。</v>
          </cell>
          <cell r="H1449" t="str">
            <v>item_466010</v>
          </cell>
        </row>
        <row r="1450">
          <cell r="E1450" t="str">
            <v>学徒水果百汇</v>
          </cell>
          <cell r="F1450" t="str">
            <v>学徒水果百汇</v>
          </cell>
          <cell r="G1450" t="str">
            <v>永久增加角色攻击5，每个角色使用上限50个。</v>
          </cell>
          <cell r="H1450" t="str">
            <v>item_466011</v>
          </cell>
        </row>
        <row r="1451">
          <cell r="E1451" t="str">
            <v>学徒樱桃派</v>
          </cell>
          <cell r="F1451" t="str">
            <v>学徒樱桃派</v>
          </cell>
          <cell r="G1451" t="str">
            <v>永久增加角色防御5，每个角色使用上限50个。</v>
          </cell>
          <cell r="H1451" t="str">
            <v>item_466012</v>
          </cell>
        </row>
        <row r="1452">
          <cell r="E1452" t="str">
            <v>学徒章鱼烧</v>
          </cell>
          <cell r="F1452" t="str">
            <v>学徒章鱼烧</v>
          </cell>
          <cell r="G1452" t="str">
            <v>永久增加角色速度5，每个角色使用上限50个。</v>
          </cell>
          <cell r="H1452" t="str">
            <v>item_466013</v>
          </cell>
        </row>
        <row r="1453">
          <cell r="E1453" t="str">
            <v>学徒食品摊炒面</v>
          </cell>
          <cell r="F1453" t="str">
            <v>学徒食品摊炒面</v>
          </cell>
          <cell r="G1453" t="str">
            <v>永久增加角色命中值5，每个角色使用上限50个。</v>
          </cell>
          <cell r="H1453" t="str">
            <v>item_466014</v>
          </cell>
        </row>
        <row r="1454">
          <cell r="E1454" t="str">
            <v>初级布丁</v>
          </cell>
          <cell r="F1454" t="str">
            <v>初级布丁</v>
          </cell>
          <cell r="G1454" t="str">
            <v>角色获得亲密度时，额外增加4，持续60分钟，同类型不可累积使用</v>
          </cell>
          <cell r="H1454" t="str">
            <v>item_466001</v>
          </cell>
        </row>
        <row r="1455">
          <cell r="E1455" t="str">
            <v>初级超美味蛤蜊</v>
          </cell>
          <cell r="F1455" t="str">
            <v>初级超美味蛤蜊</v>
          </cell>
          <cell r="G1455" t="str">
            <v>角色进入战斗后，立即拥有20%的怒气，与玩家战斗不生效，持续60分钟，同类型不可累积使用</v>
          </cell>
          <cell r="H1455" t="str">
            <v>item_466002</v>
          </cell>
        </row>
        <row r="1456">
          <cell r="E1456" t="str">
            <v>初级便当</v>
          </cell>
          <cell r="F1456" t="str">
            <v>初级便当</v>
          </cell>
          <cell r="G1456" t="str">
            <v>队伍中每个角色立即恢复3000生命，同类型道具冷却时间15秒</v>
          </cell>
          <cell r="H1456" t="str">
            <v>item_466003</v>
          </cell>
        </row>
        <row r="1457">
          <cell r="E1457" t="str">
            <v>初级伙食汤</v>
          </cell>
          <cell r="F1457" t="str">
            <v>初级伙食汤</v>
          </cell>
          <cell r="G1457" t="str">
            <v>增加幸运值20点，幸运值可以提升战胜野外敌人后获得道具几率，持续60分钟，同类型不可累积使用</v>
          </cell>
          <cell r="H1457" t="str">
            <v>item_466004</v>
          </cell>
        </row>
        <row r="1458">
          <cell r="E1458" t="str">
            <v>初级棒骨大肉</v>
          </cell>
          <cell r="F1458" t="str">
            <v>初级棒骨大肉</v>
          </cell>
          <cell r="G1458" t="str">
            <v>永久增加角色生命上限10，每个角色使用上限50个</v>
          </cell>
          <cell r="H1458" t="str">
            <v>item_466005</v>
          </cell>
        </row>
        <row r="1459">
          <cell r="E1459" t="str">
            <v>初级炖香肠</v>
          </cell>
          <cell r="F1459" t="str">
            <v>初级炖香肠</v>
          </cell>
          <cell r="G1459" t="str">
            <v>永久增加角色格挡值5，每个角色使用上限50个</v>
          </cell>
          <cell r="H1459" t="str">
            <v>item_466006</v>
          </cell>
        </row>
        <row r="1460">
          <cell r="E1460" t="str">
            <v>初级可乐饼</v>
          </cell>
          <cell r="F1460" t="str">
            <v>初级可乐饼</v>
          </cell>
          <cell r="G1460" t="str">
            <v>永久增加角色暴击值5，每个角色使用上限50个</v>
          </cell>
          <cell r="H1460" t="str">
            <v>item_466007</v>
          </cell>
        </row>
        <row r="1461">
          <cell r="E1461" t="str">
            <v>初级秘制煮豆</v>
          </cell>
          <cell r="F1461" t="str">
            <v>初级秘制煮豆</v>
          </cell>
          <cell r="G1461" t="str">
            <v>永久增加角色破击值5，每个角色使用上限50个</v>
          </cell>
          <cell r="H1461" t="str">
            <v>item_466008</v>
          </cell>
        </row>
        <row r="1462">
          <cell r="E1462" t="str">
            <v>初级切片章鱼</v>
          </cell>
          <cell r="F1462" t="str">
            <v>初级切片章鱼</v>
          </cell>
          <cell r="G1462" t="str">
            <v>永久增加角色闪避值5，每个角色使用上限50个</v>
          </cell>
          <cell r="H1462" t="str">
            <v>item_466009</v>
          </cell>
        </row>
        <row r="1463">
          <cell r="E1463" t="str">
            <v>初级石烧炖菜</v>
          </cell>
          <cell r="F1463" t="str">
            <v>初级石烧炖菜</v>
          </cell>
          <cell r="G1463" t="str">
            <v>永久增加角色韧性值5，每个角色使用上限50个</v>
          </cell>
          <cell r="H1463" t="str">
            <v>item_466010</v>
          </cell>
        </row>
        <row r="1464">
          <cell r="E1464" t="str">
            <v>初级水果百汇</v>
          </cell>
          <cell r="F1464" t="str">
            <v>初级水果百汇</v>
          </cell>
          <cell r="G1464" t="str">
            <v>永久增加角色攻击5，每个角色使用上限50个</v>
          </cell>
          <cell r="H1464" t="str">
            <v>item_466011</v>
          </cell>
        </row>
        <row r="1465">
          <cell r="E1465" t="str">
            <v>初级樱桃派</v>
          </cell>
          <cell r="F1465" t="str">
            <v>初级樱桃派</v>
          </cell>
          <cell r="G1465" t="str">
            <v>永久增加角色防御5，每个角色使用上限50个</v>
          </cell>
          <cell r="H1465" t="str">
            <v>item_466012</v>
          </cell>
        </row>
        <row r="1466">
          <cell r="E1466" t="str">
            <v>初级章鱼烧</v>
          </cell>
          <cell r="F1466" t="str">
            <v>初级章鱼烧</v>
          </cell>
          <cell r="G1466" t="str">
            <v>永久增加角色速度5，每个角色使用上限50个</v>
          </cell>
          <cell r="H1466" t="str">
            <v>item_466013</v>
          </cell>
        </row>
        <row r="1467">
          <cell r="E1467" t="str">
            <v>初级食品摊炒面</v>
          </cell>
          <cell r="F1467" t="str">
            <v>初级食品摊炒面</v>
          </cell>
          <cell r="G1467" t="str">
            <v>永久增加角色命中值5，每个角色使用上限50个</v>
          </cell>
          <cell r="H1467" t="str">
            <v>item_466014</v>
          </cell>
        </row>
        <row r="1468">
          <cell r="E1468" t="str">
            <v>中级布丁</v>
          </cell>
          <cell r="F1468" t="str">
            <v>中级布丁</v>
          </cell>
          <cell r="G1468" t="str">
            <v>角色获得亲密度时，额外增加6，持续60分钟，同类型不可累积使用</v>
          </cell>
          <cell r="H1468" t="str">
            <v>item_466001</v>
          </cell>
        </row>
        <row r="1469">
          <cell r="E1469" t="str">
            <v>中级超美味蛤蜊</v>
          </cell>
          <cell r="F1469" t="str">
            <v>中级超美味蛤蜊</v>
          </cell>
          <cell r="G1469" t="str">
            <v>角色进入战斗后，立即拥有30%的怒气，与玩家战斗不生效，持续60分钟，同类型不可累积使用</v>
          </cell>
          <cell r="H1469" t="str">
            <v>item_466002</v>
          </cell>
        </row>
        <row r="1470">
          <cell r="E1470" t="str">
            <v>中级便当</v>
          </cell>
          <cell r="F1470" t="str">
            <v>中级便当</v>
          </cell>
          <cell r="G1470" t="str">
            <v>队伍中每个角色立即恢复6000生命，同类型道具冷却时间15秒</v>
          </cell>
          <cell r="H1470" t="str">
            <v>item_466003</v>
          </cell>
        </row>
        <row r="1471">
          <cell r="E1471" t="str">
            <v>中级伙食汤</v>
          </cell>
          <cell r="F1471" t="str">
            <v>中级伙食汤</v>
          </cell>
          <cell r="G1471" t="str">
            <v>增加幸运值30点，幸运值可以提升战胜野外敌人后获得道具几率，持续60分钟，同类型不可累积使用</v>
          </cell>
          <cell r="H1471" t="str">
            <v>item_466004</v>
          </cell>
        </row>
        <row r="1472">
          <cell r="E1472" t="str">
            <v>中级棒骨大肉</v>
          </cell>
          <cell r="F1472" t="str">
            <v>中级棒骨大肉</v>
          </cell>
          <cell r="G1472" t="str">
            <v>永久增加角色生命上限15，每个角色使用上限50个</v>
          </cell>
          <cell r="H1472" t="str">
            <v>item_466005</v>
          </cell>
        </row>
        <row r="1473">
          <cell r="E1473" t="str">
            <v>中级炖香肠</v>
          </cell>
          <cell r="F1473" t="str">
            <v>中级炖香肠</v>
          </cell>
          <cell r="G1473" t="str">
            <v>永久增加角色格挡值5，每个角色使用上限50个</v>
          </cell>
          <cell r="H1473" t="str">
            <v>item_466006</v>
          </cell>
        </row>
        <row r="1474">
          <cell r="E1474" t="str">
            <v>中级可乐饼</v>
          </cell>
          <cell r="F1474" t="str">
            <v>中级可乐饼</v>
          </cell>
          <cell r="G1474" t="str">
            <v>永久增加角色暴击值5，每个角色使用上限50个</v>
          </cell>
          <cell r="H1474" t="str">
            <v>item_466007</v>
          </cell>
        </row>
        <row r="1475">
          <cell r="E1475" t="str">
            <v>中级秘制煮豆</v>
          </cell>
          <cell r="F1475" t="str">
            <v>中级秘制煮豆</v>
          </cell>
          <cell r="G1475" t="str">
            <v>永久增加角色破击值5，每个角色使用上限50个</v>
          </cell>
          <cell r="H1475" t="str">
            <v>item_466008</v>
          </cell>
        </row>
        <row r="1476">
          <cell r="E1476" t="str">
            <v>中级切片章鱼</v>
          </cell>
          <cell r="F1476" t="str">
            <v>中级切片章鱼</v>
          </cell>
          <cell r="G1476" t="str">
            <v>永久增加角色闪避值5，每个角色使用上限50个</v>
          </cell>
          <cell r="H1476" t="str">
            <v>item_466009</v>
          </cell>
        </row>
        <row r="1477">
          <cell r="E1477" t="str">
            <v>中级石烧炖菜</v>
          </cell>
          <cell r="F1477" t="str">
            <v>中级石烧炖菜</v>
          </cell>
          <cell r="G1477" t="str">
            <v>永久增加角色韧性值5，每个角色使用上限50个</v>
          </cell>
          <cell r="H1477" t="str">
            <v>item_466010</v>
          </cell>
        </row>
        <row r="1478">
          <cell r="E1478" t="str">
            <v>中级水果百汇</v>
          </cell>
          <cell r="F1478" t="str">
            <v>中级水果百汇</v>
          </cell>
          <cell r="G1478" t="str">
            <v>永久增加角色攻击5，每个角色使用上限50个</v>
          </cell>
          <cell r="H1478" t="str">
            <v>item_466011</v>
          </cell>
        </row>
        <row r="1479">
          <cell r="E1479" t="str">
            <v>中级樱桃派</v>
          </cell>
          <cell r="F1479" t="str">
            <v>中级樱桃派</v>
          </cell>
          <cell r="G1479" t="str">
            <v>永久增加角色防御5，每个角色使用上限50个</v>
          </cell>
          <cell r="H1479" t="str">
            <v>item_466012</v>
          </cell>
        </row>
        <row r="1480">
          <cell r="E1480" t="str">
            <v>中级章鱼烧</v>
          </cell>
          <cell r="F1480" t="str">
            <v>中级章鱼烧</v>
          </cell>
          <cell r="G1480" t="str">
            <v>永久增加角色速度5，每个角色使用上限50个</v>
          </cell>
          <cell r="H1480" t="str">
            <v>item_466013</v>
          </cell>
        </row>
        <row r="1481">
          <cell r="E1481" t="str">
            <v>中级食品摊炒面</v>
          </cell>
          <cell r="F1481" t="str">
            <v>中级食品摊炒面</v>
          </cell>
          <cell r="G1481" t="str">
            <v>永久增加角色命中值5，每个角色使用上限50个</v>
          </cell>
          <cell r="H1481" t="str">
            <v>item_466014</v>
          </cell>
        </row>
        <row r="1482">
          <cell r="E1482" t="str">
            <v>高级布丁</v>
          </cell>
          <cell r="F1482" t="str">
            <v>高级布丁</v>
          </cell>
          <cell r="G1482" t="str">
            <v>角色获得亲密度时，额外增加8，持续60分钟，同类型不可累积使用</v>
          </cell>
          <cell r="H1482" t="str">
            <v>item_466001</v>
          </cell>
        </row>
        <row r="1483">
          <cell r="E1483" t="str">
            <v>高级超美味蛤蜊</v>
          </cell>
          <cell r="F1483" t="str">
            <v>高级超美味蛤蜊</v>
          </cell>
          <cell r="G1483" t="str">
            <v>角色进入战斗后，立即拥有40%的怒气，与玩家战斗不生效，持续60分钟，同类型不可累积使用</v>
          </cell>
          <cell r="H1483" t="str">
            <v>item_466002</v>
          </cell>
        </row>
        <row r="1484">
          <cell r="E1484" t="str">
            <v>高级便当</v>
          </cell>
          <cell r="F1484" t="str">
            <v>高级便当</v>
          </cell>
          <cell r="G1484" t="str">
            <v>队伍中每个角色立即恢复9000生命，同类型道具冷却时间15秒</v>
          </cell>
          <cell r="H1484" t="str">
            <v>item_466003</v>
          </cell>
        </row>
        <row r="1485">
          <cell r="E1485" t="str">
            <v>高级伙食汤</v>
          </cell>
          <cell r="F1485" t="str">
            <v>高级伙食汤</v>
          </cell>
          <cell r="G1485" t="str">
            <v>增加幸运值40点，幸运值可以提升战胜野外敌人后获得道具几率，持续60分钟，同类型不可累积使用</v>
          </cell>
          <cell r="H1485" t="str">
            <v>item_466004</v>
          </cell>
        </row>
        <row r="1486">
          <cell r="E1486" t="str">
            <v>高级棒骨大肉</v>
          </cell>
          <cell r="F1486" t="str">
            <v>高级棒骨大肉</v>
          </cell>
          <cell r="G1486" t="str">
            <v>永久增加角色生命上限20，每个角色使用上限50个</v>
          </cell>
          <cell r="H1486" t="str">
            <v>item_466005</v>
          </cell>
        </row>
        <row r="1487">
          <cell r="E1487" t="str">
            <v>高级炖香肠</v>
          </cell>
          <cell r="F1487" t="str">
            <v>高级炖香肠</v>
          </cell>
          <cell r="G1487" t="str">
            <v>永久增加角色格挡值5，每个角色使用上限50个</v>
          </cell>
          <cell r="H1487" t="str">
            <v>item_466006</v>
          </cell>
        </row>
        <row r="1488">
          <cell r="E1488" t="str">
            <v>高级可乐饼</v>
          </cell>
          <cell r="F1488" t="str">
            <v>高级可乐饼</v>
          </cell>
          <cell r="G1488" t="str">
            <v>永久增加角色暴击值5，每个角色使用上限50个</v>
          </cell>
          <cell r="H1488" t="str">
            <v>item_466007</v>
          </cell>
        </row>
        <row r="1489">
          <cell r="E1489" t="str">
            <v>高级秘制煮豆</v>
          </cell>
          <cell r="F1489" t="str">
            <v>高级秘制煮豆</v>
          </cell>
          <cell r="G1489" t="str">
            <v>永久增加角色破击值5，每个角色使用上限50个</v>
          </cell>
          <cell r="H1489" t="str">
            <v>item_466008</v>
          </cell>
        </row>
        <row r="1490">
          <cell r="E1490" t="str">
            <v>高级切片章鱼</v>
          </cell>
          <cell r="F1490" t="str">
            <v>高级切片章鱼</v>
          </cell>
          <cell r="G1490" t="str">
            <v>永久增加角色闪避值5，每个角色使用上限50个</v>
          </cell>
          <cell r="H1490" t="str">
            <v>item_466009</v>
          </cell>
        </row>
        <row r="1491">
          <cell r="E1491" t="str">
            <v>高级石烧炖菜</v>
          </cell>
          <cell r="F1491" t="str">
            <v>高级石烧炖菜</v>
          </cell>
          <cell r="G1491" t="str">
            <v>永久增加角色韧性值5，每个角色使用上限50个</v>
          </cell>
          <cell r="H1491" t="str">
            <v>item_466010</v>
          </cell>
        </row>
        <row r="1492">
          <cell r="E1492" t="str">
            <v>高级水果百汇</v>
          </cell>
          <cell r="F1492" t="str">
            <v>高级水果百汇</v>
          </cell>
          <cell r="G1492" t="str">
            <v>永久增加角色攻击5，每个角色使用上限50个</v>
          </cell>
          <cell r="H1492" t="str">
            <v>item_466011</v>
          </cell>
        </row>
        <row r="1493">
          <cell r="E1493" t="str">
            <v>高级樱桃派</v>
          </cell>
          <cell r="F1493" t="str">
            <v>高级樱桃派</v>
          </cell>
          <cell r="G1493" t="str">
            <v>永久增加角色防御5，每个角色使用上限50个</v>
          </cell>
          <cell r="H1493" t="str">
            <v>item_466012</v>
          </cell>
        </row>
        <row r="1494">
          <cell r="E1494" t="str">
            <v>高级章鱼烧</v>
          </cell>
          <cell r="F1494" t="str">
            <v>高级章鱼烧</v>
          </cell>
          <cell r="G1494" t="str">
            <v>永久增加角色速度5，每个角色使用上限50个</v>
          </cell>
          <cell r="H1494" t="str">
            <v>item_466013</v>
          </cell>
        </row>
        <row r="1495">
          <cell r="E1495" t="str">
            <v>高级食品摊炒面</v>
          </cell>
          <cell r="F1495" t="str">
            <v>高级食品摊炒面</v>
          </cell>
          <cell r="G1495" t="str">
            <v>永久增加角色命中值5，每个角色使用上限50个</v>
          </cell>
          <cell r="H1495" t="str">
            <v>item_466014</v>
          </cell>
        </row>
        <row r="1496">
          <cell r="E1496" t="str">
            <v>大师布丁</v>
          </cell>
          <cell r="F1496" t="str">
            <v>大师布丁</v>
          </cell>
          <cell r="G1496" t="str">
            <v>角色获得亲密度时，额外增加10，持续60分钟，同类型不可累积使用</v>
          </cell>
          <cell r="H1496" t="str">
            <v>item_466001</v>
          </cell>
        </row>
        <row r="1497">
          <cell r="E1497" t="str">
            <v>大师超美味蛤蜊</v>
          </cell>
          <cell r="F1497" t="str">
            <v>大师超美味蛤蜊</v>
          </cell>
          <cell r="G1497" t="str">
            <v>角色进入战斗后，立即拥有50%的怒气，与玩家战斗不生效，持续60分钟，同类型不可累积使用</v>
          </cell>
          <cell r="H1497" t="str">
            <v>item_466002</v>
          </cell>
        </row>
        <row r="1498">
          <cell r="E1498" t="str">
            <v>大师便当</v>
          </cell>
          <cell r="F1498" t="str">
            <v>大师便当</v>
          </cell>
          <cell r="G1498" t="str">
            <v>队伍中每个角色立即恢复12000生命，同类型道具冷却时间15秒</v>
          </cell>
          <cell r="H1498" t="str">
            <v>item_466003</v>
          </cell>
        </row>
        <row r="1499">
          <cell r="E1499" t="str">
            <v>大师伙食汤</v>
          </cell>
          <cell r="F1499" t="str">
            <v>大师伙食汤</v>
          </cell>
          <cell r="G1499" t="str">
            <v>增加幸运值50点，幸运值可以提升战胜野外敌人后获得道具几率，持续60分钟，同类型不可累积使用</v>
          </cell>
          <cell r="H1499" t="str">
            <v>item_466004</v>
          </cell>
        </row>
        <row r="1500">
          <cell r="E1500" t="str">
            <v>大师棒骨大肉</v>
          </cell>
          <cell r="F1500" t="str">
            <v>大师棒骨大肉</v>
          </cell>
          <cell r="G1500" t="str">
            <v>永久增加角色生命上限25，每个角色使用上限50个</v>
          </cell>
          <cell r="H1500" t="str">
            <v>item_466005</v>
          </cell>
        </row>
        <row r="1501">
          <cell r="E1501" t="str">
            <v>大师炖香肠</v>
          </cell>
          <cell r="F1501" t="str">
            <v>大师炖香肠</v>
          </cell>
          <cell r="G1501" t="str">
            <v>永久增加角色格挡值5，每个角色使用上限50个</v>
          </cell>
          <cell r="H1501" t="str">
            <v>item_466006</v>
          </cell>
        </row>
        <row r="1502">
          <cell r="E1502" t="str">
            <v>大师可乐饼</v>
          </cell>
          <cell r="F1502" t="str">
            <v>大师可乐饼</v>
          </cell>
          <cell r="G1502" t="str">
            <v>永久增加角色暴击值5，每个角色使用上限50个</v>
          </cell>
          <cell r="H1502" t="str">
            <v>item_466007</v>
          </cell>
        </row>
        <row r="1503">
          <cell r="E1503" t="str">
            <v>大师秘制煮豆</v>
          </cell>
          <cell r="F1503" t="str">
            <v>大师秘制煮豆</v>
          </cell>
          <cell r="G1503" t="str">
            <v>永久增加角色破击值5，每个角色使用上限50个</v>
          </cell>
          <cell r="H1503" t="str">
            <v>item_466008</v>
          </cell>
        </row>
        <row r="1504">
          <cell r="E1504" t="str">
            <v>大师切片章鱼</v>
          </cell>
          <cell r="F1504" t="str">
            <v>大师切片章鱼</v>
          </cell>
          <cell r="G1504" t="str">
            <v>永久增加角色闪避值5，每个角色使用上限50个</v>
          </cell>
          <cell r="H1504" t="str">
            <v>item_466009</v>
          </cell>
        </row>
        <row r="1505">
          <cell r="E1505" t="str">
            <v>大师石烧炖菜</v>
          </cell>
          <cell r="F1505" t="str">
            <v>大师石烧炖菜</v>
          </cell>
          <cell r="G1505" t="str">
            <v>永久增加角色韧性值5，每个角色使用上限50个</v>
          </cell>
          <cell r="H1505" t="str">
            <v>item_466010</v>
          </cell>
        </row>
        <row r="1506">
          <cell r="E1506" t="str">
            <v>大师水果百汇</v>
          </cell>
          <cell r="F1506" t="str">
            <v>大师水果百汇</v>
          </cell>
          <cell r="G1506" t="str">
            <v>永久增加角色攻击5，每个角色使用上限50个</v>
          </cell>
          <cell r="H1506" t="str">
            <v>item_466011</v>
          </cell>
        </row>
        <row r="1507">
          <cell r="E1507" t="str">
            <v>大师樱桃派</v>
          </cell>
          <cell r="F1507" t="str">
            <v>大师樱桃派</v>
          </cell>
          <cell r="G1507" t="str">
            <v>永久增加角色防御5，每个角色使用上限50个</v>
          </cell>
          <cell r="H1507" t="str">
            <v>item_466012</v>
          </cell>
        </row>
        <row r="1508">
          <cell r="E1508" t="str">
            <v>大师章鱼烧</v>
          </cell>
          <cell r="F1508" t="str">
            <v>大师章鱼烧</v>
          </cell>
          <cell r="G1508" t="str">
            <v>永久增加角色速度5，每个角色使用上限50个</v>
          </cell>
          <cell r="H1508" t="str">
            <v>item_466013</v>
          </cell>
        </row>
        <row r="1509">
          <cell r="E1509" t="str">
            <v>大师食品摊炒面</v>
          </cell>
          <cell r="F1509" t="str">
            <v>大师食品摊炒面</v>
          </cell>
          <cell r="G1509" t="str">
            <v>永久增加角色命中值5，每个角色使用上限50个</v>
          </cell>
          <cell r="H1509" t="str">
            <v>item_466014</v>
          </cell>
        </row>
        <row r="1510">
          <cell r="E1510" t="str">
            <v>鲅鱼</v>
          </cell>
          <cell r="F1510" t="str">
            <v>鲅鱼</v>
          </cell>
          <cell r="G1510" t="str">
            <v>肉质鲜美的小型鱼类，是做料理的好材料。</v>
          </cell>
          <cell r="H1510" t="str">
            <v>item_431001</v>
          </cell>
        </row>
        <row r="1511">
          <cell r="E1511" t="str">
            <v>鲈鱼</v>
          </cell>
          <cell r="F1511" t="str">
            <v>鲈鱼</v>
          </cell>
          <cell r="G1511" t="str">
            <v>栖息在浅海的名贵食用鱼，很受鱼商青睐。</v>
          </cell>
          <cell r="H1511" t="str">
            <v>item_433004</v>
          </cell>
        </row>
        <row r="1512">
          <cell r="E1512" t="str">
            <v>金枪鱼</v>
          </cell>
          <cell r="F1512" t="str">
            <v>金枪鱼</v>
          </cell>
          <cell r="G1512" t="str">
            <v>极品食用鱼之一，有海洋黄金之称。</v>
          </cell>
          <cell r="H1512" t="str">
            <v>item_431005</v>
          </cell>
        </row>
        <row r="1513">
          <cell r="E1513" t="str">
            <v>悬赏BOSS宝箱</v>
          </cell>
          <cell r="F1513" t="str">
            <v>悬赏BOSS宝箱</v>
          </cell>
          <cell r="G1513" t="str">
            <v>击败悬赏BOSS获得的宝箱，打开有几率获得蓝钻、黄金钥匙、勇者钥匙、宝石袋、勇者之石。</v>
          </cell>
          <cell r="H1513" t="str">
            <v>item_452202</v>
          </cell>
        </row>
        <row r="1514">
          <cell r="E1514" t="str">
            <v>白色草药花</v>
          </cell>
          <cell r="F1514" t="str">
            <v>白色草药花</v>
          </cell>
          <cell r="G1514" t="str">
            <v>采集到的完整药材，在制药屋进行分解可以获得制作药品的材料</v>
          </cell>
          <cell r="H1514" t="str">
            <v>item_400001</v>
          </cell>
        </row>
        <row r="1515">
          <cell r="E1515" t="str">
            <v>绿色草药花</v>
          </cell>
          <cell r="F1515" t="str">
            <v>绿色草药花</v>
          </cell>
          <cell r="G1515" t="str">
            <v>采集到的完整药材，在制药屋进行分解可以获得制作药品的材料</v>
          </cell>
          <cell r="H1515" t="str">
            <v>item_400002</v>
          </cell>
        </row>
        <row r="1516">
          <cell r="E1516" t="str">
            <v>蓝色草药花</v>
          </cell>
          <cell r="F1516" t="str">
            <v>蓝色草药花</v>
          </cell>
          <cell r="G1516" t="str">
            <v>采集到的完整药材，在制药屋进行分解可以获得制作药品的材料</v>
          </cell>
          <cell r="H1516" t="str">
            <v>item_400003</v>
          </cell>
        </row>
        <row r="1517">
          <cell r="E1517" t="str">
            <v>紫色草药花</v>
          </cell>
          <cell r="F1517" t="str">
            <v>紫色草药花</v>
          </cell>
          <cell r="G1517" t="str">
            <v>采集到的完整药材，在制药屋进行分解可以获得制作药品的材料</v>
          </cell>
          <cell r="H1517" t="str">
            <v>item_400004</v>
          </cell>
        </row>
        <row r="1518">
          <cell r="E1518" t="str">
            <v>金色草药花</v>
          </cell>
          <cell r="F1518" t="str">
            <v>金色草药花</v>
          </cell>
          <cell r="G1518" t="str">
            <v>采集到的完整药材，在制药屋进行分解可以获得制作药品的材料</v>
          </cell>
          <cell r="H1518" t="str">
            <v>item_400005</v>
          </cell>
        </row>
        <row r="1519">
          <cell r="E1519" t="str">
            <v>绯色草药花</v>
          </cell>
          <cell r="F1519" t="str">
            <v>绯色草药花</v>
          </cell>
          <cell r="G1519" t="str">
            <v>采集到的完整药材，在制药屋进行分解可以获得制作药品的材料</v>
          </cell>
          <cell r="H1519" t="str">
            <v>item_400006</v>
          </cell>
        </row>
        <row r="1520">
          <cell r="E1520" t="str">
            <v>航海远征加速卷</v>
          </cell>
          <cell r="F1520" t="str">
            <v>航海远征加速卷</v>
          </cell>
          <cell r="G1520" t="str">
            <v>快速完成航海远征任务</v>
          </cell>
          <cell r="H1520" t="str">
            <v>item_491111</v>
          </cell>
        </row>
        <row r="1521">
          <cell r="E1521" t="str">
            <v>一捆普通木料</v>
          </cell>
          <cell r="F1521" t="str">
            <v>普通物料箱</v>
          </cell>
          <cell r="G1521" t="str">
            <v>建造战船的原材料。在造船厂中提炼可以获得原木，概率获得硬木、木根、龙骨和合金。</v>
          </cell>
          <cell r="H1521" t="str">
            <v>item_511000</v>
          </cell>
        </row>
        <row r="1522">
          <cell r="E1522" t="str">
            <v>普通量具</v>
          </cell>
          <cell r="F1522" t="str">
            <v>普通量具</v>
          </cell>
          <cell r="G1522" t="str">
            <v>用于制作战船零部件的普通材料。</v>
          </cell>
          <cell r="H1522" t="str">
            <v>item_511001</v>
          </cell>
        </row>
        <row r="1523">
          <cell r="E1523" t="str">
            <v>普通图纸</v>
          </cell>
          <cell r="F1523" t="str">
            <v>普通图纸</v>
          </cell>
          <cell r="G1523" t="str">
            <v>用于制作战船零部件的普通材料。</v>
          </cell>
          <cell r="H1523" t="str">
            <v>item_511002</v>
          </cell>
        </row>
        <row r="1524">
          <cell r="E1524" t="str">
            <v>普通铆钉</v>
          </cell>
          <cell r="F1524" t="str">
            <v>普通铆钉</v>
          </cell>
          <cell r="G1524" t="str">
            <v>用于制作战船零部件的普通材料。</v>
          </cell>
          <cell r="H1524" t="str">
            <v>item_511003</v>
          </cell>
        </row>
        <row r="1525">
          <cell r="E1525" t="str">
            <v>普通木锤</v>
          </cell>
          <cell r="F1525" t="str">
            <v>普通木锤</v>
          </cell>
          <cell r="G1525" t="str">
            <v>用于制作战船零部件的普通材料。</v>
          </cell>
          <cell r="H1525" t="str">
            <v>item_511004</v>
          </cell>
        </row>
        <row r="1526">
          <cell r="E1526" t="str">
            <v>普通铁锤</v>
          </cell>
          <cell r="F1526" t="str">
            <v>普通铁锤</v>
          </cell>
          <cell r="G1526" t="str">
            <v>用于制作战船零部件的普通材料。</v>
          </cell>
          <cell r="H1526" t="str">
            <v>item_511005</v>
          </cell>
        </row>
        <row r="1527">
          <cell r="E1527" t="str">
            <v>普通原木</v>
          </cell>
          <cell r="F1527" t="str">
            <v>普通原木</v>
          </cell>
          <cell r="G1527" t="str">
            <v>用于制作战船零部件的普通材料。</v>
          </cell>
          <cell r="H1527" t="str">
            <v>item_511006</v>
          </cell>
        </row>
        <row r="1528">
          <cell r="E1528" t="str">
            <v>普通木条</v>
          </cell>
          <cell r="F1528" t="str">
            <v>普通木条</v>
          </cell>
          <cell r="G1528" t="str">
            <v>用于制作战船零部件的普通材料。</v>
          </cell>
          <cell r="H1528" t="str">
            <v>item_511007</v>
          </cell>
        </row>
        <row r="1529">
          <cell r="E1529" t="str">
            <v>普通舰船甲板</v>
          </cell>
          <cell r="F1529" t="str">
            <v>普通舰船甲板</v>
          </cell>
          <cell r="G1529" t="str">
            <v>用于制作战船零部件的普通材料。</v>
          </cell>
          <cell r="H1529" t="str">
            <v>item_511008</v>
          </cell>
        </row>
        <row r="1530">
          <cell r="E1530" t="str">
            <v>普通硬木</v>
          </cell>
          <cell r="F1530" t="str">
            <v>普通硬木</v>
          </cell>
          <cell r="G1530" t="str">
            <v>用于制作战船零部件的普通材料。</v>
          </cell>
          <cell r="H1530" t="str">
            <v>item_511009</v>
          </cell>
        </row>
        <row r="1531">
          <cell r="E1531" t="str">
            <v>普通木板</v>
          </cell>
          <cell r="F1531" t="str">
            <v>普通木板</v>
          </cell>
          <cell r="G1531" t="str">
            <v>用于制作战船零部件的普通材料。</v>
          </cell>
          <cell r="H1531" t="str">
            <v>item_511010</v>
          </cell>
        </row>
        <row r="1532">
          <cell r="E1532" t="str">
            <v>普通高级甲板</v>
          </cell>
          <cell r="F1532" t="str">
            <v>普通高级甲板</v>
          </cell>
          <cell r="G1532" t="str">
            <v>用于制作战船的普通零部件。</v>
          </cell>
          <cell r="H1532" t="str">
            <v>item_511011</v>
          </cell>
        </row>
        <row r="1533">
          <cell r="E1533" t="str">
            <v>普通精铁</v>
          </cell>
          <cell r="F1533" t="str">
            <v>普通精铁</v>
          </cell>
          <cell r="G1533" t="str">
            <v>用于制作战船零部件的普通材料。</v>
          </cell>
          <cell r="H1533" t="str">
            <v>item_511012</v>
          </cell>
        </row>
        <row r="1534">
          <cell r="E1534" t="str">
            <v>普通钢板</v>
          </cell>
          <cell r="F1534" t="str">
            <v>普通钢板</v>
          </cell>
          <cell r="G1534" t="str">
            <v>用于制作战船零部件的普通材料。</v>
          </cell>
          <cell r="H1534" t="str">
            <v>item_511013</v>
          </cell>
        </row>
        <row r="1535">
          <cell r="E1535" t="str">
            <v>普通舰船主炮</v>
          </cell>
          <cell r="F1535" t="str">
            <v>普通舰船主炮</v>
          </cell>
          <cell r="G1535" t="str">
            <v>用于制作战船的普通零部件。</v>
          </cell>
          <cell r="H1535" t="str">
            <v>item_511014</v>
          </cell>
        </row>
        <row r="1536">
          <cell r="E1536" t="str">
            <v>普通合金</v>
          </cell>
          <cell r="F1536" t="str">
            <v>普通合金</v>
          </cell>
          <cell r="G1536" t="str">
            <v>用于制作战船零部件的普通材料。</v>
          </cell>
          <cell r="H1536" t="str">
            <v>item_511015</v>
          </cell>
        </row>
        <row r="1537">
          <cell r="E1537" t="str">
            <v>普通铜板</v>
          </cell>
          <cell r="F1537" t="str">
            <v>普通铜板</v>
          </cell>
          <cell r="G1537" t="str">
            <v>用于制作战船零部件的普通材料。</v>
          </cell>
          <cell r="H1537" t="str">
            <v>item_511016</v>
          </cell>
        </row>
        <row r="1538">
          <cell r="E1538" t="str">
            <v>普通舰船炮台</v>
          </cell>
          <cell r="F1538" t="str">
            <v>普通舰船炮台</v>
          </cell>
          <cell r="G1538" t="str">
            <v>用于制作战船的普通零部件。</v>
          </cell>
          <cell r="H1538" t="str">
            <v>item_511017</v>
          </cell>
        </row>
        <row r="1539">
          <cell r="E1539" t="str">
            <v>普通木根</v>
          </cell>
          <cell r="F1539" t="str">
            <v>普通木根</v>
          </cell>
          <cell r="G1539" t="str">
            <v>用于制作战船零部件的普通材料。</v>
          </cell>
          <cell r="H1539" t="str">
            <v>item_511018</v>
          </cell>
        </row>
        <row r="1540">
          <cell r="E1540" t="str">
            <v>普通帆布</v>
          </cell>
          <cell r="F1540" t="str">
            <v>普通帆布</v>
          </cell>
          <cell r="G1540" t="str">
            <v>用于制作战船零部件的普通材料。</v>
          </cell>
          <cell r="H1540" t="str">
            <v>item_511019</v>
          </cell>
        </row>
        <row r="1541">
          <cell r="E1541" t="str">
            <v>普通龙骨</v>
          </cell>
          <cell r="F1541" t="str">
            <v>普通龙骨</v>
          </cell>
          <cell r="G1541" t="str">
            <v>用于制作战船零部件的普通材料。</v>
          </cell>
          <cell r="H1541" t="str">
            <v>item_511020</v>
          </cell>
        </row>
        <row r="1542">
          <cell r="E1542" t="str">
            <v>普通风帆</v>
          </cell>
          <cell r="F1542" t="str">
            <v>普通风帆</v>
          </cell>
          <cell r="G1542" t="str">
            <v>用于制作战船零部件的普通材料。</v>
          </cell>
          <cell r="H1542" t="str">
            <v>item_511021</v>
          </cell>
        </row>
        <row r="1543">
          <cell r="E1543" t="str">
            <v>普通桅柱</v>
          </cell>
          <cell r="F1543" t="str">
            <v>普通桅柱</v>
          </cell>
          <cell r="G1543" t="str">
            <v>用于制作战船零部件的普通材料。</v>
          </cell>
          <cell r="H1543" t="str">
            <v>item_511022</v>
          </cell>
        </row>
        <row r="1544">
          <cell r="E1544" t="str">
            <v>普通舰船桅杆</v>
          </cell>
          <cell r="F1544" t="str">
            <v>普通舰船桅杆</v>
          </cell>
          <cell r="G1544" t="str">
            <v>用于制作战船的普通零部件。</v>
          </cell>
          <cell r="H1544" t="str">
            <v>item_511023</v>
          </cell>
        </row>
        <row r="1545">
          <cell r="E1545" t="str">
            <v>普通舰船舱室</v>
          </cell>
          <cell r="F1545" t="str">
            <v>普通舰船舱室</v>
          </cell>
          <cell r="G1545" t="str">
            <v>用于制作战船的普通零部件。</v>
          </cell>
          <cell r="H1545" t="str">
            <v>item_511024</v>
          </cell>
        </row>
        <row r="1546">
          <cell r="E1546" t="str">
            <v>普通龙骨骨架</v>
          </cell>
          <cell r="F1546" t="str">
            <v>普通龙骨骨架</v>
          </cell>
          <cell r="G1546" t="str">
            <v>用于制作战船的普通零部件。</v>
          </cell>
          <cell r="H1546" t="str">
            <v>item_511025</v>
          </cell>
        </row>
        <row r="1547">
          <cell r="E1547" t="str">
            <v>一捆优质木料</v>
          </cell>
          <cell r="F1547" t="str">
            <v>优质物料箱</v>
          </cell>
          <cell r="G1547" t="str">
            <v>建造战船的原材料。在造船厂中提炼可以获得原木，概率获得硬木、木根、龙骨和合金。</v>
          </cell>
          <cell r="H1547" t="str">
            <v>item_512000</v>
          </cell>
        </row>
        <row r="1548">
          <cell r="E1548" t="str">
            <v>优质量具</v>
          </cell>
          <cell r="F1548" t="str">
            <v>优质量具</v>
          </cell>
          <cell r="G1548" t="str">
            <v>用于制作战船零部件的优质材料。</v>
          </cell>
          <cell r="H1548" t="str">
            <v>item_512001</v>
          </cell>
        </row>
        <row r="1549">
          <cell r="E1549" t="str">
            <v>优质图纸</v>
          </cell>
          <cell r="F1549" t="str">
            <v>优质图纸</v>
          </cell>
          <cell r="G1549" t="str">
            <v>用于制作战船零部件的优质材料。</v>
          </cell>
          <cell r="H1549" t="str">
            <v>item_512002</v>
          </cell>
        </row>
        <row r="1550">
          <cell r="E1550" t="str">
            <v>优质铆钉</v>
          </cell>
          <cell r="F1550" t="str">
            <v>优质铆钉</v>
          </cell>
          <cell r="G1550" t="str">
            <v>用于制作战船零部件的优质材料。</v>
          </cell>
          <cell r="H1550" t="str">
            <v>item_512003</v>
          </cell>
        </row>
        <row r="1551">
          <cell r="E1551" t="str">
            <v>优质龙骨</v>
          </cell>
          <cell r="F1551" t="str">
            <v>优质木锤</v>
          </cell>
          <cell r="G1551" t="str">
            <v>用于制作战船零部件的优质材料。</v>
          </cell>
          <cell r="H1551" t="str">
            <v>item_512004</v>
          </cell>
        </row>
        <row r="1552">
          <cell r="E1552" t="str">
            <v>优质铁锤</v>
          </cell>
          <cell r="F1552" t="str">
            <v>优质铁锤</v>
          </cell>
          <cell r="G1552" t="str">
            <v>用于制作战船零部件的优质材料。</v>
          </cell>
          <cell r="H1552" t="str">
            <v>item_512005</v>
          </cell>
        </row>
        <row r="1553">
          <cell r="E1553" t="str">
            <v>优质原木</v>
          </cell>
          <cell r="F1553" t="str">
            <v>优质原木</v>
          </cell>
          <cell r="G1553" t="str">
            <v>用于制作战船零部件的优质材料。</v>
          </cell>
          <cell r="H1553" t="str">
            <v>item_512006</v>
          </cell>
        </row>
        <row r="1554">
          <cell r="E1554" t="str">
            <v>优质木条</v>
          </cell>
          <cell r="F1554" t="str">
            <v>优质木条</v>
          </cell>
          <cell r="G1554" t="str">
            <v>用于制作战船零部件的优质材料。</v>
          </cell>
          <cell r="H1554" t="str">
            <v>item_512007</v>
          </cell>
        </row>
        <row r="1555">
          <cell r="E1555" t="str">
            <v>优质舰船甲板</v>
          </cell>
          <cell r="F1555" t="str">
            <v>优质舰船甲板</v>
          </cell>
          <cell r="G1555" t="str">
            <v>用于制作战船零部件的优质材料。</v>
          </cell>
          <cell r="H1555" t="str">
            <v>item_512008</v>
          </cell>
        </row>
        <row r="1556">
          <cell r="E1556" t="str">
            <v>优质硬木</v>
          </cell>
          <cell r="F1556" t="str">
            <v>优质硬木</v>
          </cell>
          <cell r="G1556" t="str">
            <v>用于制作战船零部件的优质材料。</v>
          </cell>
          <cell r="H1556" t="str">
            <v>item_512009</v>
          </cell>
        </row>
        <row r="1557">
          <cell r="E1557" t="str">
            <v>优质木板</v>
          </cell>
          <cell r="F1557" t="str">
            <v>优质木板</v>
          </cell>
          <cell r="G1557" t="str">
            <v>用于制作战船零部件的优质材料。</v>
          </cell>
          <cell r="H1557" t="str">
            <v>item_512010</v>
          </cell>
        </row>
        <row r="1558">
          <cell r="E1558" t="str">
            <v>优质高级甲板</v>
          </cell>
          <cell r="F1558" t="str">
            <v>优质高级甲板</v>
          </cell>
          <cell r="G1558" t="str">
            <v>用于制作战船的优质零部件。</v>
          </cell>
          <cell r="H1558" t="str">
            <v>item_512011</v>
          </cell>
        </row>
        <row r="1559">
          <cell r="E1559" t="str">
            <v>优质精铁</v>
          </cell>
          <cell r="F1559" t="str">
            <v>优质精铁</v>
          </cell>
          <cell r="G1559" t="str">
            <v>用于制作战船零部件的优质材料。</v>
          </cell>
          <cell r="H1559" t="str">
            <v>item_512012</v>
          </cell>
        </row>
        <row r="1560">
          <cell r="E1560" t="str">
            <v>优质钢板</v>
          </cell>
          <cell r="F1560" t="str">
            <v>优质钢板</v>
          </cell>
          <cell r="G1560" t="str">
            <v>用于制作战船零部件的优质材料。</v>
          </cell>
          <cell r="H1560" t="str">
            <v>item_512013</v>
          </cell>
        </row>
        <row r="1561">
          <cell r="E1561" t="str">
            <v>优质舰船主炮</v>
          </cell>
          <cell r="F1561" t="str">
            <v>优质舰船主炮</v>
          </cell>
          <cell r="G1561" t="str">
            <v>用于制作战船的优质零部件。</v>
          </cell>
          <cell r="H1561" t="str">
            <v>item_512014</v>
          </cell>
        </row>
        <row r="1562">
          <cell r="E1562" t="str">
            <v>优质合金</v>
          </cell>
          <cell r="F1562" t="str">
            <v>优质合金</v>
          </cell>
          <cell r="G1562" t="str">
            <v>用于制作战船零部件的优质材料。</v>
          </cell>
          <cell r="H1562" t="str">
            <v>item_512015</v>
          </cell>
        </row>
        <row r="1563">
          <cell r="E1563" t="str">
            <v>优质铜板</v>
          </cell>
          <cell r="F1563" t="str">
            <v>优质铜板</v>
          </cell>
          <cell r="G1563" t="str">
            <v>用于制作战船零部件的优质材料。</v>
          </cell>
          <cell r="H1563" t="str">
            <v>item_512016</v>
          </cell>
        </row>
        <row r="1564">
          <cell r="E1564" t="str">
            <v>优质舰船炮台</v>
          </cell>
          <cell r="F1564" t="str">
            <v>优质舰船炮台</v>
          </cell>
          <cell r="G1564" t="str">
            <v>用于制作战船的优质零部件。</v>
          </cell>
          <cell r="H1564" t="str">
            <v>item_512017</v>
          </cell>
        </row>
        <row r="1565">
          <cell r="E1565" t="str">
            <v>优质木根</v>
          </cell>
          <cell r="F1565" t="str">
            <v>优质木根</v>
          </cell>
          <cell r="G1565" t="str">
            <v>用于制作战船零部件的优质材料。</v>
          </cell>
          <cell r="H1565" t="str">
            <v>item_512018</v>
          </cell>
        </row>
        <row r="1566">
          <cell r="E1566" t="str">
            <v>优质帆布</v>
          </cell>
          <cell r="F1566" t="str">
            <v>优质帆布</v>
          </cell>
          <cell r="G1566" t="str">
            <v>用于制作战船零部件的优质材料。</v>
          </cell>
          <cell r="H1566" t="str">
            <v>item_512019</v>
          </cell>
        </row>
        <row r="1567">
          <cell r="E1567" t="str">
            <v>优质龙骨</v>
          </cell>
          <cell r="F1567" t="str">
            <v>优质龙骨</v>
          </cell>
          <cell r="G1567" t="str">
            <v>用于制作战船零部件的优质材料。</v>
          </cell>
          <cell r="H1567" t="str">
            <v>item_512020</v>
          </cell>
        </row>
        <row r="1568">
          <cell r="E1568" t="str">
            <v>优质风帆</v>
          </cell>
          <cell r="F1568" t="str">
            <v>优质风帆</v>
          </cell>
          <cell r="G1568" t="str">
            <v>用于制作战船零部件的优质材料。</v>
          </cell>
          <cell r="H1568" t="str">
            <v>item_512021</v>
          </cell>
        </row>
        <row r="1569">
          <cell r="E1569" t="str">
            <v>优质桅柱</v>
          </cell>
          <cell r="F1569" t="str">
            <v>优质桅柱</v>
          </cell>
          <cell r="G1569" t="str">
            <v>用于制作战船零部件的优质材料。</v>
          </cell>
          <cell r="H1569" t="str">
            <v>item_512022</v>
          </cell>
        </row>
        <row r="1570">
          <cell r="E1570" t="str">
            <v>优质舰船桅杆</v>
          </cell>
          <cell r="F1570" t="str">
            <v>优质舰船桅杆</v>
          </cell>
          <cell r="G1570" t="str">
            <v>用于制作战船的优质零部件。</v>
          </cell>
          <cell r="H1570" t="str">
            <v>item_512023</v>
          </cell>
        </row>
        <row r="1571">
          <cell r="E1571" t="str">
            <v>优质舰船舱室</v>
          </cell>
          <cell r="F1571" t="str">
            <v>优质舰船舱室</v>
          </cell>
          <cell r="G1571" t="str">
            <v>用于制作战船的优质零部件。</v>
          </cell>
          <cell r="H1571" t="str">
            <v>item_512024</v>
          </cell>
        </row>
        <row r="1572">
          <cell r="E1572" t="str">
            <v>优质龙骨骨架</v>
          </cell>
          <cell r="F1572" t="str">
            <v>优质龙骨骨架</v>
          </cell>
          <cell r="G1572" t="str">
            <v>用于制作战船的优质零部件。</v>
          </cell>
          <cell r="H1572" t="str">
            <v>item_512025</v>
          </cell>
        </row>
        <row r="1573">
          <cell r="E1573" t="str">
            <v>一捆稀有木料</v>
          </cell>
          <cell r="F1573" t="str">
            <v>稀有物料箱</v>
          </cell>
          <cell r="G1573" t="str">
            <v>建造战船的原材料。在造船厂中提炼可以获得原木，概率获得硬木、木根、龙骨和合金。</v>
          </cell>
          <cell r="H1573" t="str">
            <v>item_513000</v>
          </cell>
        </row>
        <row r="1574">
          <cell r="E1574" t="str">
            <v>稀有量具</v>
          </cell>
          <cell r="F1574" t="str">
            <v>稀有量具</v>
          </cell>
          <cell r="G1574" t="str">
            <v>用于制作战船零部件的稀有材料。</v>
          </cell>
          <cell r="H1574" t="str">
            <v>item_513001</v>
          </cell>
        </row>
        <row r="1575">
          <cell r="E1575" t="str">
            <v>稀有图纸</v>
          </cell>
          <cell r="F1575" t="str">
            <v>稀有图纸</v>
          </cell>
          <cell r="G1575" t="str">
            <v>用于制作战船零部件的稀有材料。</v>
          </cell>
          <cell r="H1575" t="str">
            <v>item_513002</v>
          </cell>
        </row>
        <row r="1576">
          <cell r="E1576" t="str">
            <v>稀有铆钉</v>
          </cell>
          <cell r="F1576" t="str">
            <v>稀有铆钉</v>
          </cell>
          <cell r="G1576" t="str">
            <v>用于制作战船零部件的稀有材料。</v>
          </cell>
          <cell r="H1576" t="str">
            <v>item_513003</v>
          </cell>
        </row>
        <row r="1577">
          <cell r="E1577" t="str">
            <v>稀有龙骨</v>
          </cell>
          <cell r="F1577" t="str">
            <v>稀有木锤</v>
          </cell>
          <cell r="G1577" t="str">
            <v>用于制作战船零部件的稀有材料。</v>
          </cell>
          <cell r="H1577" t="str">
            <v>item_513004</v>
          </cell>
        </row>
        <row r="1578">
          <cell r="E1578" t="str">
            <v>稀有铁锤</v>
          </cell>
          <cell r="F1578" t="str">
            <v>稀有铁锤</v>
          </cell>
          <cell r="G1578" t="str">
            <v>用于制作战船零部件的稀有材料。</v>
          </cell>
          <cell r="H1578" t="str">
            <v>item_513005</v>
          </cell>
        </row>
        <row r="1579">
          <cell r="E1579" t="str">
            <v>稀有原木</v>
          </cell>
          <cell r="F1579" t="str">
            <v>稀有原木</v>
          </cell>
          <cell r="G1579" t="str">
            <v>用于制作战船零部件的稀有材料。</v>
          </cell>
          <cell r="H1579" t="str">
            <v>item_513006</v>
          </cell>
        </row>
        <row r="1580">
          <cell r="E1580" t="str">
            <v>稀有木条</v>
          </cell>
          <cell r="F1580" t="str">
            <v>稀有木条</v>
          </cell>
          <cell r="G1580" t="str">
            <v>用于制作战船零部件的稀有材料。</v>
          </cell>
          <cell r="H1580" t="str">
            <v>item_513007</v>
          </cell>
        </row>
        <row r="1581">
          <cell r="E1581" t="str">
            <v>稀有舰船甲板</v>
          </cell>
          <cell r="F1581" t="str">
            <v>稀有舰船甲板</v>
          </cell>
          <cell r="G1581" t="str">
            <v>用于制作战船零部件的稀有材料。</v>
          </cell>
          <cell r="H1581" t="str">
            <v>item_513008</v>
          </cell>
        </row>
        <row r="1582">
          <cell r="E1582" t="str">
            <v>稀有硬木</v>
          </cell>
          <cell r="F1582" t="str">
            <v>稀有硬木</v>
          </cell>
          <cell r="G1582" t="str">
            <v>用于制作战船零部件的稀有材料。</v>
          </cell>
          <cell r="H1582" t="str">
            <v>item_513009</v>
          </cell>
        </row>
        <row r="1583">
          <cell r="E1583" t="str">
            <v>稀有木板</v>
          </cell>
          <cell r="F1583" t="str">
            <v>稀有木板</v>
          </cell>
          <cell r="G1583" t="str">
            <v>用于制作战船零部件的稀有材料。</v>
          </cell>
          <cell r="H1583" t="str">
            <v>item_513010</v>
          </cell>
        </row>
        <row r="1584">
          <cell r="E1584" t="str">
            <v>稀有高级甲板</v>
          </cell>
          <cell r="F1584" t="str">
            <v>稀有高级甲板</v>
          </cell>
          <cell r="G1584" t="str">
            <v>用于制作战船的稀有零部件。</v>
          </cell>
          <cell r="H1584" t="str">
            <v>item_513011</v>
          </cell>
        </row>
        <row r="1585">
          <cell r="E1585" t="str">
            <v>稀有精铁</v>
          </cell>
          <cell r="F1585" t="str">
            <v>稀有精铁</v>
          </cell>
          <cell r="G1585" t="str">
            <v>用于制作战船零部件的稀有材料。</v>
          </cell>
          <cell r="H1585" t="str">
            <v>item_513012</v>
          </cell>
        </row>
        <row r="1586">
          <cell r="E1586" t="str">
            <v>稀有钢板</v>
          </cell>
          <cell r="F1586" t="str">
            <v>稀有钢板</v>
          </cell>
          <cell r="G1586" t="str">
            <v>用于制作战船零部件的稀有材料。</v>
          </cell>
          <cell r="H1586" t="str">
            <v>item_513013</v>
          </cell>
        </row>
        <row r="1587">
          <cell r="E1587" t="str">
            <v>稀有舰船主炮</v>
          </cell>
          <cell r="F1587" t="str">
            <v>稀有舰船主炮</v>
          </cell>
          <cell r="G1587" t="str">
            <v>用于制作战船的稀有零部件。</v>
          </cell>
          <cell r="H1587" t="str">
            <v>item_513014</v>
          </cell>
        </row>
        <row r="1588">
          <cell r="E1588" t="str">
            <v>稀有合金</v>
          </cell>
          <cell r="F1588" t="str">
            <v>稀有合金</v>
          </cell>
          <cell r="G1588" t="str">
            <v>用于制作战船零部件的稀有材料。</v>
          </cell>
          <cell r="H1588" t="str">
            <v>item_513015</v>
          </cell>
        </row>
        <row r="1589">
          <cell r="E1589" t="str">
            <v>稀有铜板</v>
          </cell>
          <cell r="F1589" t="str">
            <v>稀有铜板</v>
          </cell>
          <cell r="G1589" t="str">
            <v>用于制作战船零部件的稀有材料。</v>
          </cell>
          <cell r="H1589" t="str">
            <v>item_513016</v>
          </cell>
        </row>
        <row r="1590">
          <cell r="E1590" t="str">
            <v>稀有舰船炮台</v>
          </cell>
          <cell r="F1590" t="str">
            <v>稀有舰船炮台</v>
          </cell>
          <cell r="G1590" t="str">
            <v>用于制作战船的稀有零部件。</v>
          </cell>
          <cell r="H1590" t="str">
            <v>item_513017</v>
          </cell>
        </row>
        <row r="1591">
          <cell r="E1591" t="str">
            <v>稀有木根</v>
          </cell>
          <cell r="F1591" t="str">
            <v>稀有木根</v>
          </cell>
          <cell r="G1591" t="str">
            <v>用于制作战船零部件的稀有材料。</v>
          </cell>
          <cell r="H1591" t="str">
            <v>item_513018</v>
          </cell>
        </row>
        <row r="1592">
          <cell r="E1592" t="str">
            <v>稀有帆布</v>
          </cell>
          <cell r="F1592" t="str">
            <v>稀有帆布</v>
          </cell>
          <cell r="G1592" t="str">
            <v>用于制作战船零部件的稀有材料。</v>
          </cell>
          <cell r="H1592" t="str">
            <v>item_513019</v>
          </cell>
        </row>
        <row r="1593">
          <cell r="E1593" t="str">
            <v>稀有龙骨</v>
          </cell>
          <cell r="F1593" t="str">
            <v>稀有龙骨</v>
          </cell>
          <cell r="G1593" t="str">
            <v>用于制作战船零部件的稀有材料。</v>
          </cell>
          <cell r="H1593" t="str">
            <v>item_513020</v>
          </cell>
        </row>
        <row r="1594">
          <cell r="E1594" t="str">
            <v>稀有风帆</v>
          </cell>
          <cell r="F1594" t="str">
            <v>稀有风帆</v>
          </cell>
          <cell r="G1594" t="str">
            <v>用于制作战船零部件的稀有材料。</v>
          </cell>
          <cell r="H1594" t="str">
            <v>item_513021</v>
          </cell>
        </row>
        <row r="1595">
          <cell r="E1595" t="str">
            <v>稀有桅柱</v>
          </cell>
          <cell r="F1595" t="str">
            <v>稀有桅柱</v>
          </cell>
          <cell r="G1595" t="str">
            <v>用于制作战船零部件的稀有材料。</v>
          </cell>
          <cell r="H1595" t="str">
            <v>item_513022</v>
          </cell>
        </row>
        <row r="1596">
          <cell r="E1596" t="str">
            <v>稀有舰船桅杆</v>
          </cell>
          <cell r="F1596" t="str">
            <v>稀有舰船桅杆</v>
          </cell>
          <cell r="G1596" t="str">
            <v>用于制作战船的稀有零部件。</v>
          </cell>
          <cell r="H1596" t="str">
            <v>item_513023</v>
          </cell>
        </row>
        <row r="1597">
          <cell r="E1597" t="str">
            <v>稀有舰船舱室</v>
          </cell>
          <cell r="F1597" t="str">
            <v>稀有舰船舱室</v>
          </cell>
          <cell r="G1597" t="str">
            <v>用于制作战船的稀有零部件。</v>
          </cell>
          <cell r="H1597" t="str">
            <v>item_513024</v>
          </cell>
        </row>
        <row r="1598">
          <cell r="E1598" t="str">
            <v>稀有龙骨骨架</v>
          </cell>
          <cell r="F1598" t="str">
            <v>稀有龙骨骨架</v>
          </cell>
          <cell r="G1598" t="str">
            <v>用于制作战船的稀有零部件。</v>
          </cell>
          <cell r="H1598" t="str">
            <v>item_513025</v>
          </cell>
        </row>
        <row r="1599">
          <cell r="E1599" t="str">
            <v>一捆贵重木料</v>
          </cell>
          <cell r="F1599" t="str">
            <v>贵重物料箱</v>
          </cell>
          <cell r="G1599" t="str">
            <v>建造战船的原材料。在造船厂中提炼可以获得原木，概率获得硬木、木根、龙骨和合金。</v>
          </cell>
          <cell r="H1599" t="str">
            <v>item_514000</v>
          </cell>
        </row>
        <row r="1600">
          <cell r="E1600" t="str">
            <v>贵重量具</v>
          </cell>
          <cell r="F1600" t="str">
            <v>贵重量具</v>
          </cell>
          <cell r="G1600" t="str">
            <v>用于制作战船零部件的贵重材料。</v>
          </cell>
          <cell r="H1600" t="str">
            <v>item_514001</v>
          </cell>
        </row>
        <row r="1601">
          <cell r="E1601" t="str">
            <v>贵重图纸</v>
          </cell>
          <cell r="F1601" t="str">
            <v>贵重图纸</v>
          </cell>
          <cell r="G1601" t="str">
            <v>用于制作战船零部件的贵重材料。</v>
          </cell>
          <cell r="H1601" t="str">
            <v>item_514002</v>
          </cell>
        </row>
        <row r="1602">
          <cell r="E1602" t="str">
            <v>贵重铆钉</v>
          </cell>
          <cell r="F1602" t="str">
            <v>贵重铆钉</v>
          </cell>
          <cell r="G1602" t="str">
            <v>用于制作战船零部件的贵重材料。</v>
          </cell>
          <cell r="H1602" t="str">
            <v>item_514003</v>
          </cell>
        </row>
        <row r="1603">
          <cell r="E1603" t="str">
            <v>贵重龙骨</v>
          </cell>
          <cell r="F1603" t="str">
            <v>贵重木锤</v>
          </cell>
          <cell r="G1603" t="str">
            <v>用于制作战船零部件的贵重材料。</v>
          </cell>
          <cell r="H1603" t="str">
            <v>item_514004</v>
          </cell>
        </row>
        <row r="1604">
          <cell r="E1604" t="str">
            <v>贵重铁锤</v>
          </cell>
          <cell r="F1604" t="str">
            <v>贵重铁锤</v>
          </cell>
          <cell r="G1604" t="str">
            <v>用于制作战船零部件的贵重材料。</v>
          </cell>
          <cell r="H1604" t="str">
            <v>item_514005</v>
          </cell>
        </row>
        <row r="1605">
          <cell r="E1605" t="str">
            <v>贵重原木</v>
          </cell>
          <cell r="F1605" t="str">
            <v>贵重原木</v>
          </cell>
          <cell r="G1605" t="str">
            <v>用于制作战船零部件的贵重材料。</v>
          </cell>
          <cell r="H1605" t="str">
            <v>item_514006</v>
          </cell>
        </row>
        <row r="1606">
          <cell r="E1606" t="str">
            <v>贵重木条</v>
          </cell>
          <cell r="F1606" t="str">
            <v>贵重木条</v>
          </cell>
          <cell r="G1606" t="str">
            <v>用于制作战船零部件的贵重材料。</v>
          </cell>
          <cell r="H1606" t="str">
            <v>item_514007</v>
          </cell>
        </row>
        <row r="1607">
          <cell r="E1607" t="str">
            <v>贵重舰船甲板</v>
          </cell>
          <cell r="F1607" t="str">
            <v>贵重舰船甲板</v>
          </cell>
          <cell r="G1607" t="str">
            <v>用于制作战船零部件的贵重材料。</v>
          </cell>
          <cell r="H1607" t="str">
            <v>item_514008</v>
          </cell>
        </row>
        <row r="1608">
          <cell r="E1608" t="str">
            <v>贵重硬木</v>
          </cell>
          <cell r="F1608" t="str">
            <v>贵重硬木</v>
          </cell>
          <cell r="G1608" t="str">
            <v>用于制作战船零部件的贵重材料。</v>
          </cell>
          <cell r="H1608" t="str">
            <v>item_514009</v>
          </cell>
        </row>
        <row r="1609">
          <cell r="E1609" t="str">
            <v>贵重木板</v>
          </cell>
          <cell r="F1609" t="str">
            <v>贵重木板</v>
          </cell>
          <cell r="G1609" t="str">
            <v>用于制作战船零部件的贵重材料。</v>
          </cell>
          <cell r="H1609" t="str">
            <v>item_514010</v>
          </cell>
        </row>
        <row r="1610">
          <cell r="E1610" t="str">
            <v>贵重高级甲板</v>
          </cell>
          <cell r="F1610" t="str">
            <v>贵重高级甲板</v>
          </cell>
          <cell r="G1610" t="str">
            <v>用于制作战船的贵重零部件。</v>
          </cell>
          <cell r="H1610" t="str">
            <v>item_514011</v>
          </cell>
        </row>
        <row r="1611">
          <cell r="E1611" t="str">
            <v>贵重精铁</v>
          </cell>
          <cell r="F1611" t="str">
            <v>贵重精铁</v>
          </cell>
          <cell r="G1611" t="str">
            <v>用于制作战船零部件的贵重材料。</v>
          </cell>
          <cell r="H1611" t="str">
            <v>item_514012</v>
          </cell>
        </row>
        <row r="1612">
          <cell r="E1612" t="str">
            <v>贵重钢板</v>
          </cell>
          <cell r="F1612" t="str">
            <v>贵重钢板</v>
          </cell>
          <cell r="G1612" t="str">
            <v>用于制作战船零部件的贵重材料。</v>
          </cell>
          <cell r="H1612" t="str">
            <v>item_514013</v>
          </cell>
        </row>
        <row r="1613">
          <cell r="E1613" t="str">
            <v>贵重舰船主炮</v>
          </cell>
          <cell r="F1613" t="str">
            <v>贵重舰船主炮</v>
          </cell>
          <cell r="G1613" t="str">
            <v>用于制作战船的贵重零部件。</v>
          </cell>
          <cell r="H1613" t="str">
            <v>item_514014</v>
          </cell>
        </row>
        <row r="1614">
          <cell r="E1614" t="str">
            <v>贵重合金</v>
          </cell>
          <cell r="F1614" t="str">
            <v>贵重合金</v>
          </cell>
          <cell r="G1614" t="str">
            <v>用于制作战船零部件的贵重材料。</v>
          </cell>
          <cell r="H1614" t="str">
            <v>item_514015</v>
          </cell>
        </row>
        <row r="1615">
          <cell r="E1615" t="str">
            <v>贵重铜板</v>
          </cell>
          <cell r="F1615" t="str">
            <v>贵重铜板</v>
          </cell>
          <cell r="G1615" t="str">
            <v>用于制作战船零部件的贵重材料。</v>
          </cell>
          <cell r="H1615" t="str">
            <v>item_514016</v>
          </cell>
        </row>
        <row r="1616">
          <cell r="E1616" t="str">
            <v>贵重舰船炮台</v>
          </cell>
          <cell r="F1616" t="str">
            <v>贵重舰船炮台</v>
          </cell>
          <cell r="G1616" t="str">
            <v>用于制作战船的贵重零部件。</v>
          </cell>
          <cell r="H1616" t="str">
            <v>item_514017</v>
          </cell>
        </row>
        <row r="1617">
          <cell r="E1617" t="str">
            <v>贵重木根</v>
          </cell>
          <cell r="F1617" t="str">
            <v>贵重木根</v>
          </cell>
          <cell r="G1617" t="str">
            <v>用于制作战船零部件的贵重材料。</v>
          </cell>
          <cell r="H1617" t="str">
            <v>item_514018</v>
          </cell>
        </row>
        <row r="1618">
          <cell r="E1618" t="str">
            <v>贵重帆布</v>
          </cell>
          <cell r="F1618" t="str">
            <v>贵重帆布</v>
          </cell>
          <cell r="G1618" t="str">
            <v>用于制作战船零部件的贵重材料。</v>
          </cell>
          <cell r="H1618" t="str">
            <v>item_514019</v>
          </cell>
        </row>
        <row r="1619">
          <cell r="E1619" t="str">
            <v>贵重龙骨</v>
          </cell>
          <cell r="F1619" t="str">
            <v>贵重龙骨</v>
          </cell>
          <cell r="G1619" t="str">
            <v>用于制作战船零部件的贵重材料。</v>
          </cell>
          <cell r="H1619" t="str">
            <v>item_514020</v>
          </cell>
        </row>
        <row r="1620">
          <cell r="E1620" t="str">
            <v>贵重风帆</v>
          </cell>
          <cell r="F1620" t="str">
            <v>贵重风帆</v>
          </cell>
          <cell r="G1620" t="str">
            <v>用于制作战船零部件的贵重材料。</v>
          </cell>
          <cell r="H1620" t="str">
            <v>item_514021</v>
          </cell>
        </row>
        <row r="1621">
          <cell r="E1621" t="str">
            <v>贵重桅柱</v>
          </cell>
          <cell r="F1621" t="str">
            <v>贵重桅柱</v>
          </cell>
          <cell r="G1621" t="str">
            <v>用于制作战船零部件的贵重材料。</v>
          </cell>
          <cell r="H1621" t="str">
            <v>item_514022</v>
          </cell>
        </row>
        <row r="1622">
          <cell r="E1622" t="str">
            <v>贵重舰船桅杆</v>
          </cell>
          <cell r="F1622" t="str">
            <v>贵重舰船桅杆</v>
          </cell>
          <cell r="G1622" t="str">
            <v>用于制作战船的贵重零部件。</v>
          </cell>
          <cell r="H1622" t="str">
            <v>item_514023</v>
          </cell>
        </row>
        <row r="1623">
          <cell r="E1623" t="str">
            <v>贵重舰船舱室</v>
          </cell>
          <cell r="F1623" t="str">
            <v>贵重舰船舱室</v>
          </cell>
          <cell r="G1623" t="str">
            <v>用于制作战船的贵重零部件。</v>
          </cell>
          <cell r="H1623" t="str">
            <v>item_514024</v>
          </cell>
        </row>
        <row r="1624">
          <cell r="E1624" t="str">
            <v>贵重龙骨骨架</v>
          </cell>
          <cell r="F1624" t="str">
            <v>贵重龙骨骨架</v>
          </cell>
          <cell r="G1624" t="str">
            <v>用于制作战船的贵重零部件。</v>
          </cell>
          <cell r="H1624" t="str">
            <v>item_514025</v>
          </cell>
        </row>
        <row r="1625">
          <cell r="E1625" t="str">
            <v>一捆豪华木料</v>
          </cell>
          <cell r="F1625" t="str">
            <v>豪华物料箱</v>
          </cell>
          <cell r="G1625" t="str">
            <v>建造战船的原材料。在造船厂中提炼可以获得原木，概率获得硬木、木根、龙骨和合金。</v>
          </cell>
          <cell r="H1625" t="str">
            <v>item_515000</v>
          </cell>
        </row>
        <row r="1626">
          <cell r="E1626" t="str">
            <v>豪华量具</v>
          </cell>
          <cell r="F1626" t="str">
            <v>豪华量具</v>
          </cell>
          <cell r="G1626" t="str">
            <v>用于制作战船零部件的豪华材料。</v>
          </cell>
          <cell r="H1626" t="str">
            <v>item_515001</v>
          </cell>
        </row>
        <row r="1627">
          <cell r="E1627" t="str">
            <v>豪华图纸</v>
          </cell>
          <cell r="F1627" t="str">
            <v>豪华图纸</v>
          </cell>
          <cell r="G1627" t="str">
            <v>用于制作战船零部件的豪华材料。</v>
          </cell>
          <cell r="H1627" t="str">
            <v>item_515002</v>
          </cell>
        </row>
        <row r="1628">
          <cell r="E1628" t="str">
            <v>豪华铆钉</v>
          </cell>
          <cell r="F1628" t="str">
            <v>豪华铆钉</v>
          </cell>
          <cell r="G1628" t="str">
            <v>用于制作战船零部件的豪华材料。</v>
          </cell>
          <cell r="H1628" t="str">
            <v>item_515003</v>
          </cell>
        </row>
        <row r="1629">
          <cell r="E1629" t="str">
            <v>豪华龙骨</v>
          </cell>
          <cell r="F1629" t="str">
            <v>豪华木锤</v>
          </cell>
          <cell r="G1629" t="str">
            <v>用于制作战船零部件的豪华材料。</v>
          </cell>
          <cell r="H1629" t="str">
            <v>item_515004</v>
          </cell>
        </row>
        <row r="1630">
          <cell r="E1630" t="str">
            <v>豪华铁锤</v>
          </cell>
          <cell r="F1630" t="str">
            <v>豪华铁锤</v>
          </cell>
          <cell r="G1630" t="str">
            <v>用于制作战船零部件的豪华材料。</v>
          </cell>
          <cell r="H1630" t="str">
            <v>item_515005</v>
          </cell>
        </row>
        <row r="1631">
          <cell r="E1631" t="str">
            <v>豪华原木</v>
          </cell>
          <cell r="F1631" t="str">
            <v>豪华原木</v>
          </cell>
          <cell r="G1631" t="str">
            <v>用于制作战船零部件的豪华材料。</v>
          </cell>
          <cell r="H1631" t="str">
            <v>item_515006</v>
          </cell>
        </row>
        <row r="1632">
          <cell r="E1632" t="str">
            <v>豪华木条</v>
          </cell>
          <cell r="F1632" t="str">
            <v>豪华木条</v>
          </cell>
          <cell r="G1632" t="str">
            <v>用于制作战船零部件的豪华材料。</v>
          </cell>
          <cell r="H1632" t="str">
            <v>item_515007</v>
          </cell>
        </row>
        <row r="1633">
          <cell r="E1633" t="str">
            <v>豪华舰船甲板</v>
          </cell>
          <cell r="F1633" t="str">
            <v>豪华舰船甲板</v>
          </cell>
          <cell r="G1633" t="str">
            <v>用于制作战船零部件的豪华材料。</v>
          </cell>
          <cell r="H1633" t="str">
            <v>item_515008</v>
          </cell>
        </row>
        <row r="1634">
          <cell r="E1634" t="str">
            <v>豪华硬木</v>
          </cell>
          <cell r="F1634" t="str">
            <v>豪华硬木</v>
          </cell>
          <cell r="G1634" t="str">
            <v>用于制作战船零部件的豪华材料。</v>
          </cell>
          <cell r="H1634" t="str">
            <v>item_515009</v>
          </cell>
        </row>
        <row r="1635">
          <cell r="E1635" t="str">
            <v>豪华木板</v>
          </cell>
          <cell r="F1635" t="str">
            <v>豪华木板</v>
          </cell>
          <cell r="G1635" t="str">
            <v>用于制作战船零部件的豪华材料。</v>
          </cell>
          <cell r="H1635" t="str">
            <v>item_515010</v>
          </cell>
        </row>
        <row r="1636">
          <cell r="E1636" t="str">
            <v>豪华高级甲板</v>
          </cell>
          <cell r="F1636" t="str">
            <v>豪华高级甲板</v>
          </cell>
          <cell r="G1636" t="str">
            <v>用于制作战船的豪华零部件。</v>
          </cell>
          <cell r="H1636" t="str">
            <v>item_515011</v>
          </cell>
        </row>
        <row r="1637">
          <cell r="E1637" t="str">
            <v>豪华精铁</v>
          </cell>
          <cell r="F1637" t="str">
            <v>豪华精铁</v>
          </cell>
          <cell r="G1637" t="str">
            <v>用于制作战船零部件的豪华材料。</v>
          </cell>
          <cell r="H1637" t="str">
            <v>item_515012</v>
          </cell>
        </row>
        <row r="1638">
          <cell r="E1638" t="str">
            <v>豪华钢板</v>
          </cell>
          <cell r="F1638" t="str">
            <v>豪华钢板</v>
          </cell>
          <cell r="G1638" t="str">
            <v>用于制作战船零部件的豪华材料。</v>
          </cell>
          <cell r="H1638" t="str">
            <v>item_515013</v>
          </cell>
        </row>
        <row r="1639">
          <cell r="E1639" t="str">
            <v>豪华舰船主炮</v>
          </cell>
          <cell r="F1639" t="str">
            <v>豪华舰船主炮</v>
          </cell>
          <cell r="G1639" t="str">
            <v>用于制作战船的豪华零部件。</v>
          </cell>
          <cell r="H1639" t="str">
            <v>item_515014</v>
          </cell>
        </row>
        <row r="1640">
          <cell r="E1640" t="str">
            <v>豪华合金</v>
          </cell>
          <cell r="F1640" t="str">
            <v>豪华合金</v>
          </cell>
          <cell r="G1640" t="str">
            <v>用于制作战船零部件的豪华材料。</v>
          </cell>
          <cell r="H1640" t="str">
            <v>item_515015</v>
          </cell>
        </row>
        <row r="1641">
          <cell r="E1641" t="str">
            <v>豪华铜板</v>
          </cell>
          <cell r="F1641" t="str">
            <v>豪华铜板</v>
          </cell>
          <cell r="G1641" t="str">
            <v>用于制作战船零部件的豪华材料。</v>
          </cell>
          <cell r="H1641" t="str">
            <v>item_515016</v>
          </cell>
        </row>
        <row r="1642">
          <cell r="E1642" t="str">
            <v>豪华舰船炮台</v>
          </cell>
          <cell r="F1642" t="str">
            <v>豪华舰船炮台</v>
          </cell>
          <cell r="G1642" t="str">
            <v>用于制作战船的豪华零部件。</v>
          </cell>
          <cell r="H1642" t="str">
            <v>item_515017</v>
          </cell>
        </row>
        <row r="1643">
          <cell r="E1643" t="str">
            <v>豪华木根</v>
          </cell>
          <cell r="F1643" t="str">
            <v>豪华木根</v>
          </cell>
          <cell r="G1643" t="str">
            <v>用于制作战船零部件的豪华材料。</v>
          </cell>
          <cell r="H1643" t="str">
            <v>item_515018</v>
          </cell>
        </row>
        <row r="1644">
          <cell r="E1644" t="str">
            <v>豪华帆布</v>
          </cell>
          <cell r="F1644" t="str">
            <v>豪华帆布</v>
          </cell>
          <cell r="G1644" t="str">
            <v>用于制作战船零部件的豪华材料。</v>
          </cell>
          <cell r="H1644" t="str">
            <v>item_515019</v>
          </cell>
        </row>
        <row r="1645">
          <cell r="E1645" t="str">
            <v>豪华龙骨</v>
          </cell>
          <cell r="F1645" t="str">
            <v>豪华龙骨</v>
          </cell>
          <cell r="G1645" t="str">
            <v>用于制作战船零部件的豪华材料。</v>
          </cell>
          <cell r="H1645" t="str">
            <v>item_515020</v>
          </cell>
        </row>
        <row r="1646">
          <cell r="E1646" t="str">
            <v>豪华风帆</v>
          </cell>
          <cell r="F1646" t="str">
            <v>豪华风帆</v>
          </cell>
          <cell r="G1646" t="str">
            <v>用于制作战船零部件的豪华材料。</v>
          </cell>
          <cell r="H1646" t="str">
            <v>item_515021</v>
          </cell>
        </row>
        <row r="1647">
          <cell r="E1647" t="str">
            <v>豪华桅柱</v>
          </cell>
          <cell r="F1647" t="str">
            <v>豪华桅柱</v>
          </cell>
          <cell r="G1647" t="str">
            <v>用于制作战船零部件的豪华材料。</v>
          </cell>
          <cell r="H1647" t="str">
            <v>item_515022</v>
          </cell>
        </row>
        <row r="1648">
          <cell r="E1648" t="str">
            <v>豪华舰船桅杆</v>
          </cell>
          <cell r="F1648" t="str">
            <v>豪华舰船桅杆</v>
          </cell>
          <cell r="G1648" t="str">
            <v>用于制作战船的豪华零部件。</v>
          </cell>
          <cell r="H1648" t="str">
            <v>item_515023</v>
          </cell>
        </row>
        <row r="1649">
          <cell r="E1649" t="str">
            <v>豪华舰船舱室</v>
          </cell>
          <cell r="F1649" t="str">
            <v>豪华舰船舱室</v>
          </cell>
          <cell r="G1649" t="str">
            <v>用于制作战船的豪华零部件。</v>
          </cell>
          <cell r="H1649" t="str">
            <v>item_515024</v>
          </cell>
        </row>
        <row r="1650">
          <cell r="E1650" t="str">
            <v>豪华龙骨骨架</v>
          </cell>
          <cell r="F1650" t="str">
            <v>豪华龙骨骨架</v>
          </cell>
          <cell r="G1650" t="str">
            <v>用于制作战船的豪华零部件。</v>
          </cell>
          <cell r="H1650" t="str">
            <v>item_515025</v>
          </cell>
        </row>
        <row r="1651">
          <cell r="E1651" t="str">
            <v>普通沉船货物</v>
          </cell>
          <cell r="F1651" t="str">
            <v>普通沉船货物</v>
          </cell>
          <cell r="G1651" t="str">
            <v>用于战船的改造。</v>
          </cell>
          <cell r="H1651" t="str">
            <v>item_511026</v>
          </cell>
        </row>
        <row r="1652">
          <cell r="E1652" t="str">
            <v>普通海兽兽骨</v>
          </cell>
          <cell r="F1652" t="str">
            <v>普通海兽兽骨</v>
          </cell>
          <cell r="G1652" t="str">
            <v>用于战船的改造。</v>
          </cell>
          <cell r="H1652" t="str">
            <v>item_511027</v>
          </cell>
        </row>
        <row r="1653">
          <cell r="E1653" t="str">
            <v>普通皮革</v>
          </cell>
          <cell r="F1653" t="str">
            <v>普通皮革</v>
          </cell>
          <cell r="G1653" t="str">
            <v>用于战船的改造。</v>
          </cell>
          <cell r="H1653" t="str">
            <v>item_511028</v>
          </cell>
        </row>
        <row r="1654">
          <cell r="E1654" t="str">
            <v>普通珊瑚</v>
          </cell>
          <cell r="F1654" t="str">
            <v>普通珊瑚</v>
          </cell>
          <cell r="G1654" t="str">
            <v>用于战船的改造。</v>
          </cell>
          <cell r="H1654" t="str">
            <v>item_511029</v>
          </cell>
        </row>
        <row r="1655">
          <cell r="E1655" t="str">
            <v>普通珍奇矿石</v>
          </cell>
          <cell r="F1655" t="str">
            <v>普通珍奇矿石</v>
          </cell>
          <cell r="G1655" t="str">
            <v>用于战船的改造。</v>
          </cell>
          <cell r="H1655" t="str">
            <v>item_511030</v>
          </cell>
        </row>
        <row r="1656">
          <cell r="E1656" t="str">
            <v>优质沉船货物</v>
          </cell>
          <cell r="F1656" t="str">
            <v>优质沉船货物</v>
          </cell>
          <cell r="G1656" t="str">
            <v>用于战船的改造。</v>
          </cell>
          <cell r="H1656" t="str">
            <v>item_512026</v>
          </cell>
        </row>
        <row r="1657">
          <cell r="E1657" t="str">
            <v>优质海兽兽骨</v>
          </cell>
          <cell r="F1657" t="str">
            <v>优质海兽兽骨</v>
          </cell>
          <cell r="G1657" t="str">
            <v>用于战船的改造。</v>
          </cell>
          <cell r="H1657" t="str">
            <v>item_512027</v>
          </cell>
        </row>
        <row r="1658">
          <cell r="E1658" t="str">
            <v>优质皮革</v>
          </cell>
          <cell r="F1658" t="str">
            <v>优质皮革</v>
          </cell>
          <cell r="G1658" t="str">
            <v>用于战船的改造。</v>
          </cell>
          <cell r="H1658" t="str">
            <v>item_512028</v>
          </cell>
        </row>
        <row r="1659">
          <cell r="E1659" t="str">
            <v>优质珊瑚</v>
          </cell>
          <cell r="F1659" t="str">
            <v>优质珊瑚</v>
          </cell>
          <cell r="G1659" t="str">
            <v>用于战船的改造。</v>
          </cell>
          <cell r="H1659" t="str">
            <v>item_512029</v>
          </cell>
        </row>
        <row r="1660">
          <cell r="E1660" t="str">
            <v>优质珍奇矿石</v>
          </cell>
          <cell r="F1660" t="str">
            <v>优质珍奇矿石</v>
          </cell>
          <cell r="G1660" t="str">
            <v>用于战船的改造。</v>
          </cell>
          <cell r="H1660" t="str">
            <v>item_512030</v>
          </cell>
        </row>
        <row r="1661">
          <cell r="E1661" t="str">
            <v>稀有沉船货物</v>
          </cell>
          <cell r="F1661" t="str">
            <v>稀有沉船货物</v>
          </cell>
          <cell r="G1661" t="str">
            <v>用于战船的改造。</v>
          </cell>
          <cell r="H1661" t="str">
            <v>item_513026</v>
          </cell>
        </row>
        <row r="1662">
          <cell r="E1662" t="str">
            <v>稀有海兽兽骨</v>
          </cell>
          <cell r="F1662" t="str">
            <v>稀有海兽兽骨</v>
          </cell>
          <cell r="G1662" t="str">
            <v>用于战船的改造。</v>
          </cell>
          <cell r="H1662" t="str">
            <v>item_513027</v>
          </cell>
        </row>
        <row r="1663">
          <cell r="E1663" t="str">
            <v>稀有皮革</v>
          </cell>
          <cell r="F1663" t="str">
            <v>稀有皮革</v>
          </cell>
          <cell r="G1663" t="str">
            <v>用于战船的改造。</v>
          </cell>
          <cell r="H1663" t="str">
            <v>item_513028</v>
          </cell>
        </row>
        <row r="1664">
          <cell r="E1664" t="str">
            <v>稀有珊瑚</v>
          </cell>
          <cell r="F1664" t="str">
            <v>稀有珊瑚</v>
          </cell>
          <cell r="G1664" t="str">
            <v>用于战船的改造。</v>
          </cell>
          <cell r="H1664" t="str">
            <v>item_513029</v>
          </cell>
        </row>
        <row r="1665">
          <cell r="E1665" t="str">
            <v>稀有珍奇矿石</v>
          </cell>
          <cell r="F1665" t="str">
            <v>稀有珍奇矿石</v>
          </cell>
          <cell r="G1665" t="str">
            <v>用于战船的改造。</v>
          </cell>
          <cell r="H1665" t="str">
            <v>item_513030</v>
          </cell>
        </row>
        <row r="1666">
          <cell r="E1666" t="str">
            <v>贵重沉船货物</v>
          </cell>
          <cell r="F1666" t="str">
            <v>贵重沉船货物</v>
          </cell>
          <cell r="G1666" t="str">
            <v>用于战船的改造。</v>
          </cell>
          <cell r="H1666" t="str">
            <v>item_514026</v>
          </cell>
        </row>
        <row r="1667">
          <cell r="E1667" t="str">
            <v>贵重海兽兽骨</v>
          </cell>
          <cell r="F1667" t="str">
            <v>贵重海兽兽骨</v>
          </cell>
          <cell r="G1667" t="str">
            <v>用于战船的改造。</v>
          </cell>
          <cell r="H1667" t="str">
            <v>item_514027</v>
          </cell>
        </row>
        <row r="1668">
          <cell r="E1668" t="str">
            <v>贵重皮革</v>
          </cell>
          <cell r="F1668" t="str">
            <v>贵重皮革</v>
          </cell>
          <cell r="G1668" t="str">
            <v>用于战船的改造。</v>
          </cell>
          <cell r="H1668" t="str">
            <v>item_514028</v>
          </cell>
        </row>
        <row r="1669">
          <cell r="E1669" t="str">
            <v>贵重珊瑚</v>
          </cell>
          <cell r="F1669" t="str">
            <v>贵重珊瑚</v>
          </cell>
          <cell r="G1669" t="str">
            <v>用于战船的改造。</v>
          </cell>
          <cell r="H1669" t="str">
            <v>item_514029</v>
          </cell>
        </row>
        <row r="1670">
          <cell r="E1670" t="str">
            <v>贵重珍奇矿石</v>
          </cell>
          <cell r="F1670" t="str">
            <v>贵重珍奇矿石</v>
          </cell>
          <cell r="G1670" t="str">
            <v>用于战船的改造。</v>
          </cell>
          <cell r="H1670" t="str">
            <v>item_514030</v>
          </cell>
        </row>
        <row r="1671">
          <cell r="E1671" t="str">
            <v>豪华沉船货物</v>
          </cell>
          <cell r="F1671" t="str">
            <v>豪华沉船货物</v>
          </cell>
          <cell r="G1671" t="str">
            <v>用于战船的改造。</v>
          </cell>
          <cell r="H1671" t="str">
            <v>item_515026</v>
          </cell>
        </row>
        <row r="1672">
          <cell r="E1672" t="str">
            <v>豪华海兽兽骨</v>
          </cell>
          <cell r="F1672" t="str">
            <v>豪华海兽兽骨</v>
          </cell>
          <cell r="G1672" t="str">
            <v>用于战船的改造。</v>
          </cell>
          <cell r="H1672" t="str">
            <v>item_515027</v>
          </cell>
        </row>
        <row r="1673">
          <cell r="E1673" t="str">
            <v>豪华皮革</v>
          </cell>
          <cell r="F1673" t="str">
            <v>豪华皮革</v>
          </cell>
          <cell r="G1673" t="str">
            <v>用于战船的改造。</v>
          </cell>
          <cell r="H1673" t="str">
            <v>item_515028</v>
          </cell>
        </row>
        <row r="1674">
          <cell r="E1674" t="str">
            <v>豪华珊瑚</v>
          </cell>
          <cell r="F1674" t="str">
            <v>豪华珊瑚</v>
          </cell>
          <cell r="G1674" t="str">
            <v>用于战船的改造。</v>
          </cell>
          <cell r="H1674" t="str">
            <v>item_515029</v>
          </cell>
        </row>
        <row r="1675">
          <cell r="E1675" t="str">
            <v>豪华珍奇矿石</v>
          </cell>
          <cell r="F1675" t="str">
            <v>豪华珍奇矿石</v>
          </cell>
          <cell r="G1675" t="str">
            <v>用于战船的改造。</v>
          </cell>
          <cell r="H1675" t="str">
            <v>item_515030</v>
          </cell>
        </row>
        <row r="1676">
          <cell r="E1676" t="str">
            <v>改造重置书</v>
          </cell>
          <cell r="F1676" t="str">
            <v>改造重置书</v>
          </cell>
          <cell r="G1676" t="str">
            <v>用于重置战船的改造点数。</v>
          </cell>
          <cell r="H1676" t="str">
            <v>item_514031</v>
          </cell>
        </row>
        <row r="1677">
          <cell r="E1677" t="str">
            <v>洗练石</v>
          </cell>
          <cell r="F1677" t="str">
            <v>战船洗练石</v>
          </cell>
          <cell r="G1677" t="str">
            <v>用于洗练战船技能。</v>
          </cell>
          <cell r="H1677" t="str">
            <v>item_514032</v>
          </cell>
        </row>
        <row r="1678">
          <cell r="E1678" t="str">
            <v>时间沙漏(紫色)</v>
          </cell>
          <cell r="F1678" t="str">
            <v>时间沙漏</v>
          </cell>
          <cell r="G1678" t="str">
            <v>用于减少航海贸易中的时间。</v>
          </cell>
          <cell r="H1678" t="str">
            <v>item_524001</v>
          </cell>
        </row>
        <row r="1679">
          <cell r="E1679" t="str">
            <v>时间沙漏(橙色)</v>
          </cell>
          <cell r="F1679" t="str">
            <v>时间沙漏</v>
          </cell>
          <cell r="G1679" t="str">
            <v>用于减少航海贸易中的时间。</v>
          </cell>
          <cell r="H1679" t="str">
            <v>item_525001</v>
          </cell>
        </row>
        <row r="1680">
          <cell r="E1680" t="str">
            <v>测试刀锋草</v>
          </cell>
          <cell r="F1680" t="str">
            <v>测试刀锋草</v>
          </cell>
          <cell r="G1680" t="str">
            <v>采集到的完整药材，在制药屋进行分解可以获得制作药品的材料</v>
          </cell>
          <cell r="H1680" t="str">
            <v>item_400001</v>
          </cell>
        </row>
        <row r="1681">
          <cell r="E1681" t="str">
            <v>测试迷雾花</v>
          </cell>
          <cell r="F1681" t="str">
            <v>测试迷雾花</v>
          </cell>
          <cell r="G1681" t="str">
            <v>采集到的完整药材，在制药屋进行分解可以获得制作药品的材料</v>
          </cell>
          <cell r="H1681" t="str">
            <v>item_400002</v>
          </cell>
        </row>
        <row r="1682">
          <cell r="E1682" t="str">
            <v>测试彼岸花</v>
          </cell>
          <cell r="F1682" t="str">
            <v>测试彼岸花</v>
          </cell>
          <cell r="G1682" t="str">
            <v>采集到的完整药材，在制药屋进行分解可以获得制作药品的材料</v>
          </cell>
          <cell r="H1682" t="str">
            <v>item_400003</v>
          </cell>
        </row>
        <row r="1683">
          <cell r="E1683" t="str">
            <v>测试水晶花</v>
          </cell>
          <cell r="F1683" t="str">
            <v>测试水晶花</v>
          </cell>
          <cell r="G1683" t="str">
            <v>采集到的完整药材，在制药屋进行分解可以获得制作药品的材料</v>
          </cell>
          <cell r="H1683" t="str">
            <v>item_400004</v>
          </cell>
        </row>
        <row r="1684">
          <cell r="E1684" t="str">
            <v>测试摩罗花</v>
          </cell>
          <cell r="F1684" t="str">
            <v>测试摩罗花</v>
          </cell>
          <cell r="G1684" t="str">
            <v>采集到的完整药材，在制药屋进行分解可以获得制作药品的材料</v>
          </cell>
          <cell r="H1684" t="str">
            <v>item_400005</v>
          </cell>
        </row>
        <row r="1685">
          <cell r="E1685" t="str">
            <v>测试赤炎花</v>
          </cell>
          <cell r="F1685" t="str">
            <v>测试赤炎花</v>
          </cell>
          <cell r="G1685" t="str">
            <v>采集到的完整药材，在制药屋进行分解可以获得制作药品的材料</v>
          </cell>
          <cell r="H1685" t="str">
            <v>item_400006</v>
          </cell>
        </row>
        <row r="1686">
          <cell r="E1686" t="str">
            <v>彩蛋</v>
          </cell>
          <cell r="F1686" t="str">
            <v>感恩节彩蛋</v>
          </cell>
          <cell r="G1686" t="str">
            <v>打开随机获得20级装备。</v>
          </cell>
          <cell r="H1686" t="str">
            <v>item_25</v>
          </cell>
        </row>
        <row r="1687">
          <cell r="E1687" t="str">
            <v>玩具兔</v>
          </cell>
          <cell r="F1687" t="str">
            <v>玩具兔</v>
          </cell>
          <cell r="G1687" t="str">
            <v>瓦尔波的玩具常年随身携带，可用于兑换道具</v>
          </cell>
          <cell r="H1687" t="str">
            <v>item_212013</v>
          </cell>
        </row>
        <row r="1688">
          <cell r="E1688" t="str">
            <v>发音盒</v>
          </cell>
          <cell r="F1688" t="str">
            <v>发音盒</v>
          </cell>
          <cell r="G1688" t="str">
            <v>上弦后可播放美妙动听的音乐，可用于兑换道具</v>
          </cell>
          <cell r="H1688" t="str">
            <v>item_213013</v>
          </cell>
        </row>
        <row r="1689">
          <cell r="E1689" t="str">
            <v>幸运抽奖券</v>
          </cell>
          <cell r="F1689" t="str">
            <v>幸运抽奖券</v>
          </cell>
          <cell r="G1689" t="str">
            <v>用于在幸运转盘活动中抽奖，建议在幸运转盘活动开启期间购买</v>
          </cell>
          <cell r="H1689" t="str">
            <v>item_xingyun</v>
          </cell>
        </row>
        <row r="1690">
          <cell r="E1690" t="str">
            <v>幸运兑换币</v>
          </cell>
          <cell r="F1690" t="str">
            <v>幸运兑换币</v>
          </cell>
          <cell r="G1690" t="str">
            <v>幸运兑换币可以在幸运兑换商店中进行道具兑换</v>
          </cell>
          <cell r="H1690" t="str">
            <v>item_xingyunbi</v>
          </cell>
        </row>
        <row r="1691">
          <cell r="E1691" t="str">
            <v>火柴</v>
          </cell>
          <cell r="F1691" t="str">
            <v>火柴</v>
          </cell>
          <cell r="G1691" t="str">
            <v>用于燃放烟花。</v>
          </cell>
          <cell r="H1691" t="str">
            <v>item_511122</v>
          </cell>
        </row>
        <row r="1692">
          <cell r="E1692" t="str">
            <v>火柴</v>
          </cell>
          <cell r="F1692" t="str">
            <v>打火机</v>
          </cell>
          <cell r="G1692" t="str">
            <v>用于燃放高级烟花。</v>
          </cell>
          <cell r="H1692" t="str">
            <v>item_511123</v>
          </cell>
        </row>
        <row r="1693">
          <cell r="E1693" t="str">
            <v>雪花</v>
          </cell>
          <cell r="F1693" t="str">
            <v>雪花</v>
          </cell>
          <cell r="G1693" t="str">
            <v>冬天里最纯洁的雪花，可用于兑换特殊道具。</v>
          </cell>
          <cell r="H1693" t="str">
            <v>item_49</v>
          </cell>
        </row>
        <row r="1694">
          <cell r="E1694" t="str">
            <v>航海指针</v>
          </cell>
          <cell r="F1694" t="str">
            <v>航海指针</v>
          </cell>
          <cell r="G1694" t="str">
            <v>指引极限挑战的前进线路，可用于重置极限挑战</v>
          </cell>
          <cell r="H1694" t="str">
            <v>item_lxzz</v>
          </cell>
        </row>
        <row r="1695">
          <cell r="E1695" t="str">
            <v>幸运卡牌</v>
          </cell>
          <cell r="F1695" t="str">
            <v>幸运卡牌</v>
          </cell>
          <cell r="G1695" t="str">
            <v>一张富有神奇魔力的卡牌，可以翻出心仪的道具</v>
          </cell>
          <cell r="H1695" t="str">
            <v>item_xyp</v>
          </cell>
        </row>
        <row r="1696">
          <cell r="E1696" t="str">
            <v>普通工具箱</v>
          </cell>
          <cell r="F1696" t="str">
            <v>普通工具箱</v>
          </cell>
          <cell r="G1696" t="str">
            <v>装满修理工具的箱子，可用来修缮公会建筑</v>
          </cell>
          <cell r="H1696" t="str">
            <v>item_gjx1</v>
          </cell>
        </row>
        <row r="1697">
          <cell r="E1697" t="str">
            <v>高级工具箱</v>
          </cell>
          <cell r="F1697" t="str">
            <v>高级工具箱</v>
          </cell>
          <cell r="G1697" t="str">
            <v>装满修理工具的箱子，可用来修缮公会建筑</v>
          </cell>
          <cell r="H1697" t="str">
            <v>item_gjx2</v>
          </cell>
        </row>
        <row r="1698">
          <cell r="E1698" t="str">
            <v>初级装备券</v>
          </cell>
          <cell r="F1698" t="str">
            <v>初级装备券</v>
          </cell>
          <cell r="G1698" t="str">
            <v>使用初级装备券可以在装备工坊中抽取60级装备</v>
          </cell>
          <cell r="H1698" t="str">
            <v>item_511129</v>
          </cell>
        </row>
        <row r="1699">
          <cell r="E1699" t="str">
            <v>中级装备券</v>
          </cell>
          <cell r="F1699" t="str">
            <v>中级装备券</v>
          </cell>
          <cell r="G1699" t="str">
            <v>使用中级装备券可以在装备工坊中抽取80级装备</v>
          </cell>
          <cell r="H1699" t="str">
            <v>item_511130</v>
          </cell>
        </row>
        <row r="1700">
          <cell r="E1700" t="str">
            <v>红气球</v>
          </cell>
          <cell r="F1700" t="str">
            <v>红气球</v>
          </cell>
          <cell r="G1700" t="str">
            <v>红色的气球，可用于兑换特殊道具。</v>
          </cell>
          <cell r="H1700" t="str">
            <v>item_58</v>
          </cell>
        </row>
        <row r="1701">
          <cell r="E1701" t="str">
            <v>彩气球</v>
          </cell>
          <cell r="F1701" t="str">
            <v>彩气球</v>
          </cell>
          <cell r="G1701" t="str">
            <v>一簇彩色气球，可用于兑换特殊道具。</v>
          </cell>
          <cell r="H1701" t="str">
            <v>item_57</v>
          </cell>
        </row>
        <row r="1702">
          <cell r="E1702" t="str">
            <v>海岛争霸币</v>
          </cell>
          <cell r="F1702" t="str">
            <v>争霸币</v>
          </cell>
          <cell r="G1702" t="str">
            <v>争霸币可以在海岛争霸兑换商店中进行道具兑换</v>
          </cell>
          <cell r="H1702" t="str">
            <v>UI_item_chessmoney</v>
          </cell>
        </row>
        <row r="1703">
          <cell r="E1703" t="str">
            <v>装备兑换</v>
          </cell>
          <cell r="F1703" t="str">
            <v>高级装备兑换袋</v>
          </cell>
          <cell r="G1703" t="str">
            <v>用于兑换装备。</v>
          </cell>
          <cell r="H1703" t="str">
            <v>small_bag_60</v>
          </cell>
        </row>
        <row r="1704">
          <cell r="E1704" t="str">
            <v>装备兑换</v>
          </cell>
          <cell r="F1704" t="str">
            <v>豪华装备兑换袋</v>
          </cell>
          <cell r="G1704" t="str">
            <v>用于兑换装备。</v>
          </cell>
          <cell r="H1704" t="str">
            <v>small_bag_80</v>
          </cell>
        </row>
        <row r="1705">
          <cell r="E1705" t="str">
            <v>装备兑换</v>
          </cell>
          <cell r="F1705" t="str">
            <v>装备兑换袋宝箱</v>
          </cell>
          <cell r="G1705" t="str">
            <v>打开后随机获得一种装备兑换袋，有概率获得豪华装备兑换袋。</v>
          </cell>
          <cell r="H1705" t="str">
            <v>item_250110</v>
          </cell>
        </row>
        <row r="1706">
          <cell r="E1706" t="str">
            <v>图纸兑换</v>
          </cell>
          <cell r="F1706" t="str">
            <v>晶莹珍珠</v>
          </cell>
          <cell r="G1706" t="str">
            <v>用于兑换阵法图纸。</v>
          </cell>
          <cell r="H1706" t="str">
            <v>item_221001</v>
          </cell>
        </row>
        <row r="1707">
          <cell r="E1707" t="str">
            <v>船兑换</v>
          </cell>
          <cell r="F1707" t="str">
            <v>极品战船兑换袋</v>
          </cell>
          <cell r="G1707" t="str">
            <v>集齐一定数量可以兑换战船。</v>
          </cell>
          <cell r="H1707" t="str">
            <v>item_box_09</v>
          </cell>
        </row>
        <row r="1708">
          <cell r="E1708" t="str">
            <v>冰块</v>
          </cell>
          <cell r="F1708" t="str">
            <v>冰块</v>
          </cell>
          <cell r="G1708" t="str">
            <v>夏日令人清爽解暑用品，可用于兑换特殊道具。</v>
          </cell>
          <cell r="H1708" t="str">
            <v>item_60</v>
          </cell>
        </row>
        <row r="1709">
          <cell r="E1709" t="str">
            <v>风筝</v>
          </cell>
          <cell r="F1709" t="str">
            <v>风筝</v>
          </cell>
          <cell r="G1709" t="str">
            <v>随风飞舞的小风筝，可用于兑换特殊道具。</v>
          </cell>
          <cell r="H1709" t="str">
            <v>item_61</v>
          </cell>
        </row>
        <row r="1710">
          <cell r="E1710" t="str">
            <v>毽子</v>
          </cell>
          <cell r="F1710" t="str">
            <v>毽子</v>
          </cell>
          <cell r="G1710" t="str">
            <v>小时候常伴左右的玩具，可用于兑换特殊道具。</v>
          </cell>
          <cell r="H1710" t="str">
            <v>item_62</v>
          </cell>
        </row>
        <row r="1711">
          <cell r="E1711" t="str">
            <v>小扇子</v>
          </cell>
          <cell r="F1711" t="str">
            <v>小扇子</v>
          </cell>
          <cell r="G1711" t="str">
            <v>一把小扇子，可用于兑换特殊道具。</v>
          </cell>
          <cell r="H1711" t="str">
            <v>item_63</v>
          </cell>
        </row>
        <row r="1712">
          <cell r="E1712" t="str">
            <v>夏日礼盒</v>
          </cell>
          <cell r="F1712" t="str">
            <v>夏日礼盒</v>
          </cell>
          <cell r="G1712" t="str">
            <v>打开后随机获得一个道具。</v>
          </cell>
          <cell r="H1712" t="str">
            <v>item_43</v>
          </cell>
        </row>
        <row r="1713">
          <cell r="E1713" t="str">
            <v>打捞网</v>
          </cell>
          <cell r="F1713" t="str">
            <v>打捞网</v>
          </cell>
          <cell r="G1713" t="str">
            <v>在藏宝海域进行高级打捞宝藏的道具，使用后不会增加普通打捞的消耗。</v>
          </cell>
          <cell r="H1713" t="str">
            <v>item_63</v>
          </cell>
        </row>
        <row r="1714">
          <cell r="E1714" t="str">
            <v>解锁自走棋地图2</v>
          </cell>
          <cell r="F1714" t="str">
            <v>海岛争霸岛屿卷</v>
          </cell>
          <cell r="G1714" t="str">
            <v>解锁海岛争霸地图</v>
          </cell>
          <cell r="H1714" t="str">
            <v>item_63</v>
          </cell>
        </row>
        <row r="1715">
          <cell r="E1715" t="str">
            <v>解锁自走棋地图3</v>
          </cell>
          <cell r="F1715" t="str">
            <v>海岛争霸岛屿卷</v>
          </cell>
        </row>
        <row r="1715">
          <cell r="H1715" t="str">
            <v>item_63</v>
          </cell>
        </row>
        <row r="1716">
          <cell r="E1716" t="str">
            <v>解锁自走棋地图4</v>
          </cell>
          <cell r="F1716" t="str">
            <v>海岛争霸岛屿卷</v>
          </cell>
        </row>
        <row r="1716">
          <cell r="H1716" t="str">
            <v>item_63</v>
          </cell>
        </row>
        <row r="1717">
          <cell r="E1717" t="str">
            <v>解锁自走棋地图5</v>
          </cell>
          <cell r="F1717" t="str">
            <v>海岛争霸岛屿卷</v>
          </cell>
        </row>
        <row r="1717">
          <cell r="H1717" t="str">
            <v>item_63</v>
          </cell>
        </row>
        <row r="1718">
          <cell r="E1718" t="str">
            <v>解锁自走棋地图6</v>
          </cell>
          <cell r="F1718" t="str">
            <v>海岛争霸岛屿卷</v>
          </cell>
        </row>
        <row r="1718">
          <cell r="H1718" t="str">
            <v>item_63</v>
          </cell>
        </row>
        <row r="1719">
          <cell r="E1719" t="str">
            <v>测试用多选宝箱</v>
          </cell>
          <cell r="F1719" t="str">
            <v>多选宝箱</v>
          </cell>
        </row>
        <row r="1719">
          <cell r="H1719" t="str">
            <v>item_250138</v>
          </cell>
        </row>
        <row r="1720">
          <cell r="E1720" t="str">
            <v>多选大宝箱</v>
          </cell>
          <cell r="F1720" t="str">
            <v>多选大宝箱</v>
          </cell>
        </row>
        <row r="1720">
          <cell r="H1720" t="str">
            <v>item_250138</v>
          </cell>
        </row>
        <row r="1721">
          <cell r="E1721" t="str">
            <v>周年庆钱袋</v>
          </cell>
          <cell r="F1721" t="str">
            <v>周年庆钱袋</v>
          </cell>
          <cell r="G1721" t="str">
            <v>【航海王：燃烧意志】周年庆典钱袋，使用有概率获得周年金币、周年银币。</v>
          </cell>
          <cell r="H1721" t="str">
            <v>item_znqdz</v>
          </cell>
        </row>
        <row r="1722">
          <cell r="E1722" t="str">
            <v>周年狂欢福袋</v>
          </cell>
          <cell r="F1722" t="str">
            <v>周年狂欢福袋</v>
          </cell>
          <cell r="G1722" t="str">
            <v>周年狂欢季特殊道具，可以兑换神秘道具</v>
          </cell>
          <cell r="H1722" t="str">
            <v>large_bag_80</v>
          </cell>
        </row>
        <row r="1723">
          <cell r="E1723" t="str">
            <v>周年狂欢锦囊</v>
          </cell>
          <cell r="F1723" t="str">
            <v>周年狂欢锦囊</v>
          </cell>
          <cell r="G1723" t="str">
            <v>周年狂欢季特殊道具，可以兑换神秘道具</v>
          </cell>
          <cell r="H1723" t="str">
            <v>large_bag_60</v>
          </cell>
        </row>
        <row r="1724">
          <cell r="E1724" t="str">
            <v>黄猿战利品·首通</v>
          </cell>
          <cell r="F1724" t="str">
            <v>黄猿战利品·首通</v>
          </cell>
          <cell r="G1724" t="str">
            <v>【航海王：燃烧意志】周年庆典钱袋，使用有概率获得周年金币、周年银币。</v>
          </cell>
          <cell r="H1724" t="str">
            <v>item_znqdz</v>
          </cell>
        </row>
        <row r="1725">
          <cell r="E1725" t="str">
            <v>黄猿战利品</v>
          </cell>
          <cell r="F1725" t="str">
            <v>黄猿战利品</v>
          </cell>
          <cell r="G1725" t="str">
            <v>【航海王：燃烧意志】周年庆典钱袋，使用有概率获得周年金币、周年银币。</v>
          </cell>
          <cell r="H1725" t="str">
            <v>item_znqdz</v>
          </cell>
        </row>
        <row r="1726">
          <cell r="E1726" t="str">
            <v>青雉战利品·首通</v>
          </cell>
          <cell r="F1726" t="str">
            <v>青雉战利品·首通</v>
          </cell>
          <cell r="G1726" t="str">
            <v>【航海王：燃烧意志】周年庆典钱袋，使用有概率获得周年金币、周年银币。</v>
          </cell>
          <cell r="H1726" t="str">
            <v>item_znqdz_2</v>
          </cell>
        </row>
        <row r="1727">
          <cell r="E1727" t="str">
            <v>青雉战利品</v>
          </cell>
          <cell r="F1727" t="str">
            <v>青雉战利品</v>
          </cell>
          <cell r="G1727" t="str">
            <v>【航海王：燃烧意志】周年庆典钱袋，使用有概率获得周年金币、周年银币。</v>
          </cell>
          <cell r="H1727" t="str">
            <v>item_znqdz_2</v>
          </cell>
        </row>
        <row r="1728">
          <cell r="E1728" t="str">
            <v>赤犬战利品·首通</v>
          </cell>
          <cell r="F1728" t="str">
            <v>赤犬战利品·首通</v>
          </cell>
          <cell r="G1728" t="str">
            <v>【航海王：燃烧意志】周年庆典钱袋，使用有概率获得周年金币、周年银币。</v>
          </cell>
          <cell r="H1728" t="str">
            <v>item_znqdz_3</v>
          </cell>
        </row>
        <row r="1729">
          <cell r="E1729" t="str">
            <v>赤犬战利品</v>
          </cell>
          <cell r="F1729" t="str">
            <v>赤犬战利品</v>
          </cell>
          <cell r="G1729" t="str">
            <v>【航海王：燃烧意志】周年庆典钱袋，使用有概率获得周年金币、周年银币。</v>
          </cell>
          <cell r="H1729" t="str">
            <v>item_znqdz_3</v>
          </cell>
        </row>
        <row r="1730">
          <cell r="E1730" t="str">
            <v>SSR任选箱</v>
          </cell>
          <cell r="F1730" t="str">
            <v>角色·周年任选箱</v>
          </cell>
          <cell r="G1730" t="str">
            <v>【角色】周年任选宝箱，使用后可任意选择获得一个SSR角色</v>
          </cell>
          <cell r="H1730" t="str">
            <v>item_250138</v>
          </cell>
        </row>
        <row r="1731">
          <cell r="E1731" t="str">
            <v>时装任选箱</v>
          </cell>
          <cell r="F1731" t="str">
            <v>时装·周年任选箱</v>
          </cell>
          <cell r="G1731" t="str">
            <v>【时装】周年任选宝箱，使用后可任意选择获得一个角色时装</v>
          </cell>
          <cell r="H1731" t="str">
            <v>item_250137</v>
          </cell>
        </row>
        <row r="1732">
          <cell r="E1732" t="str">
            <v>周年庆银币袋</v>
          </cell>
          <cell r="F1732" t="str">
            <v>周年庆银币袋</v>
          </cell>
          <cell r="G1732" t="str">
            <v>【航海王：燃烧意志】周年庆银币袋，使用获得20枚周年银币</v>
          </cell>
          <cell r="H1732" t="str">
            <v>item_250111</v>
          </cell>
        </row>
        <row r="1733">
          <cell r="E1733" t="str">
            <v>宝石任选箱</v>
          </cell>
          <cell r="F1733" t="str">
            <v>宝石·周年任选箱</v>
          </cell>
          <cell r="G1733" t="str">
            <v>【宝石】周年任选宝箱，使用后可任意选择获得一个五级宝石</v>
          </cell>
          <cell r="H1733" t="str">
            <v>item_250139</v>
          </cell>
        </row>
        <row r="1734">
          <cell r="E1734" t="str">
            <v>限定SSR任选箱</v>
          </cell>
          <cell r="F1734" t="str">
            <v>限定SSR任选箱</v>
          </cell>
          <cell r="G1734" t="str">
            <v>使用后可任意选择一个限定SSR角色。（可选限定角色截止到比斯塔）</v>
          </cell>
          <cell r="H1734" t="str">
            <v>item_250136</v>
          </cell>
        </row>
        <row r="1735">
          <cell r="E1735" t="str">
            <v>月饼</v>
          </cell>
          <cell r="F1735" t="str">
            <v>月饼</v>
          </cell>
          <cell r="G1735" t="str">
            <v>中秋佳节共享美食，使用后会获得神秘道具。</v>
          </cell>
          <cell r="H1735" t="str">
            <v>zqj_002</v>
          </cell>
        </row>
        <row r="1736">
          <cell r="E1736" t="str">
            <v>汉库珂</v>
          </cell>
          <cell r="F1736" t="str">
            <v>汉库珂角色箱</v>
          </cell>
          <cell r="G1736" t="str">
            <v>打开后获得50个汉库珂碎片。</v>
          </cell>
          <cell r="H1736" t="str">
            <v>item_250136</v>
          </cell>
        </row>
        <row r="1737">
          <cell r="E1737" t="str">
            <v>麦哲伦</v>
          </cell>
          <cell r="F1737" t="str">
            <v>麦哲伦角色箱</v>
          </cell>
          <cell r="G1737" t="str">
            <v>打开后获得50个麦哲伦碎片。</v>
          </cell>
          <cell r="H1737" t="str">
            <v>item_250136</v>
          </cell>
        </row>
        <row r="1738">
          <cell r="E1738" t="str">
            <v>伊娃科夫</v>
          </cell>
          <cell r="F1738" t="str">
            <v>伊娃科夫角色箱</v>
          </cell>
          <cell r="G1738" t="str">
            <v>打开后获得50个伊娃科夫碎片。</v>
          </cell>
          <cell r="H1738" t="str">
            <v>item_250136</v>
          </cell>
        </row>
        <row r="1739">
          <cell r="E1739" t="str">
            <v>6级宝石任选箱</v>
          </cell>
          <cell r="F1739" t="str">
            <v>6级宝石任选箱</v>
          </cell>
          <cell r="G1739" t="str">
            <v>使用后可任意选择一个6级宝石。</v>
          </cell>
          <cell r="H1739" t="str">
            <v>item_250139</v>
          </cell>
        </row>
        <row r="1740">
          <cell r="E1740" t="str">
            <v>7级宝石任选箱</v>
          </cell>
          <cell r="F1740" t="str">
            <v>7级宝石任选箱</v>
          </cell>
          <cell r="G1740" t="str">
            <v>使用后可任意选择一个7级宝石。</v>
          </cell>
          <cell r="H1740" t="str">
            <v>item_250139</v>
          </cell>
        </row>
        <row r="1741">
          <cell r="E1741" t="str">
            <v>8级宝石任选箱</v>
          </cell>
          <cell r="F1741" t="str">
            <v>8级宝石任选箱</v>
          </cell>
          <cell r="G1741" t="str">
            <v>使用后可任意选择一个8级宝石。</v>
          </cell>
          <cell r="H1741" t="str">
            <v>item_250139</v>
          </cell>
        </row>
        <row r="1742">
          <cell r="E1742" t="str">
            <v>限定SR任选箱</v>
          </cell>
          <cell r="F1742" t="str">
            <v>限定SR任选箱</v>
          </cell>
          <cell r="G1742" t="str">
            <v>可从限定SR角色（罗宾、双手指、阿布萨罗姆、豪格巴克、佩罗娜、龙马、贝宝）任意选择一个。</v>
          </cell>
          <cell r="H1742" t="str">
            <v>item_250136</v>
          </cell>
        </row>
        <row r="1743">
          <cell r="E1743" t="str">
            <v>通行证经验书</v>
          </cell>
          <cell r="F1743" t="str">
            <v>通行证经验书</v>
          </cell>
          <cell r="G1743" t="str">
            <v>使用后可增加50点航海通行证经验。（道具过期后将无法再使用）</v>
          </cell>
          <cell r="H1743" t="str">
            <v>item_250136</v>
          </cell>
        </row>
        <row r="1744">
          <cell r="E1744" t="str">
            <v>彩气球</v>
          </cell>
          <cell r="F1744" t="str">
            <v>彩气球</v>
          </cell>
          <cell r="G1744" t="str">
            <v>使用后随机获得一个高品质道具。</v>
          </cell>
          <cell r="H1744" t="str">
            <v>item_57</v>
          </cell>
        </row>
        <row r="1745">
          <cell r="E1745" t="str">
            <v>红气球</v>
          </cell>
          <cell r="F1745" t="str">
            <v>红气球</v>
          </cell>
          <cell r="G1745" t="str">
            <v>使用后随机获得一个道具。</v>
          </cell>
          <cell r="H1745" t="str">
            <v>item_58</v>
          </cell>
        </row>
        <row r="1746">
          <cell r="E1746" t="str">
            <v>限定SR任选箱</v>
          </cell>
          <cell r="F1746" t="str">
            <v>限定SR任选箱</v>
          </cell>
          <cell r="G1746" t="str">
            <v>可从阿布萨罗姆、豪格巴克、佩罗娜、龙马中任意选择一个限定SR角色</v>
          </cell>
          <cell r="H1746" t="str">
            <v>item_250136</v>
          </cell>
        </row>
        <row r="1747">
          <cell r="E1747" t="str">
            <v>万圣节宝石袋</v>
          </cell>
          <cell r="F1747" t="str">
            <v>万圣节宝石袋</v>
          </cell>
          <cell r="G1747" t="str">
            <v>使用后获得两颗高档宝石（5级~7级）。</v>
          </cell>
          <cell r="H1747" t="str">
            <v>item_box_08</v>
          </cell>
        </row>
        <row r="1748">
          <cell r="E1748" t="str">
            <v>4级随机宝石袋</v>
          </cell>
          <cell r="F1748" t="str">
            <v>4级随机宝石袋</v>
          </cell>
          <cell r="G1748" t="str">
            <v>使用后随机获得一颗4级宝石。</v>
          </cell>
          <cell r="H1748" t="str">
            <v>item_box_08</v>
          </cell>
        </row>
        <row r="1749">
          <cell r="E1749" t="str">
            <v>女帝宝箱</v>
          </cell>
          <cell r="F1749" t="str">
            <v>女帝宝箱</v>
          </cell>
          <cell r="G1749" t="str">
            <v>使用后获得女帝碎片*50。</v>
          </cell>
          <cell r="H1749" t="str">
            <v>item_250138</v>
          </cell>
        </row>
        <row r="1750">
          <cell r="E1750" t="str">
            <v>基德宝箱</v>
          </cell>
          <cell r="F1750" t="str">
            <v>基德宝箱</v>
          </cell>
          <cell r="G1750" t="str">
            <v>使用后获得基德碎片*50。</v>
          </cell>
          <cell r="H1750" t="str">
            <v>item_250138</v>
          </cell>
        </row>
        <row r="1751">
          <cell r="E1751" t="str">
            <v>英雄·提督长鞭</v>
          </cell>
          <cell r="F1751" t="str">
            <v>英雄·提督长鞭</v>
          </cell>
          <cell r="G1751" t="str">
            <v>使用后获得100级未鉴定的英雄·提督长鞭</v>
          </cell>
          <cell r="H1751" t="str">
            <v>tztd_1001</v>
          </cell>
        </row>
        <row r="1752">
          <cell r="E1752" t="str">
            <v>英雄·提督长袍</v>
          </cell>
          <cell r="F1752" t="str">
            <v>英雄·提督长袍</v>
          </cell>
          <cell r="G1752" t="str">
            <v>使用后获得100级未鉴定的英雄·提督长袍</v>
          </cell>
          <cell r="H1752" t="str">
            <v>tztd_1002</v>
          </cell>
        </row>
        <row r="1753">
          <cell r="E1753" t="str">
            <v>英雄·提督戒指</v>
          </cell>
          <cell r="F1753" t="str">
            <v>英雄·提督戒指</v>
          </cell>
          <cell r="G1753" t="str">
            <v>使用后获得100级未鉴定的英雄·提督戒指</v>
          </cell>
          <cell r="H1753" t="str">
            <v>tztd_1003</v>
          </cell>
        </row>
        <row r="1754">
          <cell r="E1754" t="str">
            <v>英雄·提督项链</v>
          </cell>
          <cell r="F1754" t="str">
            <v>英雄·提督项链</v>
          </cell>
          <cell r="G1754" t="str">
            <v>使用后获得100级未鉴定的英雄·提督项链</v>
          </cell>
          <cell r="H1754" t="str">
            <v>tztd_1004</v>
          </cell>
        </row>
        <row r="1755">
          <cell r="E1755" t="str">
            <v>英雄·警卫长枪</v>
          </cell>
          <cell r="F1755" t="str">
            <v>英雄·警卫长枪</v>
          </cell>
          <cell r="G1755" t="str">
            <v>使用后获得80级未鉴定的英雄·警卫长枪</v>
          </cell>
          <cell r="H1755" t="str">
            <v>tzjw_8001</v>
          </cell>
        </row>
        <row r="1756">
          <cell r="E1756" t="str">
            <v>英雄·警卫制服</v>
          </cell>
          <cell r="F1756" t="str">
            <v>英雄·警卫制服</v>
          </cell>
          <cell r="G1756" t="str">
            <v>使用后获得80级未鉴定的英雄·警卫制服</v>
          </cell>
          <cell r="H1756" t="str">
            <v>tzjw_8002</v>
          </cell>
        </row>
        <row r="1757">
          <cell r="E1757" t="str">
            <v>英雄·警卫戒指</v>
          </cell>
          <cell r="F1757" t="str">
            <v>英雄·警卫戒指</v>
          </cell>
          <cell r="G1757" t="str">
            <v>使用后获得80级未鉴定的英雄·警卫戒指</v>
          </cell>
          <cell r="H1757" t="str">
            <v>tzjw_8003</v>
          </cell>
        </row>
        <row r="1758">
          <cell r="E1758" t="str">
            <v>英雄·警卫项链</v>
          </cell>
          <cell r="F1758" t="str">
            <v>英雄·警卫项链</v>
          </cell>
          <cell r="G1758" t="str">
            <v>使用后获得80级未鉴定的英雄·警卫项链</v>
          </cell>
          <cell r="H1758" t="str">
            <v>tzjw_8004</v>
          </cell>
        </row>
        <row r="1759">
          <cell r="E1759" t="str">
            <v>雪花</v>
          </cell>
          <cell r="F1759" t="str">
            <v>雪花</v>
          </cell>
          <cell r="G1759" t="str">
            <v>使用后获得神秘奖励。</v>
          </cell>
          <cell r="H1759" t="str">
            <v>item_49</v>
          </cell>
        </row>
        <row r="1760">
          <cell r="E1760" t="str">
            <v>大雪人</v>
          </cell>
          <cell r="F1760" t="str">
            <v>大雪人</v>
          </cell>
          <cell r="G1760" t="str">
            <v>使用后随机获得一个高品质道具。</v>
          </cell>
          <cell r="H1760" t="str">
            <v>item_70</v>
          </cell>
        </row>
        <row r="1761">
          <cell r="E1761" t="str">
            <v>姜饼人</v>
          </cell>
          <cell r="F1761" t="str">
            <v>姜饼人</v>
          </cell>
          <cell r="G1761" t="str">
            <v>使用后随机获得一个道具。</v>
          </cell>
          <cell r="H1761" t="str">
            <v>item_68</v>
          </cell>
        </row>
        <row r="1762">
          <cell r="E1762" t="str">
            <v>普通金币红包</v>
          </cell>
          <cell r="F1762" t="str">
            <v>普通金币红包</v>
          </cell>
          <cell r="G1762" t="str">
            <v>可在公会聊天频道发送一个包含金币的红包，发送后获得公会贡献。</v>
          </cell>
          <cell r="H1762" t="str">
            <v>item_511191</v>
          </cell>
        </row>
        <row r="1763">
          <cell r="E1763" t="str">
            <v>普通钻石红包</v>
          </cell>
          <cell r="F1763" t="str">
            <v>普通钻石红包</v>
          </cell>
          <cell r="G1763" t="str">
            <v>可在公会聊天频道发送一个包含蓝钻的红包，发送后获得公会贡献。</v>
          </cell>
          <cell r="H1763" t="str">
            <v>item_511192</v>
          </cell>
        </row>
        <row r="1764">
          <cell r="E1764" t="str">
            <v>彩钻钻石红包</v>
          </cell>
          <cell r="F1764" t="str">
            <v>高级钻石红包</v>
          </cell>
          <cell r="G1764" t="str">
            <v>可在公会聊天频道发送一个包含蓝钻的红包，消耗彩钻，发送后获得公会贡献。</v>
          </cell>
          <cell r="H1764" t="str">
            <v>item_511193</v>
          </cell>
        </row>
        <row r="1765">
          <cell r="E1765" t="str">
            <v>盐</v>
          </cell>
          <cell r="F1765" t="str">
            <v>盐</v>
          </cell>
          <cell r="G1765" t="str">
            <v>烹饪中需要的材料之一，可加速年夜饭的做菜时间10分钟。</v>
          </cell>
          <cell r="H1765" t="str">
            <v>item_465001</v>
          </cell>
        </row>
        <row r="1766">
          <cell r="E1766" t="str">
            <v>色拉油</v>
          </cell>
          <cell r="F1766" t="str">
            <v>色拉油</v>
          </cell>
          <cell r="G1766" t="str">
            <v>烹饪中需要的材料之一。</v>
          </cell>
          <cell r="H1766" t="str">
            <v>item_465006</v>
          </cell>
        </row>
        <row r="1767">
          <cell r="E1767" t="str">
            <v>红酒</v>
          </cell>
          <cell r="F1767" t="str">
            <v>红酒</v>
          </cell>
          <cell r="G1767" t="str">
            <v>烹饪中需要的材料之一，可加速年夜饭的做菜时间1小时。</v>
          </cell>
          <cell r="H1767" t="str">
            <v>item_465007</v>
          </cell>
        </row>
        <row r="1768">
          <cell r="E1768" t="str">
            <v>砂糖</v>
          </cell>
          <cell r="F1768" t="str">
            <v>砂糖</v>
          </cell>
          <cell r="G1768" t="str">
            <v>烹饪中需要的材料之一。</v>
          </cell>
          <cell r="H1768" t="str">
            <v>item_465012</v>
          </cell>
        </row>
        <row r="1769">
          <cell r="E1769" t="str">
            <v>特制酱汁</v>
          </cell>
          <cell r="F1769" t="str">
            <v>特制酱汁</v>
          </cell>
          <cell r="G1769" t="str">
            <v>烹饪中需要的材料之一，可加速年夜饭的做菜时间30分钟。</v>
          </cell>
          <cell r="H1769" t="str">
            <v>item_465004</v>
          </cell>
        </row>
        <row r="1770">
          <cell r="E1770" t="str">
            <v>鹿角头饰</v>
          </cell>
          <cell r="F1770" t="str">
            <v>鹿角头饰</v>
          </cell>
          <cell r="G1770" t="str">
            <v>圣诞节神秘的鹿角头饰，可以用于兑换神秘道具。</v>
          </cell>
          <cell r="H1770" t="str">
            <v>item_65</v>
          </cell>
        </row>
        <row r="1771">
          <cell r="E1771" t="str">
            <v>圣诞帽</v>
          </cell>
          <cell r="F1771" t="str">
            <v>圣诞帽</v>
          </cell>
          <cell r="G1771" t="str">
            <v>圣诞节必备的圣诞帽，可以用于兑换神秘道具。</v>
          </cell>
          <cell r="H1771" t="str">
            <v>item_67</v>
          </cell>
        </row>
        <row r="1772">
          <cell r="E1772" t="str">
            <v>时装自选宝箱</v>
          </cell>
          <cell r="F1772" t="str">
            <v>时装自选宝箱</v>
          </cell>
          <cell r="G1772" t="str">
            <v>圣诞节庆典宝箱，多种时装任意选择。</v>
          </cell>
          <cell r="H1772" t="str">
            <v>item_250137</v>
          </cell>
        </row>
        <row r="1773">
          <cell r="E1773" t="str">
            <v>渔业兑换1</v>
          </cell>
          <cell r="F1773" t="str">
            <v>海神结晶</v>
          </cell>
          <cell r="G1773" t="str">
            <v>海神结晶</v>
          </cell>
          <cell r="H1773" t="str">
            <v>item_511191</v>
          </cell>
        </row>
        <row r="1774">
          <cell r="E1774" t="str">
            <v>渔业兑换2</v>
          </cell>
          <cell r="F1774" t="str">
            <v>鱼获贩卖2</v>
          </cell>
          <cell r="G1774" t="str">
            <v>渔业兑换2</v>
          </cell>
          <cell r="H1774" t="str">
            <v>item_511192</v>
          </cell>
        </row>
        <row r="1775">
          <cell r="E1775" t="str">
            <v>渔业兑换3</v>
          </cell>
          <cell r="F1775" t="str">
            <v>鱼获贩卖3</v>
          </cell>
          <cell r="G1775" t="str">
            <v>渔业兑换3</v>
          </cell>
          <cell r="H1775" t="str">
            <v>item_511193</v>
          </cell>
        </row>
        <row r="1776">
          <cell r="E1776" t="str">
            <v>5级随机宝石袋</v>
          </cell>
          <cell r="F1776" t="str">
            <v>5级随机宝石袋</v>
          </cell>
          <cell r="G1776" t="str">
            <v>使用后随机获得一颗5级宝石。</v>
          </cell>
          <cell r="H1776" t="str">
            <v>item_box_08</v>
          </cell>
        </row>
        <row r="1777">
          <cell r="E1777" t="str">
            <v>体力药剂</v>
          </cell>
          <cell r="F1777" t="str">
            <v>体力药剂</v>
          </cell>
          <cell r="G1777" t="str">
            <v>大航海体力药剂，使用后恢复300点大航海体力</v>
          </cell>
          <cell r="H1777" t="str">
            <v>item_465002</v>
          </cell>
        </row>
        <row r="1778">
          <cell r="E1778" t="str">
            <v>一袋航海币</v>
          </cell>
          <cell r="F1778" t="str">
            <v>一袋航海币</v>
          </cell>
          <cell r="G1778" t="str">
            <v>一小袋鼓鼓的航海币，开启后可获得50航海币。</v>
          </cell>
          <cell r="H1778" t="str">
            <v>item_12</v>
          </cell>
        </row>
        <row r="1779">
          <cell r="E1779" t="str">
            <v>特别的果实</v>
          </cell>
          <cell r="F1779" t="str">
            <v>特别的果实</v>
          </cell>
          <cell r="G1779" t="str">
            <v>只有收藏价值的特别果实，采集后用于交付任务。</v>
          </cell>
          <cell r="H1779" t="str">
            <v>item_460004</v>
          </cell>
        </row>
        <row r="1780">
          <cell r="E1780" t="str">
            <v>珍贵的野草</v>
          </cell>
          <cell r="F1780" t="str">
            <v>珍贵的野草</v>
          </cell>
          <cell r="G1780" t="str">
            <v>用途不明的珍贵野草，采集后用于交付任务。</v>
          </cell>
          <cell r="H1780" t="str">
            <v>item_240004</v>
          </cell>
        </row>
        <row r="1781">
          <cell r="E1781" t="str">
            <v>大包</v>
          </cell>
          <cell r="F1781" t="str">
            <v>大包</v>
          </cell>
          <cell r="G1781" t="str">
            <v>粗心的居民丢失的大包，采集后用于交付任务。</v>
          </cell>
          <cell r="H1781" t="str">
            <v>item_100</v>
          </cell>
        </row>
        <row r="1782">
          <cell r="E1782" t="str">
            <v>稀有形状的珊瑚</v>
          </cell>
          <cell r="F1782" t="str">
            <v>稀有形状的珊瑚</v>
          </cell>
          <cell r="G1782" t="str">
            <v>可以用来制作艺术品的珊瑚，采集后用于交付任务。</v>
          </cell>
          <cell r="H1782" t="str">
            <v>item_511029</v>
          </cell>
        </row>
        <row r="1783">
          <cell r="E1783" t="str">
            <v>海之森地图</v>
          </cell>
          <cell r="F1783" t="str">
            <v>海之森地图</v>
          </cell>
          <cell r="G1783" t="str">
            <v>路痴的最佳助手，采集后用于交付任务。</v>
          </cell>
          <cell r="H1783" t="str">
            <v>item_100</v>
          </cell>
        </row>
        <row r="1784">
          <cell r="E1784" t="str">
            <v>船匠的备忘录</v>
          </cell>
          <cell r="F1784" t="str">
            <v>船匠的备忘录</v>
          </cell>
          <cell r="G1784" t="str">
            <v>记载着船匠心得的备忘录，采集后用于交付任务。</v>
          </cell>
          <cell r="H1784" t="str">
            <v>item_100</v>
          </cell>
        </row>
        <row r="1785">
          <cell r="E1785" t="str">
            <v>旧抹布</v>
          </cell>
          <cell r="F1785" t="str">
            <v>旧抹布</v>
          </cell>
          <cell r="G1785" t="str">
            <v>使用了很久的抹布，采集后用于交付任务。</v>
          </cell>
          <cell r="H1785" t="str">
            <v>item_100</v>
          </cell>
        </row>
        <row r="1786">
          <cell r="E1786" t="str">
            <v>大鱼</v>
          </cell>
          <cell r="F1786" t="str">
            <v>大鱼</v>
          </cell>
          <cell r="G1786" t="str">
            <v>肉质鲜美的食材，采集后用于交付任务。</v>
          </cell>
          <cell r="H1786" t="str">
            <v>item_431005</v>
          </cell>
        </row>
        <row r="1787">
          <cell r="E1787" t="str">
            <v>特甜砂糖</v>
          </cell>
          <cell r="F1787" t="str">
            <v>特甜砂糖</v>
          </cell>
          <cell r="G1787" t="str">
            <v>用来制作点心的砂糖，采集后用于交付任务。</v>
          </cell>
          <cell r="H1787" t="str">
            <v>item_465012</v>
          </cell>
        </row>
        <row r="1788">
          <cell r="E1788" t="str">
            <v>银色戒指</v>
          </cell>
          <cell r="F1788" t="str">
            <v>银色戒指</v>
          </cell>
          <cell r="G1788" t="str">
            <v>做工精致的戒指，采集后用于交付任务。</v>
          </cell>
          <cell r="H1788" t="str">
            <v>item_100</v>
          </cell>
        </row>
        <row r="1789">
          <cell r="E1789" t="str">
            <v>高级装备券</v>
          </cell>
          <cell r="F1789" t="str">
            <v>高级装备券</v>
          </cell>
          <cell r="G1789" t="str">
            <v>使用高级装备券可以在装备工坊中抽取100级装备</v>
          </cell>
          <cell r="H1789" t="str">
            <v>item_511203</v>
          </cell>
        </row>
        <row r="1790">
          <cell r="E1790" t="str">
            <v>大珍珠</v>
          </cell>
          <cell r="F1790" t="str">
            <v>大珍珠</v>
          </cell>
          <cell r="G1790" t="str">
            <v>见证爱情的美丽珍珠。</v>
          </cell>
          <cell r="H1790" t="str">
            <v>item_100</v>
          </cell>
        </row>
        <row r="1791">
          <cell r="E1791" t="str">
            <v>辟邪的珊瑚</v>
          </cell>
          <cell r="F1791" t="str">
            <v>辟邪的珊瑚</v>
          </cell>
          <cell r="G1791" t="str">
            <v>辟邪的珊瑚，效果令人怀疑。</v>
          </cell>
          <cell r="H1791" t="str">
            <v>item_100</v>
          </cell>
        </row>
        <row r="1792">
          <cell r="E1792" t="str">
            <v>危险的木桶</v>
          </cell>
          <cell r="F1792" t="str">
            <v>危险的木桶</v>
          </cell>
          <cell r="G1792" t="str">
            <v>危险的木桶，要小心搬运。</v>
          </cell>
          <cell r="H1792" t="str">
            <v>item_100</v>
          </cell>
        </row>
        <row r="1793">
          <cell r="E1793" t="str">
            <v>宝物笔记</v>
          </cell>
          <cell r="F1793" t="str">
            <v>宝物笔记</v>
          </cell>
          <cell r="G1793" t="str">
            <v>宝物笔记，记载了许多宝物效果的百科全书。</v>
          </cell>
          <cell r="H1793" t="str">
            <v>item_100</v>
          </cell>
        </row>
        <row r="1794">
          <cell r="E1794" t="str">
            <v>美味的点心</v>
          </cell>
          <cell r="F1794" t="str">
            <v>美味的点心</v>
          </cell>
          <cell r="G1794" t="str">
            <v>被偷走的美味点心，不可以偷吃喔。</v>
          </cell>
          <cell r="H1794" t="str">
            <v>item_100</v>
          </cell>
        </row>
        <row r="1795">
          <cell r="E1795" t="str">
            <v>新</v>
          </cell>
          <cell r="F1795" t="str">
            <v>新</v>
          </cell>
          <cell r="G1795" t="str">
            <v>新年神秘道具，可用来兑换道具</v>
          </cell>
          <cell r="H1795" t="str">
            <v>item_40</v>
          </cell>
        </row>
        <row r="1796">
          <cell r="E1796" t="str">
            <v>年</v>
          </cell>
          <cell r="F1796" t="str">
            <v>年</v>
          </cell>
          <cell r="G1796" t="str">
            <v>新年神秘道具，可用来兑换道具</v>
          </cell>
          <cell r="H1796" t="str">
            <v>item_39</v>
          </cell>
        </row>
        <row r="1797">
          <cell r="E1797" t="str">
            <v>1级宝石随机</v>
          </cell>
          <cell r="F1797" t="str">
            <v>随机宝石袋</v>
          </cell>
          <cell r="G1797" t="str">
            <v>打开后随机获得一个1级宝石。</v>
          </cell>
          <cell r="H1797" t="str">
            <v>item_box_08</v>
          </cell>
        </row>
        <row r="1798">
          <cell r="E1798" t="str">
            <v>2级宝石随机</v>
          </cell>
          <cell r="F1798" t="str">
            <v>随机宝石袋</v>
          </cell>
          <cell r="G1798" t="str">
            <v>打开后随机获得一个2级宝石。</v>
          </cell>
          <cell r="H1798" t="str">
            <v>item_box_08</v>
          </cell>
        </row>
        <row r="1799">
          <cell r="E1799" t="str">
            <v>3级宝石随机</v>
          </cell>
          <cell r="F1799" t="str">
            <v>随机宝石袋</v>
          </cell>
          <cell r="G1799" t="str">
            <v>打开后随机获得一个3级宝石。</v>
          </cell>
          <cell r="H1799" t="str">
            <v>item_box_08</v>
          </cell>
        </row>
        <row r="1800">
          <cell r="E1800" t="str">
            <v>4级宝石随机</v>
          </cell>
          <cell r="F1800" t="str">
            <v>随机宝石袋</v>
          </cell>
          <cell r="G1800" t="str">
            <v>打开后随机获得一个4级宝石。</v>
          </cell>
          <cell r="H1800" t="str">
            <v>item_box_08</v>
          </cell>
        </row>
        <row r="1801">
          <cell r="E1801" t="str">
            <v>5级宝石随机</v>
          </cell>
          <cell r="F1801" t="str">
            <v>随机宝石袋</v>
          </cell>
          <cell r="G1801" t="str">
            <v>打开后随机获得一个5级宝石。</v>
          </cell>
          <cell r="H1801" t="str">
            <v>item_box_08</v>
          </cell>
        </row>
        <row r="1802">
          <cell r="E1802" t="str">
            <v>6级宝石随机</v>
          </cell>
          <cell r="F1802" t="str">
            <v>随机宝石袋</v>
          </cell>
          <cell r="G1802" t="str">
            <v>打开后随机获得一个6级宝石。</v>
          </cell>
          <cell r="H1802" t="str">
            <v>item_box_08</v>
          </cell>
        </row>
        <row r="1803">
          <cell r="E1803" t="str">
            <v>7级宝石随机</v>
          </cell>
          <cell r="F1803" t="str">
            <v>随机宝石袋</v>
          </cell>
          <cell r="G1803" t="str">
            <v>打开后随机获得一个7级宝石。</v>
          </cell>
          <cell r="H1803" t="str">
            <v>item_box_08</v>
          </cell>
        </row>
        <row r="1804">
          <cell r="E1804" t="str">
            <v>8级宝石随机</v>
          </cell>
          <cell r="F1804" t="str">
            <v>随机宝石袋</v>
          </cell>
          <cell r="G1804" t="str">
            <v>打开后随机获得一个8级宝石。</v>
          </cell>
          <cell r="H1804" t="str">
            <v>item_box_08</v>
          </cell>
        </row>
        <row r="1805">
          <cell r="E1805" t="str">
            <v>9级宝石随机</v>
          </cell>
          <cell r="F1805" t="str">
            <v>随机宝石袋</v>
          </cell>
          <cell r="G1805" t="str">
            <v>打开后随机获得一个9级宝石。</v>
          </cell>
          <cell r="H1805" t="str">
            <v>item_box_08</v>
          </cell>
        </row>
        <row r="1806">
          <cell r="E1806" t="str">
            <v>10级宝石随机</v>
          </cell>
          <cell r="F1806" t="str">
            <v>随机宝石袋</v>
          </cell>
          <cell r="G1806" t="str">
            <v>打开后随机获得一个10级宝石。</v>
          </cell>
          <cell r="H1806" t="str">
            <v>item_box_08</v>
          </cell>
        </row>
        <row r="1807">
          <cell r="E1807" t="str">
            <v>时装精选宝箱</v>
          </cell>
          <cell r="F1807" t="str">
            <v>时装精选宝箱</v>
          </cell>
          <cell r="G1807" t="str">
            <v>使用后可任意从紫色旗袍(汉库珂)、唐装(新世界佐罗)、唐装(新世界奈美)任选一件时装。</v>
          </cell>
          <cell r="H1807" t="str">
            <v>item_250137</v>
          </cell>
        </row>
        <row r="1808">
          <cell r="E1808" t="str">
            <v>玫瑰花束</v>
          </cell>
          <cell r="F1808" t="str">
            <v>玫瑰花束</v>
          </cell>
          <cell r="G1808" t="str">
            <v>代表真挚的爱意送给最爱的人，使用后有概率获得高级道具。</v>
          </cell>
          <cell r="H1808" t="str">
            <v>item_42</v>
          </cell>
        </row>
        <row r="1809">
          <cell r="E1809" t="str">
            <v>红玫瑰</v>
          </cell>
          <cell r="F1809" t="str">
            <v>红玫瑰</v>
          </cell>
          <cell r="G1809" t="str">
            <v>炽热爱意的玫瑰，献给最亲爱的你，使用可随机获得道具。</v>
          </cell>
          <cell r="H1809" t="str">
            <v>item_47</v>
          </cell>
        </row>
        <row r="1810">
          <cell r="E1810" t="str">
            <v>时装任选宝箱</v>
          </cell>
          <cell r="F1810" t="str">
            <v>时装任选宝箱</v>
          </cell>
          <cell r="G1810" t="str">
            <v>情人节庆典宝箱，多种时装任意选择。</v>
          </cell>
          <cell r="H1810" t="str">
            <v>item_250137</v>
          </cell>
        </row>
        <row r="1811">
          <cell r="E1811" t="str">
            <v>100鱼人岛声望装备箱</v>
          </cell>
          <cell r="F1811" t="str">
            <v>提督宝箱</v>
          </cell>
          <cell r="G1811" t="str">
            <v>打开后获得一件英雄·提督武器，一件英雄·提督项链。</v>
          </cell>
          <cell r="H1811" t="str">
            <v>item_box_06</v>
          </cell>
        </row>
        <row r="1812">
          <cell r="E1812" t="str">
            <v>水雷</v>
          </cell>
          <cell r="F1812" t="str">
            <v>水雷</v>
          </cell>
          <cell r="G1812" t="str">
            <v>用于开启海兽围捕活动。</v>
          </cell>
          <cell r="H1812" t="str">
            <v>item_511236</v>
          </cell>
        </row>
        <row r="1813">
          <cell r="E1813" t="str">
            <v>雪域之度地图</v>
          </cell>
          <cell r="F1813" t="str">
            <v>雪域之度地图</v>
          </cell>
          <cell r="G1813" t="str">
            <v>使用后可激活海岛争霸雪域之度场景。</v>
          </cell>
          <cell r="H1813" t="str">
            <v>item_511237</v>
          </cell>
        </row>
        <row r="1814">
          <cell r="E1814" t="str">
            <v>康乃馨</v>
          </cell>
          <cell r="F1814" t="str">
            <v>康乃馨</v>
          </cell>
          <cell r="G1814" t="str">
            <v>使用后随机获得一个高品质道具。</v>
          </cell>
          <cell r="H1814" t="str">
            <v>item_41</v>
          </cell>
        </row>
        <row r="1815">
          <cell r="E1815" t="str">
            <v>感恩之心</v>
          </cell>
          <cell r="F1815" t="str">
            <v>感恩之心</v>
          </cell>
          <cell r="G1815" t="str">
            <v>使用后随机获得一个道具。</v>
          </cell>
          <cell r="H1815" t="str">
            <v>item_45</v>
          </cell>
        </row>
        <row r="1816">
          <cell r="E1816" t="str">
            <v>战船改造大礼包</v>
          </cell>
          <cell r="F1816" t="str">
            <v>战船改造大礼包</v>
          </cell>
          <cell r="G1816" t="str">
            <v>战船改造大礼包</v>
          </cell>
          <cell r="H1816" t="str">
            <v>item_250137</v>
          </cell>
        </row>
        <row r="1817">
          <cell r="E1817" t="str">
            <v>战船礼包</v>
          </cell>
          <cell r="F1817" t="str">
            <v>战船礼包</v>
          </cell>
          <cell r="G1817" t="str">
            <v>打开后可以从幽灵船和极地潜水号中选择一艘战船。</v>
          </cell>
          <cell r="H1817" t="str">
            <v>item_box_10</v>
          </cell>
        </row>
        <row r="1818">
          <cell r="E1818" t="str">
            <v>花束</v>
          </cell>
          <cell r="F1818" t="str">
            <v>花束</v>
          </cell>
          <cell r="G1818" t="str">
            <v>使用后随机获得一个高品质道具。</v>
          </cell>
          <cell r="H1818" t="str">
            <v>item_42</v>
          </cell>
        </row>
        <row r="1819">
          <cell r="E1819" t="str">
            <v>柳条</v>
          </cell>
          <cell r="F1819" t="str">
            <v>柳条</v>
          </cell>
          <cell r="G1819" t="str">
            <v>使用后随机获得一个道具。</v>
          </cell>
          <cell r="H1819" t="str">
            <v>item_44</v>
          </cell>
        </row>
        <row r="1820">
          <cell r="E1820" t="str">
            <v>SR任选礼包</v>
          </cell>
          <cell r="F1820" t="str">
            <v>SR任选礼包</v>
          </cell>
          <cell r="G1820" t="str">
            <v>可以从龙马、佩罗娜、豪格巴克、阿布萨罗姆、贝宝和Ms.双手指中任意选择一名角色。</v>
          </cell>
          <cell r="H1820" t="str">
            <v>item_box_03</v>
          </cell>
        </row>
        <row r="1821">
          <cell r="E1821" t="str">
            <v>阵法任选礼包</v>
          </cell>
          <cell r="F1821" t="str">
            <v>阵法任选礼包</v>
          </cell>
          <cell r="G1821" t="str">
            <v>可以从极护之阵、冥想之阵、虚无之阵、急速之阵、激进之阵和专注之阵中任意选择一张阵法图纸。</v>
          </cell>
          <cell r="H1821" t="str">
            <v>item_box_10</v>
          </cell>
        </row>
        <row r="1822">
          <cell r="E1822" t="str">
            <v>战船任选礼包</v>
          </cell>
          <cell r="F1822" t="str">
            <v>战船任选礼包</v>
          </cell>
          <cell r="G1822" t="str">
            <v>可以从风·格拉玛号、雷德·佛斯号、九蛇海盗船、幽灵船和黑桃海盗船中任意选择一艘战船。</v>
          </cell>
          <cell r="H1822" t="str">
            <v>item_box_10</v>
          </cell>
        </row>
        <row r="1823">
          <cell r="E1823" t="str">
            <v>风筝</v>
          </cell>
          <cell r="F1823" t="str">
            <v>风筝</v>
          </cell>
          <cell r="G1823" t="str">
            <v>使用后随机获得一个高品质道具。</v>
          </cell>
          <cell r="H1823" t="str">
            <v>item_61</v>
          </cell>
        </row>
        <row r="1824">
          <cell r="E1824" t="str">
            <v>毽子</v>
          </cell>
          <cell r="F1824" t="str">
            <v>毽子</v>
          </cell>
          <cell r="G1824" t="str">
            <v>使用后随机获得一个道具。</v>
          </cell>
          <cell r="H1824" t="str">
            <v>item_62</v>
          </cell>
        </row>
        <row r="1825">
          <cell r="E1825" t="str">
            <v>新世界时装礼包</v>
          </cell>
          <cell r="F1825" t="str">
            <v>新世界时装礼包</v>
          </cell>
          <cell r="G1825" t="str">
            <v>任意选择一件新世界草帽海盗团的时装。</v>
          </cell>
          <cell r="H1825" t="str">
            <v>item_box_10</v>
          </cell>
        </row>
        <row r="1826">
          <cell r="E1826" t="str">
            <v>初级工具箱</v>
          </cell>
          <cell r="F1826" t="str">
            <v>初级工具箱</v>
          </cell>
          <cell r="G1826" t="str">
            <v>使用后可使建筑加速建造15分钟</v>
          </cell>
          <cell r="H1826" t="str">
            <v>item_JYJS1</v>
          </cell>
        </row>
        <row r="1827">
          <cell r="E1827" t="str">
            <v>中级工具箱</v>
          </cell>
          <cell r="F1827" t="str">
            <v>中级工具箱</v>
          </cell>
          <cell r="G1827" t="str">
            <v>使用后可使建筑加速建造1小时</v>
          </cell>
          <cell r="H1827" t="str">
            <v>item_JYJS2</v>
          </cell>
        </row>
        <row r="1828">
          <cell r="E1828" t="str">
            <v>高级工具箱</v>
          </cell>
          <cell r="F1828" t="str">
            <v>高级工具箱</v>
          </cell>
          <cell r="G1828" t="str">
            <v>使用后可使建筑加速建造4小时</v>
          </cell>
          <cell r="H1828" t="str">
            <v>item_JYJS3</v>
          </cell>
        </row>
        <row r="1829">
          <cell r="E1829" t="str">
            <v>顶级工具箱</v>
          </cell>
          <cell r="F1829" t="str">
            <v>顶级工具箱</v>
          </cell>
          <cell r="G1829" t="str">
            <v>使用后可使建筑加速建造12小时</v>
          </cell>
          <cell r="H1829" t="str">
            <v>item_JYJS4</v>
          </cell>
        </row>
        <row r="1830">
          <cell r="E1830" t="str">
            <v>100级别套装箱</v>
          </cell>
          <cell r="F1830" t="str">
            <v>100级精选套装箱</v>
          </cell>
          <cell r="G1830" t="str">
            <v>打开可获得一件100级英雄套装</v>
          </cell>
          <cell r="H1830" t="str">
            <v>item_250137</v>
          </cell>
        </row>
        <row r="1831">
          <cell r="E1831" t="str">
            <v>80级别套装箱</v>
          </cell>
          <cell r="F1831" t="str">
            <v>80级精选套装箱</v>
          </cell>
          <cell r="G1831" t="str">
            <v>打开可获得一件80级英雄套装</v>
          </cell>
          <cell r="H1831" t="str">
            <v>item_250137</v>
          </cell>
        </row>
        <row r="1832">
          <cell r="E1832" t="str">
            <v>60级别套装箱</v>
          </cell>
          <cell r="F1832" t="str">
            <v>60级精选套装箱</v>
          </cell>
          <cell r="G1832" t="str">
            <v>打开可获得一件60级英雄套装</v>
          </cell>
          <cell r="H1832" t="str">
            <v>item_250137</v>
          </cell>
        </row>
        <row r="1833">
          <cell r="E1833" t="str">
            <v>40级别套装箱</v>
          </cell>
          <cell r="F1833" t="str">
            <v>40级精选套装箱</v>
          </cell>
          <cell r="G1833" t="str">
            <v>打开可获得一件40级英雄套装</v>
          </cell>
          <cell r="H1833" t="str">
            <v>item_250137</v>
          </cell>
        </row>
        <row r="1834">
          <cell r="E1834" t="str">
            <v>豪华套装随机箱</v>
          </cell>
          <cell r="F1834" t="str">
            <v>豪华套装随机箱</v>
          </cell>
          <cell r="G1834" t="str">
            <v>100级豪华套装随机箱</v>
          </cell>
          <cell r="H1834" t="str">
            <v>item_250137</v>
          </cell>
        </row>
        <row r="1835">
          <cell r="E1835" t="str">
            <v>黑市60装备随机箱</v>
          </cell>
          <cell r="F1835" t="str">
            <v>60级精选装备箱</v>
          </cell>
          <cell r="G1835" t="str">
            <v>打开可获得一件60级装备或一件60级英雄套装</v>
          </cell>
          <cell r="H1835" t="str">
            <v>item_box_06</v>
          </cell>
        </row>
        <row r="1836">
          <cell r="E1836" t="str">
            <v>黑市80装备随机箱</v>
          </cell>
          <cell r="F1836" t="str">
            <v>80级精选装备箱</v>
          </cell>
          <cell r="G1836" t="str">
            <v>打开可获得一件80级装备或一件80级英雄套装</v>
          </cell>
          <cell r="H1836" t="str">
            <v>item_box_06</v>
          </cell>
        </row>
        <row r="1837">
          <cell r="E1837" t="str">
            <v>黑市100装备随机箱</v>
          </cell>
          <cell r="F1837" t="str">
            <v>100级精选装备箱</v>
          </cell>
          <cell r="G1837" t="str">
            <v>打开可获得一件100级装备或一件100级英雄套装</v>
          </cell>
          <cell r="H1837" t="str">
            <v>item_box_06</v>
          </cell>
        </row>
        <row r="1838">
          <cell r="E1838" t="str">
            <v>战船任选礼包</v>
          </cell>
          <cell r="F1838" t="str">
            <v>战船任选礼包</v>
          </cell>
          <cell r="G1838" t="str">
            <v>可以从风·格拉玛号、雷德·佛斯号、九蛇海盗船、幽灵船、黑桃海盗船、极地潜水号和弗拉门戈号中任意选择一艘战船。</v>
          </cell>
          <cell r="H1838" t="str">
            <v>item_box_10</v>
          </cell>
        </row>
        <row r="1839">
          <cell r="E1839" t="str">
            <v>玫瑰</v>
          </cell>
          <cell r="F1839" t="str">
            <v>玫瑰</v>
          </cell>
          <cell r="G1839" t="str">
            <v>使用后随机获得一个高品质道具。</v>
          </cell>
          <cell r="H1839" t="str">
            <v>item_47</v>
          </cell>
        </row>
        <row r="1840">
          <cell r="E1840" t="str">
            <v>桃心</v>
          </cell>
          <cell r="F1840" t="str">
            <v>桃心</v>
          </cell>
          <cell r="G1840" t="str">
            <v>使用后随机获得一个道具。</v>
          </cell>
          <cell r="H1840" t="str">
            <v>item_45</v>
          </cell>
        </row>
        <row r="1841">
          <cell r="E1841" t="str">
            <v>黑市40装备随机箱</v>
          </cell>
          <cell r="F1841" t="str">
            <v>40级精选装备箱</v>
          </cell>
          <cell r="G1841" t="str">
            <v>打开可获得一件40级装备或一件40级英雄套装</v>
          </cell>
          <cell r="H1841" t="str">
            <v>item_250137</v>
          </cell>
        </row>
        <row r="1842">
          <cell r="E1842" t="str">
            <v>钢材</v>
          </cell>
          <cell r="F1842" t="str">
            <v>钢材</v>
          </cell>
          <cell r="G1842" t="str">
            <v>看起来十分高级的建筑材料，可用于家园建筑建造</v>
          </cell>
          <cell r="H1842" t="str">
            <v>item_JY1</v>
          </cell>
        </row>
        <row r="1843">
          <cell r="E1843" t="str">
            <v>石砖</v>
          </cell>
          <cell r="F1843" t="str">
            <v>石砖</v>
          </cell>
          <cell r="G1843" t="str">
            <v>看起来十分坚固的建筑材料，可用于家园建筑建造</v>
          </cell>
          <cell r="H1843" t="str">
            <v>item_JY2</v>
          </cell>
        </row>
        <row r="1844">
          <cell r="E1844" t="str">
            <v>一袋蓝钻·小</v>
          </cell>
          <cell r="F1844" t="str">
            <v>一袋蓝钻·小</v>
          </cell>
          <cell r="G1844" t="str">
            <v>一袋鼓鼓的蓝钻，开启获得50蓝钻。</v>
          </cell>
          <cell r="H1844" t="str">
            <v>item_511268</v>
          </cell>
        </row>
        <row r="1845">
          <cell r="E1845" t="str">
            <v>一袋蓝钻·中</v>
          </cell>
          <cell r="F1845" t="str">
            <v>一袋蓝钻·中</v>
          </cell>
          <cell r="G1845" t="str">
            <v>一袋鼓鼓的蓝钻，开启获得100蓝钻。</v>
          </cell>
          <cell r="H1845" t="str">
            <v>item_511269</v>
          </cell>
        </row>
        <row r="1846">
          <cell r="E1846" t="str">
            <v>一袋蓝钻·大</v>
          </cell>
          <cell r="F1846" t="str">
            <v>一袋蓝钻·大</v>
          </cell>
          <cell r="G1846" t="str">
            <v>一袋鼓鼓的蓝钻，开启获得150蓝钻。</v>
          </cell>
          <cell r="H1846" t="str">
            <v>item_511270</v>
          </cell>
        </row>
        <row r="1847">
          <cell r="E1847" t="str">
            <v>普通宝石箱</v>
          </cell>
          <cell r="F1847" t="str">
            <v>普通宝石箱</v>
          </cell>
          <cell r="G1847" t="str">
            <v>装有宝石的箱子，打开后可以随机获得2颗1~4级宝石。</v>
          </cell>
          <cell r="H1847" t="str">
            <v>item_511271</v>
          </cell>
        </row>
        <row r="1848">
          <cell r="E1848" t="str">
            <v>优秀宝石箱</v>
          </cell>
          <cell r="F1848" t="str">
            <v>优秀宝石箱</v>
          </cell>
          <cell r="G1848" t="str">
            <v>装有宝石的箱子，打开后可以随机获得2颗2~5级宝石。</v>
          </cell>
          <cell r="H1848" t="str">
            <v>item_511272</v>
          </cell>
        </row>
        <row r="1849">
          <cell r="E1849" t="str">
            <v>精致宝石箱</v>
          </cell>
          <cell r="F1849" t="str">
            <v>精致宝石箱</v>
          </cell>
          <cell r="G1849" t="str">
            <v>装有宝石的箱子，打开后可以随机获得2颗3~7级宝石。</v>
          </cell>
          <cell r="H1849" t="str">
            <v>item_511273</v>
          </cell>
        </row>
        <row r="1850">
          <cell r="E1850" t="str">
            <v>普通精炼石袋</v>
          </cell>
          <cell r="F1850" t="str">
            <v>普通精炼石袋</v>
          </cell>
          <cell r="G1850" t="str">
            <v>装有精炼石的袋子，打开后可以随机获得2个精炼石。</v>
          </cell>
          <cell r="H1850" t="str">
            <v>item_511274</v>
          </cell>
        </row>
        <row r="1851">
          <cell r="E1851" t="str">
            <v>优秀精炼石袋</v>
          </cell>
          <cell r="F1851" t="str">
            <v>优秀精炼石袋</v>
          </cell>
          <cell r="G1851" t="str">
            <v>装有精炼石的袋子，打开后可以随机获得2个精炼石，更高几率获得高级精炼石。</v>
          </cell>
          <cell r="H1851" t="str">
            <v>item_511275</v>
          </cell>
        </row>
        <row r="1852">
          <cell r="E1852" t="str">
            <v>精致精炼石袋</v>
          </cell>
          <cell r="F1852" t="str">
            <v>精致精炼石袋</v>
          </cell>
          <cell r="G1852" t="str">
            <v>装有精炼石的袋子，打开后可以随机获得2个精炼石，有几率获得超级精炼石。</v>
          </cell>
          <cell r="H1852" t="str">
            <v>item_511276</v>
          </cell>
        </row>
        <row r="1853">
          <cell r="E1853" t="str">
            <v>一捆经验卷轴·小</v>
          </cell>
          <cell r="F1853" t="str">
            <v>一捆经验卷轴·小</v>
          </cell>
          <cell r="G1853" t="str">
            <v>散落的经验卷轴，打开后可以随机获得10个经验卷轴。</v>
          </cell>
          <cell r="H1853" t="str">
            <v>item_511277</v>
          </cell>
        </row>
        <row r="1854">
          <cell r="E1854" t="str">
            <v>一捆经验卷轴·中</v>
          </cell>
          <cell r="F1854" t="str">
            <v>一捆经验卷轴·中</v>
          </cell>
          <cell r="G1854" t="str">
            <v>散落的经验卷轴，打开后可以随机获得10个经验卷轴。</v>
          </cell>
          <cell r="H1854" t="str">
            <v>item_511278</v>
          </cell>
        </row>
        <row r="1855">
          <cell r="E1855" t="str">
            <v>一捆经验卷轴·大</v>
          </cell>
          <cell r="F1855" t="str">
            <v>一捆经验卷轴·大</v>
          </cell>
          <cell r="G1855" t="str">
            <v>散落的经验卷轴，打开后可以随机获得10个经验卷轴。</v>
          </cell>
          <cell r="H1855" t="str">
            <v>item_511279</v>
          </cell>
        </row>
        <row r="1856">
          <cell r="E1856" t="str">
            <v>一捆训练书·小</v>
          </cell>
          <cell r="F1856" t="str">
            <v>一捆训练书·小</v>
          </cell>
          <cell r="G1856" t="str">
            <v>一摞训练书，打开后可以随机获得10本任意训练书。</v>
          </cell>
          <cell r="H1856" t="str">
            <v>item_511280</v>
          </cell>
        </row>
        <row r="1857">
          <cell r="E1857" t="str">
            <v>一捆训练书·中</v>
          </cell>
          <cell r="F1857" t="str">
            <v>一捆训练书·中</v>
          </cell>
          <cell r="G1857" t="str">
            <v>一摞训练书，打开后可以随机获得10本任意训练书。</v>
          </cell>
          <cell r="H1857" t="str">
            <v>item_511281</v>
          </cell>
        </row>
        <row r="1858">
          <cell r="E1858" t="str">
            <v>一捆训练书·大</v>
          </cell>
          <cell r="F1858" t="str">
            <v>一捆训练书·大</v>
          </cell>
          <cell r="G1858" t="str">
            <v>一摞训练书，打开后可以随机获得10本任意训练书。</v>
          </cell>
          <cell r="H1858" t="str">
            <v>item_511282</v>
          </cell>
        </row>
        <row r="1859">
          <cell r="E1859" t="str">
            <v>高级精华器</v>
          </cell>
          <cell r="F1859" t="str">
            <v>高级精华器</v>
          </cell>
          <cell r="G1859" t="str">
            <v>精华收集器的必备零件，可以在家园中建造高级精华收集器</v>
          </cell>
          <cell r="H1859" t="str">
            <v>item_800001</v>
          </cell>
        </row>
        <row r="1860">
          <cell r="E1860" t="str">
            <v>丢失的物资</v>
          </cell>
          <cell r="F1860" t="str">
            <v>丢失的物资</v>
          </cell>
          <cell r="G1860" t="str">
            <v>仓库管理员弄丢的物资，采集后用于交付任务。</v>
          </cell>
          <cell r="H1860" t="str">
            <v>item_460004</v>
          </cell>
        </row>
        <row r="1861">
          <cell r="E1861" t="str">
            <v>珍贵的草药</v>
          </cell>
          <cell r="F1861" t="str">
            <v>珍贵的草药</v>
          </cell>
          <cell r="G1861" t="str">
            <v>罕见的珍贵药草，采集后用于交付任务。</v>
          </cell>
          <cell r="H1861" t="str">
            <v>item_240004</v>
          </cell>
        </row>
        <row r="1862">
          <cell r="E1862" t="str">
            <v>完美的种子</v>
          </cell>
          <cell r="F1862" t="str">
            <v>完美的种子</v>
          </cell>
          <cell r="G1862" t="str">
            <v>可以种出特别植物的种子，采集后用于交付任务。</v>
          </cell>
          <cell r="H1862" t="str">
            <v>item_100</v>
          </cell>
        </row>
        <row r="1863">
          <cell r="E1863" t="str">
            <v>优质的食材</v>
          </cell>
          <cell r="F1863" t="str">
            <v>优质的食材</v>
          </cell>
          <cell r="G1863" t="str">
            <v>烹饪美味佳肴必不可少之物，采集后用于交付任务。</v>
          </cell>
          <cell r="H1863" t="str">
            <v>item_431005</v>
          </cell>
        </row>
        <row r="1864">
          <cell r="E1864" t="str">
            <v>刻刀</v>
          </cell>
          <cell r="F1864" t="str">
            <v>刻刀</v>
          </cell>
          <cell r="G1864" t="str">
            <v>一把老旧的刻刀，陪伴主人经历了许多岁月，采集后用于交付任务。</v>
          </cell>
          <cell r="H1864" t="str">
            <v>item_100</v>
          </cell>
        </row>
        <row r="1865">
          <cell r="E1865" t="str">
            <v>矿石</v>
          </cell>
          <cell r="F1865" t="str">
            <v>矿石</v>
          </cell>
          <cell r="G1865" t="str">
            <v>涌来冶炼的常用矿石，采集后用于交付任务。</v>
          </cell>
          <cell r="H1865" t="str">
            <v>item_100</v>
          </cell>
        </row>
        <row r="1866">
          <cell r="E1866" t="str">
            <v>植物颜料</v>
          </cell>
          <cell r="F1866" t="str">
            <v>植物颜料</v>
          </cell>
          <cell r="G1866" t="str">
            <v>随处可见的纯天然颜料，容易褪色，采集后用于交付任务。</v>
          </cell>
          <cell r="H1866" t="str">
            <v>item_240004</v>
          </cell>
        </row>
        <row r="1867">
          <cell r="E1867" t="str">
            <v>肥美的鱼饵</v>
          </cell>
          <cell r="F1867" t="str">
            <v>肥美的鱼饵</v>
          </cell>
          <cell r="G1867" t="str">
            <v>大鱼最爱之物，采集后用于交付任务。</v>
          </cell>
          <cell r="H1867" t="str">
            <v>item_100</v>
          </cell>
        </row>
        <row r="1868">
          <cell r="E1868" t="str">
            <v>宴会物资</v>
          </cell>
          <cell r="F1868" t="str">
            <v>宴会物资</v>
          </cell>
          <cell r="G1868" t="str">
            <v>举办宴会的最佳选择，采集后用于交付任务。</v>
          </cell>
          <cell r="H1868" t="str">
            <v>item_465012</v>
          </cell>
        </row>
        <row r="1869">
          <cell r="E1869" t="str">
            <v>负重工具</v>
          </cell>
          <cell r="F1869" t="str">
            <v>负重工具</v>
          </cell>
          <cell r="G1869" t="str">
            <v>沉甸甸的箱子，采集后用于交付任务。</v>
          </cell>
          <cell r="H1869" t="str">
            <v>item_100</v>
          </cell>
        </row>
        <row r="1870">
          <cell r="E1870" t="str">
            <v>粽子篮</v>
          </cell>
          <cell r="F1870" t="str">
            <v>粽子篮</v>
          </cell>
          <cell r="G1870" t="str">
            <v>使用后随机获得一个高品质道具。</v>
          </cell>
          <cell r="H1870" t="str">
            <v>item_72</v>
          </cell>
        </row>
        <row r="1871">
          <cell r="E1871" t="str">
            <v>粽子</v>
          </cell>
          <cell r="F1871" t="str">
            <v>粽子</v>
          </cell>
          <cell r="G1871" t="str">
            <v>使用后随机获得一个道具。</v>
          </cell>
          <cell r="H1871" t="str">
            <v>item_59</v>
          </cell>
        </row>
        <row r="1872">
          <cell r="E1872" t="str">
            <v>战船任选礼包</v>
          </cell>
          <cell r="F1872" t="str">
            <v>战船任选礼包</v>
          </cell>
          <cell r="G1872" t="str">
            <v>可以从风·格拉玛号、雷德·佛斯号、九蛇海盗船、幽灵船、黑桃海盗船、极地潜水号、弗拉门戈号和莫比迪克号中任意选择一艘战船。</v>
          </cell>
          <cell r="H1872" t="str">
            <v>item_box_10</v>
          </cell>
        </row>
        <row r="1873">
          <cell r="E1873" t="str">
            <v>时装任选礼包</v>
          </cell>
          <cell r="F1873" t="str">
            <v>时装任选礼包</v>
          </cell>
          <cell r="G1873" t="str">
            <v>从泳装（奈美）、结婚礼服(奈美)、紫色旗袍(汉库珂)、泳装（罗宾）、公主装(薇薇)中任意选择一件。</v>
          </cell>
          <cell r="H1873" t="str">
            <v>item_box_10</v>
          </cell>
        </row>
      </sheetData>
      <sheetData sheetId="1"/>
      <sheetData sheetId="2"/>
      <sheetData sheetId="3"/>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S167"/>
  <sheetViews>
    <sheetView tabSelected="1" workbookViewId="0">
      <pane ySplit="6" topLeftCell="A161" activePane="bottomLeft" state="frozen"/>
      <selection/>
      <selection pane="bottomLeft" activeCell="F181" sqref="F181"/>
    </sheetView>
  </sheetViews>
  <sheetFormatPr defaultColWidth="9" defaultRowHeight="13.5"/>
  <cols>
    <col min="1" max="1" width="8.5" customWidth="1"/>
    <col min="2" max="2" width="15" customWidth="1"/>
    <col min="3" max="3" width="10.5" customWidth="1"/>
    <col min="4" max="4" width="11.625" customWidth="1"/>
    <col min="5" max="5" width="13.875" customWidth="1"/>
    <col min="6" max="6" width="100" customWidth="1"/>
    <col min="7" max="8" width="12.625" customWidth="1"/>
    <col min="9" max="9" width="11.625" customWidth="1"/>
    <col min="10" max="10" width="11" customWidth="1"/>
    <col min="11" max="11" width="13" customWidth="1"/>
    <col min="17" max="17" width="12.65" customWidth="1"/>
  </cols>
  <sheetData>
    <row r="1">
      <c r="A1" s="0">
        <v>7</v>
      </c>
      <c r="B1" s="0">
        <v>1</v>
      </c>
      <c r="C1" s="0">
        <v>9999</v>
      </c>
      <c r="D1" s="0">
        <v>10</v>
      </c>
    </row>
    <row r="2">
      <c r="A2" s="0" t="s">
        <v>0</v>
      </c>
      <c r="B2" s="0" t="s">
        <v>1</v>
      </c>
      <c r="C2" s="0" t="s">
        <v>2</v>
      </c>
      <c r="D2" s="0" t="s">
        <v>3</v>
      </c>
      <c r="E2" s="0" t="s">
        <v>4</v>
      </c>
      <c r="F2" s="0" t="s">
        <v>5</v>
      </c>
      <c r="G2" s="0" t="s">
        <v>6</v>
      </c>
      <c r="H2" s="0" t="s">
        <v>7</v>
      </c>
      <c r="I2" s="22" t="s">
        <v>8</v>
      </c>
      <c r="J2" s="22" t="s">
        <v>9</v>
      </c>
      <c r="K2" s="0" t="s">
        <v>10</v>
      </c>
      <c r="L2" s="0" t="s">
        <v>11</v>
      </c>
      <c r="M2" s="0" t="s">
        <v>12</v>
      </c>
      <c r="N2" s="0" t="s">
        <v>13</v>
      </c>
      <c r="O2" s="0" t="s">
        <v>14</v>
      </c>
      <c r="P2" s="0" t="s">
        <v>15</v>
      </c>
      <c r="Q2" s="0" t="s">
        <v>16</v>
      </c>
      <c r="R2" s="0" t="s">
        <v>17</v>
      </c>
      <c r="S2" s="0" t="s">
        <v>18</v>
      </c>
    </row>
    <row r="3">
      <c r="A3" s="0" t="s">
        <v>19</v>
      </c>
      <c r="B3" s="0" t="s">
        <v>20</v>
      </c>
      <c r="C3" s="0" t="s">
        <v>21</v>
      </c>
      <c r="D3" s="0" t="s">
        <v>22</v>
      </c>
      <c r="E3" s="0" t="s">
        <v>23</v>
      </c>
      <c r="F3" s="0" t="s">
        <v>24</v>
      </c>
      <c r="G3" s="0" t="s">
        <v>25</v>
      </c>
      <c r="H3" s="0" t="s">
        <v>26</v>
      </c>
      <c r="I3" s="22" t="s">
        <v>27</v>
      </c>
      <c r="J3" s="22" t="s">
        <v>28</v>
      </c>
    </row>
    <row r="4">
      <c r="A4" s="0" t="s">
        <v>29</v>
      </c>
      <c r="B4" s="0" t="s">
        <v>29</v>
      </c>
      <c r="C4" s="0" t="s">
        <v>29</v>
      </c>
      <c r="D4" s="0" t="s">
        <v>29</v>
      </c>
      <c r="E4" s="0" t="s">
        <v>29</v>
      </c>
      <c r="F4" s="0" t="s">
        <v>30</v>
      </c>
      <c r="G4" s="0" t="s">
        <v>30</v>
      </c>
      <c r="H4" s="0" t="s">
        <v>30</v>
      </c>
      <c r="I4" s="22" t="s">
        <v>31</v>
      </c>
      <c r="J4" s="22" t="s">
        <v>29</v>
      </c>
    </row>
    <row r="5">
      <c r="A5" s="0" t="s">
        <v>32</v>
      </c>
      <c r="B5" s="0" t="s">
        <v>33</v>
      </c>
      <c r="C5" s="0" t="s">
        <v>33</v>
      </c>
      <c r="D5" s="0" t="s">
        <v>33</v>
      </c>
      <c r="E5" s="0" t="s">
        <v>33</v>
      </c>
      <c r="F5" s="0" t="s">
        <v>33</v>
      </c>
      <c r="G5" s="0" t="s">
        <v>33</v>
      </c>
      <c r="H5" s="0" t="s">
        <v>29</v>
      </c>
      <c r="I5" s="22" t="s">
        <v>33</v>
      </c>
      <c r="J5" s="22" t="s">
        <v>33</v>
      </c>
    </row>
    <row r="6">
      <c r="A6" s="0" t="s">
        <v>19</v>
      </c>
      <c r="B6" s="0" t="s">
        <v>20</v>
      </c>
      <c r="C6" s="0" t="s">
        <v>21</v>
      </c>
      <c r="D6" s="0" t="s">
        <v>22</v>
      </c>
      <c r="E6" s="0" t="s">
        <v>23</v>
      </c>
      <c r="F6" s="0" t="s">
        <v>24</v>
      </c>
      <c r="G6" s="0" t="s">
        <v>25</v>
      </c>
      <c r="H6" s="0" t="s">
        <v>26</v>
      </c>
      <c r="I6" s="22" t="s">
        <v>27</v>
      </c>
      <c r="J6" s="22" t="s">
        <v>28</v>
      </c>
      <c r="K6" s="23" t="s">
        <v>34</v>
      </c>
    </row>
    <row r="7">
      <c r="A7" s="0">
        <v>1</v>
      </c>
      <c r="B7" s="0">
        <v>466001</v>
      </c>
      <c r="C7" s="0">
        <v>7</v>
      </c>
      <c r="D7" s="0">
        <v>1</v>
      </c>
      <c r="E7" s="0">
        <v>1</v>
      </c>
      <c r="F7" s="14" t="s">
        <v>35</v>
      </c>
      <c r="H7" s="0">
        <v>0</v>
      </c>
      <c r="I7" s="0">
        <v>5</v>
      </c>
      <c r="J7" s="0">
        <v>20</v>
      </c>
      <c r="K7" s="24"/>
      <c r="R7" s="26"/>
      <c r="S7" s="26"/>
    </row>
    <row r="8">
      <c r="A8" s="0">
        <v>2</v>
      </c>
      <c r="B8" s="0">
        <v>467001</v>
      </c>
      <c r="C8" s="0">
        <v>7</v>
      </c>
      <c r="D8" s="0">
        <v>1</v>
      </c>
      <c r="E8" s="0">
        <v>1</v>
      </c>
      <c r="F8" s="0" t="s">
        <v>36</v>
      </c>
      <c r="H8" s="0">
        <v>0</v>
      </c>
      <c r="I8" s="0">
        <v>5</v>
      </c>
      <c r="J8" s="0">
        <v>20</v>
      </c>
      <c r="K8" s="24"/>
      <c r="R8" s="26"/>
      <c r="S8" s="26"/>
    </row>
    <row r="9">
      <c r="A9" s="0">
        <v>3</v>
      </c>
      <c r="B9" s="0">
        <v>468001</v>
      </c>
      <c r="C9" s="0">
        <v>7</v>
      </c>
      <c r="D9" s="0">
        <v>1</v>
      </c>
      <c r="E9" s="0">
        <v>1</v>
      </c>
      <c r="F9" s="0" t="s">
        <v>37</v>
      </c>
      <c r="H9" s="0">
        <v>0</v>
      </c>
      <c r="I9" s="0">
        <v>5</v>
      </c>
      <c r="J9" s="0">
        <v>20</v>
      </c>
      <c r="K9" s="24"/>
      <c r="R9" s="26"/>
      <c r="S9" s="26"/>
    </row>
    <row r="10">
      <c r="A10" s="0">
        <v>4</v>
      </c>
      <c r="B10" s="0">
        <v>469001</v>
      </c>
      <c r="C10" s="0">
        <v>7</v>
      </c>
      <c r="D10" s="0">
        <v>1</v>
      </c>
      <c r="E10" s="0">
        <v>1</v>
      </c>
      <c r="F10" s="0" t="s">
        <v>38</v>
      </c>
      <c r="H10" s="0">
        <v>0</v>
      </c>
      <c r="I10" s="0">
        <v>5</v>
      </c>
      <c r="J10" s="0">
        <v>20</v>
      </c>
      <c r="K10" s="24"/>
      <c r="R10" s="26"/>
      <c r="S10" s="26"/>
    </row>
    <row r="11">
      <c r="A11" s="0">
        <v>5</v>
      </c>
      <c r="B11" s="0">
        <v>470001</v>
      </c>
      <c r="C11" s="0">
        <v>7</v>
      </c>
      <c r="D11" s="0">
        <v>1</v>
      </c>
      <c r="E11" s="0">
        <v>1</v>
      </c>
      <c r="F11" s="0" t="s">
        <v>39</v>
      </c>
      <c r="H11" s="0">
        <v>0</v>
      </c>
      <c r="I11" s="0">
        <v>5</v>
      </c>
      <c r="J11" s="0">
        <v>20</v>
      </c>
      <c r="K11" s="24"/>
      <c r="R11" s="26"/>
      <c r="S11" s="26"/>
    </row>
    <row r="12">
      <c r="A12" s="0">
        <v>6</v>
      </c>
      <c r="B12" s="0">
        <v>466002</v>
      </c>
      <c r="C12" s="0">
        <v>7</v>
      </c>
      <c r="D12" s="0">
        <v>1</v>
      </c>
      <c r="E12" s="0">
        <v>1</v>
      </c>
      <c r="F12" s="0" t="s">
        <v>40</v>
      </c>
      <c r="H12" s="0">
        <v>0</v>
      </c>
      <c r="I12" s="0">
        <v>5</v>
      </c>
      <c r="J12" s="0">
        <v>20</v>
      </c>
      <c r="K12" s="24"/>
      <c r="R12" s="26"/>
      <c r="S12" s="26"/>
    </row>
    <row r="13">
      <c r="A13" s="0">
        <v>7</v>
      </c>
      <c r="B13" s="0">
        <v>467002</v>
      </c>
      <c r="C13" s="0">
        <v>7</v>
      </c>
      <c r="D13" s="0">
        <v>1</v>
      </c>
      <c r="E13" s="0">
        <v>1</v>
      </c>
      <c r="F13" s="0" t="s">
        <v>41</v>
      </c>
      <c r="H13" s="0">
        <v>0</v>
      </c>
      <c r="I13" s="0">
        <v>5</v>
      </c>
      <c r="J13" s="0">
        <v>20</v>
      </c>
      <c r="K13" s="24"/>
      <c r="R13" s="26"/>
      <c r="S13" s="26"/>
    </row>
    <row r="14">
      <c r="A14" s="0">
        <v>8</v>
      </c>
      <c r="B14" s="0">
        <v>468002</v>
      </c>
      <c r="C14" s="0">
        <v>7</v>
      </c>
      <c r="D14" s="0">
        <v>1</v>
      </c>
      <c r="E14" s="0">
        <v>1</v>
      </c>
      <c r="F14" s="0" t="s">
        <v>42</v>
      </c>
      <c r="H14" s="0">
        <v>0</v>
      </c>
      <c r="I14" s="0">
        <v>5</v>
      </c>
      <c r="J14" s="0">
        <v>20</v>
      </c>
      <c r="K14" s="24"/>
      <c r="R14" s="26"/>
      <c r="S14" s="26"/>
    </row>
    <row r="15">
      <c r="A15" s="0">
        <v>9</v>
      </c>
      <c r="B15" s="0">
        <v>469002</v>
      </c>
      <c r="C15" s="0">
        <v>7</v>
      </c>
      <c r="D15" s="0">
        <v>1</v>
      </c>
      <c r="E15" s="0">
        <v>1</v>
      </c>
      <c r="F15" s="0" t="s">
        <v>43</v>
      </c>
      <c r="H15" s="0">
        <v>0</v>
      </c>
      <c r="I15" s="0">
        <v>5</v>
      </c>
      <c r="J15" s="0">
        <v>20</v>
      </c>
      <c r="K15" s="24"/>
      <c r="R15" s="26"/>
      <c r="S15" s="26"/>
    </row>
    <row r="16">
      <c r="A16" s="0">
        <v>10</v>
      </c>
      <c r="B16" s="0">
        <v>470002</v>
      </c>
      <c r="C16" s="0">
        <v>7</v>
      </c>
      <c r="D16" s="0">
        <v>1</v>
      </c>
      <c r="E16" s="0">
        <v>1</v>
      </c>
      <c r="F16" s="0" t="s">
        <v>44</v>
      </c>
      <c r="H16" s="0">
        <v>0</v>
      </c>
      <c r="I16" s="0">
        <v>5</v>
      </c>
      <c r="J16" s="0">
        <v>20</v>
      </c>
      <c r="K16" s="24"/>
      <c r="R16" s="26"/>
      <c r="S16" s="26"/>
    </row>
    <row r="17">
      <c r="A17" s="0">
        <v>11</v>
      </c>
      <c r="B17" s="0">
        <v>466003</v>
      </c>
      <c r="C17" s="0">
        <v>7</v>
      </c>
      <c r="D17" s="0">
        <v>1</v>
      </c>
      <c r="E17" s="0">
        <v>1</v>
      </c>
      <c r="F17" s="0" t="s">
        <v>45</v>
      </c>
      <c r="H17" s="0">
        <v>0</v>
      </c>
      <c r="I17" s="0">
        <v>5</v>
      </c>
      <c r="J17" s="0">
        <v>20</v>
      </c>
      <c r="K17" s="24"/>
      <c r="R17" s="26"/>
      <c r="S17" s="26"/>
    </row>
    <row r="18">
      <c r="A18" s="0">
        <v>12</v>
      </c>
      <c r="B18" s="0">
        <v>467003</v>
      </c>
      <c r="C18" s="0">
        <v>7</v>
      </c>
      <c r="D18" s="0">
        <v>1</v>
      </c>
      <c r="E18" s="0">
        <v>1</v>
      </c>
      <c r="F18" s="0" t="s">
        <v>46</v>
      </c>
      <c r="H18" s="0">
        <v>0</v>
      </c>
      <c r="I18" s="0">
        <v>5</v>
      </c>
      <c r="J18" s="0">
        <v>20</v>
      </c>
      <c r="K18" s="24"/>
      <c r="R18" s="26"/>
      <c r="S18" s="26"/>
    </row>
    <row r="19">
      <c r="A19" s="0">
        <v>13</v>
      </c>
      <c r="B19" s="0">
        <v>468003</v>
      </c>
      <c r="C19" s="0">
        <v>7</v>
      </c>
      <c r="D19" s="0">
        <v>1</v>
      </c>
      <c r="E19" s="0">
        <v>1</v>
      </c>
      <c r="F19" s="0" t="s">
        <v>47</v>
      </c>
      <c r="H19" s="0">
        <v>0</v>
      </c>
      <c r="I19" s="0">
        <v>5</v>
      </c>
      <c r="J19" s="0">
        <v>20</v>
      </c>
      <c r="K19" s="24"/>
      <c r="R19" s="26"/>
      <c r="S19" s="26"/>
    </row>
    <row r="20">
      <c r="A20" s="0">
        <v>14</v>
      </c>
      <c r="B20" s="0">
        <v>469003</v>
      </c>
      <c r="C20" s="0">
        <v>7</v>
      </c>
      <c r="D20" s="0">
        <v>1</v>
      </c>
      <c r="E20" s="0">
        <v>1</v>
      </c>
      <c r="F20" s="0" t="s">
        <v>48</v>
      </c>
      <c r="H20" s="0">
        <v>0</v>
      </c>
      <c r="I20" s="0">
        <v>5</v>
      </c>
      <c r="J20" s="0">
        <v>20</v>
      </c>
      <c r="K20" s="24"/>
      <c r="R20" s="26"/>
      <c r="S20" s="26"/>
    </row>
    <row r="21">
      <c r="A21" s="0">
        <v>15</v>
      </c>
      <c r="B21" s="0">
        <v>470003</v>
      </c>
      <c r="C21" s="0">
        <v>7</v>
      </c>
      <c r="D21" s="0">
        <v>1</v>
      </c>
      <c r="E21" s="0">
        <v>1</v>
      </c>
      <c r="F21" s="0" t="s">
        <v>49</v>
      </c>
      <c r="H21" s="0">
        <v>0</v>
      </c>
      <c r="I21" s="0">
        <v>5</v>
      </c>
      <c r="J21" s="0">
        <v>20</v>
      </c>
      <c r="K21" s="24"/>
      <c r="R21" s="26"/>
      <c r="S21" s="26"/>
    </row>
    <row r="22">
      <c r="A22" s="0">
        <v>16</v>
      </c>
      <c r="B22" s="0">
        <v>466004</v>
      </c>
      <c r="C22" s="0">
        <v>7</v>
      </c>
      <c r="D22" s="0">
        <v>2</v>
      </c>
      <c r="E22" s="0">
        <v>1</v>
      </c>
      <c r="F22" s="0" t="s">
        <v>50</v>
      </c>
      <c r="H22" s="0">
        <v>0</v>
      </c>
      <c r="I22" s="0">
        <v>5</v>
      </c>
      <c r="J22" s="0">
        <v>20</v>
      </c>
      <c r="K22" s="24"/>
      <c r="R22" s="26"/>
      <c r="S22" s="26"/>
    </row>
    <row r="23">
      <c r="A23" s="0">
        <v>17</v>
      </c>
      <c r="B23" s="0">
        <v>467004</v>
      </c>
      <c r="C23" s="0">
        <v>7</v>
      </c>
      <c r="D23" s="0">
        <v>2</v>
      </c>
      <c r="E23" s="0">
        <v>1</v>
      </c>
      <c r="F23" s="0" t="s">
        <v>51</v>
      </c>
      <c r="H23" s="0">
        <v>0</v>
      </c>
      <c r="I23" s="0">
        <v>5</v>
      </c>
      <c r="J23" s="0">
        <v>20</v>
      </c>
      <c r="K23" s="24"/>
      <c r="R23" s="26"/>
      <c r="S23" s="26"/>
    </row>
    <row r="24">
      <c r="A24" s="0">
        <v>18</v>
      </c>
      <c r="B24" s="0">
        <v>468004</v>
      </c>
      <c r="C24" s="0">
        <v>7</v>
      </c>
      <c r="D24" s="0">
        <v>2</v>
      </c>
      <c r="E24" s="0">
        <v>1</v>
      </c>
      <c r="F24" s="0" t="s">
        <v>52</v>
      </c>
      <c r="H24" s="0">
        <v>0</v>
      </c>
      <c r="I24" s="0">
        <v>5</v>
      </c>
      <c r="J24" s="0">
        <v>20</v>
      </c>
      <c r="K24" s="24"/>
      <c r="R24" s="26"/>
      <c r="S24" s="26"/>
    </row>
    <row r="25">
      <c r="A25" s="0">
        <v>19</v>
      </c>
      <c r="B25" s="0">
        <v>469004</v>
      </c>
      <c r="C25" s="0">
        <v>7</v>
      </c>
      <c r="D25" s="0">
        <v>2</v>
      </c>
      <c r="E25" s="0">
        <v>1</v>
      </c>
      <c r="F25" s="0" t="s">
        <v>53</v>
      </c>
      <c r="H25" s="0">
        <v>0</v>
      </c>
      <c r="I25" s="0">
        <v>5</v>
      </c>
      <c r="J25" s="0">
        <v>20</v>
      </c>
      <c r="K25" s="24"/>
      <c r="R25" s="26"/>
      <c r="S25" s="26"/>
    </row>
    <row r="26">
      <c r="A26" s="0">
        <v>20</v>
      </c>
      <c r="B26" s="0">
        <v>470004</v>
      </c>
      <c r="C26" s="0">
        <v>7</v>
      </c>
      <c r="D26" s="0">
        <v>2</v>
      </c>
      <c r="E26" s="0">
        <v>1</v>
      </c>
      <c r="F26" s="0" t="s">
        <v>54</v>
      </c>
      <c r="H26" s="0">
        <v>0</v>
      </c>
      <c r="I26" s="0">
        <v>5</v>
      </c>
      <c r="J26" s="0">
        <v>20</v>
      </c>
      <c r="K26" s="24"/>
      <c r="R26" s="26"/>
      <c r="S26" s="26"/>
    </row>
    <row r="27">
      <c r="A27" s="0">
        <v>21</v>
      </c>
      <c r="B27" s="0">
        <v>466005</v>
      </c>
      <c r="C27" s="0">
        <v>7</v>
      </c>
      <c r="D27" s="0">
        <v>2</v>
      </c>
      <c r="E27" s="0">
        <v>1</v>
      </c>
      <c r="F27" s="0" t="s">
        <v>55</v>
      </c>
      <c r="H27" s="0">
        <v>0</v>
      </c>
      <c r="I27" s="0">
        <v>5</v>
      </c>
      <c r="J27" s="0">
        <v>20</v>
      </c>
      <c r="K27" s="24"/>
      <c r="R27" s="26"/>
      <c r="S27" s="26"/>
    </row>
    <row r="28">
      <c r="A28" s="0">
        <v>22</v>
      </c>
      <c r="B28" s="0">
        <v>467005</v>
      </c>
      <c r="C28" s="0">
        <v>7</v>
      </c>
      <c r="D28" s="0">
        <v>2</v>
      </c>
      <c r="E28" s="0">
        <v>1</v>
      </c>
      <c r="F28" s="0" t="s">
        <v>56</v>
      </c>
      <c r="H28" s="0">
        <v>0</v>
      </c>
      <c r="I28" s="0">
        <v>5</v>
      </c>
      <c r="J28" s="0">
        <v>20</v>
      </c>
      <c r="K28" s="24"/>
      <c r="R28" s="26"/>
      <c r="S28" s="26"/>
    </row>
    <row r="29">
      <c r="A29" s="0">
        <v>23</v>
      </c>
      <c r="B29" s="0">
        <v>468005</v>
      </c>
      <c r="C29" s="0">
        <v>7</v>
      </c>
      <c r="D29" s="0">
        <v>2</v>
      </c>
      <c r="E29" s="0">
        <v>1</v>
      </c>
      <c r="F29" s="0" t="s">
        <v>57</v>
      </c>
      <c r="H29" s="0">
        <v>0</v>
      </c>
      <c r="I29" s="0">
        <v>5</v>
      </c>
      <c r="J29" s="0">
        <v>20</v>
      </c>
      <c r="K29" s="24"/>
      <c r="R29" s="26"/>
      <c r="S29" s="26"/>
    </row>
    <row r="30">
      <c r="A30" s="0">
        <v>24</v>
      </c>
      <c r="B30" s="0">
        <v>469005</v>
      </c>
      <c r="C30" s="0">
        <v>7</v>
      </c>
      <c r="D30" s="0">
        <v>2</v>
      </c>
      <c r="E30" s="0">
        <v>1</v>
      </c>
      <c r="F30" s="0" t="s">
        <v>58</v>
      </c>
      <c r="H30" s="0">
        <v>0</v>
      </c>
      <c r="I30" s="0">
        <v>5</v>
      </c>
      <c r="J30" s="0">
        <v>20</v>
      </c>
    </row>
    <row r="31">
      <c r="A31" s="0">
        <v>25</v>
      </c>
      <c r="B31" s="0">
        <v>470005</v>
      </c>
      <c r="C31" s="0">
        <v>7</v>
      </c>
      <c r="D31" s="0">
        <v>2</v>
      </c>
      <c r="E31" s="0">
        <v>1</v>
      </c>
      <c r="F31" s="0" t="s">
        <v>59</v>
      </c>
      <c r="H31" s="0">
        <v>0</v>
      </c>
      <c r="I31" s="0">
        <v>5</v>
      </c>
      <c r="J31" s="0">
        <v>20</v>
      </c>
    </row>
    <row r="32">
      <c r="A32" s="0">
        <v>26</v>
      </c>
      <c r="B32" s="0">
        <v>466006</v>
      </c>
      <c r="C32" s="0">
        <v>7</v>
      </c>
      <c r="D32" s="0">
        <v>2</v>
      </c>
      <c r="E32" s="0">
        <v>1</v>
      </c>
      <c r="F32" s="0" t="s">
        <v>60</v>
      </c>
      <c r="H32" s="0">
        <v>0</v>
      </c>
      <c r="I32" s="0">
        <v>5</v>
      </c>
      <c r="J32" s="0">
        <v>20</v>
      </c>
      <c r="L32" s="25"/>
      <c r="N32" s="25"/>
    </row>
    <row r="33">
      <c r="A33" s="0">
        <v>27</v>
      </c>
      <c r="B33" s="0">
        <v>467006</v>
      </c>
      <c r="C33" s="0">
        <v>7</v>
      </c>
      <c r="D33" s="0">
        <v>2</v>
      </c>
      <c r="E33" s="0">
        <v>1</v>
      </c>
      <c r="F33" s="0" t="s">
        <v>61</v>
      </c>
      <c r="H33" s="0">
        <v>0</v>
      </c>
      <c r="I33" s="0">
        <v>5</v>
      </c>
      <c r="J33" s="0">
        <v>20</v>
      </c>
      <c r="L33" s="25"/>
      <c r="N33" s="25"/>
    </row>
    <row r="34">
      <c r="A34" s="0">
        <v>28</v>
      </c>
      <c r="B34" s="0">
        <v>468006</v>
      </c>
      <c r="C34" s="0">
        <v>7</v>
      </c>
      <c r="D34" s="0">
        <v>2</v>
      </c>
      <c r="E34" s="0">
        <v>1</v>
      </c>
      <c r="F34" s="0" t="s">
        <v>62</v>
      </c>
      <c r="H34" s="0">
        <v>0</v>
      </c>
      <c r="I34" s="0">
        <v>5</v>
      </c>
      <c r="J34" s="0">
        <v>20</v>
      </c>
      <c r="L34" s="25"/>
      <c r="N34" s="25"/>
    </row>
    <row r="35">
      <c r="A35" s="0">
        <v>29</v>
      </c>
      <c r="B35" s="0">
        <v>469006</v>
      </c>
      <c r="C35" s="0">
        <v>7</v>
      </c>
      <c r="D35" s="0">
        <v>2</v>
      </c>
      <c r="E35" s="0">
        <v>1</v>
      </c>
      <c r="F35" s="0" t="s">
        <v>63</v>
      </c>
      <c r="H35" s="0">
        <v>0</v>
      </c>
      <c r="I35" s="0">
        <v>5</v>
      </c>
      <c r="J35" s="0">
        <v>20</v>
      </c>
      <c r="L35" s="25"/>
      <c r="N35" s="25"/>
    </row>
    <row r="36">
      <c r="A36" s="0">
        <v>30</v>
      </c>
      <c r="B36" s="0">
        <v>470006</v>
      </c>
      <c r="C36" s="0">
        <v>7</v>
      </c>
      <c r="D36" s="0">
        <v>2</v>
      </c>
      <c r="E36" s="0">
        <v>1</v>
      </c>
      <c r="F36" s="0" t="s">
        <v>64</v>
      </c>
      <c r="H36" s="0">
        <v>0</v>
      </c>
      <c r="I36" s="0">
        <v>5</v>
      </c>
      <c r="J36" s="0">
        <v>20</v>
      </c>
      <c r="L36" s="25"/>
      <c r="N36" s="25"/>
    </row>
    <row r="37">
      <c r="A37" s="0">
        <v>31</v>
      </c>
      <c r="B37" s="0">
        <v>466011</v>
      </c>
      <c r="C37" s="0">
        <v>7</v>
      </c>
      <c r="D37" s="0">
        <v>6</v>
      </c>
      <c r="E37" s="0">
        <v>2</v>
      </c>
      <c r="F37" s="0" t="s">
        <v>65</v>
      </c>
      <c r="H37" s="0">
        <v>0</v>
      </c>
      <c r="I37" s="0">
        <v>5</v>
      </c>
      <c r="J37" s="0">
        <v>20</v>
      </c>
      <c r="L37" s="25"/>
      <c r="N37" s="25"/>
    </row>
    <row r="38">
      <c r="A38" s="0">
        <v>32</v>
      </c>
      <c r="B38" s="0">
        <v>467011</v>
      </c>
      <c r="C38" s="0">
        <v>7</v>
      </c>
      <c r="D38" s="0">
        <v>6</v>
      </c>
      <c r="E38" s="0">
        <v>2</v>
      </c>
      <c r="F38" s="0" t="s">
        <v>66</v>
      </c>
      <c r="H38" s="0">
        <v>0</v>
      </c>
      <c r="I38" s="0">
        <v>5</v>
      </c>
      <c r="J38" s="0">
        <v>20</v>
      </c>
      <c r="L38" s="25"/>
      <c r="N38" s="25"/>
    </row>
    <row r="39">
      <c r="A39" s="0">
        <v>33</v>
      </c>
      <c r="B39" s="0">
        <v>468011</v>
      </c>
      <c r="C39" s="0">
        <v>7</v>
      </c>
      <c r="D39" s="0">
        <v>6</v>
      </c>
      <c r="E39" s="0">
        <v>2</v>
      </c>
      <c r="F39" s="0" t="s">
        <v>67</v>
      </c>
      <c r="H39" s="0">
        <v>0</v>
      </c>
      <c r="I39" s="0">
        <v>5</v>
      </c>
      <c r="J39" s="0">
        <v>20</v>
      </c>
      <c r="L39" s="25"/>
      <c r="N39" s="25"/>
    </row>
    <row r="40">
      <c r="A40" s="0">
        <v>34</v>
      </c>
      <c r="B40" s="0">
        <v>469011</v>
      </c>
      <c r="C40" s="0">
        <v>7</v>
      </c>
      <c r="D40" s="0">
        <v>6</v>
      </c>
      <c r="E40" s="0">
        <v>2</v>
      </c>
      <c r="F40" s="0" t="s">
        <v>68</v>
      </c>
      <c r="H40" s="0">
        <v>0</v>
      </c>
      <c r="I40" s="0">
        <v>5</v>
      </c>
      <c r="J40" s="0">
        <v>20</v>
      </c>
      <c r="L40" s="25"/>
      <c r="N40" s="25"/>
    </row>
    <row r="41">
      <c r="A41" s="0">
        <v>35</v>
      </c>
      <c r="B41" s="0">
        <v>470011</v>
      </c>
      <c r="C41" s="0">
        <v>7</v>
      </c>
      <c r="D41" s="0">
        <v>6</v>
      </c>
      <c r="E41" s="0">
        <v>2</v>
      </c>
      <c r="F41" s="0" t="s">
        <v>69</v>
      </c>
      <c r="H41" s="0">
        <v>0</v>
      </c>
      <c r="I41" s="0">
        <v>5</v>
      </c>
      <c r="J41" s="0">
        <v>20</v>
      </c>
      <c r="L41" s="25"/>
      <c r="N41" s="25"/>
    </row>
    <row r="42">
      <c r="A42" s="0">
        <v>36</v>
      </c>
      <c r="B42" s="0">
        <v>466007</v>
      </c>
      <c r="C42" s="0">
        <v>7</v>
      </c>
      <c r="D42" s="0">
        <v>6</v>
      </c>
      <c r="E42" s="0">
        <v>2</v>
      </c>
      <c r="F42" s="0" t="s">
        <v>70</v>
      </c>
      <c r="H42" s="0">
        <v>0</v>
      </c>
      <c r="I42" s="0">
        <v>5</v>
      </c>
      <c r="J42" s="0">
        <v>20</v>
      </c>
      <c r="L42" s="25"/>
      <c r="N42" s="25"/>
    </row>
    <row r="43">
      <c r="A43" s="0">
        <v>37</v>
      </c>
      <c r="B43" s="0">
        <v>467007</v>
      </c>
      <c r="C43" s="0">
        <v>7</v>
      </c>
      <c r="D43" s="0">
        <v>6</v>
      </c>
      <c r="E43" s="0">
        <v>2</v>
      </c>
      <c r="F43" s="0" t="s">
        <v>71</v>
      </c>
      <c r="H43" s="0">
        <v>0</v>
      </c>
      <c r="I43" s="0">
        <v>5</v>
      </c>
      <c r="J43" s="0">
        <v>20</v>
      </c>
      <c r="L43" s="25"/>
      <c r="N43" s="25"/>
    </row>
    <row r="44">
      <c r="A44" s="0">
        <v>38</v>
      </c>
      <c r="B44" s="0">
        <v>468007</v>
      </c>
      <c r="C44" s="0">
        <v>7</v>
      </c>
      <c r="D44" s="0">
        <v>6</v>
      </c>
      <c r="E44" s="0">
        <v>2</v>
      </c>
      <c r="F44" s="0" t="s">
        <v>72</v>
      </c>
      <c r="H44" s="0">
        <v>0</v>
      </c>
      <c r="I44" s="0">
        <v>5</v>
      </c>
      <c r="J44" s="0">
        <v>20</v>
      </c>
    </row>
    <row r="45">
      <c r="A45" s="0">
        <v>39</v>
      </c>
      <c r="B45" s="0">
        <v>469007</v>
      </c>
      <c r="C45" s="0">
        <v>7</v>
      </c>
      <c r="D45" s="0">
        <v>6</v>
      </c>
      <c r="E45" s="0">
        <v>2</v>
      </c>
      <c r="F45" s="0" t="s">
        <v>73</v>
      </c>
      <c r="H45" s="0">
        <v>0</v>
      </c>
      <c r="I45" s="0">
        <v>5</v>
      </c>
      <c r="J45" s="0">
        <v>20</v>
      </c>
    </row>
    <row r="46">
      <c r="A46" s="0">
        <v>40</v>
      </c>
      <c r="B46" s="0">
        <v>470007</v>
      </c>
      <c r="C46" s="0">
        <v>7</v>
      </c>
      <c r="D46" s="0">
        <v>6</v>
      </c>
      <c r="E46" s="0">
        <v>2</v>
      </c>
      <c r="F46" s="0" t="s">
        <v>74</v>
      </c>
      <c r="H46" s="0">
        <v>0</v>
      </c>
      <c r="I46" s="0">
        <v>5</v>
      </c>
      <c r="J46" s="0">
        <v>20</v>
      </c>
    </row>
    <row r="47">
      <c r="A47" s="0">
        <v>41</v>
      </c>
      <c r="B47" s="0">
        <v>466008</v>
      </c>
      <c r="C47" s="0">
        <v>7</v>
      </c>
      <c r="D47" s="0">
        <v>6</v>
      </c>
      <c r="E47" s="0">
        <v>2</v>
      </c>
      <c r="F47" s="0" t="s">
        <v>75</v>
      </c>
      <c r="H47" s="0">
        <v>0</v>
      </c>
      <c r="I47" s="0">
        <v>5</v>
      </c>
      <c r="J47" s="0">
        <v>20</v>
      </c>
    </row>
    <row r="48">
      <c r="A48" s="0">
        <v>42</v>
      </c>
      <c r="B48" s="0">
        <v>467008</v>
      </c>
      <c r="C48" s="0">
        <v>7</v>
      </c>
      <c r="D48" s="0">
        <v>6</v>
      </c>
      <c r="E48" s="0">
        <v>2</v>
      </c>
      <c r="F48" s="0" t="s">
        <v>76</v>
      </c>
      <c r="H48" s="0">
        <v>0</v>
      </c>
      <c r="I48" s="0">
        <v>5</v>
      </c>
      <c r="J48" s="0">
        <v>20</v>
      </c>
    </row>
    <row r="49">
      <c r="A49" s="0">
        <v>43</v>
      </c>
      <c r="B49" s="0">
        <v>468008</v>
      </c>
      <c r="C49" s="0">
        <v>7</v>
      </c>
      <c r="D49" s="0">
        <v>6</v>
      </c>
      <c r="E49" s="0">
        <v>2</v>
      </c>
      <c r="F49" s="0" t="s">
        <v>77</v>
      </c>
      <c r="H49" s="0">
        <v>0</v>
      </c>
      <c r="I49" s="0">
        <v>5</v>
      </c>
      <c r="J49" s="0">
        <v>20</v>
      </c>
    </row>
    <row r="50">
      <c r="A50" s="0">
        <v>44</v>
      </c>
      <c r="B50" s="0">
        <v>469008</v>
      </c>
      <c r="C50" s="0">
        <v>7</v>
      </c>
      <c r="D50" s="0">
        <v>6</v>
      </c>
      <c r="E50" s="0">
        <v>2</v>
      </c>
      <c r="F50" s="0" t="s">
        <v>78</v>
      </c>
      <c r="H50" s="0">
        <v>0</v>
      </c>
      <c r="I50" s="0">
        <v>5</v>
      </c>
      <c r="J50" s="0">
        <v>20</v>
      </c>
    </row>
    <row r="51">
      <c r="A51" s="0">
        <v>45</v>
      </c>
      <c r="B51" s="0">
        <v>470008</v>
      </c>
      <c r="C51" s="0">
        <v>7</v>
      </c>
      <c r="D51" s="0">
        <v>6</v>
      </c>
      <c r="E51" s="0">
        <v>2</v>
      </c>
      <c r="F51" s="0" t="s">
        <v>79</v>
      </c>
      <c r="H51" s="0">
        <v>0</v>
      </c>
      <c r="I51" s="0">
        <v>5</v>
      </c>
      <c r="J51" s="0">
        <v>20</v>
      </c>
    </row>
    <row r="52">
      <c r="A52" s="0">
        <v>46</v>
      </c>
      <c r="B52" s="0">
        <v>466009</v>
      </c>
      <c r="C52" s="0">
        <v>7</v>
      </c>
      <c r="D52" s="0">
        <v>7</v>
      </c>
      <c r="E52" s="0">
        <v>2</v>
      </c>
      <c r="F52" s="0" t="s">
        <v>80</v>
      </c>
      <c r="H52" s="0">
        <v>0</v>
      </c>
      <c r="I52" s="0">
        <v>5</v>
      </c>
      <c r="J52" s="0">
        <v>20</v>
      </c>
    </row>
    <row r="53">
      <c r="A53" s="0">
        <v>47</v>
      </c>
      <c r="B53" s="0">
        <v>467009</v>
      </c>
      <c r="C53" s="0">
        <v>7</v>
      </c>
      <c r="D53" s="0">
        <v>7</v>
      </c>
      <c r="E53" s="0">
        <v>2</v>
      </c>
      <c r="F53" s="0" t="s">
        <v>81</v>
      </c>
      <c r="H53" s="0">
        <v>0</v>
      </c>
      <c r="I53" s="0">
        <v>5</v>
      </c>
      <c r="J53" s="0">
        <v>20</v>
      </c>
    </row>
    <row r="54">
      <c r="A54" s="0">
        <v>48</v>
      </c>
      <c r="B54" s="0">
        <v>468009</v>
      </c>
      <c r="C54" s="0">
        <v>7</v>
      </c>
      <c r="D54" s="0">
        <v>7</v>
      </c>
      <c r="E54" s="0">
        <v>2</v>
      </c>
      <c r="F54" s="0" t="s">
        <v>82</v>
      </c>
      <c r="H54" s="0">
        <v>0</v>
      </c>
      <c r="I54" s="0">
        <v>5</v>
      </c>
      <c r="J54" s="0">
        <v>20</v>
      </c>
    </row>
    <row r="55">
      <c r="A55" s="0">
        <v>49</v>
      </c>
      <c r="B55" s="0">
        <v>469009</v>
      </c>
      <c r="C55" s="0">
        <v>7</v>
      </c>
      <c r="D55" s="0">
        <v>7</v>
      </c>
      <c r="E55" s="0">
        <v>2</v>
      </c>
      <c r="F55" s="0" t="s">
        <v>83</v>
      </c>
      <c r="H55" s="0">
        <v>0</v>
      </c>
      <c r="I55" s="0">
        <v>5</v>
      </c>
      <c r="J55" s="0">
        <v>20</v>
      </c>
    </row>
    <row r="56">
      <c r="A56" s="0">
        <v>50</v>
      </c>
      <c r="B56" s="0">
        <v>470009</v>
      </c>
      <c r="C56" s="0">
        <v>7</v>
      </c>
      <c r="D56" s="0">
        <v>7</v>
      </c>
      <c r="E56" s="0">
        <v>2</v>
      </c>
      <c r="F56" s="0" t="s">
        <v>84</v>
      </c>
      <c r="H56" s="0">
        <v>0</v>
      </c>
      <c r="I56" s="0">
        <v>5</v>
      </c>
      <c r="J56" s="0">
        <v>20</v>
      </c>
    </row>
    <row r="57">
      <c r="A57" s="0">
        <v>51</v>
      </c>
      <c r="B57" s="0">
        <v>466010</v>
      </c>
      <c r="C57" s="0">
        <v>7</v>
      </c>
      <c r="D57" s="0">
        <v>7</v>
      </c>
      <c r="E57" s="0">
        <v>2</v>
      </c>
      <c r="F57" s="0" t="s">
        <v>85</v>
      </c>
      <c r="H57" s="0">
        <v>0</v>
      </c>
      <c r="I57" s="0">
        <v>5</v>
      </c>
      <c r="J57" s="0">
        <v>20</v>
      </c>
    </row>
    <row r="58">
      <c r="A58" s="0">
        <v>52</v>
      </c>
      <c r="B58" s="0">
        <v>467010</v>
      </c>
      <c r="C58" s="0">
        <v>7</v>
      </c>
      <c r="D58" s="0">
        <v>7</v>
      </c>
      <c r="E58" s="0">
        <v>2</v>
      </c>
      <c r="F58" s="0" t="s">
        <v>86</v>
      </c>
      <c r="H58" s="0">
        <v>0</v>
      </c>
      <c r="I58" s="0">
        <v>5</v>
      </c>
      <c r="J58" s="0">
        <v>20</v>
      </c>
    </row>
    <row r="59">
      <c r="A59" s="0">
        <v>53</v>
      </c>
      <c r="B59" s="0">
        <v>468010</v>
      </c>
      <c r="C59" s="0">
        <v>7</v>
      </c>
      <c r="D59" s="0">
        <v>7</v>
      </c>
      <c r="E59" s="0">
        <v>2</v>
      </c>
      <c r="F59" s="0" t="s">
        <v>87</v>
      </c>
      <c r="H59" s="0">
        <v>0</v>
      </c>
      <c r="I59" s="0">
        <v>5</v>
      </c>
      <c r="J59" s="0">
        <v>20</v>
      </c>
    </row>
    <row r="60">
      <c r="A60" s="0">
        <v>54</v>
      </c>
      <c r="B60" s="0">
        <v>469010</v>
      </c>
      <c r="C60" s="0">
        <v>7</v>
      </c>
      <c r="D60" s="0">
        <v>7</v>
      </c>
      <c r="E60" s="0">
        <v>2</v>
      </c>
      <c r="F60" s="0" t="s">
        <v>88</v>
      </c>
      <c r="H60" s="0">
        <v>0</v>
      </c>
      <c r="I60" s="0">
        <v>5</v>
      </c>
      <c r="J60" s="0">
        <v>20</v>
      </c>
    </row>
    <row r="61">
      <c r="A61" s="0">
        <v>55</v>
      </c>
      <c r="B61" s="0">
        <v>470010</v>
      </c>
      <c r="C61" s="0">
        <v>7</v>
      </c>
      <c r="D61" s="0">
        <v>7</v>
      </c>
      <c r="E61" s="0">
        <v>2</v>
      </c>
      <c r="F61" s="0" t="s">
        <v>89</v>
      </c>
      <c r="H61" s="0">
        <v>0</v>
      </c>
      <c r="I61" s="0">
        <v>5</v>
      </c>
      <c r="J61" s="0">
        <v>20</v>
      </c>
    </row>
    <row r="62">
      <c r="A62" s="0">
        <v>56</v>
      </c>
      <c r="B62" s="0">
        <v>466012</v>
      </c>
      <c r="C62" s="0">
        <v>7</v>
      </c>
      <c r="D62" s="0">
        <v>7</v>
      </c>
      <c r="E62" s="0">
        <v>2</v>
      </c>
      <c r="F62" s="0" t="s">
        <v>90</v>
      </c>
      <c r="H62" s="0">
        <v>0</v>
      </c>
      <c r="I62" s="0">
        <v>5</v>
      </c>
      <c r="J62" s="0">
        <v>20</v>
      </c>
    </row>
    <row r="63">
      <c r="A63" s="0">
        <v>57</v>
      </c>
      <c r="B63" s="0">
        <v>467012</v>
      </c>
      <c r="C63" s="0">
        <v>7</v>
      </c>
      <c r="D63" s="0">
        <v>7</v>
      </c>
      <c r="E63" s="0">
        <v>2</v>
      </c>
      <c r="F63" s="0" t="s">
        <v>91</v>
      </c>
      <c r="H63" s="0">
        <v>0</v>
      </c>
      <c r="I63" s="0">
        <v>5</v>
      </c>
      <c r="J63" s="0">
        <v>20</v>
      </c>
    </row>
    <row r="64">
      <c r="A64" s="0">
        <v>58</v>
      </c>
      <c r="B64" s="0">
        <v>468012</v>
      </c>
      <c r="C64" s="0">
        <v>7</v>
      </c>
      <c r="D64" s="0">
        <v>7</v>
      </c>
      <c r="E64" s="0">
        <v>2</v>
      </c>
      <c r="F64" s="0" t="s">
        <v>92</v>
      </c>
      <c r="H64" s="0">
        <v>0</v>
      </c>
      <c r="I64" s="0">
        <v>5</v>
      </c>
      <c r="J64" s="0">
        <v>20</v>
      </c>
    </row>
    <row r="65">
      <c r="A65" s="0">
        <v>59</v>
      </c>
      <c r="B65" s="0">
        <v>469012</v>
      </c>
      <c r="C65" s="0">
        <v>7</v>
      </c>
      <c r="D65" s="0">
        <v>7</v>
      </c>
      <c r="E65" s="0">
        <v>2</v>
      </c>
      <c r="F65" s="0" t="s">
        <v>93</v>
      </c>
      <c r="H65" s="0">
        <v>0</v>
      </c>
      <c r="I65" s="0">
        <v>5</v>
      </c>
      <c r="J65" s="0">
        <v>20</v>
      </c>
    </row>
    <row r="66">
      <c r="A66" s="0">
        <v>60</v>
      </c>
      <c r="B66" s="0">
        <v>470012</v>
      </c>
      <c r="C66" s="0">
        <v>7</v>
      </c>
      <c r="D66" s="0">
        <v>7</v>
      </c>
      <c r="E66" s="0">
        <v>2</v>
      </c>
      <c r="F66" s="0" t="s">
        <v>94</v>
      </c>
      <c r="H66" s="0">
        <v>0</v>
      </c>
      <c r="I66" s="0">
        <v>5</v>
      </c>
      <c r="J66" s="0">
        <v>20</v>
      </c>
    </row>
    <row r="67">
      <c r="A67" s="0">
        <v>61</v>
      </c>
      <c r="B67" s="0">
        <v>466013</v>
      </c>
      <c r="C67" s="0">
        <v>7</v>
      </c>
      <c r="D67" s="0">
        <v>11</v>
      </c>
      <c r="E67" s="0">
        <v>3</v>
      </c>
      <c r="F67" s="0" t="s">
        <v>95</v>
      </c>
      <c r="H67" s="0">
        <v>0</v>
      </c>
      <c r="I67" s="0">
        <v>5</v>
      </c>
      <c r="J67" s="0">
        <v>20</v>
      </c>
    </row>
    <row r="68">
      <c r="A68" s="0">
        <v>62</v>
      </c>
      <c r="B68" s="0">
        <v>467013</v>
      </c>
      <c r="C68" s="0">
        <v>7</v>
      </c>
      <c r="D68" s="0">
        <v>11</v>
      </c>
      <c r="E68" s="0">
        <v>3</v>
      </c>
      <c r="F68" s="0" t="s">
        <v>96</v>
      </c>
      <c r="H68" s="0">
        <v>0</v>
      </c>
      <c r="I68" s="0">
        <v>5</v>
      </c>
      <c r="J68" s="0">
        <v>20</v>
      </c>
    </row>
    <row r="69">
      <c r="A69" s="0">
        <v>63</v>
      </c>
      <c r="B69" s="0">
        <v>468013</v>
      </c>
      <c r="C69" s="0">
        <v>7</v>
      </c>
      <c r="D69" s="0">
        <v>11</v>
      </c>
      <c r="E69" s="0">
        <v>3</v>
      </c>
      <c r="F69" s="0" t="s">
        <v>97</v>
      </c>
      <c r="H69" s="0">
        <v>0</v>
      </c>
      <c r="I69" s="0">
        <v>5</v>
      </c>
      <c r="J69" s="0">
        <v>20</v>
      </c>
    </row>
    <row r="70">
      <c r="A70" s="0">
        <v>64</v>
      </c>
      <c r="B70" s="0">
        <v>469013</v>
      </c>
      <c r="C70" s="0">
        <v>7</v>
      </c>
      <c r="D70" s="0">
        <v>11</v>
      </c>
      <c r="E70" s="0">
        <v>3</v>
      </c>
      <c r="F70" s="0" t="s">
        <v>98</v>
      </c>
      <c r="H70" s="0">
        <v>0</v>
      </c>
      <c r="I70" s="0">
        <v>5</v>
      </c>
      <c r="J70" s="0">
        <v>20</v>
      </c>
    </row>
    <row r="71">
      <c r="A71" s="0">
        <v>65</v>
      </c>
      <c r="B71" s="0">
        <v>470013</v>
      </c>
      <c r="C71" s="0">
        <v>7</v>
      </c>
      <c r="D71" s="0">
        <v>11</v>
      </c>
      <c r="E71" s="0">
        <v>3</v>
      </c>
      <c r="F71" s="0" t="s">
        <v>99</v>
      </c>
      <c r="H71" s="0">
        <v>0</v>
      </c>
      <c r="I71" s="0">
        <v>5</v>
      </c>
      <c r="J71" s="0">
        <v>20</v>
      </c>
    </row>
    <row r="72">
      <c r="A72" s="0">
        <v>66</v>
      </c>
      <c r="B72" s="0">
        <v>466014</v>
      </c>
      <c r="C72" s="0">
        <v>7</v>
      </c>
      <c r="D72" s="0">
        <v>11</v>
      </c>
      <c r="E72" s="0">
        <v>3</v>
      </c>
      <c r="F72" s="0" t="s">
        <v>100</v>
      </c>
      <c r="H72" s="0">
        <v>0</v>
      </c>
      <c r="I72" s="0">
        <v>5</v>
      </c>
      <c r="J72" s="0">
        <v>20</v>
      </c>
      <c r="L72" s="24"/>
      <c r="M72" s="34"/>
    </row>
    <row r="73">
      <c r="A73" s="0">
        <v>67</v>
      </c>
      <c r="B73" s="0">
        <v>467014</v>
      </c>
      <c r="C73" s="0">
        <v>7</v>
      </c>
      <c r="D73" s="0">
        <v>11</v>
      </c>
      <c r="E73" s="0">
        <v>3</v>
      </c>
      <c r="F73" s="0" t="s">
        <v>101</v>
      </c>
      <c r="H73" s="0">
        <v>0</v>
      </c>
      <c r="I73" s="0">
        <v>5</v>
      </c>
      <c r="J73" s="0">
        <v>20</v>
      </c>
      <c r="L73" s="24"/>
      <c r="M73" s="34"/>
    </row>
    <row r="74">
      <c r="A74" s="0">
        <v>68</v>
      </c>
      <c r="B74" s="0">
        <v>468014</v>
      </c>
      <c r="C74" s="0">
        <v>7</v>
      </c>
      <c r="D74" s="0">
        <v>11</v>
      </c>
      <c r="E74" s="0">
        <v>3</v>
      </c>
      <c r="F74" s="0" t="s">
        <v>102</v>
      </c>
      <c r="H74" s="0">
        <v>0</v>
      </c>
      <c r="I74" s="0">
        <v>5</v>
      </c>
      <c r="J74" s="0">
        <v>20</v>
      </c>
      <c r="L74" s="24"/>
      <c r="M74" s="34"/>
    </row>
    <row r="75">
      <c r="A75" s="0">
        <v>69</v>
      </c>
      <c r="B75" s="0">
        <v>469014</v>
      </c>
      <c r="C75" s="0">
        <v>7</v>
      </c>
      <c r="D75" s="0">
        <v>11</v>
      </c>
      <c r="E75" s="0">
        <v>3</v>
      </c>
      <c r="F75" s="0" t="s">
        <v>103</v>
      </c>
      <c r="H75" s="0">
        <v>0</v>
      </c>
      <c r="I75" s="0">
        <v>5</v>
      </c>
      <c r="J75" s="0">
        <v>20</v>
      </c>
      <c r="L75" s="24"/>
      <c r="M75" s="34"/>
    </row>
    <row r="76">
      <c r="A76" s="0">
        <v>70</v>
      </c>
      <c r="B76" s="0">
        <v>470014</v>
      </c>
      <c r="C76" s="0">
        <v>7</v>
      </c>
      <c r="D76" s="0">
        <v>11</v>
      </c>
      <c r="E76" s="0">
        <v>3</v>
      </c>
      <c r="F76" s="0" t="s">
        <v>104</v>
      </c>
      <c r="H76" s="0">
        <v>0</v>
      </c>
      <c r="I76" s="0">
        <v>5</v>
      </c>
      <c r="J76" s="0">
        <v>20</v>
      </c>
      <c r="L76" s="24"/>
      <c r="M76" s="34"/>
    </row>
    <row r="77" s="21" customFormat="1">
      <c r="A77" s="27">
        <v>71</v>
      </c>
      <c r="B77" s="27">
        <v>441001</v>
      </c>
      <c r="C77" s="27">
        <v>6</v>
      </c>
      <c r="D77" s="27">
        <v>1</v>
      </c>
      <c r="E77" s="27">
        <v>1</v>
      </c>
      <c r="F77" s="28" t="s">
        <v>105</v>
      </c>
      <c r="G77" s="27"/>
      <c r="H77" s="27">
        <v>0</v>
      </c>
      <c r="I77" s="27">
        <v>5</v>
      </c>
      <c r="J77" s="27">
        <v>10</v>
      </c>
      <c r="K77" s="27" t="s">
        <v>106</v>
      </c>
      <c r="N77" s="34"/>
    </row>
    <row r="78" s="21" customFormat="1">
      <c r="A78" s="27">
        <v>72</v>
      </c>
      <c r="B78" s="27">
        <v>491018</v>
      </c>
      <c r="C78" s="27">
        <v>6</v>
      </c>
      <c r="D78" s="27">
        <v>1</v>
      </c>
      <c r="E78" s="27">
        <v>1</v>
      </c>
      <c r="F78" s="29" t="s">
        <v>107</v>
      </c>
      <c r="G78" s="27"/>
      <c r="H78" s="27">
        <v>0</v>
      </c>
      <c r="I78" s="27">
        <v>5</v>
      </c>
      <c r="J78" s="27">
        <v>10</v>
      </c>
      <c r="K78" s="27" t="s">
        <v>108</v>
      </c>
    </row>
    <row r="79" s="21" customFormat="1">
      <c r="A79" s="27">
        <v>73</v>
      </c>
      <c r="B79" s="27">
        <v>491019</v>
      </c>
      <c r="C79" s="27">
        <v>6</v>
      </c>
      <c r="D79" s="27">
        <v>1</v>
      </c>
      <c r="E79" s="27">
        <v>1</v>
      </c>
      <c r="F79" s="29" t="s">
        <v>109</v>
      </c>
      <c r="G79" s="27"/>
      <c r="H79" s="27">
        <v>0</v>
      </c>
      <c r="I79" s="27">
        <v>5</v>
      </c>
      <c r="J79" s="27">
        <v>10</v>
      </c>
      <c r="K79" s="27" t="s">
        <v>110</v>
      </c>
      <c r="N79" s="34"/>
    </row>
    <row r="80" s="21" customFormat="1">
      <c r="A80" s="27">
        <v>74</v>
      </c>
      <c r="B80" s="27">
        <v>491020</v>
      </c>
      <c r="C80" s="27">
        <v>6</v>
      </c>
      <c r="D80" s="27">
        <v>2</v>
      </c>
      <c r="E80" s="27">
        <v>1</v>
      </c>
      <c r="F80" s="29" t="s">
        <v>111</v>
      </c>
      <c r="G80" s="27"/>
      <c r="H80" s="27">
        <v>0</v>
      </c>
      <c r="I80" s="27">
        <v>5</v>
      </c>
      <c r="J80" s="27">
        <v>10</v>
      </c>
      <c r="K80" s="27" t="s">
        <v>112</v>
      </c>
    </row>
    <row r="81" s="21" customFormat="1">
      <c r="A81" s="27">
        <v>75</v>
      </c>
      <c r="B81" s="27">
        <v>491021</v>
      </c>
      <c r="C81" s="27">
        <v>6</v>
      </c>
      <c r="D81" s="27">
        <v>2</v>
      </c>
      <c r="E81" s="27">
        <v>1</v>
      </c>
      <c r="F81" s="29" t="s">
        <v>113</v>
      </c>
      <c r="G81" s="27"/>
      <c r="H81" s="27">
        <v>0</v>
      </c>
      <c r="I81" s="27">
        <v>5</v>
      </c>
      <c r="J81" s="27">
        <v>10</v>
      </c>
      <c r="K81" s="27" t="s">
        <v>114</v>
      </c>
      <c r="N81" s="34"/>
    </row>
    <row r="82" s="21" customFormat="1">
      <c r="A82" s="27">
        <v>76</v>
      </c>
      <c r="B82" s="27">
        <v>491024</v>
      </c>
      <c r="C82" s="27">
        <v>6</v>
      </c>
      <c r="D82" s="27">
        <v>2</v>
      </c>
      <c r="E82" s="27">
        <v>1</v>
      </c>
      <c r="F82" s="29" t="s">
        <v>115</v>
      </c>
      <c r="G82" s="27"/>
      <c r="H82" s="27">
        <v>0</v>
      </c>
      <c r="I82" s="27">
        <v>5</v>
      </c>
      <c r="J82" s="27">
        <v>10</v>
      </c>
      <c r="K82" s="27" t="s">
        <v>116</v>
      </c>
    </row>
    <row r="83" s="21" customFormat="1">
      <c r="A83" s="27">
        <v>77</v>
      </c>
      <c r="B83" s="27">
        <v>491022</v>
      </c>
      <c r="C83" s="27">
        <v>6</v>
      </c>
      <c r="D83" s="27">
        <v>3</v>
      </c>
      <c r="E83" s="27">
        <v>1</v>
      </c>
      <c r="F83" s="29" t="s">
        <v>117</v>
      </c>
      <c r="G83" s="27"/>
      <c r="H83" s="27">
        <v>0</v>
      </c>
      <c r="I83" s="27">
        <v>5</v>
      </c>
      <c r="J83" s="27">
        <v>10</v>
      </c>
      <c r="K83" s="27" t="s">
        <v>118</v>
      </c>
      <c r="N83" s="34"/>
    </row>
    <row r="84" s="21" customFormat="1">
      <c r="A84" s="30">
        <v>78</v>
      </c>
      <c r="B84" s="30">
        <v>491023</v>
      </c>
      <c r="C84" s="30">
        <v>6</v>
      </c>
      <c r="D84" s="30">
        <v>3</v>
      </c>
      <c r="E84" s="30">
        <v>1</v>
      </c>
      <c r="F84" s="31" t="s">
        <v>119</v>
      </c>
      <c r="G84" s="30"/>
      <c r="H84" s="30">
        <v>0</v>
      </c>
      <c r="I84" s="30">
        <v>5</v>
      </c>
      <c r="J84" s="30">
        <v>10</v>
      </c>
      <c r="K84" s="30" t="s">
        <v>120</v>
      </c>
    </row>
    <row r="85" s="21" customFormat="1">
      <c r="A85" s="27">
        <v>79</v>
      </c>
      <c r="B85" s="27">
        <v>491004</v>
      </c>
      <c r="C85" s="27">
        <v>6</v>
      </c>
      <c r="D85" s="27">
        <v>4</v>
      </c>
      <c r="E85" s="27">
        <v>2</v>
      </c>
      <c r="F85" s="32" t="s">
        <v>121</v>
      </c>
      <c r="G85" s="27"/>
      <c r="H85" s="27">
        <v>0</v>
      </c>
      <c r="I85" s="27">
        <v>10</v>
      </c>
      <c r="J85" s="27">
        <v>20</v>
      </c>
      <c r="K85" s="27" t="s">
        <v>122</v>
      </c>
      <c r="N85" s="34"/>
    </row>
    <row r="86" s="21" customFormat="1">
      <c r="A86" s="27">
        <v>80</v>
      </c>
      <c r="B86" s="27">
        <v>491003</v>
      </c>
      <c r="C86" s="27">
        <v>6</v>
      </c>
      <c r="D86" s="27">
        <v>4</v>
      </c>
      <c r="E86" s="27">
        <v>2</v>
      </c>
      <c r="F86" s="31" t="s">
        <v>123</v>
      </c>
      <c r="G86" s="27"/>
      <c r="H86" s="27">
        <v>0</v>
      </c>
      <c r="I86" s="27">
        <v>10</v>
      </c>
      <c r="J86" s="27">
        <v>20</v>
      </c>
      <c r="K86" s="27" t="s">
        <v>124</v>
      </c>
    </row>
    <row r="87" s="21" customFormat="1">
      <c r="A87" s="27">
        <v>81</v>
      </c>
      <c r="B87" s="27">
        <v>491006</v>
      </c>
      <c r="C87" s="27">
        <v>6</v>
      </c>
      <c r="D87" s="27">
        <v>5</v>
      </c>
      <c r="E87" s="27">
        <v>2</v>
      </c>
      <c r="F87" s="31" t="s">
        <v>125</v>
      </c>
      <c r="G87" s="27"/>
      <c r="H87" s="27">
        <v>0</v>
      </c>
      <c r="I87" s="27">
        <v>10</v>
      </c>
      <c r="J87" s="27">
        <v>20</v>
      </c>
      <c r="K87" s="27" t="s">
        <v>126</v>
      </c>
      <c r="N87" s="34"/>
    </row>
    <row r="88" s="21" customFormat="1">
      <c r="A88" s="27">
        <v>82</v>
      </c>
      <c r="B88" s="27">
        <v>491005</v>
      </c>
      <c r="C88" s="27">
        <v>6</v>
      </c>
      <c r="D88" s="27">
        <v>5</v>
      </c>
      <c r="E88" s="27">
        <v>2</v>
      </c>
      <c r="F88" s="31" t="s">
        <v>127</v>
      </c>
      <c r="G88" s="27"/>
      <c r="H88" s="27">
        <v>0</v>
      </c>
      <c r="I88" s="27">
        <v>10</v>
      </c>
      <c r="J88" s="27">
        <v>20</v>
      </c>
      <c r="K88" s="27" t="s">
        <v>128</v>
      </c>
    </row>
    <row r="89" s="21" customFormat="1">
      <c r="A89" s="27">
        <v>83</v>
      </c>
      <c r="B89" s="27">
        <v>491001</v>
      </c>
      <c r="C89" s="27">
        <v>6</v>
      </c>
      <c r="D89" s="27">
        <v>5</v>
      </c>
      <c r="E89" s="27">
        <v>2</v>
      </c>
      <c r="F89" s="31" t="s">
        <v>129</v>
      </c>
      <c r="G89" s="27"/>
      <c r="H89" s="27">
        <v>0</v>
      </c>
      <c r="I89" s="27">
        <v>10</v>
      </c>
      <c r="J89" s="27">
        <v>20</v>
      </c>
      <c r="K89" s="27" t="s">
        <v>130</v>
      </c>
    </row>
    <row r="90" s="21" customFormat="1">
      <c r="A90" s="27">
        <v>84</v>
      </c>
      <c r="B90" s="27">
        <v>491007</v>
      </c>
      <c r="C90" s="27">
        <v>6</v>
      </c>
      <c r="D90" s="27">
        <v>6</v>
      </c>
      <c r="E90" s="27">
        <v>2</v>
      </c>
      <c r="F90" s="31" t="s">
        <v>131</v>
      </c>
      <c r="G90" s="27"/>
      <c r="H90" s="27">
        <v>0</v>
      </c>
      <c r="I90" s="27">
        <v>10</v>
      </c>
      <c r="J90" s="27">
        <v>20</v>
      </c>
      <c r="K90" s="27" t="s">
        <v>132</v>
      </c>
    </row>
    <row r="91" s="21" customFormat="1">
      <c r="A91" s="27">
        <v>2001</v>
      </c>
      <c r="B91" s="27">
        <v>491002</v>
      </c>
      <c r="C91" s="27">
        <v>6</v>
      </c>
      <c r="D91" s="27">
        <v>6</v>
      </c>
      <c r="E91" s="27">
        <v>2</v>
      </c>
      <c r="F91" s="31" t="s">
        <v>133</v>
      </c>
      <c r="G91" s="27"/>
      <c r="H91" s="27">
        <v>0</v>
      </c>
      <c r="I91" s="27">
        <v>10</v>
      </c>
      <c r="J91" s="27">
        <v>20</v>
      </c>
      <c r="K91" s="27" t="s">
        <v>134</v>
      </c>
    </row>
    <row r="92" s="21" customFormat="1">
      <c r="A92" s="30">
        <v>85</v>
      </c>
      <c r="B92" s="30">
        <v>491008</v>
      </c>
      <c r="C92" s="30">
        <v>6</v>
      </c>
      <c r="D92" s="30">
        <v>6</v>
      </c>
      <c r="E92" s="30">
        <v>2</v>
      </c>
      <c r="F92" s="31" t="s">
        <v>135</v>
      </c>
      <c r="G92" s="30"/>
      <c r="H92" s="30">
        <v>0</v>
      </c>
      <c r="I92" s="30">
        <v>10</v>
      </c>
      <c r="J92" s="30">
        <v>20</v>
      </c>
      <c r="K92" s="30" t="s">
        <v>136</v>
      </c>
    </row>
    <row r="93" s="21" customFormat="1">
      <c r="A93" s="27">
        <v>86</v>
      </c>
      <c r="B93" s="27">
        <v>441003</v>
      </c>
      <c r="C93" s="27">
        <v>6</v>
      </c>
      <c r="D93" s="27">
        <v>7</v>
      </c>
      <c r="E93" s="27">
        <v>3</v>
      </c>
      <c r="F93" s="31" t="s">
        <v>137</v>
      </c>
      <c r="G93" s="27"/>
      <c r="H93" s="27">
        <v>0</v>
      </c>
      <c r="I93" s="27">
        <v>20</v>
      </c>
      <c r="J93" s="27">
        <v>40</v>
      </c>
      <c r="K93" s="27" t="s">
        <v>138</v>
      </c>
    </row>
    <row r="94" s="21" customFormat="1">
      <c r="A94" s="27">
        <v>87</v>
      </c>
      <c r="B94" s="27">
        <v>492018</v>
      </c>
      <c r="C94" s="27">
        <v>6</v>
      </c>
      <c r="D94" s="27">
        <v>7</v>
      </c>
      <c r="E94" s="27">
        <v>3</v>
      </c>
      <c r="F94" s="31" t="s">
        <v>139</v>
      </c>
      <c r="G94" s="27"/>
      <c r="H94" s="27">
        <v>0</v>
      </c>
      <c r="I94" s="27">
        <v>20</v>
      </c>
      <c r="J94" s="27">
        <v>40</v>
      </c>
      <c r="K94" s="27" t="s">
        <v>140</v>
      </c>
    </row>
    <row r="95" s="21" customFormat="1">
      <c r="A95" s="27">
        <v>88</v>
      </c>
      <c r="B95" s="27">
        <v>492019</v>
      </c>
      <c r="C95" s="27">
        <v>6</v>
      </c>
      <c r="D95" s="27">
        <v>7</v>
      </c>
      <c r="E95" s="27">
        <v>3</v>
      </c>
      <c r="F95" s="31" t="s">
        <v>141</v>
      </c>
      <c r="G95" s="27"/>
      <c r="H95" s="27">
        <v>0</v>
      </c>
      <c r="I95" s="27">
        <v>20</v>
      </c>
      <c r="J95" s="27">
        <v>40</v>
      </c>
      <c r="K95" s="27" t="s">
        <v>142</v>
      </c>
    </row>
    <row r="96" s="21" customFormat="1">
      <c r="A96" s="27">
        <v>89</v>
      </c>
      <c r="B96" s="27">
        <v>492020</v>
      </c>
      <c r="C96" s="27">
        <v>6</v>
      </c>
      <c r="D96" s="27">
        <v>8</v>
      </c>
      <c r="E96" s="27">
        <v>3</v>
      </c>
      <c r="F96" s="31" t="s">
        <v>143</v>
      </c>
      <c r="G96" s="27"/>
      <c r="H96" s="27">
        <v>0</v>
      </c>
      <c r="I96" s="27">
        <v>20</v>
      </c>
      <c r="J96" s="27">
        <v>40</v>
      </c>
      <c r="K96" s="27" t="s">
        <v>144</v>
      </c>
    </row>
    <row r="97" s="21" customFormat="1">
      <c r="A97" s="27">
        <v>90</v>
      </c>
      <c r="B97" s="27">
        <v>492021</v>
      </c>
      <c r="C97" s="27">
        <v>6</v>
      </c>
      <c r="D97" s="27">
        <v>8</v>
      </c>
      <c r="E97" s="27">
        <v>3</v>
      </c>
      <c r="F97" s="31" t="s">
        <v>145</v>
      </c>
      <c r="G97" s="27"/>
      <c r="H97" s="27">
        <v>0</v>
      </c>
      <c r="I97" s="27">
        <v>20</v>
      </c>
      <c r="J97" s="27">
        <v>40</v>
      </c>
      <c r="K97" s="27" t="s">
        <v>146</v>
      </c>
    </row>
    <row r="98" s="21" customFormat="1">
      <c r="A98" s="27">
        <v>91</v>
      </c>
      <c r="B98" s="27">
        <v>492024</v>
      </c>
      <c r="C98" s="27">
        <v>6</v>
      </c>
      <c r="D98" s="27">
        <v>8</v>
      </c>
      <c r="E98" s="27">
        <v>3</v>
      </c>
      <c r="F98" s="31" t="s">
        <v>147</v>
      </c>
      <c r="G98" s="27"/>
      <c r="H98" s="27">
        <v>0</v>
      </c>
      <c r="I98" s="27">
        <v>20</v>
      </c>
      <c r="J98" s="27">
        <v>40</v>
      </c>
      <c r="K98" s="27" t="s">
        <v>148</v>
      </c>
    </row>
    <row r="99" s="21" customFormat="1">
      <c r="A99" s="27">
        <v>92</v>
      </c>
      <c r="B99" s="27">
        <v>492022</v>
      </c>
      <c r="C99" s="27">
        <v>6</v>
      </c>
      <c r="D99" s="27">
        <v>9</v>
      </c>
      <c r="E99" s="27">
        <v>3</v>
      </c>
      <c r="F99" s="31" t="s">
        <v>149</v>
      </c>
      <c r="G99" s="27"/>
      <c r="H99" s="27">
        <v>0</v>
      </c>
      <c r="I99" s="27">
        <v>20</v>
      </c>
      <c r="J99" s="27">
        <v>40</v>
      </c>
      <c r="K99" s="27" t="s">
        <v>150</v>
      </c>
    </row>
    <row r="100" s="21" customFormat="1">
      <c r="A100" s="27">
        <v>93</v>
      </c>
      <c r="B100" s="27">
        <v>492023</v>
      </c>
      <c r="C100" s="27">
        <v>6</v>
      </c>
      <c r="D100" s="27">
        <v>9</v>
      </c>
      <c r="E100" s="27">
        <v>3</v>
      </c>
      <c r="F100" s="31" t="s">
        <v>151</v>
      </c>
      <c r="G100" s="27"/>
      <c r="H100" s="27">
        <v>0</v>
      </c>
      <c r="I100" s="27">
        <v>20</v>
      </c>
      <c r="J100" s="27">
        <v>40</v>
      </c>
      <c r="K100" s="27" t="s">
        <v>152</v>
      </c>
    </row>
    <row r="101" s="21" customFormat="1">
      <c r="A101" s="30">
        <v>94</v>
      </c>
      <c r="B101" s="30">
        <v>491025</v>
      </c>
      <c r="C101" s="30">
        <v>6</v>
      </c>
      <c r="D101" s="30">
        <v>9</v>
      </c>
      <c r="E101" s="30">
        <v>3</v>
      </c>
      <c r="F101" s="31" t="s">
        <v>153</v>
      </c>
      <c r="G101" s="30"/>
      <c r="H101" s="30">
        <v>0</v>
      </c>
      <c r="I101" s="30">
        <v>20</v>
      </c>
      <c r="J101" s="30">
        <v>40</v>
      </c>
      <c r="K101" s="30" t="s">
        <v>154</v>
      </c>
    </row>
    <row r="102" s="21" customFormat="1">
      <c r="A102" s="27">
        <v>95</v>
      </c>
      <c r="B102" s="27">
        <v>441004</v>
      </c>
      <c r="C102" s="27">
        <v>6</v>
      </c>
      <c r="D102" s="27">
        <v>10</v>
      </c>
      <c r="E102" s="27">
        <v>4</v>
      </c>
      <c r="F102" s="32" t="s">
        <v>155</v>
      </c>
      <c r="G102" s="27"/>
      <c r="H102" s="27">
        <v>0</v>
      </c>
      <c r="I102" s="27">
        <v>50</v>
      </c>
      <c r="J102" s="27">
        <v>100</v>
      </c>
      <c r="K102" s="27" t="s">
        <v>156</v>
      </c>
    </row>
    <row r="103" s="21" customFormat="1">
      <c r="A103" s="27">
        <v>96</v>
      </c>
      <c r="B103" s="27">
        <v>492013</v>
      </c>
      <c r="C103" s="27">
        <v>6</v>
      </c>
      <c r="D103" s="27">
        <v>10</v>
      </c>
      <c r="E103" s="27">
        <v>4</v>
      </c>
      <c r="F103" s="32" t="s">
        <v>157</v>
      </c>
      <c r="G103" s="27"/>
      <c r="H103" s="27">
        <v>0</v>
      </c>
      <c r="I103" s="27">
        <v>50</v>
      </c>
      <c r="J103" s="27">
        <v>100</v>
      </c>
      <c r="K103" s="27" t="s">
        <v>158</v>
      </c>
    </row>
    <row r="104" ht="16.5" s="21" customFormat="1">
      <c r="A104" s="27">
        <v>97</v>
      </c>
      <c r="B104" s="27">
        <v>492011</v>
      </c>
      <c r="C104" s="27">
        <v>6</v>
      </c>
      <c r="D104" s="27">
        <v>10</v>
      </c>
      <c r="E104" s="27">
        <v>4</v>
      </c>
      <c r="F104" s="32" t="s">
        <v>159</v>
      </c>
      <c r="G104" s="27"/>
      <c r="H104" s="27">
        <v>0</v>
      </c>
      <c r="I104" s="27">
        <v>50</v>
      </c>
      <c r="J104" s="27">
        <v>100</v>
      </c>
      <c r="K104" s="27" t="s">
        <v>160</v>
      </c>
      <c r="L104" s="35"/>
      <c r="M104" s="35"/>
      <c r="N104" s="35"/>
      <c r="O104" s="35"/>
      <c r="P104" s="35"/>
      <c r="Q104" s="35"/>
    </row>
    <row r="105" ht="16.5" s="21" customFormat="1">
      <c r="A105" s="27">
        <v>98</v>
      </c>
      <c r="B105" s="27">
        <v>492014</v>
      </c>
      <c r="C105" s="27">
        <v>6</v>
      </c>
      <c r="D105" s="27">
        <v>11</v>
      </c>
      <c r="E105" s="27">
        <v>4</v>
      </c>
      <c r="F105" s="32" t="s">
        <v>161</v>
      </c>
      <c r="G105" s="27"/>
      <c r="H105" s="27">
        <v>0</v>
      </c>
      <c r="I105" s="27">
        <v>50</v>
      </c>
      <c r="J105" s="27">
        <v>100</v>
      </c>
      <c r="K105" s="27" t="s">
        <v>162</v>
      </c>
      <c r="L105" s="35"/>
      <c r="M105" s="35"/>
      <c r="N105" s="35"/>
      <c r="O105" s="35"/>
      <c r="P105" s="35"/>
      <c r="Q105" s="35"/>
    </row>
    <row r="106" ht="16.5" s="21" customFormat="1">
      <c r="A106" s="27">
        <v>99</v>
      </c>
      <c r="B106" s="27">
        <v>492012</v>
      </c>
      <c r="C106" s="27">
        <v>6</v>
      </c>
      <c r="D106" s="27">
        <v>11</v>
      </c>
      <c r="E106" s="27">
        <v>4</v>
      </c>
      <c r="F106" s="32" t="s">
        <v>163</v>
      </c>
      <c r="G106" s="27"/>
      <c r="H106" s="27">
        <v>0</v>
      </c>
      <c r="I106" s="27">
        <v>50</v>
      </c>
      <c r="J106" s="27">
        <v>100</v>
      </c>
      <c r="K106" s="27" t="s">
        <v>164</v>
      </c>
      <c r="L106" s="35"/>
      <c r="M106" s="35"/>
      <c r="N106" s="35"/>
      <c r="O106" s="35"/>
      <c r="P106" s="35"/>
      <c r="Q106" s="35"/>
    </row>
    <row r="107" ht="16.5" s="21" customFormat="1">
      <c r="A107" s="27">
        <v>100</v>
      </c>
      <c r="B107" s="27">
        <v>492009</v>
      </c>
      <c r="C107" s="27">
        <v>6</v>
      </c>
      <c r="D107" s="27">
        <v>11</v>
      </c>
      <c r="E107" s="27">
        <v>4</v>
      </c>
      <c r="F107" s="32" t="s">
        <v>165</v>
      </c>
      <c r="G107" s="27"/>
      <c r="H107" s="27">
        <v>0</v>
      </c>
      <c r="I107" s="27">
        <v>50</v>
      </c>
      <c r="J107" s="27">
        <v>100</v>
      </c>
      <c r="K107" s="27" t="s">
        <v>166</v>
      </c>
      <c r="L107" s="35"/>
      <c r="N107" s="35"/>
      <c r="O107" s="35"/>
      <c r="P107" s="35"/>
      <c r="Q107" s="35"/>
    </row>
    <row r="108" ht="16.5" s="21" customFormat="1">
      <c r="A108" s="27">
        <v>101</v>
      </c>
      <c r="B108" s="27">
        <v>492015</v>
      </c>
      <c r="C108" s="27">
        <v>6</v>
      </c>
      <c r="D108" s="27">
        <v>12</v>
      </c>
      <c r="E108" s="27">
        <v>4</v>
      </c>
      <c r="F108" s="33" t="s">
        <v>167</v>
      </c>
      <c r="G108" s="27"/>
      <c r="H108" s="27">
        <v>0</v>
      </c>
      <c r="I108" s="27">
        <v>50</v>
      </c>
      <c r="J108" s="27">
        <v>100</v>
      </c>
      <c r="K108" s="27" t="s">
        <v>168</v>
      </c>
      <c r="L108" s="35"/>
      <c r="N108" s="35"/>
      <c r="O108" s="35"/>
      <c r="P108" s="35"/>
      <c r="Q108" s="35"/>
    </row>
    <row r="109" ht="16.5" s="21" customFormat="1">
      <c r="A109" s="27">
        <v>102</v>
      </c>
      <c r="B109" s="27">
        <v>492016</v>
      </c>
      <c r="C109" s="27">
        <v>6</v>
      </c>
      <c r="D109" s="27">
        <v>12</v>
      </c>
      <c r="E109" s="27">
        <v>4</v>
      </c>
      <c r="F109" s="33" t="s">
        <v>169</v>
      </c>
      <c r="G109" s="27"/>
      <c r="H109" s="27">
        <v>0</v>
      </c>
      <c r="I109" s="27">
        <v>50</v>
      </c>
      <c r="J109" s="27">
        <v>100</v>
      </c>
      <c r="K109" s="27" t="s">
        <v>170</v>
      </c>
      <c r="N109" s="35"/>
      <c r="O109" s="35"/>
      <c r="P109" s="35"/>
      <c r="Q109" s="35"/>
    </row>
    <row r="110" ht="16.5" s="21" customFormat="1">
      <c r="A110" s="27">
        <v>2002</v>
      </c>
      <c r="B110" s="27">
        <v>492010</v>
      </c>
      <c r="C110" s="27">
        <v>6</v>
      </c>
      <c r="D110" s="27">
        <v>12</v>
      </c>
      <c r="E110" s="27">
        <v>4</v>
      </c>
      <c r="F110" s="33" t="s">
        <v>171</v>
      </c>
      <c r="G110" s="27"/>
      <c r="H110" s="27">
        <v>0</v>
      </c>
      <c r="I110" s="27">
        <v>50</v>
      </c>
      <c r="J110" s="27">
        <v>100</v>
      </c>
      <c r="K110" s="27" t="s">
        <v>172</v>
      </c>
      <c r="N110" s="36"/>
      <c r="O110" s="36"/>
      <c r="P110" s="36"/>
      <c r="Q110" s="36"/>
    </row>
    <row r="111" s="21" customFormat="1">
      <c r="A111" s="30">
        <v>103</v>
      </c>
      <c r="B111" s="30">
        <v>492025</v>
      </c>
      <c r="C111" s="30">
        <v>6</v>
      </c>
      <c r="D111" s="30">
        <v>12</v>
      </c>
      <c r="E111" s="30">
        <v>4</v>
      </c>
      <c r="F111" s="29" t="s">
        <v>173</v>
      </c>
      <c r="G111" s="30"/>
      <c r="H111" s="30">
        <v>0</v>
      </c>
      <c r="I111" s="30">
        <v>50</v>
      </c>
      <c r="J111" s="30">
        <v>100</v>
      </c>
      <c r="K111" s="30" t="s">
        <v>174</v>
      </c>
    </row>
    <row r="112" s="21" customFormat="1">
      <c r="A112" s="27">
        <v>104</v>
      </c>
      <c r="B112" s="27">
        <v>441005</v>
      </c>
      <c r="C112" s="27">
        <v>6</v>
      </c>
      <c r="D112" s="27">
        <v>13</v>
      </c>
      <c r="E112" s="27">
        <v>5</v>
      </c>
      <c r="F112" s="29" t="s">
        <v>173</v>
      </c>
      <c r="G112" s="27"/>
      <c r="H112" s="27">
        <v>0</v>
      </c>
      <c r="I112" s="30">
        <v>50</v>
      </c>
      <c r="J112" s="30">
        <v>100</v>
      </c>
      <c r="K112" s="27" t="s">
        <v>175</v>
      </c>
      <c r="Q112" s="24"/>
    </row>
    <row r="113">
      <c r="A113" s="0">
        <v>105</v>
      </c>
      <c r="B113" s="1">
        <v>511007</v>
      </c>
      <c r="C113" s="0">
        <v>5</v>
      </c>
      <c r="D113" s="0">
        <v>1</v>
      </c>
      <c r="E113" s="0">
        <v>1</v>
      </c>
      <c r="F113" s="0" t="s">
        <v>176</v>
      </c>
      <c r="H113" s="0">
        <v>0</v>
      </c>
      <c r="I113" s="0">
        <v>1</v>
      </c>
      <c r="J113" s="0">
        <v>10</v>
      </c>
      <c r="K113" s="0" t="s">
        <v>177</v>
      </c>
      <c r="L113" s="24">
        <v>511007</v>
      </c>
      <c r="M113" s="0">
        <v>511006</v>
      </c>
      <c r="N113" s="0">
        <v>511003</v>
      </c>
      <c r="O113" s="0">
        <v>511001</v>
      </c>
      <c r="P113" s="0">
        <v>10</v>
      </c>
      <c r="Q113" s="0">
        <v>1</v>
      </c>
      <c r="R113" s="0">
        <v>3</v>
      </c>
      <c r="S113" s="0" t="str">
        <f>"1001,"&amp;M113&amp;","&amp;P113&amp;";1001,"&amp;N113&amp;","&amp;Q113&amp;"1001,"&amp;O113&amp;","&amp;R113</f>
        <v>1001,511006,10;1001,511003,11001,511001,3</v>
      </c>
    </row>
    <row r="114">
      <c r="A114" s="0">
        <v>106</v>
      </c>
      <c r="B114" s="0">
        <v>511010</v>
      </c>
      <c r="C114" s="0">
        <v>5</v>
      </c>
      <c r="D114" s="0">
        <v>1</v>
      </c>
      <c r="E114" s="0">
        <v>1</v>
      </c>
      <c r="F114" s="0" t="s">
        <v>178</v>
      </c>
      <c r="H114" s="0">
        <v>0</v>
      </c>
      <c r="I114" s="0">
        <v>1</v>
      </c>
      <c r="J114" s="0">
        <v>15</v>
      </c>
      <c r="K114" s="0" t="s">
        <v>179</v>
      </c>
      <c r="L114" s="24">
        <v>511010</v>
      </c>
      <c r="M114" s="0">
        <v>511009</v>
      </c>
      <c r="N114" s="0">
        <v>511005</v>
      </c>
      <c r="O114" s="0">
        <v>511003</v>
      </c>
      <c r="P114" s="0">
        <v>10</v>
      </c>
      <c r="Q114" s="0">
        <v>3</v>
      </c>
      <c r="R114" s="0">
        <v>1</v>
      </c>
      <c r="S114" s="0" t="str">
        <f>"1001,"&amp;M114&amp;","&amp;P114&amp;";1001,"&amp;N114&amp;","&amp;Q114&amp;"1001,"&amp;O114&amp;","&amp;R114</f>
        <v>1001,511009,10;1001,511005,31001,511003,1</v>
      </c>
    </row>
    <row r="115">
      <c r="A115" s="0">
        <v>107</v>
      </c>
      <c r="B115" s="0">
        <v>511022</v>
      </c>
      <c r="C115" s="0">
        <v>5</v>
      </c>
      <c r="D115" s="0">
        <v>1</v>
      </c>
      <c r="E115" s="0">
        <v>1</v>
      </c>
      <c r="F115" s="0" t="s">
        <v>180</v>
      </c>
      <c r="H115" s="0">
        <v>0</v>
      </c>
      <c r="I115" s="0">
        <v>1</v>
      </c>
      <c r="J115" s="0">
        <v>20</v>
      </c>
      <c r="K115" s="0" t="s">
        <v>181</v>
      </c>
      <c r="L115" s="24">
        <v>511022</v>
      </c>
      <c r="M115" s="0">
        <v>511018</v>
      </c>
      <c r="N115" s="0">
        <v>511012</v>
      </c>
      <c r="O115" s="0">
        <v>511003</v>
      </c>
      <c r="P115" s="0">
        <v>10</v>
      </c>
      <c r="Q115" s="0">
        <v>2</v>
      </c>
      <c r="R115" s="0">
        <v>2</v>
      </c>
      <c r="S115" s="0" t="str">
        <f>"1001,"&amp;M115&amp;","&amp;P115&amp;";1001,"&amp;N115&amp;","&amp;Q115&amp;"1001,"&amp;O115&amp;","&amp;R115</f>
        <v>1001,511018,10;1001,511012,21001,511003,2</v>
      </c>
    </row>
    <row r="116">
      <c r="A116" s="0">
        <v>108</v>
      </c>
      <c r="B116" s="0">
        <v>511021</v>
      </c>
      <c r="C116" s="0">
        <v>5</v>
      </c>
      <c r="D116" s="0">
        <v>1</v>
      </c>
      <c r="E116" s="0">
        <v>1</v>
      </c>
      <c r="F116" s="0" t="s">
        <v>182</v>
      </c>
      <c r="H116" s="0">
        <v>0</v>
      </c>
      <c r="I116" s="0">
        <v>1</v>
      </c>
      <c r="J116" s="0">
        <v>10</v>
      </c>
      <c r="K116" s="0" t="s">
        <v>183</v>
      </c>
      <c r="L116" s="24">
        <v>511021</v>
      </c>
      <c r="M116" s="0">
        <v>511006</v>
      </c>
      <c r="N116" s="0">
        <v>511019</v>
      </c>
      <c r="O116" s="0">
        <v>511003</v>
      </c>
      <c r="P116" s="0">
        <v>10</v>
      </c>
      <c r="Q116" s="0">
        <v>3</v>
      </c>
      <c r="R116" s="0">
        <v>1</v>
      </c>
      <c r="S116" s="0" t="str">
        <f>"1001,"&amp;M116&amp;","&amp;P116&amp;";1001,"&amp;N116&amp;","&amp;Q116&amp;"1001,"&amp;O116&amp;","&amp;R116</f>
        <v>1001,511006,10;1001,511019,31001,511003,1</v>
      </c>
    </row>
    <row r="117">
      <c r="A117" s="0">
        <v>109</v>
      </c>
      <c r="B117" s="0">
        <v>511013</v>
      </c>
      <c r="C117" s="0">
        <v>5</v>
      </c>
      <c r="D117" s="0">
        <v>1</v>
      </c>
      <c r="E117" s="0">
        <v>1</v>
      </c>
      <c r="F117" s="0" t="s">
        <v>184</v>
      </c>
      <c r="H117" s="0">
        <v>0</v>
      </c>
      <c r="I117" s="0">
        <v>1</v>
      </c>
      <c r="J117" s="0">
        <v>15</v>
      </c>
      <c r="K117" s="0" t="s">
        <v>185</v>
      </c>
      <c r="L117" s="24">
        <v>511013</v>
      </c>
      <c r="M117" s="0">
        <v>511009</v>
      </c>
      <c r="N117" s="0">
        <v>511012</v>
      </c>
      <c r="O117" s="0">
        <v>511005</v>
      </c>
      <c r="P117" s="0">
        <v>10</v>
      </c>
      <c r="Q117" s="0">
        <v>2</v>
      </c>
      <c r="R117" s="0">
        <v>2</v>
      </c>
      <c r="S117" s="0" t="str">
        <f>"1001,"&amp;M117&amp;","&amp;P117&amp;";1001,"&amp;N117&amp;","&amp;Q117&amp;"1001,"&amp;O117&amp;","&amp;R117</f>
        <v>1001,511009,10;1001,511012,21001,511005,2</v>
      </c>
    </row>
    <row r="118">
      <c r="A118" s="0">
        <v>110</v>
      </c>
      <c r="B118" s="0">
        <v>511014</v>
      </c>
      <c r="C118" s="0">
        <v>5</v>
      </c>
      <c r="D118" s="0">
        <v>1</v>
      </c>
      <c r="E118" s="0">
        <v>1</v>
      </c>
      <c r="F118" s="0" t="s">
        <v>186</v>
      </c>
      <c r="H118" s="0">
        <v>0</v>
      </c>
      <c r="I118" s="0">
        <v>2</v>
      </c>
      <c r="J118" s="0">
        <v>200</v>
      </c>
      <c r="K118" s="0" t="s">
        <v>187</v>
      </c>
      <c r="L118" s="24">
        <v>511014</v>
      </c>
      <c r="M118" s="0">
        <v>511015</v>
      </c>
      <c r="N118" s="0">
        <v>511013</v>
      </c>
      <c r="P118" s="0">
        <v>5</v>
      </c>
      <c r="Q118" s="0">
        <v>8</v>
      </c>
      <c r="S118" s="0" t="str">
        <f ref="S118:S123" t="shared" si="0">"1001,"&amp;M118&amp;","&amp;P118&amp;";1001,"&amp;N118&amp;","&amp;Q118</f>
        <v>1001,511015,5;1001,511013,8</v>
      </c>
    </row>
    <row r="119">
      <c r="A119" s="0">
        <v>111</v>
      </c>
      <c r="B119" s="0">
        <v>511025</v>
      </c>
      <c r="C119" s="0">
        <v>5</v>
      </c>
      <c r="D119" s="0">
        <v>1</v>
      </c>
      <c r="E119" s="0">
        <v>1</v>
      </c>
      <c r="F119" s="0" t="s">
        <v>188</v>
      </c>
      <c r="H119" s="0">
        <v>0</v>
      </c>
      <c r="I119" s="0">
        <v>2</v>
      </c>
      <c r="J119" s="0">
        <v>200</v>
      </c>
      <c r="K119" s="0" t="s">
        <v>189</v>
      </c>
      <c r="L119" s="24">
        <v>511025</v>
      </c>
      <c r="M119" s="0">
        <v>511020</v>
      </c>
      <c r="N119" s="0">
        <v>511022</v>
      </c>
      <c r="P119" s="0">
        <v>5</v>
      </c>
      <c r="Q119" s="0">
        <v>8</v>
      </c>
      <c r="S119" s="0" t="str">
        <f t="shared" si="0"/>
        <v>1001,511020,5;1001,511022,8</v>
      </c>
    </row>
    <row r="120">
      <c r="A120" s="0">
        <v>112</v>
      </c>
      <c r="B120" s="0">
        <v>511023</v>
      </c>
      <c r="C120" s="0">
        <v>5</v>
      </c>
      <c r="D120" s="0">
        <v>1</v>
      </c>
      <c r="E120" s="0">
        <v>1</v>
      </c>
      <c r="F120" s="0" t="s">
        <v>190</v>
      </c>
      <c r="H120" s="0">
        <v>0</v>
      </c>
      <c r="I120" s="0">
        <v>2</v>
      </c>
      <c r="J120" s="0">
        <v>150</v>
      </c>
      <c r="K120" s="0" t="s">
        <v>191</v>
      </c>
      <c r="L120" s="24">
        <v>511023</v>
      </c>
      <c r="M120" s="0">
        <v>511022</v>
      </c>
      <c r="N120" s="0">
        <v>511021</v>
      </c>
      <c r="P120" s="0">
        <v>5</v>
      </c>
      <c r="Q120" s="0">
        <v>8</v>
      </c>
      <c r="S120" s="0" t="str">
        <f t="shared" si="0"/>
        <v>1001,511022,5;1001,511021,8</v>
      </c>
    </row>
    <row r="121">
      <c r="A121" s="0">
        <v>113</v>
      </c>
      <c r="B121" s="0">
        <v>511024</v>
      </c>
      <c r="C121" s="0">
        <v>5</v>
      </c>
      <c r="D121" s="0">
        <v>1</v>
      </c>
      <c r="E121" s="0">
        <v>1</v>
      </c>
      <c r="F121" s="0" t="s">
        <v>192</v>
      </c>
      <c r="H121" s="0">
        <v>0</v>
      </c>
      <c r="I121" s="0">
        <v>2</v>
      </c>
      <c r="J121" s="0">
        <v>100</v>
      </c>
      <c r="K121" s="0" t="s">
        <v>193</v>
      </c>
      <c r="L121" s="24">
        <v>511024</v>
      </c>
      <c r="M121" s="34">
        <v>511010</v>
      </c>
      <c r="N121" s="0">
        <v>511021</v>
      </c>
      <c r="P121" s="0">
        <v>5</v>
      </c>
      <c r="Q121" s="0">
        <v>8</v>
      </c>
      <c r="S121" s="0" t="str">
        <f t="shared" si="0"/>
        <v>1001,511010,5;1001,511021,8</v>
      </c>
    </row>
    <row r="122">
      <c r="A122" s="0">
        <v>114</v>
      </c>
      <c r="B122" s="0">
        <v>511017</v>
      </c>
      <c r="C122" s="0">
        <v>5</v>
      </c>
      <c r="D122" s="0">
        <v>1</v>
      </c>
      <c r="E122" s="0">
        <v>1</v>
      </c>
      <c r="F122" s="0" t="s">
        <v>194</v>
      </c>
      <c r="H122" s="0">
        <v>0</v>
      </c>
      <c r="I122" s="0">
        <v>2</v>
      </c>
      <c r="J122" s="0">
        <v>50</v>
      </c>
      <c r="K122" s="0" t="s">
        <v>195</v>
      </c>
      <c r="L122" s="24">
        <v>511017</v>
      </c>
      <c r="M122" s="34">
        <v>511007</v>
      </c>
      <c r="N122" s="0">
        <v>511013</v>
      </c>
      <c r="P122" s="0">
        <v>5</v>
      </c>
      <c r="Q122" s="0">
        <v>8</v>
      </c>
      <c r="S122" s="0" t="str">
        <f t="shared" si="0"/>
        <v>1001,511007,5;1001,511013,8</v>
      </c>
    </row>
    <row r="123">
      <c r="A123" s="0">
        <v>115</v>
      </c>
      <c r="B123" s="0">
        <v>511008</v>
      </c>
      <c r="C123" s="0">
        <v>5</v>
      </c>
      <c r="D123" s="0">
        <v>1</v>
      </c>
      <c r="E123" s="0">
        <v>1</v>
      </c>
      <c r="F123" s="0" t="s">
        <v>196</v>
      </c>
      <c r="H123" s="0">
        <v>0</v>
      </c>
      <c r="I123" s="0">
        <v>2</v>
      </c>
      <c r="J123" s="0">
        <v>50</v>
      </c>
      <c r="K123" s="0" t="s">
        <v>197</v>
      </c>
      <c r="L123" s="24">
        <v>511008</v>
      </c>
      <c r="M123" s="34">
        <v>511007</v>
      </c>
      <c r="N123" s="0">
        <v>511010</v>
      </c>
      <c r="P123" s="0">
        <v>5</v>
      </c>
      <c r="Q123" s="0">
        <v>8</v>
      </c>
      <c r="S123" s="0" t="str">
        <f t="shared" si="0"/>
        <v>1001,511007,5;1001,511010,8</v>
      </c>
    </row>
    <row r="124">
      <c r="A124" s="0">
        <v>116</v>
      </c>
      <c r="B124" s="0">
        <v>512007</v>
      </c>
      <c r="C124" s="0">
        <v>5</v>
      </c>
      <c r="D124" s="0">
        <v>2</v>
      </c>
      <c r="E124" s="0">
        <v>1</v>
      </c>
      <c r="F124" s="0" t="s">
        <v>198</v>
      </c>
      <c r="H124" s="0">
        <v>0</v>
      </c>
      <c r="I124" s="0">
        <v>1</v>
      </c>
      <c r="J124" s="0">
        <v>15</v>
      </c>
    </row>
    <row r="125">
      <c r="A125" s="0">
        <v>117</v>
      </c>
      <c r="B125" s="0">
        <v>512010</v>
      </c>
      <c r="C125" s="0">
        <v>5</v>
      </c>
      <c r="D125" s="0">
        <v>2</v>
      </c>
      <c r="E125" s="0">
        <v>1</v>
      </c>
      <c r="F125" s="0" t="s">
        <v>199</v>
      </c>
      <c r="H125" s="0">
        <v>0</v>
      </c>
      <c r="I125" s="0">
        <v>1</v>
      </c>
      <c r="J125" s="0">
        <v>20</v>
      </c>
    </row>
    <row r="126">
      <c r="A126" s="0">
        <v>118</v>
      </c>
      <c r="B126" s="0">
        <v>512022</v>
      </c>
      <c r="C126" s="0">
        <v>5</v>
      </c>
      <c r="D126" s="0">
        <v>2</v>
      </c>
      <c r="E126" s="0">
        <v>1</v>
      </c>
      <c r="F126" s="0" t="s">
        <v>200</v>
      </c>
      <c r="H126" s="0">
        <v>0</v>
      </c>
      <c r="I126" s="0">
        <v>1</v>
      </c>
      <c r="J126" s="0">
        <v>25</v>
      </c>
    </row>
    <row r="127">
      <c r="A127" s="0">
        <v>119</v>
      </c>
      <c r="B127" s="0">
        <v>512021</v>
      </c>
      <c r="C127" s="0">
        <v>5</v>
      </c>
      <c r="D127" s="0">
        <v>2</v>
      </c>
      <c r="E127" s="0">
        <v>1</v>
      </c>
      <c r="F127" s="0" t="s">
        <v>201</v>
      </c>
      <c r="H127" s="0">
        <v>0</v>
      </c>
      <c r="I127" s="0">
        <v>1</v>
      </c>
      <c r="J127" s="0">
        <v>15</v>
      </c>
    </row>
    <row r="128">
      <c r="A128" s="0">
        <v>120</v>
      </c>
      <c r="B128" s="0">
        <v>512013</v>
      </c>
      <c r="C128" s="0">
        <v>5</v>
      </c>
      <c r="D128" s="0">
        <v>2</v>
      </c>
      <c r="E128" s="0">
        <v>1</v>
      </c>
      <c r="F128" s="0" t="s">
        <v>202</v>
      </c>
      <c r="H128" s="0">
        <v>0</v>
      </c>
      <c r="I128" s="0">
        <v>1</v>
      </c>
      <c r="J128" s="0">
        <v>20</v>
      </c>
    </row>
    <row r="129">
      <c r="A129" s="0">
        <v>121</v>
      </c>
      <c r="B129" s="0">
        <v>512014</v>
      </c>
      <c r="C129" s="0">
        <v>5</v>
      </c>
      <c r="D129" s="0">
        <v>2</v>
      </c>
      <c r="E129" s="0">
        <v>1</v>
      </c>
      <c r="F129" s="0" t="s">
        <v>203</v>
      </c>
      <c r="H129" s="0">
        <v>0</v>
      </c>
      <c r="I129" s="0">
        <v>2</v>
      </c>
      <c r="J129" s="0">
        <v>250</v>
      </c>
    </row>
    <row r="130">
      <c r="A130" s="0">
        <v>122</v>
      </c>
      <c r="B130" s="0">
        <v>512025</v>
      </c>
      <c r="C130" s="0">
        <v>5</v>
      </c>
      <c r="D130" s="0">
        <v>2</v>
      </c>
      <c r="E130" s="0">
        <v>1</v>
      </c>
      <c r="F130" s="0" t="s">
        <v>204</v>
      </c>
      <c r="H130" s="0">
        <v>0</v>
      </c>
      <c r="I130" s="0">
        <v>2</v>
      </c>
      <c r="J130" s="0">
        <v>250</v>
      </c>
    </row>
    <row r="131">
      <c r="A131" s="0">
        <v>123</v>
      </c>
      <c r="B131" s="0">
        <v>512023</v>
      </c>
      <c r="C131" s="0">
        <v>5</v>
      </c>
      <c r="D131" s="0">
        <v>2</v>
      </c>
      <c r="E131" s="0">
        <v>1</v>
      </c>
      <c r="F131" s="0" t="s">
        <v>205</v>
      </c>
      <c r="H131" s="0">
        <v>0</v>
      </c>
      <c r="I131" s="0">
        <v>2</v>
      </c>
      <c r="J131" s="0">
        <v>200</v>
      </c>
    </row>
    <row r="132">
      <c r="A132" s="0">
        <v>124</v>
      </c>
      <c r="B132" s="0">
        <v>512024</v>
      </c>
      <c r="C132" s="0">
        <v>5</v>
      </c>
      <c r="D132" s="0">
        <v>2</v>
      </c>
      <c r="E132" s="0">
        <v>1</v>
      </c>
      <c r="F132" s="0" t="s">
        <v>206</v>
      </c>
      <c r="H132" s="0">
        <v>0</v>
      </c>
      <c r="I132" s="0">
        <v>2</v>
      </c>
      <c r="J132" s="0">
        <v>150</v>
      </c>
    </row>
    <row r="133">
      <c r="A133" s="0">
        <v>125</v>
      </c>
      <c r="B133" s="0">
        <v>512017</v>
      </c>
      <c r="C133" s="0">
        <v>5</v>
      </c>
      <c r="D133" s="0">
        <v>2</v>
      </c>
      <c r="E133" s="0">
        <v>1</v>
      </c>
      <c r="F133" s="0" t="s">
        <v>207</v>
      </c>
      <c r="H133" s="0">
        <v>0</v>
      </c>
      <c r="I133" s="0">
        <v>2</v>
      </c>
      <c r="J133" s="0">
        <v>100</v>
      </c>
    </row>
    <row r="134">
      <c r="A134" s="0">
        <v>126</v>
      </c>
      <c r="B134" s="0">
        <v>512008</v>
      </c>
      <c r="C134" s="0">
        <v>5</v>
      </c>
      <c r="D134" s="0">
        <v>2</v>
      </c>
      <c r="E134" s="0">
        <v>1</v>
      </c>
      <c r="F134" s="0" t="s">
        <v>208</v>
      </c>
      <c r="H134" s="0">
        <v>0</v>
      </c>
      <c r="I134" s="0">
        <v>2</v>
      </c>
      <c r="J134" s="0">
        <v>100</v>
      </c>
    </row>
    <row r="135">
      <c r="A135" s="0">
        <v>127</v>
      </c>
      <c r="B135" s="0">
        <v>513007</v>
      </c>
      <c r="C135" s="0">
        <v>5</v>
      </c>
      <c r="D135" s="0">
        <v>3</v>
      </c>
      <c r="E135" s="0">
        <v>1</v>
      </c>
      <c r="F135" s="0" t="s">
        <v>209</v>
      </c>
      <c r="H135" s="0">
        <v>0</v>
      </c>
      <c r="I135" s="0">
        <v>1</v>
      </c>
      <c r="J135" s="0">
        <v>20</v>
      </c>
    </row>
    <row r="136">
      <c r="A136" s="0">
        <v>128</v>
      </c>
      <c r="B136" s="0">
        <v>513010</v>
      </c>
      <c r="C136" s="0">
        <v>5</v>
      </c>
      <c r="D136" s="0">
        <v>3</v>
      </c>
      <c r="E136" s="0">
        <v>1</v>
      </c>
      <c r="F136" s="0" t="s">
        <v>210</v>
      </c>
      <c r="H136" s="0">
        <v>0</v>
      </c>
      <c r="I136" s="0">
        <v>1</v>
      </c>
      <c r="J136" s="0">
        <v>25</v>
      </c>
    </row>
    <row r="137">
      <c r="A137" s="0">
        <v>129</v>
      </c>
      <c r="B137" s="0">
        <v>513022</v>
      </c>
      <c r="C137" s="0">
        <v>5</v>
      </c>
      <c r="D137" s="0">
        <v>3</v>
      </c>
      <c r="E137" s="0">
        <v>1</v>
      </c>
      <c r="F137" s="0" t="s">
        <v>211</v>
      </c>
      <c r="H137" s="0">
        <v>0</v>
      </c>
      <c r="I137" s="0">
        <v>1</v>
      </c>
      <c r="J137" s="0">
        <v>30</v>
      </c>
    </row>
    <row r="138">
      <c r="A138" s="0">
        <v>130</v>
      </c>
      <c r="B138" s="0">
        <v>513021</v>
      </c>
      <c r="C138" s="0">
        <v>5</v>
      </c>
      <c r="D138" s="0">
        <v>3</v>
      </c>
      <c r="E138" s="0">
        <v>1</v>
      </c>
      <c r="F138" s="0" t="s">
        <v>212</v>
      </c>
      <c r="H138" s="0">
        <v>0</v>
      </c>
      <c r="I138" s="0">
        <v>1</v>
      </c>
      <c r="J138" s="0">
        <v>20</v>
      </c>
    </row>
    <row r="139">
      <c r="A139" s="0">
        <v>131</v>
      </c>
      <c r="B139" s="0">
        <v>513013</v>
      </c>
      <c r="C139" s="0">
        <v>5</v>
      </c>
      <c r="D139" s="0">
        <v>3</v>
      </c>
      <c r="E139" s="0">
        <v>1</v>
      </c>
      <c r="F139" s="0" t="s">
        <v>213</v>
      </c>
      <c r="H139" s="0">
        <v>0</v>
      </c>
      <c r="I139" s="0">
        <v>1</v>
      </c>
      <c r="J139" s="0">
        <v>25</v>
      </c>
    </row>
    <row r="140">
      <c r="A140" s="0">
        <v>132</v>
      </c>
      <c r="B140" s="0">
        <v>513014</v>
      </c>
      <c r="C140" s="0">
        <v>5</v>
      </c>
      <c r="D140" s="0">
        <v>3</v>
      </c>
      <c r="E140" s="0">
        <v>1</v>
      </c>
      <c r="F140" s="0" t="s">
        <v>214</v>
      </c>
      <c r="H140" s="0">
        <v>0</v>
      </c>
      <c r="I140" s="0">
        <v>2</v>
      </c>
      <c r="J140" s="0">
        <v>300</v>
      </c>
    </row>
    <row r="141">
      <c r="A141" s="0">
        <v>133</v>
      </c>
      <c r="B141" s="0">
        <v>513025</v>
      </c>
      <c r="C141" s="0">
        <v>5</v>
      </c>
      <c r="D141" s="0">
        <v>3</v>
      </c>
      <c r="E141" s="0">
        <v>1</v>
      </c>
      <c r="F141" s="0" t="s">
        <v>215</v>
      </c>
      <c r="H141" s="0">
        <v>0</v>
      </c>
      <c r="I141" s="0">
        <v>2</v>
      </c>
      <c r="J141" s="0">
        <v>300</v>
      </c>
    </row>
    <row r="142">
      <c r="A142" s="0">
        <v>134</v>
      </c>
      <c r="B142" s="0">
        <v>513023</v>
      </c>
      <c r="C142" s="0">
        <v>5</v>
      </c>
      <c r="D142" s="0">
        <v>3</v>
      </c>
      <c r="E142" s="0">
        <v>1</v>
      </c>
      <c r="F142" s="0" t="s">
        <v>216</v>
      </c>
      <c r="H142" s="0">
        <v>0</v>
      </c>
      <c r="I142" s="0">
        <v>2</v>
      </c>
      <c r="J142" s="0">
        <v>250</v>
      </c>
    </row>
    <row r="143">
      <c r="A143" s="0">
        <v>135</v>
      </c>
      <c r="B143" s="0">
        <v>513024</v>
      </c>
      <c r="C143" s="0">
        <v>5</v>
      </c>
      <c r="D143" s="0">
        <v>3</v>
      </c>
      <c r="E143" s="0">
        <v>1</v>
      </c>
      <c r="F143" s="0" t="s">
        <v>217</v>
      </c>
      <c r="H143" s="0">
        <v>0</v>
      </c>
      <c r="I143" s="0">
        <v>2</v>
      </c>
      <c r="J143" s="0">
        <v>200</v>
      </c>
    </row>
    <row r="144">
      <c r="A144" s="0">
        <v>136</v>
      </c>
      <c r="B144" s="0">
        <v>513017</v>
      </c>
      <c r="C144" s="0">
        <v>5</v>
      </c>
      <c r="D144" s="0">
        <v>3</v>
      </c>
      <c r="E144" s="0">
        <v>1</v>
      </c>
      <c r="F144" s="0" t="s">
        <v>218</v>
      </c>
      <c r="H144" s="0">
        <v>0</v>
      </c>
      <c r="I144" s="0">
        <v>2</v>
      </c>
      <c r="J144" s="0">
        <v>150</v>
      </c>
    </row>
    <row r="145">
      <c r="A145" s="0">
        <v>137</v>
      </c>
      <c r="B145" s="0">
        <v>513008</v>
      </c>
      <c r="C145" s="0">
        <v>5</v>
      </c>
      <c r="D145" s="0">
        <v>3</v>
      </c>
      <c r="E145" s="0">
        <v>1</v>
      </c>
      <c r="F145" s="0" t="s">
        <v>219</v>
      </c>
      <c r="H145" s="0">
        <v>0</v>
      </c>
      <c r="I145" s="0">
        <v>2</v>
      </c>
      <c r="J145" s="0">
        <v>150</v>
      </c>
    </row>
    <row r="146">
      <c r="A146" s="0">
        <v>138</v>
      </c>
      <c r="B146" s="0">
        <v>514007</v>
      </c>
      <c r="C146" s="0">
        <v>5</v>
      </c>
      <c r="D146" s="0">
        <v>4</v>
      </c>
      <c r="E146" s="0">
        <v>2</v>
      </c>
      <c r="F146" s="0" t="s">
        <v>220</v>
      </c>
      <c r="H146" s="0">
        <v>0</v>
      </c>
      <c r="I146" s="0">
        <v>1</v>
      </c>
      <c r="J146" s="0">
        <v>25</v>
      </c>
    </row>
    <row r="147">
      <c r="A147" s="0">
        <v>139</v>
      </c>
      <c r="B147" s="0">
        <v>514010</v>
      </c>
      <c r="C147" s="0">
        <v>5</v>
      </c>
      <c r="D147" s="0">
        <v>4</v>
      </c>
      <c r="E147" s="0">
        <v>2</v>
      </c>
      <c r="F147" s="0" t="s">
        <v>221</v>
      </c>
      <c r="H147" s="0">
        <v>0</v>
      </c>
      <c r="I147" s="0">
        <v>1</v>
      </c>
      <c r="J147" s="0">
        <v>30</v>
      </c>
    </row>
    <row r="148">
      <c r="A148" s="0">
        <v>140</v>
      </c>
      <c r="B148" s="0">
        <v>514022</v>
      </c>
      <c r="C148" s="0">
        <v>5</v>
      </c>
      <c r="D148" s="0">
        <v>4</v>
      </c>
      <c r="E148" s="0">
        <v>2</v>
      </c>
      <c r="F148" s="0" t="s">
        <v>222</v>
      </c>
      <c r="H148" s="0">
        <v>0</v>
      </c>
      <c r="I148" s="0">
        <v>1</v>
      </c>
      <c r="J148" s="0">
        <v>35</v>
      </c>
    </row>
    <row r="149">
      <c r="A149" s="0">
        <v>141</v>
      </c>
      <c r="B149" s="0">
        <v>514021</v>
      </c>
      <c r="C149" s="0">
        <v>5</v>
      </c>
      <c r="D149" s="0">
        <v>4</v>
      </c>
      <c r="E149" s="0">
        <v>2</v>
      </c>
      <c r="F149" s="0" t="s">
        <v>223</v>
      </c>
      <c r="H149" s="0">
        <v>0</v>
      </c>
      <c r="I149" s="0">
        <v>1</v>
      </c>
      <c r="J149" s="0">
        <v>25</v>
      </c>
    </row>
    <row r="150">
      <c r="A150" s="0">
        <v>142</v>
      </c>
      <c r="B150" s="0">
        <v>514013</v>
      </c>
      <c r="C150" s="0">
        <v>5</v>
      </c>
      <c r="D150" s="0">
        <v>4</v>
      </c>
      <c r="E150" s="0">
        <v>2</v>
      </c>
      <c r="F150" s="0" t="s">
        <v>224</v>
      </c>
      <c r="H150" s="0">
        <v>0</v>
      </c>
      <c r="I150" s="0">
        <v>1</v>
      </c>
      <c r="J150" s="0">
        <v>30</v>
      </c>
    </row>
    <row r="151">
      <c r="A151" s="0">
        <v>143</v>
      </c>
      <c r="B151" s="0">
        <v>514014</v>
      </c>
      <c r="C151" s="0">
        <v>5</v>
      </c>
      <c r="D151" s="0">
        <v>4</v>
      </c>
      <c r="E151" s="0">
        <v>2</v>
      </c>
      <c r="F151" s="0" t="s">
        <v>225</v>
      </c>
      <c r="H151" s="0">
        <v>0</v>
      </c>
      <c r="I151" s="0">
        <v>2</v>
      </c>
      <c r="J151" s="0">
        <v>350</v>
      </c>
    </row>
    <row r="152">
      <c r="A152" s="0">
        <v>144</v>
      </c>
      <c r="B152" s="0">
        <v>514025</v>
      </c>
      <c r="C152" s="0">
        <v>5</v>
      </c>
      <c r="D152" s="0">
        <v>4</v>
      </c>
      <c r="E152" s="0">
        <v>2</v>
      </c>
      <c r="F152" s="0" t="s">
        <v>226</v>
      </c>
      <c r="H152" s="0">
        <v>0</v>
      </c>
      <c r="I152" s="0">
        <v>2</v>
      </c>
      <c r="J152" s="0">
        <v>350</v>
      </c>
    </row>
    <row r="153">
      <c r="A153" s="0">
        <v>145</v>
      </c>
      <c r="B153" s="0">
        <v>514023</v>
      </c>
      <c r="C153" s="0">
        <v>5</v>
      </c>
      <c r="D153" s="0">
        <v>4</v>
      </c>
      <c r="E153" s="0">
        <v>2</v>
      </c>
      <c r="F153" s="0" t="s">
        <v>227</v>
      </c>
      <c r="H153" s="0">
        <v>0</v>
      </c>
      <c r="I153" s="0">
        <v>2</v>
      </c>
      <c r="J153" s="0">
        <v>300</v>
      </c>
    </row>
    <row r="154">
      <c r="A154" s="0">
        <v>146</v>
      </c>
      <c r="B154" s="0">
        <v>514024</v>
      </c>
      <c r="C154" s="0">
        <v>5</v>
      </c>
      <c r="D154" s="0">
        <v>4</v>
      </c>
      <c r="E154" s="0">
        <v>2</v>
      </c>
      <c r="F154" s="0" t="s">
        <v>228</v>
      </c>
      <c r="H154" s="0">
        <v>0</v>
      </c>
      <c r="I154" s="0">
        <v>2</v>
      </c>
      <c r="J154" s="0">
        <v>250</v>
      </c>
    </row>
    <row r="155">
      <c r="A155" s="0">
        <v>147</v>
      </c>
      <c r="B155" s="0">
        <v>514017</v>
      </c>
      <c r="C155" s="0">
        <v>5</v>
      </c>
      <c r="D155" s="0">
        <v>4</v>
      </c>
      <c r="E155" s="0">
        <v>2</v>
      </c>
      <c r="F155" s="0" t="s">
        <v>229</v>
      </c>
      <c r="H155" s="0">
        <v>0</v>
      </c>
      <c r="I155" s="0">
        <v>2</v>
      </c>
      <c r="J155" s="0">
        <v>200</v>
      </c>
    </row>
    <row r="156">
      <c r="A156" s="0">
        <v>148</v>
      </c>
      <c r="B156" s="0">
        <v>514008</v>
      </c>
      <c r="C156" s="0">
        <v>5</v>
      </c>
      <c r="D156" s="0">
        <v>4</v>
      </c>
      <c r="E156" s="0">
        <v>2</v>
      </c>
      <c r="F156" s="0" t="s">
        <v>230</v>
      </c>
      <c r="H156" s="0">
        <v>0</v>
      </c>
      <c r="I156" s="0">
        <v>2</v>
      </c>
      <c r="J156" s="0">
        <v>200</v>
      </c>
    </row>
    <row r="157">
      <c r="A157" s="0">
        <v>149</v>
      </c>
      <c r="B157" s="0">
        <v>515007</v>
      </c>
      <c r="C157" s="0">
        <v>5</v>
      </c>
      <c r="D157" s="0">
        <v>5</v>
      </c>
      <c r="E157" s="0">
        <v>2</v>
      </c>
      <c r="F157" s="0" t="s">
        <v>231</v>
      </c>
      <c r="H157" s="0">
        <v>0</v>
      </c>
      <c r="I157" s="0">
        <v>1</v>
      </c>
      <c r="J157" s="0">
        <v>30</v>
      </c>
    </row>
    <row r="158">
      <c r="A158" s="0">
        <v>150</v>
      </c>
      <c r="B158" s="0">
        <v>515010</v>
      </c>
      <c r="C158" s="0">
        <v>5</v>
      </c>
      <c r="D158" s="0">
        <v>5</v>
      </c>
      <c r="E158" s="0">
        <v>2</v>
      </c>
      <c r="F158" s="0" t="s">
        <v>232</v>
      </c>
      <c r="H158" s="0">
        <v>0</v>
      </c>
      <c r="I158" s="0">
        <v>1</v>
      </c>
      <c r="J158" s="0">
        <v>35</v>
      </c>
    </row>
    <row r="159">
      <c r="A159" s="0">
        <v>151</v>
      </c>
      <c r="B159" s="0">
        <v>515022</v>
      </c>
      <c r="C159" s="0">
        <v>5</v>
      </c>
      <c r="D159" s="0">
        <v>5</v>
      </c>
      <c r="E159" s="0">
        <v>2</v>
      </c>
      <c r="F159" s="0" t="s">
        <v>233</v>
      </c>
      <c r="H159" s="0">
        <v>0</v>
      </c>
      <c r="I159" s="0">
        <v>1</v>
      </c>
      <c r="J159" s="0">
        <v>40</v>
      </c>
    </row>
    <row r="160">
      <c r="A160" s="0">
        <v>152</v>
      </c>
      <c r="B160" s="0">
        <v>515021</v>
      </c>
      <c r="C160" s="0">
        <v>5</v>
      </c>
      <c r="D160" s="0">
        <v>5</v>
      </c>
      <c r="E160" s="0">
        <v>2</v>
      </c>
      <c r="F160" s="0" t="s">
        <v>234</v>
      </c>
      <c r="H160" s="0">
        <v>0</v>
      </c>
      <c r="I160" s="0">
        <v>1</v>
      </c>
      <c r="J160" s="0">
        <v>30</v>
      </c>
    </row>
    <row r="161">
      <c r="A161" s="0">
        <v>153</v>
      </c>
      <c r="B161" s="0">
        <v>515013</v>
      </c>
      <c r="C161" s="0">
        <v>5</v>
      </c>
      <c r="D161" s="0">
        <v>5</v>
      </c>
      <c r="E161" s="0">
        <v>2</v>
      </c>
      <c r="F161" s="0" t="s">
        <v>235</v>
      </c>
      <c r="H161" s="0">
        <v>0</v>
      </c>
      <c r="I161" s="0">
        <v>1</v>
      </c>
      <c r="J161" s="0">
        <v>35</v>
      </c>
    </row>
    <row r="162">
      <c r="A162" s="0">
        <v>154</v>
      </c>
      <c r="B162" s="0">
        <v>515014</v>
      </c>
      <c r="C162" s="0">
        <v>5</v>
      </c>
      <c r="D162" s="0">
        <v>5</v>
      </c>
      <c r="E162" s="0">
        <v>2</v>
      </c>
      <c r="F162" s="0" t="s">
        <v>236</v>
      </c>
      <c r="H162" s="0">
        <v>0</v>
      </c>
      <c r="I162" s="0">
        <v>2</v>
      </c>
      <c r="J162" s="0">
        <v>400</v>
      </c>
    </row>
    <row r="163">
      <c r="A163" s="0">
        <v>155</v>
      </c>
      <c r="B163" s="0">
        <v>515025</v>
      </c>
      <c r="C163" s="0">
        <v>5</v>
      </c>
      <c r="D163" s="0">
        <v>5</v>
      </c>
      <c r="E163" s="0">
        <v>2</v>
      </c>
      <c r="F163" s="0" t="s">
        <v>237</v>
      </c>
      <c r="H163" s="0">
        <v>0</v>
      </c>
      <c r="I163" s="0">
        <v>2</v>
      </c>
      <c r="J163" s="0">
        <v>400</v>
      </c>
    </row>
    <row r="164">
      <c r="A164" s="0">
        <v>156</v>
      </c>
      <c r="B164" s="0">
        <v>515023</v>
      </c>
      <c r="C164" s="0">
        <v>5</v>
      </c>
      <c r="D164" s="0">
        <v>5</v>
      </c>
      <c r="E164" s="0">
        <v>2</v>
      </c>
      <c r="F164" s="0" t="s">
        <v>238</v>
      </c>
      <c r="H164" s="0">
        <v>0</v>
      </c>
      <c r="I164" s="0">
        <v>2</v>
      </c>
      <c r="J164" s="0">
        <v>350</v>
      </c>
    </row>
    <row r="165">
      <c r="A165" s="0">
        <v>157</v>
      </c>
      <c r="B165" s="0">
        <v>515024</v>
      </c>
      <c r="C165" s="0">
        <v>5</v>
      </c>
      <c r="D165" s="0">
        <v>5</v>
      </c>
      <c r="E165" s="0">
        <v>2</v>
      </c>
      <c r="F165" s="0" t="s">
        <v>239</v>
      </c>
      <c r="H165" s="0">
        <v>0</v>
      </c>
      <c r="I165" s="0">
        <v>2</v>
      </c>
      <c r="J165" s="0">
        <v>300</v>
      </c>
    </row>
    <row r="166">
      <c r="A166" s="0">
        <v>158</v>
      </c>
      <c r="B166" s="0">
        <v>515017</v>
      </c>
      <c r="C166" s="0">
        <v>5</v>
      </c>
      <c r="D166" s="0">
        <v>5</v>
      </c>
      <c r="E166" s="0">
        <v>2</v>
      </c>
      <c r="F166" s="0" t="s">
        <v>240</v>
      </c>
      <c r="H166" s="0">
        <v>0</v>
      </c>
      <c r="I166" s="0">
        <v>2</v>
      </c>
      <c r="J166" s="0">
        <v>250</v>
      </c>
    </row>
    <row r="167">
      <c r="A167" s="0">
        <v>159</v>
      </c>
      <c r="B167" s="0">
        <v>515008</v>
      </c>
      <c r="C167" s="0">
        <v>5</v>
      </c>
      <c r="D167" s="0">
        <v>5</v>
      </c>
      <c r="E167" s="0">
        <v>2</v>
      </c>
      <c r="F167" s="0" t="s">
        <v>241</v>
      </c>
      <c r="H167" s="0">
        <v>0</v>
      </c>
      <c r="I167" s="0">
        <v>2</v>
      </c>
      <c r="J167" s="0">
        <v>250</v>
      </c>
    </row>
  </sheetData>
  <autoFilter ref="C1:C167">
    <extLst/>
  </autoFilter>
  <conditionalFormatting sqref="F85">
    <cfRule type="duplicateValues" dxfId="0" priority="1063"/>
    <cfRule type="duplicateValues" dxfId="0" priority="1062"/>
    <cfRule type="duplicateValues" dxfId="0" priority="1061"/>
    <cfRule type="duplicateValues" dxfId="0" priority="1060"/>
    <cfRule type="duplicateValues" dxfId="0" priority="1059"/>
    <cfRule type="duplicateValues" dxfId="0" priority="1058"/>
    <cfRule type="duplicateValues" dxfId="0" priority="1057"/>
  </conditionalFormatting>
  <conditionalFormatting sqref="F102">
    <cfRule type="duplicateValues" dxfId="0" priority="1041"/>
    <cfRule type="duplicateValues" dxfId="0" priority="1042"/>
    <cfRule type="duplicateValues" dxfId="0" priority="1043"/>
    <cfRule type="duplicateValues" dxfId="0" priority="1044"/>
    <cfRule type="duplicateValues" dxfId="0" priority="1045"/>
  </conditionalFormatting>
  <conditionalFormatting sqref="M121">
    <cfRule type="duplicateValues" dxfId="0" priority="59"/>
    <cfRule type="duplicateValues" dxfId="0" priority="124"/>
    <cfRule type="duplicateValues" dxfId="0" priority="189"/>
    <cfRule type="duplicateValues" dxfId="0" priority="254"/>
    <cfRule type="duplicateValues" dxfId="0" priority="319"/>
    <cfRule type="duplicateValues" dxfId="0" priority="384"/>
    <cfRule type="duplicateValues" dxfId="0" priority="449"/>
  </conditionalFormatting>
  <conditionalFormatting sqref="A$1:A$1048576">
    <cfRule type="duplicateValues" dxfId="0" priority="2"/>
  </conditionalFormatting>
  <conditionalFormatting sqref="F103:F110">
    <cfRule type="duplicateValues" dxfId="0" priority="1036"/>
    <cfRule type="duplicateValues" dxfId="0" priority="1037"/>
    <cfRule type="duplicateValues" dxfId="0" priority="1038"/>
    <cfRule type="duplicateValues" dxfId="0" priority="1039"/>
    <cfRule type="duplicateValues" dxfId="0" priority="1040"/>
  </conditionalFormatting>
  <conditionalFormatting sqref="L32:L43">
    <cfRule type="duplicateValues" dxfId="0" priority="1084"/>
    <cfRule type="duplicateValues" dxfId="0" priority="1085"/>
    <cfRule type="duplicateValues" dxfId="0" priority="1086"/>
  </conditionalFormatting>
  <conditionalFormatting sqref="M72:M76">
    <cfRule type="duplicateValues" dxfId="0" priority="1071"/>
    <cfRule type="duplicateValues" dxfId="0" priority="1078"/>
    <cfRule type="duplicateValues" dxfId="0" priority="1079"/>
    <cfRule type="duplicateValues" dxfId="0" priority="1080"/>
    <cfRule type="duplicateValues" dxfId="0" priority="1081"/>
    <cfRule type="duplicateValues" dxfId="0" priority="1082"/>
    <cfRule type="duplicateValues" dxfId="0" priority="1083"/>
  </conditionalFormatting>
  <conditionalFormatting sqref="M122:M123">
    <cfRule type="duplicateValues" dxfId="0" priority="58"/>
    <cfRule type="duplicateValues" dxfId="0" priority="123"/>
    <cfRule type="duplicateValues" dxfId="0" priority="188"/>
    <cfRule type="duplicateValues" dxfId="0" priority="253"/>
    <cfRule type="duplicateValues" dxfId="0" priority="318"/>
    <cfRule type="duplicateValues" dxfId="0" priority="383"/>
    <cfRule type="duplicateValues" dxfId="0" priority="448"/>
  </conditionalFormatting>
  <conditionalFormatting sqref="N77 N79">
    <cfRule type="duplicateValues" dxfId="0" priority="1029"/>
    <cfRule type="duplicateValues" dxfId="0" priority="1030"/>
    <cfRule type="duplicateValues" dxfId="0" priority="1031"/>
    <cfRule type="duplicateValues" dxfId="0" priority="1032"/>
    <cfRule type="duplicateValues" dxfId="0" priority="1033"/>
    <cfRule type="duplicateValues" dxfId="0" priority="1034"/>
    <cfRule type="duplicateValues" dxfId="0" priority="1035"/>
  </conditionalFormatting>
  <conditionalFormatting sqref="N81 N83 N85 N87">
    <cfRule type="duplicateValues" dxfId="0" priority="1022"/>
    <cfRule type="duplicateValues" dxfId="0" priority="1023"/>
    <cfRule type="duplicateValues" dxfId="0" priority="1024"/>
    <cfRule type="duplicateValues" dxfId="0" priority="1025"/>
    <cfRule type="duplicateValues" dxfId="0" priority="1026"/>
    <cfRule type="duplicateValues" dxfId="0" priority="1027"/>
    <cfRule type="duplicateValues" dxfId="0" priority="1028"/>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2:U142"/>
  <sheetViews>
    <sheetView zoomScale="85" zoomScaleNormal="85" workbookViewId="0">
      <selection activeCell="Q3" sqref="Q3"/>
    </sheetView>
  </sheetViews>
  <sheetFormatPr defaultColWidth="9" defaultRowHeight="13.5"/>
  <cols>
    <col min="1" max="1" width="14.625" customWidth="1"/>
    <col min="10" max="11" width="10.625" customWidth="1"/>
    <col min="12" max="12" width="16" customWidth="1"/>
    <col min="14" max="14" width="16" customWidth="1"/>
    <col min="16" max="16" width="16" customWidth="1"/>
    <col min="17" max="17" width="41.7666666666667" customWidth="1"/>
    <col min="18" max="18" width="16" customWidth="1"/>
    <col min="20" max="20" width="14.1166666666667" customWidth="1"/>
    <col min="21" max="21" width="66.7583333333333" customWidth="1"/>
  </cols>
  <sheetData>
    <row r="2" ht="16.5">
      <c r="A2" s="15" t="s">
        <v>242</v>
      </c>
      <c r="B2" s="16" t="s">
        <v>243</v>
      </c>
      <c r="C2" s="15">
        <v>3</v>
      </c>
      <c r="D2" s="16" t="s">
        <v>244</v>
      </c>
      <c r="E2" s="15">
        <v>3</v>
      </c>
      <c r="F2" s="16" t="s">
        <v>245</v>
      </c>
      <c r="G2" s="15">
        <v>3</v>
      </c>
      <c r="H2" s="16" t="s">
        <v>246</v>
      </c>
      <c r="I2" s="15">
        <v>3</v>
      </c>
      <c r="J2" s="0" t="e">
        <f>VLOOKUP(A2,[1]Sheet1!$E$7:$H$1160,2,FALSE)</f>
        <v>#N/A</v>
      </c>
      <c r="K2" s="0" t="str">
        <f>VLOOKUP(B2,[1]Sheet1!$E$7:$H$1160,2,FALSE)</f>
        <v>草药根</v>
      </c>
      <c r="L2" s="0" t="str">
        <f ref="L2:P2" t="shared" si="0">"1001,"&amp;K2&amp;","&amp;C2</f>
        <v>1001,草药根,3</v>
      </c>
      <c r="M2" s="0" t="e">
        <f>VLOOKUP(D2,[1]Sheet1!$E$7:$H$1160,2,FALSE)</f>
        <v>#N/A</v>
      </c>
      <c r="N2" s="0" t="e">
        <f t="shared" si="0"/>
        <v>#N/A</v>
      </c>
      <c r="O2" s="0" t="str">
        <f>VLOOKUP(F2,[1]Sheet1!$E$7:$H$1160,2,FALSE)</f>
        <v>石制药碾</v>
      </c>
      <c r="P2" s="0" t="str">
        <f t="shared" si="0"/>
        <v>1001,石制药碾,3</v>
      </c>
      <c r="Q2" s="0" t="e">
        <f>L2&amp;";"&amp;N2&amp;";"&amp;P2</f>
        <v>#N/A</v>
      </c>
    </row>
    <row r="3" ht="16.5">
      <c r="A3" s="15" t="s">
        <v>247</v>
      </c>
      <c r="B3" s="16" t="s">
        <v>248</v>
      </c>
      <c r="C3" s="15">
        <v>6</v>
      </c>
      <c r="D3" s="16" t="s">
        <v>249</v>
      </c>
      <c r="E3" s="15">
        <v>6</v>
      </c>
      <c r="F3" s="16" t="s">
        <v>250</v>
      </c>
      <c r="G3" s="15">
        <v>6</v>
      </c>
      <c r="H3" s="16" t="s">
        <v>251</v>
      </c>
      <c r="I3" s="15">
        <v>6</v>
      </c>
      <c r="J3" s="0" t="str">
        <f>VLOOKUP(A3,[1]Sheet1!$E$7:$H$1160,2,FALSE)</f>
        <v>初级恢复药剂</v>
      </c>
      <c r="K3" s="0" t="e">
        <f>VLOOKUP(B3,[1]Sheet1!$E$7:$H$1160,2,FALSE)</f>
        <v>#N/A</v>
      </c>
      <c r="L3" s="0" t="e">
        <f>"1001,"&amp;K3&amp;","&amp;C3</f>
        <v>#N/A</v>
      </c>
      <c r="M3" s="0" t="e">
        <f>VLOOKUP(D3,[1]Sheet1!$E$7:$H$1160,2,FALSE)</f>
        <v>#N/A</v>
      </c>
      <c r="N3" s="0" t="e">
        <f>"1001,"&amp;M3&amp;","&amp;E3</f>
        <v>#N/A</v>
      </c>
      <c r="O3" s="0" t="str">
        <f>VLOOKUP(F3,[1]Sheet1!$E$7:$H$1160,2,FALSE)</f>
        <v>玻璃试管</v>
      </c>
      <c r="P3" s="0" t="str">
        <f>"1001,"&amp;O3&amp;","&amp;G3</f>
        <v>1001,玻璃试管,6</v>
      </c>
      <c r="Q3" s="0" t="e">
        <f ref="Q3:Q34" t="shared" si="1">L3&amp;";"&amp;N3&amp;";"&amp;P3</f>
        <v>#N/A</v>
      </c>
    </row>
    <row r="4" ht="16.5">
      <c r="A4" s="15" t="s">
        <v>252</v>
      </c>
      <c r="B4" s="16" t="s">
        <v>253</v>
      </c>
      <c r="C4" s="15">
        <v>9</v>
      </c>
      <c r="D4" s="16" t="s">
        <v>254</v>
      </c>
      <c r="E4" s="15">
        <v>9</v>
      </c>
      <c r="F4" s="16" t="s">
        <v>255</v>
      </c>
      <c r="G4" s="15">
        <v>9</v>
      </c>
      <c r="H4" s="16" t="s">
        <v>256</v>
      </c>
      <c r="I4" s="15">
        <v>9</v>
      </c>
      <c r="J4" s="0" t="e">
        <f>VLOOKUP(A4,[1]Sheet1!$E$7:$H$1160,2,FALSE)</f>
        <v>#N/A</v>
      </c>
      <c r="K4" s="0" t="e">
        <f>VLOOKUP(B4,[1]Sheet1!$E$7:$H$1160,2,FALSE)</f>
        <v>#N/A</v>
      </c>
      <c r="L4" s="0" t="e">
        <f>"1001,"&amp;K4&amp;","&amp;C4</f>
        <v>#N/A</v>
      </c>
      <c r="M4" s="0" t="e">
        <f>VLOOKUP(D4,[1]Sheet1!$E$7:$H$1160,2,FALSE)</f>
        <v>#N/A</v>
      </c>
      <c r="N4" s="0" t="e">
        <f>"1001,"&amp;M4&amp;","&amp;E4</f>
        <v>#N/A</v>
      </c>
      <c r="O4" s="0" t="str">
        <f>VLOOKUP(F4,[1]Sheet1!$E$7:$H$1160,2,FALSE)</f>
        <v>强化玻璃试管</v>
      </c>
      <c r="P4" s="0" t="str">
        <f>"1001,"&amp;O4&amp;","&amp;G4</f>
        <v>1001,强化玻璃试管,9</v>
      </c>
      <c r="Q4" s="0" t="e">
        <f t="shared" si="1"/>
        <v>#N/A</v>
      </c>
    </row>
    <row r="5" ht="16.5">
      <c r="A5" s="15" t="s">
        <v>257</v>
      </c>
      <c r="B5" s="16" t="s">
        <v>258</v>
      </c>
      <c r="C5" s="15">
        <v>12</v>
      </c>
      <c r="D5" s="16" t="s">
        <v>259</v>
      </c>
      <c r="E5" s="15">
        <v>12</v>
      </c>
      <c r="F5" s="16" t="s">
        <v>260</v>
      </c>
      <c r="G5" s="15">
        <v>12</v>
      </c>
      <c r="H5" s="16" t="s">
        <v>261</v>
      </c>
      <c r="I5" s="15">
        <v>12</v>
      </c>
      <c r="J5" s="0" t="str">
        <f>VLOOKUP(A5,[1]Sheet1!$E$7:$H$1160,2,FALSE)</f>
        <v>高级恢复药剂</v>
      </c>
      <c r="K5" s="0" t="e">
        <f>VLOOKUP(B5,[1]Sheet1!$E$7:$H$1160,2,FALSE)</f>
        <v>#N/A</v>
      </c>
      <c r="L5" s="0" t="e">
        <f>"1001,"&amp;K5&amp;","&amp;C5</f>
        <v>#N/A</v>
      </c>
      <c r="M5" s="0" t="e">
        <f>VLOOKUP(D5,[1]Sheet1!$E$7:$H$1160,2,FALSE)</f>
        <v>#N/A</v>
      </c>
      <c r="N5" s="0" t="e">
        <f>"1001,"&amp;M5&amp;","&amp;E5</f>
        <v>#N/A</v>
      </c>
      <c r="O5" s="0" t="str">
        <f>VLOOKUP(F5,[1]Sheet1!$E$7:$H$1160,2,FALSE)</f>
        <v>水晶试管</v>
      </c>
      <c r="P5" s="0" t="str">
        <f>"1001,"&amp;O5&amp;","&amp;G5</f>
        <v>1001,水晶试管,12</v>
      </c>
      <c r="Q5" s="0" t="e">
        <f t="shared" si="1"/>
        <v>#N/A</v>
      </c>
    </row>
    <row r="6" ht="16.5">
      <c r="A6" s="15" t="s">
        <v>262</v>
      </c>
      <c r="B6" s="16" t="s">
        <v>263</v>
      </c>
      <c r="C6" s="15">
        <v>15</v>
      </c>
      <c r="D6" s="16" t="s">
        <v>264</v>
      </c>
      <c r="E6" s="15">
        <v>15</v>
      </c>
      <c r="F6" s="16" t="s">
        <v>265</v>
      </c>
      <c r="G6" s="15">
        <v>15</v>
      </c>
      <c r="H6" s="16" t="s">
        <v>266</v>
      </c>
      <c r="I6" s="15">
        <v>15</v>
      </c>
      <c r="J6" s="0" t="e">
        <f>VLOOKUP(A6,[1]Sheet1!$E$7:$H$1160,2,FALSE)</f>
        <v>#N/A</v>
      </c>
      <c r="K6" s="0" t="e">
        <f>VLOOKUP(B6,[1]Sheet1!$E$7:$H$1160,2,FALSE)</f>
        <v>#N/A</v>
      </c>
      <c r="L6" s="0" t="e">
        <f>"1001,"&amp;K6&amp;","&amp;C6</f>
        <v>#N/A</v>
      </c>
      <c r="M6" s="0" t="e">
        <f>VLOOKUP(D6,[1]Sheet1!$E$7:$H$1160,2,FALSE)</f>
        <v>#N/A</v>
      </c>
      <c r="N6" s="0" t="e">
        <f>"1001,"&amp;M6&amp;","&amp;E6</f>
        <v>#N/A</v>
      </c>
      <c r="O6" s="0" t="str">
        <f>VLOOKUP(F6,[1]Sheet1!$E$7:$H$1160,2,FALSE)</f>
        <v>黄金药碾</v>
      </c>
      <c r="P6" s="0" t="str">
        <f>"1001,"&amp;O6&amp;","&amp;G6</f>
        <v>1001,黄金药碾,15</v>
      </c>
      <c r="Q6" s="0" t="e">
        <f t="shared" si="1"/>
        <v>#N/A</v>
      </c>
    </row>
    <row r="7" ht="16.5">
      <c r="A7" s="17" t="s">
        <v>267</v>
      </c>
      <c r="B7" s="18" t="s">
        <v>268</v>
      </c>
      <c r="C7" s="17">
        <v>3</v>
      </c>
      <c r="D7" s="18" t="s">
        <v>269</v>
      </c>
      <c r="E7" s="17">
        <v>3</v>
      </c>
      <c r="F7" s="18" t="s">
        <v>245</v>
      </c>
      <c r="G7" s="17">
        <v>3</v>
      </c>
      <c r="H7" s="18" t="s">
        <v>246</v>
      </c>
      <c r="I7" s="18">
        <v>3</v>
      </c>
      <c r="J7" s="0" t="e">
        <f>VLOOKUP(A7,[1]Sheet1!$E$7:$H$1160,2,FALSE)</f>
        <v>#N/A</v>
      </c>
      <c r="K7" s="0" t="e">
        <f>VLOOKUP(B7,[1]Sheet1!$E$7:$H$1160,2,FALSE)</f>
        <v>#N/A</v>
      </c>
      <c r="L7" s="0" t="e">
        <f ref="L7:L38" t="shared" si="2">"1001,"&amp;K7&amp;","&amp;C7</f>
        <v>#N/A</v>
      </c>
      <c r="M7" s="0" t="e">
        <f>VLOOKUP(D7,[1]Sheet1!$E$7:$H$1160,2,FALSE)</f>
        <v>#N/A</v>
      </c>
      <c r="N7" s="0" t="e">
        <f ref="N7:N38" t="shared" si="3">"1001,"&amp;M7&amp;","&amp;E7</f>
        <v>#N/A</v>
      </c>
      <c r="O7" s="0" t="str">
        <f>VLOOKUP(F7,[1]Sheet1!$E$7:$H$1160,2,FALSE)</f>
        <v>石制药碾</v>
      </c>
      <c r="P7" s="0" t="str">
        <f ref="P7:P38" t="shared" si="4">"1001,"&amp;O7&amp;","&amp;G7</f>
        <v>1001,石制药碾,3</v>
      </c>
      <c r="Q7" s="0" t="e">
        <f t="shared" si="1"/>
        <v>#N/A</v>
      </c>
    </row>
    <row r="8" ht="16.5">
      <c r="A8" s="17" t="s">
        <v>154</v>
      </c>
      <c r="B8" s="18" t="s">
        <v>270</v>
      </c>
      <c r="C8" s="17">
        <v>6</v>
      </c>
      <c r="D8" s="18" t="s">
        <v>271</v>
      </c>
      <c r="E8" s="17">
        <v>6</v>
      </c>
      <c r="F8" s="18" t="s">
        <v>250</v>
      </c>
      <c r="G8" s="17">
        <v>6</v>
      </c>
      <c r="H8" s="18" t="s">
        <v>251</v>
      </c>
      <c r="I8" s="18">
        <v>6</v>
      </c>
      <c r="J8" s="0" t="str">
        <f>VLOOKUP(A8,[1]Sheet1!$E$7:$H$1160,2,FALSE)</f>
        <v>初级丰收药剂</v>
      </c>
      <c r="K8" s="0" t="e">
        <f>VLOOKUP(B8,[1]Sheet1!$E$7:$H$1160,2,FALSE)</f>
        <v>#N/A</v>
      </c>
      <c r="L8" s="0" t="e">
        <f t="shared" si="2"/>
        <v>#N/A</v>
      </c>
      <c r="M8" s="0" t="e">
        <f>VLOOKUP(D8,[1]Sheet1!$E$7:$H$1160,2,FALSE)</f>
        <v>#N/A</v>
      </c>
      <c r="N8" s="0" t="e">
        <f t="shared" si="3"/>
        <v>#N/A</v>
      </c>
      <c r="O8" s="0" t="str">
        <f>VLOOKUP(F8,[1]Sheet1!$E$7:$H$1160,2,FALSE)</f>
        <v>玻璃试管</v>
      </c>
      <c r="P8" s="0" t="str">
        <f t="shared" si="4"/>
        <v>1001,玻璃试管,6</v>
      </c>
      <c r="Q8" s="0" t="e">
        <f t="shared" si="1"/>
        <v>#N/A</v>
      </c>
    </row>
    <row r="9" ht="16.5">
      <c r="A9" s="17" t="s">
        <v>272</v>
      </c>
      <c r="B9" s="18" t="s">
        <v>273</v>
      </c>
      <c r="C9" s="17">
        <v>9</v>
      </c>
      <c r="D9" s="18" t="s">
        <v>274</v>
      </c>
      <c r="E9" s="17">
        <v>9</v>
      </c>
      <c r="F9" s="18" t="s">
        <v>255</v>
      </c>
      <c r="G9" s="17">
        <v>9</v>
      </c>
      <c r="H9" s="18" t="s">
        <v>256</v>
      </c>
      <c r="I9" s="18">
        <v>9</v>
      </c>
      <c r="J9" s="0" t="e">
        <f>VLOOKUP(A9,[1]Sheet1!$E$7:$H$1160,2,FALSE)</f>
        <v>#N/A</v>
      </c>
      <c r="K9" s="0" t="e">
        <f>VLOOKUP(B9,[1]Sheet1!$E$7:$H$1160,2,FALSE)</f>
        <v>#N/A</v>
      </c>
      <c r="L9" s="0" t="e">
        <f t="shared" si="2"/>
        <v>#N/A</v>
      </c>
      <c r="M9" s="0" t="e">
        <f>VLOOKUP(D9,[1]Sheet1!$E$7:$H$1160,2,FALSE)</f>
        <v>#N/A</v>
      </c>
      <c r="N9" s="0" t="e">
        <f t="shared" si="3"/>
        <v>#N/A</v>
      </c>
      <c r="O9" s="0" t="str">
        <f>VLOOKUP(F9,[1]Sheet1!$E$7:$H$1160,2,FALSE)</f>
        <v>强化玻璃试管</v>
      </c>
      <c r="P9" s="0" t="str">
        <f t="shared" si="4"/>
        <v>1001,强化玻璃试管,9</v>
      </c>
      <c r="Q9" s="0" t="e">
        <f t="shared" si="1"/>
        <v>#N/A</v>
      </c>
    </row>
    <row r="10" ht="16.5">
      <c r="A10" s="17" t="s">
        <v>174</v>
      </c>
      <c r="B10" s="18" t="s">
        <v>275</v>
      </c>
      <c r="C10" s="17">
        <v>12</v>
      </c>
      <c r="D10" s="18" t="s">
        <v>276</v>
      </c>
      <c r="E10" s="17">
        <v>12</v>
      </c>
      <c r="F10" s="18" t="s">
        <v>260</v>
      </c>
      <c r="G10" s="17">
        <v>12</v>
      </c>
      <c r="H10" s="18" t="s">
        <v>261</v>
      </c>
      <c r="I10" s="18">
        <v>12</v>
      </c>
      <c r="J10" s="0" t="str">
        <f>VLOOKUP(A10,[1]Sheet1!$E$7:$H$1160,2,FALSE)</f>
        <v>高级丰收药剂</v>
      </c>
      <c r="K10" s="0" t="e">
        <f>VLOOKUP(B10,[1]Sheet1!$E$7:$H$1160,2,FALSE)</f>
        <v>#N/A</v>
      </c>
      <c r="L10" s="0" t="e">
        <f t="shared" si="2"/>
        <v>#N/A</v>
      </c>
      <c r="M10" s="0" t="e">
        <f>VLOOKUP(D10,[1]Sheet1!$E$7:$H$1160,2,FALSE)</f>
        <v>#N/A</v>
      </c>
      <c r="N10" s="0" t="e">
        <f t="shared" si="3"/>
        <v>#N/A</v>
      </c>
      <c r="O10" s="0" t="str">
        <f>VLOOKUP(F10,[1]Sheet1!$E$7:$H$1160,2,FALSE)</f>
        <v>水晶试管</v>
      </c>
      <c r="P10" s="0" t="str">
        <f t="shared" si="4"/>
        <v>1001,水晶试管,12</v>
      </c>
      <c r="Q10" s="0" t="e">
        <f t="shared" si="1"/>
        <v>#N/A</v>
      </c>
    </row>
    <row r="11" ht="16.5">
      <c r="A11" s="17" t="s">
        <v>277</v>
      </c>
      <c r="B11" s="18" t="s">
        <v>278</v>
      </c>
      <c r="C11" s="17">
        <v>15</v>
      </c>
      <c r="D11" s="18" t="s">
        <v>279</v>
      </c>
      <c r="E11" s="17">
        <v>15</v>
      </c>
      <c r="F11" s="18" t="s">
        <v>265</v>
      </c>
      <c r="G11" s="17">
        <v>15</v>
      </c>
      <c r="H11" s="18" t="s">
        <v>266</v>
      </c>
      <c r="I11" s="18">
        <v>15</v>
      </c>
      <c r="J11" s="0" t="e">
        <f>VLOOKUP(A11,[1]Sheet1!$E$7:$H$1160,2,FALSE)</f>
        <v>#N/A</v>
      </c>
      <c r="K11" s="0" t="e">
        <f>VLOOKUP(B11,[1]Sheet1!$E$7:$H$1160,2,FALSE)</f>
        <v>#N/A</v>
      </c>
      <c r="L11" s="0" t="e">
        <f t="shared" si="2"/>
        <v>#N/A</v>
      </c>
      <c r="M11" s="0" t="e">
        <f>VLOOKUP(D11,[1]Sheet1!$E$7:$H$1160,2,FALSE)</f>
        <v>#N/A</v>
      </c>
      <c r="N11" s="0" t="e">
        <f t="shared" si="3"/>
        <v>#N/A</v>
      </c>
      <c r="O11" s="0" t="str">
        <f>VLOOKUP(F11,[1]Sheet1!$E$7:$H$1160,2,FALSE)</f>
        <v>黄金药碾</v>
      </c>
      <c r="P11" s="0" t="str">
        <f t="shared" si="4"/>
        <v>1001,黄金药碾,15</v>
      </c>
      <c r="Q11" s="0" t="e">
        <f t="shared" si="1"/>
        <v>#N/A</v>
      </c>
    </row>
    <row r="12" ht="16.5">
      <c r="A12" s="15" t="s">
        <v>280</v>
      </c>
      <c r="B12" s="16" t="s">
        <v>281</v>
      </c>
      <c r="C12" s="15">
        <v>3</v>
      </c>
      <c r="D12" s="16" t="s">
        <v>243</v>
      </c>
      <c r="E12" s="15">
        <v>3</v>
      </c>
      <c r="F12" s="16" t="s">
        <v>245</v>
      </c>
      <c r="G12" s="15">
        <v>3</v>
      </c>
      <c r="H12" s="16" t="s">
        <v>246</v>
      </c>
      <c r="I12" s="16">
        <v>3</v>
      </c>
      <c r="J12" s="0" t="e">
        <f>VLOOKUP(A12,[1]Sheet1!$E$7:$H$1160,2,FALSE)</f>
        <v>#N/A</v>
      </c>
      <c r="K12" s="0" t="e">
        <f>VLOOKUP(B12,[1]Sheet1!$E$7:$H$1160,2,FALSE)</f>
        <v>#N/A</v>
      </c>
      <c r="L12" s="0" t="e">
        <f t="shared" si="2"/>
        <v>#N/A</v>
      </c>
      <c r="M12" s="0" t="str">
        <f>VLOOKUP(D12,[1]Sheet1!$E$7:$H$1160,2,FALSE)</f>
        <v>草药根</v>
      </c>
      <c r="N12" s="0" t="str">
        <f t="shared" si="3"/>
        <v>1001,草药根,3</v>
      </c>
      <c r="O12" s="0" t="str">
        <f>VLOOKUP(F12,[1]Sheet1!$E$7:$H$1160,2,FALSE)</f>
        <v>石制药碾</v>
      </c>
      <c r="P12" s="0" t="str">
        <f t="shared" si="4"/>
        <v>1001,石制药碾,3</v>
      </c>
      <c r="Q12" s="0" t="e">
        <f t="shared" si="1"/>
        <v>#N/A</v>
      </c>
    </row>
    <row r="13" ht="16.5">
      <c r="A13" s="15" t="s">
        <v>282</v>
      </c>
      <c r="B13" s="16" t="s">
        <v>283</v>
      </c>
      <c r="C13" s="15">
        <v>6</v>
      </c>
      <c r="D13" s="16" t="s">
        <v>248</v>
      </c>
      <c r="E13" s="15">
        <v>6</v>
      </c>
      <c r="F13" s="16" t="s">
        <v>250</v>
      </c>
      <c r="G13" s="15">
        <v>6</v>
      </c>
      <c r="H13" s="16" t="s">
        <v>251</v>
      </c>
      <c r="I13" s="16">
        <v>6</v>
      </c>
      <c r="J13" s="0" t="e">
        <f>VLOOKUP(A13,[1]Sheet1!$E$7:$H$1160,2,FALSE)</f>
        <v>#N/A</v>
      </c>
      <c r="K13" s="0" t="e">
        <f>VLOOKUP(B13,[1]Sheet1!$E$7:$H$1160,2,FALSE)</f>
        <v>#N/A</v>
      </c>
      <c r="L13" s="0" t="e">
        <f t="shared" si="2"/>
        <v>#N/A</v>
      </c>
      <c r="M13" s="0" t="e">
        <f>VLOOKUP(D13,[1]Sheet1!$E$7:$H$1160,2,FALSE)</f>
        <v>#N/A</v>
      </c>
      <c r="N13" s="0" t="e">
        <f t="shared" si="3"/>
        <v>#N/A</v>
      </c>
      <c r="O13" s="0" t="str">
        <f>VLOOKUP(F13,[1]Sheet1!$E$7:$H$1160,2,FALSE)</f>
        <v>玻璃试管</v>
      </c>
      <c r="P13" s="0" t="str">
        <f t="shared" si="4"/>
        <v>1001,玻璃试管,6</v>
      </c>
      <c r="Q13" s="0" t="e">
        <f t="shared" si="1"/>
        <v>#N/A</v>
      </c>
    </row>
    <row r="14" ht="16.5">
      <c r="A14" s="15" t="s">
        <v>284</v>
      </c>
      <c r="B14" s="16" t="s">
        <v>285</v>
      </c>
      <c r="C14" s="15">
        <v>9</v>
      </c>
      <c r="D14" s="16" t="s">
        <v>253</v>
      </c>
      <c r="E14" s="15">
        <v>9</v>
      </c>
      <c r="F14" s="16" t="s">
        <v>255</v>
      </c>
      <c r="G14" s="15">
        <v>9</v>
      </c>
      <c r="H14" s="16" t="s">
        <v>256</v>
      </c>
      <c r="I14" s="16">
        <v>9</v>
      </c>
      <c r="J14" s="0" t="e">
        <f>VLOOKUP(A14,[1]Sheet1!$E$7:$H$1160,2,FALSE)</f>
        <v>#N/A</v>
      </c>
      <c r="K14" s="0" t="e">
        <f>VLOOKUP(B14,[1]Sheet1!$E$7:$H$1160,2,FALSE)</f>
        <v>#N/A</v>
      </c>
      <c r="L14" s="0" t="e">
        <f t="shared" si="2"/>
        <v>#N/A</v>
      </c>
      <c r="M14" s="0" t="e">
        <f>VLOOKUP(D14,[1]Sheet1!$E$7:$H$1160,2,FALSE)</f>
        <v>#N/A</v>
      </c>
      <c r="N14" s="0" t="e">
        <f t="shared" si="3"/>
        <v>#N/A</v>
      </c>
      <c r="O14" s="0" t="str">
        <f>VLOOKUP(F14,[1]Sheet1!$E$7:$H$1160,2,FALSE)</f>
        <v>强化玻璃试管</v>
      </c>
      <c r="P14" s="0" t="str">
        <f t="shared" si="4"/>
        <v>1001,强化玻璃试管,9</v>
      </c>
      <c r="Q14" s="0" t="e">
        <f t="shared" si="1"/>
        <v>#N/A</v>
      </c>
    </row>
    <row r="15" ht="16.5">
      <c r="A15" s="15" t="s">
        <v>286</v>
      </c>
      <c r="B15" s="16" t="s">
        <v>287</v>
      </c>
      <c r="C15" s="15">
        <v>12</v>
      </c>
      <c r="D15" s="16" t="s">
        <v>258</v>
      </c>
      <c r="E15" s="15">
        <v>12</v>
      </c>
      <c r="F15" s="16" t="s">
        <v>260</v>
      </c>
      <c r="G15" s="15">
        <v>12</v>
      </c>
      <c r="H15" s="16" t="s">
        <v>261</v>
      </c>
      <c r="I15" s="16">
        <v>12</v>
      </c>
      <c r="J15" s="0" t="e">
        <f>VLOOKUP(A15,[1]Sheet1!$E$7:$H$1160,2,FALSE)</f>
        <v>#N/A</v>
      </c>
      <c r="K15" s="0" t="e">
        <f>VLOOKUP(B15,[1]Sheet1!$E$7:$H$1160,2,FALSE)</f>
        <v>#N/A</v>
      </c>
      <c r="L15" s="0" t="e">
        <f t="shared" si="2"/>
        <v>#N/A</v>
      </c>
      <c r="M15" s="0" t="e">
        <f>VLOOKUP(D15,[1]Sheet1!$E$7:$H$1160,2,FALSE)</f>
        <v>#N/A</v>
      </c>
      <c r="N15" s="0" t="e">
        <f t="shared" si="3"/>
        <v>#N/A</v>
      </c>
      <c r="O15" s="0" t="str">
        <f>VLOOKUP(F15,[1]Sheet1!$E$7:$H$1160,2,FALSE)</f>
        <v>水晶试管</v>
      </c>
      <c r="P15" s="0" t="str">
        <f t="shared" si="4"/>
        <v>1001,水晶试管,12</v>
      </c>
      <c r="Q15" s="0" t="e">
        <f t="shared" si="1"/>
        <v>#N/A</v>
      </c>
    </row>
    <row r="16" ht="16.5">
      <c r="A16" s="15" t="s">
        <v>288</v>
      </c>
      <c r="B16" s="16" t="s">
        <v>289</v>
      </c>
      <c r="C16" s="15">
        <v>15</v>
      </c>
      <c r="D16" s="16" t="s">
        <v>263</v>
      </c>
      <c r="E16" s="15">
        <v>15</v>
      </c>
      <c r="F16" s="16" t="s">
        <v>265</v>
      </c>
      <c r="G16" s="15">
        <v>15</v>
      </c>
      <c r="H16" s="16" t="s">
        <v>266</v>
      </c>
      <c r="I16" s="16">
        <v>15</v>
      </c>
      <c r="J16" s="0" t="e">
        <f>VLOOKUP(A16,[1]Sheet1!$E$7:$H$1160,2,FALSE)</f>
        <v>#N/A</v>
      </c>
      <c r="K16" s="0" t="e">
        <f>VLOOKUP(B16,[1]Sheet1!$E$7:$H$1160,2,FALSE)</f>
        <v>#N/A</v>
      </c>
      <c r="L16" s="0" t="e">
        <f t="shared" si="2"/>
        <v>#N/A</v>
      </c>
      <c r="M16" s="0" t="e">
        <f>VLOOKUP(D16,[1]Sheet1!$E$7:$H$1160,2,FALSE)</f>
        <v>#N/A</v>
      </c>
      <c r="N16" s="0" t="e">
        <f t="shared" si="3"/>
        <v>#N/A</v>
      </c>
      <c r="O16" s="0" t="str">
        <f>VLOOKUP(F16,[1]Sheet1!$E$7:$H$1160,2,FALSE)</f>
        <v>黄金药碾</v>
      </c>
      <c r="P16" s="0" t="str">
        <f t="shared" si="4"/>
        <v>1001,黄金药碾,15</v>
      </c>
      <c r="Q16" s="0" t="e">
        <f t="shared" si="1"/>
        <v>#N/A</v>
      </c>
    </row>
    <row r="17" ht="16.5">
      <c r="A17" s="17" t="s">
        <v>290</v>
      </c>
      <c r="B17" s="18" t="s">
        <v>244</v>
      </c>
      <c r="C17" s="17">
        <v>3</v>
      </c>
      <c r="D17" s="18" t="s">
        <v>268</v>
      </c>
      <c r="E17" s="17">
        <v>3</v>
      </c>
      <c r="F17" s="18" t="s">
        <v>245</v>
      </c>
      <c r="G17" s="17">
        <v>3</v>
      </c>
      <c r="H17" s="18" t="s">
        <v>246</v>
      </c>
      <c r="I17" s="18">
        <v>3</v>
      </c>
      <c r="J17" s="0" t="e">
        <f>VLOOKUP(A17,[1]Sheet1!$E$7:$H$1160,2,FALSE)</f>
        <v>#N/A</v>
      </c>
      <c r="K17" s="0" t="e">
        <f>VLOOKUP(B17,[1]Sheet1!$E$7:$H$1160,2,FALSE)</f>
        <v>#N/A</v>
      </c>
      <c r="L17" s="0" t="e">
        <f t="shared" si="2"/>
        <v>#N/A</v>
      </c>
      <c r="M17" s="0" t="e">
        <f>VLOOKUP(D17,[1]Sheet1!$E$7:$H$1160,2,FALSE)</f>
        <v>#N/A</v>
      </c>
      <c r="N17" s="0" t="e">
        <f t="shared" si="3"/>
        <v>#N/A</v>
      </c>
      <c r="O17" s="0" t="str">
        <f>VLOOKUP(F17,[1]Sheet1!$E$7:$H$1160,2,FALSE)</f>
        <v>石制药碾</v>
      </c>
      <c r="P17" s="0" t="str">
        <f t="shared" si="4"/>
        <v>1001,石制药碾,3</v>
      </c>
      <c r="Q17" s="0" t="e">
        <f t="shared" si="1"/>
        <v>#N/A</v>
      </c>
    </row>
    <row r="18" ht="16.5">
      <c r="A18" s="17" t="s">
        <v>291</v>
      </c>
      <c r="B18" s="18" t="s">
        <v>249</v>
      </c>
      <c r="C18" s="17">
        <v>6</v>
      </c>
      <c r="D18" s="18" t="s">
        <v>270</v>
      </c>
      <c r="E18" s="17">
        <v>6</v>
      </c>
      <c r="F18" s="18" t="s">
        <v>250</v>
      </c>
      <c r="G18" s="17">
        <v>6</v>
      </c>
      <c r="H18" s="18" t="s">
        <v>251</v>
      </c>
      <c r="I18" s="18">
        <v>6</v>
      </c>
      <c r="J18" s="0" t="e">
        <f>VLOOKUP(A18,[1]Sheet1!$E$7:$H$1160,2,FALSE)</f>
        <v>#N/A</v>
      </c>
      <c r="K18" s="0" t="e">
        <f>VLOOKUP(B18,[1]Sheet1!$E$7:$H$1160,2,FALSE)</f>
        <v>#N/A</v>
      </c>
      <c r="L18" s="0" t="e">
        <f t="shared" si="2"/>
        <v>#N/A</v>
      </c>
      <c r="M18" s="0" t="e">
        <f>VLOOKUP(D18,[1]Sheet1!$E$7:$H$1160,2,FALSE)</f>
        <v>#N/A</v>
      </c>
      <c r="N18" s="0" t="e">
        <f t="shared" si="3"/>
        <v>#N/A</v>
      </c>
      <c r="O18" s="0" t="str">
        <f>VLOOKUP(F18,[1]Sheet1!$E$7:$H$1160,2,FALSE)</f>
        <v>玻璃试管</v>
      </c>
      <c r="P18" s="0" t="str">
        <f t="shared" si="4"/>
        <v>1001,玻璃试管,6</v>
      </c>
      <c r="Q18" s="0" t="e">
        <f t="shared" si="1"/>
        <v>#N/A</v>
      </c>
    </row>
    <row r="19" ht="16.5">
      <c r="A19" s="17" t="s">
        <v>292</v>
      </c>
      <c r="B19" s="18" t="s">
        <v>254</v>
      </c>
      <c r="C19" s="17">
        <v>9</v>
      </c>
      <c r="D19" s="18" t="s">
        <v>273</v>
      </c>
      <c r="E19" s="17">
        <v>9</v>
      </c>
      <c r="F19" s="18" t="s">
        <v>255</v>
      </c>
      <c r="G19" s="17">
        <v>9</v>
      </c>
      <c r="H19" s="18" t="s">
        <v>256</v>
      </c>
      <c r="I19" s="18">
        <v>9</v>
      </c>
      <c r="J19" s="0" t="e">
        <f>VLOOKUP(A19,[1]Sheet1!$E$7:$H$1160,2,FALSE)</f>
        <v>#N/A</v>
      </c>
      <c r="K19" s="0" t="e">
        <f>VLOOKUP(B19,[1]Sheet1!$E$7:$H$1160,2,FALSE)</f>
        <v>#N/A</v>
      </c>
      <c r="L19" s="0" t="e">
        <f t="shared" si="2"/>
        <v>#N/A</v>
      </c>
      <c r="M19" s="0" t="e">
        <f>VLOOKUP(D19,[1]Sheet1!$E$7:$H$1160,2,FALSE)</f>
        <v>#N/A</v>
      </c>
      <c r="N19" s="0" t="e">
        <f t="shared" si="3"/>
        <v>#N/A</v>
      </c>
      <c r="O19" s="0" t="str">
        <f>VLOOKUP(F19,[1]Sheet1!$E$7:$H$1160,2,FALSE)</f>
        <v>强化玻璃试管</v>
      </c>
      <c r="P19" s="0" t="str">
        <f t="shared" si="4"/>
        <v>1001,强化玻璃试管,9</v>
      </c>
      <c r="Q19" s="0" t="e">
        <f t="shared" si="1"/>
        <v>#N/A</v>
      </c>
    </row>
    <row r="20" ht="16.5">
      <c r="A20" s="17" t="s">
        <v>293</v>
      </c>
      <c r="B20" s="18" t="s">
        <v>259</v>
      </c>
      <c r="C20" s="17">
        <v>12</v>
      </c>
      <c r="D20" s="18" t="s">
        <v>275</v>
      </c>
      <c r="E20" s="17">
        <v>12</v>
      </c>
      <c r="F20" s="18" t="s">
        <v>260</v>
      </c>
      <c r="G20" s="17">
        <v>12</v>
      </c>
      <c r="H20" s="18" t="s">
        <v>261</v>
      </c>
      <c r="I20" s="18">
        <v>12</v>
      </c>
      <c r="J20" s="0" t="e">
        <f>VLOOKUP(A20,[1]Sheet1!$E$7:$H$1160,2,FALSE)</f>
        <v>#N/A</v>
      </c>
      <c r="K20" s="0" t="e">
        <f>VLOOKUP(B20,[1]Sheet1!$E$7:$H$1160,2,FALSE)</f>
        <v>#N/A</v>
      </c>
      <c r="L20" s="0" t="e">
        <f t="shared" si="2"/>
        <v>#N/A</v>
      </c>
      <c r="M20" s="0" t="e">
        <f>VLOOKUP(D20,[1]Sheet1!$E$7:$H$1160,2,FALSE)</f>
        <v>#N/A</v>
      </c>
      <c r="N20" s="0" t="e">
        <f t="shared" si="3"/>
        <v>#N/A</v>
      </c>
      <c r="O20" s="0" t="str">
        <f>VLOOKUP(F20,[1]Sheet1!$E$7:$H$1160,2,FALSE)</f>
        <v>水晶试管</v>
      </c>
      <c r="P20" s="0" t="str">
        <f t="shared" si="4"/>
        <v>1001,水晶试管,12</v>
      </c>
      <c r="Q20" s="0" t="e">
        <f t="shared" si="1"/>
        <v>#N/A</v>
      </c>
    </row>
    <row r="21" ht="16.5">
      <c r="A21" s="17" t="s">
        <v>294</v>
      </c>
      <c r="B21" s="18" t="s">
        <v>264</v>
      </c>
      <c r="C21" s="17">
        <v>15</v>
      </c>
      <c r="D21" s="18" t="s">
        <v>278</v>
      </c>
      <c r="E21" s="17">
        <v>15</v>
      </c>
      <c r="F21" s="18" t="s">
        <v>265</v>
      </c>
      <c r="G21" s="17">
        <v>15</v>
      </c>
      <c r="H21" s="18" t="s">
        <v>266</v>
      </c>
      <c r="I21" s="18">
        <v>15</v>
      </c>
      <c r="J21" s="0" t="e">
        <f>VLOOKUP(A21,[1]Sheet1!$E$7:$H$1160,2,FALSE)</f>
        <v>#N/A</v>
      </c>
      <c r="K21" s="0" t="e">
        <f>VLOOKUP(B21,[1]Sheet1!$E$7:$H$1160,2,FALSE)</f>
        <v>#N/A</v>
      </c>
      <c r="L21" s="0" t="e">
        <f t="shared" si="2"/>
        <v>#N/A</v>
      </c>
      <c r="M21" s="0" t="e">
        <f>VLOOKUP(D21,[1]Sheet1!$E$7:$H$1160,2,FALSE)</f>
        <v>#N/A</v>
      </c>
      <c r="N21" s="0" t="e">
        <f t="shared" si="3"/>
        <v>#N/A</v>
      </c>
      <c r="O21" s="0" t="str">
        <f>VLOOKUP(F21,[1]Sheet1!$E$7:$H$1160,2,FALSE)</f>
        <v>黄金药碾</v>
      </c>
      <c r="P21" s="0" t="str">
        <f t="shared" si="4"/>
        <v>1001,黄金药碾,15</v>
      </c>
      <c r="Q21" s="0" t="e">
        <f t="shared" si="1"/>
        <v>#N/A</v>
      </c>
    </row>
    <row r="22" ht="16.5">
      <c r="A22" s="15" t="s">
        <v>295</v>
      </c>
      <c r="B22" s="16" t="s">
        <v>269</v>
      </c>
      <c r="C22" s="15">
        <v>3</v>
      </c>
      <c r="D22" s="16" t="s">
        <v>281</v>
      </c>
      <c r="E22" s="15">
        <v>3</v>
      </c>
      <c r="F22" s="16" t="s">
        <v>245</v>
      </c>
      <c r="G22" s="15">
        <v>3</v>
      </c>
      <c r="H22" s="16" t="s">
        <v>246</v>
      </c>
      <c r="I22" s="16">
        <v>3</v>
      </c>
      <c r="J22" s="0" t="e">
        <f>VLOOKUP(A22,[1]Sheet1!$E$7:$H$1160,2,FALSE)</f>
        <v>#N/A</v>
      </c>
      <c r="K22" s="0" t="e">
        <f>VLOOKUP(B22,[1]Sheet1!$E$7:$H$1160,2,FALSE)</f>
        <v>#N/A</v>
      </c>
      <c r="L22" s="0" t="e">
        <f t="shared" si="2"/>
        <v>#N/A</v>
      </c>
      <c r="M22" s="0" t="e">
        <f>VLOOKUP(D22,[1]Sheet1!$E$7:$H$1160,2,FALSE)</f>
        <v>#N/A</v>
      </c>
      <c r="N22" s="0" t="e">
        <f t="shared" si="3"/>
        <v>#N/A</v>
      </c>
      <c r="O22" s="0" t="str">
        <f>VLOOKUP(F22,[1]Sheet1!$E$7:$H$1160,2,FALSE)</f>
        <v>石制药碾</v>
      </c>
      <c r="P22" s="0" t="str">
        <f t="shared" si="4"/>
        <v>1001,石制药碾,3</v>
      </c>
      <c r="Q22" s="0" t="e">
        <f t="shared" si="1"/>
        <v>#N/A</v>
      </c>
    </row>
    <row r="23" ht="16.5">
      <c r="A23" s="15" t="s">
        <v>296</v>
      </c>
      <c r="B23" s="16" t="s">
        <v>271</v>
      </c>
      <c r="C23" s="15">
        <v>6</v>
      </c>
      <c r="D23" s="16" t="s">
        <v>283</v>
      </c>
      <c r="E23" s="15">
        <v>6</v>
      </c>
      <c r="F23" s="16" t="s">
        <v>250</v>
      </c>
      <c r="G23" s="15">
        <v>6</v>
      </c>
      <c r="H23" s="16" t="s">
        <v>251</v>
      </c>
      <c r="I23" s="16">
        <v>6</v>
      </c>
      <c r="J23" s="0" t="e">
        <f>VLOOKUP(A23,[1]Sheet1!$E$7:$H$1160,2,FALSE)</f>
        <v>#N/A</v>
      </c>
      <c r="K23" s="0" t="e">
        <f>VLOOKUP(B23,[1]Sheet1!$E$7:$H$1160,2,FALSE)</f>
        <v>#N/A</v>
      </c>
      <c r="L23" s="0" t="e">
        <f t="shared" si="2"/>
        <v>#N/A</v>
      </c>
      <c r="M23" s="0" t="e">
        <f>VLOOKUP(D23,[1]Sheet1!$E$7:$H$1160,2,FALSE)</f>
        <v>#N/A</v>
      </c>
      <c r="N23" s="0" t="e">
        <f t="shared" si="3"/>
        <v>#N/A</v>
      </c>
      <c r="O23" s="0" t="str">
        <f>VLOOKUP(F23,[1]Sheet1!$E$7:$H$1160,2,FALSE)</f>
        <v>玻璃试管</v>
      </c>
      <c r="P23" s="0" t="str">
        <f t="shared" si="4"/>
        <v>1001,玻璃试管,6</v>
      </c>
      <c r="Q23" s="0" t="e">
        <f t="shared" si="1"/>
        <v>#N/A</v>
      </c>
    </row>
    <row r="24" ht="16.5">
      <c r="A24" s="15" t="s">
        <v>297</v>
      </c>
      <c r="B24" s="16" t="s">
        <v>274</v>
      </c>
      <c r="C24" s="15">
        <v>9</v>
      </c>
      <c r="D24" s="16" t="s">
        <v>285</v>
      </c>
      <c r="E24" s="15">
        <v>9</v>
      </c>
      <c r="F24" s="16" t="s">
        <v>255</v>
      </c>
      <c r="G24" s="15">
        <v>9</v>
      </c>
      <c r="H24" s="16" t="s">
        <v>256</v>
      </c>
      <c r="I24" s="16">
        <v>9</v>
      </c>
      <c r="J24" s="0" t="e">
        <f>VLOOKUP(A24,[1]Sheet1!$E$7:$H$1160,2,FALSE)</f>
        <v>#N/A</v>
      </c>
      <c r="K24" s="0" t="e">
        <f>VLOOKUP(B24,[1]Sheet1!$E$7:$H$1160,2,FALSE)</f>
        <v>#N/A</v>
      </c>
      <c r="L24" s="0" t="e">
        <f t="shared" si="2"/>
        <v>#N/A</v>
      </c>
      <c r="M24" s="0" t="e">
        <f>VLOOKUP(D24,[1]Sheet1!$E$7:$H$1160,2,FALSE)</f>
        <v>#N/A</v>
      </c>
      <c r="N24" s="0" t="e">
        <f t="shared" si="3"/>
        <v>#N/A</v>
      </c>
      <c r="O24" s="0" t="str">
        <f>VLOOKUP(F24,[1]Sheet1!$E$7:$H$1160,2,FALSE)</f>
        <v>强化玻璃试管</v>
      </c>
      <c r="P24" s="0" t="str">
        <f t="shared" si="4"/>
        <v>1001,强化玻璃试管,9</v>
      </c>
      <c r="Q24" s="0" t="e">
        <f t="shared" si="1"/>
        <v>#N/A</v>
      </c>
    </row>
    <row r="25" ht="16.5">
      <c r="A25" s="15" t="s">
        <v>298</v>
      </c>
      <c r="B25" s="16" t="s">
        <v>276</v>
      </c>
      <c r="C25" s="15">
        <v>12</v>
      </c>
      <c r="D25" s="16" t="s">
        <v>287</v>
      </c>
      <c r="E25" s="15">
        <v>12</v>
      </c>
      <c r="F25" s="16" t="s">
        <v>260</v>
      </c>
      <c r="G25" s="15">
        <v>12</v>
      </c>
      <c r="H25" s="16" t="s">
        <v>261</v>
      </c>
      <c r="I25" s="16">
        <v>12</v>
      </c>
      <c r="J25" s="0" t="e">
        <f>VLOOKUP(A25,[1]Sheet1!$E$7:$H$1160,2,FALSE)</f>
        <v>#N/A</v>
      </c>
      <c r="K25" s="0" t="e">
        <f>VLOOKUP(B25,[1]Sheet1!$E$7:$H$1160,2,FALSE)</f>
        <v>#N/A</v>
      </c>
      <c r="L25" s="0" t="e">
        <f t="shared" si="2"/>
        <v>#N/A</v>
      </c>
      <c r="M25" s="0" t="e">
        <f>VLOOKUP(D25,[1]Sheet1!$E$7:$H$1160,2,FALSE)</f>
        <v>#N/A</v>
      </c>
      <c r="N25" s="0" t="e">
        <f t="shared" si="3"/>
        <v>#N/A</v>
      </c>
      <c r="O25" s="0" t="str">
        <f>VLOOKUP(F25,[1]Sheet1!$E$7:$H$1160,2,FALSE)</f>
        <v>水晶试管</v>
      </c>
      <c r="P25" s="0" t="str">
        <f t="shared" si="4"/>
        <v>1001,水晶试管,12</v>
      </c>
      <c r="Q25" s="0" t="e">
        <f t="shared" si="1"/>
        <v>#N/A</v>
      </c>
    </row>
    <row r="26" ht="16.5">
      <c r="A26" s="15" t="s">
        <v>299</v>
      </c>
      <c r="B26" s="16" t="s">
        <v>279</v>
      </c>
      <c r="C26" s="15">
        <v>15</v>
      </c>
      <c r="D26" s="16" t="s">
        <v>289</v>
      </c>
      <c r="E26" s="15">
        <v>15</v>
      </c>
      <c r="F26" s="16" t="s">
        <v>265</v>
      </c>
      <c r="G26" s="15">
        <v>15</v>
      </c>
      <c r="H26" s="16" t="s">
        <v>266</v>
      </c>
      <c r="I26" s="16">
        <v>15</v>
      </c>
      <c r="J26" s="0" t="e">
        <f>VLOOKUP(A26,[1]Sheet1!$E$7:$H$1160,2,FALSE)</f>
        <v>#N/A</v>
      </c>
      <c r="K26" s="0" t="e">
        <f>VLOOKUP(B26,[1]Sheet1!$E$7:$H$1160,2,FALSE)</f>
        <v>#N/A</v>
      </c>
      <c r="L26" s="0" t="e">
        <f t="shared" si="2"/>
        <v>#N/A</v>
      </c>
      <c r="M26" s="0" t="e">
        <f>VLOOKUP(D26,[1]Sheet1!$E$7:$H$1160,2,FALSE)</f>
        <v>#N/A</v>
      </c>
      <c r="N26" s="0" t="e">
        <f t="shared" si="3"/>
        <v>#N/A</v>
      </c>
      <c r="O26" s="0" t="str">
        <f>VLOOKUP(F26,[1]Sheet1!$E$7:$H$1160,2,FALSE)</f>
        <v>黄金药碾</v>
      </c>
      <c r="P26" s="0" t="str">
        <f t="shared" si="4"/>
        <v>1001,黄金药碾,15</v>
      </c>
      <c r="Q26" s="0" t="e">
        <f t="shared" si="1"/>
        <v>#N/A</v>
      </c>
    </row>
    <row r="27" ht="16.5">
      <c r="A27" s="17" t="s">
        <v>300</v>
      </c>
      <c r="B27" s="18" t="s">
        <v>243</v>
      </c>
      <c r="C27" s="17">
        <v>3</v>
      </c>
      <c r="D27" s="18" t="s">
        <v>244</v>
      </c>
      <c r="E27" s="17">
        <v>3</v>
      </c>
      <c r="F27" s="18" t="s">
        <v>245</v>
      </c>
      <c r="G27" s="17">
        <v>3</v>
      </c>
      <c r="H27" s="18" t="s">
        <v>246</v>
      </c>
      <c r="I27" s="18">
        <v>3</v>
      </c>
      <c r="J27" s="0" t="e">
        <f>VLOOKUP(A27,[1]Sheet1!$E$7:$H$1160,2,FALSE)</f>
        <v>#N/A</v>
      </c>
      <c r="K27" s="0" t="str">
        <f>VLOOKUP(B27,[1]Sheet1!$E$7:$H$1160,2,FALSE)</f>
        <v>草药根</v>
      </c>
      <c r="L27" s="0" t="str">
        <f t="shared" si="2"/>
        <v>1001,草药根,3</v>
      </c>
      <c r="M27" s="0" t="e">
        <f>VLOOKUP(D27,[1]Sheet1!$E$7:$H$1160,2,FALSE)</f>
        <v>#N/A</v>
      </c>
      <c r="N27" s="0" t="e">
        <f t="shared" si="3"/>
        <v>#N/A</v>
      </c>
      <c r="O27" s="0" t="str">
        <f>VLOOKUP(F27,[1]Sheet1!$E$7:$H$1160,2,FALSE)</f>
        <v>石制药碾</v>
      </c>
      <c r="P27" s="0" t="str">
        <f t="shared" si="4"/>
        <v>1001,石制药碾,3</v>
      </c>
      <c r="Q27" s="0" t="e">
        <f t="shared" si="1"/>
        <v>#N/A</v>
      </c>
    </row>
    <row r="28" ht="16.5">
      <c r="A28" s="17" t="s">
        <v>301</v>
      </c>
      <c r="B28" s="18" t="s">
        <v>248</v>
      </c>
      <c r="C28" s="17">
        <v>6</v>
      </c>
      <c r="D28" s="18" t="s">
        <v>249</v>
      </c>
      <c r="E28" s="17">
        <v>6</v>
      </c>
      <c r="F28" s="18" t="s">
        <v>250</v>
      </c>
      <c r="G28" s="17">
        <v>6</v>
      </c>
      <c r="H28" s="18" t="s">
        <v>251</v>
      </c>
      <c r="I28" s="18">
        <v>6</v>
      </c>
      <c r="J28" s="0" t="e">
        <f>VLOOKUP(A28,[1]Sheet1!$E$7:$H$1160,2,FALSE)</f>
        <v>#N/A</v>
      </c>
      <c r="K28" s="0" t="e">
        <f>VLOOKUP(B28,[1]Sheet1!$E$7:$H$1160,2,FALSE)</f>
        <v>#N/A</v>
      </c>
      <c r="L28" s="0" t="e">
        <f t="shared" si="2"/>
        <v>#N/A</v>
      </c>
      <c r="M28" s="0" t="e">
        <f>VLOOKUP(D28,[1]Sheet1!$E$7:$H$1160,2,FALSE)</f>
        <v>#N/A</v>
      </c>
      <c r="N28" s="0" t="e">
        <f t="shared" si="3"/>
        <v>#N/A</v>
      </c>
      <c r="O28" s="0" t="str">
        <f>VLOOKUP(F28,[1]Sheet1!$E$7:$H$1160,2,FALSE)</f>
        <v>玻璃试管</v>
      </c>
      <c r="P28" s="0" t="str">
        <f t="shared" si="4"/>
        <v>1001,玻璃试管,6</v>
      </c>
      <c r="Q28" s="0" t="e">
        <f t="shared" si="1"/>
        <v>#N/A</v>
      </c>
    </row>
    <row r="29" ht="16.5">
      <c r="A29" s="17" t="s">
        <v>302</v>
      </c>
      <c r="B29" s="18" t="s">
        <v>253</v>
      </c>
      <c r="C29" s="17">
        <v>9</v>
      </c>
      <c r="D29" s="18" t="s">
        <v>254</v>
      </c>
      <c r="E29" s="17">
        <v>9</v>
      </c>
      <c r="F29" s="18" t="s">
        <v>255</v>
      </c>
      <c r="G29" s="17">
        <v>9</v>
      </c>
      <c r="H29" s="18" t="s">
        <v>256</v>
      </c>
      <c r="I29" s="18">
        <v>9</v>
      </c>
      <c r="J29" s="0" t="e">
        <f>VLOOKUP(A29,[1]Sheet1!$E$7:$H$1160,2,FALSE)</f>
        <v>#N/A</v>
      </c>
      <c r="K29" s="0" t="e">
        <f>VLOOKUP(B29,[1]Sheet1!$E$7:$H$1160,2,FALSE)</f>
        <v>#N/A</v>
      </c>
      <c r="L29" s="0" t="e">
        <f t="shared" si="2"/>
        <v>#N/A</v>
      </c>
      <c r="M29" s="0" t="e">
        <f>VLOOKUP(D29,[1]Sheet1!$E$7:$H$1160,2,FALSE)</f>
        <v>#N/A</v>
      </c>
      <c r="N29" s="0" t="e">
        <f t="shared" si="3"/>
        <v>#N/A</v>
      </c>
      <c r="O29" s="0" t="str">
        <f>VLOOKUP(F29,[1]Sheet1!$E$7:$H$1160,2,FALSE)</f>
        <v>强化玻璃试管</v>
      </c>
      <c r="P29" s="0" t="str">
        <f t="shared" si="4"/>
        <v>1001,强化玻璃试管,9</v>
      </c>
      <c r="Q29" s="0" t="e">
        <f t="shared" si="1"/>
        <v>#N/A</v>
      </c>
    </row>
    <row r="30" ht="16.5">
      <c r="A30" s="17" t="s">
        <v>303</v>
      </c>
      <c r="B30" s="18" t="s">
        <v>258</v>
      </c>
      <c r="C30" s="17">
        <v>12</v>
      </c>
      <c r="D30" s="18" t="s">
        <v>259</v>
      </c>
      <c r="E30" s="17">
        <v>12</v>
      </c>
      <c r="F30" s="18" t="s">
        <v>260</v>
      </c>
      <c r="G30" s="17">
        <v>12</v>
      </c>
      <c r="H30" s="18" t="s">
        <v>261</v>
      </c>
      <c r="I30" s="18">
        <v>12</v>
      </c>
      <c r="J30" s="0" t="e">
        <f>VLOOKUP(A30,[1]Sheet1!$E$7:$H$1160,2,FALSE)</f>
        <v>#N/A</v>
      </c>
      <c r="K30" s="0" t="e">
        <f>VLOOKUP(B30,[1]Sheet1!$E$7:$H$1160,2,FALSE)</f>
        <v>#N/A</v>
      </c>
      <c r="L30" s="0" t="e">
        <f t="shared" si="2"/>
        <v>#N/A</v>
      </c>
      <c r="M30" s="0" t="e">
        <f>VLOOKUP(D30,[1]Sheet1!$E$7:$H$1160,2,FALSE)</f>
        <v>#N/A</v>
      </c>
      <c r="N30" s="0" t="e">
        <f t="shared" si="3"/>
        <v>#N/A</v>
      </c>
      <c r="O30" s="0" t="str">
        <f>VLOOKUP(F30,[1]Sheet1!$E$7:$H$1160,2,FALSE)</f>
        <v>水晶试管</v>
      </c>
      <c r="P30" s="0" t="str">
        <f t="shared" si="4"/>
        <v>1001,水晶试管,12</v>
      </c>
      <c r="Q30" s="0" t="e">
        <f t="shared" si="1"/>
        <v>#N/A</v>
      </c>
    </row>
    <row r="31" ht="16.5">
      <c r="A31" s="17" t="s">
        <v>304</v>
      </c>
      <c r="B31" s="18" t="s">
        <v>263</v>
      </c>
      <c r="C31" s="17">
        <v>15</v>
      </c>
      <c r="D31" s="18" t="s">
        <v>264</v>
      </c>
      <c r="E31" s="17">
        <v>15</v>
      </c>
      <c r="F31" s="18" t="s">
        <v>265</v>
      </c>
      <c r="G31" s="17">
        <v>15</v>
      </c>
      <c r="H31" s="18" t="s">
        <v>266</v>
      </c>
      <c r="I31" s="18">
        <v>15</v>
      </c>
      <c r="J31" s="0" t="e">
        <f>VLOOKUP(A31,[1]Sheet1!$E$7:$H$1160,2,FALSE)</f>
        <v>#N/A</v>
      </c>
      <c r="K31" s="0" t="e">
        <f>VLOOKUP(B31,[1]Sheet1!$E$7:$H$1160,2,FALSE)</f>
        <v>#N/A</v>
      </c>
      <c r="L31" s="0" t="e">
        <f t="shared" si="2"/>
        <v>#N/A</v>
      </c>
      <c r="M31" s="0" t="e">
        <f>VLOOKUP(D31,[1]Sheet1!$E$7:$H$1160,2,FALSE)</f>
        <v>#N/A</v>
      </c>
      <c r="N31" s="0" t="e">
        <f t="shared" si="3"/>
        <v>#N/A</v>
      </c>
      <c r="O31" s="0" t="str">
        <f>VLOOKUP(F31,[1]Sheet1!$E$7:$H$1160,2,FALSE)</f>
        <v>黄金药碾</v>
      </c>
      <c r="P31" s="0" t="str">
        <f t="shared" si="4"/>
        <v>1001,黄金药碾,15</v>
      </c>
      <c r="Q31" s="0" t="e">
        <f t="shared" si="1"/>
        <v>#N/A</v>
      </c>
    </row>
    <row r="32" ht="16.5">
      <c r="A32" s="15" t="s">
        <v>305</v>
      </c>
      <c r="B32" s="16" t="s">
        <v>268</v>
      </c>
      <c r="C32" s="15">
        <v>3</v>
      </c>
      <c r="D32" s="16" t="s">
        <v>269</v>
      </c>
      <c r="E32" s="15">
        <v>3</v>
      </c>
      <c r="F32" s="16" t="s">
        <v>245</v>
      </c>
      <c r="G32" s="15">
        <v>3</v>
      </c>
      <c r="H32" s="16" t="s">
        <v>246</v>
      </c>
      <c r="I32" s="16">
        <v>3</v>
      </c>
      <c r="J32" s="0" t="e">
        <f>VLOOKUP(A32,[1]Sheet1!$E$7:$H$1160,2,FALSE)</f>
        <v>#N/A</v>
      </c>
      <c r="K32" s="0" t="e">
        <f>VLOOKUP(B32,[1]Sheet1!$E$7:$H$1160,2,FALSE)</f>
        <v>#N/A</v>
      </c>
      <c r="L32" s="0" t="e">
        <f t="shared" si="2"/>
        <v>#N/A</v>
      </c>
      <c r="M32" s="0" t="e">
        <f>VLOOKUP(D32,[1]Sheet1!$E$7:$H$1160,2,FALSE)</f>
        <v>#N/A</v>
      </c>
      <c r="N32" s="0" t="e">
        <f t="shared" si="3"/>
        <v>#N/A</v>
      </c>
      <c r="O32" s="0" t="str">
        <f>VLOOKUP(F32,[1]Sheet1!$E$7:$H$1160,2,FALSE)</f>
        <v>石制药碾</v>
      </c>
      <c r="P32" s="0" t="str">
        <f t="shared" si="4"/>
        <v>1001,石制药碾,3</v>
      </c>
      <c r="Q32" s="0" t="e">
        <f t="shared" si="1"/>
        <v>#N/A</v>
      </c>
    </row>
    <row r="33" ht="16.5">
      <c r="A33" s="15" t="s">
        <v>306</v>
      </c>
      <c r="B33" s="16" t="s">
        <v>270</v>
      </c>
      <c r="C33" s="15">
        <v>6</v>
      </c>
      <c r="D33" s="16" t="s">
        <v>271</v>
      </c>
      <c r="E33" s="15">
        <v>6</v>
      </c>
      <c r="F33" s="16" t="s">
        <v>250</v>
      </c>
      <c r="G33" s="15">
        <v>6</v>
      </c>
      <c r="H33" s="16" t="s">
        <v>251</v>
      </c>
      <c r="I33" s="16">
        <v>6</v>
      </c>
      <c r="J33" s="0" t="e">
        <f>VLOOKUP(A33,[1]Sheet1!$E$7:$H$1160,2,FALSE)</f>
        <v>#N/A</v>
      </c>
      <c r="K33" s="0" t="e">
        <f>VLOOKUP(B33,[1]Sheet1!$E$7:$H$1160,2,FALSE)</f>
        <v>#N/A</v>
      </c>
      <c r="L33" s="0" t="e">
        <f t="shared" si="2"/>
        <v>#N/A</v>
      </c>
      <c r="M33" s="0" t="e">
        <f>VLOOKUP(D33,[1]Sheet1!$E$7:$H$1160,2,FALSE)</f>
        <v>#N/A</v>
      </c>
      <c r="N33" s="0" t="e">
        <f t="shared" si="3"/>
        <v>#N/A</v>
      </c>
      <c r="O33" s="0" t="str">
        <f>VLOOKUP(F33,[1]Sheet1!$E$7:$H$1160,2,FALSE)</f>
        <v>玻璃试管</v>
      </c>
      <c r="P33" s="0" t="str">
        <f t="shared" si="4"/>
        <v>1001,玻璃试管,6</v>
      </c>
      <c r="Q33" s="0" t="e">
        <f t="shared" si="1"/>
        <v>#N/A</v>
      </c>
    </row>
    <row r="34" ht="16.5">
      <c r="A34" s="15" t="s">
        <v>307</v>
      </c>
      <c r="B34" s="16" t="s">
        <v>273</v>
      </c>
      <c r="C34" s="15">
        <v>9</v>
      </c>
      <c r="D34" s="16" t="s">
        <v>274</v>
      </c>
      <c r="E34" s="15">
        <v>9</v>
      </c>
      <c r="F34" s="16" t="s">
        <v>255</v>
      </c>
      <c r="G34" s="15">
        <v>9</v>
      </c>
      <c r="H34" s="16" t="s">
        <v>256</v>
      </c>
      <c r="I34" s="16">
        <v>9</v>
      </c>
      <c r="J34" s="0" t="e">
        <f>VLOOKUP(A34,[1]Sheet1!$E$7:$H$1160,2,FALSE)</f>
        <v>#N/A</v>
      </c>
      <c r="K34" s="0" t="e">
        <f>VLOOKUP(B34,[1]Sheet1!$E$7:$H$1160,2,FALSE)</f>
        <v>#N/A</v>
      </c>
      <c r="L34" s="0" t="e">
        <f t="shared" si="2"/>
        <v>#N/A</v>
      </c>
      <c r="M34" s="0" t="e">
        <f>VLOOKUP(D34,[1]Sheet1!$E$7:$H$1160,2,FALSE)</f>
        <v>#N/A</v>
      </c>
      <c r="N34" s="0" t="e">
        <f t="shared" si="3"/>
        <v>#N/A</v>
      </c>
      <c r="O34" s="0" t="str">
        <f>VLOOKUP(F34,[1]Sheet1!$E$7:$H$1160,2,FALSE)</f>
        <v>强化玻璃试管</v>
      </c>
      <c r="P34" s="0" t="str">
        <f t="shared" si="4"/>
        <v>1001,强化玻璃试管,9</v>
      </c>
      <c r="Q34" s="0" t="e">
        <f t="shared" si="1"/>
        <v>#N/A</v>
      </c>
    </row>
    <row r="35" ht="16.5">
      <c r="A35" s="15" t="s">
        <v>308</v>
      </c>
      <c r="B35" s="16" t="s">
        <v>275</v>
      </c>
      <c r="C35" s="15">
        <v>12</v>
      </c>
      <c r="D35" s="16" t="s">
        <v>276</v>
      </c>
      <c r="E35" s="15">
        <v>12</v>
      </c>
      <c r="F35" s="16" t="s">
        <v>260</v>
      </c>
      <c r="G35" s="15">
        <v>12</v>
      </c>
      <c r="H35" s="16" t="s">
        <v>261</v>
      </c>
      <c r="I35" s="16">
        <v>12</v>
      </c>
      <c r="J35" s="0" t="e">
        <f>VLOOKUP(A35,[1]Sheet1!$E$7:$H$1160,2,FALSE)</f>
        <v>#N/A</v>
      </c>
      <c r="K35" s="0" t="e">
        <f>VLOOKUP(B35,[1]Sheet1!$E$7:$H$1160,2,FALSE)</f>
        <v>#N/A</v>
      </c>
      <c r="L35" s="0" t="e">
        <f t="shared" si="2"/>
        <v>#N/A</v>
      </c>
      <c r="M35" s="0" t="e">
        <f>VLOOKUP(D35,[1]Sheet1!$E$7:$H$1160,2,FALSE)</f>
        <v>#N/A</v>
      </c>
      <c r="N35" s="0" t="e">
        <f t="shared" si="3"/>
        <v>#N/A</v>
      </c>
      <c r="O35" s="0" t="str">
        <f>VLOOKUP(F35,[1]Sheet1!$E$7:$H$1160,2,FALSE)</f>
        <v>水晶试管</v>
      </c>
      <c r="P35" s="0" t="str">
        <f t="shared" si="4"/>
        <v>1001,水晶试管,12</v>
      </c>
      <c r="Q35" s="0" t="e">
        <f ref="Q35:Q66" t="shared" si="5">L35&amp;";"&amp;N35&amp;";"&amp;P35</f>
        <v>#N/A</v>
      </c>
    </row>
    <row r="36" ht="16.5">
      <c r="A36" s="15" t="s">
        <v>309</v>
      </c>
      <c r="B36" s="16" t="s">
        <v>278</v>
      </c>
      <c r="C36" s="15">
        <v>15</v>
      </c>
      <c r="D36" s="16" t="s">
        <v>279</v>
      </c>
      <c r="E36" s="15">
        <v>15</v>
      </c>
      <c r="F36" s="16" t="s">
        <v>265</v>
      </c>
      <c r="G36" s="15">
        <v>15</v>
      </c>
      <c r="H36" s="16" t="s">
        <v>266</v>
      </c>
      <c r="I36" s="16">
        <v>15</v>
      </c>
      <c r="J36" s="0" t="e">
        <f>VLOOKUP(A36,[1]Sheet1!$E$7:$H$1160,2,FALSE)</f>
        <v>#N/A</v>
      </c>
      <c r="K36" s="0" t="e">
        <f>VLOOKUP(B36,[1]Sheet1!$E$7:$H$1160,2,FALSE)</f>
        <v>#N/A</v>
      </c>
      <c r="L36" s="0" t="e">
        <f t="shared" si="2"/>
        <v>#N/A</v>
      </c>
      <c r="M36" s="0" t="e">
        <f>VLOOKUP(D36,[1]Sheet1!$E$7:$H$1160,2,FALSE)</f>
        <v>#N/A</v>
      </c>
      <c r="N36" s="0" t="e">
        <f t="shared" si="3"/>
        <v>#N/A</v>
      </c>
      <c r="O36" s="0" t="str">
        <f>VLOOKUP(F36,[1]Sheet1!$E$7:$H$1160,2,FALSE)</f>
        <v>黄金药碾</v>
      </c>
      <c r="P36" s="0" t="str">
        <f t="shared" si="4"/>
        <v>1001,黄金药碾,15</v>
      </c>
      <c r="Q36" s="0" t="e">
        <f t="shared" si="5"/>
        <v>#N/A</v>
      </c>
    </row>
    <row r="37" ht="16.5">
      <c r="A37" s="17" t="s">
        <v>310</v>
      </c>
      <c r="B37" s="18" t="s">
        <v>281</v>
      </c>
      <c r="C37" s="17">
        <v>3</v>
      </c>
      <c r="D37" s="18" t="s">
        <v>243</v>
      </c>
      <c r="E37" s="17">
        <v>3</v>
      </c>
      <c r="F37" s="18" t="s">
        <v>245</v>
      </c>
      <c r="G37" s="17">
        <v>3</v>
      </c>
      <c r="H37" s="18" t="s">
        <v>246</v>
      </c>
      <c r="I37" s="18">
        <v>3</v>
      </c>
      <c r="J37" s="0" t="e">
        <f>VLOOKUP(A37,[1]Sheet1!$E$7:$H$1160,2,FALSE)</f>
        <v>#N/A</v>
      </c>
      <c r="K37" s="0" t="e">
        <f>VLOOKUP(B37,[1]Sheet1!$E$7:$H$1160,2,FALSE)</f>
        <v>#N/A</v>
      </c>
      <c r="L37" s="0" t="e">
        <f t="shared" si="2"/>
        <v>#N/A</v>
      </c>
      <c r="M37" s="0" t="str">
        <f>VLOOKUP(D37,[1]Sheet1!$E$7:$H$1160,2,FALSE)</f>
        <v>草药根</v>
      </c>
      <c r="N37" s="0" t="str">
        <f t="shared" si="3"/>
        <v>1001,草药根,3</v>
      </c>
      <c r="O37" s="0" t="str">
        <f>VLOOKUP(F37,[1]Sheet1!$E$7:$H$1160,2,FALSE)</f>
        <v>石制药碾</v>
      </c>
      <c r="P37" s="0" t="str">
        <f t="shared" si="4"/>
        <v>1001,石制药碾,3</v>
      </c>
      <c r="Q37" s="0" t="e">
        <f t="shared" si="5"/>
        <v>#N/A</v>
      </c>
    </row>
    <row r="38" ht="16.5">
      <c r="A38" s="17" t="s">
        <v>311</v>
      </c>
      <c r="B38" s="18" t="s">
        <v>283</v>
      </c>
      <c r="C38" s="17">
        <v>6</v>
      </c>
      <c r="D38" s="18" t="s">
        <v>248</v>
      </c>
      <c r="E38" s="17">
        <v>6</v>
      </c>
      <c r="F38" s="18" t="s">
        <v>250</v>
      </c>
      <c r="G38" s="17">
        <v>6</v>
      </c>
      <c r="H38" s="18" t="s">
        <v>251</v>
      </c>
      <c r="I38" s="18">
        <v>6</v>
      </c>
      <c r="J38" s="0" t="e">
        <f>VLOOKUP(A38,[1]Sheet1!$E$7:$H$1160,2,FALSE)</f>
        <v>#N/A</v>
      </c>
      <c r="K38" s="0" t="e">
        <f>VLOOKUP(B38,[1]Sheet1!$E$7:$H$1160,2,FALSE)</f>
        <v>#N/A</v>
      </c>
      <c r="L38" s="0" t="e">
        <f t="shared" si="2"/>
        <v>#N/A</v>
      </c>
      <c r="M38" s="0" t="e">
        <f>VLOOKUP(D38,[1]Sheet1!$E$7:$H$1160,2,FALSE)</f>
        <v>#N/A</v>
      </c>
      <c r="N38" s="0" t="e">
        <f t="shared" si="3"/>
        <v>#N/A</v>
      </c>
      <c r="O38" s="0" t="str">
        <f>VLOOKUP(F38,[1]Sheet1!$E$7:$H$1160,2,FALSE)</f>
        <v>玻璃试管</v>
      </c>
      <c r="P38" s="0" t="str">
        <f t="shared" si="4"/>
        <v>1001,玻璃试管,6</v>
      </c>
      <c r="Q38" s="0" t="e">
        <f t="shared" si="5"/>
        <v>#N/A</v>
      </c>
    </row>
    <row r="39" ht="16.5">
      <c r="A39" s="17" t="s">
        <v>312</v>
      </c>
      <c r="B39" s="18" t="s">
        <v>285</v>
      </c>
      <c r="C39" s="17">
        <v>9</v>
      </c>
      <c r="D39" s="18" t="s">
        <v>253</v>
      </c>
      <c r="E39" s="17">
        <v>9</v>
      </c>
      <c r="F39" s="18" t="s">
        <v>255</v>
      </c>
      <c r="G39" s="17">
        <v>9</v>
      </c>
      <c r="H39" s="18" t="s">
        <v>256</v>
      </c>
      <c r="I39" s="18">
        <v>9</v>
      </c>
      <c r="J39" s="0" t="e">
        <f>VLOOKUP(A39,[1]Sheet1!$E$7:$H$1160,2,FALSE)</f>
        <v>#N/A</v>
      </c>
      <c r="K39" s="0" t="e">
        <f>VLOOKUP(B39,[1]Sheet1!$E$7:$H$1160,2,FALSE)</f>
        <v>#N/A</v>
      </c>
      <c r="L39" s="0" t="e">
        <f ref="L39:L70" t="shared" si="6">"1001,"&amp;K39&amp;","&amp;C39</f>
        <v>#N/A</v>
      </c>
      <c r="M39" s="0" t="e">
        <f>VLOOKUP(D39,[1]Sheet1!$E$7:$H$1160,2,FALSE)</f>
        <v>#N/A</v>
      </c>
      <c r="N39" s="0" t="e">
        <f ref="N39:N70" t="shared" si="7">"1001,"&amp;M39&amp;","&amp;E39</f>
        <v>#N/A</v>
      </c>
      <c r="O39" s="0" t="str">
        <f>VLOOKUP(F39,[1]Sheet1!$E$7:$H$1160,2,FALSE)</f>
        <v>强化玻璃试管</v>
      </c>
      <c r="P39" s="0" t="str">
        <f ref="P39:P70" t="shared" si="8">"1001,"&amp;O39&amp;","&amp;G39</f>
        <v>1001,强化玻璃试管,9</v>
      </c>
      <c r="Q39" s="0" t="e">
        <f t="shared" si="5"/>
        <v>#N/A</v>
      </c>
    </row>
    <row r="40" ht="16.5">
      <c r="A40" s="17" t="s">
        <v>313</v>
      </c>
      <c r="B40" s="18" t="s">
        <v>287</v>
      </c>
      <c r="C40" s="17">
        <v>12</v>
      </c>
      <c r="D40" s="18" t="s">
        <v>258</v>
      </c>
      <c r="E40" s="17">
        <v>12</v>
      </c>
      <c r="F40" s="18" t="s">
        <v>260</v>
      </c>
      <c r="G40" s="17">
        <v>12</v>
      </c>
      <c r="H40" s="18" t="s">
        <v>261</v>
      </c>
      <c r="I40" s="18">
        <v>12</v>
      </c>
      <c r="J40" s="0" t="e">
        <f>VLOOKUP(A40,[1]Sheet1!$E$7:$H$1160,2,FALSE)</f>
        <v>#N/A</v>
      </c>
      <c r="K40" s="0" t="e">
        <f>VLOOKUP(B40,[1]Sheet1!$E$7:$H$1160,2,FALSE)</f>
        <v>#N/A</v>
      </c>
      <c r="L40" s="0" t="e">
        <f t="shared" si="6"/>
        <v>#N/A</v>
      </c>
      <c r="M40" s="0" t="e">
        <f>VLOOKUP(D40,[1]Sheet1!$E$7:$H$1160,2,FALSE)</f>
        <v>#N/A</v>
      </c>
      <c r="N40" s="0" t="e">
        <f t="shared" si="7"/>
        <v>#N/A</v>
      </c>
      <c r="O40" s="0" t="str">
        <f>VLOOKUP(F40,[1]Sheet1!$E$7:$H$1160,2,FALSE)</f>
        <v>水晶试管</v>
      </c>
      <c r="P40" s="0" t="str">
        <f t="shared" si="8"/>
        <v>1001,水晶试管,12</v>
      </c>
      <c r="Q40" s="0" t="e">
        <f t="shared" si="5"/>
        <v>#N/A</v>
      </c>
    </row>
    <row r="41" ht="16.5">
      <c r="A41" s="17" t="s">
        <v>314</v>
      </c>
      <c r="B41" s="18" t="s">
        <v>289</v>
      </c>
      <c r="C41" s="17">
        <v>15</v>
      </c>
      <c r="D41" s="18" t="s">
        <v>263</v>
      </c>
      <c r="E41" s="17">
        <v>15</v>
      </c>
      <c r="F41" s="18" t="s">
        <v>265</v>
      </c>
      <c r="G41" s="17">
        <v>15</v>
      </c>
      <c r="H41" s="18" t="s">
        <v>266</v>
      </c>
      <c r="I41" s="18">
        <v>15</v>
      </c>
      <c r="J41" s="0" t="e">
        <f>VLOOKUP(A41,[1]Sheet1!$E$7:$H$1160,2,FALSE)</f>
        <v>#N/A</v>
      </c>
      <c r="K41" s="0" t="e">
        <f>VLOOKUP(B41,[1]Sheet1!$E$7:$H$1160,2,FALSE)</f>
        <v>#N/A</v>
      </c>
      <c r="L41" s="0" t="e">
        <f t="shared" si="6"/>
        <v>#N/A</v>
      </c>
      <c r="M41" s="0" t="e">
        <f>VLOOKUP(D41,[1]Sheet1!$E$7:$H$1160,2,FALSE)</f>
        <v>#N/A</v>
      </c>
      <c r="N41" s="0" t="e">
        <f t="shared" si="7"/>
        <v>#N/A</v>
      </c>
      <c r="O41" s="0" t="str">
        <f>VLOOKUP(F41,[1]Sheet1!$E$7:$H$1160,2,FALSE)</f>
        <v>黄金药碾</v>
      </c>
      <c r="P41" s="0" t="str">
        <f t="shared" si="8"/>
        <v>1001,黄金药碾,15</v>
      </c>
      <c r="Q41" s="0" t="e">
        <f t="shared" si="5"/>
        <v>#N/A</v>
      </c>
    </row>
    <row r="42" ht="16.5">
      <c r="A42" s="15" t="s">
        <v>315</v>
      </c>
      <c r="B42" s="16" t="s">
        <v>244</v>
      </c>
      <c r="C42" s="15">
        <v>3</v>
      </c>
      <c r="D42" s="16" t="s">
        <v>268</v>
      </c>
      <c r="E42" s="15">
        <v>3</v>
      </c>
      <c r="F42" s="16" t="s">
        <v>245</v>
      </c>
      <c r="G42" s="15">
        <v>3</v>
      </c>
      <c r="H42" s="16" t="s">
        <v>246</v>
      </c>
      <c r="I42" s="16">
        <v>3</v>
      </c>
      <c r="J42" s="0" t="e">
        <f>VLOOKUP(A42,[1]Sheet1!$E$7:$H$1160,2,FALSE)</f>
        <v>#N/A</v>
      </c>
      <c r="K42" s="0" t="e">
        <f>VLOOKUP(B42,[1]Sheet1!$E$7:$H$1160,2,FALSE)</f>
        <v>#N/A</v>
      </c>
      <c r="L42" s="0" t="e">
        <f t="shared" si="6"/>
        <v>#N/A</v>
      </c>
      <c r="M42" s="0" t="e">
        <f>VLOOKUP(D42,[1]Sheet1!$E$7:$H$1160,2,FALSE)</f>
        <v>#N/A</v>
      </c>
      <c r="N42" s="0" t="e">
        <f t="shared" si="7"/>
        <v>#N/A</v>
      </c>
      <c r="O42" s="0" t="str">
        <f>VLOOKUP(F42,[1]Sheet1!$E$7:$H$1160,2,FALSE)</f>
        <v>石制药碾</v>
      </c>
      <c r="P42" s="0" t="str">
        <f t="shared" si="8"/>
        <v>1001,石制药碾,3</v>
      </c>
      <c r="Q42" s="0" t="e">
        <f t="shared" si="5"/>
        <v>#N/A</v>
      </c>
    </row>
    <row r="43" ht="16.5">
      <c r="A43" s="15" t="s">
        <v>316</v>
      </c>
      <c r="B43" s="16" t="s">
        <v>249</v>
      </c>
      <c r="C43" s="15">
        <v>6</v>
      </c>
      <c r="D43" s="16" t="s">
        <v>270</v>
      </c>
      <c r="E43" s="15">
        <v>6</v>
      </c>
      <c r="F43" s="16" t="s">
        <v>250</v>
      </c>
      <c r="G43" s="15">
        <v>6</v>
      </c>
      <c r="H43" s="16" t="s">
        <v>251</v>
      </c>
      <c r="I43" s="16">
        <v>6</v>
      </c>
      <c r="J43" s="0" t="e">
        <f>VLOOKUP(A43,[1]Sheet1!$E$7:$H$1160,2,FALSE)</f>
        <v>#N/A</v>
      </c>
      <c r="K43" s="0" t="e">
        <f>VLOOKUP(B43,[1]Sheet1!$E$7:$H$1160,2,FALSE)</f>
        <v>#N/A</v>
      </c>
      <c r="L43" s="0" t="e">
        <f t="shared" si="6"/>
        <v>#N/A</v>
      </c>
      <c r="M43" s="0" t="e">
        <f>VLOOKUP(D43,[1]Sheet1!$E$7:$H$1160,2,FALSE)</f>
        <v>#N/A</v>
      </c>
      <c r="N43" s="0" t="e">
        <f t="shared" si="7"/>
        <v>#N/A</v>
      </c>
      <c r="O43" s="0" t="str">
        <f>VLOOKUP(F43,[1]Sheet1!$E$7:$H$1160,2,FALSE)</f>
        <v>玻璃试管</v>
      </c>
      <c r="P43" s="0" t="str">
        <f t="shared" si="8"/>
        <v>1001,玻璃试管,6</v>
      </c>
      <c r="Q43" s="0" t="e">
        <f t="shared" si="5"/>
        <v>#N/A</v>
      </c>
    </row>
    <row r="44" ht="16.5">
      <c r="A44" s="15" t="s">
        <v>317</v>
      </c>
      <c r="B44" s="16" t="s">
        <v>254</v>
      </c>
      <c r="C44" s="15">
        <v>9</v>
      </c>
      <c r="D44" s="16" t="s">
        <v>273</v>
      </c>
      <c r="E44" s="15">
        <v>9</v>
      </c>
      <c r="F44" s="16" t="s">
        <v>255</v>
      </c>
      <c r="G44" s="15">
        <v>9</v>
      </c>
      <c r="H44" s="16" t="s">
        <v>256</v>
      </c>
      <c r="I44" s="16">
        <v>9</v>
      </c>
      <c r="J44" s="0" t="e">
        <f>VLOOKUP(A44,[1]Sheet1!$E$7:$H$1160,2,FALSE)</f>
        <v>#N/A</v>
      </c>
      <c r="K44" s="0" t="e">
        <f>VLOOKUP(B44,[1]Sheet1!$E$7:$H$1160,2,FALSE)</f>
        <v>#N/A</v>
      </c>
      <c r="L44" s="0" t="e">
        <f t="shared" si="6"/>
        <v>#N/A</v>
      </c>
      <c r="M44" s="0" t="e">
        <f>VLOOKUP(D44,[1]Sheet1!$E$7:$H$1160,2,FALSE)</f>
        <v>#N/A</v>
      </c>
      <c r="N44" s="0" t="e">
        <f t="shared" si="7"/>
        <v>#N/A</v>
      </c>
      <c r="O44" s="0" t="str">
        <f>VLOOKUP(F44,[1]Sheet1!$E$7:$H$1160,2,FALSE)</f>
        <v>强化玻璃试管</v>
      </c>
      <c r="P44" s="0" t="str">
        <f t="shared" si="8"/>
        <v>1001,强化玻璃试管,9</v>
      </c>
      <c r="Q44" s="0" t="e">
        <f t="shared" si="5"/>
        <v>#N/A</v>
      </c>
    </row>
    <row r="45" ht="16.5">
      <c r="A45" s="15" t="s">
        <v>318</v>
      </c>
      <c r="B45" s="16" t="s">
        <v>259</v>
      </c>
      <c r="C45" s="15">
        <v>12</v>
      </c>
      <c r="D45" s="16" t="s">
        <v>275</v>
      </c>
      <c r="E45" s="15">
        <v>12</v>
      </c>
      <c r="F45" s="16" t="s">
        <v>260</v>
      </c>
      <c r="G45" s="15">
        <v>12</v>
      </c>
      <c r="H45" s="16" t="s">
        <v>261</v>
      </c>
      <c r="I45" s="16">
        <v>12</v>
      </c>
      <c r="J45" s="0" t="e">
        <f>VLOOKUP(A45,[1]Sheet1!$E$7:$H$1160,2,FALSE)</f>
        <v>#N/A</v>
      </c>
      <c r="K45" s="0" t="e">
        <f>VLOOKUP(B45,[1]Sheet1!$E$7:$H$1160,2,FALSE)</f>
        <v>#N/A</v>
      </c>
      <c r="L45" s="0" t="e">
        <f t="shared" si="6"/>
        <v>#N/A</v>
      </c>
      <c r="M45" s="0" t="e">
        <f>VLOOKUP(D45,[1]Sheet1!$E$7:$H$1160,2,FALSE)</f>
        <v>#N/A</v>
      </c>
      <c r="N45" s="0" t="e">
        <f t="shared" si="7"/>
        <v>#N/A</v>
      </c>
      <c r="O45" s="0" t="str">
        <f>VLOOKUP(F45,[1]Sheet1!$E$7:$H$1160,2,FALSE)</f>
        <v>水晶试管</v>
      </c>
      <c r="P45" s="0" t="str">
        <f t="shared" si="8"/>
        <v>1001,水晶试管,12</v>
      </c>
      <c r="Q45" s="0" t="e">
        <f t="shared" si="5"/>
        <v>#N/A</v>
      </c>
    </row>
    <row r="46" ht="16.5">
      <c r="A46" s="15" t="s">
        <v>319</v>
      </c>
      <c r="B46" s="16" t="s">
        <v>264</v>
      </c>
      <c r="C46" s="15">
        <v>15</v>
      </c>
      <c r="D46" s="16" t="s">
        <v>278</v>
      </c>
      <c r="E46" s="15">
        <v>15</v>
      </c>
      <c r="F46" s="16" t="s">
        <v>265</v>
      </c>
      <c r="G46" s="15">
        <v>15</v>
      </c>
      <c r="H46" s="16" t="s">
        <v>266</v>
      </c>
      <c r="I46" s="16">
        <v>15</v>
      </c>
      <c r="J46" s="0" t="e">
        <f>VLOOKUP(A46,[1]Sheet1!$E$7:$H$1160,2,FALSE)</f>
        <v>#N/A</v>
      </c>
      <c r="K46" s="0" t="e">
        <f>VLOOKUP(B46,[1]Sheet1!$E$7:$H$1160,2,FALSE)</f>
        <v>#N/A</v>
      </c>
      <c r="L46" s="0" t="e">
        <f t="shared" si="6"/>
        <v>#N/A</v>
      </c>
      <c r="M46" s="0" t="e">
        <f>VLOOKUP(D46,[1]Sheet1!$E$7:$H$1160,2,FALSE)</f>
        <v>#N/A</v>
      </c>
      <c r="N46" s="0" t="e">
        <f t="shared" si="7"/>
        <v>#N/A</v>
      </c>
      <c r="O46" s="0" t="str">
        <f>VLOOKUP(F46,[1]Sheet1!$E$7:$H$1160,2,FALSE)</f>
        <v>黄金药碾</v>
      </c>
      <c r="P46" s="0" t="str">
        <f t="shared" si="8"/>
        <v>1001,黄金药碾,15</v>
      </c>
      <c r="Q46" s="0" t="e">
        <f t="shared" si="5"/>
        <v>#N/A</v>
      </c>
    </row>
    <row r="47" ht="16.5">
      <c r="A47" s="17" t="s">
        <v>320</v>
      </c>
      <c r="B47" s="18" t="s">
        <v>269</v>
      </c>
      <c r="C47" s="17">
        <v>3</v>
      </c>
      <c r="D47" s="18" t="s">
        <v>281</v>
      </c>
      <c r="E47" s="17">
        <v>3</v>
      </c>
      <c r="F47" s="18" t="s">
        <v>245</v>
      </c>
      <c r="G47" s="17">
        <v>3</v>
      </c>
      <c r="H47" s="18" t="s">
        <v>246</v>
      </c>
      <c r="I47" s="18">
        <v>3</v>
      </c>
      <c r="J47" s="0" t="e">
        <f>VLOOKUP(A47,[1]Sheet1!$E$7:$H$1160,2,FALSE)</f>
        <v>#N/A</v>
      </c>
      <c r="K47" s="0" t="e">
        <f>VLOOKUP(B47,[1]Sheet1!$E$7:$H$1160,2,FALSE)</f>
        <v>#N/A</v>
      </c>
      <c r="L47" s="0" t="e">
        <f t="shared" si="6"/>
        <v>#N/A</v>
      </c>
      <c r="M47" s="0" t="e">
        <f>VLOOKUP(D47,[1]Sheet1!$E$7:$H$1160,2,FALSE)</f>
        <v>#N/A</v>
      </c>
      <c r="N47" s="0" t="e">
        <f t="shared" si="7"/>
        <v>#N/A</v>
      </c>
      <c r="O47" s="0" t="str">
        <f>VLOOKUP(F47,[1]Sheet1!$E$7:$H$1160,2,FALSE)</f>
        <v>石制药碾</v>
      </c>
      <c r="P47" s="0" t="str">
        <f t="shared" si="8"/>
        <v>1001,石制药碾,3</v>
      </c>
      <c r="Q47" s="0" t="e">
        <f t="shared" si="5"/>
        <v>#N/A</v>
      </c>
    </row>
    <row r="48" ht="16.5">
      <c r="A48" s="17" t="s">
        <v>321</v>
      </c>
      <c r="B48" s="18" t="s">
        <v>271</v>
      </c>
      <c r="C48" s="17">
        <v>6</v>
      </c>
      <c r="D48" s="18" t="s">
        <v>283</v>
      </c>
      <c r="E48" s="17">
        <v>6</v>
      </c>
      <c r="F48" s="18" t="s">
        <v>250</v>
      </c>
      <c r="G48" s="17">
        <v>6</v>
      </c>
      <c r="H48" s="18" t="s">
        <v>251</v>
      </c>
      <c r="I48" s="18">
        <v>6</v>
      </c>
      <c r="J48" s="0" t="e">
        <f>VLOOKUP(A48,[1]Sheet1!$E$7:$H$1160,2,FALSE)</f>
        <v>#N/A</v>
      </c>
      <c r="K48" s="0" t="e">
        <f>VLOOKUP(B48,[1]Sheet1!$E$7:$H$1160,2,FALSE)</f>
        <v>#N/A</v>
      </c>
      <c r="L48" s="0" t="e">
        <f t="shared" si="6"/>
        <v>#N/A</v>
      </c>
      <c r="M48" s="0" t="e">
        <f>VLOOKUP(D48,[1]Sheet1!$E$7:$H$1160,2,FALSE)</f>
        <v>#N/A</v>
      </c>
      <c r="N48" s="0" t="e">
        <f t="shared" si="7"/>
        <v>#N/A</v>
      </c>
      <c r="O48" s="0" t="str">
        <f>VLOOKUP(F48,[1]Sheet1!$E$7:$H$1160,2,FALSE)</f>
        <v>玻璃试管</v>
      </c>
      <c r="P48" s="0" t="str">
        <f t="shared" si="8"/>
        <v>1001,玻璃试管,6</v>
      </c>
      <c r="Q48" s="0" t="e">
        <f t="shared" si="5"/>
        <v>#N/A</v>
      </c>
    </row>
    <row r="49" ht="16.5">
      <c r="A49" s="17" t="s">
        <v>322</v>
      </c>
      <c r="B49" s="18" t="s">
        <v>274</v>
      </c>
      <c r="C49" s="17">
        <v>9</v>
      </c>
      <c r="D49" s="18" t="s">
        <v>285</v>
      </c>
      <c r="E49" s="17">
        <v>9</v>
      </c>
      <c r="F49" s="18" t="s">
        <v>255</v>
      </c>
      <c r="G49" s="17">
        <v>9</v>
      </c>
      <c r="H49" s="18" t="s">
        <v>256</v>
      </c>
      <c r="I49" s="18">
        <v>9</v>
      </c>
      <c r="J49" s="0" t="e">
        <f>VLOOKUP(A49,[1]Sheet1!$E$7:$H$1160,2,FALSE)</f>
        <v>#N/A</v>
      </c>
      <c r="K49" s="0" t="e">
        <f>VLOOKUP(B49,[1]Sheet1!$E$7:$H$1160,2,FALSE)</f>
        <v>#N/A</v>
      </c>
      <c r="L49" s="0" t="e">
        <f t="shared" si="6"/>
        <v>#N/A</v>
      </c>
      <c r="M49" s="0" t="e">
        <f>VLOOKUP(D49,[1]Sheet1!$E$7:$H$1160,2,FALSE)</f>
        <v>#N/A</v>
      </c>
      <c r="N49" s="0" t="e">
        <f t="shared" si="7"/>
        <v>#N/A</v>
      </c>
      <c r="O49" s="0" t="str">
        <f>VLOOKUP(F49,[1]Sheet1!$E$7:$H$1160,2,FALSE)</f>
        <v>强化玻璃试管</v>
      </c>
      <c r="P49" s="0" t="str">
        <f t="shared" si="8"/>
        <v>1001,强化玻璃试管,9</v>
      </c>
      <c r="Q49" s="0" t="e">
        <f t="shared" si="5"/>
        <v>#N/A</v>
      </c>
    </row>
    <row r="50" ht="16.5">
      <c r="A50" s="17" t="s">
        <v>323</v>
      </c>
      <c r="B50" s="18" t="s">
        <v>276</v>
      </c>
      <c r="C50" s="17">
        <v>12</v>
      </c>
      <c r="D50" s="18" t="s">
        <v>287</v>
      </c>
      <c r="E50" s="17">
        <v>12</v>
      </c>
      <c r="F50" s="18" t="s">
        <v>260</v>
      </c>
      <c r="G50" s="17">
        <v>12</v>
      </c>
      <c r="H50" s="18" t="s">
        <v>261</v>
      </c>
      <c r="I50" s="18">
        <v>12</v>
      </c>
      <c r="J50" s="0" t="e">
        <f>VLOOKUP(A50,[1]Sheet1!$E$7:$H$1160,2,FALSE)</f>
        <v>#N/A</v>
      </c>
      <c r="K50" s="0" t="e">
        <f>VLOOKUP(B50,[1]Sheet1!$E$7:$H$1160,2,FALSE)</f>
        <v>#N/A</v>
      </c>
      <c r="L50" s="0" t="e">
        <f t="shared" si="6"/>
        <v>#N/A</v>
      </c>
      <c r="M50" s="0" t="e">
        <f>VLOOKUP(D50,[1]Sheet1!$E$7:$H$1160,2,FALSE)</f>
        <v>#N/A</v>
      </c>
      <c r="N50" s="0" t="e">
        <f t="shared" si="7"/>
        <v>#N/A</v>
      </c>
      <c r="O50" s="0" t="str">
        <f>VLOOKUP(F50,[1]Sheet1!$E$7:$H$1160,2,FALSE)</f>
        <v>水晶试管</v>
      </c>
      <c r="P50" s="0" t="str">
        <f t="shared" si="8"/>
        <v>1001,水晶试管,12</v>
      </c>
      <c r="Q50" s="0" t="e">
        <f t="shared" si="5"/>
        <v>#N/A</v>
      </c>
    </row>
    <row r="51" ht="16.5">
      <c r="A51" s="17" t="s">
        <v>324</v>
      </c>
      <c r="B51" s="18" t="s">
        <v>279</v>
      </c>
      <c r="C51" s="17">
        <v>15</v>
      </c>
      <c r="D51" s="18" t="s">
        <v>289</v>
      </c>
      <c r="E51" s="17">
        <v>15</v>
      </c>
      <c r="F51" s="18" t="s">
        <v>265</v>
      </c>
      <c r="G51" s="17">
        <v>15</v>
      </c>
      <c r="H51" s="18" t="s">
        <v>266</v>
      </c>
      <c r="I51" s="18">
        <v>15</v>
      </c>
      <c r="J51" s="0" t="e">
        <f>VLOOKUP(A51,[1]Sheet1!$E$7:$H$1160,2,FALSE)</f>
        <v>#N/A</v>
      </c>
      <c r="K51" s="0" t="e">
        <f>VLOOKUP(B51,[1]Sheet1!$E$7:$H$1160,2,FALSE)</f>
        <v>#N/A</v>
      </c>
      <c r="L51" s="0" t="e">
        <f t="shared" si="6"/>
        <v>#N/A</v>
      </c>
      <c r="M51" s="0" t="e">
        <f>VLOOKUP(D51,[1]Sheet1!$E$7:$H$1160,2,FALSE)</f>
        <v>#N/A</v>
      </c>
      <c r="N51" s="0" t="e">
        <f t="shared" si="7"/>
        <v>#N/A</v>
      </c>
      <c r="O51" s="0" t="str">
        <f>VLOOKUP(F51,[1]Sheet1!$E$7:$H$1160,2,FALSE)</f>
        <v>黄金药碾</v>
      </c>
      <c r="P51" s="0" t="str">
        <f t="shared" si="8"/>
        <v>1001,黄金药碾,15</v>
      </c>
      <c r="Q51" s="0" t="e">
        <f t="shared" si="5"/>
        <v>#N/A</v>
      </c>
    </row>
    <row r="52" ht="16.5">
      <c r="A52" s="15" t="s">
        <v>325</v>
      </c>
      <c r="B52" s="16" t="s">
        <v>243</v>
      </c>
      <c r="C52" s="15">
        <v>3</v>
      </c>
      <c r="D52" s="16" t="s">
        <v>244</v>
      </c>
      <c r="E52" s="15">
        <v>3</v>
      </c>
      <c r="F52" s="16" t="s">
        <v>245</v>
      </c>
      <c r="G52" s="15">
        <v>3</v>
      </c>
      <c r="H52" s="16" t="s">
        <v>246</v>
      </c>
      <c r="I52" s="16">
        <v>3</v>
      </c>
      <c r="J52" s="0" t="e">
        <f>VLOOKUP(A52,[1]Sheet1!$E$7:$H$1160,2,FALSE)</f>
        <v>#N/A</v>
      </c>
      <c r="K52" s="0" t="str">
        <f>VLOOKUP(B52,[1]Sheet1!$E$7:$H$1160,2,FALSE)</f>
        <v>草药根</v>
      </c>
      <c r="L52" s="0" t="str">
        <f t="shared" si="6"/>
        <v>1001,草药根,3</v>
      </c>
      <c r="M52" s="0" t="e">
        <f>VLOOKUP(D52,[1]Sheet1!$E$7:$H$1160,2,FALSE)</f>
        <v>#N/A</v>
      </c>
      <c r="N52" s="0" t="e">
        <f t="shared" si="7"/>
        <v>#N/A</v>
      </c>
      <c r="O52" s="0" t="str">
        <f>VLOOKUP(F52,[1]Sheet1!$E$7:$H$1160,2,FALSE)</f>
        <v>石制药碾</v>
      </c>
      <c r="P52" s="0" t="str">
        <f t="shared" si="8"/>
        <v>1001,石制药碾,3</v>
      </c>
      <c r="Q52" s="0" t="e">
        <f t="shared" si="5"/>
        <v>#N/A</v>
      </c>
    </row>
    <row r="53" ht="16.5">
      <c r="A53" s="15" t="s">
        <v>326</v>
      </c>
      <c r="B53" s="16" t="s">
        <v>248</v>
      </c>
      <c r="C53" s="15">
        <v>6</v>
      </c>
      <c r="D53" s="16" t="s">
        <v>249</v>
      </c>
      <c r="E53" s="15">
        <v>6</v>
      </c>
      <c r="F53" s="16" t="s">
        <v>250</v>
      </c>
      <c r="G53" s="15">
        <v>6</v>
      </c>
      <c r="H53" s="16" t="s">
        <v>251</v>
      </c>
      <c r="I53" s="16">
        <v>6</v>
      </c>
      <c r="J53" s="0" t="str">
        <f>VLOOKUP(A53,[1]Sheet1!$E$7:$H$1160,2,FALSE)</f>
        <v>初级生命药丸</v>
      </c>
      <c r="K53" s="0" t="e">
        <f>VLOOKUP(B53,[1]Sheet1!$E$7:$H$1160,2,FALSE)</f>
        <v>#N/A</v>
      </c>
      <c r="L53" s="0" t="e">
        <f t="shared" si="6"/>
        <v>#N/A</v>
      </c>
      <c r="M53" s="0" t="e">
        <f>VLOOKUP(D53,[1]Sheet1!$E$7:$H$1160,2,FALSE)</f>
        <v>#N/A</v>
      </c>
      <c r="N53" s="0" t="e">
        <f t="shared" si="7"/>
        <v>#N/A</v>
      </c>
      <c r="O53" s="0" t="str">
        <f>VLOOKUP(F53,[1]Sheet1!$E$7:$H$1160,2,FALSE)</f>
        <v>玻璃试管</v>
      </c>
      <c r="P53" s="0" t="str">
        <f t="shared" si="8"/>
        <v>1001,玻璃试管,6</v>
      </c>
      <c r="Q53" s="0" t="e">
        <f t="shared" si="5"/>
        <v>#N/A</v>
      </c>
    </row>
    <row r="54" ht="16.5">
      <c r="A54" s="15" t="s">
        <v>327</v>
      </c>
      <c r="B54" s="16" t="s">
        <v>253</v>
      </c>
      <c r="C54" s="15">
        <v>9</v>
      </c>
      <c r="D54" s="16" t="s">
        <v>254</v>
      </c>
      <c r="E54" s="15">
        <v>9</v>
      </c>
      <c r="F54" s="16" t="s">
        <v>255</v>
      </c>
      <c r="G54" s="15">
        <v>9</v>
      </c>
      <c r="H54" s="16" t="s">
        <v>256</v>
      </c>
      <c r="I54" s="16">
        <v>9</v>
      </c>
      <c r="J54" s="0" t="e">
        <f>VLOOKUP(A54,[1]Sheet1!$E$7:$H$1160,2,FALSE)</f>
        <v>#N/A</v>
      </c>
      <c r="K54" s="0" t="e">
        <f>VLOOKUP(B54,[1]Sheet1!$E$7:$H$1160,2,FALSE)</f>
        <v>#N/A</v>
      </c>
      <c r="L54" s="0" t="e">
        <f t="shared" si="6"/>
        <v>#N/A</v>
      </c>
      <c r="M54" s="0" t="e">
        <f>VLOOKUP(D54,[1]Sheet1!$E$7:$H$1160,2,FALSE)</f>
        <v>#N/A</v>
      </c>
      <c r="N54" s="0" t="e">
        <f t="shared" si="7"/>
        <v>#N/A</v>
      </c>
      <c r="O54" s="0" t="str">
        <f>VLOOKUP(F54,[1]Sheet1!$E$7:$H$1160,2,FALSE)</f>
        <v>强化玻璃试管</v>
      </c>
      <c r="P54" s="0" t="str">
        <f t="shared" si="8"/>
        <v>1001,强化玻璃试管,9</v>
      </c>
      <c r="Q54" s="0" t="e">
        <f t="shared" si="5"/>
        <v>#N/A</v>
      </c>
    </row>
    <row r="55" ht="16.5">
      <c r="A55" s="15" t="s">
        <v>328</v>
      </c>
      <c r="B55" s="16" t="s">
        <v>258</v>
      </c>
      <c r="C55" s="15">
        <v>12</v>
      </c>
      <c r="D55" s="16" t="s">
        <v>259</v>
      </c>
      <c r="E55" s="15">
        <v>12</v>
      </c>
      <c r="F55" s="16" t="s">
        <v>260</v>
      </c>
      <c r="G55" s="15">
        <v>12</v>
      </c>
      <c r="H55" s="16" t="s">
        <v>261</v>
      </c>
      <c r="I55" s="16">
        <v>12</v>
      </c>
      <c r="J55" s="0" t="e">
        <f>VLOOKUP(A55,[1]Sheet1!$E$7:$H$1160,2,FALSE)</f>
        <v>#N/A</v>
      </c>
      <c r="K55" s="0" t="e">
        <f>VLOOKUP(B55,[1]Sheet1!$E$7:$H$1160,2,FALSE)</f>
        <v>#N/A</v>
      </c>
      <c r="L55" s="0" t="e">
        <f t="shared" si="6"/>
        <v>#N/A</v>
      </c>
      <c r="M55" s="0" t="e">
        <f>VLOOKUP(D55,[1]Sheet1!$E$7:$H$1160,2,FALSE)</f>
        <v>#N/A</v>
      </c>
      <c r="N55" s="0" t="e">
        <f t="shared" si="7"/>
        <v>#N/A</v>
      </c>
      <c r="O55" s="0" t="str">
        <f>VLOOKUP(F55,[1]Sheet1!$E$7:$H$1160,2,FALSE)</f>
        <v>水晶试管</v>
      </c>
      <c r="P55" s="0" t="str">
        <f t="shared" si="8"/>
        <v>1001,水晶试管,12</v>
      </c>
      <c r="Q55" s="0" t="e">
        <f t="shared" si="5"/>
        <v>#N/A</v>
      </c>
    </row>
    <row r="56" ht="16.5">
      <c r="A56" s="15" t="s">
        <v>329</v>
      </c>
      <c r="B56" s="16" t="s">
        <v>263</v>
      </c>
      <c r="C56" s="15">
        <v>15</v>
      </c>
      <c r="D56" s="16" t="s">
        <v>264</v>
      </c>
      <c r="E56" s="15">
        <v>15</v>
      </c>
      <c r="F56" s="16" t="s">
        <v>265</v>
      </c>
      <c r="G56" s="15">
        <v>15</v>
      </c>
      <c r="H56" s="16" t="s">
        <v>266</v>
      </c>
      <c r="I56" s="16">
        <v>15</v>
      </c>
      <c r="J56" s="0" t="e">
        <f>VLOOKUP(A56,[1]Sheet1!$E$7:$H$1160,2,FALSE)</f>
        <v>#N/A</v>
      </c>
      <c r="K56" s="0" t="e">
        <f>VLOOKUP(B56,[1]Sheet1!$E$7:$H$1160,2,FALSE)</f>
        <v>#N/A</v>
      </c>
      <c r="L56" s="0" t="e">
        <f t="shared" si="6"/>
        <v>#N/A</v>
      </c>
      <c r="M56" s="0" t="e">
        <f>VLOOKUP(D56,[1]Sheet1!$E$7:$H$1160,2,FALSE)</f>
        <v>#N/A</v>
      </c>
      <c r="N56" s="0" t="e">
        <f t="shared" si="7"/>
        <v>#N/A</v>
      </c>
      <c r="O56" s="0" t="str">
        <f>VLOOKUP(F56,[1]Sheet1!$E$7:$H$1160,2,FALSE)</f>
        <v>黄金药碾</v>
      </c>
      <c r="P56" s="0" t="str">
        <f t="shared" si="8"/>
        <v>1001,黄金药碾,15</v>
      </c>
      <c r="Q56" s="0" t="e">
        <f t="shared" si="5"/>
        <v>#N/A</v>
      </c>
    </row>
    <row r="57" ht="16.5">
      <c r="A57" s="17" t="s">
        <v>330</v>
      </c>
      <c r="B57" s="18" t="s">
        <v>268</v>
      </c>
      <c r="C57" s="17">
        <v>3</v>
      </c>
      <c r="D57" s="18" t="s">
        <v>269</v>
      </c>
      <c r="E57" s="17">
        <v>3</v>
      </c>
      <c r="F57" s="18" t="s">
        <v>245</v>
      </c>
      <c r="G57" s="17">
        <v>3</v>
      </c>
      <c r="H57" s="18" t="s">
        <v>246</v>
      </c>
      <c r="I57" s="18">
        <v>3</v>
      </c>
      <c r="J57" s="0" t="e">
        <f>VLOOKUP(A57,[1]Sheet1!$E$7:$H$1160,2,FALSE)</f>
        <v>#N/A</v>
      </c>
      <c r="K57" s="0" t="e">
        <f>VLOOKUP(B57,[1]Sheet1!$E$7:$H$1160,2,FALSE)</f>
        <v>#N/A</v>
      </c>
      <c r="L57" s="0" t="e">
        <f t="shared" si="6"/>
        <v>#N/A</v>
      </c>
      <c r="M57" s="0" t="e">
        <f>VLOOKUP(D57,[1]Sheet1!$E$7:$H$1160,2,FALSE)</f>
        <v>#N/A</v>
      </c>
      <c r="N57" s="0" t="e">
        <f t="shared" si="7"/>
        <v>#N/A</v>
      </c>
      <c r="O57" s="0" t="str">
        <f>VLOOKUP(F57,[1]Sheet1!$E$7:$H$1160,2,FALSE)</f>
        <v>石制药碾</v>
      </c>
      <c r="P57" s="0" t="str">
        <f t="shared" si="8"/>
        <v>1001,石制药碾,3</v>
      </c>
      <c r="Q57" s="0" t="e">
        <f t="shared" si="5"/>
        <v>#N/A</v>
      </c>
    </row>
    <row r="58" ht="16.5">
      <c r="A58" s="17" t="s">
        <v>331</v>
      </c>
      <c r="B58" s="18" t="s">
        <v>270</v>
      </c>
      <c r="C58" s="17">
        <v>6</v>
      </c>
      <c r="D58" s="18" t="s">
        <v>271</v>
      </c>
      <c r="E58" s="17">
        <v>6</v>
      </c>
      <c r="F58" s="18" t="s">
        <v>250</v>
      </c>
      <c r="G58" s="17">
        <v>6</v>
      </c>
      <c r="H58" s="18" t="s">
        <v>251</v>
      </c>
      <c r="I58" s="18">
        <v>6</v>
      </c>
      <c r="J58" s="0" t="str">
        <f>VLOOKUP(A58,[1]Sheet1!$E$7:$H$1160,2,FALSE)</f>
        <v>初级格挡药丸</v>
      </c>
      <c r="K58" s="0" t="e">
        <f>VLOOKUP(B58,[1]Sheet1!$E$7:$H$1160,2,FALSE)</f>
        <v>#N/A</v>
      </c>
      <c r="L58" s="0" t="e">
        <f t="shared" si="6"/>
        <v>#N/A</v>
      </c>
      <c r="M58" s="0" t="e">
        <f>VLOOKUP(D58,[1]Sheet1!$E$7:$H$1160,2,FALSE)</f>
        <v>#N/A</v>
      </c>
      <c r="N58" s="0" t="e">
        <f t="shared" si="7"/>
        <v>#N/A</v>
      </c>
      <c r="O58" s="0" t="str">
        <f>VLOOKUP(F58,[1]Sheet1!$E$7:$H$1160,2,FALSE)</f>
        <v>玻璃试管</v>
      </c>
      <c r="P58" s="0" t="str">
        <f t="shared" si="8"/>
        <v>1001,玻璃试管,6</v>
      </c>
      <c r="Q58" s="0" t="e">
        <f t="shared" si="5"/>
        <v>#N/A</v>
      </c>
    </row>
    <row r="59" ht="16.5">
      <c r="A59" s="17" t="s">
        <v>332</v>
      </c>
      <c r="B59" s="18" t="s">
        <v>273</v>
      </c>
      <c r="C59" s="17">
        <v>9</v>
      </c>
      <c r="D59" s="18" t="s">
        <v>274</v>
      </c>
      <c r="E59" s="17">
        <v>9</v>
      </c>
      <c r="F59" s="18" t="s">
        <v>255</v>
      </c>
      <c r="G59" s="17">
        <v>9</v>
      </c>
      <c r="H59" s="18" t="s">
        <v>256</v>
      </c>
      <c r="I59" s="18">
        <v>9</v>
      </c>
      <c r="J59" s="0" t="e">
        <f>VLOOKUP(A59,[1]Sheet1!$E$7:$H$1160,2,FALSE)</f>
        <v>#N/A</v>
      </c>
      <c r="K59" s="0" t="e">
        <f>VLOOKUP(B59,[1]Sheet1!$E$7:$H$1160,2,FALSE)</f>
        <v>#N/A</v>
      </c>
      <c r="L59" s="0" t="e">
        <f t="shared" si="6"/>
        <v>#N/A</v>
      </c>
      <c r="M59" s="0" t="e">
        <f>VLOOKUP(D59,[1]Sheet1!$E$7:$H$1160,2,FALSE)</f>
        <v>#N/A</v>
      </c>
      <c r="N59" s="0" t="e">
        <f t="shared" si="7"/>
        <v>#N/A</v>
      </c>
      <c r="O59" s="0" t="str">
        <f>VLOOKUP(F59,[1]Sheet1!$E$7:$H$1160,2,FALSE)</f>
        <v>强化玻璃试管</v>
      </c>
      <c r="P59" s="0" t="str">
        <f t="shared" si="8"/>
        <v>1001,强化玻璃试管,9</v>
      </c>
      <c r="Q59" s="0" t="e">
        <f t="shared" si="5"/>
        <v>#N/A</v>
      </c>
    </row>
    <row r="60" ht="16.5">
      <c r="A60" s="17" t="s">
        <v>333</v>
      </c>
      <c r="B60" s="18" t="s">
        <v>275</v>
      </c>
      <c r="C60" s="17">
        <v>12</v>
      </c>
      <c r="D60" s="18" t="s">
        <v>276</v>
      </c>
      <c r="E60" s="17">
        <v>12</v>
      </c>
      <c r="F60" s="18" t="s">
        <v>260</v>
      </c>
      <c r="G60" s="17">
        <v>12</v>
      </c>
      <c r="H60" s="18" t="s">
        <v>261</v>
      </c>
      <c r="I60" s="18">
        <v>12</v>
      </c>
      <c r="J60" s="0" t="e">
        <f>VLOOKUP(A60,[1]Sheet1!$E$7:$H$1160,2,FALSE)</f>
        <v>#N/A</v>
      </c>
      <c r="K60" s="0" t="e">
        <f>VLOOKUP(B60,[1]Sheet1!$E$7:$H$1160,2,FALSE)</f>
        <v>#N/A</v>
      </c>
      <c r="L60" s="0" t="e">
        <f t="shared" si="6"/>
        <v>#N/A</v>
      </c>
      <c r="M60" s="0" t="e">
        <f>VLOOKUP(D60,[1]Sheet1!$E$7:$H$1160,2,FALSE)</f>
        <v>#N/A</v>
      </c>
      <c r="N60" s="0" t="e">
        <f t="shared" si="7"/>
        <v>#N/A</v>
      </c>
      <c r="O60" s="0" t="str">
        <f>VLOOKUP(F60,[1]Sheet1!$E$7:$H$1160,2,FALSE)</f>
        <v>水晶试管</v>
      </c>
      <c r="P60" s="0" t="str">
        <f t="shared" si="8"/>
        <v>1001,水晶试管,12</v>
      </c>
      <c r="Q60" s="0" t="e">
        <f t="shared" si="5"/>
        <v>#N/A</v>
      </c>
    </row>
    <row r="61" ht="16.5">
      <c r="A61" s="17" t="s">
        <v>334</v>
      </c>
      <c r="B61" s="18" t="s">
        <v>278</v>
      </c>
      <c r="C61" s="17">
        <v>15</v>
      </c>
      <c r="D61" s="18" t="s">
        <v>279</v>
      </c>
      <c r="E61" s="17">
        <v>15</v>
      </c>
      <c r="F61" s="18" t="s">
        <v>265</v>
      </c>
      <c r="G61" s="17">
        <v>15</v>
      </c>
      <c r="H61" s="18" t="s">
        <v>266</v>
      </c>
      <c r="I61" s="18">
        <v>15</v>
      </c>
      <c r="J61" s="0" t="e">
        <f>VLOOKUP(A61,[1]Sheet1!$E$7:$H$1160,2,FALSE)</f>
        <v>#N/A</v>
      </c>
      <c r="K61" s="0" t="e">
        <f>VLOOKUP(B61,[1]Sheet1!$E$7:$H$1160,2,FALSE)</f>
        <v>#N/A</v>
      </c>
      <c r="L61" s="0" t="e">
        <f t="shared" si="6"/>
        <v>#N/A</v>
      </c>
      <c r="M61" s="0" t="e">
        <f>VLOOKUP(D61,[1]Sheet1!$E$7:$H$1160,2,FALSE)</f>
        <v>#N/A</v>
      </c>
      <c r="N61" s="0" t="e">
        <f t="shared" si="7"/>
        <v>#N/A</v>
      </c>
      <c r="O61" s="0" t="str">
        <f>VLOOKUP(F61,[1]Sheet1!$E$7:$H$1160,2,FALSE)</f>
        <v>黄金药碾</v>
      </c>
      <c r="P61" s="0" t="str">
        <f t="shared" si="8"/>
        <v>1001,黄金药碾,15</v>
      </c>
      <c r="Q61" s="0" t="e">
        <f t="shared" si="5"/>
        <v>#N/A</v>
      </c>
    </row>
    <row r="62" ht="16.5">
      <c r="A62" s="15" t="s">
        <v>335</v>
      </c>
      <c r="B62" s="16" t="s">
        <v>281</v>
      </c>
      <c r="C62" s="15">
        <v>3</v>
      </c>
      <c r="D62" s="16" t="s">
        <v>243</v>
      </c>
      <c r="E62" s="15">
        <v>3</v>
      </c>
      <c r="F62" s="16" t="s">
        <v>245</v>
      </c>
      <c r="G62" s="15">
        <v>3</v>
      </c>
      <c r="H62" s="16" t="s">
        <v>246</v>
      </c>
      <c r="I62" s="16">
        <v>3</v>
      </c>
      <c r="J62" s="0" t="e">
        <f>VLOOKUP(A62,[1]Sheet1!$E$7:$H$1160,2,FALSE)</f>
        <v>#N/A</v>
      </c>
      <c r="K62" s="0" t="e">
        <f>VLOOKUP(B62,[1]Sheet1!$E$7:$H$1160,2,FALSE)</f>
        <v>#N/A</v>
      </c>
      <c r="L62" s="0" t="e">
        <f t="shared" si="6"/>
        <v>#N/A</v>
      </c>
      <c r="M62" s="0" t="str">
        <f>VLOOKUP(D62,[1]Sheet1!$E$7:$H$1160,2,FALSE)</f>
        <v>草药根</v>
      </c>
      <c r="N62" s="0" t="str">
        <f t="shared" si="7"/>
        <v>1001,草药根,3</v>
      </c>
      <c r="O62" s="0" t="str">
        <f>VLOOKUP(F62,[1]Sheet1!$E$7:$H$1160,2,FALSE)</f>
        <v>石制药碾</v>
      </c>
      <c r="P62" s="0" t="str">
        <f t="shared" si="8"/>
        <v>1001,石制药碾,3</v>
      </c>
      <c r="Q62" s="0" t="e">
        <f t="shared" si="5"/>
        <v>#N/A</v>
      </c>
    </row>
    <row r="63" ht="16.5">
      <c r="A63" s="15" t="s">
        <v>336</v>
      </c>
      <c r="B63" s="16" t="s">
        <v>283</v>
      </c>
      <c r="C63" s="15">
        <v>6</v>
      </c>
      <c r="D63" s="16" t="s">
        <v>248</v>
      </c>
      <c r="E63" s="15">
        <v>6</v>
      </c>
      <c r="F63" s="16" t="s">
        <v>250</v>
      </c>
      <c r="G63" s="15">
        <v>6</v>
      </c>
      <c r="H63" s="16" t="s">
        <v>251</v>
      </c>
      <c r="I63" s="16">
        <v>6</v>
      </c>
      <c r="J63" s="0" t="str">
        <f>VLOOKUP(A63,[1]Sheet1!$E$7:$H$1160,2,FALSE)</f>
        <v>初级暴击药丸</v>
      </c>
      <c r="K63" s="0" t="e">
        <f>VLOOKUP(B63,[1]Sheet1!$E$7:$H$1160,2,FALSE)</f>
        <v>#N/A</v>
      </c>
      <c r="L63" s="0" t="e">
        <f t="shared" si="6"/>
        <v>#N/A</v>
      </c>
      <c r="M63" s="0" t="e">
        <f>VLOOKUP(D63,[1]Sheet1!$E$7:$H$1160,2,FALSE)</f>
        <v>#N/A</v>
      </c>
      <c r="N63" s="0" t="e">
        <f t="shared" si="7"/>
        <v>#N/A</v>
      </c>
      <c r="O63" s="0" t="str">
        <f>VLOOKUP(F63,[1]Sheet1!$E$7:$H$1160,2,FALSE)</f>
        <v>玻璃试管</v>
      </c>
      <c r="P63" s="0" t="str">
        <f t="shared" si="8"/>
        <v>1001,玻璃试管,6</v>
      </c>
      <c r="Q63" s="0" t="e">
        <f t="shared" si="5"/>
        <v>#N/A</v>
      </c>
    </row>
    <row r="64" ht="16.5">
      <c r="A64" s="15" t="s">
        <v>337</v>
      </c>
      <c r="B64" s="16" t="s">
        <v>285</v>
      </c>
      <c r="C64" s="15">
        <v>9</v>
      </c>
      <c r="D64" s="16" t="s">
        <v>253</v>
      </c>
      <c r="E64" s="15">
        <v>9</v>
      </c>
      <c r="F64" s="16" t="s">
        <v>255</v>
      </c>
      <c r="G64" s="15">
        <v>9</v>
      </c>
      <c r="H64" s="16" t="s">
        <v>256</v>
      </c>
      <c r="I64" s="16">
        <v>9</v>
      </c>
      <c r="J64" s="0" t="e">
        <f>VLOOKUP(A64,[1]Sheet1!$E$7:$H$1160,2,FALSE)</f>
        <v>#N/A</v>
      </c>
      <c r="K64" s="0" t="e">
        <f>VLOOKUP(B64,[1]Sheet1!$E$7:$H$1160,2,FALSE)</f>
        <v>#N/A</v>
      </c>
      <c r="L64" s="0" t="e">
        <f t="shared" si="6"/>
        <v>#N/A</v>
      </c>
      <c r="M64" s="0" t="e">
        <f>VLOOKUP(D64,[1]Sheet1!$E$7:$H$1160,2,FALSE)</f>
        <v>#N/A</v>
      </c>
      <c r="N64" s="0" t="e">
        <f t="shared" si="7"/>
        <v>#N/A</v>
      </c>
      <c r="O64" s="0" t="str">
        <f>VLOOKUP(F64,[1]Sheet1!$E$7:$H$1160,2,FALSE)</f>
        <v>强化玻璃试管</v>
      </c>
      <c r="P64" s="0" t="str">
        <f t="shared" si="8"/>
        <v>1001,强化玻璃试管,9</v>
      </c>
      <c r="Q64" s="0" t="e">
        <f t="shared" si="5"/>
        <v>#N/A</v>
      </c>
    </row>
    <row r="65" ht="16.5">
      <c r="A65" s="15" t="s">
        <v>338</v>
      </c>
      <c r="B65" s="16" t="s">
        <v>287</v>
      </c>
      <c r="C65" s="15">
        <v>12</v>
      </c>
      <c r="D65" s="16" t="s">
        <v>258</v>
      </c>
      <c r="E65" s="15">
        <v>12</v>
      </c>
      <c r="F65" s="16" t="s">
        <v>260</v>
      </c>
      <c r="G65" s="15">
        <v>12</v>
      </c>
      <c r="H65" s="16" t="s">
        <v>261</v>
      </c>
      <c r="I65" s="16">
        <v>12</v>
      </c>
      <c r="J65" s="0" t="str">
        <f>VLOOKUP(A65,[1]Sheet1!$E$7:$H$1160,2,FALSE)</f>
        <v>高级暴击药丸</v>
      </c>
      <c r="K65" s="0" t="e">
        <f>VLOOKUP(B65,[1]Sheet1!$E$7:$H$1160,2,FALSE)</f>
        <v>#N/A</v>
      </c>
      <c r="L65" s="0" t="e">
        <f t="shared" si="6"/>
        <v>#N/A</v>
      </c>
      <c r="M65" s="0" t="e">
        <f>VLOOKUP(D65,[1]Sheet1!$E$7:$H$1160,2,FALSE)</f>
        <v>#N/A</v>
      </c>
      <c r="N65" s="0" t="e">
        <f t="shared" si="7"/>
        <v>#N/A</v>
      </c>
      <c r="O65" s="0" t="str">
        <f>VLOOKUP(F65,[1]Sheet1!$E$7:$H$1160,2,FALSE)</f>
        <v>水晶试管</v>
      </c>
      <c r="P65" s="0" t="str">
        <f t="shared" si="8"/>
        <v>1001,水晶试管,12</v>
      </c>
      <c r="Q65" s="0" t="e">
        <f t="shared" si="5"/>
        <v>#N/A</v>
      </c>
    </row>
    <row r="66" ht="16.5">
      <c r="A66" s="15" t="s">
        <v>339</v>
      </c>
      <c r="B66" s="16" t="s">
        <v>289</v>
      </c>
      <c r="C66" s="15">
        <v>15</v>
      </c>
      <c r="D66" s="16" t="s">
        <v>263</v>
      </c>
      <c r="E66" s="15">
        <v>15</v>
      </c>
      <c r="F66" s="16" t="s">
        <v>265</v>
      </c>
      <c r="G66" s="15">
        <v>15</v>
      </c>
      <c r="H66" s="16" t="s">
        <v>266</v>
      </c>
      <c r="I66" s="16">
        <v>15</v>
      </c>
      <c r="J66" s="0" t="e">
        <f>VLOOKUP(A66,[1]Sheet1!$E$7:$H$1160,2,FALSE)</f>
        <v>#N/A</v>
      </c>
      <c r="K66" s="0" t="e">
        <f>VLOOKUP(B66,[1]Sheet1!$E$7:$H$1160,2,FALSE)</f>
        <v>#N/A</v>
      </c>
      <c r="L66" s="0" t="e">
        <f t="shared" si="6"/>
        <v>#N/A</v>
      </c>
      <c r="M66" s="0" t="e">
        <f>VLOOKUP(D66,[1]Sheet1!$E$7:$H$1160,2,FALSE)</f>
        <v>#N/A</v>
      </c>
      <c r="N66" s="0" t="e">
        <f t="shared" si="7"/>
        <v>#N/A</v>
      </c>
      <c r="O66" s="0" t="str">
        <f>VLOOKUP(F66,[1]Sheet1!$E$7:$H$1160,2,FALSE)</f>
        <v>黄金药碾</v>
      </c>
      <c r="P66" s="0" t="str">
        <f t="shared" si="8"/>
        <v>1001,黄金药碾,15</v>
      </c>
      <c r="Q66" s="0" t="e">
        <f t="shared" si="5"/>
        <v>#N/A</v>
      </c>
    </row>
    <row r="67" ht="16.5">
      <c r="A67" s="17" t="s">
        <v>340</v>
      </c>
      <c r="B67" s="18" t="s">
        <v>244</v>
      </c>
      <c r="C67" s="17">
        <v>3</v>
      </c>
      <c r="D67" s="18" t="s">
        <v>268</v>
      </c>
      <c r="E67" s="17">
        <v>3</v>
      </c>
      <c r="F67" s="18" t="s">
        <v>245</v>
      </c>
      <c r="G67" s="17">
        <v>3</v>
      </c>
      <c r="H67" s="18" t="s">
        <v>246</v>
      </c>
      <c r="I67" s="18">
        <v>3</v>
      </c>
      <c r="J67" s="0" t="e">
        <f>VLOOKUP(A67,[1]Sheet1!$E$7:$H$1160,2,FALSE)</f>
        <v>#N/A</v>
      </c>
      <c r="K67" s="0" t="e">
        <f>VLOOKUP(B67,[1]Sheet1!$E$7:$H$1160,2,FALSE)</f>
        <v>#N/A</v>
      </c>
      <c r="L67" s="0" t="e">
        <f t="shared" si="6"/>
        <v>#N/A</v>
      </c>
      <c r="M67" s="0" t="e">
        <f>VLOOKUP(D67,[1]Sheet1!$E$7:$H$1160,2,FALSE)</f>
        <v>#N/A</v>
      </c>
      <c r="N67" s="0" t="e">
        <f t="shared" si="7"/>
        <v>#N/A</v>
      </c>
      <c r="O67" s="0" t="str">
        <f>VLOOKUP(F67,[1]Sheet1!$E$7:$H$1160,2,FALSE)</f>
        <v>石制药碾</v>
      </c>
      <c r="P67" s="0" t="str">
        <f t="shared" si="8"/>
        <v>1001,石制药碾,3</v>
      </c>
      <c r="Q67" s="0" t="e">
        <f ref="Q67:Q101" t="shared" si="9">L67&amp;";"&amp;N67&amp;";"&amp;P67</f>
        <v>#N/A</v>
      </c>
    </row>
    <row r="68" ht="16.5">
      <c r="A68" s="17" t="s">
        <v>341</v>
      </c>
      <c r="B68" s="18" t="s">
        <v>249</v>
      </c>
      <c r="C68" s="17">
        <v>6</v>
      </c>
      <c r="D68" s="18" t="s">
        <v>270</v>
      </c>
      <c r="E68" s="17">
        <v>6</v>
      </c>
      <c r="F68" s="18" t="s">
        <v>250</v>
      </c>
      <c r="G68" s="17">
        <v>6</v>
      </c>
      <c r="H68" s="18" t="s">
        <v>251</v>
      </c>
      <c r="I68" s="18">
        <v>6</v>
      </c>
      <c r="J68" s="0" t="str">
        <f>VLOOKUP(A68,[1]Sheet1!$E$7:$H$1160,2,FALSE)</f>
        <v>初级破击药丸</v>
      </c>
      <c r="K68" s="0" t="e">
        <f>VLOOKUP(B68,[1]Sheet1!$E$7:$H$1160,2,FALSE)</f>
        <v>#N/A</v>
      </c>
      <c r="L68" s="0" t="e">
        <f t="shared" si="6"/>
        <v>#N/A</v>
      </c>
      <c r="M68" s="0" t="e">
        <f>VLOOKUP(D68,[1]Sheet1!$E$7:$H$1160,2,FALSE)</f>
        <v>#N/A</v>
      </c>
      <c r="N68" s="0" t="e">
        <f t="shared" si="7"/>
        <v>#N/A</v>
      </c>
      <c r="O68" s="0" t="str">
        <f>VLOOKUP(F68,[1]Sheet1!$E$7:$H$1160,2,FALSE)</f>
        <v>玻璃试管</v>
      </c>
      <c r="P68" s="0" t="str">
        <f t="shared" si="8"/>
        <v>1001,玻璃试管,6</v>
      </c>
      <c r="Q68" s="0" t="e">
        <f t="shared" si="9"/>
        <v>#N/A</v>
      </c>
    </row>
    <row r="69" ht="16.5">
      <c r="A69" s="17" t="s">
        <v>342</v>
      </c>
      <c r="B69" s="18" t="s">
        <v>254</v>
      </c>
      <c r="C69" s="17">
        <v>9</v>
      </c>
      <c r="D69" s="18" t="s">
        <v>273</v>
      </c>
      <c r="E69" s="17">
        <v>9</v>
      </c>
      <c r="F69" s="18" t="s">
        <v>255</v>
      </c>
      <c r="G69" s="17">
        <v>9</v>
      </c>
      <c r="H69" s="18" t="s">
        <v>256</v>
      </c>
      <c r="I69" s="18">
        <v>9</v>
      </c>
      <c r="J69" s="0" t="e">
        <f>VLOOKUP(A69,[1]Sheet1!$E$7:$H$1160,2,FALSE)</f>
        <v>#N/A</v>
      </c>
      <c r="K69" s="0" t="e">
        <f>VLOOKUP(B69,[1]Sheet1!$E$7:$H$1160,2,FALSE)</f>
        <v>#N/A</v>
      </c>
      <c r="L69" s="0" t="e">
        <f t="shared" si="6"/>
        <v>#N/A</v>
      </c>
      <c r="M69" s="0" t="e">
        <f>VLOOKUP(D69,[1]Sheet1!$E$7:$H$1160,2,FALSE)</f>
        <v>#N/A</v>
      </c>
      <c r="N69" s="0" t="e">
        <f t="shared" si="7"/>
        <v>#N/A</v>
      </c>
      <c r="O69" s="0" t="str">
        <f>VLOOKUP(F69,[1]Sheet1!$E$7:$H$1160,2,FALSE)</f>
        <v>强化玻璃试管</v>
      </c>
      <c r="P69" s="0" t="str">
        <f t="shared" si="8"/>
        <v>1001,强化玻璃试管,9</v>
      </c>
      <c r="Q69" s="0" t="e">
        <f t="shared" si="9"/>
        <v>#N/A</v>
      </c>
    </row>
    <row r="70" ht="16.5">
      <c r="A70" s="17" t="s">
        <v>343</v>
      </c>
      <c r="B70" s="18" t="s">
        <v>259</v>
      </c>
      <c r="C70" s="17">
        <v>12</v>
      </c>
      <c r="D70" s="18" t="s">
        <v>275</v>
      </c>
      <c r="E70" s="17">
        <v>12</v>
      </c>
      <c r="F70" s="18" t="s">
        <v>260</v>
      </c>
      <c r="G70" s="17">
        <v>12</v>
      </c>
      <c r="H70" s="18" t="s">
        <v>261</v>
      </c>
      <c r="I70" s="18">
        <v>12</v>
      </c>
      <c r="J70" s="0" t="e">
        <f>VLOOKUP(A70,[1]Sheet1!$E$7:$H$1160,2,FALSE)</f>
        <v>#N/A</v>
      </c>
      <c r="K70" s="0" t="e">
        <f>VLOOKUP(B70,[1]Sheet1!$E$7:$H$1160,2,FALSE)</f>
        <v>#N/A</v>
      </c>
      <c r="L70" s="0" t="e">
        <f t="shared" si="6"/>
        <v>#N/A</v>
      </c>
      <c r="M70" s="0" t="e">
        <f>VLOOKUP(D70,[1]Sheet1!$E$7:$H$1160,2,FALSE)</f>
        <v>#N/A</v>
      </c>
      <c r="N70" s="0" t="e">
        <f t="shared" si="7"/>
        <v>#N/A</v>
      </c>
      <c r="O70" s="0" t="str">
        <f>VLOOKUP(F70,[1]Sheet1!$E$7:$H$1160,2,FALSE)</f>
        <v>水晶试管</v>
      </c>
      <c r="P70" s="0" t="str">
        <f t="shared" si="8"/>
        <v>1001,水晶试管,12</v>
      </c>
      <c r="Q70" s="0" t="e">
        <f t="shared" si="9"/>
        <v>#N/A</v>
      </c>
    </row>
    <row r="71" ht="16.5">
      <c r="A71" s="17" t="s">
        <v>344</v>
      </c>
      <c r="B71" s="18" t="s">
        <v>264</v>
      </c>
      <c r="C71" s="17">
        <v>15</v>
      </c>
      <c r="D71" s="18" t="s">
        <v>278</v>
      </c>
      <c r="E71" s="17">
        <v>15</v>
      </c>
      <c r="F71" s="18" t="s">
        <v>265</v>
      </c>
      <c r="G71" s="17">
        <v>15</v>
      </c>
      <c r="H71" s="18" t="s">
        <v>266</v>
      </c>
      <c r="I71" s="18">
        <v>15</v>
      </c>
      <c r="J71" s="0" t="e">
        <f>VLOOKUP(A71,[1]Sheet1!$E$7:$H$1160,2,FALSE)</f>
        <v>#N/A</v>
      </c>
      <c r="K71" s="0" t="e">
        <f>VLOOKUP(B71,[1]Sheet1!$E$7:$H$1160,2,FALSE)</f>
        <v>#N/A</v>
      </c>
      <c r="L71" s="0" t="e">
        <f ref="L71:L101" t="shared" si="10">"1001,"&amp;K71&amp;","&amp;C71</f>
        <v>#N/A</v>
      </c>
      <c r="M71" s="0" t="e">
        <f>VLOOKUP(D71,[1]Sheet1!$E$7:$H$1160,2,FALSE)</f>
        <v>#N/A</v>
      </c>
      <c r="N71" s="0" t="e">
        <f ref="N71:N101" t="shared" si="11">"1001,"&amp;M71&amp;","&amp;E71</f>
        <v>#N/A</v>
      </c>
      <c r="O71" s="0" t="str">
        <f>VLOOKUP(F71,[1]Sheet1!$E$7:$H$1160,2,FALSE)</f>
        <v>黄金药碾</v>
      </c>
      <c r="P71" s="0" t="str">
        <f ref="P71:P101" t="shared" si="12">"1001,"&amp;O71&amp;","&amp;G71</f>
        <v>1001,黄金药碾,15</v>
      </c>
      <c r="Q71" s="0" t="e">
        <f t="shared" si="9"/>
        <v>#N/A</v>
      </c>
    </row>
    <row r="72" ht="16.5">
      <c r="A72" s="15" t="s">
        <v>345</v>
      </c>
      <c r="B72" s="16" t="s">
        <v>269</v>
      </c>
      <c r="C72" s="15">
        <v>3</v>
      </c>
      <c r="D72" s="16" t="s">
        <v>281</v>
      </c>
      <c r="E72" s="15">
        <v>3</v>
      </c>
      <c r="F72" s="16" t="s">
        <v>245</v>
      </c>
      <c r="G72" s="15">
        <v>3</v>
      </c>
      <c r="H72" s="16" t="s">
        <v>246</v>
      </c>
      <c r="I72" s="16">
        <v>3</v>
      </c>
      <c r="J72" s="0" t="e">
        <f>VLOOKUP(A72,[1]Sheet1!$E$7:$H$1160,2,FALSE)</f>
        <v>#N/A</v>
      </c>
      <c r="K72" s="0" t="e">
        <f>VLOOKUP(B72,[1]Sheet1!$E$7:$H$1160,2,FALSE)</f>
        <v>#N/A</v>
      </c>
      <c r="L72" s="0" t="e">
        <f t="shared" si="10"/>
        <v>#N/A</v>
      </c>
      <c r="M72" s="0" t="e">
        <f>VLOOKUP(D72,[1]Sheet1!$E$7:$H$1160,2,FALSE)</f>
        <v>#N/A</v>
      </c>
      <c r="N72" s="0" t="e">
        <f t="shared" si="11"/>
        <v>#N/A</v>
      </c>
      <c r="O72" s="0" t="str">
        <f>VLOOKUP(F72,[1]Sheet1!$E$7:$H$1160,2,FALSE)</f>
        <v>石制药碾</v>
      </c>
      <c r="P72" s="0" t="str">
        <f t="shared" si="12"/>
        <v>1001,石制药碾,3</v>
      </c>
      <c r="Q72" s="0" t="e">
        <f t="shared" si="9"/>
        <v>#N/A</v>
      </c>
    </row>
    <row r="73" ht="16.5">
      <c r="A73" s="15" t="s">
        <v>346</v>
      </c>
      <c r="B73" s="16" t="s">
        <v>271</v>
      </c>
      <c r="C73" s="15">
        <v>6</v>
      </c>
      <c r="D73" s="16" t="s">
        <v>283</v>
      </c>
      <c r="E73" s="15">
        <v>6</v>
      </c>
      <c r="F73" s="16" t="s">
        <v>250</v>
      </c>
      <c r="G73" s="15">
        <v>6</v>
      </c>
      <c r="H73" s="16" t="s">
        <v>251</v>
      </c>
      <c r="I73" s="16">
        <v>6</v>
      </c>
      <c r="J73" s="0" t="str">
        <f>VLOOKUP(A73,[1]Sheet1!$E$7:$H$1160,2,FALSE)</f>
        <v>初级闪避药丸</v>
      </c>
      <c r="K73" s="0" t="e">
        <f>VLOOKUP(B73,[1]Sheet1!$E$7:$H$1160,2,FALSE)</f>
        <v>#N/A</v>
      </c>
      <c r="L73" s="0" t="e">
        <f t="shared" si="10"/>
        <v>#N/A</v>
      </c>
      <c r="M73" s="0" t="e">
        <f>VLOOKUP(D73,[1]Sheet1!$E$7:$H$1160,2,FALSE)</f>
        <v>#N/A</v>
      </c>
      <c r="N73" s="0" t="e">
        <f t="shared" si="11"/>
        <v>#N/A</v>
      </c>
      <c r="O73" s="0" t="str">
        <f>VLOOKUP(F73,[1]Sheet1!$E$7:$H$1160,2,FALSE)</f>
        <v>玻璃试管</v>
      </c>
      <c r="P73" s="0" t="str">
        <f t="shared" si="12"/>
        <v>1001,玻璃试管,6</v>
      </c>
      <c r="Q73" s="0" t="e">
        <f t="shared" si="9"/>
        <v>#N/A</v>
      </c>
    </row>
    <row r="74" ht="16.5">
      <c r="A74" s="15" t="s">
        <v>347</v>
      </c>
      <c r="B74" s="16" t="s">
        <v>274</v>
      </c>
      <c r="C74" s="15">
        <v>9</v>
      </c>
      <c r="D74" s="16" t="s">
        <v>285</v>
      </c>
      <c r="E74" s="15">
        <v>9</v>
      </c>
      <c r="F74" s="16" t="s">
        <v>255</v>
      </c>
      <c r="G74" s="15">
        <v>9</v>
      </c>
      <c r="H74" s="16" t="s">
        <v>256</v>
      </c>
      <c r="I74" s="16">
        <v>9</v>
      </c>
      <c r="J74" s="0" t="e">
        <f>VLOOKUP(A74,[1]Sheet1!$E$7:$H$1160,2,FALSE)</f>
        <v>#N/A</v>
      </c>
      <c r="K74" s="0" t="e">
        <f>VLOOKUP(B74,[1]Sheet1!$E$7:$H$1160,2,FALSE)</f>
        <v>#N/A</v>
      </c>
      <c r="L74" s="0" t="e">
        <f t="shared" si="10"/>
        <v>#N/A</v>
      </c>
      <c r="M74" s="0" t="e">
        <f>VLOOKUP(D74,[1]Sheet1!$E$7:$H$1160,2,FALSE)</f>
        <v>#N/A</v>
      </c>
      <c r="N74" s="0" t="e">
        <f t="shared" si="11"/>
        <v>#N/A</v>
      </c>
      <c r="O74" s="0" t="str">
        <f>VLOOKUP(F74,[1]Sheet1!$E$7:$H$1160,2,FALSE)</f>
        <v>强化玻璃试管</v>
      </c>
      <c r="P74" s="0" t="str">
        <f t="shared" si="12"/>
        <v>1001,强化玻璃试管,9</v>
      </c>
      <c r="Q74" s="0" t="e">
        <f t="shared" si="9"/>
        <v>#N/A</v>
      </c>
    </row>
    <row r="75" ht="16.5">
      <c r="A75" s="15" t="s">
        <v>348</v>
      </c>
      <c r="B75" s="16" t="s">
        <v>276</v>
      </c>
      <c r="C75" s="15">
        <v>12</v>
      </c>
      <c r="D75" s="16" t="s">
        <v>287</v>
      </c>
      <c r="E75" s="15">
        <v>12</v>
      </c>
      <c r="F75" s="16" t="s">
        <v>260</v>
      </c>
      <c r="G75" s="15">
        <v>12</v>
      </c>
      <c r="H75" s="16" t="s">
        <v>261</v>
      </c>
      <c r="I75" s="16">
        <v>12</v>
      </c>
      <c r="J75" s="0" t="str">
        <f>VLOOKUP(A75,[1]Sheet1!$E$7:$H$1160,2,FALSE)</f>
        <v>高级闪避药丸</v>
      </c>
      <c r="K75" s="0" t="e">
        <f>VLOOKUP(B75,[1]Sheet1!$E$7:$H$1160,2,FALSE)</f>
        <v>#N/A</v>
      </c>
      <c r="L75" s="0" t="e">
        <f t="shared" si="10"/>
        <v>#N/A</v>
      </c>
      <c r="M75" s="0" t="e">
        <f>VLOOKUP(D75,[1]Sheet1!$E$7:$H$1160,2,FALSE)</f>
        <v>#N/A</v>
      </c>
      <c r="N75" s="0" t="e">
        <f t="shared" si="11"/>
        <v>#N/A</v>
      </c>
      <c r="O75" s="0" t="str">
        <f>VLOOKUP(F75,[1]Sheet1!$E$7:$H$1160,2,FALSE)</f>
        <v>水晶试管</v>
      </c>
      <c r="P75" s="0" t="str">
        <f t="shared" si="12"/>
        <v>1001,水晶试管,12</v>
      </c>
      <c r="Q75" s="0" t="e">
        <f t="shared" si="9"/>
        <v>#N/A</v>
      </c>
    </row>
    <row r="76" ht="16.5">
      <c r="A76" s="15" t="s">
        <v>349</v>
      </c>
      <c r="B76" s="16" t="s">
        <v>279</v>
      </c>
      <c r="C76" s="15">
        <v>15</v>
      </c>
      <c r="D76" s="16" t="s">
        <v>289</v>
      </c>
      <c r="E76" s="15">
        <v>15</v>
      </c>
      <c r="F76" s="16" t="s">
        <v>265</v>
      </c>
      <c r="G76" s="15">
        <v>15</v>
      </c>
      <c r="H76" s="16" t="s">
        <v>266</v>
      </c>
      <c r="I76" s="16">
        <v>15</v>
      </c>
      <c r="J76" s="0" t="e">
        <f>VLOOKUP(A76,[1]Sheet1!$E$7:$H$1160,2,FALSE)</f>
        <v>#N/A</v>
      </c>
      <c r="K76" s="0" t="e">
        <f>VLOOKUP(B76,[1]Sheet1!$E$7:$H$1160,2,FALSE)</f>
        <v>#N/A</v>
      </c>
      <c r="L76" s="0" t="e">
        <f t="shared" si="10"/>
        <v>#N/A</v>
      </c>
      <c r="M76" s="0" t="e">
        <f>VLOOKUP(D76,[1]Sheet1!$E$7:$H$1160,2,FALSE)</f>
        <v>#N/A</v>
      </c>
      <c r="N76" s="0" t="e">
        <f t="shared" si="11"/>
        <v>#N/A</v>
      </c>
      <c r="O76" s="0" t="str">
        <f>VLOOKUP(F76,[1]Sheet1!$E$7:$H$1160,2,FALSE)</f>
        <v>黄金药碾</v>
      </c>
      <c r="P76" s="0" t="str">
        <f t="shared" si="12"/>
        <v>1001,黄金药碾,15</v>
      </c>
      <c r="Q76" s="0" t="e">
        <f t="shared" si="9"/>
        <v>#N/A</v>
      </c>
    </row>
    <row r="77" ht="16.5">
      <c r="A77" s="17" t="s">
        <v>350</v>
      </c>
      <c r="B77" s="18" t="s">
        <v>243</v>
      </c>
      <c r="C77" s="17">
        <v>3</v>
      </c>
      <c r="D77" s="18" t="s">
        <v>244</v>
      </c>
      <c r="E77" s="17">
        <v>3</v>
      </c>
      <c r="F77" s="18" t="s">
        <v>245</v>
      </c>
      <c r="G77" s="17">
        <v>3</v>
      </c>
      <c r="H77" s="18" t="s">
        <v>246</v>
      </c>
      <c r="I77" s="18">
        <v>3</v>
      </c>
      <c r="J77" s="0" t="e">
        <f>VLOOKUP(A77,[1]Sheet1!$E$7:$H$1160,2,FALSE)</f>
        <v>#N/A</v>
      </c>
      <c r="K77" s="0" t="str">
        <f>VLOOKUP(B77,[1]Sheet1!$E$7:$H$1160,2,FALSE)</f>
        <v>草药根</v>
      </c>
      <c r="L77" s="0" t="str">
        <f t="shared" si="10"/>
        <v>1001,草药根,3</v>
      </c>
      <c r="M77" s="0" t="e">
        <f>VLOOKUP(D77,[1]Sheet1!$E$7:$H$1160,2,FALSE)</f>
        <v>#N/A</v>
      </c>
      <c r="N77" s="0" t="e">
        <f t="shared" si="11"/>
        <v>#N/A</v>
      </c>
      <c r="O77" s="0" t="str">
        <f>VLOOKUP(F77,[1]Sheet1!$E$7:$H$1160,2,FALSE)</f>
        <v>石制药碾</v>
      </c>
      <c r="P77" s="0" t="str">
        <f t="shared" si="12"/>
        <v>1001,石制药碾,3</v>
      </c>
      <c r="Q77" s="0" t="e">
        <f t="shared" si="9"/>
        <v>#N/A</v>
      </c>
    </row>
    <row r="78" ht="16.5">
      <c r="A78" s="17" t="s">
        <v>351</v>
      </c>
      <c r="B78" s="18" t="s">
        <v>248</v>
      </c>
      <c r="C78" s="17">
        <v>6</v>
      </c>
      <c r="D78" s="18" t="s">
        <v>249</v>
      </c>
      <c r="E78" s="17">
        <v>6</v>
      </c>
      <c r="F78" s="18" t="s">
        <v>250</v>
      </c>
      <c r="G78" s="17">
        <v>6</v>
      </c>
      <c r="H78" s="18" t="s">
        <v>251</v>
      </c>
      <c r="I78" s="18">
        <v>6</v>
      </c>
      <c r="J78" s="0" t="str">
        <f>VLOOKUP(A78,[1]Sheet1!$E$7:$H$1160,2,FALSE)</f>
        <v>初级韧性药丸</v>
      </c>
      <c r="K78" s="0" t="e">
        <f>VLOOKUP(B78,[1]Sheet1!$E$7:$H$1160,2,FALSE)</f>
        <v>#N/A</v>
      </c>
      <c r="L78" s="0" t="e">
        <f t="shared" si="10"/>
        <v>#N/A</v>
      </c>
      <c r="M78" s="0" t="e">
        <f>VLOOKUP(D78,[1]Sheet1!$E$7:$H$1160,2,FALSE)</f>
        <v>#N/A</v>
      </c>
      <c r="N78" s="0" t="e">
        <f t="shared" si="11"/>
        <v>#N/A</v>
      </c>
      <c r="O78" s="0" t="str">
        <f>VLOOKUP(F78,[1]Sheet1!$E$7:$H$1160,2,FALSE)</f>
        <v>玻璃试管</v>
      </c>
      <c r="P78" s="0" t="str">
        <f t="shared" si="12"/>
        <v>1001,玻璃试管,6</v>
      </c>
      <c r="Q78" s="0" t="e">
        <f t="shared" si="9"/>
        <v>#N/A</v>
      </c>
    </row>
    <row r="79" ht="16.5">
      <c r="A79" s="17" t="s">
        <v>352</v>
      </c>
      <c r="B79" s="18" t="s">
        <v>253</v>
      </c>
      <c r="C79" s="17">
        <v>9</v>
      </c>
      <c r="D79" s="18" t="s">
        <v>254</v>
      </c>
      <c r="E79" s="17">
        <v>9</v>
      </c>
      <c r="F79" s="18" t="s">
        <v>255</v>
      </c>
      <c r="G79" s="17">
        <v>9</v>
      </c>
      <c r="H79" s="18" t="s">
        <v>256</v>
      </c>
      <c r="I79" s="18">
        <v>9</v>
      </c>
      <c r="J79" s="0" t="e">
        <f>VLOOKUP(A79,[1]Sheet1!$E$7:$H$1160,2,FALSE)</f>
        <v>#N/A</v>
      </c>
      <c r="K79" s="0" t="e">
        <f>VLOOKUP(B79,[1]Sheet1!$E$7:$H$1160,2,FALSE)</f>
        <v>#N/A</v>
      </c>
      <c r="L79" s="0" t="e">
        <f t="shared" si="10"/>
        <v>#N/A</v>
      </c>
      <c r="M79" s="0" t="e">
        <f>VLOOKUP(D79,[1]Sheet1!$E$7:$H$1160,2,FALSE)</f>
        <v>#N/A</v>
      </c>
      <c r="N79" s="0" t="e">
        <f t="shared" si="11"/>
        <v>#N/A</v>
      </c>
      <c r="O79" s="0" t="str">
        <f>VLOOKUP(F79,[1]Sheet1!$E$7:$H$1160,2,FALSE)</f>
        <v>强化玻璃试管</v>
      </c>
      <c r="P79" s="0" t="str">
        <f t="shared" si="12"/>
        <v>1001,强化玻璃试管,9</v>
      </c>
      <c r="Q79" s="0" t="e">
        <f t="shared" si="9"/>
        <v>#N/A</v>
      </c>
    </row>
    <row r="80" ht="16.5">
      <c r="A80" s="17" t="s">
        <v>353</v>
      </c>
      <c r="B80" s="18" t="s">
        <v>258</v>
      </c>
      <c r="C80" s="17">
        <v>12</v>
      </c>
      <c r="D80" s="18" t="s">
        <v>259</v>
      </c>
      <c r="E80" s="17">
        <v>12</v>
      </c>
      <c r="F80" s="18" t="s">
        <v>260</v>
      </c>
      <c r="G80" s="17">
        <v>12</v>
      </c>
      <c r="H80" s="18" t="s">
        <v>261</v>
      </c>
      <c r="I80" s="18">
        <v>12</v>
      </c>
      <c r="J80" s="0" t="str">
        <f>VLOOKUP(A80,[1]Sheet1!$E$7:$H$1160,2,FALSE)</f>
        <v>高级韧性药丸</v>
      </c>
      <c r="K80" s="0" t="e">
        <f>VLOOKUP(B80,[1]Sheet1!$E$7:$H$1160,2,FALSE)</f>
        <v>#N/A</v>
      </c>
      <c r="L80" s="0" t="e">
        <f t="shared" si="10"/>
        <v>#N/A</v>
      </c>
      <c r="M80" s="0" t="e">
        <f>VLOOKUP(D80,[1]Sheet1!$E$7:$H$1160,2,FALSE)</f>
        <v>#N/A</v>
      </c>
      <c r="N80" s="0" t="e">
        <f t="shared" si="11"/>
        <v>#N/A</v>
      </c>
      <c r="O80" s="0" t="str">
        <f>VLOOKUP(F80,[1]Sheet1!$E$7:$H$1160,2,FALSE)</f>
        <v>水晶试管</v>
      </c>
      <c r="P80" s="0" t="str">
        <f t="shared" si="12"/>
        <v>1001,水晶试管,12</v>
      </c>
      <c r="Q80" s="0" t="e">
        <f t="shared" si="9"/>
        <v>#N/A</v>
      </c>
    </row>
    <row r="81" ht="16.5">
      <c r="A81" s="17" t="s">
        <v>354</v>
      </c>
      <c r="B81" s="18" t="s">
        <v>263</v>
      </c>
      <c r="C81" s="17">
        <v>15</v>
      </c>
      <c r="D81" s="18" t="s">
        <v>264</v>
      </c>
      <c r="E81" s="17">
        <v>15</v>
      </c>
      <c r="F81" s="18" t="s">
        <v>265</v>
      </c>
      <c r="G81" s="17">
        <v>15</v>
      </c>
      <c r="H81" s="18" t="s">
        <v>266</v>
      </c>
      <c r="I81" s="18">
        <v>15</v>
      </c>
      <c r="J81" s="0" t="e">
        <f>VLOOKUP(A81,[1]Sheet1!$E$7:$H$1160,2,FALSE)</f>
        <v>#N/A</v>
      </c>
      <c r="K81" s="0" t="e">
        <f>VLOOKUP(B81,[1]Sheet1!$E$7:$H$1160,2,FALSE)</f>
        <v>#N/A</v>
      </c>
      <c r="L81" s="0" t="e">
        <f t="shared" si="10"/>
        <v>#N/A</v>
      </c>
      <c r="M81" s="0" t="e">
        <f>VLOOKUP(D81,[1]Sheet1!$E$7:$H$1160,2,FALSE)</f>
        <v>#N/A</v>
      </c>
      <c r="N81" s="0" t="e">
        <f t="shared" si="11"/>
        <v>#N/A</v>
      </c>
      <c r="O81" s="0" t="str">
        <f>VLOOKUP(F81,[1]Sheet1!$E$7:$H$1160,2,FALSE)</f>
        <v>黄金药碾</v>
      </c>
      <c r="P81" s="0" t="str">
        <f t="shared" si="12"/>
        <v>1001,黄金药碾,15</v>
      </c>
      <c r="Q81" s="0" t="e">
        <f t="shared" si="9"/>
        <v>#N/A</v>
      </c>
    </row>
    <row r="82" ht="16.5">
      <c r="A82" s="15" t="s">
        <v>355</v>
      </c>
      <c r="B82" s="16" t="s">
        <v>268</v>
      </c>
      <c r="C82" s="15">
        <v>3</v>
      </c>
      <c r="D82" s="16" t="s">
        <v>269</v>
      </c>
      <c r="E82" s="15">
        <v>3</v>
      </c>
      <c r="F82" s="16" t="s">
        <v>245</v>
      </c>
      <c r="G82" s="15">
        <v>3</v>
      </c>
      <c r="H82" s="16" t="s">
        <v>246</v>
      </c>
      <c r="I82" s="16">
        <v>3</v>
      </c>
      <c r="J82" s="0" t="e">
        <f>VLOOKUP(A82,[1]Sheet1!$E$7:$H$1160,2,FALSE)</f>
        <v>#N/A</v>
      </c>
      <c r="K82" s="0" t="e">
        <f>VLOOKUP(B82,[1]Sheet1!$E$7:$H$1160,2,FALSE)</f>
        <v>#N/A</v>
      </c>
      <c r="L82" s="0" t="e">
        <f t="shared" si="10"/>
        <v>#N/A</v>
      </c>
      <c r="M82" s="0" t="e">
        <f>VLOOKUP(D82,[1]Sheet1!$E$7:$H$1160,2,FALSE)</f>
        <v>#N/A</v>
      </c>
      <c r="N82" s="0" t="e">
        <f t="shared" si="11"/>
        <v>#N/A</v>
      </c>
      <c r="O82" s="0" t="str">
        <f>VLOOKUP(F82,[1]Sheet1!$E$7:$H$1160,2,FALSE)</f>
        <v>石制药碾</v>
      </c>
      <c r="P82" s="0" t="str">
        <f t="shared" si="12"/>
        <v>1001,石制药碾,3</v>
      </c>
      <c r="Q82" s="0" t="e">
        <f t="shared" si="9"/>
        <v>#N/A</v>
      </c>
    </row>
    <row r="83" ht="16.5">
      <c r="A83" s="15" t="s">
        <v>356</v>
      </c>
      <c r="B83" s="16" t="s">
        <v>270</v>
      </c>
      <c r="C83" s="15">
        <v>6</v>
      </c>
      <c r="D83" s="16" t="s">
        <v>271</v>
      </c>
      <c r="E83" s="15">
        <v>6</v>
      </c>
      <c r="F83" s="16" t="s">
        <v>250</v>
      </c>
      <c r="G83" s="15">
        <v>6</v>
      </c>
      <c r="H83" s="16" t="s">
        <v>251</v>
      </c>
      <c r="I83" s="16">
        <v>6</v>
      </c>
      <c r="J83" s="0" t="str">
        <f>VLOOKUP(A83,[1]Sheet1!$E$7:$H$1160,2,FALSE)</f>
        <v>初级攻击药丸</v>
      </c>
      <c r="K83" s="0" t="e">
        <f>VLOOKUP(B83,[1]Sheet1!$E$7:$H$1160,2,FALSE)</f>
        <v>#N/A</v>
      </c>
      <c r="L83" s="0" t="e">
        <f t="shared" si="10"/>
        <v>#N/A</v>
      </c>
      <c r="M83" s="0" t="e">
        <f>VLOOKUP(D83,[1]Sheet1!$E$7:$H$1160,2,FALSE)</f>
        <v>#N/A</v>
      </c>
      <c r="N83" s="0" t="e">
        <f t="shared" si="11"/>
        <v>#N/A</v>
      </c>
      <c r="O83" s="0" t="str">
        <f>VLOOKUP(F83,[1]Sheet1!$E$7:$H$1160,2,FALSE)</f>
        <v>玻璃试管</v>
      </c>
      <c r="P83" s="0" t="str">
        <f t="shared" si="12"/>
        <v>1001,玻璃试管,6</v>
      </c>
      <c r="Q83" s="0" t="e">
        <f t="shared" si="9"/>
        <v>#N/A</v>
      </c>
    </row>
    <row r="84" ht="16.5">
      <c r="A84" s="15" t="s">
        <v>357</v>
      </c>
      <c r="B84" s="16" t="s">
        <v>273</v>
      </c>
      <c r="C84" s="15">
        <v>9</v>
      </c>
      <c r="D84" s="16" t="s">
        <v>274</v>
      </c>
      <c r="E84" s="15">
        <v>9</v>
      </c>
      <c r="F84" s="16" t="s">
        <v>255</v>
      </c>
      <c r="G84" s="15">
        <v>9</v>
      </c>
      <c r="H84" s="16" t="s">
        <v>256</v>
      </c>
      <c r="I84" s="16">
        <v>9</v>
      </c>
      <c r="J84" s="0" t="e">
        <f>VLOOKUP(A84,[1]Sheet1!$E$7:$H$1160,2,FALSE)</f>
        <v>#N/A</v>
      </c>
      <c r="K84" s="0" t="e">
        <f>VLOOKUP(B84,[1]Sheet1!$E$7:$H$1160,2,FALSE)</f>
        <v>#N/A</v>
      </c>
      <c r="L84" s="0" t="e">
        <f t="shared" si="10"/>
        <v>#N/A</v>
      </c>
      <c r="M84" s="0" t="e">
        <f>VLOOKUP(D84,[1]Sheet1!$E$7:$H$1160,2,FALSE)</f>
        <v>#N/A</v>
      </c>
      <c r="N84" s="0" t="e">
        <f t="shared" si="11"/>
        <v>#N/A</v>
      </c>
      <c r="O84" s="0" t="str">
        <f>VLOOKUP(F84,[1]Sheet1!$E$7:$H$1160,2,FALSE)</f>
        <v>强化玻璃试管</v>
      </c>
      <c r="P84" s="0" t="str">
        <f t="shared" si="12"/>
        <v>1001,强化玻璃试管,9</v>
      </c>
      <c r="Q84" s="0" t="e">
        <f t="shared" si="9"/>
        <v>#N/A</v>
      </c>
    </row>
    <row r="85" ht="16.5">
      <c r="A85" s="15" t="s">
        <v>358</v>
      </c>
      <c r="B85" s="16" t="s">
        <v>275</v>
      </c>
      <c r="C85" s="15">
        <v>12</v>
      </c>
      <c r="D85" s="16" t="s">
        <v>276</v>
      </c>
      <c r="E85" s="15">
        <v>12</v>
      </c>
      <c r="F85" s="16" t="s">
        <v>260</v>
      </c>
      <c r="G85" s="15">
        <v>12</v>
      </c>
      <c r="H85" s="16" t="s">
        <v>261</v>
      </c>
      <c r="I85" s="16">
        <v>12</v>
      </c>
      <c r="J85" s="0" t="str">
        <f>VLOOKUP(A85,[1]Sheet1!$E$7:$H$1160,2,FALSE)</f>
        <v>高级攻击药丸</v>
      </c>
      <c r="K85" s="0" t="e">
        <f>VLOOKUP(B85,[1]Sheet1!$E$7:$H$1160,2,FALSE)</f>
        <v>#N/A</v>
      </c>
      <c r="L85" s="0" t="e">
        <f t="shared" si="10"/>
        <v>#N/A</v>
      </c>
      <c r="M85" s="0" t="e">
        <f>VLOOKUP(D85,[1]Sheet1!$E$7:$H$1160,2,FALSE)</f>
        <v>#N/A</v>
      </c>
      <c r="N85" s="0" t="e">
        <f t="shared" si="11"/>
        <v>#N/A</v>
      </c>
      <c r="O85" s="0" t="str">
        <f>VLOOKUP(F85,[1]Sheet1!$E$7:$H$1160,2,FALSE)</f>
        <v>水晶试管</v>
      </c>
      <c r="P85" s="0" t="str">
        <f t="shared" si="12"/>
        <v>1001,水晶试管,12</v>
      </c>
      <c r="Q85" s="0" t="e">
        <f t="shared" si="9"/>
        <v>#N/A</v>
      </c>
    </row>
    <row r="86" ht="16.5">
      <c r="A86" s="15" t="s">
        <v>359</v>
      </c>
      <c r="B86" s="16" t="s">
        <v>278</v>
      </c>
      <c r="C86" s="15">
        <v>15</v>
      </c>
      <c r="D86" s="16" t="s">
        <v>279</v>
      </c>
      <c r="E86" s="15">
        <v>15</v>
      </c>
      <c r="F86" s="16" t="s">
        <v>265</v>
      </c>
      <c r="G86" s="15">
        <v>15</v>
      </c>
      <c r="H86" s="16" t="s">
        <v>266</v>
      </c>
      <c r="I86" s="16">
        <v>15</v>
      </c>
      <c r="J86" s="0" t="e">
        <f>VLOOKUP(A86,[1]Sheet1!$E$7:$H$1160,2,FALSE)</f>
        <v>#N/A</v>
      </c>
      <c r="K86" s="0" t="e">
        <f>VLOOKUP(B86,[1]Sheet1!$E$7:$H$1160,2,FALSE)</f>
        <v>#N/A</v>
      </c>
      <c r="L86" s="0" t="e">
        <f t="shared" si="10"/>
        <v>#N/A</v>
      </c>
      <c r="M86" s="0" t="e">
        <f>VLOOKUP(D86,[1]Sheet1!$E$7:$H$1160,2,FALSE)</f>
        <v>#N/A</v>
      </c>
      <c r="N86" s="0" t="e">
        <f t="shared" si="11"/>
        <v>#N/A</v>
      </c>
      <c r="O86" s="0" t="str">
        <f>VLOOKUP(F86,[1]Sheet1!$E$7:$H$1160,2,FALSE)</f>
        <v>黄金药碾</v>
      </c>
      <c r="P86" s="0" t="str">
        <f t="shared" si="12"/>
        <v>1001,黄金药碾,15</v>
      </c>
      <c r="Q86" s="0" t="e">
        <f t="shared" si="9"/>
        <v>#N/A</v>
      </c>
    </row>
    <row r="87" ht="16.5">
      <c r="A87" s="17" t="s">
        <v>360</v>
      </c>
      <c r="B87" s="18" t="s">
        <v>281</v>
      </c>
      <c r="C87" s="17">
        <v>3</v>
      </c>
      <c r="D87" s="18" t="s">
        <v>243</v>
      </c>
      <c r="E87" s="17">
        <v>3</v>
      </c>
      <c r="F87" s="18" t="s">
        <v>245</v>
      </c>
      <c r="G87" s="17">
        <v>3</v>
      </c>
      <c r="H87" s="18" t="s">
        <v>246</v>
      </c>
      <c r="I87" s="18">
        <v>3</v>
      </c>
      <c r="J87" s="0" t="e">
        <f>VLOOKUP(A87,[1]Sheet1!$E$7:$H$1160,2,FALSE)</f>
        <v>#N/A</v>
      </c>
      <c r="K87" s="0" t="e">
        <f>VLOOKUP(B87,[1]Sheet1!$E$7:$H$1160,2,FALSE)</f>
        <v>#N/A</v>
      </c>
      <c r="L87" s="0" t="e">
        <f t="shared" si="10"/>
        <v>#N/A</v>
      </c>
      <c r="M87" s="0" t="str">
        <f>VLOOKUP(D87,[1]Sheet1!$E$7:$H$1160,2,FALSE)</f>
        <v>草药根</v>
      </c>
      <c r="N87" s="0" t="str">
        <f t="shared" si="11"/>
        <v>1001,草药根,3</v>
      </c>
      <c r="O87" s="0" t="str">
        <f>VLOOKUP(F87,[1]Sheet1!$E$7:$H$1160,2,FALSE)</f>
        <v>石制药碾</v>
      </c>
      <c r="P87" s="0" t="str">
        <f t="shared" si="12"/>
        <v>1001,石制药碾,3</v>
      </c>
      <c r="Q87" s="0" t="e">
        <f t="shared" si="9"/>
        <v>#N/A</v>
      </c>
    </row>
    <row r="88" ht="16.5">
      <c r="A88" s="17" t="s">
        <v>361</v>
      </c>
      <c r="B88" s="18" t="s">
        <v>283</v>
      </c>
      <c r="C88" s="17">
        <v>6</v>
      </c>
      <c r="D88" s="18" t="s">
        <v>248</v>
      </c>
      <c r="E88" s="17">
        <v>6</v>
      </c>
      <c r="F88" s="18" t="s">
        <v>250</v>
      </c>
      <c r="G88" s="17">
        <v>6</v>
      </c>
      <c r="H88" s="18" t="s">
        <v>251</v>
      </c>
      <c r="I88" s="18">
        <v>6</v>
      </c>
      <c r="J88" s="0" t="str">
        <f>VLOOKUP(A88,[1]Sheet1!$E$7:$H$1160,2,FALSE)</f>
        <v>初级防御药丸</v>
      </c>
      <c r="K88" s="0" t="e">
        <f>VLOOKUP(B88,[1]Sheet1!$E$7:$H$1160,2,FALSE)</f>
        <v>#N/A</v>
      </c>
      <c r="L88" s="0" t="e">
        <f t="shared" si="10"/>
        <v>#N/A</v>
      </c>
      <c r="M88" s="0" t="e">
        <f>VLOOKUP(D88,[1]Sheet1!$E$7:$H$1160,2,FALSE)</f>
        <v>#N/A</v>
      </c>
      <c r="N88" s="0" t="e">
        <f t="shared" si="11"/>
        <v>#N/A</v>
      </c>
      <c r="O88" s="0" t="str">
        <f>VLOOKUP(F88,[1]Sheet1!$E$7:$H$1160,2,FALSE)</f>
        <v>玻璃试管</v>
      </c>
      <c r="P88" s="0" t="str">
        <f t="shared" si="12"/>
        <v>1001,玻璃试管,6</v>
      </c>
      <c r="Q88" s="0" t="e">
        <f t="shared" si="9"/>
        <v>#N/A</v>
      </c>
    </row>
    <row r="89" ht="16.5">
      <c r="A89" s="17" t="s">
        <v>362</v>
      </c>
      <c r="B89" s="18" t="s">
        <v>285</v>
      </c>
      <c r="C89" s="17">
        <v>9</v>
      </c>
      <c r="D89" s="18" t="s">
        <v>253</v>
      </c>
      <c r="E89" s="17">
        <v>9</v>
      </c>
      <c r="F89" s="18" t="s">
        <v>255</v>
      </c>
      <c r="G89" s="17">
        <v>9</v>
      </c>
      <c r="H89" s="18" t="s">
        <v>256</v>
      </c>
      <c r="I89" s="18">
        <v>9</v>
      </c>
      <c r="J89" s="0" t="e">
        <f>VLOOKUP(A89,[1]Sheet1!$E$7:$H$1160,2,FALSE)</f>
        <v>#N/A</v>
      </c>
      <c r="K89" s="0" t="e">
        <f>VLOOKUP(B89,[1]Sheet1!$E$7:$H$1160,2,FALSE)</f>
        <v>#N/A</v>
      </c>
      <c r="L89" s="0" t="e">
        <f t="shared" si="10"/>
        <v>#N/A</v>
      </c>
      <c r="M89" s="0" t="e">
        <f>VLOOKUP(D89,[1]Sheet1!$E$7:$H$1160,2,FALSE)</f>
        <v>#N/A</v>
      </c>
      <c r="N89" s="0" t="e">
        <f t="shared" si="11"/>
        <v>#N/A</v>
      </c>
      <c r="O89" s="0" t="str">
        <f>VLOOKUP(F89,[1]Sheet1!$E$7:$H$1160,2,FALSE)</f>
        <v>强化玻璃试管</v>
      </c>
      <c r="P89" s="0" t="str">
        <f t="shared" si="12"/>
        <v>1001,强化玻璃试管,9</v>
      </c>
      <c r="Q89" s="0" t="e">
        <f t="shared" si="9"/>
        <v>#N/A</v>
      </c>
    </row>
    <row r="90" ht="16.5">
      <c r="A90" s="17" t="s">
        <v>363</v>
      </c>
      <c r="B90" s="18" t="s">
        <v>287</v>
      </c>
      <c r="C90" s="17">
        <v>12</v>
      </c>
      <c r="D90" s="18" t="s">
        <v>258</v>
      </c>
      <c r="E90" s="17">
        <v>12</v>
      </c>
      <c r="F90" s="18" t="s">
        <v>260</v>
      </c>
      <c r="G90" s="17">
        <v>12</v>
      </c>
      <c r="H90" s="18" t="s">
        <v>261</v>
      </c>
      <c r="I90" s="18">
        <v>12</v>
      </c>
      <c r="J90" s="0" t="str">
        <f>VLOOKUP(A90,[1]Sheet1!$E$7:$H$1160,2,FALSE)</f>
        <v>高级防御药丸</v>
      </c>
      <c r="K90" s="0" t="e">
        <f>VLOOKUP(B90,[1]Sheet1!$E$7:$H$1160,2,FALSE)</f>
        <v>#N/A</v>
      </c>
      <c r="L90" s="0" t="e">
        <f t="shared" si="10"/>
        <v>#N/A</v>
      </c>
      <c r="M90" s="0" t="e">
        <f>VLOOKUP(D90,[1]Sheet1!$E$7:$H$1160,2,FALSE)</f>
        <v>#N/A</v>
      </c>
      <c r="N90" s="0" t="e">
        <f t="shared" si="11"/>
        <v>#N/A</v>
      </c>
      <c r="O90" s="0" t="str">
        <f>VLOOKUP(F90,[1]Sheet1!$E$7:$H$1160,2,FALSE)</f>
        <v>水晶试管</v>
      </c>
      <c r="P90" s="0" t="str">
        <f t="shared" si="12"/>
        <v>1001,水晶试管,12</v>
      </c>
      <c r="Q90" s="0" t="e">
        <f t="shared" si="9"/>
        <v>#N/A</v>
      </c>
    </row>
    <row r="91" ht="16.5">
      <c r="A91" s="17" t="s">
        <v>364</v>
      </c>
      <c r="B91" s="18" t="s">
        <v>289</v>
      </c>
      <c r="C91" s="17">
        <v>15</v>
      </c>
      <c r="D91" s="18" t="s">
        <v>263</v>
      </c>
      <c r="E91" s="17">
        <v>15</v>
      </c>
      <c r="F91" s="18" t="s">
        <v>265</v>
      </c>
      <c r="G91" s="17">
        <v>15</v>
      </c>
      <c r="H91" s="18" t="s">
        <v>266</v>
      </c>
      <c r="I91" s="18">
        <v>15</v>
      </c>
      <c r="J91" s="0" t="e">
        <f>VLOOKUP(A91,[1]Sheet1!$E$7:$H$1160,2,FALSE)</f>
        <v>#N/A</v>
      </c>
      <c r="K91" s="0" t="e">
        <f>VLOOKUP(B91,[1]Sheet1!$E$7:$H$1160,2,FALSE)</f>
        <v>#N/A</v>
      </c>
      <c r="L91" s="0" t="e">
        <f t="shared" si="10"/>
        <v>#N/A</v>
      </c>
      <c r="M91" s="0" t="e">
        <f>VLOOKUP(D91,[1]Sheet1!$E$7:$H$1160,2,FALSE)</f>
        <v>#N/A</v>
      </c>
      <c r="N91" s="0" t="e">
        <f t="shared" si="11"/>
        <v>#N/A</v>
      </c>
      <c r="O91" s="0" t="str">
        <f>VLOOKUP(F91,[1]Sheet1!$E$7:$H$1160,2,FALSE)</f>
        <v>黄金药碾</v>
      </c>
      <c r="P91" s="0" t="str">
        <f t="shared" si="12"/>
        <v>1001,黄金药碾,15</v>
      </c>
      <c r="Q91" s="0" t="e">
        <f t="shared" si="9"/>
        <v>#N/A</v>
      </c>
    </row>
    <row r="92" ht="16.5">
      <c r="A92" s="15" t="s">
        <v>365</v>
      </c>
      <c r="B92" s="16" t="s">
        <v>244</v>
      </c>
      <c r="C92" s="15">
        <v>3</v>
      </c>
      <c r="D92" s="16" t="s">
        <v>268</v>
      </c>
      <c r="E92" s="15">
        <v>3</v>
      </c>
      <c r="F92" s="16" t="s">
        <v>245</v>
      </c>
      <c r="G92" s="15">
        <v>3</v>
      </c>
      <c r="H92" s="16" t="s">
        <v>246</v>
      </c>
      <c r="I92" s="16">
        <v>3</v>
      </c>
      <c r="J92" s="0" t="e">
        <f>VLOOKUP(A92,[1]Sheet1!$E$7:$H$1160,2,FALSE)</f>
        <v>#N/A</v>
      </c>
      <c r="K92" s="0" t="e">
        <f>VLOOKUP(B92,[1]Sheet1!$E$7:$H$1160,2,FALSE)</f>
        <v>#N/A</v>
      </c>
      <c r="L92" s="0" t="e">
        <f t="shared" si="10"/>
        <v>#N/A</v>
      </c>
      <c r="M92" s="0" t="e">
        <f>VLOOKUP(D92,[1]Sheet1!$E$7:$H$1160,2,FALSE)</f>
        <v>#N/A</v>
      </c>
      <c r="N92" s="0" t="e">
        <f t="shared" si="11"/>
        <v>#N/A</v>
      </c>
      <c r="O92" s="0" t="str">
        <f>VLOOKUP(F92,[1]Sheet1!$E$7:$H$1160,2,FALSE)</f>
        <v>石制药碾</v>
      </c>
      <c r="P92" s="0" t="str">
        <f t="shared" si="12"/>
        <v>1001,石制药碾,3</v>
      </c>
      <c r="Q92" s="0" t="e">
        <f t="shared" si="9"/>
        <v>#N/A</v>
      </c>
    </row>
    <row r="93" ht="16.5">
      <c r="A93" s="15" t="s">
        <v>366</v>
      </c>
      <c r="B93" s="16" t="s">
        <v>249</v>
      </c>
      <c r="C93" s="15">
        <v>6</v>
      </c>
      <c r="D93" s="16" t="s">
        <v>270</v>
      </c>
      <c r="E93" s="15">
        <v>6</v>
      </c>
      <c r="F93" s="16" t="s">
        <v>250</v>
      </c>
      <c r="G93" s="15">
        <v>6</v>
      </c>
      <c r="H93" s="16" t="s">
        <v>251</v>
      </c>
      <c r="I93" s="16">
        <v>6</v>
      </c>
      <c r="J93" s="0" t="str">
        <f>VLOOKUP(A93,[1]Sheet1!$E$7:$H$1160,2,FALSE)</f>
        <v>初级速度药丸</v>
      </c>
      <c r="K93" s="0" t="e">
        <f>VLOOKUP(B93,[1]Sheet1!$E$7:$H$1160,2,FALSE)</f>
        <v>#N/A</v>
      </c>
      <c r="L93" s="0" t="e">
        <f t="shared" si="10"/>
        <v>#N/A</v>
      </c>
      <c r="M93" s="0" t="e">
        <f>VLOOKUP(D93,[1]Sheet1!$E$7:$H$1160,2,FALSE)</f>
        <v>#N/A</v>
      </c>
      <c r="N93" s="0" t="e">
        <f t="shared" si="11"/>
        <v>#N/A</v>
      </c>
      <c r="O93" s="0" t="str">
        <f>VLOOKUP(F93,[1]Sheet1!$E$7:$H$1160,2,FALSE)</f>
        <v>玻璃试管</v>
      </c>
      <c r="P93" s="0" t="str">
        <f t="shared" si="12"/>
        <v>1001,玻璃试管,6</v>
      </c>
      <c r="Q93" s="0" t="e">
        <f t="shared" si="9"/>
        <v>#N/A</v>
      </c>
    </row>
    <row r="94" ht="16.5">
      <c r="A94" s="15" t="s">
        <v>367</v>
      </c>
      <c r="B94" s="16" t="s">
        <v>254</v>
      </c>
      <c r="C94" s="15">
        <v>9</v>
      </c>
      <c r="D94" s="16" t="s">
        <v>273</v>
      </c>
      <c r="E94" s="15">
        <v>9</v>
      </c>
      <c r="F94" s="16" t="s">
        <v>255</v>
      </c>
      <c r="G94" s="15">
        <v>9</v>
      </c>
      <c r="H94" s="16" t="s">
        <v>256</v>
      </c>
      <c r="I94" s="16">
        <v>9</v>
      </c>
      <c r="J94" s="0" t="e">
        <f>VLOOKUP(A94,[1]Sheet1!$E$7:$H$1160,2,FALSE)</f>
        <v>#N/A</v>
      </c>
      <c r="K94" s="0" t="e">
        <f>VLOOKUP(B94,[1]Sheet1!$E$7:$H$1160,2,FALSE)</f>
        <v>#N/A</v>
      </c>
      <c r="L94" s="0" t="e">
        <f t="shared" si="10"/>
        <v>#N/A</v>
      </c>
      <c r="M94" s="0" t="e">
        <f>VLOOKUP(D94,[1]Sheet1!$E$7:$H$1160,2,FALSE)</f>
        <v>#N/A</v>
      </c>
      <c r="N94" s="0" t="e">
        <f t="shared" si="11"/>
        <v>#N/A</v>
      </c>
      <c r="O94" s="0" t="str">
        <f>VLOOKUP(F94,[1]Sheet1!$E$7:$H$1160,2,FALSE)</f>
        <v>强化玻璃试管</v>
      </c>
      <c r="P94" s="0" t="str">
        <f t="shared" si="12"/>
        <v>1001,强化玻璃试管,9</v>
      </c>
      <c r="Q94" s="0" t="e">
        <f t="shared" si="9"/>
        <v>#N/A</v>
      </c>
    </row>
    <row r="95" ht="16.5">
      <c r="A95" s="15" t="s">
        <v>368</v>
      </c>
      <c r="B95" s="16" t="s">
        <v>259</v>
      </c>
      <c r="C95" s="15">
        <v>12</v>
      </c>
      <c r="D95" s="16" t="s">
        <v>275</v>
      </c>
      <c r="E95" s="15">
        <v>12</v>
      </c>
      <c r="F95" s="16" t="s">
        <v>260</v>
      </c>
      <c r="G95" s="15">
        <v>12</v>
      </c>
      <c r="H95" s="16" t="s">
        <v>261</v>
      </c>
      <c r="I95" s="16">
        <v>12</v>
      </c>
      <c r="J95" s="0" t="str">
        <f>VLOOKUP(A95,[1]Sheet1!$E$7:$H$1160,2,FALSE)</f>
        <v>高级速度药丸</v>
      </c>
      <c r="K95" s="0" t="e">
        <f>VLOOKUP(B95,[1]Sheet1!$E$7:$H$1160,2,FALSE)</f>
        <v>#N/A</v>
      </c>
      <c r="L95" s="0" t="e">
        <f t="shared" si="10"/>
        <v>#N/A</v>
      </c>
      <c r="M95" s="0" t="e">
        <f>VLOOKUP(D95,[1]Sheet1!$E$7:$H$1160,2,FALSE)</f>
        <v>#N/A</v>
      </c>
      <c r="N95" s="0" t="e">
        <f t="shared" si="11"/>
        <v>#N/A</v>
      </c>
      <c r="O95" s="0" t="str">
        <f>VLOOKUP(F95,[1]Sheet1!$E$7:$H$1160,2,FALSE)</f>
        <v>水晶试管</v>
      </c>
      <c r="P95" s="0" t="str">
        <f t="shared" si="12"/>
        <v>1001,水晶试管,12</v>
      </c>
      <c r="Q95" s="0" t="e">
        <f t="shared" si="9"/>
        <v>#N/A</v>
      </c>
    </row>
    <row r="96" ht="16.5">
      <c r="A96" s="15" t="s">
        <v>369</v>
      </c>
      <c r="B96" s="16" t="s">
        <v>264</v>
      </c>
      <c r="C96" s="15">
        <v>15</v>
      </c>
      <c r="D96" s="16" t="s">
        <v>278</v>
      </c>
      <c r="E96" s="15">
        <v>15</v>
      </c>
      <c r="F96" s="16" t="s">
        <v>265</v>
      </c>
      <c r="G96" s="15">
        <v>15</v>
      </c>
      <c r="H96" s="16" t="s">
        <v>266</v>
      </c>
      <c r="I96" s="16">
        <v>15</v>
      </c>
      <c r="J96" s="0" t="e">
        <f>VLOOKUP(A96,[1]Sheet1!$E$7:$H$1160,2,FALSE)</f>
        <v>#N/A</v>
      </c>
      <c r="K96" s="0" t="e">
        <f>VLOOKUP(B96,[1]Sheet1!$E$7:$H$1160,2,FALSE)</f>
        <v>#N/A</v>
      </c>
      <c r="L96" s="0" t="e">
        <f t="shared" si="10"/>
        <v>#N/A</v>
      </c>
      <c r="M96" s="0" t="e">
        <f>VLOOKUP(D96,[1]Sheet1!$E$7:$H$1160,2,FALSE)</f>
        <v>#N/A</v>
      </c>
      <c r="N96" s="0" t="e">
        <f t="shared" si="11"/>
        <v>#N/A</v>
      </c>
      <c r="O96" s="0" t="str">
        <f>VLOOKUP(F96,[1]Sheet1!$E$7:$H$1160,2,FALSE)</f>
        <v>黄金药碾</v>
      </c>
      <c r="P96" s="0" t="str">
        <f t="shared" si="12"/>
        <v>1001,黄金药碾,15</v>
      </c>
      <c r="Q96" s="0" t="e">
        <f t="shared" si="9"/>
        <v>#N/A</v>
      </c>
    </row>
    <row r="97" ht="16.5">
      <c r="A97" s="17" t="s">
        <v>370</v>
      </c>
      <c r="B97" s="18" t="s">
        <v>269</v>
      </c>
      <c r="C97" s="17">
        <v>3</v>
      </c>
      <c r="D97" s="18" t="s">
        <v>281</v>
      </c>
      <c r="E97" s="17">
        <v>3</v>
      </c>
      <c r="F97" s="18" t="s">
        <v>245</v>
      </c>
      <c r="G97" s="17">
        <v>3</v>
      </c>
      <c r="H97" s="18" t="s">
        <v>246</v>
      </c>
      <c r="I97" s="18">
        <v>3</v>
      </c>
      <c r="J97" s="0" t="e">
        <f>VLOOKUP(A97,[1]Sheet1!$E$7:$H$1160,2,FALSE)</f>
        <v>#N/A</v>
      </c>
      <c r="K97" s="0" t="e">
        <f>VLOOKUP(B97,[1]Sheet1!$E$7:$H$1160,2,FALSE)</f>
        <v>#N/A</v>
      </c>
      <c r="L97" s="0" t="e">
        <f t="shared" si="10"/>
        <v>#N/A</v>
      </c>
      <c r="M97" s="0" t="e">
        <f>VLOOKUP(D97,[1]Sheet1!$E$7:$H$1160,2,FALSE)</f>
        <v>#N/A</v>
      </c>
      <c r="N97" s="0" t="e">
        <f t="shared" si="11"/>
        <v>#N/A</v>
      </c>
      <c r="O97" s="0" t="str">
        <f>VLOOKUP(F97,[1]Sheet1!$E$7:$H$1160,2,FALSE)</f>
        <v>石制药碾</v>
      </c>
      <c r="P97" s="0" t="str">
        <f t="shared" si="12"/>
        <v>1001,石制药碾,3</v>
      </c>
      <c r="Q97" s="0" t="e">
        <f t="shared" si="9"/>
        <v>#N/A</v>
      </c>
    </row>
    <row r="98" ht="16.5">
      <c r="A98" s="17" t="s">
        <v>371</v>
      </c>
      <c r="B98" s="18" t="s">
        <v>271</v>
      </c>
      <c r="C98" s="17">
        <v>6</v>
      </c>
      <c r="D98" s="18" t="s">
        <v>283</v>
      </c>
      <c r="E98" s="17">
        <v>6</v>
      </c>
      <c r="F98" s="18" t="s">
        <v>250</v>
      </c>
      <c r="G98" s="17">
        <v>6</v>
      </c>
      <c r="H98" s="18" t="s">
        <v>251</v>
      </c>
      <c r="I98" s="18">
        <v>6</v>
      </c>
      <c r="J98" s="0" t="str">
        <f>VLOOKUP(A98,[1]Sheet1!$E$7:$H$1160,2,FALSE)</f>
        <v>初级命中药丸</v>
      </c>
      <c r="K98" s="0" t="e">
        <f>VLOOKUP(B98,[1]Sheet1!$E$7:$H$1160,2,FALSE)</f>
        <v>#N/A</v>
      </c>
      <c r="L98" s="0" t="e">
        <f t="shared" si="10"/>
        <v>#N/A</v>
      </c>
      <c r="M98" s="0" t="e">
        <f>VLOOKUP(D98,[1]Sheet1!$E$7:$H$1160,2,FALSE)</f>
        <v>#N/A</v>
      </c>
      <c r="N98" s="0" t="e">
        <f t="shared" si="11"/>
        <v>#N/A</v>
      </c>
      <c r="O98" s="0" t="str">
        <f>VLOOKUP(F98,[1]Sheet1!$E$7:$H$1160,2,FALSE)</f>
        <v>玻璃试管</v>
      </c>
      <c r="P98" s="0" t="str">
        <f t="shared" si="12"/>
        <v>1001,玻璃试管,6</v>
      </c>
      <c r="Q98" s="0" t="e">
        <f t="shared" si="9"/>
        <v>#N/A</v>
      </c>
    </row>
    <row r="99" ht="16.5">
      <c r="A99" s="17" t="s">
        <v>372</v>
      </c>
      <c r="B99" s="18" t="s">
        <v>274</v>
      </c>
      <c r="C99" s="17">
        <v>9</v>
      </c>
      <c r="D99" s="18" t="s">
        <v>285</v>
      </c>
      <c r="E99" s="17">
        <v>9</v>
      </c>
      <c r="F99" s="18" t="s">
        <v>255</v>
      </c>
      <c r="G99" s="17">
        <v>9</v>
      </c>
      <c r="H99" s="18" t="s">
        <v>256</v>
      </c>
      <c r="I99" s="18">
        <v>9</v>
      </c>
      <c r="J99" s="0" t="e">
        <f>VLOOKUP(A99,[1]Sheet1!$E$7:$H$1160,2,FALSE)</f>
        <v>#N/A</v>
      </c>
      <c r="K99" s="0" t="e">
        <f>VLOOKUP(B99,[1]Sheet1!$E$7:$H$1160,2,FALSE)</f>
        <v>#N/A</v>
      </c>
      <c r="L99" s="0" t="e">
        <f t="shared" si="10"/>
        <v>#N/A</v>
      </c>
      <c r="M99" s="0" t="e">
        <f>VLOOKUP(D99,[1]Sheet1!$E$7:$H$1160,2,FALSE)</f>
        <v>#N/A</v>
      </c>
      <c r="N99" s="0" t="e">
        <f t="shared" si="11"/>
        <v>#N/A</v>
      </c>
      <c r="O99" s="0" t="str">
        <f>VLOOKUP(F99,[1]Sheet1!$E$7:$H$1160,2,FALSE)</f>
        <v>强化玻璃试管</v>
      </c>
      <c r="P99" s="0" t="str">
        <f t="shared" si="12"/>
        <v>1001,强化玻璃试管,9</v>
      </c>
      <c r="Q99" s="0" t="e">
        <f t="shared" si="9"/>
        <v>#N/A</v>
      </c>
    </row>
    <row r="100" ht="16.5">
      <c r="A100" s="17" t="s">
        <v>373</v>
      </c>
      <c r="B100" s="18" t="s">
        <v>276</v>
      </c>
      <c r="C100" s="17">
        <v>12</v>
      </c>
      <c r="D100" s="18" t="s">
        <v>287</v>
      </c>
      <c r="E100" s="17">
        <v>12</v>
      </c>
      <c r="F100" s="18" t="s">
        <v>260</v>
      </c>
      <c r="G100" s="17">
        <v>12</v>
      </c>
      <c r="H100" s="18" t="s">
        <v>261</v>
      </c>
      <c r="I100" s="18">
        <v>12</v>
      </c>
      <c r="J100" s="0" t="str">
        <f>VLOOKUP(A100,[1]Sheet1!$E$7:$H$1160,2,FALSE)</f>
        <v>高级命中药丸</v>
      </c>
      <c r="K100" s="0" t="e">
        <f>VLOOKUP(B100,[1]Sheet1!$E$7:$H$1160,2,FALSE)</f>
        <v>#N/A</v>
      </c>
      <c r="L100" s="0" t="e">
        <f t="shared" si="10"/>
        <v>#N/A</v>
      </c>
      <c r="M100" s="0" t="e">
        <f>VLOOKUP(D100,[1]Sheet1!$E$7:$H$1160,2,FALSE)</f>
        <v>#N/A</v>
      </c>
      <c r="N100" s="0" t="e">
        <f t="shared" si="11"/>
        <v>#N/A</v>
      </c>
      <c r="O100" s="0" t="str">
        <f>VLOOKUP(F100,[1]Sheet1!$E$7:$H$1160,2,FALSE)</f>
        <v>水晶试管</v>
      </c>
      <c r="P100" s="0" t="str">
        <f t="shared" si="12"/>
        <v>1001,水晶试管,12</v>
      </c>
      <c r="Q100" s="0" t="e">
        <f t="shared" si="9"/>
        <v>#N/A</v>
      </c>
    </row>
    <row r="101" ht="16.5">
      <c r="A101" s="17" t="s">
        <v>374</v>
      </c>
      <c r="B101" s="18" t="s">
        <v>279</v>
      </c>
      <c r="C101" s="17">
        <v>15</v>
      </c>
      <c r="D101" s="18" t="s">
        <v>289</v>
      </c>
      <c r="E101" s="17">
        <v>15</v>
      </c>
      <c r="F101" s="18" t="s">
        <v>265</v>
      </c>
      <c r="G101" s="17">
        <v>15</v>
      </c>
      <c r="H101" s="18" t="s">
        <v>266</v>
      </c>
      <c r="I101" s="18">
        <v>15</v>
      </c>
      <c r="J101" s="0" t="e">
        <f>VLOOKUP(A101,[1]Sheet1!$E$7:$H$1160,2,FALSE)</f>
        <v>#N/A</v>
      </c>
      <c r="K101" s="0" t="e">
        <f>VLOOKUP(B101,[1]Sheet1!$E$7:$H$1160,2,FALSE)</f>
        <v>#N/A</v>
      </c>
      <c r="L101" s="0" t="e">
        <f t="shared" si="10"/>
        <v>#N/A</v>
      </c>
      <c r="M101" s="0" t="e">
        <f>VLOOKUP(D101,[1]Sheet1!$E$7:$H$1160,2,FALSE)</f>
        <v>#N/A</v>
      </c>
      <c r="N101" s="0" t="e">
        <f t="shared" si="11"/>
        <v>#N/A</v>
      </c>
      <c r="O101" s="0" t="str">
        <f>VLOOKUP(F101,[1]Sheet1!$E$7:$H$1160,2,FALSE)</f>
        <v>黄金药碾</v>
      </c>
      <c r="P101" s="0" t="str">
        <f t="shared" si="12"/>
        <v>1001,黄金药碾,15</v>
      </c>
      <c r="Q101" s="0" t="e">
        <f t="shared" si="9"/>
        <v>#N/A</v>
      </c>
    </row>
    <row r="102" ht="16.5">
      <c r="A102" s="17"/>
      <c r="B102" s="18"/>
      <c r="C102" s="17"/>
      <c r="D102" s="18"/>
      <c r="E102" s="17"/>
      <c r="F102" s="18"/>
      <c r="G102" s="17"/>
      <c r="H102" s="18"/>
      <c r="I102" s="18"/>
    </row>
    <row r="103" ht="16.5">
      <c r="A103" s="15" t="s">
        <v>375</v>
      </c>
      <c r="B103" s="19" t="s">
        <v>376</v>
      </c>
      <c r="C103" s="15">
        <v>1</v>
      </c>
      <c r="D103" s="16" t="s">
        <v>281</v>
      </c>
      <c r="E103" s="15">
        <v>2</v>
      </c>
      <c r="F103" s="16" t="s">
        <v>243</v>
      </c>
      <c r="G103" s="15">
        <v>2</v>
      </c>
      <c r="H103" s="16" t="s">
        <v>245</v>
      </c>
      <c r="I103" s="16">
        <v>4</v>
      </c>
      <c r="J103" s="15" t="s">
        <v>246</v>
      </c>
      <c r="K103" s="15">
        <v>4</v>
      </c>
      <c r="L103" s="0" t="e">
        <f>VLOOKUP(A103,[1]Sheet1!$E:$H,2,FALSE)</f>
        <v>#N/A</v>
      </c>
      <c r="M103" s="0" t="e">
        <f>VLOOKUP(B103,[1]Sheet1!$E:$H,2,FALSE)</f>
        <v>#N/A</v>
      </c>
      <c r="N103" s="0" t="e">
        <f ref="N103:R103" t="shared" si="13">"1001,"&amp;M103&amp;","&amp;C103</f>
        <v>#N/A</v>
      </c>
      <c r="O103" s="0" t="e">
        <f>VLOOKUP(D103,[1]Sheet1!$E:$H,2,FALSE)</f>
        <v>#N/A</v>
      </c>
      <c r="P103" s="0" t="e">
        <f t="shared" si="13"/>
        <v>#N/A</v>
      </c>
      <c r="Q103" s="0" t="str">
        <f>VLOOKUP(F103,[1]Sheet1!$E:$H,2,FALSE)</f>
        <v>草药根</v>
      </c>
      <c r="R103" s="0" t="str">
        <f>"1001,"&amp;Q103&amp;","&amp;I103</f>
        <v>1001,草药根,4</v>
      </c>
      <c r="S103" s="0" t="str">
        <f>VLOOKUP(H103,[1]Sheet1!$E:$H,2,FALSE)</f>
        <v>石制药碾</v>
      </c>
      <c r="T103" s="0" t="str">
        <f>"1001,"&amp;S103&amp;","&amp;I103</f>
        <v>1001,石制药碾,4</v>
      </c>
      <c r="U103" s="0" t="e">
        <f>N103&amp;";"&amp;P103&amp;";"&amp;R103&amp;";"&amp;T103</f>
        <v>#N/A</v>
      </c>
    </row>
    <row r="104" ht="16.5">
      <c r="A104" s="15" t="s">
        <v>377</v>
      </c>
      <c r="B104" s="19" t="s">
        <v>378</v>
      </c>
      <c r="C104" s="15">
        <v>3</v>
      </c>
      <c r="D104" s="16" t="s">
        <v>283</v>
      </c>
      <c r="E104" s="15">
        <v>4</v>
      </c>
      <c r="F104" s="16" t="s">
        <v>248</v>
      </c>
      <c r="G104" s="15">
        <v>4</v>
      </c>
      <c r="H104" s="16" t="s">
        <v>250</v>
      </c>
      <c r="I104" s="16">
        <v>8</v>
      </c>
      <c r="J104" s="15" t="s">
        <v>251</v>
      </c>
      <c r="K104" s="15">
        <v>8</v>
      </c>
      <c r="L104" s="0" t="str">
        <f>VLOOKUP(A104,[1]Sheet1!$E:$H,2,FALSE)</f>
        <v>初级抗毒药剂</v>
      </c>
      <c r="M104" s="0" t="e">
        <f>VLOOKUP(B104,[1]Sheet1!$E:$H,2,FALSE)</f>
        <v>#N/A</v>
      </c>
      <c r="N104" s="0" t="e">
        <f ref="N104:N142" t="shared" si="14">"1001,"&amp;M104&amp;","&amp;C104</f>
        <v>#N/A</v>
      </c>
      <c r="O104" s="0" t="e">
        <f>VLOOKUP(D104,[1]Sheet1!$E:$H,2,FALSE)</f>
        <v>#N/A</v>
      </c>
      <c r="P104" s="0" t="e">
        <f ref="P104:P142" t="shared" si="15">"1001,"&amp;O104&amp;","&amp;E104</f>
        <v>#N/A</v>
      </c>
      <c r="Q104" s="0" t="e">
        <f>VLOOKUP(F104,[1]Sheet1!$E:$H,2,FALSE)</f>
        <v>#N/A</v>
      </c>
      <c r="R104" s="0" t="e">
        <f ref="R104:R142" t="shared" si="16">"1001,"&amp;Q104&amp;","&amp;I104</f>
        <v>#N/A</v>
      </c>
      <c r="S104" s="0" t="str">
        <f>VLOOKUP(H104,[1]Sheet1!$E:$H,2,FALSE)</f>
        <v>玻璃试管</v>
      </c>
      <c r="T104" s="0" t="str">
        <f ref="T104:T142" t="shared" si="17">"1001,"&amp;S104&amp;","&amp;I104</f>
        <v>1001,玻璃试管,8</v>
      </c>
      <c r="U104" s="0" t="e">
        <f ref="U104:U142" t="shared" si="18">N104&amp;";"&amp;P104&amp;";"&amp;R104&amp;";"&amp;T104</f>
        <v>#N/A</v>
      </c>
    </row>
    <row r="105" ht="16.5">
      <c r="A105" s="15" t="s">
        <v>379</v>
      </c>
      <c r="B105" s="19" t="s">
        <v>380</v>
      </c>
      <c r="C105" s="15">
        <v>5</v>
      </c>
      <c r="D105" s="16" t="s">
        <v>285</v>
      </c>
      <c r="E105" s="15">
        <v>6</v>
      </c>
      <c r="F105" s="16" t="s">
        <v>253</v>
      </c>
      <c r="G105" s="15">
        <v>6</v>
      </c>
      <c r="H105" s="16" t="s">
        <v>255</v>
      </c>
      <c r="I105" s="16">
        <v>12</v>
      </c>
      <c r="J105" s="15" t="s">
        <v>256</v>
      </c>
      <c r="K105" s="15">
        <v>12</v>
      </c>
      <c r="L105" s="0" t="e">
        <f>VLOOKUP(A105,[1]Sheet1!$E:$H,2,FALSE)</f>
        <v>#N/A</v>
      </c>
      <c r="M105" s="0" t="e">
        <f>VLOOKUP(B105,[1]Sheet1!$E:$H,2,FALSE)</f>
        <v>#N/A</v>
      </c>
      <c r="N105" s="0" t="e">
        <f t="shared" si="14"/>
        <v>#N/A</v>
      </c>
      <c r="O105" s="0" t="e">
        <f>VLOOKUP(D105,[1]Sheet1!$E:$H,2,FALSE)</f>
        <v>#N/A</v>
      </c>
      <c r="P105" s="0" t="e">
        <f t="shared" si="15"/>
        <v>#N/A</v>
      </c>
      <c r="Q105" s="0" t="e">
        <f>VLOOKUP(F105,[1]Sheet1!$E:$H,2,FALSE)</f>
        <v>#N/A</v>
      </c>
      <c r="R105" s="0" t="e">
        <f t="shared" si="16"/>
        <v>#N/A</v>
      </c>
      <c r="S105" s="0" t="str">
        <f>VLOOKUP(H105,[1]Sheet1!$E:$H,2,FALSE)</f>
        <v>强化玻璃试管</v>
      </c>
      <c r="T105" s="0" t="str">
        <f t="shared" si="17"/>
        <v>1001,强化玻璃试管,12</v>
      </c>
      <c r="U105" s="0" t="e">
        <f t="shared" si="18"/>
        <v>#N/A</v>
      </c>
    </row>
    <row r="106" ht="16.5">
      <c r="A106" s="15" t="s">
        <v>166</v>
      </c>
      <c r="B106" s="19" t="s">
        <v>381</v>
      </c>
      <c r="C106" s="15">
        <v>7</v>
      </c>
      <c r="D106" s="16" t="s">
        <v>287</v>
      </c>
      <c r="E106" s="15">
        <v>8</v>
      </c>
      <c r="F106" s="16" t="s">
        <v>258</v>
      </c>
      <c r="G106" s="15">
        <v>8</v>
      </c>
      <c r="H106" s="16" t="s">
        <v>260</v>
      </c>
      <c r="I106" s="16">
        <v>16</v>
      </c>
      <c r="J106" s="15" t="s">
        <v>261</v>
      </c>
      <c r="K106" s="15">
        <v>16</v>
      </c>
      <c r="L106" s="0" t="str">
        <f>VLOOKUP(A106,[1]Sheet1!$E:$H,2,FALSE)</f>
        <v>高级抗毒药剂</v>
      </c>
      <c r="M106" s="0" t="e">
        <f>VLOOKUP(B106,[1]Sheet1!$E:$H,2,FALSE)</f>
        <v>#N/A</v>
      </c>
      <c r="N106" s="0" t="e">
        <f t="shared" si="14"/>
        <v>#N/A</v>
      </c>
      <c r="O106" s="0" t="e">
        <f>VLOOKUP(D106,[1]Sheet1!$E:$H,2,FALSE)</f>
        <v>#N/A</v>
      </c>
      <c r="P106" s="0" t="e">
        <f t="shared" si="15"/>
        <v>#N/A</v>
      </c>
      <c r="Q106" s="0" t="e">
        <f>VLOOKUP(F106,[1]Sheet1!$E:$H,2,FALSE)</f>
        <v>#N/A</v>
      </c>
      <c r="R106" s="0" t="e">
        <f t="shared" si="16"/>
        <v>#N/A</v>
      </c>
      <c r="S106" s="0" t="str">
        <f>VLOOKUP(H106,[1]Sheet1!$E:$H,2,FALSE)</f>
        <v>水晶试管</v>
      </c>
      <c r="T106" s="0" t="str">
        <f t="shared" si="17"/>
        <v>1001,水晶试管,16</v>
      </c>
      <c r="U106" s="0" t="e">
        <f t="shared" si="18"/>
        <v>#N/A</v>
      </c>
    </row>
    <row r="107" ht="16.5">
      <c r="A107" s="15" t="s">
        <v>382</v>
      </c>
      <c r="B107" s="19" t="s">
        <v>383</v>
      </c>
      <c r="C107" s="15">
        <v>9</v>
      </c>
      <c r="D107" s="16" t="s">
        <v>289</v>
      </c>
      <c r="E107" s="15">
        <v>10</v>
      </c>
      <c r="F107" s="16" t="s">
        <v>263</v>
      </c>
      <c r="G107" s="15">
        <v>10</v>
      </c>
      <c r="H107" s="16" t="s">
        <v>265</v>
      </c>
      <c r="I107" s="16">
        <v>20</v>
      </c>
      <c r="J107" s="15" t="s">
        <v>266</v>
      </c>
      <c r="K107" s="15">
        <v>20</v>
      </c>
      <c r="L107" s="0" t="e">
        <f>VLOOKUP(A107,[1]Sheet1!$E:$H,2,FALSE)</f>
        <v>#N/A</v>
      </c>
      <c r="M107" s="0" t="e">
        <f>VLOOKUP(B107,[1]Sheet1!$E:$H,2,FALSE)</f>
        <v>#N/A</v>
      </c>
      <c r="N107" s="0" t="e">
        <f t="shared" si="14"/>
        <v>#N/A</v>
      </c>
      <c r="O107" s="0" t="e">
        <f>VLOOKUP(D107,[1]Sheet1!$E:$H,2,FALSE)</f>
        <v>#N/A</v>
      </c>
      <c r="P107" s="0" t="e">
        <f t="shared" si="15"/>
        <v>#N/A</v>
      </c>
      <c r="Q107" s="0" t="e">
        <f>VLOOKUP(F107,[1]Sheet1!$E:$H,2,FALSE)</f>
        <v>#N/A</v>
      </c>
      <c r="R107" s="0" t="e">
        <f t="shared" si="16"/>
        <v>#N/A</v>
      </c>
      <c r="S107" s="0" t="str">
        <f>VLOOKUP(H107,[1]Sheet1!$E:$H,2,FALSE)</f>
        <v>黄金药碾</v>
      </c>
      <c r="T107" s="0" t="str">
        <f t="shared" si="17"/>
        <v>1001,黄金药碾,20</v>
      </c>
      <c r="U107" s="0" t="e">
        <f t="shared" si="18"/>
        <v>#N/A</v>
      </c>
    </row>
    <row r="108" ht="16.5">
      <c r="A108" s="17" t="s">
        <v>384</v>
      </c>
      <c r="B108" s="20" t="s">
        <v>376</v>
      </c>
      <c r="C108" s="17">
        <v>1</v>
      </c>
      <c r="D108" s="18" t="s">
        <v>244</v>
      </c>
      <c r="E108" s="17">
        <v>2</v>
      </c>
      <c r="F108" s="18" t="s">
        <v>268</v>
      </c>
      <c r="G108" s="17">
        <v>2</v>
      </c>
      <c r="H108" s="18" t="s">
        <v>245</v>
      </c>
      <c r="I108" s="18">
        <v>3</v>
      </c>
      <c r="J108" s="17" t="s">
        <v>246</v>
      </c>
      <c r="K108" s="17">
        <v>3</v>
      </c>
      <c r="L108" s="0" t="e">
        <f>VLOOKUP(A108,[1]Sheet1!$E:$H,2,FALSE)</f>
        <v>#N/A</v>
      </c>
      <c r="M108" s="0" t="e">
        <f>VLOOKUP(B108,[1]Sheet1!$E:$H,2,FALSE)</f>
        <v>#N/A</v>
      </c>
      <c r="N108" s="0" t="e">
        <f t="shared" si="14"/>
        <v>#N/A</v>
      </c>
      <c r="O108" s="0" t="e">
        <f>VLOOKUP(D108,[1]Sheet1!$E:$H,2,FALSE)</f>
        <v>#N/A</v>
      </c>
      <c r="P108" s="0" t="e">
        <f t="shared" si="15"/>
        <v>#N/A</v>
      </c>
      <c r="Q108" s="0" t="e">
        <f>VLOOKUP(F108,[1]Sheet1!$E:$H,2,FALSE)</f>
        <v>#N/A</v>
      </c>
      <c r="R108" s="0" t="e">
        <f t="shared" si="16"/>
        <v>#N/A</v>
      </c>
      <c r="S108" s="0" t="str">
        <f>VLOOKUP(H108,[1]Sheet1!$E:$H,2,FALSE)</f>
        <v>石制药碾</v>
      </c>
      <c r="T108" s="0" t="str">
        <f t="shared" si="17"/>
        <v>1001,石制药碾,3</v>
      </c>
      <c r="U108" s="0" t="e">
        <f t="shared" si="18"/>
        <v>#N/A</v>
      </c>
    </row>
    <row r="109" ht="16.5">
      <c r="A109" s="17" t="s">
        <v>385</v>
      </c>
      <c r="B109" s="20" t="s">
        <v>378</v>
      </c>
      <c r="C109" s="17">
        <v>3</v>
      </c>
      <c r="D109" s="18" t="s">
        <v>249</v>
      </c>
      <c r="E109" s="17">
        <v>4</v>
      </c>
      <c r="F109" s="18" t="s">
        <v>270</v>
      </c>
      <c r="G109" s="17">
        <v>4</v>
      </c>
      <c r="H109" s="18" t="s">
        <v>250</v>
      </c>
      <c r="I109" s="18">
        <v>6</v>
      </c>
      <c r="J109" s="17" t="s">
        <v>251</v>
      </c>
      <c r="K109" s="17">
        <v>6</v>
      </c>
      <c r="L109" s="0" t="e">
        <f>VLOOKUP(A109,[1]Sheet1!$E:$H,2,FALSE)</f>
        <v>#N/A</v>
      </c>
      <c r="M109" s="0" t="e">
        <f>VLOOKUP(B109,[1]Sheet1!$E:$H,2,FALSE)</f>
        <v>#N/A</v>
      </c>
      <c r="N109" s="0" t="e">
        <f t="shared" si="14"/>
        <v>#N/A</v>
      </c>
      <c r="O109" s="0" t="e">
        <f>VLOOKUP(D109,[1]Sheet1!$E:$H,2,FALSE)</f>
        <v>#N/A</v>
      </c>
      <c r="P109" s="0" t="e">
        <f t="shared" si="15"/>
        <v>#N/A</v>
      </c>
      <c r="Q109" s="0" t="e">
        <f>VLOOKUP(F109,[1]Sheet1!$E:$H,2,FALSE)</f>
        <v>#N/A</v>
      </c>
      <c r="R109" s="0" t="e">
        <f t="shared" si="16"/>
        <v>#N/A</v>
      </c>
      <c r="S109" s="0" t="str">
        <f>VLOOKUP(H109,[1]Sheet1!$E:$H,2,FALSE)</f>
        <v>玻璃试管</v>
      </c>
      <c r="T109" s="0" t="str">
        <f t="shared" si="17"/>
        <v>1001,玻璃试管,6</v>
      </c>
      <c r="U109" s="0" t="e">
        <f t="shared" si="18"/>
        <v>#N/A</v>
      </c>
    </row>
    <row r="110" ht="16.5">
      <c r="A110" s="17" t="s">
        <v>386</v>
      </c>
      <c r="B110" s="20" t="s">
        <v>380</v>
      </c>
      <c r="C110" s="17">
        <v>5</v>
      </c>
      <c r="D110" s="18" t="s">
        <v>254</v>
      </c>
      <c r="E110" s="17">
        <v>6</v>
      </c>
      <c r="F110" s="18" t="s">
        <v>273</v>
      </c>
      <c r="G110" s="17">
        <v>6</v>
      </c>
      <c r="H110" s="18" t="s">
        <v>255</v>
      </c>
      <c r="I110" s="18">
        <v>9</v>
      </c>
      <c r="J110" s="17" t="s">
        <v>256</v>
      </c>
      <c r="K110" s="17">
        <v>9</v>
      </c>
      <c r="L110" s="0" t="e">
        <f>VLOOKUP(A110,[1]Sheet1!$E:$H,2,FALSE)</f>
        <v>#N/A</v>
      </c>
      <c r="M110" s="0" t="e">
        <f>VLOOKUP(B110,[1]Sheet1!$E:$H,2,FALSE)</f>
        <v>#N/A</v>
      </c>
      <c r="N110" s="0" t="e">
        <f t="shared" si="14"/>
        <v>#N/A</v>
      </c>
      <c r="O110" s="0" t="e">
        <f>VLOOKUP(D110,[1]Sheet1!$E:$H,2,FALSE)</f>
        <v>#N/A</v>
      </c>
      <c r="P110" s="0" t="e">
        <f t="shared" si="15"/>
        <v>#N/A</v>
      </c>
      <c r="Q110" s="0" t="e">
        <f>VLOOKUP(F110,[1]Sheet1!$E:$H,2,FALSE)</f>
        <v>#N/A</v>
      </c>
      <c r="R110" s="0" t="e">
        <f t="shared" si="16"/>
        <v>#N/A</v>
      </c>
      <c r="S110" s="0" t="str">
        <f>VLOOKUP(H110,[1]Sheet1!$E:$H,2,FALSE)</f>
        <v>强化玻璃试管</v>
      </c>
      <c r="T110" s="0" t="str">
        <f t="shared" si="17"/>
        <v>1001,强化玻璃试管,9</v>
      </c>
      <c r="U110" s="0" t="e">
        <f t="shared" si="18"/>
        <v>#N/A</v>
      </c>
    </row>
    <row r="111" ht="16.5">
      <c r="A111" s="17" t="s">
        <v>172</v>
      </c>
      <c r="B111" s="20" t="s">
        <v>381</v>
      </c>
      <c r="C111" s="17">
        <v>7</v>
      </c>
      <c r="D111" s="18" t="s">
        <v>259</v>
      </c>
      <c r="E111" s="17">
        <v>8</v>
      </c>
      <c r="F111" s="18" t="s">
        <v>275</v>
      </c>
      <c r="G111" s="17">
        <v>8</v>
      </c>
      <c r="H111" s="18" t="s">
        <v>260</v>
      </c>
      <c r="I111" s="18">
        <v>12</v>
      </c>
      <c r="J111" s="17" t="s">
        <v>261</v>
      </c>
      <c r="K111" s="17">
        <v>12</v>
      </c>
      <c r="L111" s="0" t="str">
        <f>VLOOKUP(A111,[1]Sheet1!$E:$H,2,FALSE)</f>
        <v>高级抗水药剂</v>
      </c>
      <c r="M111" s="0" t="e">
        <f>VLOOKUP(B111,[1]Sheet1!$E:$H,2,FALSE)</f>
        <v>#N/A</v>
      </c>
      <c r="N111" s="0" t="e">
        <f t="shared" si="14"/>
        <v>#N/A</v>
      </c>
      <c r="O111" s="0" t="e">
        <f>VLOOKUP(D111,[1]Sheet1!$E:$H,2,FALSE)</f>
        <v>#N/A</v>
      </c>
      <c r="P111" s="0" t="e">
        <f t="shared" si="15"/>
        <v>#N/A</v>
      </c>
      <c r="Q111" s="0" t="e">
        <f>VLOOKUP(F111,[1]Sheet1!$E:$H,2,FALSE)</f>
        <v>#N/A</v>
      </c>
      <c r="R111" s="0" t="e">
        <f t="shared" si="16"/>
        <v>#N/A</v>
      </c>
      <c r="S111" s="0" t="str">
        <f>VLOOKUP(H111,[1]Sheet1!$E:$H,2,FALSE)</f>
        <v>水晶试管</v>
      </c>
      <c r="T111" s="0" t="str">
        <f t="shared" si="17"/>
        <v>1001,水晶试管,12</v>
      </c>
      <c r="U111" s="0" t="e">
        <f t="shared" si="18"/>
        <v>#N/A</v>
      </c>
    </row>
    <row r="112" ht="16.5">
      <c r="A112" s="17" t="s">
        <v>387</v>
      </c>
      <c r="B112" s="20" t="s">
        <v>383</v>
      </c>
      <c r="C112" s="17">
        <v>9</v>
      </c>
      <c r="D112" s="18" t="s">
        <v>264</v>
      </c>
      <c r="E112" s="17">
        <v>10</v>
      </c>
      <c r="F112" s="18" t="s">
        <v>278</v>
      </c>
      <c r="G112" s="17">
        <v>10</v>
      </c>
      <c r="H112" s="18" t="s">
        <v>265</v>
      </c>
      <c r="I112" s="18">
        <v>15</v>
      </c>
      <c r="J112" s="17" t="s">
        <v>266</v>
      </c>
      <c r="K112" s="17">
        <v>15</v>
      </c>
      <c r="L112" s="0" t="e">
        <f>VLOOKUP(A112,[1]Sheet1!$E:$H,2,FALSE)</f>
        <v>#N/A</v>
      </c>
      <c r="M112" s="0" t="e">
        <f>VLOOKUP(B112,[1]Sheet1!$E:$H,2,FALSE)</f>
        <v>#N/A</v>
      </c>
      <c r="N112" s="0" t="e">
        <f t="shared" si="14"/>
        <v>#N/A</v>
      </c>
      <c r="O112" s="0" t="e">
        <f>VLOOKUP(D112,[1]Sheet1!$E:$H,2,FALSE)</f>
        <v>#N/A</v>
      </c>
      <c r="P112" s="0" t="e">
        <f t="shared" si="15"/>
        <v>#N/A</v>
      </c>
      <c r="Q112" s="0" t="e">
        <f>VLOOKUP(F112,[1]Sheet1!$E:$H,2,FALSE)</f>
        <v>#N/A</v>
      </c>
      <c r="R112" s="0" t="e">
        <f t="shared" si="16"/>
        <v>#N/A</v>
      </c>
      <c r="S112" s="0" t="str">
        <f>VLOOKUP(H112,[1]Sheet1!$E:$H,2,FALSE)</f>
        <v>黄金药碾</v>
      </c>
      <c r="T112" s="0" t="str">
        <f t="shared" si="17"/>
        <v>1001,黄金药碾,15</v>
      </c>
      <c r="U112" s="0" t="e">
        <f t="shared" si="18"/>
        <v>#N/A</v>
      </c>
    </row>
    <row r="113" ht="16.5">
      <c r="A113" s="15" t="s">
        <v>388</v>
      </c>
      <c r="B113" s="19" t="s">
        <v>389</v>
      </c>
      <c r="C113" s="15">
        <v>1</v>
      </c>
      <c r="D113" s="16" t="s">
        <v>269</v>
      </c>
      <c r="E113" s="15">
        <v>2</v>
      </c>
      <c r="F113" s="16" t="s">
        <v>281</v>
      </c>
      <c r="G113" s="15">
        <v>2</v>
      </c>
      <c r="H113" s="16" t="s">
        <v>245</v>
      </c>
      <c r="I113" s="16">
        <v>3</v>
      </c>
      <c r="J113" s="15" t="s">
        <v>246</v>
      </c>
      <c r="K113" s="15">
        <v>3</v>
      </c>
      <c r="L113" s="0" t="e">
        <f>VLOOKUP(A113,[1]Sheet1!$E:$H,2,FALSE)</f>
        <v>#N/A</v>
      </c>
      <c r="M113" s="0" t="e">
        <f>VLOOKUP(B113,[1]Sheet1!$E:$H,2,FALSE)</f>
        <v>#N/A</v>
      </c>
      <c r="N113" s="0" t="e">
        <f t="shared" si="14"/>
        <v>#N/A</v>
      </c>
      <c r="O113" s="0" t="str">
        <f>VLOOKUP(D113,[1]Sheet1!$E:$H,2,FALSE)</f>
        <v>白色草药花</v>
      </c>
      <c r="P113" s="0" t="str">
        <f t="shared" si="15"/>
        <v>1001,白色草药花,2</v>
      </c>
      <c r="Q113" s="0" t="e">
        <f>VLOOKUP(F113,[1]Sheet1!$E:$H,2,FALSE)</f>
        <v>#N/A</v>
      </c>
      <c r="R113" s="0" t="e">
        <f t="shared" si="16"/>
        <v>#N/A</v>
      </c>
      <c r="S113" s="0" t="str">
        <f>VLOOKUP(H113,[1]Sheet1!$E:$H,2,FALSE)</f>
        <v>石制药碾</v>
      </c>
      <c r="T113" s="0" t="str">
        <f t="shared" si="17"/>
        <v>1001,石制药碾,3</v>
      </c>
      <c r="U113" s="0" t="e">
        <f t="shared" si="18"/>
        <v>#N/A</v>
      </c>
    </row>
    <row r="114" ht="16.5">
      <c r="A114" s="15" t="s">
        <v>390</v>
      </c>
      <c r="B114" s="19" t="s">
        <v>391</v>
      </c>
      <c r="C114" s="15">
        <v>3</v>
      </c>
      <c r="D114" s="16" t="s">
        <v>271</v>
      </c>
      <c r="E114" s="15">
        <v>4</v>
      </c>
      <c r="F114" s="16" t="s">
        <v>283</v>
      </c>
      <c r="G114" s="15">
        <v>4</v>
      </c>
      <c r="H114" s="16" t="s">
        <v>250</v>
      </c>
      <c r="I114" s="16">
        <v>6</v>
      </c>
      <c r="J114" s="15" t="s">
        <v>251</v>
      </c>
      <c r="K114" s="15">
        <v>6</v>
      </c>
      <c r="L114" s="0" t="str">
        <f>VLOOKUP(A114,[1]Sheet1!$E:$H,2,FALSE)</f>
        <v>初级抗火药剂</v>
      </c>
      <c r="M114" s="0" t="e">
        <f>VLOOKUP(B114,[1]Sheet1!$E:$H,2,FALSE)</f>
        <v>#N/A</v>
      </c>
      <c r="N114" s="0" t="e">
        <f t="shared" si="14"/>
        <v>#N/A</v>
      </c>
      <c r="O114" s="0" t="str">
        <f>VLOOKUP(D114,[1]Sheet1!$E:$H,2,FALSE)</f>
        <v>绿色草药花</v>
      </c>
      <c r="P114" s="0" t="str">
        <f t="shared" si="15"/>
        <v>1001,绿色草药花,4</v>
      </c>
      <c r="Q114" s="0" t="e">
        <f>VLOOKUP(F114,[1]Sheet1!$E:$H,2,FALSE)</f>
        <v>#N/A</v>
      </c>
      <c r="R114" s="0" t="e">
        <f t="shared" si="16"/>
        <v>#N/A</v>
      </c>
      <c r="S114" s="0" t="str">
        <f>VLOOKUP(H114,[1]Sheet1!$E:$H,2,FALSE)</f>
        <v>玻璃试管</v>
      </c>
      <c r="T114" s="0" t="str">
        <f t="shared" si="17"/>
        <v>1001,玻璃试管,6</v>
      </c>
      <c r="U114" s="0" t="e">
        <f t="shared" si="18"/>
        <v>#N/A</v>
      </c>
    </row>
    <row r="115" ht="16.5">
      <c r="A115" s="15" t="s">
        <v>392</v>
      </c>
      <c r="B115" s="19" t="s">
        <v>393</v>
      </c>
      <c r="C115" s="15">
        <v>5</v>
      </c>
      <c r="D115" s="16" t="s">
        <v>274</v>
      </c>
      <c r="E115" s="15">
        <v>6</v>
      </c>
      <c r="F115" s="16" t="s">
        <v>285</v>
      </c>
      <c r="G115" s="15">
        <v>6</v>
      </c>
      <c r="H115" s="16" t="s">
        <v>255</v>
      </c>
      <c r="I115" s="16">
        <v>9</v>
      </c>
      <c r="J115" s="15" t="s">
        <v>256</v>
      </c>
      <c r="K115" s="15">
        <v>9</v>
      </c>
      <c r="L115" s="0" t="e">
        <f>VLOOKUP(A115,[1]Sheet1!$E:$H,2,FALSE)</f>
        <v>#N/A</v>
      </c>
      <c r="M115" s="0" t="e">
        <f>VLOOKUP(B115,[1]Sheet1!$E:$H,2,FALSE)</f>
        <v>#N/A</v>
      </c>
      <c r="N115" s="0" t="e">
        <f t="shared" si="14"/>
        <v>#N/A</v>
      </c>
      <c r="O115" s="0" t="str">
        <f>VLOOKUP(D115,[1]Sheet1!$E:$H,2,FALSE)</f>
        <v>蓝色草药花</v>
      </c>
      <c r="P115" s="0" t="str">
        <f t="shared" si="15"/>
        <v>1001,蓝色草药花,6</v>
      </c>
      <c r="Q115" s="0" t="e">
        <f>VLOOKUP(F115,[1]Sheet1!$E:$H,2,FALSE)</f>
        <v>#N/A</v>
      </c>
      <c r="R115" s="0" t="e">
        <f t="shared" si="16"/>
        <v>#N/A</v>
      </c>
      <c r="S115" s="0" t="str">
        <f>VLOOKUP(H115,[1]Sheet1!$E:$H,2,FALSE)</f>
        <v>强化玻璃试管</v>
      </c>
      <c r="T115" s="0" t="str">
        <f t="shared" si="17"/>
        <v>1001,强化玻璃试管,9</v>
      </c>
      <c r="U115" s="0" t="e">
        <f t="shared" si="18"/>
        <v>#N/A</v>
      </c>
    </row>
    <row r="116" ht="16.5">
      <c r="A116" s="15" t="s">
        <v>160</v>
      </c>
      <c r="B116" s="19" t="s">
        <v>394</v>
      </c>
      <c r="C116" s="15">
        <v>7</v>
      </c>
      <c r="D116" s="16" t="s">
        <v>276</v>
      </c>
      <c r="E116" s="15">
        <v>8</v>
      </c>
      <c r="F116" s="16" t="s">
        <v>287</v>
      </c>
      <c r="G116" s="15">
        <v>8</v>
      </c>
      <c r="H116" s="16" t="s">
        <v>260</v>
      </c>
      <c r="I116" s="16">
        <v>12</v>
      </c>
      <c r="J116" s="15" t="s">
        <v>261</v>
      </c>
      <c r="K116" s="15">
        <v>12</v>
      </c>
      <c r="L116" s="0" t="str">
        <f>VLOOKUP(A116,[1]Sheet1!$E:$H,2,FALSE)</f>
        <v>高级抗火药剂</v>
      </c>
      <c r="M116" s="0" t="e">
        <f>VLOOKUP(B116,[1]Sheet1!$E:$H,2,FALSE)</f>
        <v>#N/A</v>
      </c>
      <c r="N116" s="0" t="e">
        <f t="shared" si="14"/>
        <v>#N/A</v>
      </c>
      <c r="O116" s="0" t="str">
        <f>VLOOKUP(D116,[1]Sheet1!$E:$H,2,FALSE)</f>
        <v>紫色草药花</v>
      </c>
      <c r="P116" s="0" t="str">
        <f t="shared" si="15"/>
        <v>1001,紫色草药花,8</v>
      </c>
      <c r="Q116" s="0" t="e">
        <f>VLOOKUP(F116,[1]Sheet1!$E:$H,2,FALSE)</f>
        <v>#N/A</v>
      </c>
      <c r="R116" s="0" t="e">
        <f t="shared" si="16"/>
        <v>#N/A</v>
      </c>
      <c r="S116" s="0" t="str">
        <f>VLOOKUP(H116,[1]Sheet1!$E:$H,2,FALSE)</f>
        <v>水晶试管</v>
      </c>
      <c r="T116" s="0" t="str">
        <f t="shared" si="17"/>
        <v>1001,水晶试管,12</v>
      </c>
      <c r="U116" s="0" t="e">
        <f t="shared" si="18"/>
        <v>#N/A</v>
      </c>
    </row>
    <row r="117" ht="16.5">
      <c r="A117" s="15" t="s">
        <v>395</v>
      </c>
      <c r="B117" s="19" t="s">
        <v>396</v>
      </c>
      <c r="C117" s="15">
        <v>9</v>
      </c>
      <c r="D117" s="16" t="s">
        <v>279</v>
      </c>
      <c r="E117" s="15">
        <v>10</v>
      </c>
      <c r="F117" s="16" t="s">
        <v>289</v>
      </c>
      <c r="G117" s="15">
        <v>10</v>
      </c>
      <c r="H117" s="16" t="s">
        <v>265</v>
      </c>
      <c r="I117" s="16">
        <v>15</v>
      </c>
      <c r="J117" s="15" t="s">
        <v>266</v>
      </c>
      <c r="K117" s="15">
        <v>15</v>
      </c>
      <c r="L117" s="0" t="e">
        <f>VLOOKUP(A117,[1]Sheet1!$E:$H,2,FALSE)</f>
        <v>#N/A</v>
      </c>
      <c r="M117" s="0" t="e">
        <f>VLOOKUP(B117,[1]Sheet1!$E:$H,2,FALSE)</f>
        <v>#N/A</v>
      </c>
      <c r="N117" s="0" t="e">
        <f t="shared" si="14"/>
        <v>#N/A</v>
      </c>
      <c r="O117" s="0" t="str">
        <f>VLOOKUP(D117,[1]Sheet1!$E:$H,2,FALSE)</f>
        <v>金色草药花</v>
      </c>
      <c r="P117" s="0" t="str">
        <f t="shared" si="15"/>
        <v>1001,金色草药花,10</v>
      </c>
      <c r="Q117" s="0" t="e">
        <f>VLOOKUP(F117,[1]Sheet1!$E:$H,2,FALSE)</f>
        <v>#N/A</v>
      </c>
      <c r="R117" s="0" t="e">
        <f t="shared" si="16"/>
        <v>#N/A</v>
      </c>
      <c r="S117" s="0" t="str">
        <f>VLOOKUP(H117,[1]Sheet1!$E:$H,2,FALSE)</f>
        <v>黄金药碾</v>
      </c>
      <c r="T117" s="0" t="str">
        <f t="shared" si="17"/>
        <v>1001,黄金药碾,15</v>
      </c>
      <c r="U117" s="0" t="e">
        <f t="shared" si="18"/>
        <v>#N/A</v>
      </c>
    </row>
    <row r="118" ht="16.5">
      <c r="A118" s="17" t="s">
        <v>397</v>
      </c>
      <c r="B118" s="20" t="s">
        <v>389</v>
      </c>
      <c r="C118" s="17">
        <v>1</v>
      </c>
      <c r="D118" s="18" t="s">
        <v>243</v>
      </c>
      <c r="E118" s="17">
        <v>2</v>
      </c>
      <c r="F118" s="18" t="s">
        <v>244</v>
      </c>
      <c r="G118" s="17">
        <v>2</v>
      </c>
      <c r="H118" s="18" t="s">
        <v>245</v>
      </c>
      <c r="I118" s="18">
        <v>3</v>
      </c>
      <c r="J118" s="17" t="s">
        <v>246</v>
      </c>
      <c r="K118" s="17">
        <v>3</v>
      </c>
      <c r="L118" s="0" t="e">
        <f>VLOOKUP(A118,[1]Sheet1!$E:$H,2,FALSE)</f>
        <v>#N/A</v>
      </c>
      <c r="M118" s="0" t="e">
        <f>VLOOKUP(B118,[1]Sheet1!$E:$H,2,FALSE)</f>
        <v>#N/A</v>
      </c>
      <c r="N118" s="0" t="e">
        <f t="shared" si="14"/>
        <v>#N/A</v>
      </c>
      <c r="O118" s="0" t="str">
        <f>VLOOKUP(D118,[1]Sheet1!$E:$H,2,FALSE)</f>
        <v>草药根</v>
      </c>
      <c r="P118" s="0" t="str">
        <f t="shared" si="15"/>
        <v>1001,草药根,2</v>
      </c>
      <c r="Q118" s="0" t="e">
        <f>VLOOKUP(F118,[1]Sheet1!$E:$H,2,FALSE)</f>
        <v>#N/A</v>
      </c>
      <c r="R118" s="0" t="e">
        <f t="shared" si="16"/>
        <v>#N/A</v>
      </c>
      <c r="S118" s="0" t="str">
        <f>VLOOKUP(H118,[1]Sheet1!$E:$H,2,FALSE)</f>
        <v>石制药碾</v>
      </c>
      <c r="T118" s="0" t="str">
        <f t="shared" si="17"/>
        <v>1001,石制药碾,3</v>
      </c>
      <c r="U118" s="0" t="e">
        <f t="shared" si="18"/>
        <v>#N/A</v>
      </c>
    </row>
    <row r="119" ht="16.5">
      <c r="A119" s="17" t="s">
        <v>398</v>
      </c>
      <c r="B119" s="20" t="s">
        <v>391</v>
      </c>
      <c r="C119" s="17">
        <v>3</v>
      </c>
      <c r="D119" s="18" t="s">
        <v>248</v>
      </c>
      <c r="E119" s="17">
        <v>4</v>
      </c>
      <c r="F119" s="18" t="s">
        <v>249</v>
      </c>
      <c r="G119" s="17">
        <v>4</v>
      </c>
      <c r="H119" s="18" t="s">
        <v>250</v>
      </c>
      <c r="I119" s="18">
        <v>6</v>
      </c>
      <c r="J119" s="17" t="s">
        <v>251</v>
      </c>
      <c r="K119" s="17">
        <v>6</v>
      </c>
      <c r="L119" s="0" t="e">
        <f>VLOOKUP(A119,[1]Sheet1!$E:$H,2,FALSE)</f>
        <v>#N/A</v>
      </c>
      <c r="M119" s="0" t="e">
        <f>VLOOKUP(B119,[1]Sheet1!$E:$H,2,FALSE)</f>
        <v>#N/A</v>
      </c>
      <c r="N119" s="0" t="e">
        <f t="shared" si="14"/>
        <v>#N/A</v>
      </c>
      <c r="O119" s="0" t="e">
        <f>VLOOKUP(D119,[1]Sheet1!$E:$H,2,FALSE)</f>
        <v>#N/A</v>
      </c>
      <c r="P119" s="0" t="e">
        <f t="shared" si="15"/>
        <v>#N/A</v>
      </c>
      <c r="Q119" s="0" t="e">
        <f>VLOOKUP(F119,[1]Sheet1!$E:$H,2,FALSE)</f>
        <v>#N/A</v>
      </c>
      <c r="R119" s="0" t="e">
        <f t="shared" si="16"/>
        <v>#N/A</v>
      </c>
      <c r="S119" s="0" t="str">
        <f>VLOOKUP(H119,[1]Sheet1!$E:$H,2,FALSE)</f>
        <v>玻璃试管</v>
      </c>
      <c r="T119" s="0" t="str">
        <f t="shared" si="17"/>
        <v>1001,玻璃试管,6</v>
      </c>
      <c r="U119" s="0" t="e">
        <f t="shared" si="18"/>
        <v>#N/A</v>
      </c>
    </row>
    <row r="120" ht="16.5">
      <c r="A120" s="17" t="s">
        <v>399</v>
      </c>
      <c r="B120" s="20" t="s">
        <v>393</v>
      </c>
      <c r="C120" s="17">
        <v>5</v>
      </c>
      <c r="D120" s="18" t="s">
        <v>253</v>
      </c>
      <c r="E120" s="17">
        <v>6</v>
      </c>
      <c r="F120" s="18" t="s">
        <v>254</v>
      </c>
      <c r="G120" s="17">
        <v>6</v>
      </c>
      <c r="H120" s="18" t="s">
        <v>255</v>
      </c>
      <c r="I120" s="18">
        <v>9</v>
      </c>
      <c r="J120" s="17" t="s">
        <v>256</v>
      </c>
      <c r="K120" s="17">
        <v>9</v>
      </c>
      <c r="L120" s="0" t="e">
        <f>VLOOKUP(A120,[1]Sheet1!$E:$H,2,FALSE)</f>
        <v>#N/A</v>
      </c>
      <c r="M120" s="0" t="e">
        <f>VLOOKUP(B120,[1]Sheet1!$E:$H,2,FALSE)</f>
        <v>#N/A</v>
      </c>
      <c r="N120" s="0" t="e">
        <f t="shared" si="14"/>
        <v>#N/A</v>
      </c>
      <c r="O120" s="0" t="e">
        <f>VLOOKUP(D120,[1]Sheet1!$E:$H,2,FALSE)</f>
        <v>#N/A</v>
      </c>
      <c r="P120" s="0" t="e">
        <f t="shared" si="15"/>
        <v>#N/A</v>
      </c>
      <c r="Q120" s="0" t="e">
        <f>VLOOKUP(F120,[1]Sheet1!$E:$H,2,FALSE)</f>
        <v>#N/A</v>
      </c>
      <c r="R120" s="0" t="e">
        <f t="shared" si="16"/>
        <v>#N/A</v>
      </c>
      <c r="S120" s="0" t="str">
        <f>VLOOKUP(H120,[1]Sheet1!$E:$H,2,FALSE)</f>
        <v>强化玻璃试管</v>
      </c>
      <c r="T120" s="0" t="str">
        <f t="shared" si="17"/>
        <v>1001,强化玻璃试管,9</v>
      </c>
      <c r="U120" s="0" t="e">
        <f t="shared" si="18"/>
        <v>#N/A</v>
      </c>
    </row>
    <row r="121" ht="16.5">
      <c r="A121" s="17" t="s">
        <v>400</v>
      </c>
      <c r="B121" s="20" t="s">
        <v>394</v>
      </c>
      <c r="C121" s="17">
        <v>7</v>
      </c>
      <c r="D121" s="18" t="s">
        <v>258</v>
      </c>
      <c r="E121" s="17">
        <v>8</v>
      </c>
      <c r="F121" s="18" t="s">
        <v>259</v>
      </c>
      <c r="G121" s="17">
        <v>8</v>
      </c>
      <c r="H121" s="18" t="s">
        <v>260</v>
      </c>
      <c r="I121" s="18">
        <v>12</v>
      </c>
      <c r="J121" s="17" t="s">
        <v>261</v>
      </c>
      <c r="K121" s="17">
        <v>12</v>
      </c>
      <c r="L121" s="0" t="e">
        <f>VLOOKUP(A121,[1]Sheet1!$E:$H,2,FALSE)</f>
        <v>#N/A</v>
      </c>
      <c r="M121" s="0" t="e">
        <f>VLOOKUP(B121,[1]Sheet1!$E:$H,2,FALSE)</f>
        <v>#N/A</v>
      </c>
      <c r="N121" s="0" t="e">
        <f t="shared" si="14"/>
        <v>#N/A</v>
      </c>
      <c r="O121" s="0" t="e">
        <f>VLOOKUP(D121,[1]Sheet1!$E:$H,2,FALSE)</f>
        <v>#N/A</v>
      </c>
      <c r="P121" s="0" t="e">
        <f t="shared" si="15"/>
        <v>#N/A</v>
      </c>
      <c r="Q121" s="0" t="e">
        <f>VLOOKUP(F121,[1]Sheet1!$E:$H,2,FALSE)</f>
        <v>#N/A</v>
      </c>
      <c r="R121" s="0" t="e">
        <f t="shared" si="16"/>
        <v>#N/A</v>
      </c>
      <c r="S121" s="0" t="str">
        <f>VLOOKUP(H121,[1]Sheet1!$E:$H,2,FALSE)</f>
        <v>水晶试管</v>
      </c>
      <c r="T121" s="0" t="str">
        <f t="shared" si="17"/>
        <v>1001,水晶试管,12</v>
      </c>
      <c r="U121" s="0" t="e">
        <f t="shared" si="18"/>
        <v>#N/A</v>
      </c>
    </row>
    <row r="122" ht="16.5">
      <c r="A122" s="17" t="s">
        <v>401</v>
      </c>
      <c r="B122" s="20" t="s">
        <v>396</v>
      </c>
      <c r="C122" s="17">
        <v>9</v>
      </c>
      <c r="D122" s="18" t="s">
        <v>263</v>
      </c>
      <c r="E122" s="17">
        <v>10</v>
      </c>
      <c r="F122" s="18" t="s">
        <v>264</v>
      </c>
      <c r="G122" s="17">
        <v>10</v>
      </c>
      <c r="H122" s="18" t="s">
        <v>265</v>
      </c>
      <c r="I122" s="18">
        <v>15</v>
      </c>
      <c r="J122" s="17" t="s">
        <v>266</v>
      </c>
      <c r="K122" s="17">
        <v>15</v>
      </c>
      <c r="L122" s="0" t="e">
        <f>VLOOKUP(A122,[1]Sheet1!$E:$H,2,FALSE)</f>
        <v>#N/A</v>
      </c>
      <c r="M122" s="0" t="e">
        <f>VLOOKUP(B122,[1]Sheet1!$E:$H,2,FALSE)</f>
        <v>#N/A</v>
      </c>
      <c r="N122" s="0" t="e">
        <f t="shared" si="14"/>
        <v>#N/A</v>
      </c>
      <c r="O122" s="0" t="e">
        <f>VLOOKUP(D122,[1]Sheet1!$E:$H,2,FALSE)</f>
        <v>#N/A</v>
      </c>
      <c r="P122" s="0" t="e">
        <f t="shared" si="15"/>
        <v>#N/A</v>
      </c>
      <c r="Q122" s="0" t="e">
        <f>VLOOKUP(F122,[1]Sheet1!$E:$H,2,FALSE)</f>
        <v>#N/A</v>
      </c>
      <c r="R122" s="0" t="e">
        <f t="shared" si="16"/>
        <v>#N/A</v>
      </c>
      <c r="S122" s="0" t="str">
        <f>VLOOKUP(H122,[1]Sheet1!$E:$H,2,FALSE)</f>
        <v>黄金药碾</v>
      </c>
      <c r="T122" s="0" t="str">
        <f t="shared" si="17"/>
        <v>1001,黄金药碾,15</v>
      </c>
      <c r="U122" s="0" t="e">
        <f t="shared" si="18"/>
        <v>#N/A</v>
      </c>
    </row>
    <row r="123" ht="16.5">
      <c r="A123" s="15" t="s">
        <v>402</v>
      </c>
      <c r="B123" s="19" t="s">
        <v>403</v>
      </c>
      <c r="C123" s="15">
        <v>1</v>
      </c>
      <c r="D123" s="16" t="s">
        <v>268</v>
      </c>
      <c r="E123" s="15">
        <v>2</v>
      </c>
      <c r="F123" s="16" t="s">
        <v>269</v>
      </c>
      <c r="G123" s="15">
        <v>2</v>
      </c>
      <c r="H123" s="16" t="s">
        <v>245</v>
      </c>
      <c r="I123" s="16">
        <v>3</v>
      </c>
      <c r="J123" s="15" t="s">
        <v>246</v>
      </c>
      <c r="K123" s="15">
        <v>3</v>
      </c>
      <c r="L123" s="0" t="e">
        <f>VLOOKUP(A123,[1]Sheet1!$E:$H,2,FALSE)</f>
        <v>#N/A</v>
      </c>
      <c r="M123" s="0" t="str">
        <f>VLOOKUP(B123,[1]Sheet1!$E:$H,2,FALSE)</f>
        <v>梦幻草药</v>
      </c>
      <c r="N123" s="0" t="str">
        <f t="shared" si="14"/>
        <v>1001,梦幻草药,1</v>
      </c>
      <c r="O123" s="0" t="e">
        <f>VLOOKUP(D123,[1]Sheet1!$E:$H,2,FALSE)</f>
        <v>#N/A</v>
      </c>
      <c r="P123" s="0" t="e">
        <f t="shared" si="15"/>
        <v>#N/A</v>
      </c>
      <c r="Q123" s="0" t="str">
        <f>VLOOKUP(F123,[1]Sheet1!$E:$H,2,FALSE)</f>
        <v>白色草药花</v>
      </c>
      <c r="R123" s="0" t="str">
        <f t="shared" si="16"/>
        <v>1001,白色草药花,3</v>
      </c>
      <c r="S123" s="0" t="str">
        <f>VLOOKUP(H123,[1]Sheet1!$E:$H,2,FALSE)</f>
        <v>石制药碾</v>
      </c>
      <c r="T123" s="0" t="str">
        <f t="shared" si="17"/>
        <v>1001,石制药碾,3</v>
      </c>
      <c r="U123" s="0" t="e">
        <f t="shared" si="18"/>
        <v>#N/A</v>
      </c>
    </row>
    <row r="124" ht="16.5">
      <c r="A124" s="15" t="s">
        <v>404</v>
      </c>
      <c r="B124" s="19" t="s">
        <v>405</v>
      </c>
      <c r="C124" s="15">
        <v>3</v>
      </c>
      <c r="D124" s="16" t="s">
        <v>270</v>
      </c>
      <c r="E124" s="15">
        <v>4</v>
      </c>
      <c r="F124" s="16" t="s">
        <v>271</v>
      </c>
      <c r="G124" s="15">
        <v>4</v>
      </c>
      <c r="H124" s="16" t="s">
        <v>250</v>
      </c>
      <c r="I124" s="16">
        <v>6</v>
      </c>
      <c r="J124" s="15" t="s">
        <v>251</v>
      </c>
      <c r="K124" s="15">
        <v>6</v>
      </c>
      <c r="L124" s="0" t="str">
        <f>VLOOKUP(A124,[1]Sheet1!$E:$H,2,FALSE)</f>
        <v>初级抗风药剂</v>
      </c>
      <c r="M124" s="0" t="e">
        <f>VLOOKUP(B124,[1]Sheet1!$E:$H,2,FALSE)</f>
        <v>#N/A</v>
      </c>
      <c r="N124" s="0" t="e">
        <f t="shared" si="14"/>
        <v>#N/A</v>
      </c>
      <c r="O124" s="0" t="e">
        <f>VLOOKUP(D124,[1]Sheet1!$E:$H,2,FALSE)</f>
        <v>#N/A</v>
      </c>
      <c r="P124" s="0" t="e">
        <f t="shared" si="15"/>
        <v>#N/A</v>
      </c>
      <c r="Q124" s="0" t="str">
        <f>VLOOKUP(F124,[1]Sheet1!$E:$H,2,FALSE)</f>
        <v>绿色草药花</v>
      </c>
      <c r="R124" s="0" t="str">
        <f t="shared" si="16"/>
        <v>1001,绿色草药花,6</v>
      </c>
      <c r="S124" s="0" t="str">
        <f>VLOOKUP(H124,[1]Sheet1!$E:$H,2,FALSE)</f>
        <v>玻璃试管</v>
      </c>
      <c r="T124" s="0" t="str">
        <f t="shared" si="17"/>
        <v>1001,玻璃试管,6</v>
      </c>
      <c r="U124" s="0" t="e">
        <f t="shared" si="18"/>
        <v>#N/A</v>
      </c>
    </row>
    <row r="125" ht="16.5">
      <c r="A125" s="15" t="s">
        <v>406</v>
      </c>
      <c r="B125" s="19" t="s">
        <v>407</v>
      </c>
      <c r="C125" s="15">
        <v>5</v>
      </c>
      <c r="D125" s="16" t="s">
        <v>273</v>
      </c>
      <c r="E125" s="15">
        <v>6</v>
      </c>
      <c r="F125" s="16" t="s">
        <v>274</v>
      </c>
      <c r="G125" s="15">
        <v>6</v>
      </c>
      <c r="H125" s="16" t="s">
        <v>255</v>
      </c>
      <c r="I125" s="16">
        <v>9</v>
      </c>
      <c r="J125" s="15" t="s">
        <v>256</v>
      </c>
      <c r="K125" s="15">
        <v>9</v>
      </c>
      <c r="L125" s="0" t="e">
        <f>VLOOKUP(A125,[1]Sheet1!$E:$H,2,FALSE)</f>
        <v>#N/A</v>
      </c>
      <c r="M125" s="0" t="e">
        <f>VLOOKUP(B125,[1]Sheet1!$E:$H,2,FALSE)</f>
        <v>#N/A</v>
      </c>
      <c r="N125" s="0" t="e">
        <f t="shared" si="14"/>
        <v>#N/A</v>
      </c>
      <c r="O125" s="0" t="e">
        <f>VLOOKUP(D125,[1]Sheet1!$E:$H,2,FALSE)</f>
        <v>#N/A</v>
      </c>
      <c r="P125" s="0" t="e">
        <f t="shared" si="15"/>
        <v>#N/A</v>
      </c>
      <c r="Q125" s="0" t="str">
        <f>VLOOKUP(F125,[1]Sheet1!$E:$H,2,FALSE)</f>
        <v>蓝色草药花</v>
      </c>
      <c r="R125" s="0" t="str">
        <f t="shared" si="16"/>
        <v>1001,蓝色草药花,9</v>
      </c>
      <c r="S125" s="0" t="str">
        <f>VLOOKUP(H125,[1]Sheet1!$E:$H,2,FALSE)</f>
        <v>强化玻璃试管</v>
      </c>
      <c r="T125" s="0" t="str">
        <f t="shared" si="17"/>
        <v>1001,强化玻璃试管,9</v>
      </c>
      <c r="U125" s="0" t="e">
        <f t="shared" si="18"/>
        <v>#N/A</v>
      </c>
    </row>
    <row r="126" ht="16.5">
      <c r="A126" s="15" t="s">
        <v>408</v>
      </c>
      <c r="B126" s="19" t="s">
        <v>409</v>
      </c>
      <c r="C126" s="15">
        <v>7</v>
      </c>
      <c r="D126" s="16" t="s">
        <v>275</v>
      </c>
      <c r="E126" s="15">
        <v>8</v>
      </c>
      <c r="F126" s="16" t="s">
        <v>276</v>
      </c>
      <c r="G126" s="15">
        <v>8</v>
      </c>
      <c r="H126" s="16" t="s">
        <v>260</v>
      </c>
      <c r="I126" s="16">
        <v>12</v>
      </c>
      <c r="J126" s="15" t="s">
        <v>261</v>
      </c>
      <c r="K126" s="15">
        <v>12</v>
      </c>
      <c r="L126" s="0" t="str">
        <f>VLOOKUP(A126,[1]Sheet1!$E:$H,2,FALSE)</f>
        <v>高级抗风药剂</v>
      </c>
      <c r="M126" s="0" t="e">
        <f>VLOOKUP(B126,[1]Sheet1!$E:$H,2,FALSE)</f>
        <v>#N/A</v>
      </c>
      <c r="N126" s="0" t="e">
        <f t="shared" si="14"/>
        <v>#N/A</v>
      </c>
      <c r="O126" s="0" t="e">
        <f>VLOOKUP(D126,[1]Sheet1!$E:$H,2,FALSE)</f>
        <v>#N/A</v>
      </c>
      <c r="P126" s="0" t="e">
        <f t="shared" si="15"/>
        <v>#N/A</v>
      </c>
      <c r="Q126" s="0" t="str">
        <f>VLOOKUP(F126,[1]Sheet1!$E:$H,2,FALSE)</f>
        <v>紫色草药花</v>
      </c>
      <c r="R126" s="0" t="str">
        <f t="shared" si="16"/>
        <v>1001,紫色草药花,12</v>
      </c>
      <c r="S126" s="0" t="str">
        <f>VLOOKUP(H126,[1]Sheet1!$E:$H,2,FALSE)</f>
        <v>水晶试管</v>
      </c>
      <c r="T126" s="0" t="str">
        <f t="shared" si="17"/>
        <v>1001,水晶试管,12</v>
      </c>
      <c r="U126" s="0" t="e">
        <f t="shared" si="18"/>
        <v>#N/A</v>
      </c>
    </row>
    <row r="127" ht="16.5">
      <c r="A127" s="15" t="s">
        <v>410</v>
      </c>
      <c r="B127" s="19" t="s">
        <v>411</v>
      </c>
      <c r="C127" s="15">
        <v>9</v>
      </c>
      <c r="D127" s="16" t="s">
        <v>278</v>
      </c>
      <c r="E127" s="15">
        <v>10</v>
      </c>
      <c r="F127" s="16" t="s">
        <v>279</v>
      </c>
      <c r="G127" s="15">
        <v>10</v>
      </c>
      <c r="H127" s="16" t="s">
        <v>265</v>
      </c>
      <c r="I127" s="16">
        <v>15</v>
      </c>
      <c r="J127" s="15" t="s">
        <v>266</v>
      </c>
      <c r="K127" s="15">
        <v>15</v>
      </c>
      <c r="L127" s="0" t="e">
        <f>VLOOKUP(A127,[1]Sheet1!$E:$H,2,FALSE)</f>
        <v>#N/A</v>
      </c>
      <c r="M127" s="0" t="e">
        <f>VLOOKUP(B127,[1]Sheet1!$E:$H,2,FALSE)</f>
        <v>#N/A</v>
      </c>
      <c r="N127" s="0" t="e">
        <f t="shared" si="14"/>
        <v>#N/A</v>
      </c>
      <c r="O127" s="0" t="e">
        <f>VLOOKUP(D127,[1]Sheet1!$E:$H,2,FALSE)</f>
        <v>#N/A</v>
      </c>
      <c r="P127" s="0" t="e">
        <f t="shared" si="15"/>
        <v>#N/A</v>
      </c>
      <c r="Q127" s="0" t="str">
        <f>VLOOKUP(F127,[1]Sheet1!$E:$H,2,FALSE)</f>
        <v>金色草药花</v>
      </c>
      <c r="R127" s="0" t="str">
        <f t="shared" si="16"/>
        <v>1001,金色草药花,15</v>
      </c>
      <c r="S127" s="0" t="str">
        <f>VLOOKUP(H127,[1]Sheet1!$E:$H,2,FALSE)</f>
        <v>黄金药碾</v>
      </c>
      <c r="T127" s="0" t="str">
        <f t="shared" si="17"/>
        <v>1001,黄金药碾,15</v>
      </c>
      <c r="U127" s="0" t="e">
        <f t="shared" si="18"/>
        <v>#N/A</v>
      </c>
    </row>
    <row r="128" ht="16.5">
      <c r="A128" s="17" t="s">
        <v>412</v>
      </c>
      <c r="B128" s="20" t="s">
        <v>403</v>
      </c>
      <c r="C128" s="17">
        <v>1</v>
      </c>
      <c r="D128" s="18" t="s">
        <v>281</v>
      </c>
      <c r="E128" s="17">
        <v>2</v>
      </c>
      <c r="F128" s="18" t="s">
        <v>243</v>
      </c>
      <c r="G128" s="17">
        <v>2</v>
      </c>
      <c r="H128" s="18" t="s">
        <v>245</v>
      </c>
      <c r="I128" s="18">
        <v>3</v>
      </c>
      <c r="J128" s="17" t="s">
        <v>246</v>
      </c>
      <c r="K128" s="17">
        <v>3</v>
      </c>
      <c r="L128" s="0" t="e">
        <f>VLOOKUP(A128,[1]Sheet1!$E:$H,2,FALSE)</f>
        <v>#N/A</v>
      </c>
      <c r="M128" s="0" t="str">
        <f>VLOOKUP(B128,[1]Sheet1!$E:$H,2,FALSE)</f>
        <v>梦幻草药</v>
      </c>
      <c r="N128" s="0" t="str">
        <f t="shared" si="14"/>
        <v>1001,梦幻草药,1</v>
      </c>
      <c r="O128" s="0" t="e">
        <f>VLOOKUP(D128,[1]Sheet1!$E:$H,2,FALSE)</f>
        <v>#N/A</v>
      </c>
      <c r="P128" s="0" t="e">
        <f t="shared" si="15"/>
        <v>#N/A</v>
      </c>
      <c r="Q128" s="0" t="str">
        <f>VLOOKUP(F128,[1]Sheet1!$E:$H,2,FALSE)</f>
        <v>草药根</v>
      </c>
      <c r="R128" s="0" t="str">
        <f t="shared" si="16"/>
        <v>1001,草药根,3</v>
      </c>
      <c r="S128" s="0" t="str">
        <f>VLOOKUP(H128,[1]Sheet1!$E:$H,2,FALSE)</f>
        <v>石制药碾</v>
      </c>
      <c r="T128" s="0" t="str">
        <f t="shared" si="17"/>
        <v>1001,石制药碾,3</v>
      </c>
      <c r="U128" s="0" t="e">
        <f t="shared" si="18"/>
        <v>#N/A</v>
      </c>
    </row>
    <row r="129" ht="16.5">
      <c r="A129" s="17" t="s">
        <v>413</v>
      </c>
      <c r="B129" s="20" t="s">
        <v>405</v>
      </c>
      <c r="C129" s="17">
        <v>3</v>
      </c>
      <c r="D129" s="18" t="s">
        <v>283</v>
      </c>
      <c r="E129" s="17">
        <v>4</v>
      </c>
      <c r="F129" s="18" t="s">
        <v>248</v>
      </c>
      <c r="G129" s="17">
        <v>4</v>
      </c>
      <c r="H129" s="18" t="s">
        <v>250</v>
      </c>
      <c r="I129" s="18">
        <v>6</v>
      </c>
      <c r="J129" s="17" t="s">
        <v>251</v>
      </c>
      <c r="K129" s="17">
        <v>6</v>
      </c>
      <c r="L129" s="0" t="str">
        <f>VLOOKUP(A129,[1]Sheet1!$E:$H,2,FALSE)</f>
        <v>初级抗雷药剂</v>
      </c>
      <c r="M129" s="0" t="e">
        <f>VLOOKUP(B129,[1]Sheet1!$E:$H,2,FALSE)</f>
        <v>#N/A</v>
      </c>
      <c r="N129" s="0" t="e">
        <f t="shared" si="14"/>
        <v>#N/A</v>
      </c>
      <c r="O129" s="0" t="e">
        <f>VLOOKUP(D129,[1]Sheet1!$E:$H,2,FALSE)</f>
        <v>#N/A</v>
      </c>
      <c r="P129" s="0" t="e">
        <f t="shared" si="15"/>
        <v>#N/A</v>
      </c>
      <c r="Q129" s="0" t="e">
        <f>VLOOKUP(F129,[1]Sheet1!$E:$H,2,FALSE)</f>
        <v>#N/A</v>
      </c>
      <c r="R129" s="0" t="e">
        <f t="shared" si="16"/>
        <v>#N/A</v>
      </c>
      <c r="S129" s="0" t="str">
        <f>VLOOKUP(H129,[1]Sheet1!$E:$H,2,FALSE)</f>
        <v>玻璃试管</v>
      </c>
      <c r="T129" s="0" t="str">
        <f t="shared" si="17"/>
        <v>1001,玻璃试管,6</v>
      </c>
      <c r="U129" s="0" t="e">
        <f t="shared" si="18"/>
        <v>#N/A</v>
      </c>
    </row>
    <row r="130" ht="16.5">
      <c r="A130" s="17" t="s">
        <v>414</v>
      </c>
      <c r="B130" s="20" t="s">
        <v>407</v>
      </c>
      <c r="C130" s="17">
        <v>5</v>
      </c>
      <c r="D130" s="18" t="s">
        <v>285</v>
      </c>
      <c r="E130" s="17">
        <v>6</v>
      </c>
      <c r="F130" s="18" t="s">
        <v>253</v>
      </c>
      <c r="G130" s="17">
        <v>6</v>
      </c>
      <c r="H130" s="18" t="s">
        <v>255</v>
      </c>
      <c r="I130" s="18">
        <v>9</v>
      </c>
      <c r="J130" s="17" t="s">
        <v>256</v>
      </c>
      <c r="K130" s="17">
        <v>9</v>
      </c>
      <c r="L130" s="0" t="e">
        <f>VLOOKUP(A130,[1]Sheet1!$E:$H,2,FALSE)</f>
        <v>#N/A</v>
      </c>
      <c r="M130" s="0" t="e">
        <f>VLOOKUP(B130,[1]Sheet1!$E:$H,2,FALSE)</f>
        <v>#N/A</v>
      </c>
      <c r="N130" s="0" t="e">
        <f t="shared" si="14"/>
        <v>#N/A</v>
      </c>
      <c r="O130" s="0" t="e">
        <f>VLOOKUP(D130,[1]Sheet1!$E:$H,2,FALSE)</f>
        <v>#N/A</v>
      </c>
      <c r="P130" s="0" t="e">
        <f t="shared" si="15"/>
        <v>#N/A</v>
      </c>
      <c r="Q130" s="0" t="e">
        <f>VLOOKUP(F130,[1]Sheet1!$E:$H,2,FALSE)</f>
        <v>#N/A</v>
      </c>
      <c r="R130" s="0" t="e">
        <f t="shared" si="16"/>
        <v>#N/A</v>
      </c>
      <c r="S130" s="0" t="str">
        <f>VLOOKUP(H130,[1]Sheet1!$E:$H,2,FALSE)</f>
        <v>强化玻璃试管</v>
      </c>
      <c r="T130" s="0" t="str">
        <f t="shared" si="17"/>
        <v>1001,强化玻璃试管,9</v>
      </c>
      <c r="U130" s="0" t="e">
        <f t="shared" si="18"/>
        <v>#N/A</v>
      </c>
    </row>
    <row r="131" ht="16.5">
      <c r="A131" s="17" t="s">
        <v>162</v>
      </c>
      <c r="B131" s="20" t="s">
        <v>409</v>
      </c>
      <c r="C131" s="17">
        <v>7</v>
      </c>
      <c r="D131" s="18" t="s">
        <v>287</v>
      </c>
      <c r="E131" s="17">
        <v>8</v>
      </c>
      <c r="F131" s="18" t="s">
        <v>258</v>
      </c>
      <c r="G131" s="17">
        <v>8</v>
      </c>
      <c r="H131" s="18" t="s">
        <v>260</v>
      </c>
      <c r="I131" s="18">
        <v>12</v>
      </c>
      <c r="J131" s="17" t="s">
        <v>261</v>
      </c>
      <c r="K131" s="17">
        <v>12</v>
      </c>
      <c r="L131" s="0" t="str">
        <f>VLOOKUP(A131,[1]Sheet1!$E:$H,2,FALSE)</f>
        <v>高级抗雷药剂</v>
      </c>
      <c r="M131" s="0" t="e">
        <f>VLOOKUP(B131,[1]Sheet1!$E:$H,2,FALSE)</f>
        <v>#N/A</v>
      </c>
      <c r="N131" s="0" t="e">
        <f t="shared" si="14"/>
        <v>#N/A</v>
      </c>
      <c r="O131" s="0" t="e">
        <f>VLOOKUP(D131,[1]Sheet1!$E:$H,2,FALSE)</f>
        <v>#N/A</v>
      </c>
      <c r="P131" s="0" t="e">
        <f t="shared" si="15"/>
        <v>#N/A</v>
      </c>
      <c r="Q131" s="0" t="e">
        <f>VLOOKUP(F131,[1]Sheet1!$E:$H,2,FALSE)</f>
        <v>#N/A</v>
      </c>
      <c r="R131" s="0" t="e">
        <f t="shared" si="16"/>
        <v>#N/A</v>
      </c>
      <c r="S131" s="0" t="str">
        <f>VLOOKUP(H131,[1]Sheet1!$E:$H,2,FALSE)</f>
        <v>水晶试管</v>
      </c>
      <c r="T131" s="0" t="str">
        <f t="shared" si="17"/>
        <v>1001,水晶试管,12</v>
      </c>
      <c r="U131" s="0" t="e">
        <f t="shared" si="18"/>
        <v>#N/A</v>
      </c>
    </row>
    <row r="132" ht="16.5">
      <c r="A132" s="17" t="s">
        <v>415</v>
      </c>
      <c r="B132" s="20" t="s">
        <v>411</v>
      </c>
      <c r="C132" s="17">
        <v>9</v>
      </c>
      <c r="D132" s="18" t="s">
        <v>289</v>
      </c>
      <c r="E132" s="17">
        <v>10</v>
      </c>
      <c r="F132" s="18" t="s">
        <v>263</v>
      </c>
      <c r="G132" s="17">
        <v>10</v>
      </c>
      <c r="H132" s="18" t="s">
        <v>265</v>
      </c>
      <c r="I132" s="18">
        <v>15</v>
      </c>
      <c r="J132" s="17" t="s">
        <v>266</v>
      </c>
      <c r="K132" s="17">
        <v>15</v>
      </c>
      <c r="L132" s="0" t="e">
        <f>VLOOKUP(A132,[1]Sheet1!$E:$H,2,FALSE)</f>
        <v>#N/A</v>
      </c>
      <c r="M132" s="0" t="e">
        <f>VLOOKUP(B132,[1]Sheet1!$E:$H,2,FALSE)</f>
        <v>#N/A</v>
      </c>
      <c r="N132" s="0" t="e">
        <f t="shared" si="14"/>
        <v>#N/A</v>
      </c>
      <c r="O132" s="0" t="e">
        <f>VLOOKUP(D132,[1]Sheet1!$E:$H,2,FALSE)</f>
        <v>#N/A</v>
      </c>
      <c r="P132" s="0" t="e">
        <f t="shared" si="15"/>
        <v>#N/A</v>
      </c>
      <c r="Q132" s="0" t="e">
        <f>VLOOKUP(F132,[1]Sheet1!$E:$H,2,FALSE)</f>
        <v>#N/A</v>
      </c>
      <c r="R132" s="0" t="e">
        <f t="shared" si="16"/>
        <v>#N/A</v>
      </c>
      <c r="S132" s="0" t="str">
        <f>VLOOKUP(H132,[1]Sheet1!$E:$H,2,FALSE)</f>
        <v>黄金药碾</v>
      </c>
      <c r="T132" s="0" t="str">
        <f t="shared" si="17"/>
        <v>1001,黄金药碾,15</v>
      </c>
      <c r="U132" s="0" t="e">
        <f t="shared" si="18"/>
        <v>#N/A</v>
      </c>
    </row>
    <row r="133" ht="16.5">
      <c r="A133" s="15" t="s">
        <v>416</v>
      </c>
      <c r="B133" s="19" t="s">
        <v>417</v>
      </c>
      <c r="C133" s="15">
        <v>1</v>
      </c>
      <c r="D133" s="16" t="s">
        <v>244</v>
      </c>
      <c r="E133" s="15">
        <v>2</v>
      </c>
      <c r="F133" s="16" t="s">
        <v>268</v>
      </c>
      <c r="G133" s="15">
        <v>2</v>
      </c>
      <c r="H133" s="16" t="s">
        <v>245</v>
      </c>
      <c r="I133" s="16">
        <v>3</v>
      </c>
      <c r="J133" s="15" t="s">
        <v>246</v>
      </c>
      <c r="K133" s="15">
        <v>3</v>
      </c>
      <c r="L133" s="0" t="e">
        <f>VLOOKUP(A133,[1]Sheet1!$E:$H,2,FALSE)</f>
        <v>#N/A</v>
      </c>
      <c r="M133" s="0" t="str">
        <f>VLOOKUP(B133,[1]Sheet1!$E:$H,2,FALSE)</f>
        <v>远古草药</v>
      </c>
      <c r="N133" s="0" t="str">
        <f t="shared" si="14"/>
        <v>1001,远古草药,1</v>
      </c>
      <c r="O133" s="0" t="e">
        <f>VLOOKUP(D133,[1]Sheet1!$E:$H,2,FALSE)</f>
        <v>#N/A</v>
      </c>
      <c r="P133" s="0" t="e">
        <f t="shared" si="15"/>
        <v>#N/A</v>
      </c>
      <c r="Q133" s="0" t="e">
        <f>VLOOKUP(F133,[1]Sheet1!$E:$H,2,FALSE)</f>
        <v>#N/A</v>
      </c>
      <c r="R133" s="0" t="e">
        <f t="shared" si="16"/>
        <v>#N/A</v>
      </c>
      <c r="S133" s="0" t="str">
        <f>VLOOKUP(H133,[1]Sheet1!$E:$H,2,FALSE)</f>
        <v>石制药碾</v>
      </c>
      <c r="T133" s="0" t="str">
        <f t="shared" si="17"/>
        <v>1001,石制药碾,3</v>
      </c>
      <c r="U133" s="0" t="e">
        <f t="shared" si="18"/>
        <v>#N/A</v>
      </c>
    </row>
    <row r="134" ht="16.5">
      <c r="A134" s="15" t="s">
        <v>418</v>
      </c>
      <c r="B134" s="19" t="s">
        <v>419</v>
      </c>
      <c r="C134" s="15">
        <v>3</v>
      </c>
      <c r="D134" s="16" t="s">
        <v>249</v>
      </c>
      <c r="E134" s="15">
        <v>4</v>
      </c>
      <c r="F134" s="16" t="s">
        <v>270</v>
      </c>
      <c r="G134" s="15">
        <v>4</v>
      </c>
      <c r="H134" s="16" t="s">
        <v>250</v>
      </c>
      <c r="I134" s="16">
        <v>6</v>
      </c>
      <c r="J134" s="15" t="s">
        <v>251</v>
      </c>
      <c r="K134" s="15">
        <v>6</v>
      </c>
      <c r="L134" s="0" t="str">
        <f>VLOOKUP(A134,[1]Sheet1!$E:$H,2,FALSE)</f>
        <v>初级抗光药剂</v>
      </c>
      <c r="M134" s="0" t="e">
        <f>VLOOKUP(B134,[1]Sheet1!$E:$H,2,FALSE)</f>
        <v>#N/A</v>
      </c>
      <c r="N134" s="0" t="e">
        <f t="shared" si="14"/>
        <v>#N/A</v>
      </c>
      <c r="O134" s="0" t="e">
        <f>VLOOKUP(D134,[1]Sheet1!$E:$H,2,FALSE)</f>
        <v>#N/A</v>
      </c>
      <c r="P134" s="0" t="e">
        <f t="shared" si="15"/>
        <v>#N/A</v>
      </c>
      <c r="Q134" s="0" t="e">
        <f>VLOOKUP(F134,[1]Sheet1!$E:$H,2,FALSE)</f>
        <v>#N/A</v>
      </c>
      <c r="R134" s="0" t="e">
        <f t="shared" si="16"/>
        <v>#N/A</v>
      </c>
      <c r="S134" s="0" t="str">
        <f>VLOOKUP(H134,[1]Sheet1!$E:$H,2,FALSE)</f>
        <v>玻璃试管</v>
      </c>
      <c r="T134" s="0" t="str">
        <f t="shared" si="17"/>
        <v>1001,玻璃试管,6</v>
      </c>
      <c r="U134" s="0" t="e">
        <f t="shared" si="18"/>
        <v>#N/A</v>
      </c>
    </row>
    <row r="135" ht="16.5">
      <c r="A135" s="15" t="s">
        <v>420</v>
      </c>
      <c r="B135" s="19" t="s">
        <v>421</v>
      </c>
      <c r="C135" s="15">
        <v>5</v>
      </c>
      <c r="D135" s="16" t="s">
        <v>254</v>
      </c>
      <c r="E135" s="15">
        <v>6</v>
      </c>
      <c r="F135" s="16" t="s">
        <v>273</v>
      </c>
      <c r="G135" s="15">
        <v>6</v>
      </c>
      <c r="H135" s="16" t="s">
        <v>255</v>
      </c>
      <c r="I135" s="16">
        <v>9</v>
      </c>
      <c r="J135" s="15" t="s">
        <v>256</v>
      </c>
      <c r="K135" s="15">
        <v>9</v>
      </c>
      <c r="L135" s="0" t="e">
        <f>VLOOKUP(A135,[1]Sheet1!$E:$H,2,FALSE)</f>
        <v>#N/A</v>
      </c>
      <c r="M135" s="0" t="e">
        <f>VLOOKUP(B135,[1]Sheet1!$E:$H,2,FALSE)</f>
        <v>#N/A</v>
      </c>
      <c r="N135" s="0" t="e">
        <f t="shared" si="14"/>
        <v>#N/A</v>
      </c>
      <c r="O135" s="0" t="e">
        <f>VLOOKUP(D135,[1]Sheet1!$E:$H,2,FALSE)</f>
        <v>#N/A</v>
      </c>
      <c r="P135" s="0" t="e">
        <f t="shared" si="15"/>
        <v>#N/A</v>
      </c>
      <c r="Q135" s="0" t="e">
        <f>VLOOKUP(F135,[1]Sheet1!$E:$H,2,FALSE)</f>
        <v>#N/A</v>
      </c>
      <c r="R135" s="0" t="e">
        <f t="shared" si="16"/>
        <v>#N/A</v>
      </c>
      <c r="S135" s="0" t="str">
        <f>VLOOKUP(H135,[1]Sheet1!$E:$H,2,FALSE)</f>
        <v>强化玻璃试管</v>
      </c>
      <c r="T135" s="0" t="str">
        <f t="shared" si="17"/>
        <v>1001,强化玻璃试管,9</v>
      </c>
      <c r="U135" s="0" t="e">
        <f t="shared" si="18"/>
        <v>#N/A</v>
      </c>
    </row>
    <row r="136" ht="16.5">
      <c r="A136" s="15" t="s">
        <v>168</v>
      </c>
      <c r="B136" s="19" t="s">
        <v>422</v>
      </c>
      <c r="C136" s="15">
        <v>7</v>
      </c>
      <c r="D136" s="16" t="s">
        <v>259</v>
      </c>
      <c r="E136" s="15">
        <v>8</v>
      </c>
      <c r="F136" s="16" t="s">
        <v>275</v>
      </c>
      <c r="G136" s="15">
        <v>8</v>
      </c>
      <c r="H136" s="16" t="s">
        <v>260</v>
      </c>
      <c r="I136" s="16">
        <v>12</v>
      </c>
      <c r="J136" s="15" t="s">
        <v>261</v>
      </c>
      <c r="K136" s="15">
        <v>12</v>
      </c>
      <c r="L136" s="0" t="str">
        <f>VLOOKUP(A136,[1]Sheet1!$E:$H,2,FALSE)</f>
        <v>高级抗光药剂</v>
      </c>
      <c r="M136" s="0" t="e">
        <f>VLOOKUP(B136,[1]Sheet1!$E:$H,2,FALSE)</f>
        <v>#N/A</v>
      </c>
      <c r="N136" s="0" t="e">
        <f t="shared" si="14"/>
        <v>#N/A</v>
      </c>
      <c r="O136" s="0" t="e">
        <f>VLOOKUP(D136,[1]Sheet1!$E:$H,2,FALSE)</f>
        <v>#N/A</v>
      </c>
      <c r="P136" s="0" t="e">
        <f t="shared" si="15"/>
        <v>#N/A</v>
      </c>
      <c r="Q136" s="0" t="e">
        <f>VLOOKUP(F136,[1]Sheet1!$E:$H,2,FALSE)</f>
        <v>#N/A</v>
      </c>
      <c r="R136" s="0" t="e">
        <f t="shared" si="16"/>
        <v>#N/A</v>
      </c>
      <c r="S136" s="0" t="str">
        <f>VLOOKUP(H136,[1]Sheet1!$E:$H,2,FALSE)</f>
        <v>水晶试管</v>
      </c>
      <c r="T136" s="0" t="str">
        <f t="shared" si="17"/>
        <v>1001,水晶试管,12</v>
      </c>
      <c r="U136" s="0" t="e">
        <f t="shared" si="18"/>
        <v>#N/A</v>
      </c>
    </row>
    <row r="137" ht="16.5">
      <c r="A137" s="15" t="s">
        <v>423</v>
      </c>
      <c r="B137" s="19" t="s">
        <v>424</v>
      </c>
      <c r="C137" s="15">
        <v>9</v>
      </c>
      <c r="D137" s="16" t="s">
        <v>264</v>
      </c>
      <c r="E137" s="15">
        <v>10</v>
      </c>
      <c r="F137" s="16" t="s">
        <v>278</v>
      </c>
      <c r="G137" s="15">
        <v>10</v>
      </c>
      <c r="H137" s="16" t="s">
        <v>265</v>
      </c>
      <c r="I137" s="16">
        <v>15</v>
      </c>
      <c r="J137" s="15" t="s">
        <v>266</v>
      </c>
      <c r="K137" s="15">
        <v>15</v>
      </c>
      <c r="L137" s="0" t="e">
        <f>VLOOKUP(A137,[1]Sheet1!$E:$H,2,FALSE)</f>
        <v>#N/A</v>
      </c>
      <c r="M137" s="0" t="e">
        <f>VLOOKUP(B137,[1]Sheet1!$E:$H,2,FALSE)</f>
        <v>#N/A</v>
      </c>
      <c r="N137" s="0" t="e">
        <f t="shared" si="14"/>
        <v>#N/A</v>
      </c>
      <c r="O137" s="0" t="e">
        <f>VLOOKUP(D137,[1]Sheet1!$E:$H,2,FALSE)</f>
        <v>#N/A</v>
      </c>
      <c r="P137" s="0" t="e">
        <f t="shared" si="15"/>
        <v>#N/A</v>
      </c>
      <c r="Q137" s="0" t="e">
        <f>VLOOKUP(F137,[1]Sheet1!$E:$H,2,FALSE)</f>
        <v>#N/A</v>
      </c>
      <c r="R137" s="0" t="e">
        <f t="shared" si="16"/>
        <v>#N/A</v>
      </c>
      <c r="S137" s="0" t="str">
        <f>VLOOKUP(H137,[1]Sheet1!$E:$H,2,FALSE)</f>
        <v>黄金药碾</v>
      </c>
      <c r="T137" s="0" t="str">
        <f t="shared" si="17"/>
        <v>1001,黄金药碾,15</v>
      </c>
      <c r="U137" s="0" t="e">
        <f t="shared" si="18"/>
        <v>#N/A</v>
      </c>
    </row>
    <row r="138" ht="16.5">
      <c r="A138" s="17" t="s">
        <v>425</v>
      </c>
      <c r="B138" s="20" t="s">
        <v>417</v>
      </c>
      <c r="C138" s="17">
        <v>1</v>
      </c>
      <c r="D138" s="18" t="s">
        <v>269</v>
      </c>
      <c r="E138" s="17">
        <v>2</v>
      </c>
      <c r="F138" s="18" t="s">
        <v>281</v>
      </c>
      <c r="G138" s="17">
        <v>2</v>
      </c>
      <c r="H138" s="18" t="s">
        <v>245</v>
      </c>
      <c r="I138" s="18">
        <v>3</v>
      </c>
      <c r="J138" s="17" t="s">
        <v>246</v>
      </c>
      <c r="K138" s="17">
        <v>3</v>
      </c>
      <c r="L138" s="0" t="e">
        <f>VLOOKUP(A138,[1]Sheet1!$E:$H,2,FALSE)</f>
        <v>#N/A</v>
      </c>
      <c r="M138" s="0" t="str">
        <f>VLOOKUP(B138,[1]Sheet1!$E:$H,2,FALSE)</f>
        <v>远古草药</v>
      </c>
      <c r="N138" s="0" t="str">
        <f t="shared" si="14"/>
        <v>1001,远古草药,1</v>
      </c>
      <c r="O138" s="0" t="str">
        <f>VLOOKUP(D138,[1]Sheet1!$E:$H,2,FALSE)</f>
        <v>白色草药花</v>
      </c>
      <c r="P138" s="0" t="str">
        <f t="shared" si="15"/>
        <v>1001,白色草药花,2</v>
      </c>
      <c r="Q138" s="0" t="e">
        <f>VLOOKUP(F138,[1]Sheet1!$E:$H,2,FALSE)</f>
        <v>#N/A</v>
      </c>
      <c r="R138" s="0" t="e">
        <f t="shared" si="16"/>
        <v>#N/A</v>
      </c>
      <c r="S138" s="0" t="str">
        <f>VLOOKUP(H138,[1]Sheet1!$E:$H,2,FALSE)</f>
        <v>石制药碾</v>
      </c>
      <c r="T138" s="0" t="str">
        <f t="shared" si="17"/>
        <v>1001,石制药碾,3</v>
      </c>
      <c r="U138" s="0" t="e">
        <f t="shared" si="18"/>
        <v>#N/A</v>
      </c>
    </row>
    <row r="139" ht="16.5">
      <c r="A139" s="17" t="s">
        <v>426</v>
      </c>
      <c r="B139" s="20" t="s">
        <v>419</v>
      </c>
      <c r="C139" s="17">
        <v>3</v>
      </c>
      <c r="D139" s="18" t="s">
        <v>271</v>
      </c>
      <c r="E139" s="17">
        <v>4</v>
      </c>
      <c r="F139" s="18" t="s">
        <v>283</v>
      </c>
      <c r="G139" s="17">
        <v>4</v>
      </c>
      <c r="H139" s="18" t="s">
        <v>250</v>
      </c>
      <c r="I139" s="18">
        <v>6</v>
      </c>
      <c r="J139" s="17" t="s">
        <v>251</v>
      </c>
      <c r="K139" s="17">
        <v>6</v>
      </c>
      <c r="L139" s="0" t="str">
        <f>VLOOKUP(A139,[1]Sheet1!$E:$H,2,FALSE)</f>
        <v>初级抗暗药剂</v>
      </c>
      <c r="M139" s="0" t="e">
        <f>VLOOKUP(B139,[1]Sheet1!$E:$H,2,FALSE)</f>
        <v>#N/A</v>
      </c>
      <c r="N139" s="0" t="e">
        <f t="shared" si="14"/>
        <v>#N/A</v>
      </c>
      <c r="O139" s="0" t="str">
        <f>VLOOKUP(D139,[1]Sheet1!$E:$H,2,FALSE)</f>
        <v>绿色草药花</v>
      </c>
      <c r="P139" s="0" t="str">
        <f t="shared" si="15"/>
        <v>1001,绿色草药花,4</v>
      </c>
      <c r="Q139" s="0" t="e">
        <f>VLOOKUP(F139,[1]Sheet1!$E:$H,2,FALSE)</f>
        <v>#N/A</v>
      </c>
      <c r="R139" s="0" t="e">
        <f t="shared" si="16"/>
        <v>#N/A</v>
      </c>
      <c r="S139" s="0" t="str">
        <f>VLOOKUP(H139,[1]Sheet1!$E:$H,2,FALSE)</f>
        <v>玻璃试管</v>
      </c>
      <c r="T139" s="0" t="str">
        <f t="shared" si="17"/>
        <v>1001,玻璃试管,6</v>
      </c>
      <c r="U139" s="0" t="e">
        <f t="shared" si="18"/>
        <v>#N/A</v>
      </c>
    </row>
    <row r="140" ht="16.5">
      <c r="A140" s="17" t="s">
        <v>427</v>
      </c>
      <c r="B140" s="19" t="s">
        <v>380</v>
      </c>
      <c r="C140" s="17">
        <v>5</v>
      </c>
      <c r="D140" s="18" t="s">
        <v>274</v>
      </c>
      <c r="E140" s="17">
        <v>6</v>
      </c>
      <c r="F140" s="18" t="s">
        <v>285</v>
      </c>
      <c r="G140" s="17">
        <v>6</v>
      </c>
      <c r="H140" s="18" t="s">
        <v>255</v>
      </c>
      <c r="I140" s="18">
        <v>9</v>
      </c>
      <c r="J140" s="17" t="s">
        <v>256</v>
      </c>
      <c r="K140" s="17">
        <v>9</v>
      </c>
      <c r="L140" s="0" t="e">
        <f>VLOOKUP(A140,[1]Sheet1!$E:$H,2,FALSE)</f>
        <v>#N/A</v>
      </c>
      <c r="M140" s="0" t="e">
        <f>VLOOKUP(B140,[1]Sheet1!$E:$H,2,FALSE)</f>
        <v>#N/A</v>
      </c>
      <c r="N140" s="0" t="e">
        <f t="shared" si="14"/>
        <v>#N/A</v>
      </c>
      <c r="O140" s="0" t="str">
        <f>VLOOKUP(D140,[1]Sheet1!$E:$H,2,FALSE)</f>
        <v>蓝色草药花</v>
      </c>
      <c r="P140" s="0" t="str">
        <f t="shared" si="15"/>
        <v>1001,蓝色草药花,6</v>
      </c>
      <c r="Q140" s="0" t="e">
        <f>VLOOKUP(F140,[1]Sheet1!$E:$H,2,FALSE)</f>
        <v>#N/A</v>
      </c>
      <c r="R140" s="0" t="e">
        <f t="shared" si="16"/>
        <v>#N/A</v>
      </c>
      <c r="S140" s="0" t="str">
        <f>VLOOKUP(H140,[1]Sheet1!$E:$H,2,FALSE)</f>
        <v>强化玻璃试管</v>
      </c>
      <c r="T140" s="0" t="str">
        <f t="shared" si="17"/>
        <v>1001,强化玻璃试管,9</v>
      </c>
      <c r="U140" s="0" t="e">
        <f t="shared" si="18"/>
        <v>#N/A</v>
      </c>
    </row>
    <row r="141" ht="16.5">
      <c r="A141" s="17" t="s">
        <v>170</v>
      </c>
      <c r="B141" s="19" t="s">
        <v>381</v>
      </c>
      <c r="C141" s="17">
        <v>7</v>
      </c>
      <c r="D141" s="18" t="s">
        <v>276</v>
      </c>
      <c r="E141" s="17">
        <v>8</v>
      </c>
      <c r="F141" s="18" t="s">
        <v>287</v>
      </c>
      <c r="G141" s="17">
        <v>8</v>
      </c>
      <c r="H141" s="18" t="s">
        <v>260</v>
      </c>
      <c r="I141" s="18">
        <v>12</v>
      </c>
      <c r="J141" s="17" t="s">
        <v>261</v>
      </c>
      <c r="K141" s="17">
        <v>12</v>
      </c>
      <c r="L141" s="0" t="str">
        <f>VLOOKUP(A141,[1]Sheet1!$E:$H,2,FALSE)</f>
        <v>高级抗暗药剂</v>
      </c>
      <c r="M141" s="0" t="e">
        <f>VLOOKUP(B141,[1]Sheet1!$E:$H,2,FALSE)</f>
        <v>#N/A</v>
      </c>
      <c r="N141" s="0" t="e">
        <f t="shared" si="14"/>
        <v>#N/A</v>
      </c>
      <c r="O141" s="0" t="str">
        <f>VLOOKUP(D141,[1]Sheet1!$E:$H,2,FALSE)</f>
        <v>紫色草药花</v>
      </c>
      <c r="P141" s="0" t="str">
        <f t="shared" si="15"/>
        <v>1001,紫色草药花,8</v>
      </c>
      <c r="Q141" s="0" t="e">
        <f>VLOOKUP(F141,[1]Sheet1!$E:$H,2,FALSE)</f>
        <v>#N/A</v>
      </c>
      <c r="R141" s="0" t="e">
        <f t="shared" si="16"/>
        <v>#N/A</v>
      </c>
      <c r="S141" s="0" t="str">
        <f>VLOOKUP(H141,[1]Sheet1!$E:$H,2,FALSE)</f>
        <v>水晶试管</v>
      </c>
      <c r="T141" s="0" t="str">
        <f t="shared" si="17"/>
        <v>1001,水晶试管,12</v>
      </c>
      <c r="U141" s="0" t="e">
        <f t="shared" si="18"/>
        <v>#N/A</v>
      </c>
    </row>
    <row r="142" ht="16.5">
      <c r="A142" s="17" t="s">
        <v>428</v>
      </c>
      <c r="B142" s="19" t="s">
        <v>383</v>
      </c>
      <c r="C142" s="17">
        <v>9</v>
      </c>
      <c r="D142" s="18" t="s">
        <v>279</v>
      </c>
      <c r="E142" s="17">
        <v>10</v>
      </c>
      <c r="F142" s="18" t="s">
        <v>289</v>
      </c>
      <c r="G142" s="17">
        <v>10</v>
      </c>
      <c r="H142" s="18" t="s">
        <v>265</v>
      </c>
      <c r="I142" s="18">
        <v>15</v>
      </c>
      <c r="J142" s="17" t="s">
        <v>266</v>
      </c>
      <c r="K142" s="17">
        <v>15</v>
      </c>
      <c r="L142" s="0" t="e">
        <f>VLOOKUP(A142,[1]Sheet1!$E:$H,2,FALSE)</f>
        <v>#N/A</v>
      </c>
      <c r="M142" s="0" t="e">
        <f>VLOOKUP(B142,[1]Sheet1!$E:$H,2,FALSE)</f>
        <v>#N/A</v>
      </c>
      <c r="N142" s="0" t="e">
        <f t="shared" si="14"/>
        <v>#N/A</v>
      </c>
      <c r="O142" s="0" t="str">
        <f>VLOOKUP(D142,[1]Sheet1!$E:$H,2,FALSE)</f>
        <v>金色草药花</v>
      </c>
      <c r="P142" s="0" t="str">
        <f t="shared" si="15"/>
        <v>1001,金色草药花,10</v>
      </c>
      <c r="Q142" s="0" t="e">
        <f>VLOOKUP(F142,[1]Sheet1!$E:$H,2,FALSE)</f>
        <v>#N/A</v>
      </c>
      <c r="R142" s="0" t="e">
        <f t="shared" si="16"/>
        <v>#N/A</v>
      </c>
      <c r="S142" s="0" t="str">
        <f>VLOOKUP(H142,[1]Sheet1!$E:$H,2,FALSE)</f>
        <v>黄金药碾</v>
      </c>
      <c r="T142" s="0" t="str">
        <f t="shared" si="17"/>
        <v>1001,黄金药碾,15</v>
      </c>
      <c r="U142" s="0" t="e">
        <f t="shared" si="18"/>
        <v>#N/A</v>
      </c>
    </row>
  </sheetData>
  <conditionalFormatting sqref="E2">
    <cfRule type="cellIs" dxfId="0" priority="379" operator="equal">
      <formula>#REF!</formula>
    </cfRule>
  </conditionalFormatting>
  <conditionalFormatting sqref="G2">
    <cfRule type="cellIs" dxfId="0" priority="374" operator="equal">
      <formula>#REF!</formula>
    </cfRule>
  </conditionalFormatting>
  <conditionalFormatting sqref="I2">
    <cfRule type="cellIs" dxfId="0" priority="369" operator="equal">
      <formula>#REF!</formula>
    </cfRule>
  </conditionalFormatting>
  <conditionalFormatting sqref="E3">
    <cfRule type="cellIs" dxfId="0" priority="378" operator="equal">
      <formula>#REF!</formula>
    </cfRule>
  </conditionalFormatting>
  <conditionalFormatting sqref="G3">
    <cfRule type="cellIs" dxfId="0" priority="373" operator="equal">
      <formula>#REF!</formula>
    </cfRule>
  </conditionalFormatting>
  <conditionalFormatting sqref="I3">
    <cfRule type="cellIs" dxfId="0" priority="368" operator="equal">
      <formula>#REF!</formula>
    </cfRule>
  </conditionalFormatting>
  <conditionalFormatting sqref="E4">
    <cfRule type="cellIs" dxfId="0" priority="377" operator="equal">
      <formula>#REF!</formula>
    </cfRule>
  </conditionalFormatting>
  <conditionalFormatting sqref="G4">
    <cfRule type="cellIs" dxfId="0" priority="372" operator="equal">
      <formula>#REF!</formula>
    </cfRule>
  </conditionalFormatting>
  <conditionalFormatting sqref="I4">
    <cfRule type="cellIs" dxfId="0" priority="367" operator="equal">
      <formula>#REF!</formula>
    </cfRule>
  </conditionalFormatting>
  <conditionalFormatting sqref="E5">
    <cfRule type="cellIs" dxfId="0" priority="376" operator="equal">
      <formula>#REF!</formula>
    </cfRule>
  </conditionalFormatting>
  <conditionalFormatting sqref="G5">
    <cfRule type="cellIs" dxfId="0" priority="371" operator="equal">
      <formula>#REF!</formula>
    </cfRule>
  </conditionalFormatting>
  <conditionalFormatting sqref="I5">
    <cfRule type="cellIs" dxfId="0" priority="366" operator="equal">
      <formula>#REF!</formula>
    </cfRule>
  </conditionalFormatting>
  <conditionalFormatting sqref="E6">
    <cfRule type="cellIs" dxfId="0" priority="375" operator="equal">
      <formula>#REF!</formula>
    </cfRule>
  </conditionalFormatting>
  <conditionalFormatting sqref="G6">
    <cfRule type="cellIs" dxfId="0" priority="370" operator="equal">
      <formula>#REF!</formula>
    </cfRule>
  </conditionalFormatting>
  <conditionalFormatting sqref="I6">
    <cfRule type="cellIs" dxfId="0" priority="365" operator="equal">
      <formula>#REF!</formula>
    </cfRule>
  </conditionalFormatting>
  <conditionalFormatting sqref="G7">
    <cfRule type="cellIs" dxfId="0" priority="142" operator="equal">
      <formula>#REF!</formula>
    </cfRule>
  </conditionalFormatting>
  <conditionalFormatting sqref="G8">
    <cfRule type="cellIs" dxfId="0" priority="132" operator="equal">
      <formula>#REF!</formula>
    </cfRule>
  </conditionalFormatting>
  <conditionalFormatting sqref="G9">
    <cfRule type="cellIs" dxfId="0" priority="122" operator="equal">
      <formula>#REF!</formula>
    </cfRule>
  </conditionalFormatting>
  <conditionalFormatting sqref="G10">
    <cfRule type="cellIs" dxfId="0" priority="112" operator="equal">
      <formula>#REF!</formula>
    </cfRule>
  </conditionalFormatting>
  <conditionalFormatting sqref="G11">
    <cfRule type="cellIs" dxfId="0" priority="102" operator="equal">
      <formula>#REF!</formula>
    </cfRule>
  </conditionalFormatting>
  <conditionalFormatting sqref="G17">
    <cfRule type="cellIs" dxfId="0" priority="141" operator="equal">
      <formula>#REF!</formula>
    </cfRule>
  </conditionalFormatting>
  <conditionalFormatting sqref="G18">
    <cfRule type="cellIs" dxfId="0" priority="131" operator="equal">
      <formula>#REF!</formula>
    </cfRule>
  </conditionalFormatting>
  <conditionalFormatting sqref="G19">
    <cfRule type="cellIs" dxfId="0" priority="121" operator="equal">
      <formula>#REF!</formula>
    </cfRule>
  </conditionalFormatting>
  <conditionalFormatting sqref="G20">
    <cfRule type="cellIs" dxfId="0" priority="111" operator="equal">
      <formula>#REF!</formula>
    </cfRule>
  </conditionalFormatting>
  <conditionalFormatting sqref="G21">
    <cfRule type="cellIs" dxfId="0" priority="101" operator="equal">
      <formula>#REF!</formula>
    </cfRule>
  </conditionalFormatting>
  <conditionalFormatting sqref="G27">
    <cfRule type="cellIs" dxfId="0" priority="140" operator="equal">
      <formula>#REF!</formula>
    </cfRule>
  </conditionalFormatting>
  <conditionalFormatting sqref="G28">
    <cfRule type="cellIs" dxfId="0" priority="130" operator="equal">
      <formula>#REF!</formula>
    </cfRule>
  </conditionalFormatting>
  <conditionalFormatting sqref="G29">
    <cfRule type="cellIs" dxfId="0" priority="120" operator="equal">
      <formula>#REF!</formula>
    </cfRule>
  </conditionalFormatting>
  <conditionalFormatting sqref="G30">
    <cfRule type="cellIs" dxfId="0" priority="110" operator="equal">
      <formula>#REF!</formula>
    </cfRule>
  </conditionalFormatting>
  <conditionalFormatting sqref="G31">
    <cfRule type="cellIs" dxfId="0" priority="100" operator="equal">
      <formula>#REF!</formula>
    </cfRule>
  </conditionalFormatting>
  <conditionalFormatting sqref="G37">
    <cfRule type="cellIs" dxfId="0" priority="139" operator="equal">
      <formula>#REF!</formula>
    </cfRule>
  </conditionalFormatting>
  <conditionalFormatting sqref="G38">
    <cfRule type="cellIs" dxfId="0" priority="129" operator="equal">
      <formula>#REF!</formula>
    </cfRule>
  </conditionalFormatting>
  <conditionalFormatting sqref="G39">
    <cfRule type="cellIs" dxfId="0" priority="119" operator="equal">
      <formula>#REF!</formula>
    </cfRule>
  </conditionalFormatting>
  <conditionalFormatting sqref="G40">
    <cfRule type="cellIs" dxfId="0" priority="109" operator="equal">
      <formula>#REF!</formula>
    </cfRule>
  </conditionalFormatting>
  <conditionalFormatting sqref="G41">
    <cfRule type="cellIs" dxfId="0" priority="99" operator="equal">
      <formula>#REF!</formula>
    </cfRule>
  </conditionalFormatting>
  <conditionalFormatting sqref="G47">
    <cfRule type="cellIs" dxfId="0" priority="138" operator="equal">
      <formula>#REF!</formula>
    </cfRule>
  </conditionalFormatting>
  <conditionalFormatting sqref="G48">
    <cfRule type="cellIs" dxfId="0" priority="128" operator="equal">
      <formula>#REF!</formula>
    </cfRule>
  </conditionalFormatting>
  <conditionalFormatting sqref="G49">
    <cfRule type="cellIs" dxfId="0" priority="118" operator="equal">
      <formula>#REF!</formula>
    </cfRule>
  </conditionalFormatting>
  <conditionalFormatting sqref="G50">
    <cfRule type="cellIs" dxfId="0" priority="108" operator="equal">
      <formula>#REF!</formula>
    </cfRule>
  </conditionalFormatting>
  <conditionalFormatting sqref="G51">
    <cfRule type="cellIs" dxfId="0" priority="98" operator="equal">
      <formula>#REF!</formula>
    </cfRule>
  </conditionalFormatting>
  <conditionalFormatting sqref="G57">
    <cfRule type="cellIs" dxfId="0" priority="137" operator="equal">
      <formula>#REF!</formula>
    </cfRule>
  </conditionalFormatting>
  <conditionalFormatting sqref="G58">
    <cfRule type="cellIs" dxfId="0" priority="127" operator="equal">
      <formula>#REF!</formula>
    </cfRule>
  </conditionalFormatting>
  <conditionalFormatting sqref="G59">
    <cfRule type="cellIs" dxfId="0" priority="117" operator="equal">
      <formula>#REF!</formula>
    </cfRule>
  </conditionalFormatting>
  <conditionalFormatting sqref="G60">
    <cfRule type="cellIs" dxfId="0" priority="107" operator="equal">
      <formula>#REF!</formula>
    </cfRule>
  </conditionalFormatting>
  <conditionalFormatting sqref="G61">
    <cfRule type="cellIs" dxfId="0" priority="97" operator="equal">
      <formula>#REF!</formula>
    </cfRule>
  </conditionalFormatting>
  <conditionalFormatting sqref="G67">
    <cfRule type="cellIs" dxfId="0" priority="136" operator="equal">
      <formula>#REF!</formula>
    </cfRule>
  </conditionalFormatting>
  <conditionalFormatting sqref="G68">
    <cfRule type="cellIs" dxfId="0" priority="126" operator="equal">
      <formula>#REF!</formula>
    </cfRule>
  </conditionalFormatting>
  <conditionalFormatting sqref="G69">
    <cfRule type="cellIs" dxfId="0" priority="116" operator="equal">
      <formula>#REF!</formula>
    </cfRule>
  </conditionalFormatting>
  <conditionalFormatting sqref="G70">
    <cfRule type="cellIs" dxfId="0" priority="106" operator="equal">
      <formula>#REF!</formula>
    </cfRule>
  </conditionalFormatting>
  <conditionalFormatting sqref="G71">
    <cfRule type="cellIs" dxfId="0" priority="96" operator="equal">
      <formula>#REF!</formula>
    </cfRule>
  </conditionalFormatting>
  <conditionalFormatting sqref="G77">
    <cfRule type="cellIs" dxfId="0" priority="135" operator="equal">
      <formula>#REF!</formula>
    </cfRule>
  </conditionalFormatting>
  <conditionalFormatting sqref="G78">
    <cfRule type="cellIs" dxfId="0" priority="125" operator="equal">
      <formula>#REF!</formula>
    </cfRule>
  </conditionalFormatting>
  <conditionalFormatting sqref="G79">
    <cfRule type="cellIs" dxfId="0" priority="115" operator="equal">
      <formula>#REF!</formula>
    </cfRule>
  </conditionalFormatting>
  <conditionalFormatting sqref="G80">
    <cfRule type="cellIs" dxfId="0" priority="105" operator="equal">
      <formula>#REF!</formula>
    </cfRule>
  </conditionalFormatting>
  <conditionalFormatting sqref="G81">
    <cfRule type="cellIs" dxfId="0" priority="95" operator="equal">
      <formula>#REF!</formula>
    </cfRule>
  </conditionalFormatting>
  <conditionalFormatting sqref="G87">
    <cfRule type="cellIs" dxfId="0" priority="134" operator="equal">
      <formula>#REF!</formula>
    </cfRule>
  </conditionalFormatting>
  <conditionalFormatting sqref="G88">
    <cfRule type="cellIs" dxfId="0" priority="124" operator="equal">
      <formula>#REF!</formula>
    </cfRule>
  </conditionalFormatting>
  <conditionalFormatting sqref="G89">
    <cfRule type="cellIs" dxfId="0" priority="114" operator="equal">
      <formula>#REF!</formula>
    </cfRule>
  </conditionalFormatting>
  <conditionalFormatting sqref="G90">
    <cfRule type="cellIs" dxfId="0" priority="104" operator="equal">
      <formula>#REF!</formula>
    </cfRule>
  </conditionalFormatting>
  <conditionalFormatting sqref="G91">
    <cfRule type="cellIs" dxfId="0" priority="94" operator="equal">
      <formula>#REF!</formula>
    </cfRule>
  </conditionalFormatting>
  <conditionalFormatting sqref="G97">
    <cfRule type="cellIs" dxfId="0" priority="133" operator="equal">
      <formula>#REF!</formula>
    </cfRule>
  </conditionalFormatting>
  <conditionalFormatting sqref="G98">
    <cfRule type="cellIs" dxfId="0" priority="123" operator="equal">
      <formula>#REF!</formula>
    </cfRule>
  </conditionalFormatting>
  <conditionalFormatting sqref="G99">
    <cfRule type="cellIs" dxfId="0" priority="113" operator="equal">
      <formula>#REF!</formula>
    </cfRule>
  </conditionalFormatting>
  <conditionalFormatting sqref="G100">
    <cfRule type="cellIs" dxfId="0" priority="103" operator="equal">
      <formula>#REF!</formula>
    </cfRule>
  </conditionalFormatting>
  <conditionalFormatting sqref="K104">
    <cfRule type="cellIs" dxfId="0" priority="83" operator="equal">
      <formula>#REF!</formula>
    </cfRule>
  </conditionalFormatting>
  <conditionalFormatting sqref="K105">
    <cfRule type="cellIs" dxfId="0" priority="75" operator="equal">
      <formula>#REF!</formula>
    </cfRule>
  </conditionalFormatting>
  <conditionalFormatting sqref="K106">
    <cfRule type="cellIs" dxfId="0" priority="67" operator="equal">
      <formula>#REF!</formula>
    </cfRule>
  </conditionalFormatting>
  <conditionalFormatting sqref="K107">
    <cfRule type="cellIs" dxfId="0" priority="59" operator="equal">
      <formula>#REF!</formula>
    </cfRule>
  </conditionalFormatting>
  <conditionalFormatting sqref="G108">
    <cfRule type="cellIs" dxfId="0" priority="20" operator="equal">
      <formula>#REF!</formula>
    </cfRule>
  </conditionalFormatting>
  <conditionalFormatting sqref="G109">
    <cfRule type="cellIs" dxfId="0" priority="16" operator="equal">
      <formula>#REF!</formula>
    </cfRule>
  </conditionalFormatting>
  <conditionalFormatting sqref="K109">
    <cfRule type="cellIs" dxfId="0" priority="51" operator="equal">
      <formula>#REF!</formula>
    </cfRule>
  </conditionalFormatting>
  <conditionalFormatting sqref="G110">
    <cfRule type="cellIs" dxfId="0" priority="12" operator="equal">
      <formula>#REF!</formula>
    </cfRule>
  </conditionalFormatting>
  <conditionalFormatting sqref="K110">
    <cfRule type="cellIs" dxfId="0" priority="43" operator="equal">
      <formula>#REF!</formula>
    </cfRule>
  </conditionalFormatting>
  <conditionalFormatting sqref="G111">
    <cfRule type="cellIs" dxfId="0" priority="8" operator="equal">
      <formula>#REF!</formula>
    </cfRule>
  </conditionalFormatting>
  <conditionalFormatting sqref="K111">
    <cfRule type="cellIs" dxfId="0" priority="35" operator="equal">
      <formula>#REF!</formula>
    </cfRule>
  </conditionalFormatting>
  <conditionalFormatting sqref="G112">
    <cfRule type="cellIs" dxfId="0" priority="4" operator="equal">
      <formula>#REF!</formula>
    </cfRule>
  </conditionalFormatting>
  <conditionalFormatting sqref="K112">
    <cfRule type="cellIs" dxfId="0" priority="27" operator="equal">
      <formula>#REF!</formula>
    </cfRule>
  </conditionalFormatting>
  <conditionalFormatting sqref="K114">
    <cfRule type="cellIs" dxfId="0" priority="81" operator="equal">
      <formula>#REF!</formula>
    </cfRule>
  </conditionalFormatting>
  <conditionalFormatting sqref="K115">
    <cfRule type="cellIs" dxfId="0" priority="73" operator="equal">
      <formula>#REF!</formula>
    </cfRule>
  </conditionalFormatting>
  <conditionalFormatting sqref="K116">
    <cfRule type="cellIs" dxfId="0" priority="65" operator="equal">
      <formula>#REF!</formula>
    </cfRule>
  </conditionalFormatting>
  <conditionalFormatting sqref="K117">
    <cfRule type="cellIs" dxfId="0" priority="57" operator="equal">
      <formula>#REF!</formula>
    </cfRule>
  </conditionalFormatting>
  <conditionalFormatting sqref="G118">
    <cfRule type="cellIs" dxfId="0" priority="19" operator="equal">
      <formula>#REF!</formula>
    </cfRule>
  </conditionalFormatting>
  <conditionalFormatting sqref="G119">
    <cfRule type="cellIs" dxfId="0" priority="15" operator="equal">
      <formula>#REF!</formula>
    </cfRule>
  </conditionalFormatting>
  <conditionalFormatting sqref="K119">
    <cfRule type="cellIs" dxfId="0" priority="49" operator="equal">
      <formula>#REF!</formula>
    </cfRule>
  </conditionalFormatting>
  <conditionalFormatting sqref="G120">
    <cfRule type="cellIs" dxfId="0" priority="11" operator="equal">
      <formula>#REF!</formula>
    </cfRule>
  </conditionalFormatting>
  <conditionalFormatting sqref="K120">
    <cfRule type="cellIs" dxfId="0" priority="41" operator="equal">
      <formula>#REF!</formula>
    </cfRule>
  </conditionalFormatting>
  <conditionalFormatting sqref="G121">
    <cfRule type="cellIs" dxfId="0" priority="7" operator="equal">
      <formula>#REF!</formula>
    </cfRule>
  </conditionalFormatting>
  <conditionalFormatting sqref="K121">
    <cfRule type="cellIs" dxfId="0" priority="33" operator="equal">
      <formula>#REF!</formula>
    </cfRule>
  </conditionalFormatting>
  <conditionalFormatting sqref="G122">
    <cfRule type="cellIs" dxfId="0" priority="3" operator="equal">
      <formula>#REF!</formula>
    </cfRule>
  </conditionalFormatting>
  <conditionalFormatting sqref="K122">
    <cfRule type="cellIs" dxfId="0" priority="25" operator="equal">
      <formula>#REF!</formula>
    </cfRule>
  </conditionalFormatting>
  <conditionalFormatting sqref="K124">
    <cfRule type="cellIs" dxfId="0" priority="79" operator="equal">
      <formula>#REF!</formula>
    </cfRule>
  </conditionalFormatting>
  <conditionalFormatting sqref="K125">
    <cfRule type="cellIs" dxfId="0" priority="71" operator="equal">
      <formula>#REF!</formula>
    </cfRule>
  </conditionalFormatting>
  <conditionalFormatting sqref="K126">
    <cfRule type="cellIs" dxfId="0" priority="63" operator="equal">
      <formula>#REF!</formula>
    </cfRule>
  </conditionalFormatting>
  <conditionalFormatting sqref="K127">
    <cfRule type="cellIs" dxfId="0" priority="55" operator="equal">
      <formula>#REF!</formula>
    </cfRule>
  </conditionalFormatting>
  <conditionalFormatting sqref="G128">
    <cfRule type="cellIs" dxfId="0" priority="18" operator="equal">
      <formula>#REF!</formula>
    </cfRule>
  </conditionalFormatting>
  <conditionalFormatting sqref="G129">
    <cfRule type="cellIs" dxfId="0" priority="14" operator="equal">
      <formula>#REF!</formula>
    </cfRule>
  </conditionalFormatting>
  <conditionalFormatting sqref="K129">
    <cfRule type="cellIs" dxfId="0" priority="47" operator="equal">
      <formula>#REF!</formula>
    </cfRule>
  </conditionalFormatting>
  <conditionalFormatting sqref="G130">
    <cfRule type="cellIs" dxfId="0" priority="10" operator="equal">
      <formula>#REF!</formula>
    </cfRule>
  </conditionalFormatting>
  <conditionalFormatting sqref="K130">
    <cfRule type="cellIs" dxfId="0" priority="39" operator="equal">
      <formula>#REF!</formula>
    </cfRule>
  </conditionalFormatting>
  <conditionalFormatting sqref="G131">
    <cfRule type="cellIs" dxfId="0" priority="6" operator="equal">
      <formula>#REF!</formula>
    </cfRule>
  </conditionalFormatting>
  <conditionalFormatting sqref="K131">
    <cfRule type="cellIs" dxfId="0" priority="31" operator="equal">
      <formula>#REF!</formula>
    </cfRule>
  </conditionalFormatting>
  <conditionalFormatting sqref="G132">
    <cfRule type="cellIs" dxfId="0" priority="2" operator="equal">
      <formula>#REF!</formula>
    </cfRule>
  </conditionalFormatting>
  <conditionalFormatting sqref="K132">
    <cfRule type="cellIs" dxfId="0" priority="23" operator="equal">
      <formula>#REF!</formula>
    </cfRule>
  </conditionalFormatting>
  <conditionalFormatting sqref="K134">
    <cfRule type="cellIs" dxfId="0" priority="77" operator="equal">
      <formula>#REF!</formula>
    </cfRule>
  </conditionalFormatting>
  <conditionalFormatting sqref="K135">
    <cfRule type="cellIs" dxfId="0" priority="69" operator="equal">
      <formula>#REF!</formula>
    </cfRule>
  </conditionalFormatting>
  <conditionalFormatting sqref="K136">
    <cfRule type="cellIs" dxfId="0" priority="61" operator="equal">
      <formula>#REF!</formula>
    </cfRule>
  </conditionalFormatting>
  <conditionalFormatting sqref="K137">
    <cfRule type="cellIs" dxfId="0" priority="53" operator="equal">
      <formula>#REF!</formula>
    </cfRule>
  </conditionalFormatting>
  <conditionalFormatting sqref="G138">
    <cfRule type="cellIs" dxfId="0" priority="17" operator="equal">
      <formula>#REF!</formula>
    </cfRule>
  </conditionalFormatting>
  <conditionalFormatting sqref="G139">
    <cfRule type="cellIs" dxfId="0" priority="13" operator="equal">
      <formula>#REF!</formula>
    </cfRule>
  </conditionalFormatting>
  <conditionalFormatting sqref="K139">
    <cfRule type="cellIs" dxfId="0" priority="45" operator="equal">
      <formula>#REF!</formula>
    </cfRule>
  </conditionalFormatting>
  <conditionalFormatting sqref="G140">
    <cfRule type="cellIs" dxfId="0" priority="9" operator="equal">
      <formula>#REF!</formula>
    </cfRule>
  </conditionalFormatting>
  <conditionalFormatting sqref="K140">
    <cfRule type="cellIs" dxfId="0" priority="37" operator="equal">
      <formula>#REF!</formula>
    </cfRule>
  </conditionalFormatting>
  <conditionalFormatting sqref="G141">
    <cfRule type="cellIs" dxfId="0" priority="5" operator="equal">
      <formula>#REF!</formula>
    </cfRule>
  </conditionalFormatting>
  <conditionalFormatting sqref="K141">
    <cfRule type="cellIs" dxfId="0" priority="29" operator="equal">
      <formula>#REF!</formula>
    </cfRule>
  </conditionalFormatting>
  <conditionalFormatting sqref="G142">
    <cfRule type="cellIs" dxfId="0" priority="1" operator="equal">
      <formula>#REF!</formula>
    </cfRule>
  </conditionalFormatting>
  <conditionalFormatting sqref="K142">
    <cfRule type="cellIs" dxfId="0" priority="21" operator="equal">
      <formula>#REF!</formula>
    </cfRule>
  </conditionalFormatting>
  <conditionalFormatting sqref="G101:G102">
    <cfRule type="cellIs" dxfId="0" priority="93" operator="equal">
      <formula>#REF!</formula>
    </cfRule>
  </conditionalFormatting>
  <conditionalFormatting sqref="A2 C2">
    <cfRule type="cellIs" dxfId="0" priority="384" operator="equal">
      <formula>#REF!</formula>
    </cfRule>
  </conditionalFormatting>
  <conditionalFormatting sqref="A3 C3">
    <cfRule type="cellIs" dxfId="0" priority="383" operator="equal">
      <formula>#REF!</formula>
    </cfRule>
  </conditionalFormatting>
  <conditionalFormatting sqref="A4 C4">
    <cfRule type="cellIs" dxfId="0" priority="382" operator="equal">
      <formula>#REF!</formula>
    </cfRule>
  </conditionalFormatting>
  <conditionalFormatting sqref="A5 C5">
    <cfRule type="cellIs" dxfId="0" priority="381" operator="equal">
      <formula>#REF!</formula>
    </cfRule>
  </conditionalFormatting>
  <conditionalFormatting sqref="A6 C6">
    <cfRule type="cellIs" dxfId="0" priority="380" operator="equal">
      <formula>#REF!</formula>
    </cfRule>
  </conditionalFormatting>
  <conditionalFormatting sqref="E7 A7 C7">
    <cfRule type="cellIs" dxfId="0" priority="228" operator="equal">
      <formula>#REF!</formula>
    </cfRule>
  </conditionalFormatting>
  <conditionalFormatting sqref="E8 C8 A8">
    <cfRule type="cellIs" dxfId="0" priority="182" operator="equal">
      <formula>#REF!</formula>
    </cfRule>
  </conditionalFormatting>
  <conditionalFormatting sqref="E9 C9 A9">
    <cfRule type="cellIs" dxfId="0" priority="172" operator="equal">
      <formula>#REF!</formula>
    </cfRule>
  </conditionalFormatting>
  <conditionalFormatting sqref="E10 C10 A10">
    <cfRule type="cellIs" dxfId="0" priority="162" operator="equal">
      <formula>#REF!</formula>
    </cfRule>
  </conditionalFormatting>
  <conditionalFormatting sqref="E11 C11 A11">
    <cfRule type="cellIs" dxfId="0" priority="152" operator="equal">
      <formula>#REF!</formula>
    </cfRule>
  </conditionalFormatting>
  <conditionalFormatting sqref="E17 A12 A17 C12 G12 E12 C17">
    <cfRule type="cellIs" dxfId="0" priority="227" operator="equal">
      <formula>#REF!</formula>
    </cfRule>
  </conditionalFormatting>
  <conditionalFormatting sqref="A13 G13 E13 C13">
    <cfRule type="cellIs" dxfId="0" priority="218" operator="equal">
      <formula>#REF!</formula>
    </cfRule>
  </conditionalFormatting>
  <conditionalFormatting sqref="A14 G14 E14 C14">
    <cfRule type="cellIs" dxfId="0" priority="209" operator="equal">
      <formula>#REF!</formula>
    </cfRule>
  </conditionalFormatting>
  <conditionalFormatting sqref="A15 G15 E15 C15">
    <cfRule type="cellIs" dxfId="0" priority="200" operator="equal">
      <formula>#REF!</formula>
    </cfRule>
  </conditionalFormatting>
  <conditionalFormatting sqref="A16 G16 E16 C16">
    <cfRule type="cellIs" dxfId="0" priority="191" operator="equal">
      <formula>#REF!</formula>
    </cfRule>
  </conditionalFormatting>
  <conditionalFormatting sqref="E18 C18 A18">
    <cfRule type="cellIs" dxfId="0" priority="181" operator="equal">
      <formula>#REF!</formula>
    </cfRule>
  </conditionalFormatting>
  <conditionalFormatting sqref="E19 C19 A19">
    <cfRule type="cellIs" dxfId="0" priority="171" operator="equal">
      <formula>#REF!</formula>
    </cfRule>
  </conditionalFormatting>
  <conditionalFormatting sqref="E20 C20 A20">
    <cfRule type="cellIs" dxfId="0" priority="161" operator="equal">
      <formula>#REF!</formula>
    </cfRule>
  </conditionalFormatting>
  <conditionalFormatting sqref="E21 C21 A21">
    <cfRule type="cellIs" dxfId="0" priority="151" operator="equal">
      <formula>#REF!</formula>
    </cfRule>
  </conditionalFormatting>
  <conditionalFormatting sqref="E27 A22 A27 C22 G22 E22 C27">
    <cfRule type="cellIs" dxfId="0" priority="226" operator="equal">
      <formula>#REF!</formula>
    </cfRule>
  </conditionalFormatting>
  <conditionalFormatting sqref="A23 G23 E23 C23">
    <cfRule type="cellIs" dxfId="0" priority="217" operator="equal">
      <formula>#REF!</formula>
    </cfRule>
  </conditionalFormatting>
  <conditionalFormatting sqref="A24 G24 E24 C24">
    <cfRule type="cellIs" dxfId="0" priority="208" operator="equal">
      <formula>#REF!</formula>
    </cfRule>
  </conditionalFormatting>
  <conditionalFormatting sqref="A25 G25 E25 C25">
    <cfRule type="cellIs" dxfId="0" priority="199" operator="equal">
      <formula>#REF!</formula>
    </cfRule>
  </conditionalFormatting>
  <conditionalFormatting sqref="A26 G26 E26 C26">
    <cfRule type="cellIs" dxfId="0" priority="190" operator="equal">
      <formula>#REF!</formula>
    </cfRule>
  </conditionalFormatting>
  <conditionalFormatting sqref="E28 C28 A28">
    <cfRule type="cellIs" dxfId="0" priority="180" operator="equal">
      <formula>#REF!</formula>
    </cfRule>
  </conditionalFormatting>
  <conditionalFormatting sqref="E29 C29 A29">
    <cfRule type="cellIs" dxfId="0" priority="170" operator="equal">
      <formula>#REF!</formula>
    </cfRule>
  </conditionalFormatting>
  <conditionalFormatting sqref="E30 C30 A30">
    <cfRule type="cellIs" dxfId="0" priority="160" operator="equal">
      <formula>#REF!</formula>
    </cfRule>
  </conditionalFormatting>
  <conditionalFormatting sqref="E31 C31 A31">
    <cfRule type="cellIs" dxfId="0" priority="150" operator="equal">
      <formula>#REF!</formula>
    </cfRule>
  </conditionalFormatting>
  <conditionalFormatting sqref="E37 A32 A37 C32 G32 E32 C37">
    <cfRule type="cellIs" dxfId="0" priority="225" operator="equal">
      <formula>#REF!</formula>
    </cfRule>
  </conditionalFormatting>
  <conditionalFormatting sqref="A33 G33 E33 C33">
    <cfRule type="cellIs" dxfId="0" priority="216" operator="equal">
      <formula>#REF!</formula>
    </cfRule>
  </conditionalFormatting>
  <conditionalFormatting sqref="A34 G34 E34 C34">
    <cfRule type="cellIs" dxfId="0" priority="207" operator="equal">
      <formula>#REF!</formula>
    </cfRule>
  </conditionalFormatting>
  <conditionalFormatting sqref="A35 G35 E35 C35">
    <cfRule type="cellIs" dxfId="0" priority="198" operator="equal">
      <formula>#REF!</formula>
    </cfRule>
  </conditionalFormatting>
  <conditionalFormatting sqref="A36 G36 E36 C36">
    <cfRule type="cellIs" dxfId="0" priority="189" operator="equal">
      <formula>#REF!</formula>
    </cfRule>
  </conditionalFormatting>
  <conditionalFormatting sqref="E38 C38 A38">
    <cfRule type="cellIs" dxfId="0" priority="179" operator="equal">
      <formula>#REF!</formula>
    </cfRule>
  </conditionalFormatting>
  <conditionalFormatting sqref="E39 C39 A39">
    <cfRule type="cellIs" dxfId="0" priority="169" operator="equal">
      <formula>#REF!</formula>
    </cfRule>
  </conditionalFormatting>
  <conditionalFormatting sqref="E40 C40 A40">
    <cfRule type="cellIs" dxfId="0" priority="159" operator="equal">
      <formula>#REF!</formula>
    </cfRule>
  </conditionalFormatting>
  <conditionalFormatting sqref="E41 C41 A41">
    <cfRule type="cellIs" dxfId="0" priority="149" operator="equal">
      <formula>#REF!</formula>
    </cfRule>
  </conditionalFormatting>
  <conditionalFormatting sqref="E47 A42 A47 C42 G42 E42 C47">
    <cfRule type="cellIs" dxfId="0" priority="224" operator="equal">
      <formula>#REF!</formula>
    </cfRule>
  </conditionalFormatting>
  <conditionalFormatting sqref="A43 G43 E43 C43">
    <cfRule type="cellIs" dxfId="0" priority="215" operator="equal">
      <formula>#REF!</formula>
    </cfRule>
  </conditionalFormatting>
  <conditionalFormatting sqref="A44 G44 E44 C44">
    <cfRule type="cellIs" dxfId="0" priority="206" operator="equal">
      <formula>#REF!</formula>
    </cfRule>
  </conditionalFormatting>
  <conditionalFormatting sqref="A45 G45 E45 C45">
    <cfRule type="cellIs" dxfId="0" priority="197" operator="equal">
      <formula>#REF!</formula>
    </cfRule>
  </conditionalFormatting>
  <conditionalFormatting sqref="A46 G46 E46 C46">
    <cfRule type="cellIs" dxfId="0" priority="188" operator="equal">
      <formula>#REF!</formula>
    </cfRule>
  </conditionalFormatting>
  <conditionalFormatting sqref="E48 C48 A48">
    <cfRule type="cellIs" dxfId="0" priority="178" operator="equal">
      <formula>#REF!</formula>
    </cfRule>
  </conditionalFormatting>
  <conditionalFormatting sqref="E49 C49 A49">
    <cfRule type="cellIs" dxfId="0" priority="168" operator="equal">
      <formula>#REF!</formula>
    </cfRule>
  </conditionalFormatting>
  <conditionalFormatting sqref="E50 C50 A50">
    <cfRule type="cellIs" dxfId="0" priority="158" operator="equal">
      <formula>#REF!</formula>
    </cfRule>
  </conditionalFormatting>
  <conditionalFormatting sqref="E51 C51 A51">
    <cfRule type="cellIs" dxfId="0" priority="148" operator="equal">
      <formula>#REF!</formula>
    </cfRule>
  </conditionalFormatting>
  <conditionalFormatting sqref="E57 A52 A57 C52 G52 E52 C57">
    <cfRule type="cellIs" dxfId="0" priority="223" operator="equal">
      <formula>#REF!</formula>
    </cfRule>
  </conditionalFormatting>
  <conditionalFormatting sqref="A53 G53 E53 C53">
    <cfRule type="cellIs" dxfId="0" priority="214" operator="equal">
      <formula>#REF!</formula>
    </cfRule>
  </conditionalFormatting>
  <conditionalFormatting sqref="A54 G54 E54 C54">
    <cfRule type="cellIs" dxfId="0" priority="205" operator="equal">
      <formula>#REF!</formula>
    </cfRule>
  </conditionalFormatting>
  <conditionalFormatting sqref="A55 G55 E55 C55">
    <cfRule type="cellIs" dxfId="0" priority="196" operator="equal">
      <formula>#REF!</formula>
    </cfRule>
  </conditionalFormatting>
  <conditionalFormatting sqref="A56 G56 E56 C56">
    <cfRule type="cellIs" dxfId="0" priority="187" operator="equal">
      <formula>#REF!</formula>
    </cfRule>
  </conditionalFormatting>
  <conditionalFormatting sqref="E58 C58 A58">
    <cfRule type="cellIs" dxfId="0" priority="177" operator="equal">
      <formula>#REF!</formula>
    </cfRule>
  </conditionalFormatting>
  <conditionalFormatting sqref="E59 C59 A59">
    <cfRule type="cellIs" dxfId="0" priority="167" operator="equal">
      <formula>#REF!</formula>
    </cfRule>
  </conditionalFormatting>
  <conditionalFormatting sqref="E60 C60 A60">
    <cfRule type="cellIs" dxfId="0" priority="157" operator="equal">
      <formula>#REF!</formula>
    </cfRule>
  </conditionalFormatting>
  <conditionalFormatting sqref="E61 C61 A61">
    <cfRule type="cellIs" dxfId="0" priority="147" operator="equal">
      <formula>#REF!</formula>
    </cfRule>
  </conditionalFormatting>
  <conditionalFormatting sqref="E67 A62 A67 C62 G62 E62 C67">
    <cfRule type="cellIs" dxfId="0" priority="222" operator="equal">
      <formula>#REF!</formula>
    </cfRule>
  </conditionalFormatting>
  <conditionalFormatting sqref="A63 G63 E63 C63">
    <cfRule type="cellIs" dxfId="0" priority="213" operator="equal">
      <formula>#REF!</formula>
    </cfRule>
  </conditionalFormatting>
  <conditionalFormatting sqref="A64 G64 E64 C64">
    <cfRule type="cellIs" dxfId="0" priority="204" operator="equal">
      <formula>#REF!</formula>
    </cfRule>
  </conditionalFormatting>
  <conditionalFormatting sqref="A65 G65 E65 C65">
    <cfRule type="cellIs" dxfId="0" priority="195" operator="equal">
      <formula>#REF!</formula>
    </cfRule>
  </conditionalFormatting>
  <conditionalFormatting sqref="A66 G66 E66 C66">
    <cfRule type="cellIs" dxfId="0" priority="186" operator="equal">
      <formula>#REF!</formula>
    </cfRule>
  </conditionalFormatting>
  <conditionalFormatting sqref="E68 C68 A68">
    <cfRule type="cellIs" dxfId="0" priority="176" operator="equal">
      <formula>#REF!</formula>
    </cfRule>
  </conditionalFormatting>
  <conditionalFormatting sqref="E69 C69 A69">
    <cfRule type="cellIs" dxfId="0" priority="166" operator="equal">
      <formula>#REF!</formula>
    </cfRule>
  </conditionalFormatting>
  <conditionalFormatting sqref="E70 C70 A70">
    <cfRule type="cellIs" dxfId="0" priority="156" operator="equal">
      <formula>#REF!</formula>
    </cfRule>
  </conditionalFormatting>
  <conditionalFormatting sqref="E71 C71 A71">
    <cfRule type="cellIs" dxfId="0" priority="146" operator="equal">
      <formula>#REF!</formula>
    </cfRule>
  </conditionalFormatting>
  <conditionalFormatting sqref="E77 A72 A77 C72 G72 E72 C77">
    <cfRule type="cellIs" dxfId="0" priority="221" operator="equal">
      <formula>#REF!</formula>
    </cfRule>
  </conditionalFormatting>
  <conditionalFormatting sqref="A73 G73 E73 C73">
    <cfRule type="cellIs" dxfId="0" priority="212" operator="equal">
      <formula>#REF!</formula>
    </cfRule>
  </conditionalFormatting>
  <conditionalFormatting sqref="A74 G74 E74 C74">
    <cfRule type="cellIs" dxfId="0" priority="203" operator="equal">
      <formula>#REF!</formula>
    </cfRule>
  </conditionalFormatting>
  <conditionalFormatting sqref="A75 G75 E75 C75">
    <cfRule type="cellIs" dxfId="0" priority="194" operator="equal">
      <formula>#REF!</formula>
    </cfRule>
  </conditionalFormatting>
  <conditionalFormatting sqref="A76 G76 E76 C76">
    <cfRule type="cellIs" dxfId="0" priority="185" operator="equal">
      <formula>#REF!</formula>
    </cfRule>
  </conditionalFormatting>
  <conditionalFormatting sqref="E78 C78 A78">
    <cfRule type="cellIs" dxfId="0" priority="175" operator="equal">
      <formula>#REF!</formula>
    </cfRule>
  </conditionalFormatting>
  <conditionalFormatting sqref="E79 C79 A79">
    <cfRule type="cellIs" dxfId="0" priority="165" operator="equal">
      <formula>#REF!</formula>
    </cfRule>
  </conditionalFormatting>
  <conditionalFormatting sqref="E80 C80 A80">
    <cfRule type="cellIs" dxfId="0" priority="155" operator="equal">
      <formula>#REF!</formula>
    </cfRule>
  </conditionalFormatting>
  <conditionalFormatting sqref="E81 C81 A81">
    <cfRule type="cellIs" dxfId="0" priority="145" operator="equal">
      <formula>#REF!</formula>
    </cfRule>
  </conditionalFormatting>
  <conditionalFormatting sqref="E87 A82 A87 C82 G82 E82 C87">
    <cfRule type="cellIs" dxfId="0" priority="220" operator="equal">
      <formula>#REF!</formula>
    </cfRule>
  </conditionalFormatting>
  <conditionalFormatting sqref="A83 G83 E83 C83">
    <cfRule type="cellIs" dxfId="0" priority="211" operator="equal">
      <formula>#REF!</formula>
    </cfRule>
  </conditionalFormatting>
  <conditionalFormatting sqref="A84 G84 E84 C84">
    <cfRule type="cellIs" dxfId="0" priority="202" operator="equal">
      <formula>#REF!</formula>
    </cfRule>
  </conditionalFormatting>
  <conditionalFormatting sqref="A85 G85 E85 C85">
    <cfRule type="cellIs" dxfId="0" priority="193" operator="equal">
      <formula>#REF!</formula>
    </cfRule>
  </conditionalFormatting>
  <conditionalFormatting sqref="A86 G86 E86 C86">
    <cfRule type="cellIs" dxfId="0" priority="184" operator="equal">
      <formula>#REF!</formula>
    </cfRule>
  </conditionalFormatting>
  <conditionalFormatting sqref="E88 C88 A88">
    <cfRule type="cellIs" dxfId="0" priority="174" operator="equal">
      <formula>#REF!</formula>
    </cfRule>
  </conditionalFormatting>
  <conditionalFormatting sqref="E89 C89 A89">
    <cfRule type="cellIs" dxfId="0" priority="164" operator="equal">
      <formula>#REF!</formula>
    </cfRule>
  </conditionalFormatting>
  <conditionalFormatting sqref="E90 C90 A90">
    <cfRule type="cellIs" dxfId="0" priority="154" operator="equal">
      <formula>#REF!</formula>
    </cfRule>
  </conditionalFormatting>
  <conditionalFormatting sqref="E91 C91 A91">
    <cfRule type="cellIs" dxfId="0" priority="144" operator="equal">
      <formula>#REF!</formula>
    </cfRule>
  </conditionalFormatting>
  <conditionalFormatting sqref="E97 A92 A97 C92 G92 E92 C97">
    <cfRule type="cellIs" dxfId="0" priority="219" operator="equal">
      <formula>#REF!</formula>
    </cfRule>
  </conditionalFormatting>
  <conditionalFormatting sqref="A93 G93 E93 C93">
    <cfRule type="cellIs" dxfId="0" priority="210" operator="equal">
      <formula>#REF!</formula>
    </cfRule>
  </conditionalFormatting>
  <conditionalFormatting sqref="A94 G94 E94 C94">
    <cfRule type="cellIs" dxfId="0" priority="201" operator="equal">
      <formula>#REF!</formula>
    </cfRule>
  </conditionalFormatting>
  <conditionalFormatting sqref="A95 G95 E95 C95">
    <cfRule type="cellIs" dxfId="0" priority="192" operator="equal">
      <formula>#REF!</formula>
    </cfRule>
  </conditionalFormatting>
  <conditionalFormatting sqref="A96 G96 E96 C96">
    <cfRule type="cellIs" dxfId="0" priority="183" operator="equal">
      <formula>#REF!</formula>
    </cfRule>
  </conditionalFormatting>
  <conditionalFormatting sqref="E98 C98 A98">
    <cfRule type="cellIs" dxfId="0" priority="173" operator="equal">
      <formula>#REF!</formula>
    </cfRule>
  </conditionalFormatting>
  <conditionalFormatting sqref="E99 C99 A99">
    <cfRule type="cellIs" dxfId="0" priority="163" operator="equal">
      <formula>#REF!</formula>
    </cfRule>
  </conditionalFormatting>
  <conditionalFormatting sqref="E100 C100 A100">
    <cfRule type="cellIs" dxfId="0" priority="153" operator="equal">
      <formula>#REF!</formula>
    </cfRule>
  </conditionalFormatting>
  <conditionalFormatting sqref="E101:E102 C101:C102 A101:A102">
    <cfRule type="cellIs" dxfId="0" priority="143" operator="equal">
      <formula>#REF!</formula>
    </cfRule>
  </conditionalFormatting>
  <conditionalFormatting sqref="E108 C108 E103 G103 C103 A108 A103">
    <cfRule type="cellIs" dxfId="0" priority="92" operator="equal">
      <formula>#REF!</formula>
    </cfRule>
  </conditionalFormatting>
  <conditionalFormatting sqref="K103 K108">
    <cfRule type="cellIs" dxfId="0" priority="91" operator="equal">
      <formula>#REF!</formula>
    </cfRule>
  </conditionalFormatting>
  <conditionalFormatting sqref="A104 C104 E104 G104">
    <cfRule type="cellIs" dxfId="0" priority="84" operator="equal">
      <formula>#REF!</formula>
    </cfRule>
  </conditionalFormatting>
  <conditionalFormatting sqref="A105 C105 E105 G105">
    <cfRule type="cellIs" dxfId="0" priority="76" operator="equal">
      <formula>#REF!</formula>
    </cfRule>
  </conditionalFormatting>
  <conditionalFormatting sqref="A106 C106 E106 G106">
    <cfRule type="cellIs" dxfId="0" priority="68" operator="equal">
      <formula>#REF!</formula>
    </cfRule>
  </conditionalFormatting>
  <conditionalFormatting sqref="A107 C107 E107 G107">
    <cfRule type="cellIs" dxfId="0" priority="60" operator="equal">
      <formula>#REF!</formula>
    </cfRule>
  </conditionalFormatting>
  <conditionalFormatting sqref="E109 A109 C109">
    <cfRule type="cellIs" dxfId="0" priority="52" operator="equal">
      <formula>#REF!</formula>
    </cfRule>
  </conditionalFormatting>
  <conditionalFormatting sqref="E110 A110 C110">
    <cfRule type="cellIs" dxfId="0" priority="44" operator="equal">
      <formula>#REF!</formula>
    </cfRule>
  </conditionalFormatting>
  <conditionalFormatting sqref="E111 A111 C111">
    <cfRule type="cellIs" dxfId="0" priority="36" operator="equal">
      <formula>#REF!</formula>
    </cfRule>
  </conditionalFormatting>
  <conditionalFormatting sqref="E112 A112 C112">
    <cfRule type="cellIs" dxfId="0" priority="28" operator="equal">
      <formula>#REF!</formula>
    </cfRule>
  </conditionalFormatting>
  <conditionalFormatting sqref="E118 C118 E113 G113 C113 A118 A113">
    <cfRule type="cellIs" dxfId="0" priority="90" operator="equal">
      <formula>#REF!</formula>
    </cfRule>
  </conditionalFormatting>
  <conditionalFormatting sqref="K113 K118">
    <cfRule type="cellIs" dxfId="0" priority="89" operator="equal">
      <formula>#REF!</formula>
    </cfRule>
  </conditionalFormatting>
  <conditionalFormatting sqref="A114 C114 E114 G114">
    <cfRule type="cellIs" dxfId="0" priority="82" operator="equal">
      <formula>#REF!</formula>
    </cfRule>
  </conditionalFormatting>
  <conditionalFormatting sqref="A115 C115 E115 G115">
    <cfRule type="cellIs" dxfId="0" priority="74" operator="equal">
      <formula>#REF!</formula>
    </cfRule>
  </conditionalFormatting>
  <conditionalFormatting sqref="A116 C116 E116 G116">
    <cfRule type="cellIs" dxfId="0" priority="66" operator="equal">
      <formula>#REF!</formula>
    </cfRule>
  </conditionalFormatting>
  <conditionalFormatting sqref="A117 C117 E117 G117">
    <cfRule type="cellIs" dxfId="0" priority="58" operator="equal">
      <formula>#REF!</formula>
    </cfRule>
  </conditionalFormatting>
  <conditionalFormatting sqref="E119 A119 C119">
    <cfRule type="cellIs" dxfId="0" priority="50" operator="equal">
      <formula>#REF!</formula>
    </cfRule>
  </conditionalFormatting>
  <conditionalFormatting sqref="E120 A120 C120">
    <cfRule type="cellIs" dxfId="0" priority="42" operator="equal">
      <formula>#REF!</formula>
    </cfRule>
  </conditionalFormatting>
  <conditionalFormatting sqref="E121 A121 C121">
    <cfRule type="cellIs" dxfId="0" priority="34" operator="equal">
      <formula>#REF!</formula>
    </cfRule>
  </conditionalFormatting>
  <conditionalFormatting sqref="E122 A122 C122">
    <cfRule type="cellIs" dxfId="0" priority="26" operator="equal">
      <formula>#REF!</formula>
    </cfRule>
  </conditionalFormatting>
  <conditionalFormatting sqref="E128 C128 E123 G123 C123 A128 A123">
    <cfRule type="cellIs" dxfId="0" priority="88" operator="equal">
      <formula>#REF!</formula>
    </cfRule>
  </conditionalFormatting>
  <conditionalFormatting sqref="K123 K128">
    <cfRule type="cellIs" dxfId="0" priority="87" operator="equal">
      <formula>#REF!</formula>
    </cfRule>
  </conditionalFormatting>
  <conditionalFormatting sqref="A124 C124 E124 G124">
    <cfRule type="cellIs" dxfId="0" priority="80" operator="equal">
      <formula>#REF!</formula>
    </cfRule>
  </conditionalFormatting>
  <conditionalFormatting sqref="A125 C125 E125 G125">
    <cfRule type="cellIs" dxfId="0" priority="72" operator="equal">
      <formula>#REF!</formula>
    </cfRule>
  </conditionalFormatting>
  <conditionalFormatting sqref="A126 C126 E126 G126">
    <cfRule type="cellIs" dxfId="0" priority="64" operator="equal">
      <formula>#REF!</formula>
    </cfRule>
  </conditionalFormatting>
  <conditionalFormatting sqref="A127 C127 E127 G127">
    <cfRule type="cellIs" dxfId="0" priority="56" operator="equal">
      <formula>#REF!</formula>
    </cfRule>
  </conditionalFormatting>
  <conditionalFormatting sqref="E129 A129 C129">
    <cfRule type="cellIs" dxfId="0" priority="48" operator="equal">
      <formula>#REF!</formula>
    </cfRule>
  </conditionalFormatting>
  <conditionalFormatting sqref="E130 A130 C130">
    <cfRule type="cellIs" dxfId="0" priority="40" operator="equal">
      <formula>#REF!</formula>
    </cfRule>
  </conditionalFormatting>
  <conditionalFormatting sqref="E131 A131 C131">
    <cfRule type="cellIs" dxfId="0" priority="32" operator="equal">
      <formula>#REF!</formula>
    </cfRule>
  </conditionalFormatting>
  <conditionalFormatting sqref="E132 A132 C132">
    <cfRule type="cellIs" dxfId="0" priority="24" operator="equal">
      <formula>#REF!</formula>
    </cfRule>
  </conditionalFormatting>
  <conditionalFormatting sqref="E138 C138 E133 G133 C133 A138 A133">
    <cfRule type="cellIs" dxfId="0" priority="86" operator="equal">
      <formula>#REF!</formula>
    </cfRule>
  </conditionalFormatting>
  <conditionalFormatting sqref="K133 K138">
    <cfRule type="cellIs" dxfId="0" priority="85" operator="equal">
      <formula>#REF!</formula>
    </cfRule>
  </conditionalFormatting>
  <conditionalFormatting sqref="A134 C134 E134 G134">
    <cfRule type="cellIs" dxfId="0" priority="78" operator="equal">
      <formula>#REF!</formula>
    </cfRule>
  </conditionalFormatting>
  <conditionalFormatting sqref="A135 C135 E135 G135">
    <cfRule type="cellIs" dxfId="0" priority="70" operator="equal">
      <formula>#REF!</formula>
    </cfRule>
  </conditionalFormatting>
  <conditionalFormatting sqref="A136 C136 E136 G136">
    <cfRule type="cellIs" dxfId="0" priority="62" operator="equal">
      <formula>#REF!</formula>
    </cfRule>
  </conditionalFormatting>
  <conditionalFormatting sqref="A137 C137 E137 G137">
    <cfRule type="cellIs" dxfId="0" priority="54" operator="equal">
      <formula>#REF!</formula>
    </cfRule>
  </conditionalFormatting>
  <conditionalFormatting sqref="E139 A139 C139">
    <cfRule type="cellIs" dxfId="0" priority="46" operator="equal">
      <formula>#REF!</formula>
    </cfRule>
  </conditionalFormatting>
  <conditionalFormatting sqref="E140 A140 C140">
    <cfRule type="cellIs" dxfId="0" priority="38" operator="equal">
      <formula>#REF!</formula>
    </cfRule>
  </conditionalFormatting>
  <conditionalFormatting sqref="E141 A141 C141">
    <cfRule type="cellIs" dxfId="0" priority="30" operator="equal">
      <formula>#REF!</formula>
    </cfRule>
  </conditionalFormatting>
  <conditionalFormatting sqref="E142 A142 C142">
    <cfRule type="cellIs" dxfId="0" priority="22" operator="equal">
      <formula>#REF!</formula>
    </cfRule>
  </conditionalFormatting>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Q54"/>
  <sheetViews>
    <sheetView topLeftCell="A7" workbookViewId="0">
      <selection activeCell="K32" sqref="K32"/>
    </sheetView>
  </sheetViews>
  <sheetFormatPr defaultColWidth="9" defaultRowHeight="13.5"/>
  <cols>
    <col min="1" max="1" width="13.875" customWidth="1"/>
    <col min="2" max="2" width="18.125" customWidth="1"/>
    <col min="3" max="3" width="10.625" customWidth="1"/>
    <col min="5" max="5" width="16.25" customWidth="1"/>
    <col min="8" max="8" width="13.25" customWidth="1"/>
    <col min="9" max="9" width="17.5" customWidth="1"/>
    <col min="10" max="10" width="9" customWidth="1" style="1"/>
    <col min="11" max="11" width="52.625" customWidth="1"/>
  </cols>
  <sheetData>
    <row r="1">
      <c r="A1" s="2" t="s">
        <v>429</v>
      </c>
      <c r="B1" s="3" t="s">
        <v>430</v>
      </c>
      <c r="C1" s="2" t="s">
        <v>431</v>
      </c>
      <c r="D1" s="2" t="s">
        <v>432</v>
      </c>
      <c r="E1" s="2"/>
      <c r="F1" s="2"/>
      <c r="G1" s="2"/>
      <c r="H1" s="2"/>
      <c r="I1" s="2"/>
    </row>
    <row r="2" ht="16.5">
      <c r="A2" s="4" t="s">
        <v>433</v>
      </c>
      <c r="B2" s="5" t="s">
        <v>434</v>
      </c>
      <c r="C2" s="4">
        <v>3</v>
      </c>
      <c r="D2" s="6" t="s">
        <v>435</v>
      </c>
      <c r="E2" s="7" t="s">
        <v>269</v>
      </c>
      <c r="F2" s="8" t="s">
        <v>436</v>
      </c>
      <c r="G2" s="8" t="s">
        <v>437</v>
      </c>
      <c r="H2" s="8" t="s">
        <v>250</v>
      </c>
      <c r="I2" s="8" t="s">
        <v>251</v>
      </c>
      <c r="J2" s="1" t="e">
        <f>VLOOKUP(A2,[1]Sheet1!$E:$F,2,FALSE)</f>
        <v>#N/A</v>
      </c>
      <c r="K2" s="0" t="str">
        <f>VLOOKUP(D2,[1]Sheet1!$E:$F,2,FALSE)</f>
        <v>泪滴草药</v>
      </c>
      <c r="L2" s="0" t="str">
        <f>VLOOKUP(E2,[1]Sheet1!$E:$F,2,FALSE)</f>
        <v>白色草药花</v>
      </c>
      <c r="M2" s="0" t="str">
        <f>VLOOKUP(F2,[1]Sheet1!$E:$F,2,FALSE)</f>
        <v>草药根</v>
      </c>
      <c r="N2" s="0" t="str">
        <f>VLOOKUP(G2,[1]Sheet1!$E:$F,2,FALSE)</f>
        <v>草药茎</v>
      </c>
      <c r="O2" s="0" t="str">
        <f>VLOOKUP(H2,[1]Sheet1!$E:$F,2,FALSE)</f>
        <v>玻璃试管</v>
      </c>
      <c r="P2" s="0" t="str">
        <f>VLOOKUP(I2,[1]Sheet1!$E:$F,2,FALSE)</f>
        <v>玻璃烧瓶</v>
      </c>
      <c r="Q2" s="0" t="str">
        <f>K2&amp;","&amp;L2&amp;","&amp;M2&amp;","&amp;N2&amp;","&amp;O2&amp;","&amp;P2</f>
        <v>泪滴草药,白色草药花,草药根,草药茎,玻璃试管,玻璃烧瓶</v>
      </c>
    </row>
    <row r="3" ht="16.5">
      <c r="A3" s="4" t="s">
        <v>438</v>
      </c>
      <c r="B3" s="5" t="s">
        <v>439</v>
      </c>
      <c r="C3" s="4">
        <v>11</v>
      </c>
      <c r="D3" s="9" t="s">
        <v>435</v>
      </c>
      <c r="E3" s="10" t="s">
        <v>274</v>
      </c>
      <c r="F3" s="7" t="s">
        <v>436</v>
      </c>
      <c r="G3" s="7" t="s">
        <v>437</v>
      </c>
      <c r="H3" s="7" t="s">
        <v>260</v>
      </c>
      <c r="I3" s="7" t="s">
        <v>261</v>
      </c>
      <c r="J3" s="1" t="e">
        <f>VLOOKUP(A3,[1]Sheet1!$E:$F,2,FALSE)</f>
        <v>#N/A</v>
      </c>
      <c r="K3" s="0" t="str">
        <f>VLOOKUP(D3,[1]Sheet1!$E:$F,2,FALSE)</f>
        <v>泪滴草药</v>
      </c>
      <c r="L3" s="0" t="str">
        <f>VLOOKUP(E3,[1]Sheet1!$E:$F,2,FALSE)</f>
        <v>蓝色草药花</v>
      </c>
      <c r="M3" s="0" t="str">
        <f>VLOOKUP(F3,[1]Sheet1!$E:$F,2,FALSE)</f>
        <v>草药根</v>
      </c>
      <c r="N3" s="0" t="str">
        <f>VLOOKUP(G3,[1]Sheet1!$E:$F,2,FALSE)</f>
        <v>草药茎</v>
      </c>
      <c r="O3" s="0" t="str">
        <f>VLOOKUP(H3,[1]Sheet1!$E:$F,2,FALSE)</f>
        <v>水晶试管</v>
      </c>
      <c r="P3" s="0" t="str">
        <f>VLOOKUP(I3,[1]Sheet1!$E:$F,2,FALSE)</f>
        <v>水晶烧瓶</v>
      </c>
    </row>
    <row r="4" ht="16.5">
      <c r="A4" s="4" t="s">
        <v>440</v>
      </c>
      <c r="B4" s="5" t="s">
        <v>441</v>
      </c>
      <c r="C4" s="4">
        <v>10</v>
      </c>
      <c r="D4" s="9" t="s">
        <v>435</v>
      </c>
      <c r="E4" s="11" t="s">
        <v>271</v>
      </c>
      <c r="F4" s="7" t="s">
        <v>436</v>
      </c>
      <c r="G4" s="7" t="s">
        <v>437</v>
      </c>
      <c r="H4" s="7" t="s">
        <v>255</v>
      </c>
      <c r="I4" s="7" t="s">
        <v>256</v>
      </c>
      <c r="J4" s="1" t="e">
        <f>VLOOKUP(A4,[1]Sheet1!$E:$F,2,FALSE)</f>
        <v>#N/A</v>
      </c>
      <c r="K4" s="0" t="str">
        <f>VLOOKUP(D4,[1]Sheet1!$E:$F,2,FALSE)</f>
        <v>泪滴草药</v>
      </c>
      <c r="L4" s="0" t="str">
        <f>VLOOKUP(E4,[1]Sheet1!$E:$F,2,FALSE)</f>
        <v>绿色草药花</v>
      </c>
      <c r="M4" s="0" t="str">
        <f>VLOOKUP(F4,[1]Sheet1!$E:$F,2,FALSE)</f>
        <v>草药根</v>
      </c>
      <c r="N4" s="0" t="str">
        <f>VLOOKUP(G4,[1]Sheet1!$E:$F,2,FALSE)</f>
        <v>草药茎</v>
      </c>
      <c r="O4" s="0" t="str">
        <f>VLOOKUP(H4,[1]Sheet1!$E:$F,2,FALSE)</f>
        <v>强化玻璃试管</v>
      </c>
      <c r="P4" s="0" t="str">
        <f>VLOOKUP(I4,[1]Sheet1!$E:$F,2,FALSE)</f>
        <v>强化玻璃烧瓶</v>
      </c>
    </row>
    <row r="5" ht="16.5">
      <c r="A5" s="4" t="s">
        <v>442</v>
      </c>
      <c r="B5" s="5" t="s">
        <v>443</v>
      </c>
      <c r="C5" s="4">
        <v>13</v>
      </c>
      <c r="D5" s="9" t="s">
        <v>435</v>
      </c>
      <c r="E5" s="10" t="s">
        <v>285</v>
      </c>
      <c r="F5" s="7" t="s">
        <v>436</v>
      </c>
      <c r="G5" s="7" t="s">
        <v>437</v>
      </c>
      <c r="H5" s="7" t="s">
        <v>255</v>
      </c>
      <c r="I5" s="7" t="s">
        <v>256</v>
      </c>
      <c r="J5" s="1" t="e">
        <f>VLOOKUP(A5,[1]Sheet1!$E:$F,2,FALSE)</f>
        <v>#N/A</v>
      </c>
      <c r="K5" s="0" t="str">
        <f>VLOOKUP(D5,[1]Sheet1!$E:$F,2,FALSE)</f>
        <v>泪滴草药</v>
      </c>
      <c r="L5" s="0" t="e">
        <f>VLOOKUP(E5,[1]Sheet1!$E:$F,2,FALSE)</f>
        <v>#N/A</v>
      </c>
      <c r="M5" s="0" t="str">
        <f>VLOOKUP(F5,[1]Sheet1!$E:$F,2,FALSE)</f>
        <v>草药根</v>
      </c>
      <c r="N5" s="0" t="str">
        <f>VLOOKUP(G5,[1]Sheet1!$E:$F,2,FALSE)</f>
        <v>草药茎</v>
      </c>
      <c r="O5" s="0" t="str">
        <f>VLOOKUP(H5,[1]Sheet1!$E:$F,2,FALSE)</f>
        <v>强化玻璃试管</v>
      </c>
      <c r="P5" s="0" t="str">
        <f>VLOOKUP(I5,[1]Sheet1!$E:$F,2,FALSE)</f>
        <v>强化玻璃烧瓶</v>
      </c>
    </row>
    <row r="6" ht="16.5">
      <c r="A6" s="4" t="s">
        <v>444</v>
      </c>
      <c r="B6" s="5" t="s">
        <v>445</v>
      </c>
      <c r="C6" s="4">
        <v>6</v>
      </c>
      <c r="D6" s="9" t="s">
        <v>435</v>
      </c>
      <c r="E6" s="11" t="s">
        <v>283</v>
      </c>
      <c r="F6" s="7" t="s">
        <v>436</v>
      </c>
      <c r="G6" s="7" t="s">
        <v>437</v>
      </c>
      <c r="H6" s="7" t="s">
        <v>260</v>
      </c>
      <c r="I6" s="7" t="s">
        <v>261</v>
      </c>
      <c r="J6" s="1" t="e">
        <f>VLOOKUP(A6,[1]Sheet1!$E:$F,2,FALSE)</f>
        <v>#N/A</v>
      </c>
      <c r="K6" s="0" t="str">
        <f>VLOOKUP(D6,[1]Sheet1!$E:$F,2,FALSE)</f>
        <v>泪滴草药</v>
      </c>
      <c r="L6" s="0" t="e">
        <f>VLOOKUP(E6,[1]Sheet1!$E:$F,2,FALSE)</f>
        <v>#N/A</v>
      </c>
      <c r="M6" s="0" t="str">
        <f>VLOOKUP(F6,[1]Sheet1!$E:$F,2,FALSE)</f>
        <v>草药根</v>
      </c>
      <c r="N6" s="0" t="str">
        <f>VLOOKUP(G6,[1]Sheet1!$E:$F,2,FALSE)</f>
        <v>草药茎</v>
      </c>
      <c r="O6" s="0" t="str">
        <f>VLOOKUP(H6,[1]Sheet1!$E:$F,2,FALSE)</f>
        <v>水晶试管</v>
      </c>
      <c r="P6" s="0" t="str">
        <f>VLOOKUP(I6,[1]Sheet1!$E:$F,2,FALSE)</f>
        <v>水晶烧瓶</v>
      </c>
    </row>
    <row r="7" ht="16.5">
      <c r="A7" s="4" t="s">
        <v>446</v>
      </c>
      <c r="B7" s="5" t="s">
        <v>447</v>
      </c>
      <c r="C7" s="4">
        <v>3</v>
      </c>
      <c r="D7" s="9" t="s">
        <v>435</v>
      </c>
      <c r="E7" s="7" t="s">
        <v>281</v>
      </c>
      <c r="F7" s="7" t="s">
        <v>436</v>
      </c>
      <c r="G7" s="7" t="s">
        <v>437</v>
      </c>
      <c r="H7" s="7" t="s">
        <v>250</v>
      </c>
      <c r="I7" s="7" t="s">
        <v>251</v>
      </c>
      <c r="J7" s="1" t="e">
        <f>VLOOKUP(A7,[1]Sheet1!$E:$F,2,FALSE)</f>
        <v>#N/A</v>
      </c>
      <c r="K7" s="0" t="str">
        <f>VLOOKUP(D7,[1]Sheet1!$E:$F,2,FALSE)</f>
        <v>泪滴草药</v>
      </c>
      <c r="L7" s="0" t="e">
        <f>VLOOKUP(E7,[1]Sheet1!$E:$F,2,FALSE)</f>
        <v>#N/A</v>
      </c>
      <c r="M7" s="0" t="str">
        <f>VLOOKUP(F7,[1]Sheet1!$E:$F,2,FALSE)</f>
        <v>草药根</v>
      </c>
      <c r="N7" s="0" t="str">
        <f>VLOOKUP(G7,[1]Sheet1!$E:$F,2,FALSE)</f>
        <v>草药茎</v>
      </c>
      <c r="O7" s="0" t="str">
        <f>VLOOKUP(H7,[1]Sheet1!$E:$F,2,FALSE)</f>
        <v>玻璃试管</v>
      </c>
      <c r="P7" s="0" t="str">
        <f>VLOOKUP(I7,[1]Sheet1!$E:$F,2,FALSE)</f>
        <v>玻璃烧瓶</v>
      </c>
    </row>
    <row r="8" ht="16.5">
      <c r="A8" s="4" t="s">
        <v>448</v>
      </c>
      <c r="B8" s="5" t="s">
        <v>449</v>
      </c>
      <c r="C8" s="4">
        <v>7</v>
      </c>
      <c r="D8" s="9" t="s">
        <v>435</v>
      </c>
      <c r="E8" s="11" t="s">
        <v>270</v>
      </c>
      <c r="F8" s="7" t="s">
        <v>436</v>
      </c>
      <c r="G8" s="7" t="s">
        <v>437</v>
      </c>
      <c r="H8" s="7" t="s">
        <v>250</v>
      </c>
      <c r="I8" s="7" t="s">
        <v>251</v>
      </c>
      <c r="J8" s="1" t="e">
        <f>VLOOKUP(A8,[1]Sheet1!$E:$F,2,FALSE)</f>
        <v>#N/A</v>
      </c>
      <c r="K8" s="0" t="str">
        <f>VLOOKUP(D8,[1]Sheet1!$E:$F,2,FALSE)</f>
        <v>泪滴草药</v>
      </c>
      <c r="L8" s="0" t="e">
        <f>VLOOKUP(E8,[1]Sheet1!$E:$F,2,FALSE)</f>
        <v>#N/A</v>
      </c>
      <c r="M8" s="0" t="str">
        <f>VLOOKUP(F8,[1]Sheet1!$E:$F,2,FALSE)</f>
        <v>草药根</v>
      </c>
      <c r="N8" s="0" t="str">
        <f>VLOOKUP(G8,[1]Sheet1!$E:$F,2,FALSE)</f>
        <v>草药茎</v>
      </c>
      <c r="O8" s="0" t="str">
        <f>VLOOKUP(H8,[1]Sheet1!$E:$F,2,FALSE)</f>
        <v>玻璃试管</v>
      </c>
      <c r="P8" s="0" t="str">
        <f>VLOOKUP(I8,[1]Sheet1!$E:$F,2,FALSE)</f>
        <v>玻璃烧瓶</v>
      </c>
    </row>
    <row r="9" ht="16.5">
      <c r="A9" s="4" t="s">
        <v>450</v>
      </c>
      <c r="B9" s="5" t="s">
        <v>451</v>
      </c>
      <c r="C9" s="4">
        <v>5</v>
      </c>
      <c r="D9" s="9" t="s">
        <v>435</v>
      </c>
      <c r="E9" s="7" t="s">
        <v>268</v>
      </c>
      <c r="F9" s="7" t="s">
        <v>436</v>
      </c>
      <c r="G9" s="7" t="s">
        <v>437</v>
      </c>
      <c r="H9" s="7" t="s">
        <v>250</v>
      </c>
      <c r="I9" s="7" t="s">
        <v>251</v>
      </c>
      <c r="J9" s="1" t="e">
        <f>VLOOKUP(A9,[1]Sheet1!$E:$F,2,FALSE)</f>
        <v>#N/A</v>
      </c>
      <c r="K9" s="0" t="str">
        <f>VLOOKUP(D9,[1]Sheet1!$E:$F,2,FALSE)</f>
        <v>泪滴草药</v>
      </c>
      <c r="L9" s="0" t="e">
        <f>VLOOKUP(E9,[1]Sheet1!$E:$F,2,FALSE)</f>
        <v>#N/A</v>
      </c>
      <c r="M9" s="0" t="str">
        <f>VLOOKUP(F9,[1]Sheet1!$E:$F,2,FALSE)</f>
        <v>草药根</v>
      </c>
      <c r="N9" s="0" t="str">
        <f>VLOOKUP(G9,[1]Sheet1!$E:$F,2,FALSE)</f>
        <v>草药茎</v>
      </c>
      <c r="O9" s="0" t="str">
        <f>VLOOKUP(H9,[1]Sheet1!$E:$F,2,FALSE)</f>
        <v>玻璃试管</v>
      </c>
      <c r="P9" s="0" t="str">
        <f>VLOOKUP(I9,[1]Sheet1!$E:$F,2,FALSE)</f>
        <v>玻璃烧瓶</v>
      </c>
    </row>
    <row r="10" ht="16.5">
      <c r="A10" s="4" t="s">
        <v>452</v>
      </c>
      <c r="B10" s="5" t="s">
        <v>453</v>
      </c>
      <c r="C10" s="4">
        <v>12</v>
      </c>
      <c r="D10" s="9" t="s">
        <v>435</v>
      </c>
      <c r="E10" s="10" t="s">
        <v>273</v>
      </c>
      <c r="F10" s="7" t="s">
        <v>436</v>
      </c>
      <c r="G10" s="7" t="s">
        <v>437</v>
      </c>
      <c r="H10" s="7" t="s">
        <v>260</v>
      </c>
      <c r="I10" s="7" t="s">
        <v>261</v>
      </c>
      <c r="J10" s="1" t="e">
        <f>VLOOKUP(A10,[1]Sheet1!$E:$F,2,FALSE)</f>
        <v>#N/A</v>
      </c>
      <c r="K10" s="0" t="str">
        <f>VLOOKUP(D10,[1]Sheet1!$E:$F,2,FALSE)</f>
        <v>泪滴草药</v>
      </c>
      <c r="L10" s="0" t="e">
        <f>VLOOKUP(E10,[1]Sheet1!$E:$F,2,FALSE)</f>
        <v>#N/A</v>
      </c>
      <c r="M10" s="0" t="str">
        <f>VLOOKUP(F10,[1]Sheet1!$E:$F,2,FALSE)</f>
        <v>草药根</v>
      </c>
      <c r="N10" s="0" t="str">
        <f>VLOOKUP(G10,[1]Sheet1!$E:$F,2,FALSE)</f>
        <v>草药茎</v>
      </c>
      <c r="O10" s="0" t="str">
        <f>VLOOKUP(H10,[1]Sheet1!$E:$F,2,FALSE)</f>
        <v>水晶试管</v>
      </c>
      <c r="P10" s="0" t="str">
        <f>VLOOKUP(I10,[1]Sheet1!$E:$F,2,FALSE)</f>
        <v>水晶烧瓶</v>
      </c>
    </row>
    <row r="11" ht="16.5">
      <c r="A11" s="4" t="s">
        <v>454</v>
      </c>
      <c r="B11" s="5" t="s">
        <v>455</v>
      </c>
      <c r="C11" s="4">
        <v>11</v>
      </c>
      <c r="D11" s="9" t="s">
        <v>435</v>
      </c>
      <c r="E11" s="10" t="s">
        <v>274</v>
      </c>
      <c r="F11" s="7" t="s">
        <v>436</v>
      </c>
      <c r="G11" s="7" t="s">
        <v>437</v>
      </c>
      <c r="H11" s="7" t="s">
        <v>255</v>
      </c>
      <c r="I11" s="7" t="s">
        <v>256</v>
      </c>
      <c r="J11" s="1" t="e">
        <f>VLOOKUP(A11,[1]Sheet1!$E:$F,2,FALSE)</f>
        <v>#N/A</v>
      </c>
      <c r="K11" s="0" t="str">
        <f>VLOOKUP(D11,[1]Sheet1!$E:$F,2,FALSE)</f>
        <v>泪滴草药</v>
      </c>
      <c r="L11" s="0" t="str">
        <f>VLOOKUP(E11,[1]Sheet1!$E:$F,2,FALSE)</f>
        <v>蓝色草药花</v>
      </c>
      <c r="M11" s="0" t="str">
        <f>VLOOKUP(F11,[1]Sheet1!$E:$F,2,FALSE)</f>
        <v>草药根</v>
      </c>
      <c r="N11" s="0" t="str">
        <f>VLOOKUP(G11,[1]Sheet1!$E:$F,2,FALSE)</f>
        <v>草药茎</v>
      </c>
      <c r="O11" s="0" t="str">
        <f>VLOOKUP(H11,[1]Sheet1!$E:$F,2,FALSE)</f>
        <v>强化玻璃试管</v>
      </c>
      <c r="P11" s="0" t="str">
        <f>VLOOKUP(I11,[1]Sheet1!$E:$F,2,FALSE)</f>
        <v>强化玻璃烧瓶</v>
      </c>
    </row>
    <row r="12" ht="16.5">
      <c r="A12" s="4" t="s">
        <v>456</v>
      </c>
      <c r="B12" s="5" t="s">
        <v>457</v>
      </c>
      <c r="C12" s="4">
        <v>15</v>
      </c>
      <c r="D12" s="9" t="s">
        <v>435</v>
      </c>
      <c r="E12" s="10" t="s">
        <v>285</v>
      </c>
      <c r="F12" s="7" t="s">
        <v>436</v>
      </c>
      <c r="G12" s="7" t="s">
        <v>437</v>
      </c>
      <c r="H12" s="7" t="s">
        <v>255</v>
      </c>
      <c r="I12" s="7" t="s">
        <v>256</v>
      </c>
      <c r="J12" s="1" t="e">
        <f>VLOOKUP(A12,[1]Sheet1!$E:$F,2,FALSE)</f>
        <v>#N/A</v>
      </c>
      <c r="K12" s="0" t="str">
        <f>VLOOKUP(D12,[1]Sheet1!$E:$F,2,FALSE)</f>
        <v>泪滴草药</v>
      </c>
      <c r="L12" s="0" t="e">
        <f>VLOOKUP(E12,[1]Sheet1!$E:$F,2,FALSE)</f>
        <v>#N/A</v>
      </c>
      <c r="M12" s="0" t="str">
        <f>VLOOKUP(F12,[1]Sheet1!$E:$F,2,FALSE)</f>
        <v>草药根</v>
      </c>
      <c r="N12" s="0" t="str">
        <f>VLOOKUP(G12,[1]Sheet1!$E:$F,2,FALSE)</f>
        <v>草药茎</v>
      </c>
      <c r="O12" s="0" t="str">
        <f>VLOOKUP(H12,[1]Sheet1!$E:$F,2,FALSE)</f>
        <v>强化玻璃试管</v>
      </c>
      <c r="P12" s="0" t="str">
        <f>VLOOKUP(I12,[1]Sheet1!$E:$F,2,FALSE)</f>
        <v>强化玻璃烧瓶</v>
      </c>
    </row>
    <row r="13" ht="16.5">
      <c r="A13" s="4" t="s">
        <v>458</v>
      </c>
      <c r="B13" s="5" t="s">
        <v>459</v>
      </c>
      <c r="C13" s="4">
        <v>8</v>
      </c>
      <c r="D13" s="9" t="s">
        <v>435</v>
      </c>
      <c r="E13" s="11" t="s">
        <v>271</v>
      </c>
      <c r="F13" s="7" t="s">
        <v>436</v>
      </c>
      <c r="G13" s="7" t="s">
        <v>437</v>
      </c>
      <c r="H13" s="7" t="s">
        <v>260</v>
      </c>
      <c r="I13" s="7" t="s">
        <v>261</v>
      </c>
      <c r="J13" s="1" t="e">
        <f>VLOOKUP(A13,[1]Sheet1!$E:$F,2,FALSE)</f>
        <v>#N/A</v>
      </c>
      <c r="K13" s="0" t="str">
        <f>VLOOKUP(D13,[1]Sheet1!$E:$F,2,FALSE)</f>
        <v>泪滴草药</v>
      </c>
      <c r="L13" s="0" t="str">
        <f>VLOOKUP(E13,[1]Sheet1!$E:$F,2,FALSE)</f>
        <v>绿色草药花</v>
      </c>
      <c r="M13" s="0" t="str">
        <f>VLOOKUP(F13,[1]Sheet1!$E:$F,2,FALSE)</f>
        <v>草药根</v>
      </c>
      <c r="N13" s="0" t="str">
        <f>VLOOKUP(G13,[1]Sheet1!$E:$F,2,FALSE)</f>
        <v>草药茎</v>
      </c>
      <c r="O13" s="0" t="str">
        <f>VLOOKUP(H13,[1]Sheet1!$E:$F,2,FALSE)</f>
        <v>水晶试管</v>
      </c>
      <c r="P13" s="0" t="str">
        <f>VLOOKUP(I13,[1]Sheet1!$E:$F,2,FALSE)</f>
        <v>水晶烧瓶</v>
      </c>
    </row>
    <row r="14" ht="16.5">
      <c r="A14" s="4" t="s">
        <v>460</v>
      </c>
      <c r="B14" s="5" t="s">
        <v>461</v>
      </c>
      <c r="C14" s="4">
        <v>5</v>
      </c>
      <c r="D14" s="9" t="s">
        <v>435</v>
      </c>
      <c r="E14" s="7" t="s">
        <v>269</v>
      </c>
      <c r="F14" s="7" t="s">
        <v>436</v>
      </c>
      <c r="G14" s="7" t="s">
        <v>437</v>
      </c>
      <c r="H14" s="7" t="s">
        <v>250</v>
      </c>
      <c r="I14" s="7" t="s">
        <v>251</v>
      </c>
      <c r="J14" s="1" t="e">
        <f>VLOOKUP(A14,[1]Sheet1!$E:$F,2,FALSE)</f>
        <v>#N/A</v>
      </c>
      <c r="K14" s="0" t="str">
        <f>VLOOKUP(D14,[1]Sheet1!$E:$F,2,FALSE)</f>
        <v>泪滴草药</v>
      </c>
      <c r="L14" s="0" t="str">
        <f>VLOOKUP(E14,[1]Sheet1!$E:$F,2,FALSE)</f>
        <v>白色草药花</v>
      </c>
      <c r="M14" s="0" t="str">
        <f>VLOOKUP(F14,[1]Sheet1!$E:$F,2,FALSE)</f>
        <v>草药根</v>
      </c>
      <c r="N14" s="0" t="str">
        <f>VLOOKUP(G14,[1]Sheet1!$E:$F,2,FALSE)</f>
        <v>草药茎</v>
      </c>
      <c r="O14" s="0" t="str">
        <f>VLOOKUP(H14,[1]Sheet1!$E:$F,2,FALSE)</f>
        <v>玻璃试管</v>
      </c>
      <c r="P14" s="0" t="str">
        <f>VLOOKUP(I14,[1]Sheet1!$E:$F,2,FALSE)</f>
        <v>玻璃烧瓶</v>
      </c>
    </row>
    <row r="15" ht="16.5">
      <c r="A15" s="4" t="s">
        <v>462</v>
      </c>
      <c r="B15" s="5" t="s">
        <v>463</v>
      </c>
      <c r="C15" s="4">
        <v>8</v>
      </c>
      <c r="D15" s="9" t="s">
        <v>435</v>
      </c>
      <c r="E15" s="11" t="s">
        <v>283</v>
      </c>
      <c r="F15" s="7" t="s">
        <v>436</v>
      </c>
      <c r="G15" s="7" t="s">
        <v>437</v>
      </c>
      <c r="H15" s="7" t="s">
        <v>250</v>
      </c>
      <c r="I15" s="7" t="s">
        <v>251</v>
      </c>
      <c r="J15" s="1" t="e">
        <f>VLOOKUP(A15,[1]Sheet1!$E:$F,2,FALSE)</f>
        <v>#N/A</v>
      </c>
      <c r="K15" s="0" t="str">
        <f>VLOOKUP(D15,[1]Sheet1!$E:$F,2,FALSE)</f>
        <v>泪滴草药</v>
      </c>
      <c r="L15" s="0" t="e">
        <f>VLOOKUP(E15,[1]Sheet1!$E:$F,2,FALSE)</f>
        <v>#N/A</v>
      </c>
      <c r="M15" s="0" t="str">
        <f>VLOOKUP(F15,[1]Sheet1!$E:$F,2,FALSE)</f>
        <v>草药根</v>
      </c>
      <c r="N15" s="0" t="str">
        <f>VLOOKUP(G15,[1]Sheet1!$E:$F,2,FALSE)</f>
        <v>草药茎</v>
      </c>
      <c r="O15" s="0" t="str">
        <f>VLOOKUP(H15,[1]Sheet1!$E:$F,2,FALSE)</f>
        <v>玻璃试管</v>
      </c>
      <c r="P15" s="0" t="str">
        <f>VLOOKUP(I15,[1]Sheet1!$E:$F,2,FALSE)</f>
        <v>玻璃烧瓶</v>
      </c>
    </row>
    <row r="16" ht="16.5">
      <c r="A16" s="4" t="s">
        <v>464</v>
      </c>
      <c r="B16" s="5" t="s">
        <v>465</v>
      </c>
      <c r="C16" s="4">
        <v>15</v>
      </c>
      <c r="D16" s="9" t="s">
        <v>466</v>
      </c>
      <c r="E16" s="10" t="s">
        <v>274</v>
      </c>
      <c r="F16" s="7" t="s">
        <v>436</v>
      </c>
      <c r="G16" s="7" t="s">
        <v>437</v>
      </c>
      <c r="H16" s="7" t="s">
        <v>250</v>
      </c>
      <c r="I16" s="7" t="s">
        <v>251</v>
      </c>
      <c r="J16" s="1" t="e">
        <f>VLOOKUP(A16,[1]Sheet1!$E:$F,2,FALSE)</f>
        <v>#N/A</v>
      </c>
      <c r="K16" s="0" t="str">
        <f>VLOOKUP(D16,[1]Sheet1!$E:$F,2,FALSE)</f>
        <v>彩虹草药</v>
      </c>
      <c r="L16" s="0" t="str">
        <f>VLOOKUP(E16,[1]Sheet1!$E:$F,2,FALSE)</f>
        <v>蓝色草药花</v>
      </c>
      <c r="M16" s="0" t="str">
        <f>VLOOKUP(F16,[1]Sheet1!$E:$F,2,FALSE)</f>
        <v>草药根</v>
      </c>
      <c r="N16" s="0" t="str">
        <f>VLOOKUP(G16,[1]Sheet1!$E:$F,2,FALSE)</f>
        <v>草药茎</v>
      </c>
      <c r="O16" s="0" t="str">
        <f>VLOOKUP(H16,[1]Sheet1!$E:$F,2,FALSE)</f>
        <v>玻璃试管</v>
      </c>
      <c r="P16" s="0" t="str">
        <f>VLOOKUP(I16,[1]Sheet1!$E:$F,2,FALSE)</f>
        <v>玻璃烧瓶</v>
      </c>
    </row>
    <row r="17" ht="16.5">
      <c r="A17" s="4" t="s">
        <v>467</v>
      </c>
      <c r="B17" s="5" t="s">
        <v>468</v>
      </c>
      <c r="C17" s="4">
        <v>25</v>
      </c>
      <c r="D17" s="9" t="s">
        <v>466</v>
      </c>
      <c r="E17" s="9" t="s">
        <v>278</v>
      </c>
      <c r="F17" s="7" t="s">
        <v>436</v>
      </c>
      <c r="G17" s="7" t="s">
        <v>437</v>
      </c>
      <c r="H17" s="7" t="s">
        <v>260</v>
      </c>
      <c r="I17" s="7" t="s">
        <v>261</v>
      </c>
      <c r="J17" s="1" t="e">
        <f>VLOOKUP(A17,[1]Sheet1!$E:$F,2,FALSE)</f>
        <v>#N/A</v>
      </c>
      <c r="K17" s="0" t="str">
        <f>VLOOKUP(D17,[1]Sheet1!$E:$F,2,FALSE)</f>
        <v>彩虹草药</v>
      </c>
      <c r="L17" s="0" t="e">
        <f>VLOOKUP(E17,[1]Sheet1!$E:$F,2,FALSE)</f>
        <v>#N/A</v>
      </c>
      <c r="M17" s="0" t="str">
        <f>VLOOKUP(F17,[1]Sheet1!$E:$F,2,FALSE)</f>
        <v>草药根</v>
      </c>
      <c r="N17" s="0" t="str">
        <f>VLOOKUP(G17,[1]Sheet1!$E:$F,2,FALSE)</f>
        <v>草药茎</v>
      </c>
      <c r="O17" s="0" t="str">
        <f>VLOOKUP(H17,[1]Sheet1!$E:$F,2,FALSE)</f>
        <v>水晶试管</v>
      </c>
      <c r="P17" s="0" t="str">
        <f>VLOOKUP(I17,[1]Sheet1!$E:$F,2,FALSE)</f>
        <v>水晶烧瓶</v>
      </c>
    </row>
    <row r="18" ht="16.5">
      <c r="A18" s="4" t="s">
        <v>469</v>
      </c>
      <c r="B18" s="5" t="s">
        <v>470</v>
      </c>
      <c r="C18" s="4">
        <v>18</v>
      </c>
      <c r="D18" s="9" t="s">
        <v>466</v>
      </c>
      <c r="E18" s="12" t="s">
        <v>287</v>
      </c>
      <c r="F18" s="7" t="s">
        <v>436</v>
      </c>
      <c r="G18" s="7" t="s">
        <v>437</v>
      </c>
      <c r="H18" s="7" t="s">
        <v>255</v>
      </c>
      <c r="I18" s="7" t="s">
        <v>256</v>
      </c>
      <c r="J18" s="1" t="e">
        <f>VLOOKUP(A18,[1]Sheet1!$E:$F,2,FALSE)</f>
        <v>#N/A</v>
      </c>
      <c r="K18" s="0" t="str">
        <f>VLOOKUP(D18,[1]Sheet1!$E:$F,2,FALSE)</f>
        <v>彩虹草药</v>
      </c>
      <c r="L18" s="0" t="e">
        <f>VLOOKUP(E18,[1]Sheet1!$E:$F,2,FALSE)</f>
        <v>#N/A</v>
      </c>
      <c r="M18" s="0" t="str">
        <f>VLOOKUP(F18,[1]Sheet1!$E:$F,2,FALSE)</f>
        <v>草药根</v>
      </c>
      <c r="N18" s="0" t="str">
        <f>VLOOKUP(G18,[1]Sheet1!$E:$F,2,FALSE)</f>
        <v>草药茎</v>
      </c>
      <c r="O18" s="0" t="str">
        <f>VLOOKUP(H18,[1]Sheet1!$E:$F,2,FALSE)</f>
        <v>强化玻璃试管</v>
      </c>
      <c r="P18" s="0" t="str">
        <f>VLOOKUP(I18,[1]Sheet1!$E:$F,2,FALSE)</f>
        <v>强化玻璃烧瓶</v>
      </c>
    </row>
    <row r="19" ht="16.5">
      <c r="A19" s="4" t="s">
        <v>471</v>
      </c>
      <c r="B19" s="5" t="s">
        <v>472</v>
      </c>
      <c r="C19" s="4">
        <v>21</v>
      </c>
      <c r="D19" s="9" t="s">
        <v>466</v>
      </c>
      <c r="E19" s="9" t="s">
        <v>279</v>
      </c>
      <c r="F19" s="7" t="s">
        <v>436</v>
      </c>
      <c r="G19" s="7" t="s">
        <v>437</v>
      </c>
      <c r="H19" s="7" t="s">
        <v>255</v>
      </c>
      <c r="I19" s="7" t="s">
        <v>256</v>
      </c>
      <c r="J19" s="1" t="e">
        <f>VLOOKUP(A19,[1]Sheet1!$E:$F,2,FALSE)</f>
        <v>#N/A</v>
      </c>
      <c r="K19" s="0" t="str">
        <f>VLOOKUP(D19,[1]Sheet1!$E:$F,2,FALSE)</f>
        <v>彩虹草药</v>
      </c>
      <c r="L19" s="0" t="str">
        <f>VLOOKUP(E19,[1]Sheet1!$E:$F,2,FALSE)</f>
        <v>金色草药花</v>
      </c>
      <c r="M19" s="0" t="str">
        <f>VLOOKUP(F19,[1]Sheet1!$E:$F,2,FALSE)</f>
        <v>草药根</v>
      </c>
      <c r="N19" s="0" t="str">
        <f>VLOOKUP(G19,[1]Sheet1!$E:$F,2,FALSE)</f>
        <v>草药茎</v>
      </c>
      <c r="O19" s="0" t="str">
        <f>VLOOKUP(H19,[1]Sheet1!$E:$F,2,FALSE)</f>
        <v>强化玻璃试管</v>
      </c>
      <c r="P19" s="0" t="str">
        <f>VLOOKUP(I19,[1]Sheet1!$E:$F,2,FALSE)</f>
        <v>强化玻璃烧瓶</v>
      </c>
    </row>
    <row r="20" ht="16.5">
      <c r="A20" s="4" t="s">
        <v>473</v>
      </c>
      <c r="B20" s="5" t="s">
        <v>474</v>
      </c>
      <c r="C20" s="4">
        <v>22</v>
      </c>
      <c r="D20" s="9" t="s">
        <v>466</v>
      </c>
      <c r="E20" s="9" t="s">
        <v>289</v>
      </c>
      <c r="F20" s="7" t="s">
        <v>436</v>
      </c>
      <c r="G20" s="7" t="s">
        <v>437</v>
      </c>
      <c r="H20" s="7" t="s">
        <v>260</v>
      </c>
      <c r="I20" s="7" t="s">
        <v>261</v>
      </c>
      <c r="J20" s="1" t="e">
        <f>VLOOKUP(A20,[1]Sheet1!$E:$F,2,FALSE)</f>
        <v>#N/A</v>
      </c>
      <c r="K20" s="0" t="str">
        <f>VLOOKUP(D20,[1]Sheet1!$E:$F,2,FALSE)</f>
        <v>彩虹草药</v>
      </c>
      <c r="L20" s="0" t="e">
        <f>VLOOKUP(E20,[1]Sheet1!$E:$F,2,FALSE)</f>
        <v>#N/A</v>
      </c>
      <c r="M20" s="0" t="str">
        <f>VLOOKUP(F20,[1]Sheet1!$E:$F,2,FALSE)</f>
        <v>草药根</v>
      </c>
      <c r="N20" s="0" t="str">
        <f>VLOOKUP(G20,[1]Sheet1!$E:$F,2,FALSE)</f>
        <v>草药茎</v>
      </c>
      <c r="O20" s="0" t="str">
        <f>VLOOKUP(H20,[1]Sheet1!$E:$F,2,FALSE)</f>
        <v>水晶试管</v>
      </c>
      <c r="P20" s="0" t="str">
        <f>VLOOKUP(I20,[1]Sheet1!$E:$F,2,FALSE)</f>
        <v>水晶烧瓶</v>
      </c>
    </row>
    <row r="21" ht="16.5">
      <c r="A21" s="4" t="s">
        <v>475</v>
      </c>
      <c r="B21" s="5" t="s">
        <v>476</v>
      </c>
      <c r="C21" s="4">
        <v>21</v>
      </c>
      <c r="D21" s="9" t="s">
        <v>466</v>
      </c>
      <c r="E21" s="9" t="s">
        <v>278</v>
      </c>
      <c r="F21" s="7" t="s">
        <v>436</v>
      </c>
      <c r="G21" s="7" t="s">
        <v>437</v>
      </c>
      <c r="H21" s="7" t="s">
        <v>250</v>
      </c>
      <c r="I21" s="7" t="s">
        <v>251</v>
      </c>
      <c r="J21" s="1" t="e">
        <f>VLOOKUP(A21,[1]Sheet1!$E:$F,2,FALSE)</f>
        <v>#N/A</v>
      </c>
      <c r="K21" s="0" t="str">
        <f>VLOOKUP(D21,[1]Sheet1!$E:$F,2,FALSE)</f>
        <v>彩虹草药</v>
      </c>
      <c r="L21" s="0" t="e">
        <f>VLOOKUP(E21,[1]Sheet1!$E:$F,2,FALSE)</f>
        <v>#N/A</v>
      </c>
      <c r="M21" s="0" t="str">
        <f>VLOOKUP(F21,[1]Sheet1!$E:$F,2,FALSE)</f>
        <v>草药根</v>
      </c>
      <c r="N21" s="0" t="str">
        <f>VLOOKUP(G21,[1]Sheet1!$E:$F,2,FALSE)</f>
        <v>草药茎</v>
      </c>
      <c r="O21" s="0" t="str">
        <f>VLOOKUP(H21,[1]Sheet1!$E:$F,2,FALSE)</f>
        <v>玻璃试管</v>
      </c>
      <c r="P21" s="0" t="str">
        <f>VLOOKUP(I21,[1]Sheet1!$E:$F,2,FALSE)</f>
        <v>玻璃烧瓶</v>
      </c>
    </row>
    <row r="22" ht="16.5">
      <c r="A22" s="4" t="s">
        <v>477</v>
      </c>
      <c r="B22" s="5" t="s">
        <v>478</v>
      </c>
      <c r="C22" s="4">
        <v>19</v>
      </c>
      <c r="D22" s="9" t="s">
        <v>466</v>
      </c>
      <c r="E22" s="12" t="s">
        <v>275</v>
      </c>
      <c r="F22" s="7" t="s">
        <v>436</v>
      </c>
      <c r="G22" s="7" t="s">
        <v>437</v>
      </c>
      <c r="H22" s="7" t="s">
        <v>250</v>
      </c>
      <c r="I22" s="7" t="s">
        <v>251</v>
      </c>
      <c r="J22" s="1" t="e">
        <f>VLOOKUP(A22,[1]Sheet1!$E:$F,2,FALSE)</f>
        <v>#N/A</v>
      </c>
      <c r="K22" s="0" t="str">
        <f>VLOOKUP(D22,[1]Sheet1!$E:$F,2,FALSE)</f>
        <v>彩虹草药</v>
      </c>
      <c r="L22" s="0" t="e">
        <f>VLOOKUP(E22,[1]Sheet1!$E:$F,2,FALSE)</f>
        <v>#N/A</v>
      </c>
      <c r="M22" s="0" t="str">
        <f>VLOOKUP(F22,[1]Sheet1!$E:$F,2,FALSE)</f>
        <v>草药根</v>
      </c>
      <c r="N22" s="0" t="str">
        <f>VLOOKUP(G22,[1]Sheet1!$E:$F,2,FALSE)</f>
        <v>草药茎</v>
      </c>
      <c r="O22" s="0" t="str">
        <f>VLOOKUP(H22,[1]Sheet1!$E:$F,2,FALSE)</f>
        <v>玻璃试管</v>
      </c>
      <c r="P22" s="0" t="str">
        <f>VLOOKUP(I22,[1]Sheet1!$E:$F,2,FALSE)</f>
        <v>玻璃烧瓶</v>
      </c>
    </row>
    <row r="23">
      <c r="A23" s="0" t="s">
        <v>479</v>
      </c>
      <c r="B23" s="0" t="s">
        <v>480</v>
      </c>
      <c r="C23" s="0">
        <v>13</v>
      </c>
      <c r="D23" s="0" t="s">
        <v>466</v>
      </c>
      <c r="E23" s="0" t="s">
        <v>273</v>
      </c>
      <c r="F23" s="0" t="s">
        <v>436</v>
      </c>
      <c r="G23" s="0" t="s">
        <v>437</v>
      </c>
      <c r="H23" s="0" t="s">
        <v>250</v>
      </c>
      <c r="I23" s="0" t="s">
        <v>251</v>
      </c>
      <c r="J23" s="1" t="str">
        <f>VLOOKUP(A23,[1]Sheet1!$E:$F,2,FALSE)</f>
        <v>超级剧毒合剂</v>
      </c>
      <c r="K23" s="0" t="str">
        <f>VLOOKUP(D23,[1]Sheet1!$E:$F,2,FALSE)</f>
        <v>彩虹草药</v>
      </c>
      <c r="L23" s="0" t="e">
        <f>VLOOKUP(E23,[1]Sheet1!$E:$F,2,FALSE)</f>
        <v>#N/A</v>
      </c>
      <c r="M23" s="0" t="str">
        <f>VLOOKUP(F23,[1]Sheet1!$E:$F,2,FALSE)</f>
        <v>草药根</v>
      </c>
      <c r="N23" s="0" t="str">
        <f>VLOOKUP(G23,[1]Sheet1!$E:$F,2,FALSE)</f>
        <v>草药茎</v>
      </c>
      <c r="O23" s="0" t="str">
        <f>VLOOKUP(H23,[1]Sheet1!$E:$F,2,FALSE)</f>
        <v>玻璃试管</v>
      </c>
      <c r="P23" s="0" t="str">
        <f>VLOOKUP(I23,[1]Sheet1!$E:$F,2,FALSE)</f>
        <v>玻璃烧瓶</v>
      </c>
    </row>
    <row r="24">
      <c r="A24" s="0" t="s">
        <v>481</v>
      </c>
      <c r="B24" s="0" t="s">
        <v>482</v>
      </c>
      <c r="C24" s="0">
        <v>24</v>
      </c>
      <c r="D24" s="0" t="s">
        <v>466</v>
      </c>
      <c r="E24" s="0" t="s">
        <v>279</v>
      </c>
      <c r="F24" s="0" t="s">
        <v>436</v>
      </c>
      <c r="G24" s="0" t="s">
        <v>437</v>
      </c>
      <c r="H24" s="0" t="s">
        <v>260</v>
      </c>
      <c r="I24" s="0" t="s">
        <v>261</v>
      </c>
      <c r="J24" s="1" t="str">
        <f>VLOOKUP(A24,[1]Sheet1!$E:$F,2,FALSE)</f>
        <v>大型烈火药丸</v>
      </c>
      <c r="K24" s="0" t="str">
        <f>VLOOKUP(D24,[1]Sheet1!$E:$F,2,FALSE)</f>
        <v>彩虹草药</v>
      </c>
      <c r="L24" s="0" t="str">
        <f>VLOOKUP(E24,[1]Sheet1!$E:$F,2,FALSE)</f>
        <v>金色草药花</v>
      </c>
      <c r="M24" s="0" t="str">
        <f>VLOOKUP(F24,[1]Sheet1!$E:$F,2,FALSE)</f>
        <v>草药根</v>
      </c>
      <c r="N24" s="0" t="str">
        <f>VLOOKUP(G24,[1]Sheet1!$E:$F,2,FALSE)</f>
        <v>草药茎</v>
      </c>
      <c r="O24" s="0" t="str">
        <f>VLOOKUP(H24,[1]Sheet1!$E:$F,2,FALSE)</f>
        <v>水晶试管</v>
      </c>
      <c r="P24" s="0" t="str">
        <f>VLOOKUP(I24,[1]Sheet1!$E:$F,2,FALSE)</f>
        <v>水晶烧瓶</v>
      </c>
    </row>
    <row r="25">
      <c r="A25" s="0" t="s">
        <v>483</v>
      </c>
      <c r="B25" s="0" t="s">
        <v>484</v>
      </c>
      <c r="C25" s="0">
        <v>16</v>
      </c>
      <c r="D25" s="0" t="s">
        <v>466</v>
      </c>
      <c r="E25" s="0" t="s">
        <v>276</v>
      </c>
      <c r="F25" s="0" t="s">
        <v>436</v>
      </c>
      <c r="G25" s="0" t="s">
        <v>437</v>
      </c>
      <c r="H25" s="0" t="s">
        <v>255</v>
      </c>
      <c r="I25" s="0" t="s">
        <v>256</v>
      </c>
      <c r="J25" s="1" t="str">
        <f>VLOOKUP(A25,[1]Sheet1!$E:$F,2,FALSE)</f>
        <v>大型寒冰药丸</v>
      </c>
      <c r="K25" s="0" t="str">
        <f>VLOOKUP(D25,[1]Sheet1!$E:$F,2,FALSE)</f>
        <v>彩虹草药</v>
      </c>
      <c r="L25" s="0" t="str">
        <f>VLOOKUP(E25,[1]Sheet1!$E:$F,2,FALSE)</f>
        <v>紫色草药花</v>
      </c>
      <c r="M25" s="0" t="str">
        <f>VLOOKUP(F25,[1]Sheet1!$E:$F,2,FALSE)</f>
        <v>草药根</v>
      </c>
      <c r="N25" s="0" t="str">
        <f>VLOOKUP(G25,[1]Sheet1!$E:$F,2,FALSE)</f>
        <v>草药茎</v>
      </c>
      <c r="O25" s="0" t="str">
        <f>VLOOKUP(H25,[1]Sheet1!$E:$F,2,FALSE)</f>
        <v>强化玻璃试管</v>
      </c>
      <c r="P25" s="0" t="str">
        <f>VLOOKUP(I25,[1]Sheet1!$E:$F,2,FALSE)</f>
        <v>强化玻璃烧瓶</v>
      </c>
    </row>
    <row r="26">
      <c r="A26" s="0" t="s">
        <v>485</v>
      </c>
      <c r="B26" s="0" t="s">
        <v>486</v>
      </c>
      <c r="C26" s="0">
        <v>20</v>
      </c>
      <c r="D26" s="0" t="s">
        <v>466</v>
      </c>
      <c r="E26" s="0" t="s">
        <v>287</v>
      </c>
      <c r="F26" s="0" t="s">
        <v>436</v>
      </c>
      <c r="G26" s="0" t="s">
        <v>437</v>
      </c>
      <c r="H26" s="0" t="s">
        <v>255</v>
      </c>
      <c r="I26" s="0" t="s">
        <v>256</v>
      </c>
      <c r="J26" s="1" t="str">
        <f>VLOOKUP(A26,[1]Sheet1!$E:$F,2,FALSE)</f>
        <v>大型暴风药丸</v>
      </c>
      <c r="K26" s="0" t="str">
        <f>VLOOKUP(D26,[1]Sheet1!$E:$F,2,FALSE)</f>
        <v>彩虹草药</v>
      </c>
      <c r="L26" s="0" t="e">
        <f>VLOOKUP(E26,[1]Sheet1!$E:$F,2,FALSE)</f>
        <v>#N/A</v>
      </c>
      <c r="M26" s="0" t="str">
        <f>VLOOKUP(F26,[1]Sheet1!$E:$F,2,FALSE)</f>
        <v>草药根</v>
      </c>
      <c r="N26" s="0" t="str">
        <f>VLOOKUP(G26,[1]Sheet1!$E:$F,2,FALSE)</f>
        <v>草药茎</v>
      </c>
      <c r="O26" s="0" t="str">
        <f>VLOOKUP(H26,[1]Sheet1!$E:$F,2,FALSE)</f>
        <v>强化玻璃试管</v>
      </c>
      <c r="P26" s="0" t="str">
        <f>VLOOKUP(I26,[1]Sheet1!$E:$F,2,FALSE)</f>
        <v>强化玻璃烧瓶</v>
      </c>
    </row>
    <row r="27">
      <c r="A27" s="0" t="s">
        <v>487</v>
      </c>
      <c r="B27" s="0" t="s">
        <v>488</v>
      </c>
      <c r="C27" s="0">
        <v>21</v>
      </c>
      <c r="D27" s="0" t="s">
        <v>466</v>
      </c>
      <c r="E27" s="0" t="s">
        <v>289</v>
      </c>
      <c r="F27" s="0" t="s">
        <v>436</v>
      </c>
      <c r="G27" s="0" t="s">
        <v>437</v>
      </c>
      <c r="H27" s="0" t="s">
        <v>260</v>
      </c>
      <c r="I27" s="0" t="s">
        <v>261</v>
      </c>
      <c r="J27" s="1" t="str">
        <f>VLOOKUP(A27,[1]Sheet1!$E:$F,2,FALSE)</f>
        <v>大型雷电药丸</v>
      </c>
      <c r="K27" s="0" t="str">
        <f>VLOOKUP(D27,[1]Sheet1!$E:$F,2,FALSE)</f>
        <v>彩虹草药</v>
      </c>
      <c r="L27" s="0" t="e">
        <f>VLOOKUP(E27,[1]Sheet1!$E:$F,2,FALSE)</f>
        <v>#N/A</v>
      </c>
      <c r="M27" s="0" t="str">
        <f>VLOOKUP(F27,[1]Sheet1!$E:$F,2,FALSE)</f>
        <v>草药根</v>
      </c>
      <c r="N27" s="0" t="str">
        <f>VLOOKUP(G27,[1]Sheet1!$E:$F,2,FALSE)</f>
        <v>草药茎</v>
      </c>
      <c r="O27" s="0" t="str">
        <f>VLOOKUP(H27,[1]Sheet1!$E:$F,2,FALSE)</f>
        <v>水晶试管</v>
      </c>
      <c r="P27" s="0" t="str">
        <f>VLOOKUP(I27,[1]Sheet1!$E:$F,2,FALSE)</f>
        <v>水晶烧瓶</v>
      </c>
    </row>
    <row r="28">
      <c r="A28" s="0" t="s">
        <v>489</v>
      </c>
      <c r="B28" s="0" t="s">
        <v>490</v>
      </c>
      <c r="C28" s="0">
        <v>20</v>
      </c>
      <c r="D28" s="0" t="s">
        <v>466</v>
      </c>
      <c r="E28" s="0" t="s">
        <v>275</v>
      </c>
      <c r="F28" s="0" t="s">
        <v>436</v>
      </c>
      <c r="G28" s="0" t="s">
        <v>437</v>
      </c>
      <c r="H28" s="0" t="s">
        <v>250</v>
      </c>
      <c r="I28" s="0" t="s">
        <v>251</v>
      </c>
      <c r="J28" s="1" t="str">
        <f>VLOOKUP(A28,[1]Sheet1!$E:$F,2,FALSE)</f>
        <v>大型光明药丸</v>
      </c>
      <c r="K28" s="0" t="str">
        <f>VLOOKUP(D28,[1]Sheet1!$E:$F,2,FALSE)</f>
        <v>彩虹草药</v>
      </c>
      <c r="L28" s="0" t="e">
        <f>VLOOKUP(E28,[1]Sheet1!$E:$F,2,FALSE)</f>
        <v>#N/A</v>
      </c>
      <c r="M28" s="0" t="str">
        <f>VLOOKUP(F28,[1]Sheet1!$E:$F,2,FALSE)</f>
        <v>草药根</v>
      </c>
      <c r="N28" s="0" t="str">
        <f>VLOOKUP(G28,[1]Sheet1!$E:$F,2,FALSE)</f>
        <v>草药茎</v>
      </c>
      <c r="O28" s="0" t="str">
        <f>VLOOKUP(H28,[1]Sheet1!$E:$F,2,FALSE)</f>
        <v>玻璃试管</v>
      </c>
      <c r="P28" s="0" t="str">
        <f>VLOOKUP(I28,[1]Sheet1!$E:$F,2,FALSE)</f>
        <v>玻璃烧瓶</v>
      </c>
    </row>
    <row r="29">
      <c r="A29" s="0" t="s">
        <v>491</v>
      </c>
      <c r="B29" s="0" t="s">
        <v>492</v>
      </c>
      <c r="C29" s="0">
        <v>18</v>
      </c>
      <c r="D29" s="0" t="s">
        <v>466</v>
      </c>
      <c r="E29" s="0" t="s">
        <v>276</v>
      </c>
      <c r="F29" s="0" t="s">
        <v>436</v>
      </c>
      <c r="G29" s="0" t="s">
        <v>437</v>
      </c>
      <c r="H29" s="0" t="s">
        <v>250</v>
      </c>
      <c r="I29" s="0" t="s">
        <v>251</v>
      </c>
      <c r="J29" s="1" t="str">
        <f>VLOOKUP(A29,[1]Sheet1!$E:$F,2,FALSE)</f>
        <v>大型黑暗药丸</v>
      </c>
      <c r="K29" s="0" t="str">
        <f>VLOOKUP(D29,[1]Sheet1!$E:$F,2,FALSE)</f>
        <v>彩虹草药</v>
      </c>
      <c r="L29" s="0" t="str">
        <f>VLOOKUP(E29,[1]Sheet1!$E:$F,2,FALSE)</f>
        <v>紫色草药花</v>
      </c>
      <c r="M29" s="0" t="str">
        <f>VLOOKUP(F29,[1]Sheet1!$E:$F,2,FALSE)</f>
        <v>草药根</v>
      </c>
      <c r="N29" s="0" t="str">
        <f>VLOOKUP(G29,[1]Sheet1!$E:$F,2,FALSE)</f>
        <v>草药茎</v>
      </c>
      <c r="O29" s="0" t="str">
        <f>VLOOKUP(H29,[1]Sheet1!$E:$F,2,FALSE)</f>
        <v>玻璃试管</v>
      </c>
      <c r="P29" s="0" t="str">
        <f>VLOOKUP(I29,[1]Sheet1!$E:$F,2,FALSE)</f>
        <v>玻璃烧瓶</v>
      </c>
    </row>
    <row r="30" ht="16.5">
      <c r="A30" s="4" t="s">
        <v>493</v>
      </c>
      <c r="B30" s="5" t="s">
        <v>494</v>
      </c>
      <c r="C30" s="4">
        <v>11</v>
      </c>
      <c r="D30" s="10" t="s">
        <v>285</v>
      </c>
      <c r="E30" s="7" t="s">
        <v>436</v>
      </c>
      <c r="F30" s="7" t="s">
        <v>437</v>
      </c>
      <c r="G30" s="7" t="s">
        <v>260</v>
      </c>
      <c r="H30" s="7" t="s">
        <v>261</v>
      </c>
    </row>
    <row r="31" ht="16.5">
      <c r="A31" s="4" t="s">
        <v>495</v>
      </c>
      <c r="B31" s="5" t="s">
        <v>496</v>
      </c>
      <c r="C31" s="4">
        <v>15</v>
      </c>
      <c r="D31" s="10" t="s">
        <v>273</v>
      </c>
      <c r="E31" s="7" t="s">
        <v>436</v>
      </c>
      <c r="F31" s="7" t="s">
        <v>437</v>
      </c>
      <c r="G31" s="7" t="s">
        <v>260</v>
      </c>
      <c r="H31" s="7" t="s">
        <v>261</v>
      </c>
      <c r="K31" s="14"/>
    </row>
    <row r="32" ht="16.5">
      <c r="A32" s="4" t="s">
        <v>497</v>
      </c>
      <c r="B32" s="5" t="s">
        <v>498</v>
      </c>
      <c r="C32" s="4">
        <v>4</v>
      </c>
      <c r="D32" s="7" t="s">
        <v>281</v>
      </c>
      <c r="E32" s="7" t="s">
        <v>436</v>
      </c>
      <c r="F32" s="7" t="s">
        <v>437</v>
      </c>
      <c r="G32" s="7" t="s">
        <v>260</v>
      </c>
      <c r="H32" s="7" t="s">
        <v>261</v>
      </c>
      <c r="K32" s="0" t="s">
        <v>499</v>
      </c>
    </row>
    <row r="33" ht="16.5">
      <c r="A33" s="4" t="s">
        <v>500</v>
      </c>
      <c r="B33" s="5" t="s">
        <v>501</v>
      </c>
      <c r="C33" s="4">
        <v>9</v>
      </c>
      <c r="D33" s="11" t="s">
        <v>270</v>
      </c>
      <c r="E33" s="7" t="s">
        <v>436</v>
      </c>
      <c r="F33" s="7" t="s">
        <v>437</v>
      </c>
      <c r="G33" s="7" t="s">
        <v>260</v>
      </c>
      <c r="H33" s="7" t="s">
        <v>261</v>
      </c>
    </row>
    <row r="34" ht="16.5">
      <c r="A34" s="4" t="s">
        <v>502</v>
      </c>
      <c r="B34" s="5" t="s">
        <v>503</v>
      </c>
      <c r="C34" s="4">
        <v>6</v>
      </c>
      <c r="D34" s="11" t="s">
        <v>271</v>
      </c>
      <c r="E34" s="7" t="s">
        <v>436</v>
      </c>
      <c r="F34" s="7" t="s">
        <v>437</v>
      </c>
      <c r="G34" s="7" t="s">
        <v>255</v>
      </c>
      <c r="H34" s="7" t="s">
        <v>256</v>
      </c>
    </row>
    <row r="35" ht="16.5">
      <c r="A35" s="4" t="s">
        <v>504</v>
      </c>
      <c r="B35" s="5" t="s">
        <v>505</v>
      </c>
      <c r="C35" s="4">
        <v>8</v>
      </c>
      <c r="D35" s="11" t="s">
        <v>283</v>
      </c>
      <c r="E35" s="7" t="s">
        <v>436</v>
      </c>
      <c r="F35" s="7" t="s">
        <v>437</v>
      </c>
      <c r="G35" s="7" t="s">
        <v>250</v>
      </c>
      <c r="H35" s="7" t="s">
        <v>251</v>
      </c>
    </row>
    <row r="36" ht="16.5">
      <c r="A36" s="4" t="s">
        <v>506</v>
      </c>
      <c r="B36" s="5" t="s">
        <v>507</v>
      </c>
      <c r="C36" s="4">
        <v>10</v>
      </c>
      <c r="D36" s="11" t="s">
        <v>270</v>
      </c>
      <c r="E36" s="7" t="s">
        <v>436</v>
      </c>
      <c r="F36" s="7" t="s">
        <v>437</v>
      </c>
      <c r="G36" s="7" t="s">
        <v>255</v>
      </c>
      <c r="H36" s="7" t="s">
        <v>256</v>
      </c>
    </row>
    <row r="37" ht="16.5">
      <c r="A37" s="4" t="s">
        <v>508</v>
      </c>
      <c r="B37" s="5" t="s">
        <v>509</v>
      </c>
      <c r="C37" s="4">
        <v>13</v>
      </c>
      <c r="D37" s="10" t="s">
        <v>274</v>
      </c>
      <c r="E37" s="7" t="s">
        <v>436</v>
      </c>
      <c r="F37" s="7" t="s">
        <v>437</v>
      </c>
      <c r="G37" s="7" t="s">
        <v>250</v>
      </c>
      <c r="H37" s="7" t="s">
        <v>251</v>
      </c>
    </row>
    <row r="38" ht="16.5">
      <c r="A38" s="4" t="s">
        <v>510</v>
      </c>
      <c r="B38" s="5" t="s">
        <v>511</v>
      </c>
      <c r="C38" s="4">
        <v>3</v>
      </c>
      <c r="D38" s="7" t="s">
        <v>268</v>
      </c>
      <c r="E38" s="7" t="s">
        <v>436</v>
      </c>
      <c r="F38" s="7" t="s">
        <v>437</v>
      </c>
      <c r="G38" s="7" t="s">
        <v>255</v>
      </c>
      <c r="H38" s="7" t="s">
        <v>256</v>
      </c>
    </row>
    <row r="39" ht="16.5">
      <c r="A39" s="4" t="s">
        <v>512</v>
      </c>
      <c r="B39" s="5" t="s">
        <v>513</v>
      </c>
      <c r="C39" s="4">
        <v>2</v>
      </c>
      <c r="D39" s="7" t="s">
        <v>269</v>
      </c>
      <c r="E39" s="7" t="s">
        <v>436</v>
      </c>
      <c r="F39" s="7" t="s">
        <v>437</v>
      </c>
      <c r="G39" s="7" t="s">
        <v>250</v>
      </c>
      <c r="H39" s="7" t="s">
        <v>251</v>
      </c>
    </row>
    <row r="40">
      <c r="A40" s="0" t="s">
        <v>514</v>
      </c>
      <c r="B40" s="0" t="s">
        <v>494</v>
      </c>
      <c r="C40" s="0">
        <v>25</v>
      </c>
      <c r="D40" s="0" t="s">
        <v>279</v>
      </c>
      <c r="E40" s="0" t="s">
        <v>436</v>
      </c>
      <c r="F40" s="0" t="s">
        <v>437</v>
      </c>
      <c r="G40" s="0" t="s">
        <v>260</v>
      </c>
      <c r="H40" s="0" t="s">
        <v>261</v>
      </c>
    </row>
    <row r="41">
      <c r="A41" s="0" t="s">
        <v>515</v>
      </c>
      <c r="B41" s="0" t="s">
        <v>496</v>
      </c>
      <c r="C41" s="0">
        <v>23</v>
      </c>
      <c r="D41" s="0" t="s">
        <v>289</v>
      </c>
      <c r="E41" s="0" t="s">
        <v>436</v>
      </c>
      <c r="F41" s="0" t="s">
        <v>437</v>
      </c>
      <c r="G41" s="0" t="s">
        <v>260</v>
      </c>
      <c r="H41" s="0" t="s">
        <v>261</v>
      </c>
    </row>
    <row r="42">
      <c r="A42" s="0" t="s">
        <v>516</v>
      </c>
      <c r="B42" s="0" t="s">
        <v>498</v>
      </c>
      <c r="C42" s="0">
        <v>16</v>
      </c>
      <c r="D42" s="0" t="s">
        <v>276</v>
      </c>
      <c r="E42" s="0" t="s">
        <v>436</v>
      </c>
      <c r="F42" s="0" t="s">
        <v>437</v>
      </c>
      <c r="G42" s="0" t="s">
        <v>260</v>
      </c>
      <c r="H42" s="0" t="s">
        <v>261</v>
      </c>
    </row>
    <row r="43">
      <c r="A43" s="0" t="s">
        <v>517</v>
      </c>
      <c r="B43" s="0" t="s">
        <v>501</v>
      </c>
      <c r="C43" s="0">
        <v>19</v>
      </c>
      <c r="D43" s="0" t="s">
        <v>287</v>
      </c>
      <c r="E43" s="0" t="s">
        <v>436</v>
      </c>
      <c r="F43" s="0" t="s">
        <v>437</v>
      </c>
      <c r="G43" s="0" t="s">
        <v>260</v>
      </c>
      <c r="H43" s="0" t="s">
        <v>261</v>
      </c>
    </row>
    <row r="44">
      <c r="A44" s="0" t="s">
        <v>518</v>
      </c>
      <c r="B44" s="0" t="s">
        <v>503</v>
      </c>
      <c r="C44" s="0">
        <v>23</v>
      </c>
      <c r="D44" s="0" t="s">
        <v>278</v>
      </c>
      <c r="E44" s="0" t="s">
        <v>436</v>
      </c>
      <c r="F44" s="0" t="s">
        <v>437</v>
      </c>
      <c r="G44" s="0" t="s">
        <v>255</v>
      </c>
      <c r="H44" s="0" t="s">
        <v>256</v>
      </c>
    </row>
    <row r="45">
      <c r="A45" s="0" t="s">
        <v>519</v>
      </c>
      <c r="B45" s="0" t="s">
        <v>505</v>
      </c>
      <c r="C45" s="0">
        <v>24</v>
      </c>
      <c r="D45" s="0" t="s">
        <v>279</v>
      </c>
      <c r="E45" s="0" t="s">
        <v>436</v>
      </c>
      <c r="F45" s="0" t="s">
        <v>437</v>
      </c>
      <c r="G45" s="0" t="s">
        <v>250</v>
      </c>
      <c r="H45" s="0" t="s">
        <v>251</v>
      </c>
    </row>
    <row r="46">
      <c r="A46" s="0" t="s">
        <v>520</v>
      </c>
      <c r="B46" s="0" t="s">
        <v>507</v>
      </c>
      <c r="C46" s="0">
        <v>23</v>
      </c>
      <c r="D46" s="0" t="s">
        <v>289</v>
      </c>
      <c r="E46" s="0" t="s">
        <v>436</v>
      </c>
      <c r="F46" s="0" t="s">
        <v>437</v>
      </c>
      <c r="G46" s="0" t="s">
        <v>255</v>
      </c>
      <c r="H46" s="0" t="s">
        <v>256</v>
      </c>
    </row>
    <row r="47">
      <c r="A47" s="0" t="s">
        <v>521</v>
      </c>
      <c r="B47" s="0" t="s">
        <v>509</v>
      </c>
      <c r="C47" s="0">
        <v>24</v>
      </c>
      <c r="D47" s="0" t="s">
        <v>278</v>
      </c>
      <c r="E47" s="0" t="s">
        <v>436</v>
      </c>
      <c r="F47" s="0" t="s">
        <v>437</v>
      </c>
      <c r="G47" s="0" t="s">
        <v>250</v>
      </c>
      <c r="H47" s="0" t="s">
        <v>251</v>
      </c>
    </row>
    <row r="48">
      <c r="A48" s="0" t="s">
        <v>522</v>
      </c>
      <c r="B48" s="0" t="s">
        <v>511</v>
      </c>
      <c r="C48" s="0">
        <v>18</v>
      </c>
      <c r="D48" s="0" t="s">
        <v>275</v>
      </c>
      <c r="E48" s="0" t="s">
        <v>436</v>
      </c>
      <c r="F48" s="0" t="s">
        <v>437</v>
      </c>
      <c r="G48" s="0" t="s">
        <v>255</v>
      </c>
      <c r="H48" s="0" t="s">
        <v>256</v>
      </c>
    </row>
    <row r="49">
      <c r="A49" s="0" t="s">
        <v>523</v>
      </c>
      <c r="B49" s="0" t="s">
        <v>513</v>
      </c>
      <c r="C49" s="0">
        <v>17</v>
      </c>
      <c r="D49" s="0" t="s">
        <v>276</v>
      </c>
      <c r="E49" s="0" t="s">
        <v>436</v>
      </c>
      <c r="F49" s="0" t="s">
        <v>437</v>
      </c>
      <c r="G49" s="0" t="s">
        <v>250</v>
      </c>
      <c r="H49" s="0" t="s">
        <v>251</v>
      </c>
    </row>
    <row r="50" ht="16.5">
      <c r="A50" s="4" t="s">
        <v>524</v>
      </c>
      <c r="B50" s="13" t="s">
        <v>525</v>
      </c>
      <c r="C50" s="4">
        <v>1</v>
      </c>
      <c r="D50" s="7" t="s">
        <v>526</v>
      </c>
      <c r="E50" s="7" t="s">
        <v>436</v>
      </c>
      <c r="F50" s="7" t="s">
        <v>437</v>
      </c>
      <c r="G50" s="7" t="s">
        <v>260</v>
      </c>
      <c r="H50" s="7" t="s">
        <v>261</v>
      </c>
    </row>
    <row r="51" ht="16.5">
      <c r="A51" s="4" t="s">
        <v>527</v>
      </c>
      <c r="B51" s="13" t="s">
        <v>528</v>
      </c>
      <c r="C51" s="4">
        <v>16</v>
      </c>
      <c r="D51" s="12" t="s">
        <v>287</v>
      </c>
      <c r="E51" s="7" t="s">
        <v>436</v>
      </c>
      <c r="F51" s="7" t="s">
        <v>437</v>
      </c>
      <c r="G51" s="7" t="s">
        <v>260</v>
      </c>
      <c r="H51" s="7" t="s">
        <v>261</v>
      </c>
    </row>
    <row r="53" ht="16.5">
      <c r="A53" s="4" t="s">
        <v>529</v>
      </c>
      <c r="B53" s="13" t="s">
        <v>530</v>
      </c>
      <c r="C53" s="4">
        <v>14</v>
      </c>
      <c r="D53" s="10" t="s">
        <v>285</v>
      </c>
      <c r="E53" s="7" t="s">
        <v>436</v>
      </c>
      <c r="F53" s="7" t="s">
        <v>437</v>
      </c>
      <c r="G53" s="7" t="s">
        <v>260</v>
      </c>
      <c r="H53" s="7" t="s">
        <v>261</v>
      </c>
    </row>
    <row r="54" ht="16.5">
      <c r="A54" s="4" t="s">
        <v>531</v>
      </c>
      <c r="B54" s="13" t="s">
        <v>532</v>
      </c>
      <c r="C54" s="4">
        <v>25</v>
      </c>
      <c r="D54" s="9" t="s">
        <v>279</v>
      </c>
      <c r="E54" s="7" t="s">
        <v>436</v>
      </c>
      <c r="F54" s="7" t="s">
        <v>437</v>
      </c>
      <c r="G54" s="7" t="s">
        <v>260</v>
      </c>
      <c r="H54" s="7" t="s">
        <v>261</v>
      </c>
    </row>
  </sheetData>
  <mergeCells>
    <mergeCell ref="D1:I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2020-11-18T20:34:05Z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2052-11.1.0.8980</vt:lpwstr>
  </property>
  <property fmtid="{D5CDD505-2E9C-101B-9397-08002B2CF9AE}" pid="3" name="KSOReadingLayout">
    <vt:bool>true</vt:bool>
  </property>
</Properties>
</file>