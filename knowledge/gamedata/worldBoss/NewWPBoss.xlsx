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65" windowHeight="14725"/>
  </bookViews>
  <sheets>
    <sheet name="Sheet1" sheetId="1" r:id="rId1"/>
    <sheet name="Sheet2" sheetId="2" r:id="rId2"/>
    <sheet name="Sheet3" sheetId="3" r:id="rId3"/>
    <sheet name="Sheet4" sheetId="4" r:id="rId4"/>
    <sheet name="Sheet5" sheetId="6" r:id="rId5"/>
  </sheets>
  <definedNames>
    <definedName name="_xlnm._FilterDatabase" localSheetId="0" hidden="1">Sheet1!$A$6:$I$38</definedName>
    <definedName name="_xlnm._FilterDatabase" localSheetId="2" hidden="1">Sheet3!$A$6:$H$38</definedName>
    <definedName name="_xlnm._FilterDatabase" localSheetId="3" hidden="1">Sheet4!$A$1:$A$173</definedName>
    <definedName name="_xlnm._FilterDatabase" localSheetId="4" hidden="1">Sheet5!$A$2:$O$164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liyunhao</author>
  </authors>
  <commentList>
    <comment ref="E2" authorId="0">
      <text>
        <r>
          <rPr>
            <b/>
            <sz val="9"/>
            <rFont val="宋体"/>
            <charset val="134"/>
          </rPr>
          <t>liyunhao:</t>
        </r>
        <r>
          <rPr>
            <sz val="9"/>
            <rFont val="宋体"/>
            <charset val="134"/>
          </rPr>
          <t xml:space="preserve">
废弃</t>
        </r>
      </text>
    </comment>
    <comment ref="F2" authorId="0">
      <text>
        <r>
          <rPr>
            <b/>
            <sz val="9"/>
            <rFont val="宋体"/>
            <charset val="134"/>
          </rPr>
          <t>liyunhao:</t>
        </r>
        <r>
          <rPr>
            <sz val="9"/>
            <rFont val="宋体"/>
            <charset val="134"/>
          </rPr>
          <t xml:space="preserve">
废弃</t>
        </r>
      </text>
    </comment>
    <comment ref="H2" authorId="0">
      <text>
        <r>
          <rPr>
            <b/>
            <sz val="9"/>
            <rFont val="宋体"/>
            <charset val="134"/>
          </rPr>
          <t>liyunhao:</t>
        </r>
        <r>
          <rPr>
            <sz val="9"/>
            <rFont val="宋体"/>
            <charset val="134"/>
          </rPr>
          <t xml:space="preserve">
根据skill id取对应字段
名称 skillName
描述 skillDesc 
图标 skillIcon</t>
        </r>
      </text>
    </comment>
  </commentList>
</comments>
</file>

<file path=xl/comments2.xml><?xml version="1.0" encoding="utf-8"?>
<comments xmlns="http://schemas.openxmlformats.org/spreadsheetml/2006/main">
  <authors>
    <author>liyunhao</author>
  </authors>
  <commentList>
    <comment ref="E2" authorId="0">
      <text>
        <r>
          <rPr>
            <b/>
            <sz val="9"/>
            <rFont val="宋体"/>
            <charset val="134"/>
          </rPr>
          <t>liyunhao:</t>
        </r>
        <r>
          <rPr>
            <sz val="9"/>
            <rFont val="宋体"/>
            <charset val="134"/>
          </rPr>
          <t xml:space="preserve">
废弃</t>
        </r>
      </text>
    </comment>
    <comment ref="F2" authorId="0">
      <text>
        <r>
          <rPr>
            <b/>
            <sz val="9"/>
            <rFont val="宋体"/>
            <charset val="134"/>
          </rPr>
          <t>liyunhao:</t>
        </r>
        <r>
          <rPr>
            <sz val="9"/>
            <rFont val="宋体"/>
            <charset val="134"/>
          </rPr>
          <t xml:space="preserve">
废弃</t>
        </r>
      </text>
    </comment>
    <comment ref="H2" authorId="0">
      <text>
        <r>
          <rPr>
            <b/>
            <sz val="9"/>
            <rFont val="宋体"/>
            <charset val="134"/>
          </rPr>
          <t>liyunhao:</t>
        </r>
        <r>
          <rPr>
            <sz val="9"/>
            <rFont val="宋体"/>
            <charset val="134"/>
          </rPr>
          <t xml:space="preserve">
根据skill id取对应字段
名称 skillName
描述 skillDesc 
图标 skillIcon</t>
        </r>
      </text>
    </comment>
  </commentList>
</comments>
</file>

<file path=xl/comments3.xml><?xml version="1.0" encoding="utf-8"?>
<comments xmlns="http://schemas.openxmlformats.org/spreadsheetml/2006/main">
  <authors>
    <author>shaobing</author>
    <author>admin</author>
  </authors>
  <commentList>
    <comment ref="K1" authorId="0">
      <text>
        <r>
          <rPr>
            <b/>
            <sz val="9"/>
            <rFont val="宋体"/>
            <charset val="134"/>
          </rPr>
          <t>shaobing:</t>
        </r>
        <r>
          <rPr>
            <sz val="9"/>
            <rFont val="宋体"/>
            <charset val="134"/>
          </rPr>
          <t xml:space="preserve">
{atkper}
{atkper,[range],[costAp],[costAnger],[damageGrade]}
{atkval}
</t>
        </r>
      </text>
    </comment>
    <comment ref="M1" authorId="1">
      <text>
        <r>
          <rPr>
            <b/>
            <sz val="9"/>
            <rFont val="宋体"/>
            <charset val="134"/>
          </rPr>
          <t xml:space="preserve">admin:
</t>
        </r>
        <r>
          <rPr>
            <sz val="9"/>
            <rFont val="宋体"/>
            <charset val="134"/>
          </rPr>
          <t>根据Assets/OutputBundle/UIPicture/skillicon下的技能图标文件名填写</t>
        </r>
      </text>
    </comment>
  </commentList>
</comments>
</file>

<file path=xl/sharedStrings.xml><?xml version="1.0" encoding="utf-8"?>
<sst xmlns="http://schemas.openxmlformats.org/spreadsheetml/2006/main" count="2027" uniqueCount="586">
  <si>
    <t>Id</t>
  </si>
  <si>
    <t>英雄id</t>
  </si>
  <si>
    <t>怪群Id</t>
  </si>
  <si>
    <t>名字</t>
  </si>
  <si>
    <t>刷新组</t>
  </si>
  <si>
    <t>组内权重</t>
  </si>
  <si>
    <t>头像</t>
  </si>
  <si>
    <t>显示技能</t>
  </si>
  <si>
    <t>对抗技巧（描述）</t>
  </si>
  <si>
    <t>战斗地图</t>
  </si>
  <si>
    <t>id</t>
  </si>
  <si>
    <t>heroId</t>
  </si>
  <si>
    <t>enemyId</t>
  </si>
  <si>
    <t>name</t>
  </si>
  <si>
    <t>refreshGroup</t>
  </si>
  <si>
    <t>groupWeight</t>
  </si>
  <si>
    <t>headIcon</t>
  </si>
  <si>
    <t>showSkill</t>
  </si>
  <si>
    <t>desc</t>
  </si>
  <si>
    <t>int</t>
  </si>
  <si>
    <t>string</t>
  </si>
  <si>
    <t>array_int</t>
  </si>
  <si>
    <t>primary</t>
  </si>
  <si>
    <t>none</t>
  </si>
  <si>
    <t>bossId</t>
  </si>
  <si>
    <t>fightMapId</t>
  </si>
  <si>
    <t>路飞</t>
  </si>
  <si>
    <t>hero2d/hero_2d_2001</t>
  </si>
  <si>
    <t>600059&amp;&amp;500002&amp;&amp;500006&amp;&amp;600060</t>
  </si>
  <si>
    <t>草帽一伙船长，橡胶果实能力者，弹性的身体使物理攻击对他效果很差。上阵带有属性伤害的角色是战胜他的最好办法。</t>
  </si>
  <si>
    <t>佐罗</t>
  </si>
  <si>
    <t>hero2d/hero_2d_2002</t>
  </si>
  <si>
    <t>600061&amp;&amp;500027&amp;&amp;500025&amp;&amp;600062</t>
  </si>
  <si>
    <t>草帽一伙剑士，三刀流所向披靡。刀锋所指任何敌人无不溃散，攻防一体毫无弱点的真正剑士！想战胜他无法取巧，用男人的方式正面对决吧！</t>
  </si>
  <si>
    <t>奈美</t>
  </si>
  <si>
    <t>hero2d/hero_2d_2003</t>
  </si>
  <si>
    <t>600067&amp;&amp;500066&amp;&amp;500065&amp;&amp;600068</t>
  </si>
  <si>
    <t>草帽一伙航海士，利用手中的天候棒可以自由操控天气。和她对战的时候经常看看头顶才是最重要的事情。</t>
  </si>
  <si>
    <t>撒谎布</t>
  </si>
  <si>
    <t>hero2d/hero_2d_2004</t>
  </si>
  <si>
    <t>600065&amp;&amp;500058&amp;&amp;500057&amp;&amp;600066</t>
  </si>
  <si>
    <t>草帽一伙狙击手，能使用各种弹丸造成不同属性伤害的天才狙击手，极其擅长范围攻击。上阵脆弱的角色很容易被范围伤害击杀。</t>
  </si>
  <si>
    <t>山智</t>
  </si>
  <si>
    <t>hero2d/hero_2d_2005</t>
  </si>
  <si>
    <t>600063&amp;&amp;500052&amp;&amp;500050&amp;&amp;600064</t>
  </si>
  <si>
    <t>草帽一伙厨师，速度一流的踢技型战士，双足的高力道能将任何敌人击晕。拥有极高血量和物理抗性的前排战士是对战他的最优选择。</t>
  </si>
  <si>
    <t>乔巴</t>
  </si>
  <si>
    <t>hero2d/hero_2d_2006</t>
  </si>
  <si>
    <t>500084&amp;&amp;500023&amp;&amp;500182&amp;&amp;600069</t>
  </si>
  <si>
    <t>草帽一伙医师，吃了人人果实的驯鹿。能根据战况自由变换形态，治疗能力也极其优秀。被他拖入消耗战的话败北的几率将大大增加，速战速决是对战他的关键要素。</t>
  </si>
  <si>
    <t>罗宾</t>
  </si>
  <si>
    <t>hero2d/hero_2d_2007</t>
  </si>
  <si>
    <t>500323&amp;&amp;500325&amp;&amp;500324&amp;&amp;500328</t>
  </si>
  <si>
    <t>草帽一伙历史学家，作为奥哈拉的幸存者年仅8岁就被悬赏千万。花花果实能力者，能让身体的任何部位像开花一样绽放在视线范围内的任何有形体的事物上并作出攻击或其他用途。</t>
  </si>
  <si>
    <t>弗兰奇</t>
  </si>
  <si>
    <t>hero2d/hero_2d_2008</t>
  </si>
  <si>
    <t>500076&amp;&amp;500079&amp;&amp;500080&amp;&amp;600070</t>
  </si>
  <si>
    <t>草帽一伙船工，改造人，因为是自己改造所以只改造了正面。两只手臂都隐藏了强力的武器，星星盾牌的存在也使其攻防一体。</t>
  </si>
  <si>
    <t>布鲁克</t>
  </si>
  <si>
    <t>hero2d/hero_2d_2009</t>
  </si>
  <si>
    <t>500382&amp;&amp;500383&amp;&amp;500384&amp;&amp;500385</t>
  </si>
  <si>
    <t>草帽一伙音乐家，黄泉果实能力者。因为浑身只剩骨头所以速度出奇的快，配合自身独特的剑术敌人往往还没有看到他就已经倒在了剑下。</t>
  </si>
  <si>
    <t>巴奇</t>
  </si>
  <si>
    <t>hero2d/hero_2d_2010</t>
  </si>
  <si>
    <t>600071&amp;&amp;500095&amp;&amp;500094&amp;&amp;600072</t>
  </si>
  <si>
    <t>巴基海盗团船长，四分五裂果实能力者，被他手中的飞刀击中都将被附加流血效果。范围攻击的特质巴基弹更是附带燃烧与眩晕效果。</t>
  </si>
  <si>
    <t>烟鬼</t>
  </si>
  <si>
    <t>hero2d/hero_2d_2011</t>
  </si>
  <si>
    <t>600073&amp;&amp;500110&amp;&amp;500108&amp;&amp;600074</t>
  </si>
  <si>
    <t>海军大佐，烟雾果实能力者。是个极其痛恨海盗的男人，拥有极其强力的单体伤害技能。上阵恢复型角色和强力前排才能抵挡住他的进攻!</t>
  </si>
  <si>
    <t>塔希米</t>
  </si>
  <si>
    <t>hero2d/hero_2d_2012</t>
  </si>
  <si>
    <t>600075&amp;&amp;500128&amp;&amp;500129&amp;&amp;600076</t>
  </si>
  <si>
    <t>海军剑士，拥有和可爱长相不符的高超剑术。强力的全体伤害技能可以轻松击杀脆弱的角色。</t>
  </si>
  <si>
    <t>Mr.1</t>
  </si>
  <si>
    <t>hero2d/hero_2d_2013</t>
  </si>
  <si>
    <t>600026&amp;&amp;500119&amp;&amp;500121&amp;&amp;600027</t>
  </si>
  <si>
    <t>巴洛克工作室特工，快斩果实能力者。能使用身体的任何部位进行斩击攻击，坚硬的身体也赋予他强大的防御能力。</t>
  </si>
  <si>
    <t>Mr.2</t>
  </si>
  <si>
    <t>hero2d/hero_2d_2014</t>
  </si>
  <si>
    <t>500143&amp;&amp;500144&amp;&amp;500141&amp;&amp;600029</t>
  </si>
  <si>
    <t>巴洛克工作室特工，虽为男儿身但却有一颗少女心。擅长人妖踢技，穿上天鹅鞋后踢技的破坏力将更加强力。</t>
  </si>
  <si>
    <t>Mr.3</t>
  </si>
  <si>
    <t>hero2d/hero_2d_2015</t>
  </si>
  <si>
    <t>600031&amp;&amp;600030&amp;&amp;500136&amp;&amp;600114</t>
  </si>
  <si>
    <t>巴洛克工作室特工，融化果实能力者。能力产生的蜡比钢铁还坚硬，被蜡烛禁锢住的人速度将大大降低。</t>
  </si>
  <si>
    <t>贝拉密</t>
  </si>
  <si>
    <t>hero2d/hero_2d_2017</t>
  </si>
  <si>
    <t>600035&amp;&amp;500215&amp;&amp;500214&amp;&amp;600036</t>
  </si>
  <si>
    <t>贝拉密海盗团团长，弹簧果实能力者。能够将身体的任何一部分变成弹簧。高度压缩后的高速冲击可以轻易使对手晕眩，并给予大量伤害。</t>
  </si>
  <si>
    <t>杰布拉</t>
  </si>
  <si>
    <t>hero2d/hero_2d_2019</t>
  </si>
  <si>
    <t>500262&amp;&amp;500259&amp;&amp;500257&amp;&amp;500261</t>
  </si>
  <si>
    <t>CP9成员之一，犬犬果实狼型能力者，具有强壮的身体和灵敏的速度。经常故意露出破绽使敌人放松警惕，然后进行偷袭。</t>
  </si>
  <si>
    <t>佳妮法</t>
  </si>
  <si>
    <t>hero2d/hero_2d_2020</t>
  </si>
  <si>
    <t>500280&amp;&amp;500283&amp;&amp;500281&amp;&amp;500285</t>
  </si>
  <si>
    <t>CP9唯一的女性成员，既有杀手的冷酷，却也有点天然呆。口头禅是“你这是性骚扰”。吃了泡泡果实成为了肥皂人，会让沾上泡沫的敌人变得无力。</t>
  </si>
  <si>
    <t>卡古</t>
  </si>
  <si>
    <t>hero2d/hero_2d_2021</t>
  </si>
  <si>
    <t>500358&amp;&amp;500359&amp;&amp;500360&amp;&amp;500362</t>
  </si>
  <si>
    <t>CP9成员之一，是吃了牛牛果实长颈鹿型的长颈鹿人。脖子和四肢都极具破坏力，双手持剑的同时还能使用“岚脚”。通过单手支撑身体并高速旋转释放的技能"周断"更是有超高的破坏力！</t>
  </si>
  <si>
    <t>罗布·鲁兹</t>
  </si>
  <si>
    <t>hero2d/hero_2d_2022</t>
  </si>
  <si>
    <t>500157&amp;&amp;500158&amp;&amp;500159&amp;&amp;500161</t>
  </si>
  <si>
    <t>世界政府CP9高级特工，动物系 猫猫果实 豹型能力者。CP9成立800年来的最强者。</t>
  </si>
  <si>
    <t>豪格巴克</t>
  </si>
  <si>
    <t>hero2d/hero_2d_2024</t>
  </si>
  <si>
    <t>500354&amp;&amp;500349&amp;&amp;500350&amp;&amp;500355</t>
  </si>
  <si>
    <t>王下七武海"月光·莫利亚"麾下三怪人之一。天才外科医师，曾以奇迹般的手术救活不少病患，而得到了医生该有的名声和地位。却因女神辛朵莉的死而性情大变，开始沉迷于复活死人这种禁忌之术，最终被莫利亚发现并收入麾下。</t>
  </si>
  <si>
    <t>佩罗娜</t>
  </si>
  <si>
    <t>hero2d/hero_2d_2025</t>
  </si>
  <si>
    <t>500190&amp;&amp;500192&amp;&amp;500194&amp;&amp;500191</t>
  </si>
  <si>
    <t>王下七武海"月光·莫利亚"麾下三怪人之一、动物僵尸与吓人僵尸的指挥官。超人系幽灵果实能力者，拥有瞬间使敌人丧失斗志的强大能力。</t>
  </si>
  <si>
    <t>沙·鳄鱼</t>
  </si>
  <si>
    <t>hero2d/hero_2d_3001</t>
  </si>
  <si>
    <t>600077&amp;&amp;500242&amp;&amp;500243&amp;&amp;600078</t>
  </si>
  <si>
    <t>王下七武海之一，沙沙果实能力者，能自由操控沙子并将自己沙化。沙化后的鳄鱼拥有对物理伤害的极强抗性，在攻击方面附带风属性的技能能对敌方造成成吨的伤害。</t>
  </si>
  <si>
    <t>艾尼路</t>
  </si>
  <si>
    <t>hero2d/hero_2d_3002</t>
  </si>
  <si>
    <t>600086&amp;&amp;600087&amp;&amp;600088&amp;&amp;500252</t>
  </si>
  <si>
    <t>响雷果实能力者，自封为神。拥有强大的雷电攻击，一般的战士在他面前只有变成焦炭一途。路飞可以有效的抵抗艾尼路的强大雷电伤害，同时避免脆弱的角色上阵可以大大提高击败他的可能性。</t>
  </si>
  <si>
    <t>青雉</t>
  </si>
  <si>
    <t>hero2d/hero_2d_3003</t>
  </si>
  <si>
    <t>600079&amp;&amp;600080&amp;&amp;600081&amp;&amp;600082</t>
  </si>
  <si>
    <t>海军本部大将，冰冻果实能力者，拥有将任何物质冰冻的强大能力。是一个没有弱点的强大战士，想要击败他没有取巧的办法只能比他更强！</t>
  </si>
  <si>
    <t>卡普</t>
  </si>
  <si>
    <t>hero2d/hero_2d_3004</t>
  </si>
  <si>
    <t>600090&amp;&amp;600091&amp;&amp;600093&amp;&amp;600120</t>
  </si>
  <si>
    <t>海军传奇中将，将海盗王罗杰逼入绝境的男人。在他附着霸气的拳头面前任何防御都显得脆弱不堪，神经也是极为大条，在战斗途中可能会突然睡着。但可不要因此就小觑他的实力！</t>
  </si>
  <si>
    <t>莫利亚</t>
  </si>
  <si>
    <t>hero2d/hero_2d_3005</t>
  </si>
  <si>
    <t>500407&amp;&amp;600582&amp;&amp;600583&amp;&amp;600585</t>
  </si>
  <si>
    <t>操纵影子的能力者，恐怖之船的统治者！身为王下七武海的一员，据说是曾经和“四皇”之一的盖德不相上下的实力者。</t>
  </si>
  <si>
    <t>大熊</t>
  </si>
  <si>
    <t>hero2d/hero_2d_3006</t>
  </si>
  <si>
    <t>600094&amp;&amp;600096&amp;&amp;500268&amp;&amp;600097</t>
  </si>
  <si>
    <t>王下七武海之一，肉球果实能力者，手掌上的肉球能将接触的任何物体拍飞。双掌压缩空气制造的炸弹更是威力巨大，极其擅长攻击站在一排的角色。</t>
  </si>
  <si>
    <t>黄猿</t>
  </si>
  <si>
    <t>hero2d/hero_2d_3007</t>
  </si>
  <si>
    <t>500390&amp;&amp;500388&amp;&amp;500389&amp;&amp;500393</t>
  </si>
  <si>
    <t>海军本部大将，闪闪果实能力者。作为海军的最强战力性格却很是懒散，擅长各种踢技与剑术。做好被光速踢的准备再挑战他吧！</t>
  </si>
  <si>
    <t>艾斯</t>
  </si>
  <si>
    <t>hero2d/hero_2d_3008</t>
  </si>
  <si>
    <t>600098&amp;&amp;600099&amp;&amp;600100&amp;&amp;600101</t>
  </si>
  <si>
    <t>白胡子海盗团第二队队长，烧烧果实能力者。能自由操控火焰的强大战士，很擅长范围打击，很容易被同时击杀数名角色。</t>
  </si>
  <si>
    <t>赤犬</t>
  </si>
  <si>
    <t>hero2d/hero_2d_3009</t>
  </si>
  <si>
    <t>500395&amp;&amp;500396&amp;&amp;500397&amp;&amp;500400</t>
  </si>
  <si>
    <t>海军本部大将，岩浆果实能力者。性格刚直，奉行绝对的正义，绝不允许一丝“恶”的存在。能将身体部位化为滚烫的熔岩，威力极强，招式大喷火能瞬间将比巨人族还要大数十倍的冰块蒸发殆尽。</t>
  </si>
  <si>
    <t>米霍克</t>
  </si>
  <si>
    <t>hero2d/hero_2d_3010</t>
  </si>
  <si>
    <t>600083&amp;&amp;600084&amp;&amp;500304&amp;&amp;600085</t>
  </si>
  <si>
    <t>世界第一剑士，手中的黑刀能将任何敌人劈成碎片，厚重的前排战士在鹰眼眼中脆弱不堪。治疗型角色能有效的减缓鹰眼进攻的步伐，角色尽量避免站在一列。</t>
  </si>
  <si>
    <t>CommonEnemy 怪群id</t>
  </si>
  <si>
    <t>普攻</t>
  </si>
  <si>
    <t>技能1</t>
  </si>
  <si>
    <t>技能2</t>
  </si>
  <si>
    <t>技能3</t>
  </si>
  <si>
    <t>大招</t>
  </si>
  <si>
    <t>被动</t>
  </si>
  <si>
    <t>展示技能</t>
  </si>
  <si>
    <t>,</t>
  </si>
  <si>
    <t>500002</t>
  </si>
  <si>
    <t>500006</t>
  </si>
  <si>
    <t>600102,1</t>
  </si>
  <si>
    <t>600059,500002,500006,600060</t>
  </si>
  <si>
    <t>500027</t>
  </si>
  <si>
    <t>500025</t>
  </si>
  <si>
    <t>600103,1</t>
  </si>
  <si>
    <t>600061,500027,500025,600062</t>
  </si>
  <si>
    <t>600106,1</t>
  </si>
  <si>
    <t>600063,500052,500050,600064</t>
  </si>
  <si>
    <t>500058</t>
  </si>
  <si>
    <t>500057</t>
  </si>
  <si>
    <t>600105,1</t>
  </si>
  <si>
    <t>600065,500058,500057,600066</t>
  </si>
  <si>
    <t>500066</t>
  </si>
  <si>
    <t>500065</t>
  </si>
  <si>
    <t>600104,1</t>
  </si>
  <si>
    <t>600067,500066,500065,600068</t>
  </si>
  <si>
    <t>500084</t>
  </si>
  <si>
    <t>500023</t>
  </si>
  <si>
    <t>500182</t>
  </si>
  <si>
    <t>600107,1</t>
  </si>
  <si>
    <t>500084,500023,500182,600069</t>
  </si>
  <si>
    <t>500076</t>
  </si>
  <si>
    <t>500079</t>
  </si>
  <si>
    <t>500080</t>
  </si>
  <si>
    <t>600108,1</t>
  </si>
  <si>
    <t>500076,500079,500080,600070</t>
  </si>
  <si>
    <t>500095</t>
  </si>
  <si>
    <t>500094</t>
  </si>
  <si>
    <t>600109,1</t>
  </si>
  <si>
    <t>600071,500095,500094,600072</t>
  </si>
  <si>
    <t>500110</t>
  </si>
  <si>
    <t>500108</t>
  </si>
  <si>
    <t>600110,1</t>
  </si>
  <si>
    <t>600073,500110,500108,600074</t>
  </si>
  <si>
    <t>500128</t>
  </si>
  <si>
    <t>500129</t>
  </si>
  <si>
    <t>600111,1</t>
  </si>
  <si>
    <t>600075,500128,500129,600076</t>
  </si>
  <si>
    <t>500119</t>
  </si>
  <si>
    <t>500121</t>
  </si>
  <si>
    <t>600112,1</t>
  </si>
  <si>
    <t>600026,500119,500121,600027</t>
  </si>
  <si>
    <t>500143</t>
  </si>
  <si>
    <t>500144</t>
  </si>
  <si>
    <t>500141</t>
  </si>
  <si>
    <t>600113,1</t>
  </si>
  <si>
    <t>500143,500144,500141,600029</t>
  </si>
  <si>
    <t>500136</t>
  </si>
  <si>
    <t>600114,1</t>
  </si>
  <si>
    <r>
      <rPr>
        <sz val="11"/>
        <color theme="1"/>
        <rFont val="宋体"/>
        <charset val="134"/>
        <scheme val="minor"/>
      </rPr>
      <t>600031,600030,500136,</t>
    </r>
    <r>
      <rPr>
        <sz val="11"/>
        <color rgb="FFC00000"/>
        <rFont val="宋体"/>
        <charset val="134"/>
        <scheme val="minor"/>
      </rPr>
      <t>600114</t>
    </r>
  </si>
  <si>
    <t>500310</t>
  </si>
  <si>
    <t>600115,1</t>
  </si>
  <si>
    <t>600032,600033,500310,600034</t>
  </si>
  <si>
    <t>500215</t>
  </si>
  <si>
    <t>500214</t>
  </si>
  <si>
    <t>600116,1</t>
  </si>
  <si>
    <t>600035,500215,500214,600036</t>
  </si>
  <si>
    <t>500382,500383,500384,500385</t>
  </si>
  <si>
    <t>500255</t>
  </si>
  <si>
    <t>500262</t>
  </si>
  <si>
    <t>500259</t>
  </si>
  <si>
    <t>500257</t>
  </si>
  <si>
    <t>500261</t>
  </si>
  <si>
    <t>500262,500259,500257,500261</t>
  </si>
  <si>
    <t>500278</t>
  </si>
  <si>
    <t>500280</t>
  </si>
  <si>
    <t>500283</t>
  </si>
  <si>
    <t>500281</t>
  </si>
  <si>
    <t>500285</t>
  </si>
  <si>
    <t>500280,500283,500281,500285</t>
  </si>
  <si>
    <t>500358,500359,500360,500362</t>
  </si>
  <si>
    <t>500197</t>
  </si>
  <si>
    <t>500198</t>
  </si>
  <si>
    <t>500201</t>
  </si>
  <si>
    <t>500200</t>
  </si>
  <si>
    <t>500203</t>
  </si>
  <si>
    <t>500198,500201,500200,500203</t>
  </si>
  <si>
    <t>500348</t>
  </si>
  <si>
    <t>500354</t>
  </si>
  <si>
    <t>500349</t>
  </si>
  <si>
    <t>500350</t>
  </si>
  <si>
    <t>500355</t>
  </si>
  <si>
    <t>500354,500349,500350,500355</t>
  </si>
  <si>
    <t>500189</t>
  </si>
  <si>
    <t>500190</t>
  </si>
  <si>
    <t>500192</t>
  </si>
  <si>
    <t>500194</t>
  </si>
  <si>
    <t>500191</t>
  </si>
  <si>
    <t>500190,500192,500194,500191</t>
  </si>
  <si>
    <t>500205</t>
  </si>
  <si>
    <t>500206</t>
  </si>
  <si>
    <t>500207</t>
  </si>
  <si>
    <t>500208</t>
  </si>
  <si>
    <t>500210</t>
  </si>
  <si>
    <t>500206,500207,500208,500210</t>
  </si>
  <si>
    <t>500242</t>
  </si>
  <si>
    <t>500243</t>
  </si>
  <si>
    <t>600117,1</t>
  </si>
  <si>
    <t>600077,500242,500243,600078</t>
  </si>
  <si>
    <t>600119,1</t>
  </si>
  <si>
    <t>600079,600080,600081,600082</t>
  </si>
  <si>
    <t>500304</t>
  </si>
  <si>
    <t>600123,1</t>
  </si>
  <si>
    <t>600083,600084,500304,600085</t>
  </si>
  <si>
    <t>500252</t>
  </si>
  <si>
    <t>600118,1</t>
  </si>
  <si>
    <t>600086,600087,600088,500252</t>
  </si>
  <si>
    <t>600120,1</t>
  </si>
  <si>
    <r>
      <rPr>
        <sz val="11"/>
        <color theme="1"/>
        <rFont val="宋体"/>
        <charset val="134"/>
        <scheme val="minor"/>
      </rPr>
      <t>600090,600091,600093,</t>
    </r>
    <r>
      <rPr>
        <sz val="11"/>
        <color rgb="FFC00000"/>
        <rFont val="宋体"/>
        <charset val="134"/>
        <scheme val="minor"/>
      </rPr>
      <t>600120</t>
    </r>
  </si>
  <si>
    <t>500402,500405,500407,500408</t>
  </si>
  <si>
    <t>500268</t>
  </si>
  <si>
    <t>600121,1</t>
  </si>
  <si>
    <t>600094,600096,500268,600097</t>
  </si>
  <si>
    <t>600122,1</t>
  </si>
  <si>
    <t>600098,600099,600100,600101</t>
  </si>
  <si>
    <t>500390,500388,500389,500393</t>
  </si>
  <si>
    <t>500395,500396,500397,500400</t>
  </si>
  <si>
    <t>500158</t>
  </si>
  <si>
    <t>500159</t>
  </si>
  <si>
    <t>500161</t>
  </si>
  <si>
    <t>500157,500158,500159,500161</t>
  </si>
  <si>
    <t>600584,1</t>
  </si>
  <si>
    <t>500407,600582,600583,600585</t>
  </si>
  <si>
    <t>600586,1</t>
  </si>
  <si>
    <t>500441,600587,700120,600588</t>
  </si>
  <si>
    <t>600589,1</t>
  </si>
  <si>
    <t>700129,700130,700131,700135</t>
  </si>
  <si>
    <t>600590,600591,600593,600597</t>
  </si>
  <si>
    <t>600581,1</t>
  </si>
  <si>
    <t>600580,600579,600577,600578</t>
  </si>
  <si>
    <t>600607,1</t>
  </si>
  <si>
    <t>600600,600601,600599,600602</t>
  </si>
  <si>
    <t>400</t>
  </si>
  <si>
    <t>300630,1&amp;&amp;300629,1</t>
  </si>
  <si>
    <t>401,402,403,404</t>
  </si>
  <si>
    <t>393,394,395,396</t>
  </si>
  <si>
    <t>500323,500325,500324,500328</t>
  </si>
  <si>
    <t>技能类型
1-普通技能
2-奥义技能
3-被动技能
4-普攻</t>
  </si>
  <si>
    <t>技能类型
0-普攻
1-主动技能
2-奥义
3-被动技能
4-附加技能
5-特殊机制
6-怒气延展
7-奥义延展主动</t>
  </si>
  <si>
    <t>技能所在阶段</t>
  </si>
  <si>
    <t>最大等级</t>
  </si>
  <si>
    <t>是否是
延展技</t>
  </si>
  <si>
    <t>关联
技能Id</t>
  </si>
  <si>
    <t>是否是被
关联技能</t>
  </si>
  <si>
    <t>技能名称</t>
  </si>
  <si>
    <t>技能描述</t>
  </si>
  <si>
    <t>基础技能描述
（等级为0时）</t>
  </si>
  <si>
    <t>技能图标</t>
  </si>
  <si>
    <t>skillId</t>
  </si>
  <si>
    <t>skillType</t>
  </si>
  <si>
    <t>skillCostType</t>
  </si>
  <si>
    <t>skillStep</t>
  </si>
  <si>
    <t>maxLevel</t>
  </si>
  <si>
    <t>isExtensionSkill</t>
  </si>
  <si>
    <t>relationSkillId</t>
  </si>
  <si>
    <t>isRelationSkill</t>
  </si>
  <si>
    <t>skillName</t>
  </si>
  <si>
    <t>skillDesc</t>
  </si>
  <si>
    <t>skillDescBase</t>
  </si>
  <si>
    <t>skillIcon</t>
  </si>
  <si>
    <t>1</t>
  </si>
  <si>
    <t>0</t>
  </si>
  <si>
    <t>橡皮·机关枪</t>
  </si>
  <si>
    <t>对&lt;color=#d14e0d&gt;敌方单体&lt;/color&gt;造成自身攻击力&lt;color=#d14e0d&gt;{atkper}%&lt;/color&gt;的技能伤害。</t>
  </si>
  <si>
    <t>skill_icon_112001_1</t>
  </si>
  <si>
    <t>橡皮·回旋弹</t>
  </si>
  <si>
    <t>对&lt;color=#d14e0d&gt;敌方直线三格&lt;/color&gt;造成自身攻击力&lt;color=#d14e0d&gt;{atkper}%&lt;/color&gt;的技能伤害。</t>
  </si>
  <si>
    <t>skill_icon_112001_5</t>
  </si>
  <si>
    <t>橡皮·巨人枪</t>
  </si>
  <si>
    <t>skill_icon_112001_2</t>
  </si>
  <si>
    <t>2</t>
  </si>
  <si>
    <t>橡皮·火箭炮</t>
  </si>
  <si>
    <t>skill_icon_112001_9</t>
  </si>
  <si>
    <t>三千世界</t>
  </si>
  <si>
    <t>对&lt;color=#d14e0d&gt;敌方单体&lt;/color&gt;造成&lt;color=#d14e0d&gt;{atkper}%&lt;/color&gt;的攻击伤害。</t>
  </si>
  <si>
    <t>skill_icon_112002_1</t>
  </si>
  <si>
    <t>鬼斩</t>
  </si>
  <si>
    <t>skill_icon_112002_3</t>
  </si>
  <si>
    <t>一百零八烦恼凤</t>
  </si>
  <si>
    <t>对&lt;color=#d14e0d&gt;敌方直线四格&lt;/color&gt;造成自身攻击力&lt;color=#d14e0d&gt;{atkper}%&lt;/color&gt;的技能伤害。</t>
  </si>
  <si>
    <t>skill_icon_112002_2</t>
  </si>
  <si>
    <t>狮子歌歌</t>
  </si>
  <si>
    <t>skill_icon_112002_4</t>
  </si>
  <si>
    <t>500068</t>
  </si>
  <si>
    <t>电气泡</t>
  </si>
  <si>
    <t>skill_icon_112003_2</t>
  </si>
  <si>
    <t>500069</t>
  </si>
  <si>
    <t>风向标</t>
  </si>
  <si>
    <t>skill_icon_112003_3</t>
  </si>
  <si>
    <t>龙卷风天候</t>
  </si>
  <si>
    <t>对&lt;color=#d14e0d&gt;敌方直线四格&lt;/color&gt;造成&lt;color=#d14e0d&gt;{atkper}%&lt;/color&gt;的攻击伤害。</t>
  </si>
  <si>
    <t>skill_icon_112003_7</t>
  </si>
  <si>
    <t>雷光枪天候</t>
  </si>
  <si>
    <t>skill_icon_112003_4</t>
  </si>
  <si>
    <t>撒谎布黄金重磅</t>
  </si>
  <si>
    <t>skill_icon_112004_2</t>
  </si>
  <si>
    <t>手里剑流星群</t>
  </si>
  <si>
    <t>skill_icon_112004_3</t>
  </si>
  <si>
    <t>火鸟星</t>
  </si>
  <si>
    <t>skill_icon_112004_1</t>
  </si>
  <si>
    <t>天龙星</t>
  </si>
  <si>
    <t>对&lt;color=#d14e0d&gt;敌方全体&lt;/color&gt;造成&lt;color=#d14e0d&gt;{atkper}%&lt;/color&gt;的攻击伤害。</t>
  </si>
  <si>
    <t>skill_icon_112004_7</t>
  </si>
  <si>
    <t>粗碎</t>
  </si>
  <si>
    <t>skill_icon_113037_5</t>
  </si>
  <si>
    <t>最上乘绞肉</t>
  </si>
  <si>
    <t>skill_icon_112005_5</t>
  </si>
  <si>
    <t>宴会桌旋转踢</t>
  </si>
  <si>
    <t>skill_icon_112005_2</t>
  </si>
  <si>
    <t>恶魔风脚·画龙点睛踢</t>
  </si>
  <si>
    <t>skill_icon_112005_4</t>
  </si>
  <si>
    <t>伦巴球·刻蹄樱吹雪</t>
  </si>
  <si>
    <t>skill_icon_112006_2</t>
  </si>
  <si>
    <t>紧急治疗</t>
  </si>
  <si>
    <t>对&lt;color=#d14e0d&gt;己方单体&lt;/color&gt;造成&lt;color=#d14e0d&gt;{atkper}%&lt;/color&gt;的攻击伤害。</t>
  </si>
  <si>
    <t>skill_icon_112006_7</t>
  </si>
  <si>
    <t>防御强化</t>
  </si>
  <si>
    <t>绷带</t>
  </si>
  <si>
    <t>对&lt;color=#d14e0d&gt;敌方周围十字&lt;/color&gt;造成&lt;color=#d14e0d&gt;{atkper}%&lt;/color&gt;的攻击伤害。</t>
  </si>
  <si>
    <t>skill_icon_112006_9</t>
  </si>
  <si>
    <t>20</t>
  </si>
  <si>
    <t>二十轮花开·风车</t>
  </si>
  <si>
    <t>对&lt;color=#d14e0d&gt;敌方全体&lt;/color&gt;造成自身攻击力&lt;color=#d14e0d&gt;{atkper}%&lt;/color&gt;的技能伤害。</t>
  </si>
  <si>
    <t>skill_icon_112007_2</t>
  </si>
  <si>
    <t>起重机分离</t>
  </si>
  <si>
    <t>skill_icon_112007_3</t>
  </si>
  <si>
    <t>三十轮花开·滑翔</t>
  </si>
  <si>
    <t>对&lt;color=#d14e0d&gt;敌方横向两排&lt;/color&gt;造成自身攻击力&lt;color=#d14e0d&gt;{atkper}%&lt;/color&gt;的技能伤害。</t>
  </si>
  <si>
    <t>skill_icon_112007_4</t>
  </si>
  <si>
    <t>5</t>
  </si>
  <si>
    <t>八十轮花·四棵树·重击</t>
  </si>
  <si>
    <t>skill_icon_112007_7</t>
  </si>
  <si>
    <t>力量右拳</t>
  </si>
  <si>
    <t>skill_icon_112008_3</t>
  </si>
  <si>
    <t>星星盾</t>
  </si>
  <si>
    <t>对&lt;color=#d14e0d&gt;自身&lt;/color&gt;附加一层&lt;color=#d14e0d&gt;护盾&lt;/color&gt;，护盾的生命值为自身血量的&lt;color=#d14e0d&gt;{buffper1}%&lt;/color&gt;，护盾的生命值为0时护盾将消失，护盾持续&lt;color=#d14e0d&gt;2回合&lt;/color&gt;。</t>
  </si>
  <si>
    <t>skill_icon_112008_6</t>
  </si>
  <si>
    <t>弗兰奇拳击</t>
  </si>
  <si>
    <t>skill_icon_112008_7</t>
  </si>
  <si>
    <t>风来炮</t>
  </si>
  <si>
    <t>skill_icon_112008_4</t>
  </si>
  <si>
    <t>催眠曲</t>
  </si>
  <si>
    <t>对&lt;color=#d14e0d&gt;自身 &lt;/color&gt;造成&lt;color=#d14e0d&gt;{atkper}%&lt;/color&gt;的攻击伤害。</t>
  </si>
  <si>
    <t>skill_icon_112009_4</t>
  </si>
  <si>
    <t>酒桶舞曲·后退</t>
  </si>
  <si>
    <t>skill_icon_112009_5</t>
  </si>
  <si>
    <t>革命舞曲·前跳</t>
  </si>
  <si>
    <t>skill_icon_112009_6</t>
  </si>
  <si>
    <t>鼻哼三步·箭羽斩</t>
  </si>
  <si>
    <t>skill_icon_112009_7</t>
  </si>
  <si>
    <t>四分五裂·嘉年华</t>
  </si>
  <si>
    <t>skill_icon_112010_3</t>
  </si>
  <si>
    <t>空中螺旋大杂耍</t>
  </si>
  <si>
    <t>skill_icon_112010_4</t>
  </si>
  <si>
    <t>四分五裂·炮弹</t>
  </si>
  <si>
    <t>skill_icon_112010_1</t>
  </si>
  <si>
    <t>特制巴奇弹</t>
  </si>
  <si>
    <t>skill_icon_112010_7</t>
  </si>
  <si>
    <t>白·拳</t>
  </si>
  <si>
    <t>skill_icon_112011_1</t>
  </si>
  <si>
    <t>十手乱舞</t>
  </si>
  <si>
    <t>skill_icon_112011_3</t>
  </si>
  <si>
    <t>烟雾喷射</t>
  </si>
  <si>
    <t>skill_icon_112011_6</t>
  </si>
  <si>
    <t>白·蔓</t>
  </si>
  <si>
    <t>skill_icon_112011_8</t>
  </si>
  <si>
    <t>薄霞·蝶</t>
  </si>
  <si>
    <t>skill_icon_112012_4</t>
  </si>
  <si>
    <t>时雨·峰</t>
  </si>
  <si>
    <t>skill_icon_112012_5</t>
  </si>
  <si>
    <t>斩时雨</t>
  </si>
  <si>
    <t>skill_icon_112012_6</t>
  </si>
  <si>
    <t>薄霞·千本樱</t>
  </si>
  <si>
    <t>skill_icon_112012_7</t>
  </si>
  <si>
    <t>灭裂斩</t>
  </si>
  <si>
    <t>skill_icon_112013_3</t>
  </si>
  <si>
    <t>发泡雏菊斩</t>
  </si>
  <si>
    <r>
      <rPr>
        <sz val="11"/>
        <color theme="1"/>
        <rFont val="宋体"/>
        <charset val="134"/>
        <scheme val="minor"/>
      </rPr>
      <t>对&lt;color=#d14e0d&gt;</t>
    </r>
    <r>
      <rPr>
        <sz val="11"/>
        <color rgb="FFFF0000"/>
        <rFont val="宋体"/>
        <charset val="134"/>
        <scheme val="minor"/>
      </rPr>
      <t>敌方直线两格</t>
    </r>
    <r>
      <rPr>
        <sz val="11"/>
        <color theme="1"/>
        <rFont val="宋体"/>
        <charset val="134"/>
        <scheme val="minor"/>
      </rPr>
      <t>&lt;/color&gt;造成&lt;color=#d14e0d&gt;{atkper}%&lt;/color&gt;的攻击伤害。</t>
    </r>
  </si>
  <si>
    <t>skill_icon_112013_5</t>
  </si>
  <si>
    <t>螺旋抜斩</t>
  </si>
  <si>
    <t>skill_icon_112013_6</t>
  </si>
  <si>
    <t>刀刃旋风</t>
  </si>
  <si>
    <t>对&lt;color=#d14e0d&gt;敌方全体敌人&lt;/color&gt;造成&lt;color=#d14e0d&gt;{atkper}%&lt;/color&gt;的攻击伤害。</t>
  </si>
  <si>
    <t>skill_icon_112013_7</t>
  </si>
  <si>
    <t>人妖之道</t>
  </si>
  <si>
    <t>skill_icon_112014_1</t>
  </si>
  <si>
    <t>夏日晴空的回忆录</t>
  </si>
  <si>
    <t>skill_icon_112014_3</t>
  </si>
  <si>
    <t>旋转鞭打</t>
  </si>
  <si>
    <t>对&lt;color=#d14e0d&gt;敌方竖排一列&lt;/color&gt;造成&lt;color=#d14e0d&gt;{atkper}%&lt;/color&gt;的攻击伤害。</t>
  </si>
  <si>
    <t>skill_icon_112014_4</t>
  </si>
  <si>
    <t>冬日晴空的回忆录</t>
  </si>
  <si>
    <t>skill_icon_112014_5</t>
  </si>
  <si>
    <t/>
  </si>
  <si>
    <t>蜡烛锥</t>
  </si>
  <si>
    <t>skill_icon_112015_4</t>
  </si>
  <si>
    <t>蜡烛锁</t>
  </si>
  <si>
    <t>skill_icon_112015_2</t>
  </si>
  <si>
    <t>蜡烛壁</t>
  </si>
  <si>
    <t>skill_icon_112015_3</t>
  </si>
  <si>
    <t>弹簧空袭</t>
  </si>
  <si>
    <t>skill_icon_112017_5</t>
  </si>
  <si>
    <t>弹簧狙击</t>
  </si>
  <si>
    <t>弹簧死拳</t>
  </si>
  <si>
    <t>skill_icon_112017_2</t>
  </si>
  <si>
    <t>弹簧跳人</t>
  </si>
  <si>
    <t>skill_icon_112017_7</t>
  </si>
  <si>
    <t>对&lt;color=#d14e0d&gt;敌方周围九宫格&lt;/color&gt;造成&lt;color=#d14e0d&gt;{atkper}%&lt;/color&gt;的攻击伤害。</t>
  </si>
  <si>
    <t>肥皂羊云·放松泡</t>
  </si>
  <si>
    <t>skill_icon_112020_3</t>
  </si>
  <si>
    <t>月步·荆棘之路</t>
  </si>
  <si>
    <t>skill_icon_112020_4</t>
  </si>
  <si>
    <t>泡沫</t>
  </si>
  <si>
    <t>skill_icon_112020_6</t>
  </si>
  <si>
    <t>羊云海啸</t>
  </si>
  <si>
    <t>skill_icon_112020_8</t>
  </si>
  <si>
    <t>暴风脚·白雷</t>
  </si>
  <si>
    <t>skill_icon_112021_1</t>
  </si>
  <si>
    <t>四刀流</t>
  </si>
  <si>
    <t>对&lt;color=#d14e0d&gt;敌方直线两格&lt;/color&gt;造成自身攻击力&lt;color=#d14e0d&gt;{atkper}%&lt;/color&gt;的技能伤害。</t>
  </si>
  <si>
    <t>skill_icon_112021_2</t>
  </si>
  <si>
    <t>背刺</t>
  </si>
  <si>
    <t>skill_icon_112021_3</t>
  </si>
  <si>
    <t>暴风脚·周断</t>
  </si>
  <si>
    <t>skill_icon_112021_5</t>
  </si>
  <si>
    <t>怪人之足</t>
  </si>
  <si>
    <t>野性之力</t>
  </si>
  <si>
    <t>死者之手</t>
  </si>
  <si>
    <t>邪恶舔舐</t>
  </si>
  <si>
    <t>消极幽灵</t>
  </si>
  <si>
    <t>对&lt;color=#d14e0d&gt;敌方直线两格&lt;/color&gt;造成&lt;color=#d14e0d&gt;{atkper}%&lt;/color&gt;的攻击伤害。</t>
  </si>
  <si>
    <t>skill_icon_112025_1</t>
  </si>
  <si>
    <t>特大幽灵</t>
  </si>
  <si>
    <t>柯玛希</t>
  </si>
  <si>
    <t>skill_icon_112025_3</t>
  </si>
  <si>
    <t>消极消极</t>
  </si>
  <si>
    <t>SpSkill_112025_1</t>
  </si>
  <si>
    <t>前奏曲触·剑攻击</t>
  </si>
  <si>
    <t>僵尸之体</t>
  </si>
  <si>
    <t>对&lt;color=#d14e0d&gt;敌方直线三格&lt;/color&gt;造成&lt;color=#d14e0d&gt;{atkper}%&lt;/color&gt;的攻击伤害。</t>
  </si>
  <si>
    <t>战斧连击</t>
  </si>
  <si>
    <t>skill_icon_112028_2</t>
  </si>
  <si>
    <t>足空独行</t>
  </si>
  <si>
    <t>skill_icon_112028_5</t>
  </si>
  <si>
    <t>沙漠宝刀</t>
  </si>
  <si>
    <t>新月形沙丘</t>
  </si>
  <si>
    <t>沙漠风暴</t>
  </si>
  <si>
    <t>浸食轮回</t>
  </si>
  <si>
    <t>艾尼路雷迎</t>
  </si>
  <si>
    <t>雷鸟</t>
  </si>
  <si>
    <t>艾尼路雷龙</t>
  </si>
  <si>
    <t>对&lt;color=#d14e0d&gt;敌方横向两排&lt;/color&gt;造成&lt;color=#d14e0d&gt;{atkper}%&lt;/color&gt;的攻击伤害。</t>
  </si>
  <si>
    <t>艾尼路万雷</t>
  </si>
  <si>
    <t>冰块·落冰</t>
  </si>
  <si>
    <t>冰块·两棘矛</t>
  </si>
  <si>
    <t>冰块·暴雉嘴</t>
  </si>
  <si>
    <t>对&lt;color=#d14e0d&gt;敌方直线&lt;/color&gt;造成&lt;color=#d14e0d&gt;{atkper}%&lt;/color&gt;的攻击伤害。</t>
  </si>
  <si>
    <t>冰河时代</t>
  </si>
  <si>
    <t>特大铁球</t>
  </si>
  <si>
    <t>正义铁拳</t>
  </si>
  <si>
    <t>影法师</t>
  </si>
  <si>
    <t>skill_icon_113005_1</t>
  </si>
  <si>
    <t>角刀影</t>
  </si>
  <si>
    <t>skill_icon_113005_4</t>
  </si>
  <si>
    <t>影袭</t>
  </si>
  <si>
    <t>对&lt;color=#d14e0d&gt;敌方目标九宫格范围内&lt;/color&gt;造成自身攻击力&lt;color=#d14e0d&gt;{atkper}%&lt;/color&gt;的技能伤害。</t>
  </si>
  <si>
    <t>影子集合地</t>
  </si>
  <si>
    <t>skill_icon_113005_7</t>
  </si>
  <si>
    <t>影箱</t>
  </si>
  <si>
    <t>skill_icon_113005_5</t>
  </si>
  <si>
    <t>熊之护盾</t>
  </si>
  <si>
    <t>对自身施加一层&lt;color=#d14e0d&gt;护盾&lt;/color&gt;，护盾可吸收自身最大生命值&lt;color=#d14e0d&gt;{buffper1}%&lt;/color&gt;的伤害，并提供&lt;color=#d14e0d&gt;反伤&lt;/color&gt;效果，该效果会将大熊自身所承受伤害的&lt;color=#d14e0d&gt;{buffper1}%&lt;/color&gt;回敬给敌人，护盾持续&lt;color=#d14e0d&gt;2回合&lt;/color&gt;，&lt;color=#d14e0d&gt;护盾被打破后将立即失效&lt;/color&gt;。</t>
  </si>
  <si>
    <t>阴愈伤弹</t>
  </si>
  <si>
    <t>skill_icon_113006_6</t>
  </si>
  <si>
    <t>压力炮</t>
  </si>
  <si>
    <t>skill_icon_113006_3</t>
  </si>
  <si>
    <t>熊掌冲击</t>
  </si>
  <si>
    <t>skill_icon_113006_8</t>
  </si>
  <si>
    <t>光速踢</t>
  </si>
  <si>
    <t>天丛云剑</t>
  </si>
  <si>
    <t>光柱</t>
  </si>
  <si>
    <t>对&lt;color=#d14e0d&gt;敌方周围十字范围&lt;/color&gt;造成自身攻击力&lt;color=#d14e0d&gt;{atkper}%&lt;/color&gt;的技能伤害。</t>
  </si>
  <si>
    <t>八尺镜</t>
  </si>
  <si>
    <t>黑刀·十字</t>
  </si>
  <si>
    <t>黑刀·斩</t>
  </si>
  <si>
    <t>对&lt;color=#d14e0d&gt;敌方单体目标&lt;/color&gt;造成&lt;color=#d14e0d&gt;{atkper}%&lt;/color&gt;的攻击伤害。</t>
  </si>
  <si>
    <t>黑刀·无</t>
  </si>
  <si>
    <t>对&lt;color=#d14e0d&gt;敌方全体目标&lt;/color&gt;造成&lt;color=#d14e0d&gt;{atkper}%&lt;/color&gt;的攻击伤害。</t>
  </si>
  <si>
    <t>黑刀·一闪</t>
  </si>
  <si>
    <t>岚脚</t>
  </si>
  <si>
    <t>对&lt;color=#d14e0d&gt;敌方横向三格&lt;/color&gt;造成&lt;color=#d14e0d&gt;{atkper}%&lt;/color&gt;的攻击伤害。</t>
  </si>
  <si>
    <t>指枪“黄莲”</t>
  </si>
  <si>
    <t>剃刀（非浮空）</t>
  </si>
  <si>
    <t>六式奥义“最大轮·六王枪”</t>
  </si>
  <si>
    <t>30</t>
  </si>
  <si>
    <t>10</t>
  </si>
  <si>
    <t>吸引·陨石</t>
  </si>
  <si>
    <t>skill_icon_113015_2</t>
  </si>
  <si>
    <t>凶恶</t>
  </si>
  <si>
    <t>skill_icon_113015_8</t>
  </si>
  <si>
    <t>吸引·火炮</t>
  </si>
  <si>
    <t>skill_icon_113015_4</t>
  </si>
  <si>
    <t>吸引·铁臂</t>
  </si>
  <si>
    <t>使用后会为自身附带&lt;color=#d14e0d&gt;钢铁&lt;/color&gt;效果，该效果使基德的&lt;color=#d14e0d&gt;普通攻击&lt;/color&gt;伤害提升&lt;color=#d14e0d&gt;{buffper1}%&lt;/color&gt;，使用&lt;color=#d14e0d&gt;重击&lt;/color&gt;或&lt;color=#d14e0d&gt;吸引·火炮&lt;/color&gt;时伤害提升&lt;color=#d14e0d&gt;{buffper2}%&lt;/color&gt;，持续&lt;color=#d14e0d&gt;2&lt;/color&gt;回合，不可叠加。</t>
  </si>
  <si>
    <t>skill_icon_113015_5</t>
  </si>
  <si>
    <t>毒·云</t>
  </si>
  <si>
    <t>skill_icon_113018_1</t>
  </si>
  <si>
    <t>毒·河豚</t>
  </si>
  <si>
    <t>skill_icon_113018_2</t>
  </si>
  <si>
    <t>毒·通道</t>
  </si>
  <si>
    <t>skill_icon_113018_8</t>
  </si>
  <si>
    <t>毒之巨兵</t>
  </si>
  <si>
    <t>skill_icon_113018_6</t>
  </si>
  <si>
    <t>雄性荷尔蒙</t>
  </si>
  <si>
    <t>skill_icon_113019_1</t>
  </si>
  <si>
    <t>颜面成长</t>
  </si>
  <si>
    <t>skill_icon_113019_2</t>
  </si>
  <si>
    <t>梦打击处理拳</t>
  </si>
  <si>
    <t>skill_icon_113019_3</t>
  </si>
  <si>
    <t>银河媚眼</t>
  </si>
  <si>
    <t>skill_icon_113019_4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</si>
</sst>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1"/>
      <color theme="1"/>
      <name val="宋体"/>
      <charset val="134"/>
      <scheme val="minor"/>
    </font>
    <font>
      <b/>
      <sz val="10"/>
      <color theme="1"/>
      <name val="宋体"/>
      <charset val="134"/>
      <scheme val="minor"/>
    </font>
    <font>
      <sz val="11"/>
      <name val="宋体"/>
      <charset val="134"/>
      <scheme val="minor"/>
    </font>
    <font>
      <sz val="11"/>
      <color rgb="FFFF0000"/>
      <name val="宋体"/>
      <charset val="134"/>
      <scheme val="minor"/>
    </font>
    <font>
      <sz val="11"/>
      <color indexed="8"/>
      <name val="宋体"/>
      <charset val="134"/>
    </font>
    <font>
      <sz val="11"/>
      <name val="宋体"/>
      <charset val="134"/>
    </font>
    <font>
      <sz val="11"/>
      <color rgb="FF7030A0"/>
      <name val="宋体"/>
      <charset val="134"/>
      <scheme val="minor"/>
    </font>
    <font>
      <sz val="11"/>
      <color theme="1"/>
      <name val="微软雅黑"/>
      <charset val="134"/>
    </font>
    <font>
      <sz val="11"/>
      <name val="微软雅黑"/>
      <charset val="134"/>
    </font>
    <font>
      <sz val="11"/>
      <color theme="0"/>
      <name val="微软雅黑"/>
      <charset val="134"/>
    </font>
    <font>
      <sz val="11"/>
      <color rgb="FF7030A0"/>
      <name val="微软雅黑"/>
      <charset val="134"/>
    </font>
    <font>
      <sz val="11"/>
      <color rgb="FFC00000"/>
      <name val="微软雅黑"/>
      <charset val="134"/>
    </font>
    <font>
      <b/>
      <sz val="1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C00000"/>
      <name val="宋体"/>
      <charset val="134"/>
      <scheme val="minor"/>
    </font>
    <font>
      <b/>
      <sz val="9"/>
      <name val="宋体"/>
      <charset val="134"/>
    </font>
    <font>
      <sz val="9"/>
      <name val="宋体"/>
      <charset val="134"/>
    </font>
  </fonts>
  <fills count="48">
    <fill>
      <patternFill patternType="none"/>
    </fill>
    <fill>
      <patternFill patternType="gray125"/>
    </fill>
    <fill>
      <patternFill patternType="solid">
        <fgColor theme="1" tint="0.35"/>
        <bgColor indexed="64"/>
      </patternFill>
    </fill>
    <fill>
      <patternFill patternType="solid">
        <fgColor theme="2" tint="-0.1"/>
        <bgColor indexed="64"/>
      </patternFill>
    </fill>
    <fill>
      <patternFill patternType="solid">
        <fgColor theme="0"/>
        <bgColor indexed="64"/>
      </patternFill>
    </fill>
    <fill>
      <patternFill patternType="solid">
        <fgColor rgb="FFFFFF00"/>
        <bgColor indexed="64"/>
      </patternFill>
    </fill>
    <fill>
      <patternFill patternType="solid">
        <fgColor theme="8" tint="0.8"/>
        <bgColor indexed="64"/>
      </patternFill>
    </fill>
    <fill>
      <patternFill patternType="solid">
        <fgColor theme="9" tint="0.6"/>
        <bgColor indexed="64"/>
      </patternFill>
    </fill>
    <fill>
      <patternFill patternType="solid">
        <fgColor theme="9" tint="0.8"/>
        <bgColor indexed="64"/>
      </patternFill>
    </fill>
    <fill>
      <patternFill patternType="solid">
        <fgColor theme="5" tint="0.8"/>
        <bgColor indexed="64"/>
      </patternFill>
    </fill>
    <fill>
      <patternFill patternType="solid">
        <fgColor theme="9" tint="-0.25"/>
        <bgColor indexed="64"/>
      </patternFill>
    </fill>
    <fill>
      <patternFill patternType="solid">
        <fgColor theme="1" tint="0.25"/>
        <bgColor indexed="64"/>
      </patternFill>
    </fill>
    <fill>
      <patternFill patternType="solid">
        <fgColor rgb="FFC59EE2"/>
        <bgColor indexed="64"/>
      </patternFill>
    </fill>
    <fill>
      <patternFill patternType="solid">
        <fgColor rgb="FFFFDE79"/>
        <bgColor indexed="64"/>
      </patternFill>
    </fill>
    <fill>
      <patternFill patternType="solid">
        <fgColor theme="6" tint="0.6"/>
        <bgColor indexed="64"/>
      </patternFill>
    </fill>
    <fill>
      <patternFill patternType="solid">
        <fgColor theme="6" tint="0.8"/>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7"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18" borderId="12" applyNumberFormat="0" applyAlignment="0" applyProtection="0">
      <alignment vertical="center"/>
    </xf>
    <xf numFmtId="0" fontId="24" fillId="19" borderId="13" applyNumberFormat="0" applyAlignment="0" applyProtection="0">
      <alignment vertical="center"/>
    </xf>
    <xf numFmtId="0" fontId="25" fillId="19" borderId="12" applyNumberFormat="0" applyAlignment="0" applyProtection="0">
      <alignment vertical="center"/>
    </xf>
    <xf numFmtId="0" fontId="26" fillId="20"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2" fillId="43" borderId="0" applyNumberFormat="0" applyBorder="0" applyAlignment="0" applyProtection="0">
      <alignment vertical="center"/>
    </xf>
    <xf numFmtId="0" fontId="32"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32" fillId="47" borderId="0" applyNumberFormat="0" applyBorder="0" applyAlignment="0" applyProtection="0">
      <alignment vertical="center"/>
    </xf>
    <xf numFmtId="0" fontId="5" fillId="0" borderId="0">
      <alignment vertical="center"/>
    </xf>
  </cellStyleXfs>
  <cellXfs count="106">
    <xf numFmtId="0" fontId="0" fillId="0" borderId="0" xfId="0">
      <alignment vertical="center"/>
    </xf>
    <xf numFmtId="0" fontId="1" fillId="0" borderId="0" xfId="0" applyFont="1" applyAlignment="1">
      <alignment vertical="center"/>
    </xf>
    <xf numFmtId="0" fontId="0" fillId="0" borderId="1" xfId="0" applyBorder="1">
      <alignment vertical="center"/>
    </xf>
    <xf numFmtId="0" fontId="0" fillId="0" borderId="2" xfId="0" applyBorder="1">
      <alignment vertical="center"/>
    </xf>
    <xf numFmtId="0" fontId="0" fillId="0" borderId="1" xfId="0" applyBorder="1" applyAlignment="1">
      <alignment horizontal="left" vertical="center"/>
    </xf>
    <xf numFmtId="0" fontId="0" fillId="2" borderId="0" xfId="0" applyFill="1">
      <alignment vertical="center"/>
    </xf>
    <xf numFmtId="0" fontId="0" fillId="0" borderId="0" xfId="0" applyAlignment="1">
      <alignment horizontal="left" vertical="center"/>
    </xf>
    <xf numFmtId="0" fontId="0" fillId="0" borderId="0" xfId="0" applyAlignment="1">
      <alignment vertical="center"/>
    </xf>
    <xf numFmtId="0" fontId="0" fillId="3" borderId="0" xfId="0" applyFill="1">
      <alignment vertical="center"/>
    </xf>
    <xf numFmtId="0" fontId="0" fillId="4" borderId="0" xfId="0" applyFill="1">
      <alignment vertical="center"/>
    </xf>
    <xf numFmtId="0" fontId="0" fillId="0" borderId="0" xfId="0" applyAlignment="1">
      <alignment horizontal="right" vertical="center"/>
    </xf>
    <xf numFmtId="0" fontId="1" fillId="0" borderId="0" xfId="0" applyFont="1" applyFill="1" applyAlignment="1" applyProtection="1">
      <alignment horizontal="left" vertical="center" wrapText="1"/>
    </xf>
    <xf numFmtId="0" fontId="2" fillId="0" borderId="0" xfId="0" applyFont="1" applyFill="1" applyAlignment="1" applyProtection="1">
      <alignment horizontal="left" vertical="center" wrapText="1"/>
    </xf>
    <xf numFmtId="0" fontId="1" fillId="0" borderId="3" xfId="0" applyFont="1" applyFill="1" applyBorder="1" applyAlignment="1" applyProtection="1">
      <alignment horizontal="left" vertical="center"/>
    </xf>
    <xf numFmtId="0" fontId="1" fillId="0" borderId="3" xfId="0" applyNumberFormat="1" applyFont="1" applyFill="1" applyBorder="1" applyAlignment="1" applyProtection="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center"/>
    </xf>
    <xf numFmtId="0" fontId="0" fillId="5" borderId="1" xfId="0" applyFill="1" applyBorder="1" applyAlignment="1">
      <alignment horizontal="left" vertical="center"/>
    </xf>
    <xf numFmtId="0" fontId="0" fillId="5" borderId="0" xfId="0" applyFill="1" applyAlignment="1">
      <alignment horizontal="left" vertical="center"/>
    </xf>
    <xf numFmtId="0" fontId="0" fillId="5" borderId="2" xfId="0" applyFill="1" applyBorder="1" applyAlignment="1">
      <alignment horizontal="left" vertical="center"/>
    </xf>
    <xf numFmtId="0" fontId="0" fillId="2" borderId="0" xfId="0" applyFill="1" applyAlignment="1">
      <alignment horizontal="left" vertical="center"/>
    </xf>
    <xf numFmtId="0" fontId="1" fillId="0" borderId="0" xfId="0" applyFont="1" applyFill="1" applyAlignment="1" applyProtection="1">
      <alignment horizontal="left" vertical="center"/>
    </xf>
    <xf numFmtId="0" fontId="1" fillId="3" borderId="0" xfId="0" applyFont="1" applyFill="1" applyAlignment="1" applyProtection="1">
      <alignment horizontal="left" vertical="center" wrapText="1"/>
    </xf>
    <xf numFmtId="0" fontId="1" fillId="5" borderId="3" xfId="0" applyFont="1" applyFill="1" applyBorder="1" applyAlignment="1" applyProtection="1">
      <alignment horizontal="left" vertical="center"/>
    </xf>
    <xf numFmtId="0" fontId="1" fillId="3" borderId="0" xfId="0" applyFont="1" applyFill="1" applyAlignment="1" applyProtection="1">
      <alignment horizontal="left" vertical="center"/>
    </xf>
    <xf numFmtId="0" fontId="1" fillId="0" borderId="0" xfId="0" applyFont="1" applyAlignment="1">
      <alignment horizontal="right" vertical="center"/>
    </xf>
    <xf numFmtId="0" fontId="0" fillId="0" borderId="1" xfId="0" applyBorder="1" applyAlignment="1">
      <alignment vertical="center"/>
    </xf>
    <xf numFmtId="0" fontId="0" fillId="3" borderId="1" xfId="0" applyFill="1" applyBorder="1">
      <alignment vertical="center"/>
    </xf>
    <xf numFmtId="0" fontId="0" fillId="6" borderId="1" xfId="0" applyFill="1" applyBorder="1">
      <alignment vertical="center"/>
    </xf>
    <xf numFmtId="0" fontId="0" fillId="0" borderId="1" xfId="0" applyBorder="1" applyAlignment="1">
      <alignment horizontal="right" vertical="center"/>
    </xf>
    <xf numFmtId="0" fontId="0" fillId="6" borderId="0" xfId="0" applyFill="1">
      <alignment vertical="center"/>
    </xf>
    <xf numFmtId="0" fontId="0" fillId="0" borderId="2" xfId="0" applyBorder="1" applyAlignment="1">
      <alignment vertical="center"/>
    </xf>
    <xf numFmtId="0" fontId="0" fillId="3" borderId="2" xfId="0" applyFill="1" applyBorder="1">
      <alignment vertical="center"/>
    </xf>
    <xf numFmtId="0" fontId="0" fillId="6" borderId="2" xfId="0" applyFill="1" applyBorder="1">
      <alignment vertical="center"/>
    </xf>
    <xf numFmtId="0" fontId="0" fillId="0" borderId="2" xfId="0" applyBorder="1" applyAlignment="1">
      <alignment horizontal="right" vertical="center"/>
    </xf>
    <xf numFmtId="0" fontId="0" fillId="4" borderId="0" xfId="0" applyFill="1" applyAlignment="1" applyProtection="1">
      <alignment horizontal="left"/>
    </xf>
    <xf numFmtId="0" fontId="3" fillId="4" borderId="0" xfId="0" applyNumberFormat="1" applyFont="1" applyFill="1" applyBorder="1" applyAlignment="1" applyProtection="1">
      <alignment horizontal="left"/>
    </xf>
    <xf numFmtId="0" fontId="3" fillId="4" borderId="0" xfId="0" applyNumberFormat="1" applyFont="1" applyFill="1" applyBorder="1" applyAlignment="1" applyProtection="1">
      <alignment horizontal="left" vertical="center"/>
    </xf>
    <xf numFmtId="0" fontId="4" fillId="4" borderId="1" xfId="0" applyFont="1" applyFill="1" applyBorder="1">
      <alignment vertical="center"/>
    </xf>
    <xf numFmtId="0" fontId="0" fillId="4" borderId="2" xfId="0" applyFill="1" applyBorder="1">
      <alignment vertical="center"/>
    </xf>
    <xf numFmtId="0" fontId="0" fillId="0" borderId="0" xfId="0" applyFill="1" applyAlignment="1" applyProtection="1">
      <alignment horizontal="left"/>
    </xf>
    <xf numFmtId="0" fontId="4" fillId="7" borderId="0" xfId="0" applyFont="1" applyFill="1">
      <alignment vertical="center"/>
    </xf>
    <xf numFmtId="0" fontId="0" fillId="8" borderId="0" xfId="0" applyFill="1">
      <alignment vertical="center"/>
    </xf>
    <xf numFmtId="0" fontId="0" fillId="3" borderId="0" xfId="0" applyFill="1" applyAlignment="1" applyProtection="1">
      <alignment horizontal="left"/>
    </xf>
    <xf numFmtId="0" fontId="4" fillId="0" borderId="0" xfId="0" applyFont="1" applyFill="1" applyAlignment="1" applyProtection="1">
      <alignment horizontal="left"/>
    </xf>
    <xf numFmtId="0" fontId="4" fillId="7" borderId="0" xfId="0" applyFont="1" applyFill="1" applyAlignment="1">
      <alignment vertical="center"/>
    </xf>
    <xf numFmtId="0" fontId="3" fillId="0" borderId="0" xfId="0" applyNumberFormat="1" applyFont="1" applyFill="1" applyBorder="1" applyAlignment="1" applyProtection="1">
      <alignment horizontal="left" vertical="center"/>
    </xf>
    <xf numFmtId="0" fontId="0" fillId="4" borderId="1" xfId="0" applyFill="1" applyBorder="1">
      <alignment vertical="center"/>
    </xf>
    <xf numFmtId="0" fontId="0" fillId="0" borderId="0" xfId="0" applyFont="1" applyAlignment="1">
      <alignment vertical="center"/>
    </xf>
    <xf numFmtId="0" fontId="0" fillId="8" borderId="1" xfId="0" applyFill="1" applyBorder="1" applyAlignment="1">
      <alignment horizontal="left" vertical="center"/>
    </xf>
    <xf numFmtId="0" fontId="0" fillId="3" borderId="1" xfId="0" applyFill="1" applyBorder="1" applyAlignment="1">
      <alignment horizontal="left" vertical="center"/>
    </xf>
    <xf numFmtId="0" fontId="0" fillId="2" borderId="0" xfId="0" applyFill="1" applyAlignment="1">
      <alignment vertical="center"/>
    </xf>
    <xf numFmtId="0" fontId="0" fillId="2" borderId="0" xfId="0" applyFill="1" applyAlignment="1">
      <alignment horizontal="right" vertical="center"/>
    </xf>
    <xf numFmtId="0" fontId="4" fillId="7" borderId="4" xfId="0" applyFont="1" applyFill="1" applyBorder="1" applyAlignment="1">
      <alignment horizontal="left" vertical="center"/>
    </xf>
    <xf numFmtId="0" fontId="4" fillId="7" borderId="1" xfId="0" applyFont="1" applyFill="1" applyBorder="1" applyAlignment="1">
      <alignment horizontal="left" vertical="center"/>
    </xf>
    <xf numFmtId="0" fontId="4" fillId="7" borderId="5" xfId="0" applyFont="1" applyFill="1" applyBorder="1" applyAlignment="1">
      <alignment horizontal="left" vertical="center"/>
    </xf>
    <xf numFmtId="0" fontId="4" fillId="7" borderId="0" xfId="0" applyFont="1" applyFill="1" applyAlignment="1">
      <alignment horizontal="left" vertical="center"/>
    </xf>
    <xf numFmtId="0" fontId="4" fillId="7" borderId="6" xfId="0" applyFont="1" applyFill="1" applyBorder="1" applyAlignment="1">
      <alignment horizontal="left" vertical="center"/>
    </xf>
    <xf numFmtId="0" fontId="4" fillId="7" borderId="2" xfId="0" applyFont="1" applyFill="1" applyBorder="1" applyAlignment="1">
      <alignment horizontal="left" vertical="center"/>
    </xf>
    <xf numFmtId="0" fontId="4" fillId="0" borderId="0" xfId="0" applyFont="1">
      <alignment vertical="center"/>
    </xf>
    <xf numFmtId="0" fontId="0" fillId="8" borderId="1" xfId="0" applyFill="1" applyBorder="1">
      <alignment vertical="center"/>
    </xf>
    <xf numFmtId="0" fontId="0" fillId="8" borderId="2" xfId="0" applyFill="1" applyBorder="1">
      <alignment vertical="center"/>
    </xf>
    <xf numFmtId="0" fontId="0" fillId="4" borderId="7" xfId="0" applyFill="1" applyBorder="1" applyAlignment="1" applyProtection="1">
      <alignment horizontal="left"/>
    </xf>
    <xf numFmtId="0" fontId="0" fillId="8" borderId="0" xfId="0" applyFill="1" applyAlignment="1">
      <alignment vertical="center"/>
    </xf>
    <xf numFmtId="0" fontId="4" fillId="0" borderId="2" xfId="0" applyFont="1" applyBorder="1">
      <alignment vertical="center"/>
    </xf>
    <xf numFmtId="0" fontId="4" fillId="5" borderId="2" xfId="0" applyFont="1" applyFill="1" applyBorder="1">
      <alignment vertical="center"/>
    </xf>
    <xf numFmtId="0" fontId="0" fillId="8" borderId="1" xfId="0" applyFill="1" applyBorder="1" applyAlignment="1">
      <alignment vertical="center"/>
    </xf>
    <xf numFmtId="0" fontId="0" fillId="9" borderId="0" xfId="0" applyFill="1" applyAlignment="1" applyProtection="1">
      <alignment horizontal="left"/>
    </xf>
    <xf numFmtId="0" fontId="1" fillId="0" borderId="0" xfId="0" applyFont="1">
      <alignment vertical="center"/>
    </xf>
    <xf numFmtId="0" fontId="0" fillId="0" borderId="0" xfId="0" applyNumberFormat="1" applyFont="1" applyFill="1" applyBorder="1" applyAlignment="1" applyProtection="1">
      <alignment horizontal="left"/>
    </xf>
    <xf numFmtId="0" fontId="3" fillId="0" borderId="0" xfId="0" applyNumberFormat="1" applyFont="1" applyFill="1" applyBorder="1" applyAlignment="1" applyProtection="1">
      <alignment horizontal="left"/>
    </xf>
    <xf numFmtId="0" fontId="4" fillId="0" borderId="0" xfId="0" applyNumberFormat="1" applyFont="1" applyFill="1" applyBorder="1" applyAlignment="1" applyProtection="1">
      <alignment horizontal="left"/>
    </xf>
    <xf numFmtId="0" fontId="5" fillId="0" borderId="0" xfId="49" applyNumberFormat="1" applyFont="1" applyFill="1" applyBorder="1" applyAlignment="1" applyProtection="1">
      <alignment horizontal="left" vertical="center"/>
    </xf>
    <xf numFmtId="0" fontId="6" fillId="0" borderId="0" xfId="49" applyNumberFormat="1" applyFont="1" applyFill="1" applyBorder="1" applyAlignment="1" applyProtection="1">
      <alignment horizontal="left" vertical="center"/>
    </xf>
    <xf numFmtId="0" fontId="7" fillId="0" borderId="0" xfId="0" applyNumberFormat="1" applyFont="1" applyFill="1" applyBorder="1" applyAlignment="1" applyProtection="1">
      <alignment horizontal="left"/>
    </xf>
    <xf numFmtId="0" fontId="3" fillId="10" borderId="0" xfId="0" applyNumberFormat="1" applyFont="1" applyFill="1" applyBorder="1" applyAlignment="1" applyProtection="1">
      <alignment horizontal="left"/>
    </xf>
    <xf numFmtId="49" fontId="0" fillId="0" borderId="0" xfId="0" applyNumberFormat="1">
      <alignment vertical="center"/>
    </xf>
    <xf numFmtId="0" fontId="8" fillId="0" borderId="0" xfId="0" applyFont="1">
      <alignment vertical="center"/>
    </xf>
    <xf numFmtId="0" fontId="9" fillId="0" borderId="0" xfId="0" applyFont="1">
      <alignment vertical="center"/>
    </xf>
    <xf numFmtId="0" fontId="10" fillId="11" borderId="8" xfId="0" applyFont="1" applyFill="1" applyBorder="1">
      <alignment vertical="center"/>
    </xf>
    <xf numFmtId="0" fontId="10" fillId="3" borderId="8" xfId="0" applyFont="1" applyFill="1" applyBorder="1">
      <alignment vertical="center"/>
    </xf>
    <xf numFmtId="0" fontId="10" fillId="11" borderId="8" xfId="0" applyFont="1" applyFill="1" applyBorder="1" applyAlignment="1">
      <alignment vertical="center" wrapText="1"/>
    </xf>
    <xf numFmtId="0" fontId="11" fillId="0" borderId="0" xfId="0" applyFont="1">
      <alignment vertical="center"/>
    </xf>
    <xf numFmtId="0" fontId="8" fillId="12" borderId="0" xfId="0" applyFont="1" applyFill="1">
      <alignment vertical="center"/>
    </xf>
    <xf numFmtId="0" fontId="12" fillId="0" borderId="0" xfId="0" applyFont="1">
      <alignment vertical="center"/>
    </xf>
    <xf numFmtId="0" fontId="8" fillId="13" borderId="0" xfId="0" applyFont="1" applyFill="1">
      <alignment vertical="center"/>
    </xf>
    <xf numFmtId="0" fontId="11" fillId="0" borderId="0" xfId="0" applyNumberFormat="1" applyFont="1">
      <alignment vertical="center"/>
    </xf>
    <xf numFmtId="49" fontId="0" fillId="0" borderId="0" xfId="0" applyNumberFormat="1" applyFont="1" applyFill="1" applyBorder="1" applyAlignment="1" applyProtection="1">
      <alignment horizontal="left"/>
    </xf>
    <xf numFmtId="0" fontId="0" fillId="0" borderId="0" xfId="0" applyFill="1">
      <alignment vertical="center"/>
    </xf>
    <xf numFmtId="0" fontId="0" fillId="0" borderId="0" xfId="0" applyFill="1" applyAlignment="1">
      <alignment horizontal="left" vertical="center"/>
    </xf>
    <xf numFmtId="0" fontId="3" fillId="0" borderId="0" xfId="0" applyFont="1" applyFill="1" applyAlignment="1">
      <alignment horizontal="left" vertical="center"/>
    </xf>
    <xf numFmtId="49" fontId="0" fillId="0" borderId="0" xfId="0" applyNumberFormat="1" applyAlignment="1">
      <alignment horizontal="left" vertical="center"/>
    </xf>
    <xf numFmtId="0" fontId="1" fillId="0" borderId="0" xfId="0" applyFont="1" applyAlignment="1">
      <alignment horizontal="left" vertical="center"/>
    </xf>
    <xf numFmtId="0" fontId="1" fillId="14" borderId="0" xfId="0" applyFont="1" applyFill="1" applyAlignment="1">
      <alignment horizontal="left" vertical="center"/>
    </xf>
    <xf numFmtId="0" fontId="13" fillId="14" borderId="0" xfId="0" applyFont="1" applyFill="1" applyAlignment="1">
      <alignment horizontal="left" vertical="center"/>
    </xf>
    <xf numFmtId="0" fontId="4" fillId="5" borderId="0" xfId="0" applyNumberFormat="1" applyFont="1" applyFill="1" applyBorder="1" applyAlignment="1" applyProtection="1">
      <alignment horizontal="left"/>
    </xf>
    <xf numFmtId="0" fontId="4" fillId="2" borderId="0" xfId="0" applyNumberFormat="1" applyFont="1" applyFill="1" applyBorder="1" applyAlignment="1" applyProtection="1">
      <alignment horizontal="left"/>
    </xf>
    <xf numFmtId="0" fontId="0" fillId="2" borderId="0" xfId="0" applyNumberFormat="1" applyFont="1" applyFill="1" applyBorder="1" applyAlignment="1" applyProtection="1">
      <alignment horizontal="left"/>
    </xf>
    <xf numFmtId="0" fontId="0" fillId="5" borderId="0" xfId="0" applyNumberFormat="1" applyFont="1" applyFill="1" applyBorder="1" applyAlignment="1" applyProtection="1">
      <alignment horizontal="left"/>
    </xf>
    <xf numFmtId="0" fontId="0" fillId="15" borderId="0" xfId="0" applyFill="1" applyAlignment="1">
      <alignment horizontal="left" vertical="center"/>
    </xf>
    <xf numFmtId="0" fontId="1" fillId="7" borderId="0" xfId="0" applyFont="1" applyFill="1" applyAlignment="1">
      <alignment horizontal="left" vertical="center"/>
    </xf>
    <xf numFmtId="49" fontId="0" fillId="16" borderId="0" xfId="0" applyNumberFormat="1" applyFont="1" applyFill="1" applyAlignment="1">
      <alignment horizontal="left" vertical="center"/>
    </xf>
    <xf numFmtId="49" fontId="0" fillId="0" borderId="0" xfId="0" applyNumberFormat="1" applyFill="1" applyAlignment="1">
      <alignment horizontal="left" vertical="center"/>
    </xf>
    <xf numFmtId="0" fontId="14" fillId="0" borderId="0" xfId="0" applyNumberFormat="1" applyFont="1" applyFill="1" applyBorder="1" applyAlignment="1" applyProtection="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6" xfId="49"/>
  </cellStyles>
  <dxfs count="1">
    <dxf>
      <font>
        <color rgb="FF9C0006"/>
      </font>
      <fill>
        <patternFill patternType="solid">
          <bgColor rgb="FFFFC7CE"/>
        </patternFill>
      </fill>
    </dxf>
  </dxfs>
  <tableStyles count="0" defaultTableStyle="TableStyleMedium2" defaultPivotStyle="PivotStyleLight16"/>
  <colors>
    <mruColors>
      <color rgb="00C59EE2"/>
      <color rgb="00FFDE79"/>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tabSelected="1" workbookViewId="0">
      <pane ySplit="6" topLeftCell="A7" activePane="bottomLeft" state="frozen"/>
      <selection/>
      <selection pane="bottomLeft" activeCell="D7" sqref="D7"/>
    </sheetView>
  </sheetViews>
  <sheetFormatPr defaultColWidth="9" defaultRowHeight="16.25"/>
  <cols>
    <col min="1" max="1" width="8.95495495495495" style="79" customWidth="1"/>
    <col min="2" max="2" width="13.2072072072072" style="79" customWidth="1"/>
    <col min="3" max="3" width="13.981981981982" style="79" customWidth="1"/>
    <col min="4" max="4" width="14.981981981982" style="79" customWidth="1"/>
    <col min="5" max="5" width="14.7477477477477" style="79" customWidth="1"/>
    <col min="6" max="6" width="14.981981981982" style="79" customWidth="1"/>
    <col min="7" max="7" width="23.7027027027027" style="79" customWidth="1"/>
    <col min="8" max="8" width="33.5855855855856" style="79" customWidth="1"/>
    <col min="9" max="9" width="44.4774774774775" style="79" customWidth="1"/>
    <col min="10" max="10" width="18.3783783783784" style="79" customWidth="1"/>
    <col min="11" max="16384" width="9" style="79"/>
  </cols>
  <sheetData>
    <row r="1" spans="1:4">
      <c r="A1" s="79">
        <v>7</v>
      </c>
      <c r="B1" s="79">
        <v>1</v>
      </c>
      <c r="C1" s="80">
        <v>999</v>
      </c>
      <c r="D1" s="79">
        <v>20</v>
      </c>
    </row>
    <row r="2" ht="99" customHeight="1" spans="1:10">
      <c r="A2" s="81" t="s">
        <v>0</v>
      </c>
      <c r="B2" s="81" t="s">
        <v>1</v>
      </c>
      <c r="C2" s="81" t="s">
        <v>2</v>
      </c>
      <c r="D2" s="81" t="s">
        <v>3</v>
      </c>
      <c r="E2" s="82" t="s">
        <v>4</v>
      </c>
      <c r="F2" s="82" t="s">
        <v>5</v>
      </c>
      <c r="G2" s="81" t="s">
        <v>6</v>
      </c>
      <c r="H2" s="83" t="s">
        <v>7</v>
      </c>
      <c r="I2" s="81" t="s">
        <v>8</v>
      </c>
      <c r="J2" s="81" t="s">
        <v>9</v>
      </c>
    </row>
    <row r="3" spans="1:10">
      <c r="A3" s="81" t="s">
        <v>10</v>
      </c>
      <c r="B3" s="81" t="s">
        <v>11</v>
      </c>
      <c r="C3" s="81" t="s">
        <v>12</v>
      </c>
      <c r="D3" s="81" t="s">
        <v>13</v>
      </c>
      <c r="E3" s="82" t="s">
        <v>14</v>
      </c>
      <c r="F3" s="82" t="s">
        <v>15</v>
      </c>
      <c r="G3" s="81" t="s">
        <v>16</v>
      </c>
      <c r="H3" s="81" t="s">
        <v>17</v>
      </c>
      <c r="I3" s="81" t="s">
        <v>18</v>
      </c>
      <c r="J3" s="81"/>
    </row>
    <row r="4" spans="1:10">
      <c r="A4" s="81" t="s">
        <v>19</v>
      </c>
      <c r="B4" s="81" t="s">
        <v>19</v>
      </c>
      <c r="C4" s="81" t="s">
        <v>19</v>
      </c>
      <c r="D4" s="81" t="s">
        <v>20</v>
      </c>
      <c r="E4" s="82" t="s">
        <v>19</v>
      </c>
      <c r="F4" s="82" t="s">
        <v>19</v>
      </c>
      <c r="G4" s="81" t="s">
        <v>20</v>
      </c>
      <c r="H4" s="81" t="s">
        <v>21</v>
      </c>
      <c r="I4" s="81" t="s">
        <v>20</v>
      </c>
      <c r="J4" s="81" t="s">
        <v>19</v>
      </c>
    </row>
    <row r="5" spans="1:10">
      <c r="A5" s="81" t="s">
        <v>22</v>
      </c>
      <c r="B5" s="81" t="s">
        <v>23</v>
      </c>
      <c r="C5" s="81" t="s">
        <v>23</v>
      </c>
      <c r="D5" s="81" t="s">
        <v>23</v>
      </c>
      <c r="E5" s="82" t="s">
        <v>23</v>
      </c>
      <c r="F5" s="82" t="s">
        <v>23</v>
      </c>
      <c r="G5" s="81" t="s">
        <v>23</v>
      </c>
      <c r="H5" s="81" t="s">
        <v>23</v>
      </c>
      <c r="I5" s="81" t="s">
        <v>23</v>
      </c>
      <c r="J5" s="81" t="s">
        <v>23</v>
      </c>
    </row>
    <row r="6" spans="1:10">
      <c r="A6" s="81" t="s">
        <v>24</v>
      </c>
      <c r="B6" s="81" t="s">
        <v>11</v>
      </c>
      <c r="C6" s="81" t="s">
        <v>12</v>
      </c>
      <c r="D6" s="81" t="s">
        <v>13</v>
      </c>
      <c r="E6" s="82" t="s">
        <v>14</v>
      </c>
      <c r="F6" s="82" t="s">
        <v>15</v>
      </c>
      <c r="G6" s="81"/>
      <c r="H6" s="81"/>
      <c r="I6" s="81"/>
      <c r="J6" s="81" t="s">
        <v>25</v>
      </c>
    </row>
    <row r="7" spans="1:10">
      <c r="A7" s="79">
        <v>1</v>
      </c>
      <c r="B7" s="79">
        <v>1112001</v>
      </c>
      <c r="C7" s="84">
        <v>812001</v>
      </c>
      <c r="D7" s="85" t="s">
        <v>26</v>
      </c>
      <c r="G7" s="105" t="s">
        <v>27</v>
      </c>
      <c r="H7" s="78" t="s">
        <v>28</v>
      </c>
      <c r="I7" s="79" t="s">
        <v>29</v>
      </c>
      <c r="J7" s="79">
        <v>1</v>
      </c>
    </row>
    <row r="8" spans="1:10">
      <c r="A8" s="79">
        <v>2</v>
      </c>
      <c r="B8" s="79">
        <v>1112002</v>
      </c>
      <c r="C8" s="84">
        <v>812002</v>
      </c>
      <c r="D8" s="85" t="s">
        <v>30</v>
      </c>
      <c r="G8" s="105" t="s">
        <v>31</v>
      </c>
      <c r="H8" s="78" t="s">
        <v>32</v>
      </c>
      <c r="I8" s="79" t="s">
        <v>33</v>
      </c>
      <c r="J8" s="79">
        <v>1</v>
      </c>
    </row>
    <row r="9" spans="1:10">
      <c r="A9" s="79">
        <v>3</v>
      </c>
      <c r="B9" s="79">
        <v>1112003</v>
      </c>
      <c r="C9" s="84">
        <v>812003</v>
      </c>
      <c r="D9" s="85" t="s">
        <v>34</v>
      </c>
      <c r="G9" s="105" t="s">
        <v>35</v>
      </c>
      <c r="H9" s="78" t="s">
        <v>36</v>
      </c>
      <c r="I9" s="79" t="s">
        <v>37</v>
      </c>
      <c r="J9" s="79">
        <v>1</v>
      </c>
    </row>
    <row r="10" spans="1:10">
      <c r="A10" s="79">
        <v>4</v>
      </c>
      <c r="B10" s="79">
        <v>1112004</v>
      </c>
      <c r="C10" s="84">
        <v>812004</v>
      </c>
      <c r="D10" s="85" t="s">
        <v>38</v>
      </c>
      <c r="G10" s="105" t="s">
        <v>39</v>
      </c>
      <c r="H10" s="78" t="s">
        <v>40</v>
      </c>
      <c r="I10" s="79" t="s">
        <v>41</v>
      </c>
      <c r="J10" s="79">
        <v>1</v>
      </c>
    </row>
    <row r="11" spans="1:10">
      <c r="A11" s="79">
        <v>5</v>
      </c>
      <c r="B11" s="79">
        <v>1112005</v>
      </c>
      <c r="C11" s="84">
        <v>812005</v>
      </c>
      <c r="D11" s="85" t="s">
        <v>42</v>
      </c>
      <c r="G11" s="105" t="s">
        <v>43</v>
      </c>
      <c r="H11" s="78" t="s">
        <v>44</v>
      </c>
      <c r="I11" s="79" t="s">
        <v>45</v>
      </c>
      <c r="J11" s="79">
        <v>1</v>
      </c>
    </row>
    <row r="12" spans="1:10">
      <c r="A12" s="79">
        <v>6</v>
      </c>
      <c r="B12" s="79">
        <v>1112006</v>
      </c>
      <c r="C12" s="84">
        <v>812006</v>
      </c>
      <c r="D12" s="85" t="s">
        <v>46</v>
      </c>
      <c r="G12" s="105" t="s">
        <v>47</v>
      </c>
      <c r="H12" s="78" t="s">
        <v>48</v>
      </c>
      <c r="I12" s="79" t="s">
        <v>49</v>
      </c>
      <c r="J12" s="79">
        <v>1</v>
      </c>
    </row>
    <row r="13" spans="1:10">
      <c r="A13" s="79">
        <v>19</v>
      </c>
      <c r="B13" s="79">
        <v>1112007</v>
      </c>
      <c r="C13" s="84">
        <v>51112007</v>
      </c>
      <c r="D13" s="85" t="s">
        <v>50</v>
      </c>
      <c r="G13" s="105" t="s">
        <v>51</v>
      </c>
      <c r="H13" s="78" t="s">
        <v>52</v>
      </c>
      <c r="I13" s="79" t="s">
        <v>53</v>
      </c>
      <c r="J13" s="79">
        <v>1</v>
      </c>
    </row>
    <row r="14" spans="1:10">
      <c r="A14" s="79">
        <v>7</v>
      </c>
      <c r="B14" s="79">
        <v>1112008</v>
      </c>
      <c r="C14" s="84">
        <v>812008</v>
      </c>
      <c r="D14" s="85" t="s">
        <v>54</v>
      </c>
      <c r="G14" s="105" t="s">
        <v>55</v>
      </c>
      <c r="H14" s="78" t="s">
        <v>56</v>
      </c>
      <c r="I14" s="79" t="s">
        <v>57</v>
      </c>
      <c r="J14" s="79">
        <v>1</v>
      </c>
    </row>
    <row r="15" spans="1:10">
      <c r="A15" s="79">
        <v>15</v>
      </c>
      <c r="B15" s="79">
        <v>1112009</v>
      </c>
      <c r="C15" s="84">
        <v>812009</v>
      </c>
      <c r="D15" s="85" t="s">
        <v>58</v>
      </c>
      <c r="G15" s="105" t="s">
        <v>59</v>
      </c>
      <c r="H15" s="78" t="s">
        <v>60</v>
      </c>
      <c r="I15" s="79" t="s">
        <v>61</v>
      </c>
      <c r="J15" s="79">
        <v>1</v>
      </c>
    </row>
    <row r="16" spans="1:10">
      <c r="A16" s="79">
        <v>8</v>
      </c>
      <c r="B16" s="79">
        <v>1112010</v>
      </c>
      <c r="C16" s="84">
        <v>812010</v>
      </c>
      <c r="D16" s="85" t="s">
        <v>62</v>
      </c>
      <c r="G16" s="105" t="s">
        <v>63</v>
      </c>
      <c r="H16" s="78" t="s">
        <v>64</v>
      </c>
      <c r="I16" s="79" t="s">
        <v>65</v>
      </c>
      <c r="J16" s="79">
        <v>1</v>
      </c>
    </row>
    <row r="17" spans="1:10">
      <c r="A17" s="79">
        <v>9</v>
      </c>
      <c r="B17" s="79">
        <v>1112011</v>
      </c>
      <c r="C17" s="84">
        <v>812011</v>
      </c>
      <c r="D17" s="85" t="s">
        <v>66</v>
      </c>
      <c r="G17" s="105" t="s">
        <v>67</v>
      </c>
      <c r="H17" s="78" t="s">
        <v>68</v>
      </c>
      <c r="I17" s="79" t="s">
        <v>69</v>
      </c>
      <c r="J17" s="79">
        <v>1</v>
      </c>
    </row>
    <row r="18" spans="1:10">
      <c r="A18" s="79">
        <v>10</v>
      </c>
      <c r="B18" s="79">
        <v>1112012</v>
      </c>
      <c r="C18" s="84">
        <v>812012</v>
      </c>
      <c r="D18" s="85" t="s">
        <v>70</v>
      </c>
      <c r="G18" s="105" t="s">
        <v>71</v>
      </c>
      <c r="H18" s="78" t="s">
        <v>72</v>
      </c>
      <c r="I18" s="79" t="s">
        <v>73</v>
      </c>
      <c r="J18" s="79">
        <v>1</v>
      </c>
    </row>
    <row r="19" spans="1:10">
      <c r="A19" s="79">
        <v>11</v>
      </c>
      <c r="B19" s="79">
        <v>1112013</v>
      </c>
      <c r="C19" s="84">
        <v>812013</v>
      </c>
      <c r="D19" s="85" t="s">
        <v>74</v>
      </c>
      <c r="G19" s="105" t="s">
        <v>75</v>
      </c>
      <c r="H19" s="78" t="s">
        <v>76</v>
      </c>
      <c r="I19" s="79" t="s">
        <v>77</v>
      </c>
      <c r="J19" s="79">
        <v>1</v>
      </c>
    </row>
    <row r="20" spans="1:10">
      <c r="A20" s="79">
        <v>12</v>
      </c>
      <c r="B20" s="79">
        <v>1112014</v>
      </c>
      <c r="C20" s="84">
        <v>812014</v>
      </c>
      <c r="D20" s="85" t="s">
        <v>78</v>
      </c>
      <c r="G20" s="105" t="s">
        <v>79</v>
      </c>
      <c r="H20" s="78" t="s">
        <v>80</v>
      </c>
      <c r="I20" s="79" t="s">
        <v>81</v>
      </c>
      <c r="J20" s="79">
        <v>1</v>
      </c>
    </row>
    <row r="21" spans="1:10">
      <c r="A21" s="79">
        <v>13</v>
      </c>
      <c r="B21" s="79">
        <v>1112015</v>
      </c>
      <c r="C21" s="84">
        <v>812015</v>
      </c>
      <c r="D21" s="85" t="s">
        <v>82</v>
      </c>
      <c r="G21" s="105" t="s">
        <v>83</v>
      </c>
      <c r="H21" s="78" t="s">
        <v>84</v>
      </c>
      <c r="I21" s="79" t="s">
        <v>85</v>
      </c>
      <c r="J21" s="79">
        <v>1</v>
      </c>
    </row>
    <row r="22" spans="1:10">
      <c r="A22" s="79">
        <v>14</v>
      </c>
      <c r="B22" s="79">
        <v>1112017</v>
      </c>
      <c r="C22" s="84">
        <v>812017</v>
      </c>
      <c r="D22" s="85" t="s">
        <v>86</v>
      </c>
      <c r="G22" s="105" t="s">
        <v>87</v>
      </c>
      <c r="H22" s="78" t="s">
        <v>88</v>
      </c>
      <c r="I22" s="79" t="s">
        <v>89</v>
      </c>
      <c r="J22" s="79">
        <v>1</v>
      </c>
    </row>
    <row r="23" spans="1:10">
      <c r="A23" s="79">
        <v>16</v>
      </c>
      <c r="B23" s="79">
        <v>1112019</v>
      </c>
      <c r="C23" s="84">
        <v>812018</v>
      </c>
      <c r="D23" s="85" t="s">
        <v>90</v>
      </c>
      <c r="G23" s="105" t="s">
        <v>91</v>
      </c>
      <c r="H23" s="78" t="s">
        <v>92</v>
      </c>
      <c r="I23" s="79" t="s">
        <v>93</v>
      </c>
      <c r="J23" s="79">
        <v>1</v>
      </c>
    </row>
    <row r="24" spans="1:10">
      <c r="A24" s="79">
        <v>17</v>
      </c>
      <c r="B24" s="79">
        <v>1112020</v>
      </c>
      <c r="C24" s="84">
        <v>812019</v>
      </c>
      <c r="D24" s="85" t="s">
        <v>94</v>
      </c>
      <c r="G24" s="105" t="s">
        <v>95</v>
      </c>
      <c r="H24" s="78" t="s">
        <v>96</v>
      </c>
      <c r="I24" s="79" t="s">
        <v>97</v>
      </c>
      <c r="J24" s="79">
        <v>1</v>
      </c>
    </row>
    <row r="25" spans="1:10">
      <c r="A25" s="79">
        <v>18</v>
      </c>
      <c r="B25" s="79">
        <v>1112021</v>
      </c>
      <c r="C25" s="84">
        <v>812020</v>
      </c>
      <c r="D25" s="85" t="s">
        <v>98</v>
      </c>
      <c r="G25" s="105" t="s">
        <v>99</v>
      </c>
      <c r="H25" s="78" t="s">
        <v>100</v>
      </c>
      <c r="I25" s="79" t="s">
        <v>101</v>
      </c>
      <c r="J25" s="79">
        <v>1</v>
      </c>
    </row>
    <row r="26" spans="1:10">
      <c r="A26" s="79">
        <v>30</v>
      </c>
      <c r="B26" s="79">
        <v>1112022</v>
      </c>
      <c r="C26" s="84">
        <v>813022</v>
      </c>
      <c r="D26" s="87" t="s">
        <v>102</v>
      </c>
      <c r="G26" s="105" t="s">
        <v>103</v>
      </c>
      <c r="H26" s="78" t="s">
        <v>104</v>
      </c>
      <c r="I26" s="79" t="s">
        <v>105</v>
      </c>
      <c r="J26" s="79">
        <v>1</v>
      </c>
    </row>
    <row r="27" spans="1:10">
      <c r="A27" s="79">
        <v>20</v>
      </c>
      <c r="B27" s="79">
        <v>1112024</v>
      </c>
      <c r="C27" s="84">
        <v>812022</v>
      </c>
      <c r="D27" s="85" t="s">
        <v>106</v>
      </c>
      <c r="G27" s="105" t="s">
        <v>107</v>
      </c>
      <c r="H27" s="78" t="s">
        <v>108</v>
      </c>
      <c r="I27" s="79" t="s">
        <v>109</v>
      </c>
      <c r="J27" s="79">
        <v>1</v>
      </c>
    </row>
    <row r="28" spans="1:10">
      <c r="A28" s="79">
        <v>21</v>
      </c>
      <c r="B28" s="79">
        <v>1112025</v>
      </c>
      <c r="C28" s="84">
        <v>812023</v>
      </c>
      <c r="D28" s="85" t="s">
        <v>110</v>
      </c>
      <c r="G28" s="105" t="s">
        <v>111</v>
      </c>
      <c r="H28" s="78" t="s">
        <v>112</v>
      </c>
      <c r="I28" s="79" t="s">
        <v>113</v>
      </c>
      <c r="J28" s="79">
        <v>1</v>
      </c>
    </row>
    <row r="29" spans="1:10">
      <c r="A29" s="79">
        <v>22</v>
      </c>
      <c r="B29" s="79">
        <v>1113001</v>
      </c>
      <c r="C29" s="84">
        <v>813001</v>
      </c>
      <c r="D29" s="87" t="s">
        <v>114</v>
      </c>
      <c r="G29" s="105" t="s">
        <v>115</v>
      </c>
      <c r="H29" s="78" t="s">
        <v>116</v>
      </c>
      <c r="I29" s="79" t="s">
        <v>117</v>
      </c>
      <c r="J29" s="79">
        <v>1</v>
      </c>
    </row>
    <row r="30" spans="1:10">
      <c r="A30" s="79">
        <v>25</v>
      </c>
      <c r="B30" s="79">
        <v>1113002</v>
      </c>
      <c r="C30" s="84">
        <v>813002</v>
      </c>
      <c r="D30" s="87" t="s">
        <v>118</v>
      </c>
      <c r="G30" s="105" t="s">
        <v>119</v>
      </c>
      <c r="H30" s="78" t="s">
        <v>120</v>
      </c>
      <c r="I30" s="79" t="s">
        <v>121</v>
      </c>
      <c r="J30" s="79">
        <v>1</v>
      </c>
    </row>
    <row r="31" spans="1:10">
      <c r="A31" s="79">
        <v>23</v>
      </c>
      <c r="B31" s="79">
        <v>1113003</v>
      </c>
      <c r="C31" s="84">
        <v>813003</v>
      </c>
      <c r="D31" s="87" t="s">
        <v>122</v>
      </c>
      <c r="G31" s="105" t="s">
        <v>123</v>
      </c>
      <c r="H31" s="78" t="s">
        <v>124</v>
      </c>
      <c r="I31" s="79" t="s">
        <v>125</v>
      </c>
      <c r="J31" s="79">
        <v>1</v>
      </c>
    </row>
    <row r="32" spans="1:10">
      <c r="A32" s="79">
        <v>31</v>
      </c>
      <c r="B32" s="79">
        <v>1113004</v>
      </c>
      <c r="C32" s="84">
        <v>813004</v>
      </c>
      <c r="D32" s="87" t="s">
        <v>126</v>
      </c>
      <c r="G32" s="105" t="s">
        <v>127</v>
      </c>
      <c r="H32" s="78" t="s">
        <v>128</v>
      </c>
      <c r="I32" s="79" t="s">
        <v>129</v>
      </c>
      <c r="J32" s="79">
        <v>1</v>
      </c>
    </row>
    <row r="33" spans="1:10">
      <c r="A33" s="79">
        <v>32</v>
      </c>
      <c r="B33" s="79">
        <v>1113005</v>
      </c>
      <c r="C33" s="84">
        <v>813023</v>
      </c>
      <c r="D33" s="87" t="s">
        <v>130</v>
      </c>
      <c r="G33" s="105" t="s">
        <v>131</v>
      </c>
      <c r="H33" s="78" t="s">
        <v>132</v>
      </c>
      <c r="I33" s="79" t="s">
        <v>133</v>
      </c>
      <c r="J33" s="79">
        <v>1</v>
      </c>
    </row>
    <row r="34" spans="1:10">
      <c r="A34" s="79">
        <v>26</v>
      </c>
      <c r="B34" s="79">
        <v>1113006</v>
      </c>
      <c r="C34" s="88">
        <v>813006</v>
      </c>
      <c r="D34" s="87" t="s">
        <v>134</v>
      </c>
      <c r="G34" s="105" t="s">
        <v>135</v>
      </c>
      <c r="H34" s="78" t="s">
        <v>136</v>
      </c>
      <c r="I34" s="79" t="s">
        <v>137</v>
      </c>
      <c r="J34" s="79">
        <v>1</v>
      </c>
    </row>
    <row r="35" spans="1:10">
      <c r="A35" s="79">
        <v>28</v>
      </c>
      <c r="B35" s="79">
        <v>1113007</v>
      </c>
      <c r="C35" s="84">
        <v>813007</v>
      </c>
      <c r="D35" s="87" t="s">
        <v>138</v>
      </c>
      <c r="G35" s="105" t="s">
        <v>139</v>
      </c>
      <c r="H35" s="78" t="s">
        <v>140</v>
      </c>
      <c r="I35" s="79" t="s">
        <v>141</v>
      </c>
      <c r="J35" s="79">
        <v>1</v>
      </c>
    </row>
    <row r="36" spans="1:10">
      <c r="A36" s="79">
        <v>27</v>
      </c>
      <c r="B36" s="79">
        <v>1113008</v>
      </c>
      <c r="C36" s="88">
        <v>813008</v>
      </c>
      <c r="D36" s="87" t="s">
        <v>142</v>
      </c>
      <c r="G36" s="105" t="s">
        <v>143</v>
      </c>
      <c r="H36" s="78" t="s">
        <v>144</v>
      </c>
      <c r="I36" s="79" t="s">
        <v>145</v>
      </c>
      <c r="J36" s="79">
        <v>1</v>
      </c>
    </row>
    <row r="37" spans="1:10">
      <c r="A37" s="79">
        <v>29</v>
      </c>
      <c r="B37" s="79">
        <v>1113009</v>
      </c>
      <c r="C37" s="84">
        <v>813009</v>
      </c>
      <c r="D37" s="87" t="s">
        <v>146</v>
      </c>
      <c r="G37" s="105" t="s">
        <v>147</v>
      </c>
      <c r="H37" s="78" t="s">
        <v>148</v>
      </c>
      <c r="I37" s="79" t="s">
        <v>149</v>
      </c>
      <c r="J37" s="79">
        <v>1</v>
      </c>
    </row>
    <row r="38" spans="1:10">
      <c r="A38" s="79">
        <v>24</v>
      </c>
      <c r="B38" s="79">
        <v>1113010</v>
      </c>
      <c r="C38" s="84">
        <v>813010</v>
      </c>
      <c r="D38" s="87" t="s">
        <v>150</v>
      </c>
      <c r="G38" s="105" t="s">
        <v>151</v>
      </c>
      <c r="H38" s="78" t="s">
        <v>152</v>
      </c>
      <c r="I38" s="79" t="s">
        <v>153</v>
      </c>
      <c r="J38" s="79">
        <v>1</v>
      </c>
    </row>
    <row r="41" spans="3:3">
      <c r="C41" s="89"/>
    </row>
  </sheetData>
  <autoFilter ref="A6:I38">
    <sortState ref="A6:I38">
      <sortCondition ref="B6"/>
    </sortState>
    <extLst/>
  </autoFilter>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4"/>
  <sheetViews>
    <sheetView workbookViewId="0">
      <pane ySplit="1" topLeftCell="A2" activePane="bottomLeft" state="frozen"/>
      <selection/>
      <selection pane="bottomLeft" activeCell="N11" sqref="N11"/>
    </sheetView>
  </sheetViews>
  <sheetFormatPr defaultColWidth="9" defaultRowHeight="14.1"/>
  <cols>
    <col min="1" max="1" width="20.5405405405405" style="6" customWidth="1"/>
    <col min="2" max="4" width="9" style="91"/>
    <col min="5" max="7" width="9" style="92"/>
    <col min="8" max="11" width="9" style="91"/>
    <col min="12" max="12" width="9" style="6"/>
    <col min="13" max="13" width="30.8648648648649" style="6" customWidth="1"/>
    <col min="14" max="14" width="35.3333333333333" style="6" customWidth="1"/>
    <col min="15" max="15" width="35.3333333333333" style="93"/>
  </cols>
  <sheetData>
    <row r="1" spans="1:14">
      <c r="A1" s="94" t="s">
        <v>154</v>
      </c>
      <c r="B1" s="91" t="s">
        <v>155</v>
      </c>
      <c r="C1" s="95" t="s">
        <v>156</v>
      </c>
      <c r="D1" s="95"/>
      <c r="E1" s="96" t="s">
        <v>157</v>
      </c>
      <c r="F1" s="96"/>
      <c r="G1" s="96" t="s">
        <v>158</v>
      </c>
      <c r="H1" s="95"/>
      <c r="I1" s="95" t="s">
        <v>159</v>
      </c>
      <c r="K1" s="101" t="s">
        <v>160</v>
      </c>
      <c r="N1" s="102" t="s">
        <v>161</v>
      </c>
    </row>
    <row r="2" spans="1:14">
      <c r="A2" s="97">
        <v>812001</v>
      </c>
      <c r="B2" s="98">
        <v>600037</v>
      </c>
      <c r="C2" s="73">
        <v>600059</v>
      </c>
      <c r="D2" s="73" t="s">
        <v>162</v>
      </c>
      <c r="E2" s="72" t="s">
        <v>163</v>
      </c>
      <c r="F2" s="72" t="s">
        <v>162</v>
      </c>
      <c r="G2" s="72" t="s">
        <v>164</v>
      </c>
      <c r="H2" s="73" t="s">
        <v>162</v>
      </c>
      <c r="I2" s="73">
        <v>600060</v>
      </c>
      <c r="J2" s="73"/>
      <c r="K2" s="73" t="s">
        <v>165</v>
      </c>
      <c r="M2" s="6" t="str">
        <f>C2&amp;D2&amp;E2&amp;F2&amp;G2&amp;H2&amp;I2</f>
        <v>600059,500002,500006,600060</v>
      </c>
      <c r="N2" s="6" t="s">
        <v>166</v>
      </c>
    </row>
    <row r="3" spans="1:14">
      <c r="A3" s="97">
        <v>812002</v>
      </c>
      <c r="B3" s="98">
        <v>600038</v>
      </c>
      <c r="C3" s="73">
        <v>600061</v>
      </c>
      <c r="D3" s="73" t="s">
        <v>162</v>
      </c>
      <c r="E3" s="72" t="s">
        <v>167</v>
      </c>
      <c r="F3" s="72" t="s">
        <v>162</v>
      </c>
      <c r="G3" s="72" t="s">
        <v>168</v>
      </c>
      <c r="H3" s="73" t="s">
        <v>162</v>
      </c>
      <c r="I3" s="73">
        <v>600062</v>
      </c>
      <c r="J3" s="73"/>
      <c r="K3" s="73" t="s">
        <v>169</v>
      </c>
      <c r="M3" s="6" t="str">
        <f t="shared" ref="M3:M24" si="0">C3&amp;D3&amp;E3&amp;F3&amp;G3&amp;H3&amp;I3</f>
        <v>600061,500027,500025,600062</v>
      </c>
      <c r="N3" s="6" t="s">
        <v>170</v>
      </c>
    </row>
    <row r="4" spans="1:14">
      <c r="A4" s="97">
        <v>812005</v>
      </c>
      <c r="B4" s="98">
        <v>600039</v>
      </c>
      <c r="C4" s="73">
        <v>600063</v>
      </c>
      <c r="D4" s="73" t="s">
        <v>162</v>
      </c>
      <c r="E4" s="72">
        <v>500052</v>
      </c>
      <c r="F4" s="72" t="s">
        <v>162</v>
      </c>
      <c r="G4" s="72">
        <v>500050</v>
      </c>
      <c r="H4" s="73" t="s">
        <v>162</v>
      </c>
      <c r="I4" s="73">
        <v>600064</v>
      </c>
      <c r="J4" s="73"/>
      <c r="K4" s="73" t="s">
        <v>171</v>
      </c>
      <c r="M4" s="6" t="str">
        <f t="shared" si="0"/>
        <v>600063,500052,500050,600064</v>
      </c>
      <c r="N4" s="6" t="s">
        <v>172</v>
      </c>
    </row>
    <row r="5" spans="1:14">
      <c r="A5" s="97">
        <v>812004</v>
      </c>
      <c r="B5" s="98">
        <v>600040</v>
      </c>
      <c r="C5" s="73">
        <v>600065</v>
      </c>
      <c r="D5" s="73" t="s">
        <v>162</v>
      </c>
      <c r="E5" s="72" t="s">
        <v>173</v>
      </c>
      <c r="F5" s="72" t="s">
        <v>162</v>
      </c>
      <c r="G5" s="72" t="s">
        <v>174</v>
      </c>
      <c r="H5" s="73" t="s">
        <v>162</v>
      </c>
      <c r="I5" s="73">
        <v>600066</v>
      </c>
      <c r="J5" s="73"/>
      <c r="K5" s="73" t="s">
        <v>175</v>
      </c>
      <c r="M5" s="6" t="str">
        <f t="shared" si="0"/>
        <v>600065,500058,500057,600066</v>
      </c>
      <c r="N5" s="6" t="s">
        <v>176</v>
      </c>
    </row>
    <row r="6" spans="1:14">
      <c r="A6" s="97">
        <v>812003</v>
      </c>
      <c r="B6" s="98">
        <v>600041</v>
      </c>
      <c r="C6" s="73">
        <v>600067</v>
      </c>
      <c r="D6" s="73" t="s">
        <v>162</v>
      </c>
      <c r="E6" s="72" t="s">
        <v>177</v>
      </c>
      <c r="F6" s="72" t="s">
        <v>162</v>
      </c>
      <c r="G6" s="72" t="s">
        <v>178</v>
      </c>
      <c r="H6" s="73" t="s">
        <v>162</v>
      </c>
      <c r="I6" s="73">
        <v>600068</v>
      </c>
      <c r="J6" s="73"/>
      <c r="K6" s="73" t="s">
        <v>179</v>
      </c>
      <c r="M6" s="6" t="str">
        <f t="shared" si="0"/>
        <v>600067,500066,500065,600068</v>
      </c>
      <c r="N6" s="6" t="s">
        <v>180</v>
      </c>
    </row>
    <row r="7" spans="1:14">
      <c r="A7" s="97">
        <v>812006</v>
      </c>
      <c r="B7" s="98">
        <v>600042</v>
      </c>
      <c r="C7" s="73" t="s">
        <v>181</v>
      </c>
      <c r="D7" s="73" t="s">
        <v>162</v>
      </c>
      <c r="E7" s="72" t="s">
        <v>182</v>
      </c>
      <c r="F7" s="72" t="s">
        <v>162</v>
      </c>
      <c r="G7" s="72" t="s">
        <v>183</v>
      </c>
      <c r="H7" s="73" t="s">
        <v>162</v>
      </c>
      <c r="I7" s="73">
        <v>600069</v>
      </c>
      <c r="J7" s="73"/>
      <c r="K7" s="73" t="s">
        <v>184</v>
      </c>
      <c r="M7" s="6" t="str">
        <f t="shared" si="0"/>
        <v>500084,500023,500182,600069</v>
      </c>
      <c r="N7" s="6" t="s">
        <v>185</v>
      </c>
    </row>
    <row r="8" spans="1:14">
      <c r="A8" s="97">
        <v>812008</v>
      </c>
      <c r="B8" s="98">
        <v>600043</v>
      </c>
      <c r="C8" s="73" t="s">
        <v>186</v>
      </c>
      <c r="D8" s="73" t="s">
        <v>162</v>
      </c>
      <c r="E8" s="72" t="s">
        <v>187</v>
      </c>
      <c r="F8" s="72" t="s">
        <v>162</v>
      </c>
      <c r="G8" s="72" t="s">
        <v>188</v>
      </c>
      <c r="H8" s="73" t="s">
        <v>162</v>
      </c>
      <c r="I8" s="73">
        <v>600070</v>
      </c>
      <c r="J8" s="73"/>
      <c r="K8" s="73" t="s">
        <v>189</v>
      </c>
      <c r="M8" s="6" t="str">
        <f t="shared" si="0"/>
        <v>500076,500079,500080,600070</v>
      </c>
      <c r="N8" s="6" t="s">
        <v>190</v>
      </c>
    </row>
    <row r="9" spans="1:14">
      <c r="A9" s="97">
        <v>812010</v>
      </c>
      <c r="B9" s="98">
        <v>600044</v>
      </c>
      <c r="C9" s="73">
        <v>600071</v>
      </c>
      <c r="D9" s="73" t="s">
        <v>162</v>
      </c>
      <c r="E9" s="72" t="s">
        <v>191</v>
      </c>
      <c r="F9" s="72" t="s">
        <v>162</v>
      </c>
      <c r="G9" s="72" t="s">
        <v>192</v>
      </c>
      <c r="H9" s="73" t="s">
        <v>162</v>
      </c>
      <c r="I9" s="73">
        <v>600072</v>
      </c>
      <c r="J9" s="73"/>
      <c r="K9" s="73" t="s">
        <v>193</v>
      </c>
      <c r="M9" s="6" t="str">
        <f t="shared" si="0"/>
        <v>600071,500095,500094,600072</v>
      </c>
      <c r="N9" s="6" t="s">
        <v>194</v>
      </c>
    </row>
    <row r="10" spans="1:14">
      <c r="A10" s="97">
        <v>812011</v>
      </c>
      <c r="B10" s="98">
        <v>600045</v>
      </c>
      <c r="C10" s="73">
        <v>600073</v>
      </c>
      <c r="D10" s="73" t="s">
        <v>162</v>
      </c>
      <c r="E10" s="72" t="s">
        <v>195</v>
      </c>
      <c r="F10" s="72" t="s">
        <v>162</v>
      </c>
      <c r="G10" s="72" t="s">
        <v>196</v>
      </c>
      <c r="H10" s="73" t="s">
        <v>162</v>
      </c>
      <c r="I10" s="73">
        <v>600074</v>
      </c>
      <c r="J10" s="73"/>
      <c r="K10" s="73" t="s">
        <v>197</v>
      </c>
      <c r="M10" s="6" t="str">
        <f t="shared" si="0"/>
        <v>600073,500110,500108,600074</v>
      </c>
      <c r="N10" s="6" t="s">
        <v>198</v>
      </c>
    </row>
    <row r="11" spans="1:14">
      <c r="A11" s="97">
        <v>812012</v>
      </c>
      <c r="B11" s="98">
        <v>600046</v>
      </c>
      <c r="C11" s="73">
        <v>600075</v>
      </c>
      <c r="D11" s="73" t="s">
        <v>162</v>
      </c>
      <c r="E11" s="72" t="s">
        <v>199</v>
      </c>
      <c r="F11" s="72" t="s">
        <v>162</v>
      </c>
      <c r="G11" s="72" t="s">
        <v>200</v>
      </c>
      <c r="H11" s="73" t="s">
        <v>162</v>
      </c>
      <c r="I11" s="73">
        <v>600076</v>
      </c>
      <c r="J11" s="73"/>
      <c r="K11" s="73" t="s">
        <v>201</v>
      </c>
      <c r="M11" s="6" t="str">
        <f t="shared" si="0"/>
        <v>600075,500128,500129,600076</v>
      </c>
      <c r="N11" s="6" t="s">
        <v>202</v>
      </c>
    </row>
    <row r="12" spans="1:14">
      <c r="A12" s="97">
        <v>812013</v>
      </c>
      <c r="B12" s="98">
        <v>600047</v>
      </c>
      <c r="C12" s="76">
        <v>600026</v>
      </c>
      <c r="D12" s="73" t="s">
        <v>162</v>
      </c>
      <c r="E12" s="72" t="s">
        <v>203</v>
      </c>
      <c r="F12" s="72" t="s">
        <v>162</v>
      </c>
      <c r="G12" s="72" t="s">
        <v>204</v>
      </c>
      <c r="H12" s="73" t="s">
        <v>162</v>
      </c>
      <c r="I12" s="76">
        <v>600027</v>
      </c>
      <c r="J12" s="73"/>
      <c r="K12" s="73" t="s">
        <v>205</v>
      </c>
      <c r="M12" s="6" t="str">
        <f t="shared" si="0"/>
        <v>600026,500119,500121,600027</v>
      </c>
      <c r="N12" s="6" t="s">
        <v>206</v>
      </c>
    </row>
    <row r="13" spans="1:14">
      <c r="A13" s="97">
        <v>812014</v>
      </c>
      <c r="B13" s="98">
        <v>600048</v>
      </c>
      <c r="C13" s="73" t="s">
        <v>207</v>
      </c>
      <c r="D13" s="73" t="s">
        <v>162</v>
      </c>
      <c r="E13" s="72" t="s">
        <v>208</v>
      </c>
      <c r="F13" s="72" t="s">
        <v>162</v>
      </c>
      <c r="G13" s="72" t="s">
        <v>209</v>
      </c>
      <c r="H13" s="73" t="s">
        <v>162</v>
      </c>
      <c r="I13" s="76">
        <v>600029</v>
      </c>
      <c r="J13" s="73"/>
      <c r="K13" s="73" t="s">
        <v>210</v>
      </c>
      <c r="M13" s="6" t="str">
        <f t="shared" si="0"/>
        <v>500143,500144,500141,600029</v>
      </c>
      <c r="N13" s="6" t="s">
        <v>211</v>
      </c>
    </row>
    <row r="14" ht="14.15" spans="1:14">
      <c r="A14" s="97">
        <v>812015</v>
      </c>
      <c r="B14" s="98">
        <v>600049</v>
      </c>
      <c r="C14" s="76">
        <v>600031</v>
      </c>
      <c r="D14" s="73" t="s">
        <v>162</v>
      </c>
      <c r="E14" s="72">
        <v>600030</v>
      </c>
      <c r="F14" s="72" t="s">
        <v>162</v>
      </c>
      <c r="G14" s="72" t="s">
        <v>212</v>
      </c>
      <c r="H14" s="73" t="s">
        <v>162</v>
      </c>
      <c r="I14" s="73"/>
      <c r="J14" s="73"/>
      <c r="K14" s="73" t="s">
        <v>213</v>
      </c>
      <c r="M14" s="6" t="str">
        <f t="shared" si="0"/>
        <v>600031,600030,500136,</v>
      </c>
      <c r="N14" s="103" t="s">
        <v>214</v>
      </c>
    </row>
    <row r="15" spans="1:14">
      <c r="A15" s="71">
        <v>812016</v>
      </c>
      <c r="B15" s="99">
        <v>600050</v>
      </c>
      <c r="C15" s="76">
        <v>600032</v>
      </c>
      <c r="D15" s="73" t="s">
        <v>162</v>
      </c>
      <c r="E15" s="72">
        <v>600033</v>
      </c>
      <c r="F15" s="72" t="s">
        <v>162</v>
      </c>
      <c r="G15" s="72" t="s">
        <v>215</v>
      </c>
      <c r="H15" s="73" t="s">
        <v>162</v>
      </c>
      <c r="I15" s="71">
        <v>600034</v>
      </c>
      <c r="J15" s="71"/>
      <c r="K15" s="71" t="s">
        <v>216</v>
      </c>
      <c r="M15" s="6" t="str">
        <f t="shared" si="0"/>
        <v>600032,600033,500310,600034</v>
      </c>
      <c r="N15" s="6" t="s">
        <v>217</v>
      </c>
    </row>
    <row r="16" spans="1:14">
      <c r="A16" s="100">
        <v>812017</v>
      </c>
      <c r="B16" s="99">
        <v>600051</v>
      </c>
      <c r="C16" s="71">
        <v>600035</v>
      </c>
      <c r="D16" s="73" t="s">
        <v>162</v>
      </c>
      <c r="E16" s="72" t="s">
        <v>218</v>
      </c>
      <c r="F16" s="72" t="s">
        <v>162</v>
      </c>
      <c r="G16" s="72" t="s">
        <v>219</v>
      </c>
      <c r="H16" s="73" t="s">
        <v>162</v>
      </c>
      <c r="I16" s="71">
        <v>600036</v>
      </c>
      <c r="J16" s="71"/>
      <c r="K16" s="71" t="s">
        <v>220</v>
      </c>
      <c r="M16" s="6" t="str">
        <f t="shared" si="0"/>
        <v>600035,500215,500214,600036</v>
      </c>
      <c r="N16" s="6" t="s">
        <v>221</v>
      </c>
    </row>
    <row r="17" spans="1:14">
      <c r="A17" s="100">
        <v>812009</v>
      </c>
      <c r="B17" s="99">
        <v>500378</v>
      </c>
      <c r="C17" s="71">
        <v>500382</v>
      </c>
      <c r="D17" s="73" t="s">
        <v>162</v>
      </c>
      <c r="E17" s="72">
        <v>500383</v>
      </c>
      <c r="F17" s="72" t="s">
        <v>162</v>
      </c>
      <c r="G17" s="72">
        <v>500384</v>
      </c>
      <c r="H17" s="73" t="s">
        <v>162</v>
      </c>
      <c r="I17" s="71">
        <v>500385</v>
      </c>
      <c r="J17" s="71"/>
      <c r="K17" s="71"/>
      <c r="M17" s="6" t="str">
        <f t="shared" si="0"/>
        <v>500382,500383,500384,500385</v>
      </c>
      <c r="N17" s="6" t="s">
        <v>222</v>
      </c>
    </row>
    <row r="18" spans="1:14">
      <c r="A18" s="100">
        <v>812018</v>
      </c>
      <c r="B18" s="99" t="s">
        <v>223</v>
      </c>
      <c r="C18" s="71" t="s">
        <v>224</v>
      </c>
      <c r="D18" s="73" t="s">
        <v>162</v>
      </c>
      <c r="E18" s="72" t="s">
        <v>225</v>
      </c>
      <c r="F18" s="72" t="s">
        <v>162</v>
      </c>
      <c r="G18" s="72" t="s">
        <v>226</v>
      </c>
      <c r="H18" s="73" t="s">
        <v>162</v>
      </c>
      <c r="I18" s="71" t="s">
        <v>227</v>
      </c>
      <c r="J18" s="71"/>
      <c r="K18" s="71"/>
      <c r="M18" s="6" t="str">
        <f t="shared" si="0"/>
        <v>500262,500259,500257,500261</v>
      </c>
      <c r="N18" s="6" t="s">
        <v>228</v>
      </c>
    </row>
    <row r="19" spans="1:14">
      <c r="A19" s="100">
        <v>812019</v>
      </c>
      <c r="B19" s="99" t="s">
        <v>229</v>
      </c>
      <c r="C19" s="71" t="s">
        <v>230</v>
      </c>
      <c r="D19" s="73" t="s">
        <v>162</v>
      </c>
      <c r="E19" s="72" t="s">
        <v>231</v>
      </c>
      <c r="F19" s="72" t="s">
        <v>162</v>
      </c>
      <c r="G19" s="72" t="s">
        <v>232</v>
      </c>
      <c r="H19" s="73" t="s">
        <v>162</v>
      </c>
      <c r="I19" s="71" t="s">
        <v>233</v>
      </c>
      <c r="J19" s="71"/>
      <c r="K19" s="71"/>
      <c r="M19" s="6" t="str">
        <f t="shared" si="0"/>
        <v>500280,500283,500281,500285</v>
      </c>
      <c r="N19" s="6" t="s">
        <v>234</v>
      </c>
    </row>
    <row r="20" spans="1:14">
      <c r="A20" s="100">
        <v>812020</v>
      </c>
      <c r="B20" s="99">
        <v>500357</v>
      </c>
      <c r="C20" s="71">
        <v>500358</v>
      </c>
      <c r="D20" s="73" t="s">
        <v>162</v>
      </c>
      <c r="E20" s="72">
        <v>500359</v>
      </c>
      <c r="F20" s="72" t="s">
        <v>162</v>
      </c>
      <c r="G20" s="72">
        <v>500360</v>
      </c>
      <c r="H20" s="73" t="s">
        <v>162</v>
      </c>
      <c r="I20" s="71">
        <v>500362</v>
      </c>
      <c r="J20" s="71"/>
      <c r="K20" s="71"/>
      <c r="M20" s="6" t="str">
        <f t="shared" si="0"/>
        <v>500358,500359,500360,500362</v>
      </c>
      <c r="N20" s="6" t="s">
        <v>235</v>
      </c>
    </row>
    <row r="21" spans="1:14">
      <c r="A21" s="100">
        <v>812021</v>
      </c>
      <c r="B21" s="99" t="s">
        <v>236</v>
      </c>
      <c r="C21" s="71" t="s">
        <v>237</v>
      </c>
      <c r="D21" s="73" t="s">
        <v>162</v>
      </c>
      <c r="E21" s="72" t="s">
        <v>238</v>
      </c>
      <c r="F21" s="72" t="s">
        <v>162</v>
      </c>
      <c r="G21" s="72" t="s">
        <v>239</v>
      </c>
      <c r="H21" s="73" t="s">
        <v>162</v>
      </c>
      <c r="I21" s="71" t="s">
        <v>240</v>
      </c>
      <c r="J21" s="71"/>
      <c r="K21" s="71"/>
      <c r="M21" s="6" t="str">
        <f t="shared" si="0"/>
        <v>500198,500201,500200,500203</v>
      </c>
      <c r="N21" s="6" t="s">
        <v>241</v>
      </c>
    </row>
    <row r="22" spans="1:14">
      <c r="A22" s="71">
        <v>812022</v>
      </c>
      <c r="B22" s="99" t="s">
        <v>242</v>
      </c>
      <c r="C22" s="71" t="s">
        <v>243</v>
      </c>
      <c r="D22" s="73" t="s">
        <v>162</v>
      </c>
      <c r="E22" s="72" t="s">
        <v>244</v>
      </c>
      <c r="F22" s="72" t="s">
        <v>162</v>
      </c>
      <c r="G22" s="72" t="s">
        <v>245</v>
      </c>
      <c r="H22" s="73" t="s">
        <v>162</v>
      </c>
      <c r="I22" s="71" t="s">
        <v>246</v>
      </c>
      <c r="J22" s="71"/>
      <c r="K22" s="71"/>
      <c r="M22" s="6" t="str">
        <f t="shared" si="0"/>
        <v>500354,500349,500350,500355</v>
      </c>
      <c r="N22" s="6" t="s">
        <v>247</v>
      </c>
    </row>
    <row r="23" spans="1:14">
      <c r="A23" s="71">
        <v>812023</v>
      </c>
      <c r="B23" s="99" t="s">
        <v>248</v>
      </c>
      <c r="C23" s="71" t="s">
        <v>249</v>
      </c>
      <c r="D23" s="73" t="s">
        <v>162</v>
      </c>
      <c r="E23" s="72" t="s">
        <v>250</v>
      </c>
      <c r="F23" s="72" t="s">
        <v>162</v>
      </c>
      <c r="G23" s="72" t="s">
        <v>251</v>
      </c>
      <c r="H23" s="73" t="s">
        <v>162</v>
      </c>
      <c r="I23" s="71" t="s">
        <v>252</v>
      </c>
      <c r="J23" s="71"/>
      <c r="K23" s="71"/>
      <c r="M23" s="6" t="str">
        <f t="shared" si="0"/>
        <v>500190,500192,500194,500191</v>
      </c>
      <c r="N23" s="6" t="s">
        <v>253</v>
      </c>
    </row>
    <row r="24" spans="1:14">
      <c r="A24" s="71">
        <v>812024</v>
      </c>
      <c r="B24" s="99" t="s">
        <v>254</v>
      </c>
      <c r="C24" s="71" t="s">
        <v>255</v>
      </c>
      <c r="D24" s="73" t="s">
        <v>162</v>
      </c>
      <c r="E24" s="72" t="s">
        <v>256</v>
      </c>
      <c r="F24" s="72" t="s">
        <v>162</v>
      </c>
      <c r="G24" s="72" t="s">
        <v>257</v>
      </c>
      <c r="H24" s="73" t="s">
        <v>162</v>
      </c>
      <c r="I24" s="71" t="s">
        <v>258</v>
      </c>
      <c r="J24" s="71"/>
      <c r="K24" s="71"/>
      <c r="M24" s="6" t="str">
        <f t="shared" si="0"/>
        <v>500206,500207,500208,500210</v>
      </c>
      <c r="N24" s="6" t="s">
        <v>259</v>
      </c>
    </row>
    <row r="25" s="90" customFormat="1" spans="1:15">
      <c r="A25" s="73">
        <v>813001</v>
      </c>
      <c r="B25" s="22">
        <v>600052</v>
      </c>
      <c r="C25" s="73">
        <v>600077</v>
      </c>
      <c r="D25" s="73" t="s">
        <v>162</v>
      </c>
      <c r="E25" s="72" t="s">
        <v>260</v>
      </c>
      <c r="F25" s="72" t="s">
        <v>162</v>
      </c>
      <c r="G25" s="72" t="s">
        <v>261</v>
      </c>
      <c r="H25" s="73" t="s">
        <v>162</v>
      </c>
      <c r="I25" s="73">
        <v>600078</v>
      </c>
      <c r="J25" s="73"/>
      <c r="K25" s="73" t="s">
        <v>262</v>
      </c>
      <c r="L25" s="73"/>
      <c r="M25" s="6" t="str">
        <f t="shared" ref="M25:M45" si="1">C25&amp;D25&amp;E25&amp;F25&amp;G25&amp;H25&amp;I25</f>
        <v>600077,500242,500243,600078</v>
      </c>
      <c r="N25" s="91" t="s">
        <v>263</v>
      </c>
      <c r="O25" s="104"/>
    </row>
    <row r="26" s="90" customFormat="1" spans="1:15">
      <c r="A26" s="73">
        <v>813003</v>
      </c>
      <c r="B26" s="22">
        <v>600053</v>
      </c>
      <c r="C26" s="73">
        <v>600079</v>
      </c>
      <c r="D26" s="73" t="s">
        <v>162</v>
      </c>
      <c r="E26" s="72">
        <v>600080</v>
      </c>
      <c r="F26" s="72" t="s">
        <v>162</v>
      </c>
      <c r="G26" s="72">
        <v>600081</v>
      </c>
      <c r="H26" s="73" t="s">
        <v>162</v>
      </c>
      <c r="I26" s="73">
        <v>600082</v>
      </c>
      <c r="J26" s="73"/>
      <c r="K26" s="73" t="s">
        <v>264</v>
      </c>
      <c r="L26" s="73"/>
      <c r="M26" s="6" t="str">
        <f t="shared" si="1"/>
        <v>600079,600080,600081,600082</v>
      </c>
      <c r="N26" s="91" t="s">
        <v>265</v>
      </c>
      <c r="O26" s="104"/>
    </row>
    <row r="27" s="90" customFormat="1" spans="1:15">
      <c r="A27" s="73">
        <v>813010</v>
      </c>
      <c r="B27" s="22">
        <v>600054</v>
      </c>
      <c r="C27" s="73">
        <v>600083</v>
      </c>
      <c r="D27" s="73" t="s">
        <v>162</v>
      </c>
      <c r="E27" s="72">
        <v>600084</v>
      </c>
      <c r="F27" s="72" t="s">
        <v>162</v>
      </c>
      <c r="G27" s="72" t="s">
        <v>266</v>
      </c>
      <c r="H27" s="73" t="s">
        <v>162</v>
      </c>
      <c r="I27" s="73">
        <v>600085</v>
      </c>
      <c r="J27" s="73"/>
      <c r="K27" s="73" t="s">
        <v>267</v>
      </c>
      <c r="L27" s="73"/>
      <c r="M27" s="6" t="str">
        <f t="shared" si="1"/>
        <v>600083,600084,500304,600085</v>
      </c>
      <c r="N27" s="91" t="s">
        <v>268</v>
      </c>
      <c r="O27" s="104"/>
    </row>
    <row r="28" s="90" customFormat="1" spans="1:15">
      <c r="A28" s="73">
        <v>813002</v>
      </c>
      <c r="B28" s="22">
        <v>600055</v>
      </c>
      <c r="C28" s="73">
        <v>600086</v>
      </c>
      <c r="D28" s="73" t="s">
        <v>162</v>
      </c>
      <c r="E28" s="72">
        <v>600087</v>
      </c>
      <c r="F28" s="72" t="s">
        <v>162</v>
      </c>
      <c r="G28" s="72">
        <v>600088</v>
      </c>
      <c r="H28" s="73" t="s">
        <v>162</v>
      </c>
      <c r="I28" s="73" t="s">
        <v>269</v>
      </c>
      <c r="J28" s="73"/>
      <c r="K28" s="73" t="s">
        <v>270</v>
      </c>
      <c r="L28" s="73"/>
      <c r="M28" s="6" t="str">
        <f t="shared" si="1"/>
        <v>600086,600087,600088,500252</v>
      </c>
      <c r="N28" s="91" t="s">
        <v>271</v>
      </c>
      <c r="O28" s="104"/>
    </row>
    <row r="29" s="90" customFormat="1" ht="14.15" spans="1:14">
      <c r="A29" s="73">
        <v>813004</v>
      </c>
      <c r="B29" s="22">
        <v>600056</v>
      </c>
      <c r="C29" s="73">
        <v>600090</v>
      </c>
      <c r="D29" s="73" t="s">
        <v>162</v>
      </c>
      <c r="E29" s="72">
        <v>600091</v>
      </c>
      <c r="F29" s="72" t="s">
        <v>162</v>
      </c>
      <c r="G29" s="72">
        <v>600093</v>
      </c>
      <c r="H29" s="73" t="s">
        <v>162</v>
      </c>
      <c r="I29" s="73"/>
      <c r="J29" s="73"/>
      <c r="K29" s="73" t="s">
        <v>272</v>
      </c>
      <c r="L29" s="73"/>
      <c r="M29" s="6" t="str">
        <f t="shared" si="1"/>
        <v>600090,600091,600093,</v>
      </c>
      <c r="N29" s="103" t="s">
        <v>273</v>
      </c>
    </row>
    <row r="30" s="90" customFormat="1" spans="1:15">
      <c r="A30" s="71">
        <v>813005</v>
      </c>
      <c r="B30" s="22">
        <v>500401</v>
      </c>
      <c r="C30" s="74">
        <v>500402</v>
      </c>
      <c r="D30" s="73" t="s">
        <v>162</v>
      </c>
      <c r="E30" s="75">
        <v>500405</v>
      </c>
      <c r="F30" s="72" t="s">
        <v>162</v>
      </c>
      <c r="G30" s="75">
        <v>500407</v>
      </c>
      <c r="H30" s="73" t="s">
        <v>162</v>
      </c>
      <c r="I30" s="74">
        <v>500408</v>
      </c>
      <c r="J30" s="74"/>
      <c r="K30" s="74"/>
      <c r="L30" s="74"/>
      <c r="M30" s="6" t="str">
        <f t="shared" si="1"/>
        <v>500402,500405,500407,500408</v>
      </c>
      <c r="N30" s="91" t="s">
        <v>274</v>
      </c>
      <c r="O30" s="104"/>
    </row>
    <row r="31" s="90" customFormat="1" spans="1:15">
      <c r="A31" s="73">
        <v>813006</v>
      </c>
      <c r="B31" s="22">
        <v>600057</v>
      </c>
      <c r="C31" s="73">
        <v>600094</v>
      </c>
      <c r="D31" s="73" t="s">
        <v>162</v>
      </c>
      <c r="E31" s="72">
        <v>600096</v>
      </c>
      <c r="F31" s="72" t="s">
        <v>162</v>
      </c>
      <c r="G31" s="72" t="s">
        <v>275</v>
      </c>
      <c r="H31" s="73" t="s">
        <v>162</v>
      </c>
      <c r="I31" s="73">
        <v>600097</v>
      </c>
      <c r="J31" s="73"/>
      <c r="K31" s="73" t="s">
        <v>276</v>
      </c>
      <c r="L31" s="73"/>
      <c r="M31" s="6" t="str">
        <f t="shared" si="1"/>
        <v>600094,600096,500268,600097</v>
      </c>
      <c r="N31" s="91" t="s">
        <v>277</v>
      </c>
      <c r="O31" s="104"/>
    </row>
    <row r="32" s="90" customFormat="1" spans="1:15">
      <c r="A32" s="71">
        <v>813008</v>
      </c>
      <c r="B32" s="22">
        <v>600058</v>
      </c>
      <c r="C32" s="71">
        <v>600098</v>
      </c>
      <c r="D32" s="73" t="s">
        <v>162</v>
      </c>
      <c r="E32" s="72">
        <v>600099</v>
      </c>
      <c r="F32" s="72" t="s">
        <v>162</v>
      </c>
      <c r="G32" s="72">
        <v>600100</v>
      </c>
      <c r="H32" s="73" t="s">
        <v>162</v>
      </c>
      <c r="I32" s="71">
        <v>600101</v>
      </c>
      <c r="J32" s="71"/>
      <c r="K32" s="71" t="s">
        <v>278</v>
      </c>
      <c r="L32" s="71"/>
      <c r="M32" s="6" t="str">
        <f t="shared" si="1"/>
        <v>600098,600099,600100,600101</v>
      </c>
      <c r="N32" s="91" t="s">
        <v>279</v>
      </c>
      <c r="O32" s="104"/>
    </row>
    <row r="33" s="90" customFormat="1" spans="1:15">
      <c r="A33" s="71">
        <v>813007</v>
      </c>
      <c r="B33" s="22">
        <v>500386</v>
      </c>
      <c r="C33" s="71">
        <v>500390</v>
      </c>
      <c r="D33" s="73" t="s">
        <v>162</v>
      </c>
      <c r="E33" s="72">
        <v>500388</v>
      </c>
      <c r="F33" s="72" t="s">
        <v>162</v>
      </c>
      <c r="G33" s="72">
        <v>500389</v>
      </c>
      <c r="H33" s="73" t="s">
        <v>162</v>
      </c>
      <c r="I33" s="71">
        <v>500393</v>
      </c>
      <c r="J33" s="71"/>
      <c r="K33" s="71"/>
      <c r="L33" s="71"/>
      <c r="M33" s="6" t="str">
        <f t="shared" si="1"/>
        <v>500390,500388,500389,500393</v>
      </c>
      <c r="N33" s="91" t="s">
        <v>280</v>
      </c>
      <c r="O33" s="104"/>
    </row>
    <row r="34" s="90" customFormat="1" spans="1:15">
      <c r="A34" s="71">
        <v>813009</v>
      </c>
      <c r="B34" s="22">
        <v>500394</v>
      </c>
      <c r="C34" s="71">
        <v>500395</v>
      </c>
      <c r="D34" s="73" t="s">
        <v>162</v>
      </c>
      <c r="E34" s="72">
        <v>500396</v>
      </c>
      <c r="F34" s="72" t="s">
        <v>162</v>
      </c>
      <c r="G34" s="72">
        <v>500397</v>
      </c>
      <c r="H34" s="73" t="s">
        <v>162</v>
      </c>
      <c r="I34" s="71">
        <v>500400</v>
      </c>
      <c r="J34" s="71"/>
      <c r="K34" s="71"/>
      <c r="L34" s="71"/>
      <c r="M34" s="6" t="str">
        <f t="shared" si="1"/>
        <v>500395,500396,500397,500400</v>
      </c>
      <c r="N34" s="91" t="s">
        <v>281</v>
      </c>
      <c r="O34" s="104"/>
    </row>
    <row r="35" s="90" customFormat="1" spans="1:15">
      <c r="A35" s="71">
        <v>813022</v>
      </c>
      <c r="B35" s="22">
        <v>500156</v>
      </c>
      <c r="C35" s="74">
        <v>500157</v>
      </c>
      <c r="D35" s="73" t="s">
        <v>162</v>
      </c>
      <c r="E35" s="75" t="s">
        <v>282</v>
      </c>
      <c r="F35" s="72" t="s">
        <v>162</v>
      </c>
      <c r="G35" s="75" t="s">
        <v>283</v>
      </c>
      <c r="H35" s="73" t="s">
        <v>162</v>
      </c>
      <c r="I35" s="74" t="s">
        <v>284</v>
      </c>
      <c r="J35" s="74"/>
      <c r="K35" s="74"/>
      <c r="L35" s="74"/>
      <c r="M35" s="6" t="str">
        <f t="shared" si="1"/>
        <v>500157,500158,500159,500161</v>
      </c>
      <c r="N35" s="91" t="s">
        <v>285</v>
      </c>
      <c r="O35" s="104"/>
    </row>
    <row r="36" s="90" customFormat="1" spans="1:15">
      <c r="A36" s="71">
        <v>813023</v>
      </c>
      <c r="B36" s="22">
        <v>500401</v>
      </c>
      <c r="C36" s="71">
        <v>500407</v>
      </c>
      <c r="D36" s="73" t="s">
        <v>162</v>
      </c>
      <c r="E36" s="72">
        <v>600582</v>
      </c>
      <c r="F36" s="72" t="s">
        <v>162</v>
      </c>
      <c r="G36" s="72">
        <v>600583</v>
      </c>
      <c r="H36" s="73" t="s">
        <v>162</v>
      </c>
      <c r="I36" s="71">
        <v>600585</v>
      </c>
      <c r="J36" s="71"/>
      <c r="K36" s="71" t="s">
        <v>286</v>
      </c>
      <c r="L36" s="71"/>
      <c r="M36" s="6" t="str">
        <f t="shared" si="1"/>
        <v>500407,600582,600583,600585</v>
      </c>
      <c r="N36" s="91" t="s">
        <v>287</v>
      </c>
      <c r="O36" s="104"/>
    </row>
    <row r="37" s="90" customFormat="1" spans="1:15">
      <c r="A37" s="71">
        <v>813024</v>
      </c>
      <c r="B37" s="22">
        <v>500440</v>
      </c>
      <c r="C37" s="71">
        <v>500441</v>
      </c>
      <c r="D37" s="73" t="s">
        <v>162</v>
      </c>
      <c r="E37" s="72">
        <v>600587</v>
      </c>
      <c r="F37" s="72" t="s">
        <v>162</v>
      </c>
      <c r="G37" s="72">
        <v>700120</v>
      </c>
      <c r="H37" s="73" t="s">
        <v>162</v>
      </c>
      <c r="I37" s="71">
        <v>600588</v>
      </c>
      <c r="J37" s="71"/>
      <c r="K37" s="71" t="s">
        <v>288</v>
      </c>
      <c r="L37" s="71"/>
      <c r="M37" s="6" t="str">
        <f t="shared" si="1"/>
        <v>500441,600587,700120,600588</v>
      </c>
      <c r="N37" s="91" t="s">
        <v>289</v>
      </c>
      <c r="O37" s="104"/>
    </row>
    <row r="38" s="90" customFormat="1" spans="1:15">
      <c r="A38" s="71">
        <v>813025</v>
      </c>
      <c r="B38" s="22">
        <v>500410</v>
      </c>
      <c r="C38" s="71">
        <v>700129</v>
      </c>
      <c r="D38" s="73" t="s">
        <v>162</v>
      </c>
      <c r="E38" s="72">
        <v>700130</v>
      </c>
      <c r="F38" s="72" t="s">
        <v>162</v>
      </c>
      <c r="G38" s="72">
        <v>700131</v>
      </c>
      <c r="H38" s="73" t="s">
        <v>162</v>
      </c>
      <c r="I38" s="71">
        <v>700135</v>
      </c>
      <c r="J38" s="71"/>
      <c r="K38" s="71" t="s">
        <v>290</v>
      </c>
      <c r="L38" s="71"/>
      <c r="M38" s="6" t="str">
        <f t="shared" si="1"/>
        <v>700129,700130,700131,700135</v>
      </c>
      <c r="N38" s="91" t="s">
        <v>291</v>
      </c>
      <c r="O38" s="104"/>
    </row>
    <row r="39" s="90" customFormat="1" spans="1:15">
      <c r="A39" s="71">
        <v>813026</v>
      </c>
      <c r="B39" s="22">
        <v>600412</v>
      </c>
      <c r="C39" s="71">
        <v>600590</v>
      </c>
      <c r="D39" s="73" t="s">
        <v>162</v>
      </c>
      <c r="E39" s="72">
        <v>600591</v>
      </c>
      <c r="F39" s="72" t="s">
        <v>162</v>
      </c>
      <c r="G39" s="72">
        <v>600593</v>
      </c>
      <c r="H39" s="73" t="s">
        <v>162</v>
      </c>
      <c r="I39" s="71">
        <v>600597</v>
      </c>
      <c r="J39" s="71"/>
      <c r="K39" s="71"/>
      <c r="L39" s="71"/>
      <c r="M39" s="6" t="str">
        <f t="shared" si="1"/>
        <v>600590,600591,600593,600597</v>
      </c>
      <c r="N39" s="91" t="s">
        <v>292</v>
      </c>
      <c r="O39" s="104"/>
    </row>
    <row r="40" s="90" customFormat="1" spans="1:15">
      <c r="A40" s="71">
        <v>813027</v>
      </c>
      <c r="B40" s="22">
        <v>600576</v>
      </c>
      <c r="C40" s="71">
        <v>600580</v>
      </c>
      <c r="D40" s="73" t="s">
        <v>162</v>
      </c>
      <c r="E40" s="72">
        <v>600579</v>
      </c>
      <c r="F40" s="72" t="s">
        <v>162</v>
      </c>
      <c r="G40" s="72">
        <v>600577</v>
      </c>
      <c r="H40" s="73" t="s">
        <v>162</v>
      </c>
      <c r="I40" s="71">
        <v>600578</v>
      </c>
      <c r="J40" s="71"/>
      <c r="K40" s="71" t="s">
        <v>293</v>
      </c>
      <c r="L40" s="71"/>
      <c r="M40" s="6" t="str">
        <f t="shared" si="1"/>
        <v>600580,600579,600577,600578</v>
      </c>
      <c r="N40" s="91" t="s">
        <v>294</v>
      </c>
      <c r="O40" s="104"/>
    </row>
    <row r="41" s="90" customFormat="1" spans="1:15">
      <c r="A41" s="71">
        <v>813028</v>
      </c>
      <c r="B41" s="22">
        <v>600598</v>
      </c>
      <c r="C41" s="71">
        <v>600600</v>
      </c>
      <c r="D41" s="73" t="s">
        <v>162</v>
      </c>
      <c r="E41" s="72">
        <v>600601</v>
      </c>
      <c r="F41" s="72" t="s">
        <v>162</v>
      </c>
      <c r="G41" s="72">
        <v>600599</v>
      </c>
      <c r="H41" s="73" t="s">
        <v>162</v>
      </c>
      <c r="I41" s="71">
        <v>600602</v>
      </c>
      <c r="J41" s="71"/>
      <c r="K41" s="71" t="s">
        <v>295</v>
      </c>
      <c r="L41" s="71"/>
      <c r="M41" s="6" t="str">
        <f t="shared" si="1"/>
        <v>600600,600601,600599,600602</v>
      </c>
      <c r="N41" s="91" t="s">
        <v>296</v>
      </c>
      <c r="O41" s="104"/>
    </row>
    <row r="42" s="90" customFormat="1" spans="1:15">
      <c r="A42" s="71">
        <v>813029</v>
      </c>
      <c r="B42" s="22" t="s">
        <v>297</v>
      </c>
      <c r="C42" s="71">
        <v>401</v>
      </c>
      <c r="D42" s="73" t="s">
        <v>162</v>
      </c>
      <c r="E42" s="72">
        <v>402</v>
      </c>
      <c r="F42" s="72" t="s">
        <v>162</v>
      </c>
      <c r="G42" s="72">
        <v>403</v>
      </c>
      <c r="H42" s="73" t="s">
        <v>162</v>
      </c>
      <c r="I42" s="71">
        <v>404</v>
      </c>
      <c r="J42" s="71"/>
      <c r="K42" s="71" t="s">
        <v>298</v>
      </c>
      <c r="L42" s="71"/>
      <c r="M42" s="6" t="str">
        <f t="shared" si="1"/>
        <v>401,402,403,404</v>
      </c>
      <c r="N42" s="91" t="s">
        <v>299</v>
      </c>
      <c r="O42" s="104"/>
    </row>
    <row r="43" s="90" customFormat="1" spans="1:15">
      <c r="A43" s="71">
        <v>813030</v>
      </c>
      <c r="B43" s="22">
        <v>392</v>
      </c>
      <c r="C43" s="71">
        <v>393</v>
      </c>
      <c r="D43" s="73" t="s">
        <v>162</v>
      </c>
      <c r="E43" s="72">
        <v>394</v>
      </c>
      <c r="F43" s="72" t="s">
        <v>162</v>
      </c>
      <c r="G43" s="72">
        <v>395</v>
      </c>
      <c r="H43" s="73" t="s">
        <v>162</v>
      </c>
      <c r="I43" s="71">
        <v>396</v>
      </c>
      <c r="J43" s="71"/>
      <c r="K43" s="71"/>
      <c r="L43" s="71"/>
      <c r="M43" s="6" t="str">
        <f t="shared" si="1"/>
        <v>393,394,395,396</v>
      </c>
      <c r="N43" s="91" t="s">
        <v>300</v>
      </c>
      <c r="O43" s="104"/>
    </row>
    <row r="44" s="90" customFormat="1" spans="1:15">
      <c r="A44" s="71">
        <v>51112007</v>
      </c>
      <c r="B44" s="22">
        <v>500321</v>
      </c>
      <c r="C44" s="71">
        <v>500323</v>
      </c>
      <c r="D44" s="73" t="s">
        <v>162</v>
      </c>
      <c r="E44" s="72">
        <v>500325</v>
      </c>
      <c r="F44" s="72" t="s">
        <v>162</v>
      </c>
      <c r="G44" s="72">
        <v>500324</v>
      </c>
      <c r="H44" s="73" t="s">
        <v>162</v>
      </c>
      <c r="I44" s="71">
        <v>500328</v>
      </c>
      <c r="J44" s="71"/>
      <c r="K44" s="71"/>
      <c r="L44" s="71"/>
      <c r="M44" s="6" t="str">
        <f t="shared" si="1"/>
        <v>500323,500325,500324,500328</v>
      </c>
      <c r="N44" s="91" t="s">
        <v>301</v>
      </c>
      <c r="O44" s="104"/>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
  <sheetViews>
    <sheetView workbookViewId="0">
      <selection activeCell="I7" sqref="I7:I38"/>
    </sheetView>
  </sheetViews>
  <sheetFormatPr defaultColWidth="9" defaultRowHeight="14.1"/>
  <cols>
    <col min="2" max="2" width="9.74774774774775"/>
    <col min="3" max="3" width="10.990990990991" customWidth="1"/>
    <col min="6" max="6" width="15.2252252252252" customWidth="1"/>
    <col min="7" max="7" width="10.7387387387387" customWidth="1"/>
    <col min="8" max="8" width="33.5855855855856" customWidth="1"/>
    <col min="9" max="9" width="9" style="78"/>
  </cols>
  <sheetData>
    <row r="1" ht="16.25" spans="1:8">
      <c r="A1" s="79">
        <v>7</v>
      </c>
      <c r="B1" s="79">
        <v>1</v>
      </c>
      <c r="C1" s="80">
        <v>999</v>
      </c>
      <c r="D1" s="79">
        <v>20</v>
      </c>
      <c r="E1" s="79"/>
      <c r="F1" s="79"/>
      <c r="G1" s="79"/>
      <c r="H1" s="79"/>
    </row>
    <row r="2" ht="27" customHeight="1" spans="1:8">
      <c r="A2" s="81" t="s">
        <v>0</v>
      </c>
      <c r="B2" s="81" t="s">
        <v>1</v>
      </c>
      <c r="C2" s="81" t="s">
        <v>2</v>
      </c>
      <c r="D2" s="81" t="s">
        <v>3</v>
      </c>
      <c r="E2" s="82" t="s">
        <v>4</v>
      </c>
      <c r="F2" s="82" t="s">
        <v>5</v>
      </c>
      <c r="G2" s="81" t="s">
        <v>6</v>
      </c>
      <c r="H2" s="83" t="s">
        <v>7</v>
      </c>
    </row>
    <row r="3" ht="16.25" spans="1:8">
      <c r="A3" s="81" t="s">
        <v>10</v>
      </c>
      <c r="B3" s="81" t="s">
        <v>11</v>
      </c>
      <c r="C3" s="81" t="s">
        <v>12</v>
      </c>
      <c r="D3" s="81" t="s">
        <v>13</v>
      </c>
      <c r="E3" s="82" t="s">
        <v>14</v>
      </c>
      <c r="F3" s="82" t="s">
        <v>15</v>
      </c>
      <c r="G3" s="81" t="s">
        <v>16</v>
      </c>
      <c r="H3" s="81" t="s">
        <v>17</v>
      </c>
    </row>
    <row r="4" ht="16.25" spans="1:8">
      <c r="A4" s="81" t="s">
        <v>19</v>
      </c>
      <c r="B4" s="81" t="s">
        <v>19</v>
      </c>
      <c r="C4" s="81" t="s">
        <v>19</v>
      </c>
      <c r="D4" s="81" t="s">
        <v>20</v>
      </c>
      <c r="E4" s="82" t="s">
        <v>19</v>
      </c>
      <c r="F4" s="82" t="s">
        <v>19</v>
      </c>
      <c r="G4" s="81" t="s">
        <v>20</v>
      </c>
      <c r="H4" s="81" t="s">
        <v>21</v>
      </c>
    </row>
    <row r="5" ht="16.25" spans="1:8">
      <c r="A5" s="81" t="s">
        <v>22</v>
      </c>
      <c r="B5" s="81" t="s">
        <v>23</v>
      </c>
      <c r="C5" s="81" t="s">
        <v>23</v>
      </c>
      <c r="D5" s="81" t="s">
        <v>23</v>
      </c>
      <c r="E5" s="82" t="s">
        <v>23</v>
      </c>
      <c r="F5" s="82" t="s">
        <v>23</v>
      </c>
      <c r="G5" s="81" t="s">
        <v>23</v>
      </c>
      <c r="H5" s="81" t="s">
        <v>23</v>
      </c>
    </row>
    <row r="6" ht="16.25" spans="1:8">
      <c r="A6" s="81" t="s">
        <v>24</v>
      </c>
      <c r="B6" s="81" t="s">
        <v>11</v>
      </c>
      <c r="C6" s="81" t="s">
        <v>12</v>
      </c>
      <c r="D6" s="81"/>
      <c r="E6" s="82" t="s">
        <v>14</v>
      </c>
      <c r="F6" s="82" t="s">
        <v>15</v>
      </c>
      <c r="G6" s="81"/>
      <c r="H6" s="81"/>
    </row>
    <row r="7" ht="16.25" spans="1:9">
      <c r="A7" s="79">
        <v>1</v>
      </c>
      <c r="B7" s="79">
        <v>1112001</v>
      </c>
      <c r="C7" s="84">
        <v>812001</v>
      </c>
      <c r="D7" s="85" t="s">
        <v>26</v>
      </c>
      <c r="E7" s="79"/>
      <c r="F7" s="79"/>
      <c r="G7" s="79"/>
      <c r="H7" s="79" t="str">
        <f>VLOOKUP(C7,Sheet2!$A$1:$P$68,14,FALSE)</f>
        <v>600059,500002,500006,600060</v>
      </c>
      <c r="I7" s="78" t="s">
        <v>28</v>
      </c>
    </row>
    <row r="8" ht="16.25" spans="1:9">
      <c r="A8" s="79">
        <v>2</v>
      </c>
      <c r="B8" s="79">
        <v>1112002</v>
      </c>
      <c r="C8" s="84">
        <v>812002</v>
      </c>
      <c r="D8" s="85" t="s">
        <v>30</v>
      </c>
      <c r="E8" s="79"/>
      <c r="F8" s="79"/>
      <c r="G8" s="79"/>
      <c r="H8" s="79" t="str">
        <f>VLOOKUP(C8,Sheet2!$A$1:$P$68,14,FALSE)</f>
        <v>600061,500027,500025,600062</v>
      </c>
      <c r="I8" s="78" t="s">
        <v>32</v>
      </c>
    </row>
    <row r="9" ht="16.25" spans="1:9">
      <c r="A9" s="79">
        <v>3</v>
      </c>
      <c r="B9" s="79">
        <v>1112003</v>
      </c>
      <c r="C9" s="84">
        <v>812003</v>
      </c>
      <c r="D9" s="85" t="s">
        <v>34</v>
      </c>
      <c r="E9" s="79"/>
      <c r="F9" s="79"/>
      <c r="G9" s="79"/>
      <c r="H9" s="79" t="str">
        <f>VLOOKUP(C9,Sheet2!$A$1:$P$68,14,FALSE)</f>
        <v>600067,500066,500065,600068</v>
      </c>
      <c r="I9" s="78" t="s">
        <v>36</v>
      </c>
    </row>
    <row r="10" ht="16.25" spans="1:9">
      <c r="A10" s="79">
        <v>4</v>
      </c>
      <c r="B10" s="79">
        <v>1112004</v>
      </c>
      <c r="C10" s="84">
        <v>812004</v>
      </c>
      <c r="D10" s="85" t="s">
        <v>38</v>
      </c>
      <c r="E10" s="79"/>
      <c r="F10" s="79"/>
      <c r="G10" s="79"/>
      <c r="H10" s="79" t="str">
        <f>VLOOKUP(C10,Sheet2!$A$1:$P$68,14,FALSE)</f>
        <v>600065,500058,500057,600066</v>
      </c>
      <c r="I10" s="78" t="s">
        <v>40</v>
      </c>
    </row>
    <row r="11" ht="16.25" spans="1:9">
      <c r="A11" s="79">
        <v>5</v>
      </c>
      <c r="B11" s="79">
        <v>1112005</v>
      </c>
      <c r="C11" s="84">
        <v>812005</v>
      </c>
      <c r="D11" s="85" t="s">
        <v>42</v>
      </c>
      <c r="E11" s="79"/>
      <c r="F11" s="79"/>
      <c r="G11" s="79"/>
      <c r="H11" s="79" t="str">
        <f>VLOOKUP(C11,Sheet2!$A$1:$P$68,14,FALSE)</f>
        <v>600063,500052,500050,600064</v>
      </c>
      <c r="I11" s="78" t="s">
        <v>44</v>
      </c>
    </row>
    <row r="12" ht="16.25" spans="1:9">
      <c r="A12" s="79">
        <v>6</v>
      </c>
      <c r="B12" s="79">
        <v>1112006</v>
      </c>
      <c r="C12" s="84">
        <v>812006</v>
      </c>
      <c r="D12" s="85" t="s">
        <v>46</v>
      </c>
      <c r="E12" s="79"/>
      <c r="F12" s="79"/>
      <c r="G12" s="79"/>
      <c r="H12" s="79" t="str">
        <f>VLOOKUP(C12,Sheet2!$A$1:$P$68,14,FALSE)</f>
        <v>500084,500023,500182,600069</v>
      </c>
      <c r="I12" s="78" t="s">
        <v>48</v>
      </c>
    </row>
    <row r="13" ht="16.25" spans="1:9">
      <c r="A13" s="79">
        <v>19</v>
      </c>
      <c r="B13" s="79">
        <v>1112007</v>
      </c>
      <c r="C13" s="84">
        <v>51112007</v>
      </c>
      <c r="D13" s="85" t="s">
        <v>50</v>
      </c>
      <c r="E13" s="79"/>
      <c r="F13" s="79"/>
      <c r="G13" s="79"/>
      <c r="H13" s="79" t="str">
        <f>VLOOKUP(C13,Sheet2!$A$1:$P$68,14,FALSE)</f>
        <v>500323,500325,500324,500328</v>
      </c>
      <c r="I13" s="78" t="s">
        <v>52</v>
      </c>
    </row>
    <row r="14" ht="16.25" spans="1:9">
      <c r="A14" s="79">
        <v>7</v>
      </c>
      <c r="B14" s="79">
        <v>1112008</v>
      </c>
      <c r="C14" s="84">
        <v>812008</v>
      </c>
      <c r="D14" s="85" t="s">
        <v>54</v>
      </c>
      <c r="E14" s="79"/>
      <c r="F14" s="79"/>
      <c r="G14" s="79"/>
      <c r="H14" s="79" t="str">
        <f>VLOOKUP(C14,Sheet2!$A$1:$P$68,14,FALSE)</f>
        <v>500076,500079,500080,600070</v>
      </c>
      <c r="I14" s="78" t="s">
        <v>56</v>
      </c>
    </row>
    <row r="15" ht="16.25" spans="1:9">
      <c r="A15" s="79">
        <v>15</v>
      </c>
      <c r="B15" s="79">
        <v>1112009</v>
      </c>
      <c r="C15" s="84">
        <v>812009</v>
      </c>
      <c r="D15" s="85" t="s">
        <v>58</v>
      </c>
      <c r="E15" s="79"/>
      <c r="F15" s="79"/>
      <c r="G15" s="79"/>
      <c r="H15" s="79" t="str">
        <f>VLOOKUP(C15,Sheet2!$A$1:$P$68,14,FALSE)</f>
        <v>500382,500383,500384,500385</v>
      </c>
      <c r="I15" s="78" t="s">
        <v>60</v>
      </c>
    </row>
    <row r="16" ht="16.25" spans="1:9">
      <c r="A16" s="79">
        <v>8</v>
      </c>
      <c r="B16" s="79">
        <v>1112010</v>
      </c>
      <c r="C16" s="84">
        <v>812010</v>
      </c>
      <c r="D16" s="85" t="s">
        <v>62</v>
      </c>
      <c r="E16" s="79"/>
      <c r="F16" s="79"/>
      <c r="G16" s="79"/>
      <c r="H16" s="79" t="str">
        <f>VLOOKUP(C16,Sheet2!$A$1:$P$68,14,FALSE)</f>
        <v>600071,500095,500094,600072</v>
      </c>
      <c r="I16" s="78" t="s">
        <v>64</v>
      </c>
    </row>
    <row r="17" ht="16.25" spans="1:9">
      <c r="A17" s="79">
        <v>9</v>
      </c>
      <c r="B17" s="79">
        <v>1112011</v>
      </c>
      <c r="C17" s="84">
        <v>812011</v>
      </c>
      <c r="D17" s="85" t="s">
        <v>66</v>
      </c>
      <c r="E17" s="79"/>
      <c r="F17" s="79"/>
      <c r="G17" s="79"/>
      <c r="H17" s="79" t="str">
        <f>VLOOKUP(C17,Sheet2!$A$1:$P$68,14,FALSE)</f>
        <v>600073,500110,500108,600074</v>
      </c>
      <c r="I17" s="78" t="s">
        <v>68</v>
      </c>
    </row>
    <row r="18" ht="16.25" spans="1:9">
      <c r="A18" s="79">
        <v>10</v>
      </c>
      <c r="B18" s="79">
        <v>1112012</v>
      </c>
      <c r="C18" s="84">
        <v>812012</v>
      </c>
      <c r="D18" s="85" t="s">
        <v>70</v>
      </c>
      <c r="E18" s="79"/>
      <c r="F18" s="79"/>
      <c r="G18" s="79"/>
      <c r="H18" s="79" t="str">
        <f>VLOOKUP(C18,Sheet2!$A$1:$P$68,14,FALSE)</f>
        <v>600075,500128,500129,600076</v>
      </c>
      <c r="I18" s="78" t="s">
        <v>72</v>
      </c>
    </row>
    <row r="19" ht="16.25" spans="1:9">
      <c r="A19" s="79">
        <v>11</v>
      </c>
      <c r="B19" s="79">
        <v>1112013</v>
      </c>
      <c r="C19" s="84">
        <v>812013</v>
      </c>
      <c r="D19" s="85" t="s">
        <v>74</v>
      </c>
      <c r="E19" s="79"/>
      <c r="F19" s="79"/>
      <c r="G19" s="79"/>
      <c r="H19" s="79" t="str">
        <f>VLOOKUP(C19,Sheet2!$A$1:$P$68,14,FALSE)</f>
        <v>600026,500119,500121,600027</v>
      </c>
      <c r="I19" s="78" t="s">
        <v>76</v>
      </c>
    </row>
    <row r="20" ht="16.25" spans="1:9">
      <c r="A20" s="79">
        <v>12</v>
      </c>
      <c r="B20" s="79">
        <v>1112014</v>
      </c>
      <c r="C20" s="84">
        <v>812014</v>
      </c>
      <c r="D20" s="85" t="s">
        <v>78</v>
      </c>
      <c r="E20" s="79"/>
      <c r="F20" s="79"/>
      <c r="G20" s="79"/>
      <c r="H20" s="79" t="str">
        <f>VLOOKUP(C20,Sheet2!$A$1:$P$68,14,FALSE)</f>
        <v>500143,500144,500141,600029</v>
      </c>
      <c r="I20" s="78" t="s">
        <v>80</v>
      </c>
    </row>
    <row r="21" ht="16.25" spans="1:9">
      <c r="A21" s="79">
        <v>13</v>
      </c>
      <c r="B21" s="79">
        <v>1112015</v>
      </c>
      <c r="C21" s="84">
        <v>812015</v>
      </c>
      <c r="D21" s="85" t="s">
        <v>82</v>
      </c>
      <c r="E21" s="79"/>
      <c r="F21" s="79"/>
      <c r="G21" s="79"/>
      <c r="H21" s="86" t="str">
        <f>VLOOKUP(C21,Sheet2!$A$1:$P$68,14,FALSE)</f>
        <v>600031,600030,500136,600114</v>
      </c>
      <c r="I21" s="78" t="s">
        <v>84</v>
      </c>
    </row>
    <row r="22" ht="16.25" spans="1:9">
      <c r="A22" s="79">
        <v>14</v>
      </c>
      <c r="B22" s="79">
        <v>1112017</v>
      </c>
      <c r="C22" s="84">
        <v>812017</v>
      </c>
      <c r="D22" s="85" t="s">
        <v>86</v>
      </c>
      <c r="E22" s="79"/>
      <c r="F22" s="79"/>
      <c r="G22" s="79"/>
      <c r="H22" s="79" t="str">
        <f>VLOOKUP(C22,Sheet2!$A$1:$P$68,14,FALSE)</f>
        <v>600035,500215,500214,600036</v>
      </c>
      <c r="I22" s="78" t="s">
        <v>88</v>
      </c>
    </row>
    <row r="23" ht="16.25" spans="1:9">
      <c r="A23" s="79">
        <v>16</v>
      </c>
      <c r="B23" s="79">
        <v>1112019</v>
      </c>
      <c r="C23" s="84">
        <v>812018</v>
      </c>
      <c r="D23" s="85" t="s">
        <v>90</v>
      </c>
      <c r="E23" s="79"/>
      <c r="F23" s="79"/>
      <c r="G23" s="79"/>
      <c r="H23" s="79" t="str">
        <f>VLOOKUP(C23,Sheet2!$A$1:$P$68,14,FALSE)</f>
        <v>500262,500259,500257,500261</v>
      </c>
      <c r="I23" s="78" t="s">
        <v>92</v>
      </c>
    </row>
    <row r="24" ht="16.25" spans="1:9">
      <c r="A24" s="79">
        <v>17</v>
      </c>
      <c r="B24" s="79">
        <v>1112020</v>
      </c>
      <c r="C24" s="84">
        <v>812019</v>
      </c>
      <c r="D24" s="85" t="s">
        <v>94</v>
      </c>
      <c r="E24" s="79"/>
      <c r="F24" s="79"/>
      <c r="G24" s="79"/>
      <c r="H24" s="79" t="str">
        <f>VLOOKUP(C24,Sheet2!$A$1:$P$68,14,FALSE)</f>
        <v>500280,500283,500281,500285</v>
      </c>
      <c r="I24" s="78" t="s">
        <v>96</v>
      </c>
    </row>
    <row r="25" ht="16.25" spans="1:9">
      <c r="A25" s="79">
        <v>18</v>
      </c>
      <c r="B25" s="79">
        <v>1112021</v>
      </c>
      <c r="C25" s="84">
        <v>812020</v>
      </c>
      <c r="D25" s="85" t="s">
        <v>98</v>
      </c>
      <c r="E25" s="79"/>
      <c r="F25" s="79"/>
      <c r="G25" s="79"/>
      <c r="H25" s="79" t="str">
        <f>VLOOKUP(C25,Sheet2!$A$1:$P$68,14,FALSE)</f>
        <v>500358,500359,500360,500362</v>
      </c>
      <c r="I25" s="78" t="s">
        <v>100</v>
      </c>
    </row>
    <row r="26" ht="16.25" spans="1:9">
      <c r="A26" s="79">
        <v>30</v>
      </c>
      <c r="B26" s="79">
        <v>1112022</v>
      </c>
      <c r="C26" s="84">
        <v>813022</v>
      </c>
      <c r="D26" s="87" t="s">
        <v>102</v>
      </c>
      <c r="E26" s="79"/>
      <c r="F26" s="79"/>
      <c r="G26" s="79"/>
      <c r="H26" s="79" t="str">
        <f>VLOOKUP(C26,Sheet2!$A$1:$P$68,14,FALSE)</f>
        <v>500157,500158,500159,500161</v>
      </c>
      <c r="I26" s="78" t="s">
        <v>104</v>
      </c>
    </row>
    <row r="27" ht="16.25" spans="1:9">
      <c r="A27" s="79">
        <v>20</v>
      </c>
      <c r="B27" s="79">
        <v>1112024</v>
      </c>
      <c r="C27" s="84">
        <v>812022</v>
      </c>
      <c r="D27" s="85" t="s">
        <v>106</v>
      </c>
      <c r="E27" s="79"/>
      <c r="F27" s="79"/>
      <c r="G27" s="79"/>
      <c r="H27" s="79" t="str">
        <f>VLOOKUP(C27,Sheet2!$A$1:$P$68,14,FALSE)</f>
        <v>500354,500349,500350,500355</v>
      </c>
      <c r="I27" s="78" t="s">
        <v>108</v>
      </c>
    </row>
    <row r="28" ht="16.25" spans="1:9">
      <c r="A28" s="79">
        <v>21</v>
      </c>
      <c r="B28" s="79">
        <v>1112025</v>
      </c>
      <c r="C28" s="84">
        <v>812023</v>
      </c>
      <c r="D28" s="85" t="s">
        <v>110</v>
      </c>
      <c r="E28" s="79"/>
      <c r="F28" s="79"/>
      <c r="G28" s="79"/>
      <c r="H28" s="79" t="str">
        <f>VLOOKUP(C28,Sheet2!$A$1:$P$68,14,FALSE)</f>
        <v>500190,500192,500194,500191</v>
      </c>
      <c r="I28" s="78" t="s">
        <v>112</v>
      </c>
    </row>
    <row r="29" ht="16.25" spans="1:9">
      <c r="A29" s="79">
        <v>22</v>
      </c>
      <c r="B29" s="79">
        <v>1113001</v>
      </c>
      <c r="C29" s="84">
        <v>813001</v>
      </c>
      <c r="D29" s="87" t="s">
        <v>114</v>
      </c>
      <c r="E29" s="79"/>
      <c r="F29" s="79"/>
      <c r="G29" s="79"/>
      <c r="H29" s="79" t="str">
        <f>VLOOKUP(C29,Sheet2!$A$1:$P$68,14,FALSE)</f>
        <v>600077,500242,500243,600078</v>
      </c>
      <c r="I29" s="78" t="s">
        <v>116</v>
      </c>
    </row>
    <row r="30" ht="16.25" spans="1:9">
      <c r="A30" s="79">
        <v>25</v>
      </c>
      <c r="B30" s="79">
        <v>1113002</v>
      </c>
      <c r="C30" s="84">
        <v>813002</v>
      </c>
      <c r="D30" s="87" t="s">
        <v>118</v>
      </c>
      <c r="E30" s="79"/>
      <c r="F30" s="79"/>
      <c r="G30" s="79"/>
      <c r="H30" s="79" t="str">
        <f>VLOOKUP(C30,Sheet2!$A$1:$P$68,14,FALSE)</f>
        <v>600086,600087,600088,500252</v>
      </c>
      <c r="I30" s="78" t="s">
        <v>120</v>
      </c>
    </row>
    <row r="31" ht="16.25" spans="1:9">
      <c r="A31" s="79">
        <v>23</v>
      </c>
      <c r="B31" s="79">
        <v>1113003</v>
      </c>
      <c r="C31" s="84">
        <v>813003</v>
      </c>
      <c r="D31" s="87" t="s">
        <v>122</v>
      </c>
      <c r="E31" s="79"/>
      <c r="F31" s="79"/>
      <c r="G31" s="79"/>
      <c r="H31" s="79" t="str">
        <f>VLOOKUP(C31,Sheet2!$A$1:$P$68,14,FALSE)</f>
        <v>600079,600080,600081,600082</v>
      </c>
      <c r="I31" s="78" t="s">
        <v>124</v>
      </c>
    </row>
    <row r="32" ht="16.25" spans="1:9">
      <c r="A32" s="79">
        <v>31</v>
      </c>
      <c r="B32" s="79">
        <v>1113004</v>
      </c>
      <c r="C32" s="84">
        <v>813004</v>
      </c>
      <c r="D32" s="87" t="s">
        <v>126</v>
      </c>
      <c r="E32" s="79"/>
      <c r="F32" s="79"/>
      <c r="G32" s="79"/>
      <c r="H32" s="86" t="str">
        <f>VLOOKUP(C32,Sheet2!$A$1:$P$68,14,FALSE)</f>
        <v>600090,600091,600093,600120</v>
      </c>
      <c r="I32" s="78" t="s">
        <v>128</v>
      </c>
    </row>
    <row r="33" ht="16.25" spans="1:9">
      <c r="A33" s="79">
        <v>32</v>
      </c>
      <c r="B33" s="79">
        <v>1113005</v>
      </c>
      <c r="C33" s="84">
        <v>813023</v>
      </c>
      <c r="D33" s="87" t="s">
        <v>130</v>
      </c>
      <c r="E33" s="79"/>
      <c r="F33" s="79"/>
      <c r="G33" s="79"/>
      <c r="H33" s="79" t="str">
        <f>VLOOKUP(C33,Sheet2!$A$1:$P$68,14,FALSE)</f>
        <v>500407,600582,600583,600585</v>
      </c>
      <c r="I33" s="78" t="s">
        <v>132</v>
      </c>
    </row>
    <row r="34" ht="16.25" spans="1:9">
      <c r="A34" s="79">
        <v>26</v>
      </c>
      <c r="B34" s="79">
        <v>1113006</v>
      </c>
      <c r="C34" s="88">
        <v>813006</v>
      </c>
      <c r="D34" s="87" t="s">
        <v>134</v>
      </c>
      <c r="E34" s="79"/>
      <c r="F34" s="79"/>
      <c r="G34" s="79"/>
      <c r="H34" s="79" t="str">
        <f>VLOOKUP(C34,Sheet2!$A$1:$P$68,14,FALSE)</f>
        <v>600094,600096,500268,600097</v>
      </c>
      <c r="I34" s="78" t="s">
        <v>136</v>
      </c>
    </row>
    <row r="35" ht="16.25" spans="1:9">
      <c r="A35" s="79">
        <v>28</v>
      </c>
      <c r="B35" s="79">
        <v>1113007</v>
      </c>
      <c r="C35" s="84">
        <v>813007</v>
      </c>
      <c r="D35" s="87" t="s">
        <v>138</v>
      </c>
      <c r="E35" s="79"/>
      <c r="F35" s="79"/>
      <c r="G35" s="79"/>
      <c r="H35" s="79" t="str">
        <f>VLOOKUP(C35,Sheet2!$A$1:$P$68,14,FALSE)</f>
        <v>500390,500388,500389,500393</v>
      </c>
      <c r="I35" s="78" t="s">
        <v>140</v>
      </c>
    </row>
    <row r="36" ht="16.25" spans="1:9">
      <c r="A36" s="79">
        <v>27</v>
      </c>
      <c r="B36" s="79">
        <v>1113008</v>
      </c>
      <c r="C36" s="88">
        <v>813008</v>
      </c>
      <c r="D36" s="87" t="s">
        <v>142</v>
      </c>
      <c r="E36" s="79"/>
      <c r="F36" s="79"/>
      <c r="G36" s="79"/>
      <c r="H36" s="79" t="str">
        <f>VLOOKUP(C36,Sheet2!$A$1:$P$68,14,FALSE)</f>
        <v>600098,600099,600100,600101</v>
      </c>
      <c r="I36" s="78" t="s">
        <v>144</v>
      </c>
    </row>
    <row r="37" ht="16.25" spans="1:9">
      <c r="A37" s="79">
        <v>29</v>
      </c>
      <c r="B37" s="79">
        <v>1113009</v>
      </c>
      <c r="C37" s="84">
        <v>813009</v>
      </c>
      <c r="D37" s="87" t="s">
        <v>146</v>
      </c>
      <c r="E37" s="79"/>
      <c r="F37" s="79"/>
      <c r="G37" s="79"/>
      <c r="H37" s="79" t="str">
        <f>VLOOKUP(C37,Sheet2!$A$1:$P$68,14,FALSE)</f>
        <v>500395,500396,500397,500400</v>
      </c>
      <c r="I37" s="78" t="s">
        <v>148</v>
      </c>
    </row>
    <row r="38" ht="16.25" spans="1:9">
      <c r="A38" s="79">
        <v>24</v>
      </c>
      <c r="B38" s="79">
        <v>1113010</v>
      </c>
      <c r="C38" s="84">
        <v>813010</v>
      </c>
      <c r="D38" s="87" t="s">
        <v>150</v>
      </c>
      <c r="E38" s="79"/>
      <c r="F38" s="79"/>
      <c r="G38" s="79"/>
      <c r="H38" s="79" t="str">
        <f>VLOOKUP(C38,Sheet2!$A$1:$P$68,14,FALSE)</f>
        <v>600083,600084,500304,600085</v>
      </c>
      <c r="I38" s="78" t="s">
        <v>152</v>
      </c>
    </row>
    <row r="39" ht="16.25" spans="1:8">
      <c r="A39" s="79"/>
      <c r="B39" s="79"/>
      <c r="C39" s="79"/>
      <c r="D39" s="79"/>
      <c r="E39" s="79"/>
      <c r="F39" s="79"/>
      <c r="G39" s="79"/>
      <c r="H39" s="79"/>
    </row>
    <row r="40" ht="16.25" spans="1:8">
      <c r="A40" s="79"/>
      <c r="B40" s="79"/>
      <c r="C40" s="79"/>
      <c r="D40" s="79"/>
      <c r="E40" s="79"/>
      <c r="F40" s="79"/>
      <c r="G40" s="79"/>
      <c r="H40" s="79"/>
    </row>
    <row r="41" ht="16.25" spans="1:8">
      <c r="A41" s="79"/>
      <c r="B41" s="79"/>
      <c r="C41" s="89"/>
      <c r="D41" s="79"/>
      <c r="E41" s="79"/>
      <c r="F41" s="79"/>
      <c r="G41" s="79"/>
      <c r="H41" s="79"/>
    </row>
    <row r="42" ht="16.25" spans="1:8">
      <c r="A42" s="79"/>
      <c r="B42" s="79"/>
      <c r="C42" s="79"/>
      <c r="D42" s="79"/>
      <c r="E42" s="79"/>
      <c r="F42" s="79"/>
      <c r="G42" s="79"/>
      <c r="H42" s="79"/>
    </row>
    <row r="43" ht="16.25" spans="1:8">
      <c r="A43" s="79"/>
      <c r="B43" s="79"/>
      <c r="C43" s="79"/>
      <c r="D43" s="79"/>
      <c r="E43" s="79"/>
      <c r="F43" s="79"/>
      <c r="G43" s="79"/>
      <c r="H43" s="79"/>
    </row>
    <row r="44" ht="16.25" spans="1:8">
      <c r="A44" s="79"/>
      <c r="B44" s="79"/>
      <c r="C44" s="79"/>
      <c r="D44" s="79"/>
      <c r="E44" s="79"/>
      <c r="F44" s="79"/>
      <c r="G44" s="79"/>
      <c r="H44" s="79"/>
    </row>
    <row r="45" ht="16.25" spans="1:8">
      <c r="A45" s="79"/>
      <c r="B45" s="79"/>
      <c r="C45" s="79"/>
      <c r="D45" s="79"/>
      <c r="E45" s="79"/>
      <c r="F45" s="79"/>
      <c r="G45" s="79"/>
      <c r="H45" s="79"/>
    </row>
    <row r="46" ht="16.25" spans="1:8">
      <c r="A46" s="79"/>
      <c r="B46" s="79"/>
      <c r="C46" s="79"/>
      <c r="D46" s="79"/>
      <c r="E46" s="79"/>
      <c r="F46" s="79"/>
      <c r="G46" s="79"/>
      <c r="H46" s="79"/>
    </row>
  </sheetData>
  <autoFilter ref="A6:H38">
    <sortState ref="A6:H38">
      <sortCondition ref="B6"/>
    </sortState>
    <extLst/>
  </autoFilter>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3"/>
  <sheetViews>
    <sheetView workbookViewId="0">
      <selection activeCell="D68" sqref="D68"/>
    </sheetView>
  </sheetViews>
  <sheetFormatPr defaultColWidth="8.61261261261261" defaultRowHeight="14.1" outlineLevelCol="1"/>
  <sheetData>
    <row r="1" s="70" customFormat="1" spans="1:1">
      <c r="A1" s="70" t="s">
        <v>10</v>
      </c>
    </row>
    <row r="2" spans="1:2">
      <c r="A2" s="71">
        <v>393</v>
      </c>
      <c r="B2">
        <v>1</v>
      </c>
    </row>
    <row r="3" spans="1:2">
      <c r="A3" s="72">
        <v>394</v>
      </c>
      <c r="B3">
        <v>1</v>
      </c>
    </row>
    <row r="4" spans="1:2">
      <c r="A4" s="72">
        <v>395</v>
      </c>
      <c r="B4">
        <v>1</v>
      </c>
    </row>
    <row r="5" spans="1:2">
      <c r="A5" s="71">
        <v>396</v>
      </c>
      <c r="B5">
        <v>1</v>
      </c>
    </row>
    <row r="6" spans="1:2">
      <c r="A6" s="71">
        <v>401</v>
      </c>
      <c r="B6">
        <v>1</v>
      </c>
    </row>
    <row r="7" spans="1:2">
      <c r="A7" s="72">
        <v>402</v>
      </c>
      <c r="B7">
        <v>1</v>
      </c>
    </row>
    <row r="8" spans="1:2">
      <c r="A8" s="72">
        <v>403</v>
      </c>
      <c r="B8">
        <v>1</v>
      </c>
    </row>
    <row r="9" spans="1:2">
      <c r="A9" s="71">
        <v>404</v>
      </c>
      <c r="B9">
        <v>1</v>
      </c>
    </row>
    <row r="10" spans="1:2">
      <c r="A10" s="72">
        <v>500002</v>
      </c>
      <c r="B10">
        <v>1</v>
      </c>
    </row>
    <row r="11" spans="1:2">
      <c r="A11" s="72">
        <v>500006</v>
      </c>
      <c r="B11">
        <v>1</v>
      </c>
    </row>
    <row r="12" spans="1:2">
      <c r="A12" s="72">
        <v>500023</v>
      </c>
      <c r="B12">
        <v>1</v>
      </c>
    </row>
    <row r="13" spans="1:2">
      <c r="A13" s="72">
        <v>500025</v>
      </c>
      <c r="B13">
        <v>1</v>
      </c>
    </row>
    <row r="14" spans="1:2">
      <c r="A14" s="72">
        <v>500027</v>
      </c>
      <c r="B14">
        <v>1</v>
      </c>
    </row>
    <row r="15" spans="1:2">
      <c r="A15" s="72">
        <v>500050</v>
      </c>
      <c r="B15">
        <v>1</v>
      </c>
    </row>
    <row r="16" spans="1:2">
      <c r="A16" s="72">
        <v>500052</v>
      </c>
      <c r="B16">
        <v>1</v>
      </c>
    </row>
    <row r="17" spans="1:2">
      <c r="A17" s="72">
        <v>500057</v>
      </c>
      <c r="B17">
        <v>1</v>
      </c>
    </row>
    <row r="18" spans="1:2">
      <c r="A18" s="72">
        <v>500058</v>
      </c>
      <c r="B18">
        <v>1</v>
      </c>
    </row>
    <row r="19" spans="1:2">
      <c r="A19" s="72">
        <v>500065</v>
      </c>
      <c r="B19">
        <v>1</v>
      </c>
    </row>
    <row r="20" spans="1:2">
      <c r="A20" s="72">
        <v>500066</v>
      </c>
      <c r="B20">
        <v>1</v>
      </c>
    </row>
    <row r="21" spans="1:2">
      <c r="A21" s="73">
        <v>500076</v>
      </c>
      <c r="B21">
        <v>1</v>
      </c>
    </row>
    <row r="22" spans="1:2">
      <c r="A22" s="72">
        <v>500079</v>
      </c>
      <c r="B22">
        <v>1</v>
      </c>
    </row>
    <row r="23" spans="1:2">
      <c r="A23" s="72">
        <v>500080</v>
      </c>
      <c r="B23">
        <v>1</v>
      </c>
    </row>
    <row r="24" spans="1:2">
      <c r="A24" s="73">
        <v>500084</v>
      </c>
      <c r="B24">
        <v>1</v>
      </c>
    </row>
    <row r="25" spans="1:2">
      <c r="A25" s="72">
        <v>500094</v>
      </c>
      <c r="B25">
        <v>1</v>
      </c>
    </row>
    <row r="26" spans="1:2">
      <c r="A26" s="72">
        <v>500095</v>
      </c>
      <c r="B26">
        <v>1</v>
      </c>
    </row>
    <row r="27" spans="1:2">
      <c r="A27" s="72">
        <v>500108</v>
      </c>
      <c r="B27">
        <v>1</v>
      </c>
    </row>
    <row r="28" spans="1:2">
      <c r="A28" s="72">
        <v>500110</v>
      </c>
      <c r="B28">
        <v>1</v>
      </c>
    </row>
    <row r="29" spans="1:2">
      <c r="A29" s="72">
        <v>500119</v>
      </c>
      <c r="B29">
        <v>1</v>
      </c>
    </row>
    <row r="30" spans="1:2">
      <c r="A30" s="72">
        <v>500121</v>
      </c>
      <c r="B30">
        <v>1</v>
      </c>
    </row>
    <row r="31" spans="1:2">
      <c r="A31" s="72">
        <v>500128</v>
      </c>
      <c r="B31">
        <v>1</v>
      </c>
    </row>
    <row r="32" spans="1:2">
      <c r="A32" s="72">
        <v>500129</v>
      </c>
      <c r="B32">
        <v>1</v>
      </c>
    </row>
    <row r="33" spans="1:2">
      <c r="A33" s="72">
        <v>500136</v>
      </c>
      <c r="B33">
        <v>1</v>
      </c>
    </row>
    <row r="34" spans="1:2">
      <c r="A34" s="72">
        <v>500141</v>
      </c>
      <c r="B34">
        <v>1</v>
      </c>
    </row>
    <row r="35" spans="1:2">
      <c r="A35" s="73">
        <v>500143</v>
      </c>
      <c r="B35">
        <v>1</v>
      </c>
    </row>
    <row r="36" spans="1:2">
      <c r="A36" s="72">
        <v>500144</v>
      </c>
      <c r="B36">
        <v>1</v>
      </c>
    </row>
    <row r="37" spans="1:2">
      <c r="A37" s="74">
        <v>500157</v>
      </c>
      <c r="B37">
        <v>1</v>
      </c>
    </row>
    <row r="38" spans="1:2">
      <c r="A38" s="75">
        <v>500158</v>
      </c>
      <c r="B38">
        <v>1</v>
      </c>
    </row>
    <row r="39" spans="1:2">
      <c r="A39" s="75">
        <v>500159</v>
      </c>
      <c r="B39">
        <v>1</v>
      </c>
    </row>
    <row r="40" spans="1:2">
      <c r="A40" s="74">
        <v>500161</v>
      </c>
      <c r="B40">
        <v>1</v>
      </c>
    </row>
    <row r="41" spans="1:2">
      <c r="A41" s="72">
        <v>500182</v>
      </c>
      <c r="B41">
        <v>1</v>
      </c>
    </row>
    <row r="42" spans="1:2">
      <c r="A42" s="71">
        <v>500190</v>
      </c>
      <c r="B42">
        <v>1</v>
      </c>
    </row>
    <row r="43" spans="1:2">
      <c r="A43" s="71">
        <v>500191</v>
      </c>
      <c r="B43">
        <v>1</v>
      </c>
    </row>
    <row r="44" spans="1:2">
      <c r="A44" s="72">
        <v>500192</v>
      </c>
      <c r="B44">
        <v>1</v>
      </c>
    </row>
    <row r="45" spans="1:2">
      <c r="A45" s="72">
        <v>500194</v>
      </c>
      <c r="B45">
        <v>1</v>
      </c>
    </row>
    <row r="46" spans="1:2">
      <c r="A46" s="71">
        <v>500198</v>
      </c>
      <c r="B46">
        <v>1</v>
      </c>
    </row>
    <row r="47" spans="1:2">
      <c r="A47" s="72">
        <v>500200</v>
      </c>
      <c r="B47">
        <v>1</v>
      </c>
    </row>
    <row r="48" spans="1:2">
      <c r="A48" s="72">
        <v>500201</v>
      </c>
      <c r="B48">
        <v>1</v>
      </c>
    </row>
    <row r="49" spans="1:2">
      <c r="A49" s="71">
        <v>500203</v>
      </c>
      <c r="B49">
        <v>1</v>
      </c>
    </row>
    <row r="50" spans="1:2">
      <c r="A50" s="71">
        <v>500206</v>
      </c>
      <c r="B50">
        <v>1</v>
      </c>
    </row>
    <row r="51" spans="1:2">
      <c r="A51" s="72">
        <v>500207</v>
      </c>
      <c r="B51">
        <v>1</v>
      </c>
    </row>
    <row r="52" spans="1:2">
      <c r="A52" s="72">
        <v>500208</v>
      </c>
      <c r="B52">
        <v>1</v>
      </c>
    </row>
    <row r="53" spans="1:2">
      <c r="A53" s="71">
        <v>500210</v>
      </c>
      <c r="B53">
        <v>1</v>
      </c>
    </row>
    <row r="54" spans="1:2">
      <c r="A54" s="72">
        <v>500214</v>
      </c>
      <c r="B54">
        <v>1</v>
      </c>
    </row>
    <row r="55" spans="1:2">
      <c r="A55" s="72">
        <v>500215</v>
      </c>
      <c r="B55">
        <v>1</v>
      </c>
    </row>
    <row r="56" spans="1:2">
      <c r="A56" s="72">
        <v>500242</v>
      </c>
      <c r="B56">
        <v>1</v>
      </c>
    </row>
    <row r="57" spans="1:2">
      <c r="A57" s="72">
        <v>500243</v>
      </c>
      <c r="B57">
        <v>1</v>
      </c>
    </row>
    <row r="58" spans="1:2">
      <c r="A58" s="73">
        <v>500252</v>
      </c>
      <c r="B58">
        <v>1</v>
      </c>
    </row>
    <row r="59" spans="1:2">
      <c r="A59" s="72">
        <v>500257</v>
      </c>
      <c r="B59">
        <v>1</v>
      </c>
    </row>
    <row r="60" spans="1:2">
      <c r="A60" s="72">
        <v>500259</v>
      </c>
      <c r="B60">
        <v>1</v>
      </c>
    </row>
    <row r="61" spans="1:2">
      <c r="A61" s="71">
        <v>500261</v>
      </c>
      <c r="B61">
        <v>1</v>
      </c>
    </row>
    <row r="62" spans="1:2">
      <c r="A62" s="71">
        <v>500262</v>
      </c>
      <c r="B62">
        <v>1</v>
      </c>
    </row>
    <row r="63" spans="1:2">
      <c r="A63" s="72">
        <v>500268</v>
      </c>
      <c r="B63">
        <v>1</v>
      </c>
    </row>
    <row r="64" spans="1:2">
      <c r="A64" s="71">
        <v>500280</v>
      </c>
      <c r="B64">
        <v>1</v>
      </c>
    </row>
    <row r="65" spans="1:2">
      <c r="A65" s="72">
        <v>500281</v>
      </c>
      <c r="B65">
        <v>1</v>
      </c>
    </row>
    <row r="66" spans="1:2">
      <c r="A66" s="72">
        <v>500283</v>
      </c>
      <c r="B66">
        <v>1</v>
      </c>
    </row>
    <row r="67" spans="1:2">
      <c r="A67" s="71">
        <v>500285</v>
      </c>
      <c r="B67">
        <v>1</v>
      </c>
    </row>
    <row r="68" spans="1:2">
      <c r="A68" s="72">
        <v>500304</v>
      </c>
      <c r="B68">
        <v>1</v>
      </c>
    </row>
    <row r="69" spans="1:2">
      <c r="A69" s="72">
        <v>500310</v>
      </c>
      <c r="B69">
        <v>1</v>
      </c>
    </row>
    <row r="70" spans="1:2">
      <c r="A70" s="71">
        <v>500323</v>
      </c>
      <c r="B70">
        <v>1</v>
      </c>
    </row>
    <row r="71" spans="1:2">
      <c r="A71" s="72">
        <v>500324</v>
      </c>
      <c r="B71">
        <v>1</v>
      </c>
    </row>
    <row r="72" spans="1:2">
      <c r="A72" s="72">
        <v>500325</v>
      </c>
      <c r="B72">
        <v>1</v>
      </c>
    </row>
    <row r="73" spans="1:2">
      <c r="A73" s="71">
        <v>500328</v>
      </c>
      <c r="B73">
        <v>1</v>
      </c>
    </row>
    <row r="74" spans="1:2">
      <c r="A74" s="72">
        <v>500349</v>
      </c>
      <c r="B74">
        <v>1</v>
      </c>
    </row>
    <row r="75" spans="1:2">
      <c r="A75" s="72">
        <v>500350</v>
      </c>
      <c r="B75">
        <v>1</v>
      </c>
    </row>
    <row r="76" spans="1:2">
      <c r="A76" s="71">
        <v>500354</v>
      </c>
      <c r="B76">
        <v>1</v>
      </c>
    </row>
    <row r="77" spans="1:2">
      <c r="A77" s="71">
        <v>500355</v>
      </c>
      <c r="B77">
        <v>1</v>
      </c>
    </row>
    <row r="78" spans="1:2">
      <c r="A78" s="71">
        <v>500358</v>
      </c>
      <c r="B78">
        <v>1</v>
      </c>
    </row>
    <row r="79" spans="1:2">
      <c r="A79" s="72">
        <v>500359</v>
      </c>
      <c r="B79">
        <v>1</v>
      </c>
    </row>
    <row r="80" spans="1:2">
      <c r="A80" s="72">
        <v>500360</v>
      </c>
      <c r="B80">
        <v>1</v>
      </c>
    </row>
    <row r="81" spans="1:2">
      <c r="A81" s="71">
        <v>500362</v>
      </c>
      <c r="B81">
        <v>1</v>
      </c>
    </row>
    <row r="82" spans="1:2">
      <c r="A82" s="71">
        <v>500382</v>
      </c>
      <c r="B82">
        <v>1</v>
      </c>
    </row>
    <row r="83" spans="1:2">
      <c r="A83" s="72">
        <v>500383</v>
      </c>
      <c r="B83">
        <v>1</v>
      </c>
    </row>
    <row r="84" spans="1:2">
      <c r="A84" s="72">
        <v>500384</v>
      </c>
      <c r="B84">
        <v>1</v>
      </c>
    </row>
    <row r="85" spans="1:2">
      <c r="A85" s="71">
        <v>500385</v>
      </c>
      <c r="B85">
        <v>1</v>
      </c>
    </row>
    <row r="86" spans="1:2">
      <c r="A86" s="72">
        <v>500388</v>
      </c>
      <c r="B86">
        <v>1</v>
      </c>
    </row>
    <row r="87" spans="1:2">
      <c r="A87" s="72">
        <v>500389</v>
      </c>
      <c r="B87">
        <v>1</v>
      </c>
    </row>
    <row r="88" spans="1:2">
      <c r="A88" s="71">
        <v>500390</v>
      </c>
      <c r="B88">
        <v>1</v>
      </c>
    </row>
    <row r="89" spans="1:2">
      <c r="A89" s="71">
        <v>500393</v>
      </c>
      <c r="B89">
        <v>1</v>
      </c>
    </row>
    <row r="90" spans="1:2">
      <c r="A90" s="71">
        <v>500395</v>
      </c>
      <c r="B90">
        <v>1</v>
      </c>
    </row>
    <row r="91" spans="1:2">
      <c r="A91" s="72">
        <v>500396</v>
      </c>
      <c r="B91">
        <v>1</v>
      </c>
    </row>
    <row r="92" spans="1:2">
      <c r="A92" s="72">
        <v>500397</v>
      </c>
      <c r="B92">
        <v>1</v>
      </c>
    </row>
    <row r="93" spans="1:2">
      <c r="A93" s="71">
        <v>500400</v>
      </c>
      <c r="B93">
        <v>1</v>
      </c>
    </row>
    <row r="94" spans="1:2">
      <c r="A94" s="74">
        <v>500402</v>
      </c>
      <c r="B94">
        <v>1</v>
      </c>
    </row>
    <row r="95" spans="1:2">
      <c r="A95" s="75">
        <v>500405</v>
      </c>
      <c r="B95">
        <v>1</v>
      </c>
    </row>
    <row r="96" spans="1:2">
      <c r="A96" s="71">
        <v>500407</v>
      </c>
      <c r="B96">
        <v>1</v>
      </c>
    </row>
    <row r="97" spans="1:2">
      <c r="A97" s="75">
        <v>500407</v>
      </c>
      <c r="B97">
        <v>1</v>
      </c>
    </row>
    <row r="98" spans="1:2">
      <c r="A98" s="74">
        <v>500408</v>
      </c>
      <c r="B98">
        <v>1</v>
      </c>
    </row>
    <row r="99" spans="1:2">
      <c r="A99" s="71">
        <v>500441</v>
      </c>
      <c r="B99">
        <v>1</v>
      </c>
    </row>
    <row r="100" spans="1:2">
      <c r="A100" s="76">
        <v>600026</v>
      </c>
      <c r="B100">
        <v>1</v>
      </c>
    </row>
    <row r="101" spans="1:2">
      <c r="A101" s="76">
        <v>600027</v>
      </c>
      <c r="B101">
        <v>1</v>
      </c>
    </row>
    <row r="102" spans="1:2">
      <c r="A102" s="76">
        <v>600029</v>
      </c>
      <c r="B102">
        <v>1</v>
      </c>
    </row>
    <row r="103" spans="1:2">
      <c r="A103" s="72">
        <v>600030</v>
      </c>
      <c r="B103">
        <v>1</v>
      </c>
    </row>
    <row r="104" spans="1:2">
      <c r="A104" s="76">
        <v>600031</v>
      </c>
      <c r="B104">
        <v>1</v>
      </c>
    </row>
    <row r="105" spans="1:2">
      <c r="A105" s="76">
        <v>600032</v>
      </c>
      <c r="B105">
        <v>1</v>
      </c>
    </row>
    <row r="106" spans="1:2">
      <c r="A106" s="72">
        <v>600033</v>
      </c>
      <c r="B106">
        <v>1</v>
      </c>
    </row>
    <row r="107" spans="1:2">
      <c r="A107" s="71">
        <v>600034</v>
      </c>
      <c r="B107">
        <v>1</v>
      </c>
    </row>
    <row r="108" spans="1:2">
      <c r="A108" s="71">
        <v>600035</v>
      </c>
      <c r="B108">
        <v>1</v>
      </c>
    </row>
    <row r="109" spans="1:2">
      <c r="A109" s="71">
        <v>600036</v>
      </c>
      <c r="B109">
        <v>1</v>
      </c>
    </row>
    <row r="110" spans="1:2">
      <c r="A110" s="73">
        <v>600059</v>
      </c>
      <c r="B110">
        <v>1</v>
      </c>
    </row>
    <row r="111" spans="1:2">
      <c r="A111" s="73">
        <v>600060</v>
      </c>
      <c r="B111">
        <v>1</v>
      </c>
    </row>
    <row r="112" spans="1:2">
      <c r="A112" s="73">
        <v>600061</v>
      </c>
      <c r="B112">
        <v>1</v>
      </c>
    </row>
    <row r="113" spans="1:2">
      <c r="A113" s="73">
        <v>600062</v>
      </c>
      <c r="B113">
        <v>1</v>
      </c>
    </row>
    <row r="114" spans="1:2">
      <c r="A114" s="73">
        <v>600063</v>
      </c>
      <c r="B114">
        <v>1</v>
      </c>
    </row>
    <row r="115" spans="1:2">
      <c r="A115" s="73">
        <v>600064</v>
      </c>
      <c r="B115">
        <v>1</v>
      </c>
    </row>
    <row r="116" spans="1:2">
      <c r="A116" s="73">
        <v>600065</v>
      </c>
      <c r="B116">
        <v>1</v>
      </c>
    </row>
    <row r="117" spans="1:2">
      <c r="A117" s="73">
        <v>600066</v>
      </c>
      <c r="B117">
        <v>1</v>
      </c>
    </row>
    <row r="118" spans="1:2">
      <c r="A118" s="73">
        <v>600067</v>
      </c>
      <c r="B118">
        <v>1</v>
      </c>
    </row>
    <row r="119" spans="1:2">
      <c r="A119" s="73">
        <v>600068</v>
      </c>
      <c r="B119">
        <v>1</v>
      </c>
    </row>
    <row r="120" spans="1:2">
      <c r="A120" s="73">
        <v>600069</v>
      </c>
      <c r="B120">
        <v>1</v>
      </c>
    </row>
    <row r="121" spans="1:2">
      <c r="A121" s="73">
        <v>600070</v>
      </c>
      <c r="B121">
        <v>1</v>
      </c>
    </row>
    <row r="122" spans="1:2">
      <c r="A122" s="73">
        <v>600071</v>
      </c>
      <c r="B122">
        <v>1</v>
      </c>
    </row>
    <row r="123" spans="1:2">
      <c r="A123" s="73">
        <v>600072</v>
      </c>
      <c r="B123">
        <v>1</v>
      </c>
    </row>
    <row r="124" spans="1:2">
      <c r="A124" s="73">
        <v>600073</v>
      </c>
      <c r="B124">
        <v>1</v>
      </c>
    </row>
    <row r="125" spans="1:2">
      <c r="A125" s="73">
        <v>600074</v>
      </c>
      <c r="B125">
        <v>1</v>
      </c>
    </row>
    <row r="126" spans="1:2">
      <c r="A126" s="73">
        <v>600075</v>
      </c>
      <c r="B126">
        <v>1</v>
      </c>
    </row>
    <row r="127" spans="1:2">
      <c r="A127" s="73">
        <v>600076</v>
      </c>
      <c r="B127">
        <v>1</v>
      </c>
    </row>
    <row r="128" spans="1:2">
      <c r="A128" s="73">
        <v>600077</v>
      </c>
      <c r="B128">
        <v>1</v>
      </c>
    </row>
    <row r="129" spans="1:2">
      <c r="A129" s="73">
        <v>600078</v>
      </c>
      <c r="B129">
        <v>1</v>
      </c>
    </row>
    <row r="130" spans="1:2">
      <c r="A130" s="73">
        <v>600079</v>
      </c>
      <c r="B130">
        <v>1</v>
      </c>
    </row>
    <row r="131" spans="1:2">
      <c r="A131" s="72">
        <v>600080</v>
      </c>
      <c r="B131">
        <v>1</v>
      </c>
    </row>
    <row r="132" spans="1:2">
      <c r="A132" s="72">
        <v>600081</v>
      </c>
      <c r="B132">
        <v>1</v>
      </c>
    </row>
    <row r="133" spans="1:2">
      <c r="A133" s="73">
        <v>600082</v>
      </c>
      <c r="B133">
        <v>1</v>
      </c>
    </row>
    <row r="134" spans="1:2">
      <c r="A134" s="73">
        <v>600083</v>
      </c>
      <c r="B134">
        <v>1</v>
      </c>
    </row>
    <row r="135" spans="1:2">
      <c r="A135" s="72">
        <v>600084</v>
      </c>
      <c r="B135">
        <v>1</v>
      </c>
    </row>
    <row r="136" spans="1:2">
      <c r="A136" s="73">
        <v>600085</v>
      </c>
      <c r="B136">
        <v>1</v>
      </c>
    </row>
    <row r="137" spans="1:2">
      <c r="A137" s="73">
        <v>600086</v>
      </c>
      <c r="B137">
        <v>1</v>
      </c>
    </row>
    <row r="138" spans="1:2">
      <c r="A138" s="72">
        <v>600087</v>
      </c>
      <c r="B138">
        <v>1</v>
      </c>
    </row>
    <row r="139" spans="1:2">
      <c r="A139" s="72">
        <v>600088</v>
      </c>
      <c r="B139">
        <v>1</v>
      </c>
    </row>
    <row r="140" spans="1:2">
      <c r="A140" s="73">
        <v>600090</v>
      </c>
      <c r="B140">
        <v>1</v>
      </c>
    </row>
    <row r="141" spans="1:2">
      <c r="A141" s="72">
        <v>600091</v>
      </c>
      <c r="B141">
        <v>1</v>
      </c>
    </row>
    <row r="142" spans="1:2">
      <c r="A142" s="72">
        <v>600093</v>
      </c>
      <c r="B142">
        <v>1</v>
      </c>
    </row>
    <row r="143" spans="1:2">
      <c r="A143" s="73">
        <v>600093</v>
      </c>
      <c r="B143">
        <v>1</v>
      </c>
    </row>
    <row r="144" spans="1:2">
      <c r="A144" s="73">
        <v>600094</v>
      </c>
      <c r="B144">
        <v>1</v>
      </c>
    </row>
    <row r="145" spans="1:2">
      <c r="A145" s="72">
        <v>600096</v>
      </c>
      <c r="B145">
        <v>1</v>
      </c>
    </row>
    <row r="146" spans="1:2">
      <c r="A146" s="73">
        <v>600097</v>
      </c>
      <c r="B146">
        <v>1</v>
      </c>
    </row>
    <row r="147" spans="1:2">
      <c r="A147" s="71">
        <v>600098</v>
      </c>
      <c r="B147">
        <v>1</v>
      </c>
    </row>
    <row r="148" spans="1:2">
      <c r="A148" s="72">
        <v>600099</v>
      </c>
      <c r="B148">
        <v>1</v>
      </c>
    </row>
    <row r="149" spans="1:2">
      <c r="A149" s="72">
        <v>600100</v>
      </c>
      <c r="B149">
        <v>1</v>
      </c>
    </row>
    <row r="150" spans="1:2">
      <c r="A150" s="71">
        <v>600101</v>
      </c>
      <c r="B150">
        <v>1</v>
      </c>
    </row>
    <row r="151" spans="1:2">
      <c r="A151" s="77">
        <v>600114</v>
      </c>
      <c r="B151">
        <v>1</v>
      </c>
    </row>
    <row r="152" spans="1:2">
      <c r="A152" s="72">
        <v>600577</v>
      </c>
      <c r="B152">
        <v>1</v>
      </c>
    </row>
    <row r="153" spans="1:2">
      <c r="A153" s="71">
        <v>600578</v>
      </c>
      <c r="B153">
        <v>1</v>
      </c>
    </row>
    <row r="154" spans="1:2">
      <c r="A154" s="72">
        <v>600579</v>
      </c>
      <c r="B154">
        <v>1</v>
      </c>
    </row>
    <row r="155" spans="1:2">
      <c r="A155" s="71">
        <v>600580</v>
      </c>
      <c r="B155">
        <v>1</v>
      </c>
    </row>
    <row r="156" spans="1:2">
      <c r="A156" s="72">
        <v>600582</v>
      </c>
      <c r="B156">
        <v>1</v>
      </c>
    </row>
    <row r="157" spans="1:2">
      <c r="A157" s="72">
        <v>600583</v>
      </c>
      <c r="B157">
        <v>1</v>
      </c>
    </row>
    <row r="158" spans="1:2">
      <c r="A158" s="71">
        <v>600585</v>
      </c>
      <c r="B158">
        <v>1</v>
      </c>
    </row>
    <row r="159" spans="1:2">
      <c r="A159" s="72">
        <v>600587</v>
      </c>
      <c r="B159">
        <v>1</v>
      </c>
    </row>
    <row r="160" spans="1:2">
      <c r="A160" s="71">
        <v>600588</v>
      </c>
      <c r="B160">
        <v>1</v>
      </c>
    </row>
    <row r="161" spans="1:2">
      <c r="A161" s="71">
        <v>600590</v>
      </c>
      <c r="B161">
        <v>1</v>
      </c>
    </row>
    <row r="162" spans="1:2">
      <c r="A162" s="72">
        <v>600591</v>
      </c>
      <c r="B162">
        <v>1</v>
      </c>
    </row>
    <row r="163" spans="1:2">
      <c r="A163" s="72">
        <v>600593</v>
      </c>
      <c r="B163">
        <v>1</v>
      </c>
    </row>
    <row r="164" spans="1:2">
      <c r="A164" s="71">
        <v>600597</v>
      </c>
      <c r="B164">
        <v>1</v>
      </c>
    </row>
    <row r="165" spans="1:2">
      <c r="A165" s="72">
        <v>600599</v>
      </c>
      <c r="B165">
        <v>1</v>
      </c>
    </row>
    <row r="166" spans="1:2">
      <c r="A166" s="71">
        <v>600600</v>
      </c>
      <c r="B166">
        <v>1</v>
      </c>
    </row>
    <row r="167" spans="1:2">
      <c r="A167" s="72">
        <v>600601</v>
      </c>
      <c r="B167">
        <v>1</v>
      </c>
    </row>
    <row r="168" spans="1:2">
      <c r="A168" s="71">
        <v>600602</v>
      </c>
      <c r="B168">
        <v>1</v>
      </c>
    </row>
    <row r="169" spans="1:2">
      <c r="A169" s="72">
        <v>700120</v>
      </c>
      <c r="B169">
        <v>1</v>
      </c>
    </row>
    <row r="170" spans="1:2">
      <c r="A170" s="71">
        <v>700129</v>
      </c>
      <c r="B170">
        <v>1</v>
      </c>
    </row>
    <row r="171" spans="1:2">
      <c r="A171" s="72">
        <v>700130</v>
      </c>
      <c r="B171">
        <v>1</v>
      </c>
    </row>
    <row r="172" spans="1:2">
      <c r="A172" s="72">
        <v>700131</v>
      </c>
      <c r="B172">
        <v>1</v>
      </c>
    </row>
    <row r="173" spans="1:2">
      <c r="A173" s="71">
        <v>700135</v>
      </c>
      <c r="B173">
        <v>1</v>
      </c>
    </row>
  </sheetData>
  <autoFilter ref="A1:A173">
    <sortState ref="A1:A173">
      <sortCondition ref="A1"/>
    </sortState>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4"/>
  <sheetViews>
    <sheetView topLeftCell="A79" workbookViewId="0">
      <selection activeCell="F107" sqref="F107"/>
    </sheetView>
  </sheetViews>
  <sheetFormatPr defaultColWidth="8.61261261261261" defaultRowHeight="14.1"/>
  <cols>
    <col min="1" max="5" width="8.61261261261261" style="6"/>
    <col min="10" max="10" width="29.8288288288288" customWidth="1"/>
    <col min="11" max="11" width="67.4954954954955" style="7" customWidth="1"/>
    <col min="12" max="12" width="31.4234234234234" style="8" customWidth="1"/>
    <col min="13" max="13" width="21.8648648648649" style="9" customWidth="1"/>
    <col min="15" max="15" width="8.61261261261261" style="10"/>
  </cols>
  <sheetData>
    <row r="1" customFormat="1" ht="75" customHeight="1" spans="1:15">
      <c r="A1" s="11"/>
      <c r="B1" s="11"/>
      <c r="C1" s="11" t="s">
        <v>302</v>
      </c>
      <c r="D1" s="12" t="s">
        <v>303</v>
      </c>
      <c r="E1" s="11" t="s">
        <v>304</v>
      </c>
      <c r="F1" s="11" t="s">
        <v>305</v>
      </c>
      <c r="G1" s="11" t="s">
        <v>306</v>
      </c>
      <c r="H1" s="11" t="s">
        <v>307</v>
      </c>
      <c r="I1" s="11" t="s">
        <v>308</v>
      </c>
      <c r="J1" s="11" t="s">
        <v>309</v>
      </c>
      <c r="K1" s="23" t="s">
        <v>310</v>
      </c>
      <c r="L1" s="24" t="s">
        <v>311</v>
      </c>
      <c r="M1" s="11" t="s">
        <v>312</v>
      </c>
      <c r="O1" s="10"/>
    </row>
    <row r="2" s="1" customFormat="1" ht="34" customHeight="1" spans="1:15">
      <c r="A2" s="13" t="s">
        <v>313</v>
      </c>
      <c r="B2" s="14" t="s">
        <v>11</v>
      </c>
      <c r="C2" s="13" t="s">
        <v>314</v>
      </c>
      <c r="D2" s="13" t="s">
        <v>315</v>
      </c>
      <c r="E2" s="13" t="s">
        <v>316</v>
      </c>
      <c r="F2" s="13" t="s">
        <v>317</v>
      </c>
      <c r="G2" s="13" t="s">
        <v>318</v>
      </c>
      <c r="H2" s="13" t="s">
        <v>319</v>
      </c>
      <c r="I2" s="13" t="s">
        <v>320</v>
      </c>
      <c r="J2" s="25" t="s">
        <v>321</v>
      </c>
      <c r="K2" s="25" t="s">
        <v>322</v>
      </c>
      <c r="L2" s="26" t="s">
        <v>323</v>
      </c>
      <c r="M2" s="25" t="s">
        <v>324</v>
      </c>
      <c r="O2" s="27"/>
    </row>
    <row r="3" s="2" customFormat="1" spans="1:15">
      <c r="A3" s="15">
        <v>500002</v>
      </c>
      <c r="B3" s="4">
        <v>1112001</v>
      </c>
      <c r="C3" s="4" t="s">
        <v>325</v>
      </c>
      <c r="D3" s="4" t="s">
        <v>325</v>
      </c>
      <c r="E3" s="4" t="s">
        <v>325</v>
      </c>
      <c r="F3" s="2" t="s">
        <v>325</v>
      </c>
      <c r="G3" s="2" t="s">
        <v>326</v>
      </c>
      <c r="H3" s="2" t="s">
        <v>326</v>
      </c>
      <c r="I3" s="2" t="s">
        <v>326</v>
      </c>
      <c r="J3" s="2" t="s">
        <v>327</v>
      </c>
      <c r="K3" s="28" t="s">
        <v>328</v>
      </c>
      <c r="L3" s="29"/>
      <c r="M3" s="30" t="s">
        <v>329</v>
      </c>
      <c r="O3" s="31">
        <v>1</v>
      </c>
    </row>
    <row r="4" spans="1:15">
      <c r="A4" s="16">
        <v>500006</v>
      </c>
      <c r="B4" s="6">
        <v>1112001</v>
      </c>
      <c r="C4" s="6" t="s">
        <v>325</v>
      </c>
      <c r="D4" s="6" t="s">
        <v>325</v>
      </c>
      <c r="E4" s="6" t="s">
        <v>325</v>
      </c>
      <c r="F4" t="s">
        <v>325</v>
      </c>
      <c r="G4" t="s">
        <v>326</v>
      </c>
      <c r="H4" t="s">
        <v>326</v>
      </c>
      <c r="I4" t="s">
        <v>326</v>
      </c>
      <c r="J4" t="s">
        <v>330</v>
      </c>
      <c r="K4" s="7" t="s">
        <v>331</v>
      </c>
      <c r="M4" s="32" t="s">
        <v>332</v>
      </c>
      <c r="O4" s="10">
        <v>1</v>
      </c>
    </row>
    <row r="5" spans="1:15">
      <c r="A5" s="16">
        <v>600059</v>
      </c>
      <c r="B5" s="6">
        <v>1112001</v>
      </c>
      <c r="C5" s="6" t="s">
        <v>325</v>
      </c>
      <c r="D5" s="6" t="s">
        <v>325</v>
      </c>
      <c r="E5" s="6">
        <v>1</v>
      </c>
      <c r="F5" t="s">
        <v>325</v>
      </c>
      <c r="G5" t="s">
        <v>326</v>
      </c>
      <c r="H5" t="s">
        <v>326</v>
      </c>
      <c r="I5" t="s">
        <v>326</v>
      </c>
      <c r="J5" t="s">
        <v>333</v>
      </c>
      <c r="K5" s="7" t="s">
        <v>328</v>
      </c>
      <c r="M5" s="32" t="s">
        <v>334</v>
      </c>
      <c r="O5" s="10">
        <v>1</v>
      </c>
    </row>
    <row r="6" s="3" customFormat="1" spans="1:15">
      <c r="A6" s="17">
        <v>600060</v>
      </c>
      <c r="B6" s="18">
        <v>1112001</v>
      </c>
      <c r="C6" s="18" t="s">
        <v>335</v>
      </c>
      <c r="D6" s="18" t="s">
        <v>335</v>
      </c>
      <c r="E6" s="18" t="s">
        <v>325</v>
      </c>
      <c r="F6" s="3" t="s">
        <v>325</v>
      </c>
      <c r="G6" s="3" t="s">
        <v>326</v>
      </c>
      <c r="H6" s="3" t="s">
        <v>326</v>
      </c>
      <c r="I6" s="3" t="s">
        <v>326</v>
      </c>
      <c r="J6" s="3" t="s">
        <v>336</v>
      </c>
      <c r="K6" s="33" t="s">
        <v>328</v>
      </c>
      <c r="L6" s="34"/>
      <c r="M6" s="35" t="s">
        <v>337</v>
      </c>
      <c r="O6" s="36">
        <v>1</v>
      </c>
    </row>
    <row r="7" spans="1:15">
      <c r="A7" s="6">
        <v>500025</v>
      </c>
      <c r="B7" s="6">
        <v>1112002</v>
      </c>
      <c r="C7" s="6" t="s">
        <v>325</v>
      </c>
      <c r="D7" s="6" t="s">
        <v>325</v>
      </c>
      <c r="E7" s="6" t="s">
        <v>325</v>
      </c>
      <c r="F7" t="s">
        <v>325</v>
      </c>
      <c r="G7" t="s">
        <v>326</v>
      </c>
      <c r="H7" t="s">
        <v>326</v>
      </c>
      <c r="I7" t="s">
        <v>326</v>
      </c>
      <c r="J7" t="s">
        <v>338</v>
      </c>
      <c r="K7" s="7" t="s">
        <v>339</v>
      </c>
      <c r="M7" s="32" t="s">
        <v>340</v>
      </c>
      <c r="O7" s="10">
        <v>1</v>
      </c>
    </row>
    <row r="8" spans="1:15">
      <c r="A8" s="6">
        <v>500027</v>
      </c>
      <c r="B8" s="6">
        <v>1112002</v>
      </c>
      <c r="C8" s="6" t="s">
        <v>325</v>
      </c>
      <c r="D8" s="6" t="s">
        <v>325</v>
      </c>
      <c r="E8" s="6" t="s">
        <v>325</v>
      </c>
      <c r="F8" t="s">
        <v>325</v>
      </c>
      <c r="G8" t="s">
        <v>326</v>
      </c>
      <c r="H8" t="s">
        <v>326</v>
      </c>
      <c r="I8" t="s">
        <v>326</v>
      </c>
      <c r="J8" t="s">
        <v>341</v>
      </c>
      <c r="K8" s="7" t="s">
        <v>339</v>
      </c>
      <c r="M8" s="32" t="s">
        <v>342</v>
      </c>
      <c r="O8" s="10">
        <v>1</v>
      </c>
    </row>
    <row r="9" spans="1:15">
      <c r="A9" s="6">
        <v>600061</v>
      </c>
      <c r="B9" s="6">
        <v>1112002</v>
      </c>
      <c r="C9" s="6" t="s">
        <v>325</v>
      </c>
      <c r="D9" s="6" t="s">
        <v>325</v>
      </c>
      <c r="E9" s="6" t="s">
        <v>325</v>
      </c>
      <c r="F9" t="s">
        <v>325</v>
      </c>
      <c r="G9" t="s">
        <v>326</v>
      </c>
      <c r="H9" t="s">
        <v>326</v>
      </c>
      <c r="I9" t="s">
        <v>326</v>
      </c>
      <c r="J9" t="s">
        <v>343</v>
      </c>
      <c r="K9" s="7" t="s">
        <v>344</v>
      </c>
      <c r="M9" s="32" t="s">
        <v>345</v>
      </c>
      <c r="O9" s="10">
        <v>1</v>
      </c>
    </row>
    <row r="10" spans="1:15">
      <c r="A10" s="6">
        <v>600062</v>
      </c>
      <c r="B10" s="6">
        <v>1112002</v>
      </c>
      <c r="C10" s="6" t="s">
        <v>335</v>
      </c>
      <c r="D10" s="6" t="s">
        <v>335</v>
      </c>
      <c r="E10" s="6" t="s">
        <v>325</v>
      </c>
      <c r="F10" t="s">
        <v>325</v>
      </c>
      <c r="G10" t="s">
        <v>326</v>
      </c>
      <c r="H10" t="s">
        <v>326</v>
      </c>
      <c r="I10" t="s">
        <v>326</v>
      </c>
      <c r="J10" t="s">
        <v>346</v>
      </c>
      <c r="K10" s="7" t="s">
        <v>339</v>
      </c>
      <c r="M10" s="32" t="s">
        <v>347</v>
      </c>
      <c r="O10" s="10">
        <v>1</v>
      </c>
    </row>
    <row r="11" s="2" customFormat="1" spans="1:15">
      <c r="A11" s="15">
        <v>500065</v>
      </c>
      <c r="B11" s="4">
        <v>1112003</v>
      </c>
      <c r="C11" s="4" t="s">
        <v>325</v>
      </c>
      <c r="D11" s="4" t="s">
        <v>325</v>
      </c>
      <c r="E11" s="4" t="s">
        <v>325</v>
      </c>
      <c r="F11" s="2" t="s">
        <v>325</v>
      </c>
      <c r="G11" s="2" t="s">
        <v>326</v>
      </c>
      <c r="H11" s="2" t="s">
        <v>348</v>
      </c>
      <c r="I11" s="2" t="s">
        <v>326</v>
      </c>
      <c r="J11" s="2" t="s">
        <v>349</v>
      </c>
      <c r="K11" s="28" t="s">
        <v>339</v>
      </c>
      <c r="L11" s="29"/>
      <c r="M11" s="37" t="s">
        <v>350</v>
      </c>
      <c r="O11" s="31">
        <v>1</v>
      </c>
    </row>
    <row r="12" spans="1:15">
      <c r="A12" s="16">
        <v>500066</v>
      </c>
      <c r="B12" s="6">
        <v>1112003</v>
      </c>
      <c r="C12" s="6" t="s">
        <v>325</v>
      </c>
      <c r="D12" s="6" t="s">
        <v>325</v>
      </c>
      <c r="E12" s="6" t="s">
        <v>325</v>
      </c>
      <c r="F12" t="s">
        <v>325</v>
      </c>
      <c r="G12" t="s">
        <v>326</v>
      </c>
      <c r="H12" t="s">
        <v>351</v>
      </c>
      <c r="I12" t="s">
        <v>326</v>
      </c>
      <c r="J12" t="s">
        <v>352</v>
      </c>
      <c r="K12" s="7" t="s">
        <v>339</v>
      </c>
      <c r="M12" s="38" t="s">
        <v>353</v>
      </c>
      <c r="O12" s="10">
        <v>1</v>
      </c>
    </row>
    <row r="13" spans="1:15">
      <c r="A13" s="16">
        <v>600067</v>
      </c>
      <c r="B13" s="6">
        <v>1112003</v>
      </c>
      <c r="C13" s="6" t="s">
        <v>325</v>
      </c>
      <c r="D13" s="6" t="s">
        <v>325</v>
      </c>
      <c r="E13" s="6" t="s">
        <v>325</v>
      </c>
      <c r="F13" t="s">
        <v>325</v>
      </c>
      <c r="G13" t="s">
        <v>326</v>
      </c>
      <c r="H13" t="s">
        <v>326</v>
      </c>
      <c r="I13" t="s">
        <v>326</v>
      </c>
      <c r="J13" t="s">
        <v>354</v>
      </c>
      <c r="K13" s="7" t="s">
        <v>355</v>
      </c>
      <c r="M13" s="38" t="s">
        <v>356</v>
      </c>
      <c r="O13" s="10">
        <v>1</v>
      </c>
    </row>
    <row r="14" s="3" customFormat="1" spans="1:15">
      <c r="A14" s="17">
        <v>600068</v>
      </c>
      <c r="B14" s="18">
        <v>1112003</v>
      </c>
      <c r="C14" s="18" t="s">
        <v>335</v>
      </c>
      <c r="D14" s="18" t="s">
        <v>335</v>
      </c>
      <c r="E14" s="18" t="s">
        <v>325</v>
      </c>
      <c r="F14" s="3" t="s">
        <v>325</v>
      </c>
      <c r="G14" s="3" t="s">
        <v>326</v>
      </c>
      <c r="H14" s="3" t="s">
        <v>326</v>
      </c>
      <c r="I14" s="3" t="s">
        <v>326</v>
      </c>
      <c r="J14" s="3" t="s">
        <v>357</v>
      </c>
      <c r="K14" s="33" t="s">
        <v>339</v>
      </c>
      <c r="L14" s="34"/>
      <c r="M14" s="38" t="s">
        <v>358</v>
      </c>
      <c r="O14" s="36">
        <v>1</v>
      </c>
    </row>
    <row r="15" spans="1:15">
      <c r="A15" s="6">
        <v>500057</v>
      </c>
      <c r="B15" s="6">
        <v>1112004</v>
      </c>
      <c r="C15" s="6" t="s">
        <v>325</v>
      </c>
      <c r="D15" s="6" t="s">
        <v>325</v>
      </c>
      <c r="E15" s="6" t="s">
        <v>325</v>
      </c>
      <c r="F15" t="s">
        <v>325</v>
      </c>
      <c r="G15" t="s">
        <v>326</v>
      </c>
      <c r="H15" t="s">
        <v>326</v>
      </c>
      <c r="I15" t="s">
        <v>326</v>
      </c>
      <c r="J15" t="s">
        <v>359</v>
      </c>
      <c r="K15" s="7" t="s">
        <v>339</v>
      </c>
      <c r="M15" s="39" t="s">
        <v>360</v>
      </c>
      <c r="O15" s="10">
        <v>1</v>
      </c>
    </row>
    <row r="16" spans="1:15">
      <c r="A16" s="6">
        <v>500058</v>
      </c>
      <c r="B16" s="6">
        <v>1112004</v>
      </c>
      <c r="C16" s="6" t="s">
        <v>325</v>
      </c>
      <c r="D16" s="6" t="s">
        <v>325</v>
      </c>
      <c r="E16" s="6" t="s">
        <v>325</v>
      </c>
      <c r="F16" t="s">
        <v>325</v>
      </c>
      <c r="G16" t="s">
        <v>326</v>
      </c>
      <c r="H16" t="s">
        <v>326</v>
      </c>
      <c r="I16" t="s">
        <v>326</v>
      </c>
      <c r="J16" t="s">
        <v>361</v>
      </c>
      <c r="K16" s="7" t="s">
        <v>339</v>
      </c>
      <c r="M16" s="9" t="s">
        <v>362</v>
      </c>
      <c r="O16" s="10">
        <v>1</v>
      </c>
    </row>
    <row r="17" spans="1:15">
      <c r="A17" s="6">
        <v>600065</v>
      </c>
      <c r="B17" s="6">
        <v>1112004</v>
      </c>
      <c r="C17" s="6" t="s">
        <v>325</v>
      </c>
      <c r="D17" s="6" t="s">
        <v>325</v>
      </c>
      <c r="E17" s="6" t="s">
        <v>325</v>
      </c>
      <c r="F17" t="s">
        <v>325</v>
      </c>
      <c r="G17" t="s">
        <v>326</v>
      </c>
      <c r="H17" t="s">
        <v>326</v>
      </c>
      <c r="I17" t="s">
        <v>326</v>
      </c>
      <c r="J17" t="s">
        <v>363</v>
      </c>
      <c r="K17" s="7" t="s">
        <v>355</v>
      </c>
      <c r="M17" s="9" t="s">
        <v>364</v>
      </c>
      <c r="O17" s="10">
        <v>1</v>
      </c>
    </row>
    <row r="18" spans="1:15">
      <c r="A18" s="6">
        <v>600066</v>
      </c>
      <c r="B18" s="6">
        <v>1112004</v>
      </c>
      <c r="C18" s="6" t="s">
        <v>335</v>
      </c>
      <c r="D18" s="6" t="s">
        <v>335</v>
      </c>
      <c r="E18" s="6" t="s">
        <v>325</v>
      </c>
      <c r="F18" t="s">
        <v>325</v>
      </c>
      <c r="G18" t="s">
        <v>326</v>
      </c>
      <c r="H18" t="s">
        <v>326</v>
      </c>
      <c r="I18" t="s">
        <v>326</v>
      </c>
      <c r="J18" t="s">
        <v>365</v>
      </c>
      <c r="K18" s="7" t="s">
        <v>366</v>
      </c>
      <c r="M18" s="9" t="s">
        <v>367</v>
      </c>
      <c r="O18" s="10">
        <v>1</v>
      </c>
    </row>
    <row r="19" s="2" customFormat="1" spans="1:15">
      <c r="A19" s="15">
        <v>500050</v>
      </c>
      <c r="B19" s="4">
        <v>1112005</v>
      </c>
      <c r="C19" s="4" t="s">
        <v>325</v>
      </c>
      <c r="D19" s="4" t="s">
        <v>325</v>
      </c>
      <c r="E19" s="4" t="s">
        <v>325</v>
      </c>
      <c r="F19" s="2" t="s">
        <v>325</v>
      </c>
      <c r="G19" s="2" t="s">
        <v>326</v>
      </c>
      <c r="H19" s="2" t="s">
        <v>326</v>
      </c>
      <c r="I19" s="2" t="s">
        <v>326</v>
      </c>
      <c r="J19" s="2" t="s">
        <v>368</v>
      </c>
      <c r="K19" s="28" t="s">
        <v>339</v>
      </c>
      <c r="L19" s="29"/>
      <c r="M19" s="40" t="s">
        <v>369</v>
      </c>
      <c r="O19" s="31">
        <v>1</v>
      </c>
    </row>
    <row r="20" spans="1:15">
      <c r="A20" s="16">
        <v>500052</v>
      </c>
      <c r="B20" s="6">
        <v>1112005</v>
      </c>
      <c r="C20" s="6" t="s">
        <v>325</v>
      </c>
      <c r="D20" s="6" t="s">
        <v>325</v>
      </c>
      <c r="E20" s="6" t="s">
        <v>325</v>
      </c>
      <c r="F20" t="s">
        <v>325</v>
      </c>
      <c r="G20" t="s">
        <v>326</v>
      </c>
      <c r="H20" t="s">
        <v>326</v>
      </c>
      <c r="I20" t="s">
        <v>326</v>
      </c>
      <c r="J20" t="s">
        <v>370</v>
      </c>
      <c r="K20" s="7" t="s">
        <v>339</v>
      </c>
      <c r="M20" s="9" t="s">
        <v>371</v>
      </c>
      <c r="O20" s="10">
        <v>1</v>
      </c>
    </row>
    <row r="21" spans="1:15">
      <c r="A21" s="16">
        <v>600063</v>
      </c>
      <c r="B21" s="6">
        <v>1112005</v>
      </c>
      <c r="C21" s="6" t="s">
        <v>325</v>
      </c>
      <c r="D21" s="6" t="s">
        <v>325</v>
      </c>
      <c r="E21" s="6" t="s">
        <v>325</v>
      </c>
      <c r="F21" t="s">
        <v>325</v>
      </c>
      <c r="G21" t="s">
        <v>326</v>
      </c>
      <c r="H21" t="s">
        <v>326</v>
      </c>
      <c r="I21" t="s">
        <v>326</v>
      </c>
      <c r="J21" t="s">
        <v>372</v>
      </c>
      <c r="K21" s="7" t="s">
        <v>339</v>
      </c>
      <c r="M21" s="9" t="s">
        <v>373</v>
      </c>
      <c r="O21" s="10">
        <v>1</v>
      </c>
    </row>
    <row r="22" s="3" customFormat="1" spans="1:15">
      <c r="A22" s="17">
        <v>600064</v>
      </c>
      <c r="B22" s="18">
        <v>1112005</v>
      </c>
      <c r="C22" s="18" t="s">
        <v>335</v>
      </c>
      <c r="D22" s="18" t="s">
        <v>335</v>
      </c>
      <c r="E22" s="18" t="s">
        <v>325</v>
      </c>
      <c r="F22" s="3" t="s">
        <v>325</v>
      </c>
      <c r="G22" s="3" t="s">
        <v>326</v>
      </c>
      <c r="H22" s="3" t="s">
        <v>326</v>
      </c>
      <c r="I22" s="3" t="s">
        <v>326</v>
      </c>
      <c r="J22" s="3" t="s">
        <v>374</v>
      </c>
      <c r="K22" s="33" t="s">
        <v>339</v>
      </c>
      <c r="L22" s="34"/>
      <c r="M22" s="41" t="s">
        <v>375</v>
      </c>
      <c r="O22" s="36">
        <v>1</v>
      </c>
    </row>
    <row r="23" spans="1:15">
      <c r="A23" s="6">
        <v>600069</v>
      </c>
      <c r="B23" s="6">
        <v>1112006</v>
      </c>
      <c r="C23" s="6" t="s">
        <v>335</v>
      </c>
      <c r="D23" s="6" t="s">
        <v>335</v>
      </c>
      <c r="E23" s="6" t="s">
        <v>325</v>
      </c>
      <c r="F23" t="s">
        <v>325</v>
      </c>
      <c r="G23" t="s">
        <v>326</v>
      </c>
      <c r="H23" t="s">
        <v>326</v>
      </c>
      <c r="I23" t="s">
        <v>326</v>
      </c>
      <c r="J23" t="s">
        <v>376</v>
      </c>
      <c r="K23" s="7" t="s">
        <v>339</v>
      </c>
      <c r="M23" s="42" t="s">
        <v>377</v>
      </c>
      <c r="O23" s="10">
        <v>1</v>
      </c>
    </row>
    <row r="24" spans="1:15">
      <c r="A24" s="6">
        <v>500023</v>
      </c>
      <c r="B24" s="6">
        <v>1112006</v>
      </c>
      <c r="C24" s="6" t="s">
        <v>325</v>
      </c>
      <c r="D24" s="6" t="s">
        <v>325</v>
      </c>
      <c r="E24" s="6" t="s">
        <v>325</v>
      </c>
      <c r="F24" t="s">
        <v>325</v>
      </c>
      <c r="G24" t="s">
        <v>326</v>
      </c>
      <c r="H24" t="s">
        <v>326</v>
      </c>
      <c r="I24" t="s">
        <v>326</v>
      </c>
      <c r="J24" t="s">
        <v>378</v>
      </c>
      <c r="K24" s="7" t="s">
        <v>379</v>
      </c>
      <c r="M24" s="9" t="s">
        <v>380</v>
      </c>
      <c r="O24" s="10">
        <v>1</v>
      </c>
    </row>
    <row r="25" spans="1:15">
      <c r="A25" s="6">
        <v>500084</v>
      </c>
      <c r="B25" s="6">
        <v>1112006</v>
      </c>
      <c r="C25" s="6" t="s">
        <v>325</v>
      </c>
      <c r="D25" s="6" t="s">
        <v>325</v>
      </c>
      <c r="E25" s="6" t="s">
        <v>325</v>
      </c>
      <c r="F25" t="s">
        <v>325</v>
      </c>
      <c r="G25" t="s">
        <v>326</v>
      </c>
      <c r="H25" t="s">
        <v>326</v>
      </c>
      <c r="I25" t="s">
        <v>326</v>
      </c>
      <c r="J25" s="43" t="s">
        <v>381</v>
      </c>
      <c r="K25" s="7" t="s">
        <v>339</v>
      </c>
      <c r="M25" s="44"/>
      <c r="O25" s="10">
        <v>1</v>
      </c>
    </row>
    <row r="26" spans="1:15">
      <c r="A26" s="6">
        <v>500182</v>
      </c>
      <c r="B26" s="6">
        <v>1112006</v>
      </c>
      <c r="C26" s="6" t="s">
        <v>325</v>
      </c>
      <c r="D26" s="6" t="s">
        <v>325</v>
      </c>
      <c r="E26" s="6">
        <v>1</v>
      </c>
      <c r="F26" t="s">
        <v>325</v>
      </c>
      <c r="G26" t="s">
        <v>326</v>
      </c>
      <c r="H26" t="s">
        <v>326</v>
      </c>
      <c r="I26" t="s">
        <v>326</v>
      </c>
      <c r="J26" t="s">
        <v>382</v>
      </c>
      <c r="K26" s="7" t="s">
        <v>383</v>
      </c>
      <c r="M26" s="9" t="s">
        <v>384</v>
      </c>
      <c r="O26" s="10">
        <v>1</v>
      </c>
    </row>
    <row r="27" s="2" customFormat="1" spans="1:15">
      <c r="A27" s="15">
        <v>500323</v>
      </c>
      <c r="B27" s="4">
        <v>1112007</v>
      </c>
      <c r="C27" s="4" t="s">
        <v>325</v>
      </c>
      <c r="D27" s="4" t="s">
        <v>325</v>
      </c>
      <c r="E27" s="4" t="s">
        <v>325</v>
      </c>
      <c r="F27" s="2" t="s">
        <v>385</v>
      </c>
      <c r="G27" s="2" t="s">
        <v>326</v>
      </c>
      <c r="H27" s="2" t="s">
        <v>326</v>
      </c>
      <c r="I27" s="2" t="s">
        <v>326</v>
      </c>
      <c r="J27" s="2" t="s">
        <v>386</v>
      </c>
      <c r="K27" s="42" t="s">
        <v>387</v>
      </c>
      <c r="L27" s="45"/>
      <c r="M27" s="42" t="s">
        <v>388</v>
      </c>
      <c r="O27" s="31">
        <v>1</v>
      </c>
    </row>
    <row r="28" spans="1:15">
      <c r="A28" s="16">
        <v>500324</v>
      </c>
      <c r="B28" s="6">
        <v>1112007</v>
      </c>
      <c r="C28" s="6" t="s">
        <v>325</v>
      </c>
      <c r="D28" s="6" t="s">
        <v>325</v>
      </c>
      <c r="E28" s="6" t="s">
        <v>325</v>
      </c>
      <c r="F28" t="s">
        <v>385</v>
      </c>
      <c r="G28" t="s">
        <v>326</v>
      </c>
      <c r="H28" t="s">
        <v>326</v>
      </c>
      <c r="I28" t="s">
        <v>326</v>
      </c>
      <c r="J28" t="s">
        <v>389</v>
      </c>
      <c r="K28" s="42" t="s">
        <v>328</v>
      </c>
      <c r="L28" s="45"/>
      <c r="M28" s="42" t="s">
        <v>390</v>
      </c>
      <c r="O28" s="10">
        <v>1</v>
      </c>
    </row>
    <row r="29" spans="1:15">
      <c r="A29" s="16">
        <v>500325</v>
      </c>
      <c r="B29" s="6">
        <v>1112007</v>
      </c>
      <c r="C29" s="6" t="s">
        <v>325</v>
      </c>
      <c r="D29" s="6" t="s">
        <v>325</v>
      </c>
      <c r="E29" s="6" t="s">
        <v>325</v>
      </c>
      <c r="F29" t="s">
        <v>385</v>
      </c>
      <c r="G29" t="s">
        <v>326</v>
      </c>
      <c r="H29" t="s">
        <v>326</v>
      </c>
      <c r="I29" t="s">
        <v>326</v>
      </c>
      <c r="J29" s="46" t="s">
        <v>391</v>
      </c>
      <c r="K29" s="42" t="s">
        <v>392</v>
      </c>
      <c r="L29" s="42"/>
      <c r="M29" s="42" t="s">
        <v>393</v>
      </c>
      <c r="O29" s="10">
        <v>1</v>
      </c>
    </row>
    <row r="30" s="3" customFormat="1" spans="1:15">
      <c r="A30" s="17">
        <v>500328</v>
      </c>
      <c r="B30" s="18">
        <v>1112007</v>
      </c>
      <c r="C30" s="18" t="s">
        <v>335</v>
      </c>
      <c r="D30" s="18" t="s">
        <v>335</v>
      </c>
      <c r="E30" s="18" t="s">
        <v>394</v>
      </c>
      <c r="F30" s="3" t="s">
        <v>385</v>
      </c>
      <c r="G30" s="3" t="s">
        <v>326</v>
      </c>
      <c r="H30" s="3" t="s">
        <v>326</v>
      </c>
      <c r="I30" s="3" t="s">
        <v>326</v>
      </c>
      <c r="J30" s="3" t="s">
        <v>395</v>
      </c>
      <c r="K30" s="42" t="s">
        <v>366</v>
      </c>
      <c r="L30" s="45"/>
      <c r="M30" s="42" t="s">
        <v>396</v>
      </c>
      <c r="O30" s="36">
        <v>1</v>
      </c>
    </row>
    <row r="31" spans="1:15">
      <c r="A31" s="6">
        <v>500076</v>
      </c>
      <c r="B31" s="6">
        <v>1112008</v>
      </c>
      <c r="C31" s="6" t="s">
        <v>325</v>
      </c>
      <c r="D31" s="6" t="s">
        <v>325</v>
      </c>
      <c r="E31" s="6" t="s">
        <v>325</v>
      </c>
      <c r="F31" t="s">
        <v>325</v>
      </c>
      <c r="G31" t="s">
        <v>326</v>
      </c>
      <c r="H31" t="s">
        <v>326</v>
      </c>
      <c r="I31" t="s">
        <v>326</v>
      </c>
      <c r="J31" t="s">
        <v>397</v>
      </c>
      <c r="K31" s="7" t="s">
        <v>339</v>
      </c>
      <c r="M31" s="42" t="s">
        <v>398</v>
      </c>
      <c r="O31" s="10">
        <v>1</v>
      </c>
    </row>
    <row r="32" spans="1:15">
      <c r="A32" s="6">
        <v>500079</v>
      </c>
      <c r="B32" s="6">
        <v>1112008</v>
      </c>
      <c r="C32" s="6" t="s">
        <v>325</v>
      </c>
      <c r="D32" s="6" t="s">
        <v>325</v>
      </c>
      <c r="E32" s="6" t="s">
        <v>325</v>
      </c>
      <c r="F32" t="s">
        <v>325</v>
      </c>
      <c r="G32" t="s">
        <v>326</v>
      </c>
      <c r="H32" t="s">
        <v>326</v>
      </c>
      <c r="I32" t="s">
        <v>326</v>
      </c>
      <c r="J32" t="s">
        <v>399</v>
      </c>
      <c r="K32" s="47" t="s">
        <v>400</v>
      </c>
      <c r="M32" s="42" t="s">
        <v>401</v>
      </c>
      <c r="O32" s="10">
        <v>1</v>
      </c>
    </row>
    <row r="33" spans="1:15">
      <c r="A33" s="6">
        <v>500080</v>
      </c>
      <c r="B33" s="6">
        <v>1112008</v>
      </c>
      <c r="C33" s="6" t="s">
        <v>325</v>
      </c>
      <c r="D33" s="6" t="s">
        <v>325</v>
      </c>
      <c r="E33" s="6" t="s">
        <v>325</v>
      </c>
      <c r="F33" t="s">
        <v>325</v>
      </c>
      <c r="G33" t="s">
        <v>326</v>
      </c>
      <c r="H33" t="s">
        <v>326</v>
      </c>
      <c r="I33" t="s">
        <v>326</v>
      </c>
      <c r="J33" t="s">
        <v>402</v>
      </c>
      <c r="K33" s="7" t="s">
        <v>339</v>
      </c>
      <c r="M33" s="48" t="s">
        <v>403</v>
      </c>
      <c r="O33" s="10">
        <v>1</v>
      </c>
    </row>
    <row r="34" spans="1:15">
      <c r="A34" s="6">
        <v>600070</v>
      </c>
      <c r="B34" s="6">
        <v>1112008</v>
      </c>
      <c r="C34" s="6" t="s">
        <v>335</v>
      </c>
      <c r="D34" s="6" t="s">
        <v>335</v>
      </c>
      <c r="E34" s="6" t="s">
        <v>325</v>
      </c>
      <c r="F34" t="s">
        <v>325</v>
      </c>
      <c r="G34" t="s">
        <v>326</v>
      </c>
      <c r="H34" t="s">
        <v>326</v>
      </c>
      <c r="I34" t="s">
        <v>326</v>
      </c>
      <c r="J34" t="s">
        <v>404</v>
      </c>
      <c r="K34" s="7" t="s">
        <v>366</v>
      </c>
      <c r="M34" s="48" t="s">
        <v>405</v>
      </c>
      <c r="O34" s="10">
        <v>1</v>
      </c>
    </row>
    <row r="35" s="2" customFormat="1" spans="1:15">
      <c r="A35" s="15">
        <v>500382</v>
      </c>
      <c r="B35" s="4">
        <v>1112009</v>
      </c>
      <c r="C35" s="4" t="s">
        <v>325</v>
      </c>
      <c r="D35" s="4" t="s">
        <v>325</v>
      </c>
      <c r="E35" s="4" t="s">
        <v>325</v>
      </c>
      <c r="F35" s="2" t="s">
        <v>325</v>
      </c>
      <c r="G35" s="2" t="s">
        <v>326</v>
      </c>
      <c r="H35" s="2" t="s">
        <v>326</v>
      </c>
      <c r="I35" s="2" t="s">
        <v>326</v>
      </c>
      <c r="J35" s="2" t="s">
        <v>406</v>
      </c>
      <c r="K35" s="28" t="s">
        <v>407</v>
      </c>
      <c r="L35" s="29"/>
      <c r="M35" s="49" t="s">
        <v>408</v>
      </c>
      <c r="O35" s="31">
        <v>1</v>
      </c>
    </row>
    <row r="36" spans="1:15">
      <c r="A36" s="16">
        <v>500383</v>
      </c>
      <c r="B36" s="6">
        <v>1112009</v>
      </c>
      <c r="C36" s="6" t="s">
        <v>325</v>
      </c>
      <c r="D36" s="6" t="s">
        <v>325</v>
      </c>
      <c r="E36" s="6" t="s">
        <v>325</v>
      </c>
      <c r="F36" t="s">
        <v>325</v>
      </c>
      <c r="G36" t="s">
        <v>326</v>
      </c>
      <c r="H36" t="s">
        <v>326</v>
      </c>
      <c r="I36" t="s">
        <v>326</v>
      </c>
      <c r="J36" t="s">
        <v>409</v>
      </c>
      <c r="K36" s="7" t="s">
        <v>407</v>
      </c>
      <c r="M36" s="9" t="s">
        <v>410</v>
      </c>
      <c r="O36" s="10">
        <v>1</v>
      </c>
    </row>
    <row r="37" spans="1:15">
      <c r="A37" s="16">
        <v>500384</v>
      </c>
      <c r="B37" s="6">
        <v>1112009</v>
      </c>
      <c r="C37" s="6" t="s">
        <v>325</v>
      </c>
      <c r="D37" s="6" t="s">
        <v>325</v>
      </c>
      <c r="E37" s="6" t="s">
        <v>325</v>
      </c>
      <c r="F37" t="s">
        <v>325</v>
      </c>
      <c r="G37" t="s">
        <v>326</v>
      </c>
      <c r="H37" t="s">
        <v>326</v>
      </c>
      <c r="I37" t="s">
        <v>326</v>
      </c>
      <c r="J37" t="s">
        <v>411</v>
      </c>
      <c r="K37" s="7" t="s">
        <v>339</v>
      </c>
      <c r="M37" s="9" t="s">
        <v>412</v>
      </c>
      <c r="O37" s="10">
        <v>1</v>
      </c>
    </row>
    <row r="38" s="3" customFormat="1" spans="1:15">
      <c r="A38" s="17">
        <v>500385</v>
      </c>
      <c r="B38" s="18">
        <v>1112009</v>
      </c>
      <c r="C38" s="18" t="s">
        <v>335</v>
      </c>
      <c r="D38" s="18" t="s">
        <v>335</v>
      </c>
      <c r="E38" s="18" t="s">
        <v>325</v>
      </c>
      <c r="F38" s="3" t="s">
        <v>325</v>
      </c>
      <c r="G38" s="3" t="s">
        <v>326</v>
      </c>
      <c r="H38" s="3" t="s">
        <v>326</v>
      </c>
      <c r="I38" s="3" t="s">
        <v>326</v>
      </c>
      <c r="J38" s="3" t="s">
        <v>413</v>
      </c>
      <c r="K38" s="33" t="s">
        <v>366</v>
      </c>
      <c r="L38" s="34"/>
      <c r="M38" s="41" t="s">
        <v>414</v>
      </c>
      <c r="O38" s="36">
        <v>1</v>
      </c>
    </row>
    <row r="39" spans="1:15">
      <c r="A39" s="6">
        <v>500094</v>
      </c>
      <c r="B39" s="6">
        <v>1112010</v>
      </c>
      <c r="C39" s="6" t="s">
        <v>325</v>
      </c>
      <c r="D39" s="6" t="s">
        <v>325</v>
      </c>
      <c r="E39" s="6" t="s">
        <v>325</v>
      </c>
      <c r="F39" t="s">
        <v>325</v>
      </c>
      <c r="G39" t="s">
        <v>326</v>
      </c>
      <c r="H39" t="s">
        <v>326</v>
      </c>
      <c r="I39" t="s">
        <v>326</v>
      </c>
      <c r="J39" t="s">
        <v>415</v>
      </c>
      <c r="K39" s="7" t="s">
        <v>339</v>
      </c>
      <c r="M39" s="9" t="s">
        <v>416</v>
      </c>
      <c r="O39" s="10">
        <v>1</v>
      </c>
    </row>
    <row r="40" spans="1:15">
      <c r="A40" s="6">
        <v>500095</v>
      </c>
      <c r="B40" s="6">
        <v>1112010</v>
      </c>
      <c r="C40" s="6" t="s">
        <v>325</v>
      </c>
      <c r="D40" s="6" t="s">
        <v>325</v>
      </c>
      <c r="E40" s="6" t="s">
        <v>325</v>
      </c>
      <c r="F40" t="s">
        <v>325</v>
      </c>
      <c r="G40" t="s">
        <v>326</v>
      </c>
      <c r="H40" t="s">
        <v>326</v>
      </c>
      <c r="I40" t="s">
        <v>326</v>
      </c>
      <c r="J40" t="s">
        <v>417</v>
      </c>
      <c r="K40" s="7" t="s">
        <v>355</v>
      </c>
      <c r="M40" s="9" t="s">
        <v>418</v>
      </c>
      <c r="O40" s="10">
        <v>1</v>
      </c>
    </row>
    <row r="41" spans="1:15">
      <c r="A41" s="6">
        <v>600071</v>
      </c>
      <c r="B41" s="6">
        <v>1112010</v>
      </c>
      <c r="C41" s="6" t="s">
        <v>325</v>
      </c>
      <c r="D41" s="6" t="s">
        <v>325</v>
      </c>
      <c r="E41" s="6" t="s">
        <v>325</v>
      </c>
      <c r="F41" t="s">
        <v>325</v>
      </c>
      <c r="G41" t="s">
        <v>326</v>
      </c>
      <c r="H41" t="s">
        <v>326</v>
      </c>
      <c r="I41" t="s">
        <v>326</v>
      </c>
      <c r="J41" t="s">
        <v>419</v>
      </c>
      <c r="K41" s="7" t="s">
        <v>339</v>
      </c>
      <c r="M41" s="9" t="s">
        <v>420</v>
      </c>
      <c r="O41" s="10">
        <v>1</v>
      </c>
    </row>
    <row r="42" spans="1:15">
      <c r="A42" s="6">
        <v>600072</v>
      </c>
      <c r="B42" s="6">
        <v>1112010</v>
      </c>
      <c r="C42" s="6" t="s">
        <v>335</v>
      </c>
      <c r="D42" s="6" t="s">
        <v>335</v>
      </c>
      <c r="E42" s="6" t="s">
        <v>325</v>
      </c>
      <c r="F42" t="s">
        <v>325</v>
      </c>
      <c r="G42" t="s">
        <v>326</v>
      </c>
      <c r="H42" t="s">
        <v>326</v>
      </c>
      <c r="I42" t="s">
        <v>326</v>
      </c>
      <c r="J42" t="s">
        <v>421</v>
      </c>
      <c r="K42" s="7" t="s">
        <v>366</v>
      </c>
      <c r="M42" s="9" t="s">
        <v>422</v>
      </c>
      <c r="O42" s="10">
        <v>1</v>
      </c>
    </row>
    <row r="43" s="2" customFormat="1" spans="1:15">
      <c r="A43" s="15">
        <v>500108</v>
      </c>
      <c r="B43" s="4">
        <v>1112011</v>
      </c>
      <c r="C43" s="4" t="s">
        <v>325</v>
      </c>
      <c r="D43" s="4" t="s">
        <v>325</v>
      </c>
      <c r="E43" s="4" t="s">
        <v>325</v>
      </c>
      <c r="F43" s="2" t="s">
        <v>325</v>
      </c>
      <c r="G43" s="2" t="s">
        <v>326</v>
      </c>
      <c r="H43" s="2" t="s">
        <v>326</v>
      </c>
      <c r="I43" s="2" t="s">
        <v>326</v>
      </c>
      <c r="J43" s="2" t="s">
        <v>423</v>
      </c>
      <c r="K43" s="28" t="s">
        <v>339</v>
      </c>
      <c r="L43" s="29"/>
      <c r="M43" s="42" t="s">
        <v>424</v>
      </c>
      <c r="O43" s="31">
        <v>1</v>
      </c>
    </row>
    <row r="44" spans="1:15">
      <c r="A44" s="16">
        <v>500110</v>
      </c>
      <c r="B44" s="6">
        <v>1112011</v>
      </c>
      <c r="C44" s="6" t="s">
        <v>325</v>
      </c>
      <c r="D44" s="6" t="s">
        <v>325</v>
      </c>
      <c r="E44" s="6" t="s">
        <v>325</v>
      </c>
      <c r="F44" t="s">
        <v>325</v>
      </c>
      <c r="G44" t="s">
        <v>326</v>
      </c>
      <c r="H44" t="s">
        <v>326</v>
      </c>
      <c r="I44" t="s">
        <v>326</v>
      </c>
      <c r="J44" t="s">
        <v>425</v>
      </c>
      <c r="K44" s="7" t="s">
        <v>339</v>
      </c>
      <c r="M44" s="42" t="s">
        <v>426</v>
      </c>
      <c r="O44" s="10">
        <v>1</v>
      </c>
    </row>
    <row r="45" spans="1:15">
      <c r="A45" s="16">
        <v>600073</v>
      </c>
      <c r="B45" s="6">
        <v>1112011</v>
      </c>
      <c r="C45" s="6" t="s">
        <v>325</v>
      </c>
      <c r="D45" s="6" t="s">
        <v>325</v>
      </c>
      <c r="E45" s="6" t="s">
        <v>325</v>
      </c>
      <c r="F45" t="s">
        <v>325</v>
      </c>
      <c r="G45" t="s">
        <v>326</v>
      </c>
      <c r="H45" t="s">
        <v>326</v>
      </c>
      <c r="I45" t="s">
        <v>326</v>
      </c>
      <c r="J45" t="s">
        <v>427</v>
      </c>
      <c r="K45" s="7" t="s">
        <v>339</v>
      </c>
      <c r="M45" s="9" t="s">
        <v>428</v>
      </c>
      <c r="O45" s="10">
        <v>1</v>
      </c>
    </row>
    <row r="46" s="3" customFormat="1" spans="1:15">
      <c r="A46" s="17">
        <v>600074</v>
      </c>
      <c r="B46" s="18">
        <v>1112011</v>
      </c>
      <c r="C46" s="18" t="s">
        <v>335</v>
      </c>
      <c r="D46" s="18" t="s">
        <v>335</v>
      </c>
      <c r="E46" s="18" t="s">
        <v>325</v>
      </c>
      <c r="F46" s="3" t="s">
        <v>325</v>
      </c>
      <c r="G46" s="3" t="s">
        <v>326</v>
      </c>
      <c r="H46" s="3" t="s">
        <v>326</v>
      </c>
      <c r="I46" s="3" t="s">
        <v>326</v>
      </c>
      <c r="J46" s="3" t="s">
        <v>429</v>
      </c>
      <c r="K46" s="33" t="s">
        <v>339</v>
      </c>
      <c r="L46" s="34"/>
      <c r="M46" s="41" t="s">
        <v>430</v>
      </c>
      <c r="O46" s="36">
        <v>1</v>
      </c>
    </row>
    <row r="47" spans="1:15">
      <c r="A47" s="6">
        <v>500128</v>
      </c>
      <c r="B47" s="6">
        <v>1112012</v>
      </c>
      <c r="C47" s="6" t="s">
        <v>325</v>
      </c>
      <c r="D47" s="6" t="s">
        <v>325</v>
      </c>
      <c r="E47" s="6" t="s">
        <v>325</v>
      </c>
      <c r="F47" t="s">
        <v>325</v>
      </c>
      <c r="G47" t="s">
        <v>326</v>
      </c>
      <c r="H47" t="s">
        <v>326</v>
      </c>
      <c r="I47" t="s">
        <v>326</v>
      </c>
      <c r="J47" t="s">
        <v>431</v>
      </c>
      <c r="K47" s="7" t="s">
        <v>366</v>
      </c>
      <c r="M47" s="9" t="s">
        <v>432</v>
      </c>
      <c r="O47" s="10">
        <v>1</v>
      </c>
    </row>
    <row r="48" spans="1:15">
      <c r="A48" s="6">
        <v>500129</v>
      </c>
      <c r="B48" s="6">
        <v>1112012</v>
      </c>
      <c r="C48" s="6" t="s">
        <v>325</v>
      </c>
      <c r="D48" s="6" t="s">
        <v>325</v>
      </c>
      <c r="E48" s="6" t="s">
        <v>325</v>
      </c>
      <c r="F48" t="s">
        <v>325</v>
      </c>
      <c r="G48" t="s">
        <v>326</v>
      </c>
      <c r="H48" t="s">
        <v>326</v>
      </c>
      <c r="I48" t="s">
        <v>326</v>
      </c>
      <c r="J48" t="s">
        <v>433</v>
      </c>
      <c r="K48" s="7" t="s">
        <v>339</v>
      </c>
      <c r="M48" s="9" t="s">
        <v>434</v>
      </c>
      <c r="O48" s="10">
        <v>1</v>
      </c>
    </row>
    <row r="49" spans="1:15">
      <c r="A49" s="6">
        <v>600075</v>
      </c>
      <c r="B49" s="6">
        <v>1112012</v>
      </c>
      <c r="C49" s="6" t="s">
        <v>325</v>
      </c>
      <c r="D49" s="6" t="s">
        <v>325</v>
      </c>
      <c r="E49" s="6" t="s">
        <v>325</v>
      </c>
      <c r="F49" t="s">
        <v>325</v>
      </c>
      <c r="G49" t="s">
        <v>326</v>
      </c>
      <c r="H49" t="s">
        <v>326</v>
      </c>
      <c r="I49" t="s">
        <v>326</v>
      </c>
      <c r="J49" t="s">
        <v>435</v>
      </c>
      <c r="K49" s="7" t="s">
        <v>339</v>
      </c>
      <c r="M49" s="9" t="s">
        <v>436</v>
      </c>
      <c r="O49" s="10">
        <v>1</v>
      </c>
    </row>
    <row r="50" spans="1:15">
      <c r="A50" s="6">
        <v>600076</v>
      </c>
      <c r="B50" s="6">
        <v>1112012</v>
      </c>
      <c r="C50" s="6" t="s">
        <v>335</v>
      </c>
      <c r="D50" s="6" t="s">
        <v>335</v>
      </c>
      <c r="E50" s="6" t="s">
        <v>325</v>
      </c>
      <c r="F50" t="s">
        <v>325</v>
      </c>
      <c r="G50" t="s">
        <v>326</v>
      </c>
      <c r="H50" t="s">
        <v>326</v>
      </c>
      <c r="I50" t="s">
        <v>326</v>
      </c>
      <c r="J50" t="s">
        <v>437</v>
      </c>
      <c r="K50" s="7" t="s">
        <v>339</v>
      </c>
      <c r="M50" s="9" t="s">
        <v>438</v>
      </c>
      <c r="O50" s="10">
        <v>1</v>
      </c>
    </row>
    <row r="51" s="2" customFormat="1" spans="1:15">
      <c r="A51" s="15">
        <v>500119</v>
      </c>
      <c r="B51" s="4">
        <v>1112013</v>
      </c>
      <c r="C51" s="4" t="s">
        <v>325</v>
      </c>
      <c r="D51" s="4" t="s">
        <v>325</v>
      </c>
      <c r="E51" s="4" t="s">
        <v>325</v>
      </c>
      <c r="F51" s="2" t="s">
        <v>325</v>
      </c>
      <c r="G51" s="2" t="s">
        <v>326</v>
      </c>
      <c r="H51" s="2" t="s">
        <v>326</v>
      </c>
      <c r="I51" s="2" t="s">
        <v>326</v>
      </c>
      <c r="J51" s="2" t="s">
        <v>439</v>
      </c>
      <c r="K51" s="28" t="s">
        <v>339</v>
      </c>
      <c r="L51" s="29"/>
      <c r="M51" s="49" t="s">
        <v>440</v>
      </c>
      <c r="O51" s="31">
        <v>1</v>
      </c>
    </row>
    <row r="52" ht="14.15" spans="1:15">
      <c r="A52" s="16">
        <v>500121</v>
      </c>
      <c r="B52" s="6">
        <v>1112013</v>
      </c>
      <c r="C52" s="6" t="s">
        <v>325</v>
      </c>
      <c r="D52" s="6" t="s">
        <v>325</v>
      </c>
      <c r="E52" s="6" t="s">
        <v>325</v>
      </c>
      <c r="F52" t="s">
        <v>325</v>
      </c>
      <c r="G52" t="s">
        <v>326</v>
      </c>
      <c r="H52" t="s">
        <v>326</v>
      </c>
      <c r="I52" t="s">
        <v>326</v>
      </c>
      <c r="J52" t="s">
        <v>441</v>
      </c>
      <c r="K52" s="50" t="s">
        <v>442</v>
      </c>
      <c r="M52" s="9" t="s">
        <v>443</v>
      </c>
      <c r="O52" s="10">
        <v>1</v>
      </c>
    </row>
    <row r="53" spans="1:15">
      <c r="A53" s="16">
        <v>600026</v>
      </c>
      <c r="B53" s="6">
        <v>1112013</v>
      </c>
      <c r="C53" s="6" t="s">
        <v>325</v>
      </c>
      <c r="D53" s="6" t="s">
        <v>325</v>
      </c>
      <c r="E53" s="6" t="s">
        <v>325</v>
      </c>
      <c r="F53" t="s">
        <v>325</v>
      </c>
      <c r="G53" t="s">
        <v>326</v>
      </c>
      <c r="H53" t="s">
        <v>326</v>
      </c>
      <c r="I53" t="s">
        <v>326</v>
      </c>
      <c r="J53" t="s">
        <v>444</v>
      </c>
      <c r="K53" s="7" t="s">
        <v>383</v>
      </c>
      <c r="M53" s="9" t="s">
        <v>445</v>
      </c>
      <c r="O53" s="10">
        <v>1</v>
      </c>
    </row>
    <row r="54" s="3" customFormat="1" spans="1:15">
      <c r="A54" s="17">
        <v>600027</v>
      </c>
      <c r="B54" s="18">
        <v>1112013</v>
      </c>
      <c r="C54" s="18" t="s">
        <v>335</v>
      </c>
      <c r="D54" s="18" t="s">
        <v>335</v>
      </c>
      <c r="E54" s="18" t="s">
        <v>325</v>
      </c>
      <c r="F54" s="3" t="s">
        <v>325</v>
      </c>
      <c r="G54" s="3" t="s">
        <v>326</v>
      </c>
      <c r="H54" s="3" t="s">
        <v>326</v>
      </c>
      <c r="I54" s="3" t="s">
        <v>326</v>
      </c>
      <c r="J54" s="3" t="s">
        <v>446</v>
      </c>
      <c r="K54" s="33" t="s">
        <v>447</v>
      </c>
      <c r="L54" s="34"/>
      <c r="M54" s="41" t="s">
        <v>448</v>
      </c>
      <c r="O54" s="36">
        <v>1</v>
      </c>
    </row>
    <row r="55" spans="1:15">
      <c r="A55" s="6">
        <v>500141</v>
      </c>
      <c r="B55" s="6">
        <v>1112014</v>
      </c>
      <c r="C55" s="6" t="s">
        <v>325</v>
      </c>
      <c r="D55" s="6" t="s">
        <v>325</v>
      </c>
      <c r="E55" s="6" t="s">
        <v>325</v>
      </c>
      <c r="F55" t="s">
        <v>325</v>
      </c>
      <c r="G55" t="s">
        <v>326</v>
      </c>
      <c r="H55" t="s">
        <v>326</v>
      </c>
      <c r="I55" t="s">
        <v>326</v>
      </c>
      <c r="J55" t="s">
        <v>449</v>
      </c>
      <c r="K55" s="7" t="s">
        <v>339</v>
      </c>
      <c r="M55" s="9" t="s">
        <v>450</v>
      </c>
      <c r="O55" s="10">
        <v>1</v>
      </c>
    </row>
    <row r="56" spans="1:15">
      <c r="A56" s="6">
        <v>500143</v>
      </c>
      <c r="B56" s="6">
        <v>1112014</v>
      </c>
      <c r="C56" s="6" t="s">
        <v>325</v>
      </c>
      <c r="D56" s="6" t="s">
        <v>325</v>
      </c>
      <c r="E56" s="6" t="s">
        <v>325</v>
      </c>
      <c r="F56" t="s">
        <v>325</v>
      </c>
      <c r="G56" t="s">
        <v>326</v>
      </c>
      <c r="H56" t="s">
        <v>326</v>
      </c>
      <c r="I56" t="s">
        <v>326</v>
      </c>
      <c r="J56" t="s">
        <v>451</v>
      </c>
      <c r="K56" s="7" t="s">
        <v>366</v>
      </c>
      <c r="M56" s="9" t="s">
        <v>452</v>
      </c>
      <c r="O56" s="10">
        <v>1</v>
      </c>
    </row>
    <row r="57" spans="1:15">
      <c r="A57" s="6">
        <v>500144</v>
      </c>
      <c r="B57" s="6">
        <v>1112014</v>
      </c>
      <c r="C57" s="6" t="s">
        <v>325</v>
      </c>
      <c r="D57" s="6" t="s">
        <v>325</v>
      </c>
      <c r="E57" s="6" t="s">
        <v>325</v>
      </c>
      <c r="F57" t="s">
        <v>325</v>
      </c>
      <c r="G57" t="s">
        <v>326</v>
      </c>
      <c r="H57" t="s">
        <v>326</v>
      </c>
      <c r="I57" t="s">
        <v>326</v>
      </c>
      <c r="J57" t="s">
        <v>453</v>
      </c>
      <c r="K57" s="7" t="s">
        <v>454</v>
      </c>
      <c r="M57" s="9" t="s">
        <v>455</v>
      </c>
      <c r="O57" s="10">
        <v>1</v>
      </c>
    </row>
    <row r="58" spans="1:15">
      <c r="A58" s="6">
        <v>600029</v>
      </c>
      <c r="B58" s="6">
        <v>1112014</v>
      </c>
      <c r="C58" s="6" t="s">
        <v>335</v>
      </c>
      <c r="D58" s="6" t="s">
        <v>335</v>
      </c>
      <c r="E58" s="6" t="s">
        <v>325</v>
      </c>
      <c r="F58" t="s">
        <v>325</v>
      </c>
      <c r="G58" t="s">
        <v>326</v>
      </c>
      <c r="H58" t="s">
        <v>326</v>
      </c>
      <c r="I58" t="s">
        <v>326</v>
      </c>
      <c r="J58" t="s">
        <v>456</v>
      </c>
      <c r="K58" s="7" t="s">
        <v>339</v>
      </c>
      <c r="M58" s="9" t="s">
        <v>457</v>
      </c>
      <c r="O58" s="10">
        <v>1</v>
      </c>
    </row>
    <row r="59" s="4" customFormat="1" spans="1:15">
      <c r="A59" s="15">
        <v>600114</v>
      </c>
      <c r="B59" s="19">
        <v>1112015</v>
      </c>
      <c r="C59" s="4">
        <v>3</v>
      </c>
      <c r="D59" s="4">
        <v>3</v>
      </c>
      <c r="E59" s="4">
        <v>1</v>
      </c>
      <c r="F59" s="4">
        <v>1</v>
      </c>
      <c r="G59" s="4">
        <v>0</v>
      </c>
      <c r="H59" s="4">
        <v>0</v>
      </c>
      <c r="I59" s="4">
        <v>0</v>
      </c>
      <c r="J59" s="51" t="s">
        <v>458</v>
      </c>
      <c r="K59" s="51" t="s">
        <v>458</v>
      </c>
      <c r="L59" s="52"/>
      <c r="M59" s="51"/>
      <c r="O59" s="31">
        <v>1</v>
      </c>
    </row>
    <row r="60" spans="1:15">
      <c r="A60" s="16">
        <v>500136</v>
      </c>
      <c r="B60" s="20">
        <v>1112015</v>
      </c>
      <c r="C60" s="6" t="s">
        <v>325</v>
      </c>
      <c r="D60" s="6" t="s">
        <v>325</v>
      </c>
      <c r="E60" s="6" t="s">
        <v>325</v>
      </c>
      <c r="F60" t="s">
        <v>325</v>
      </c>
      <c r="G60" t="s">
        <v>326</v>
      </c>
      <c r="H60" t="s">
        <v>326</v>
      </c>
      <c r="I60" t="s">
        <v>326</v>
      </c>
      <c r="J60" t="s">
        <v>459</v>
      </c>
      <c r="K60" s="7" t="s">
        <v>355</v>
      </c>
      <c r="M60" s="9" t="s">
        <v>460</v>
      </c>
      <c r="O60" s="10">
        <v>1</v>
      </c>
    </row>
    <row r="61" spans="1:15">
      <c r="A61" s="16">
        <v>600030</v>
      </c>
      <c r="B61" s="20">
        <v>1112015</v>
      </c>
      <c r="C61" s="6" t="s">
        <v>325</v>
      </c>
      <c r="D61" s="6" t="s">
        <v>325</v>
      </c>
      <c r="E61" s="6" t="s">
        <v>325</v>
      </c>
      <c r="F61" t="s">
        <v>325</v>
      </c>
      <c r="G61" t="s">
        <v>326</v>
      </c>
      <c r="H61" t="s">
        <v>326</v>
      </c>
      <c r="I61" t="s">
        <v>326</v>
      </c>
      <c r="J61" t="s">
        <v>461</v>
      </c>
      <c r="K61" s="7" t="s">
        <v>339</v>
      </c>
      <c r="M61" s="9" t="s">
        <v>462</v>
      </c>
      <c r="O61" s="10">
        <v>1</v>
      </c>
    </row>
    <row r="62" s="3" customFormat="1" spans="1:15">
      <c r="A62" s="17">
        <v>600031</v>
      </c>
      <c r="B62" s="21">
        <v>1112015</v>
      </c>
      <c r="C62" s="18" t="s">
        <v>325</v>
      </c>
      <c r="D62" s="18" t="s">
        <v>325</v>
      </c>
      <c r="E62" s="18" t="s">
        <v>325</v>
      </c>
      <c r="F62" s="3" t="s">
        <v>325</v>
      </c>
      <c r="G62" s="3" t="s">
        <v>326</v>
      </c>
      <c r="H62" s="3" t="s">
        <v>326</v>
      </c>
      <c r="I62" s="3" t="s">
        <v>326</v>
      </c>
      <c r="J62" s="3" t="s">
        <v>463</v>
      </c>
      <c r="K62" s="33" t="s">
        <v>339</v>
      </c>
      <c r="L62" s="34"/>
      <c r="M62" s="41" t="s">
        <v>464</v>
      </c>
      <c r="O62" s="36">
        <v>1</v>
      </c>
    </row>
    <row r="63" s="5" customFormat="1" spans="1:15">
      <c r="A63" s="22">
        <v>500310</v>
      </c>
      <c r="B63" s="22">
        <v>1112016</v>
      </c>
      <c r="C63" s="22" t="s">
        <v>325</v>
      </c>
      <c r="D63" s="22" t="s">
        <v>325</v>
      </c>
      <c r="E63" s="22" t="s">
        <v>325</v>
      </c>
      <c r="F63" s="5" t="s">
        <v>325</v>
      </c>
      <c r="G63" s="5" t="s">
        <v>326</v>
      </c>
      <c r="H63" s="5" t="s">
        <v>326</v>
      </c>
      <c r="I63" s="5" t="s">
        <v>326</v>
      </c>
      <c r="J63" s="5" t="s">
        <v>458</v>
      </c>
      <c r="K63" s="53" t="s">
        <v>458</v>
      </c>
      <c r="L63" s="8"/>
      <c r="O63" s="54">
        <v>1</v>
      </c>
    </row>
    <row r="64" s="5" customFormat="1" spans="1:15">
      <c r="A64" s="22">
        <v>600032</v>
      </c>
      <c r="B64" s="22">
        <v>1112016</v>
      </c>
      <c r="C64" s="22" t="s">
        <v>325</v>
      </c>
      <c r="D64" s="22" t="s">
        <v>325</v>
      </c>
      <c r="E64" s="22" t="s">
        <v>325</v>
      </c>
      <c r="F64" s="5" t="s">
        <v>325</v>
      </c>
      <c r="G64" s="5" t="s">
        <v>326</v>
      </c>
      <c r="H64" s="5" t="s">
        <v>326</v>
      </c>
      <c r="I64" s="5" t="s">
        <v>326</v>
      </c>
      <c r="J64" s="5" t="s">
        <v>458</v>
      </c>
      <c r="K64" s="53" t="s">
        <v>458</v>
      </c>
      <c r="L64" s="8"/>
      <c r="O64" s="54">
        <v>1</v>
      </c>
    </row>
    <row r="65" s="5" customFormat="1" spans="1:15">
      <c r="A65" s="22">
        <v>600033</v>
      </c>
      <c r="B65" s="22">
        <v>1112016</v>
      </c>
      <c r="C65" s="22" t="s">
        <v>325</v>
      </c>
      <c r="D65" s="22" t="s">
        <v>325</v>
      </c>
      <c r="E65" s="22" t="s">
        <v>325</v>
      </c>
      <c r="F65" s="5" t="s">
        <v>325</v>
      </c>
      <c r="G65" s="5" t="s">
        <v>326</v>
      </c>
      <c r="H65" s="5" t="s">
        <v>326</v>
      </c>
      <c r="I65" s="5" t="s">
        <v>326</v>
      </c>
      <c r="J65" s="5" t="s">
        <v>458</v>
      </c>
      <c r="K65" s="53" t="s">
        <v>458</v>
      </c>
      <c r="L65" s="8"/>
      <c r="O65" s="54">
        <v>1</v>
      </c>
    </row>
    <row r="66" s="5" customFormat="1" spans="1:15">
      <c r="A66" s="22">
        <v>600034</v>
      </c>
      <c r="B66" s="22">
        <v>1112016</v>
      </c>
      <c r="C66" s="22" t="s">
        <v>335</v>
      </c>
      <c r="D66" s="22" t="s">
        <v>335</v>
      </c>
      <c r="E66" s="22" t="s">
        <v>325</v>
      </c>
      <c r="F66" s="5" t="s">
        <v>325</v>
      </c>
      <c r="G66" s="5" t="s">
        <v>326</v>
      </c>
      <c r="H66" s="5" t="s">
        <v>326</v>
      </c>
      <c r="I66" s="5" t="s">
        <v>326</v>
      </c>
      <c r="J66" s="5" t="s">
        <v>458</v>
      </c>
      <c r="K66" s="53" t="s">
        <v>458</v>
      </c>
      <c r="L66" s="8"/>
      <c r="O66" s="54">
        <v>1</v>
      </c>
    </row>
    <row r="67" spans="1:15">
      <c r="A67" s="6">
        <v>600035</v>
      </c>
      <c r="B67" s="6">
        <v>1112017</v>
      </c>
      <c r="C67" s="6" t="s">
        <v>325</v>
      </c>
      <c r="D67" s="6" t="s">
        <v>325</v>
      </c>
      <c r="E67" s="6" t="s">
        <v>325</v>
      </c>
      <c r="F67" t="s">
        <v>325</v>
      </c>
      <c r="G67" t="s">
        <v>326</v>
      </c>
      <c r="H67" t="s">
        <v>326</v>
      </c>
      <c r="I67" t="s">
        <v>326</v>
      </c>
      <c r="J67" t="s">
        <v>465</v>
      </c>
      <c r="K67" s="7" t="s">
        <v>339</v>
      </c>
      <c r="M67" s="9" t="s">
        <v>466</v>
      </c>
      <c r="O67" s="10">
        <v>1</v>
      </c>
    </row>
    <row r="68" spans="1:15">
      <c r="A68" s="6">
        <v>500214</v>
      </c>
      <c r="B68" s="6">
        <v>1112017</v>
      </c>
      <c r="C68" s="6" t="s">
        <v>325</v>
      </c>
      <c r="D68" s="6" t="s">
        <v>325</v>
      </c>
      <c r="E68" s="6" t="s">
        <v>325</v>
      </c>
      <c r="F68" t="s">
        <v>325</v>
      </c>
      <c r="G68" t="s">
        <v>326</v>
      </c>
      <c r="H68" t="s">
        <v>326</v>
      </c>
      <c r="I68" t="s">
        <v>326</v>
      </c>
      <c r="J68" s="61" t="s">
        <v>467</v>
      </c>
      <c r="K68" s="7" t="s">
        <v>355</v>
      </c>
      <c r="M68" s="44"/>
      <c r="O68" s="10">
        <v>1</v>
      </c>
    </row>
    <row r="69" spans="1:15">
      <c r="A69" s="6">
        <v>500215</v>
      </c>
      <c r="B69" s="6">
        <v>1112017</v>
      </c>
      <c r="C69" s="6" t="s">
        <v>325</v>
      </c>
      <c r="D69" s="6" t="s">
        <v>325</v>
      </c>
      <c r="E69" s="6" t="s">
        <v>325</v>
      </c>
      <c r="F69" t="s">
        <v>325</v>
      </c>
      <c r="G69" t="s">
        <v>326</v>
      </c>
      <c r="H69" t="s">
        <v>326</v>
      </c>
      <c r="I69" t="s">
        <v>326</v>
      </c>
      <c r="J69" t="s">
        <v>468</v>
      </c>
      <c r="K69" s="7" t="s">
        <v>355</v>
      </c>
      <c r="M69" s="9" t="s">
        <v>469</v>
      </c>
      <c r="O69" s="10">
        <v>1</v>
      </c>
    </row>
    <row r="70" spans="1:15">
      <c r="A70" s="6">
        <v>600036</v>
      </c>
      <c r="B70" s="6">
        <v>1112017</v>
      </c>
      <c r="C70" s="6" t="s">
        <v>335</v>
      </c>
      <c r="D70" s="6" t="s">
        <v>335</v>
      </c>
      <c r="E70" s="6" t="s">
        <v>325</v>
      </c>
      <c r="F70" t="s">
        <v>325</v>
      </c>
      <c r="G70" t="s">
        <v>326</v>
      </c>
      <c r="H70" t="s">
        <v>326</v>
      </c>
      <c r="I70" t="s">
        <v>326</v>
      </c>
      <c r="J70" t="s">
        <v>470</v>
      </c>
      <c r="K70" s="7" t="s">
        <v>339</v>
      </c>
      <c r="M70" s="9" t="s">
        <v>471</v>
      </c>
      <c r="O70" s="10">
        <v>1</v>
      </c>
    </row>
    <row r="71" s="2" customFormat="1" spans="1:15">
      <c r="A71" s="15">
        <v>500257</v>
      </c>
      <c r="B71" s="19">
        <v>1112019</v>
      </c>
      <c r="C71" s="4" t="s">
        <v>325</v>
      </c>
      <c r="D71" s="4" t="s">
        <v>325</v>
      </c>
      <c r="E71" s="4" t="s">
        <v>325</v>
      </c>
      <c r="F71" s="2" t="s">
        <v>325</v>
      </c>
      <c r="G71" s="2" t="s">
        <v>326</v>
      </c>
      <c r="H71" s="2" t="s">
        <v>326</v>
      </c>
      <c r="I71" s="2" t="s">
        <v>326</v>
      </c>
      <c r="J71" s="62" t="s">
        <v>458</v>
      </c>
      <c r="K71" s="28" t="s">
        <v>339</v>
      </c>
      <c r="L71" s="29"/>
      <c r="M71" s="62"/>
      <c r="O71" s="31">
        <v>1</v>
      </c>
    </row>
    <row r="72" spans="1:15">
      <c r="A72" s="16">
        <v>500259</v>
      </c>
      <c r="B72" s="20">
        <v>1112019</v>
      </c>
      <c r="C72" s="6" t="s">
        <v>325</v>
      </c>
      <c r="D72" s="6" t="s">
        <v>325</v>
      </c>
      <c r="E72" s="6" t="s">
        <v>325</v>
      </c>
      <c r="F72" t="s">
        <v>325</v>
      </c>
      <c r="G72" t="s">
        <v>326</v>
      </c>
      <c r="H72" t="s">
        <v>326</v>
      </c>
      <c r="I72" t="s">
        <v>326</v>
      </c>
      <c r="J72" s="44" t="s">
        <v>458</v>
      </c>
      <c r="K72" s="7" t="s">
        <v>383</v>
      </c>
      <c r="M72" s="44"/>
      <c r="O72" s="10">
        <v>1</v>
      </c>
    </row>
    <row r="73" spans="1:15">
      <c r="A73" s="16">
        <v>500261</v>
      </c>
      <c r="B73" s="20">
        <v>1112019</v>
      </c>
      <c r="C73" s="6" t="s">
        <v>325</v>
      </c>
      <c r="D73" s="6" t="s">
        <v>325</v>
      </c>
      <c r="E73" s="6" t="s">
        <v>325</v>
      </c>
      <c r="F73" t="s">
        <v>325</v>
      </c>
      <c r="G73" t="s">
        <v>326</v>
      </c>
      <c r="H73" t="s">
        <v>326</v>
      </c>
      <c r="I73" t="s">
        <v>326</v>
      </c>
      <c r="J73" s="44" t="s">
        <v>458</v>
      </c>
      <c r="K73" s="7" t="s">
        <v>472</v>
      </c>
      <c r="M73" s="44"/>
      <c r="O73" s="10">
        <v>1</v>
      </c>
    </row>
    <row r="74" s="3" customFormat="1" spans="1:15">
      <c r="A74" s="17">
        <v>500262</v>
      </c>
      <c r="B74" s="21">
        <v>1112019</v>
      </c>
      <c r="C74" s="18" t="s">
        <v>335</v>
      </c>
      <c r="D74" s="18" t="s">
        <v>335</v>
      </c>
      <c r="E74" s="18" t="s">
        <v>325</v>
      </c>
      <c r="F74" s="3" t="s">
        <v>325</v>
      </c>
      <c r="G74" s="3" t="s">
        <v>326</v>
      </c>
      <c r="H74" s="3" t="s">
        <v>326</v>
      </c>
      <c r="I74" s="3" t="s">
        <v>326</v>
      </c>
      <c r="J74" s="63" t="s">
        <v>458</v>
      </c>
      <c r="K74" s="33" t="s">
        <v>339</v>
      </c>
      <c r="L74" s="34"/>
      <c r="M74" s="63"/>
      <c r="O74" s="36">
        <v>1</v>
      </c>
    </row>
    <row r="75" spans="1:15">
      <c r="A75" s="6">
        <v>500280</v>
      </c>
      <c r="B75" s="6">
        <v>1112020</v>
      </c>
      <c r="C75" s="6" t="s">
        <v>325</v>
      </c>
      <c r="D75" s="6" t="s">
        <v>325</v>
      </c>
      <c r="E75" s="6" t="s">
        <v>325</v>
      </c>
      <c r="F75" t="s">
        <v>325</v>
      </c>
      <c r="G75" t="s">
        <v>326</v>
      </c>
      <c r="H75" t="s">
        <v>326</v>
      </c>
      <c r="I75" t="s">
        <v>326</v>
      </c>
      <c r="J75" t="s">
        <v>473</v>
      </c>
      <c r="K75" s="7" t="s">
        <v>339</v>
      </c>
      <c r="M75" s="9" t="s">
        <v>474</v>
      </c>
      <c r="O75" s="10">
        <v>1</v>
      </c>
    </row>
    <row r="76" spans="1:15">
      <c r="A76" s="6">
        <v>500281</v>
      </c>
      <c r="B76" s="6">
        <v>1112020</v>
      </c>
      <c r="C76" s="6" t="s">
        <v>325</v>
      </c>
      <c r="D76" s="6" t="s">
        <v>325</v>
      </c>
      <c r="E76" s="6" t="s">
        <v>325</v>
      </c>
      <c r="F76" t="s">
        <v>325</v>
      </c>
      <c r="G76" t="s">
        <v>326</v>
      </c>
      <c r="H76" t="s">
        <v>326</v>
      </c>
      <c r="I76" t="s">
        <v>326</v>
      </c>
      <c r="J76" t="s">
        <v>475</v>
      </c>
      <c r="K76" s="7" t="s">
        <v>339</v>
      </c>
      <c r="M76" s="9" t="s">
        <v>476</v>
      </c>
      <c r="O76" s="10">
        <v>1</v>
      </c>
    </row>
    <row r="77" spans="1:15">
      <c r="A77" s="6">
        <v>500283</v>
      </c>
      <c r="B77" s="6">
        <v>1112020</v>
      </c>
      <c r="C77" s="6" t="s">
        <v>325</v>
      </c>
      <c r="D77" s="6" t="s">
        <v>325</v>
      </c>
      <c r="E77" s="6" t="s">
        <v>325</v>
      </c>
      <c r="F77" t="s">
        <v>325</v>
      </c>
      <c r="G77" t="s">
        <v>326</v>
      </c>
      <c r="H77" t="s">
        <v>326</v>
      </c>
      <c r="I77" t="s">
        <v>326</v>
      </c>
      <c r="J77" t="s">
        <v>477</v>
      </c>
      <c r="K77" s="7" t="s">
        <v>339</v>
      </c>
      <c r="M77" s="9" t="s">
        <v>478</v>
      </c>
      <c r="O77" s="10">
        <v>1</v>
      </c>
    </row>
    <row r="78" spans="1:15">
      <c r="A78" s="6">
        <v>500285</v>
      </c>
      <c r="B78" s="6">
        <v>1112020</v>
      </c>
      <c r="C78" s="6" t="s">
        <v>335</v>
      </c>
      <c r="D78" s="6" t="s">
        <v>335</v>
      </c>
      <c r="E78" s="6" t="s">
        <v>325</v>
      </c>
      <c r="F78" t="s">
        <v>325</v>
      </c>
      <c r="G78" t="s">
        <v>326</v>
      </c>
      <c r="H78" t="s">
        <v>326</v>
      </c>
      <c r="I78" t="s">
        <v>326</v>
      </c>
      <c r="J78" t="s">
        <v>479</v>
      </c>
      <c r="K78" s="7" t="s">
        <v>339</v>
      </c>
      <c r="M78" s="9" t="s">
        <v>480</v>
      </c>
      <c r="O78" s="10">
        <v>1</v>
      </c>
    </row>
    <row r="79" s="2" customFormat="1" spans="1:15">
      <c r="A79" s="15">
        <v>500358</v>
      </c>
      <c r="B79" s="4">
        <v>1112021</v>
      </c>
      <c r="C79" s="4">
        <v>1</v>
      </c>
      <c r="D79" s="4">
        <v>1</v>
      </c>
      <c r="E79" s="4" t="s">
        <v>325</v>
      </c>
      <c r="F79" s="2" t="s">
        <v>385</v>
      </c>
      <c r="G79" s="2" t="s">
        <v>326</v>
      </c>
      <c r="H79" s="2" t="s">
        <v>326</v>
      </c>
      <c r="I79" s="2" t="s">
        <v>326</v>
      </c>
      <c r="J79" s="2" t="s">
        <v>481</v>
      </c>
      <c r="K79" s="28" t="s">
        <v>344</v>
      </c>
      <c r="L79" s="29"/>
      <c r="M79" s="49" t="s">
        <v>482</v>
      </c>
      <c r="O79" s="31">
        <v>1</v>
      </c>
    </row>
    <row r="80" spans="1:15">
      <c r="A80" s="16">
        <v>500359</v>
      </c>
      <c r="B80" s="6">
        <v>1112021</v>
      </c>
      <c r="C80" s="6">
        <v>1</v>
      </c>
      <c r="D80" s="6">
        <v>1</v>
      </c>
      <c r="E80" s="6" t="s">
        <v>325</v>
      </c>
      <c r="F80" t="s">
        <v>385</v>
      </c>
      <c r="G80" t="s">
        <v>326</v>
      </c>
      <c r="H80" t="s">
        <v>326</v>
      </c>
      <c r="I80" t="s">
        <v>326</v>
      </c>
      <c r="J80" t="s">
        <v>483</v>
      </c>
      <c r="K80" s="7" t="s">
        <v>484</v>
      </c>
      <c r="M80" s="9" t="s">
        <v>485</v>
      </c>
      <c r="O80" s="10">
        <v>1</v>
      </c>
    </row>
    <row r="81" spans="1:15">
      <c r="A81" s="16">
        <v>500360</v>
      </c>
      <c r="B81" s="6">
        <v>1112021</v>
      </c>
      <c r="C81" s="6">
        <v>1</v>
      </c>
      <c r="D81" s="6">
        <v>1</v>
      </c>
      <c r="E81" s="6" t="s">
        <v>325</v>
      </c>
      <c r="F81" t="s">
        <v>385</v>
      </c>
      <c r="G81" t="s">
        <v>326</v>
      </c>
      <c r="H81" t="s">
        <v>326</v>
      </c>
      <c r="I81" t="s">
        <v>326</v>
      </c>
      <c r="J81" t="s">
        <v>486</v>
      </c>
      <c r="K81" s="7" t="s">
        <v>328</v>
      </c>
      <c r="M81" s="64" t="s">
        <v>487</v>
      </c>
      <c r="O81" s="10">
        <v>1</v>
      </c>
    </row>
    <row r="82" s="3" customFormat="1" spans="1:15">
      <c r="A82" s="17">
        <v>500362</v>
      </c>
      <c r="B82" s="18">
        <v>1112021</v>
      </c>
      <c r="C82" s="18">
        <v>2</v>
      </c>
      <c r="D82" s="18">
        <v>2</v>
      </c>
      <c r="E82" s="18">
        <v>5</v>
      </c>
      <c r="F82" s="3" t="s">
        <v>385</v>
      </c>
      <c r="G82" s="3" t="s">
        <v>326</v>
      </c>
      <c r="H82" s="3" t="s">
        <v>326</v>
      </c>
      <c r="I82" s="3" t="s">
        <v>326</v>
      </c>
      <c r="J82" s="3" t="s">
        <v>488</v>
      </c>
      <c r="K82" s="33" t="s">
        <v>387</v>
      </c>
      <c r="L82" s="34"/>
      <c r="M82" s="41" t="s">
        <v>489</v>
      </c>
      <c r="O82" s="36">
        <v>1</v>
      </c>
    </row>
    <row r="83" s="5" customFormat="1" spans="1:15">
      <c r="A83" s="22">
        <v>500206</v>
      </c>
      <c r="B83" s="22">
        <v>1112023</v>
      </c>
      <c r="C83" s="22" t="s">
        <v>325</v>
      </c>
      <c r="D83" s="22" t="s">
        <v>325</v>
      </c>
      <c r="E83" s="22" t="s">
        <v>325</v>
      </c>
      <c r="F83" s="5" t="s">
        <v>325</v>
      </c>
      <c r="G83" s="5" t="s">
        <v>326</v>
      </c>
      <c r="H83" s="5" t="s">
        <v>326</v>
      </c>
      <c r="I83" s="5" t="s">
        <v>326</v>
      </c>
      <c r="J83" s="5" t="s">
        <v>490</v>
      </c>
      <c r="K83" s="53" t="s">
        <v>339</v>
      </c>
      <c r="L83" s="8"/>
      <c r="O83" s="54">
        <v>1</v>
      </c>
    </row>
    <row r="84" s="5" customFormat="1" spans="1:15">
      <c r="A84" s="22">
        <v>500207</v>
      </c>
      <c r="B84" s="22">
        <v>1112023</v>
      </c>
      <c r="C84" s="22" t="s">
        <v>325</v>
      </c>
      <c r="D84" s="22" t="s">
        <v>325</v>
      </c>
      <c r="E84" s="22" t="s">
        <v>325</v>
      </c>
      <c r="F84" s="5" t="s">
        <v>325</v>
      </c>
      <c r="G84" s="5" t="s">
        <v>326</v>
      </c>
      <c r="H84" s="5" t="s">
        <v>326</v>
      </c>
      <c r="I84" s="5" t="s">
        <v>326</v>
      </c>
      <c r="J84" s="5" t="s">
        <v>491</v>
      </c>
      <c r="K84" s="53" t="s">
        <v>339</v>
      </c>
      <c r="L84" s="8"/>
      <c r="O84" s="54">
        <v>1</v>
      </c>
    </row>
    <row r="85" s="5" customFormat="1" spans="1:15">
      <c r="A85" s="22">
        <v>500208</v>
      </c>
      <c r="B85" s="22">
        <v>1112023</v>
      </c>
      <c r="C85" s="22" t="s">
        <v>325</v>
      </c>
      <c r="D85" s="22" t="s">
        <v>325</v>
      </c>
      <c r="E85" s="22" t="s">
        <v>325</v>
      </c>
      <c r="F85" s="5" t="s">
        <v>325</v>
      </c>
      <c r="G85" s="5" t="s">
        <v>326</v>
      </c>
      <c r="H85" s="5" t="s">
        <v>326</v>
      </c>
      <c r="I85" s="5" t="s">
        <v>326</v>
      </c>
      <c r="J85" s="5" t="s">
        <v>492</v>
      </c>
      <c r="K85" s="53" t="s">
        <v>339</v>
      </c>
      <c r="L85" s="8"/>
      <c r="O85" s="54">
        <v>1</v>
      </c>
    </row>
    <row r="86" s="5" customFormat="1" spans="1:15">
      <c r="A86" s="22">
        <v>500210</v>
      </c>
      <c r="B86" s="22">
        <v>1112023</v>
      </c>
      <c r="C86" s="22" t="s">
        <v>325</v>
      </c>
      <c r="D86" s="22" t="s">
        <v>325</v>
      </c>
      <c r="E86" s="22" t="s">
        <v>325</v>
      </c>
      <c r="F86" s="5" t="s">
        <v>325</v>
      </c>
      <c r="G86" s="5" t="s">
        <v>326</v>
      </c>
      <c r="H86" s="5" t="s">
        <v>326</v>
      </c>
      <c r="I86" s="5" t="s">
        <v>326</v>
      </c>
      <c r="J86" s="5" t="s">
        <v>493</v>
      </c>
      <c r="K86" s="53" t="s">
        <v>339</v>
      </c>
      <c r="L86" s="8"/>
      <c r="O86" s="54">
        <v>1</v>
      </c>
    </row>
    <row r="87" spans="1:15">
      <c r="A87" s="6">
        <v>500349</v>
      </c>
      <c r="B87" s="20">
        <v>1112024</v>
      </c>
      <c r="C87" s="6" t="s">
        <v>325</v>
      </c>
      <c r="D87" s="6" t="s">
        <v>325</v>
      </c>
      <c r="E87" s="6" t="s">
        <v>325</v>
      </c>
      <c r="F87" t="s">
        <v>325</v>
      </c>
      <c r="G87" t="s">
        <v>326</v>
      </c>
      <c r="H87" t="s">
        <v>326</v>
      </c>
      <c r="I87" t="s">
        <v>326</v>
      </c>
      <c r="J87" s="44" t="s">
        <v>458</v>
      </c>
      <c r="K87" s="65" t="s">
        <v>458</v>
      </c>
      <c r="M87" s="44"/>
      <c r="O87" s="10">
        <v>1</v>
      </c>
    </row>
    <row r="88" spans="1:15">
      <c r="A88" s="6">
        <v>500350</v>
      </c>
      <c r="B88" s="20">
        <v>1112024</v>
      </c>
      <c r="C88" s="6" t="s">
        <v>325</v>
      </c>
      <c r="D88" s="6" t="s">
        <v>325</v>
      </c>
      <c r="E88" s="6" t="s">
        <v>325</v>
      </c>
      <c r="F88" t="s">
        <v>325</v>
      </c>
      <c r="G88" t="s">
        <v>326</v>
      </c>
      <c r="H88" t="s">
        <v>326</v>
      </c>
      <c r="I88" t="s">
        <v>326</v>
      </c>
      <c r="J88" s="44" t="s">
        <v>458</v>
      </c>
      <c r="K88" s="65" t="s">
        <v>458</v>
      </c>
      <c r="M88" s="44"/>
      <c r="O88" s="10">
        <v>1</v>
      </c>
    </row>
    <row r="89" spans="1:15">
      <c r="A89" s="6">
        <v>500354</v>
      </c>
      <c r="B89" s="20">
        <v>1112024</v>
      </c>
      <c r="C89" s="6" t="s">
        <v>325</v>
      </c>
      <c r="D89" s="6" t="s">
        <v>325</v>
      </c>
      <c r="E89" s="6" t="s">
        <v>325</v>
      </c>
      <c r="F89" t="s">
        <v>325</v>
      </c>
      <c r="G89" t="s">
        <v>326</v>
      </c>
      <c r="H89" t="s">
        <v>326</v>
      </c>
      <c r="I89" t="s">
        <v>326</v>
      </c>
      <c r="J89" s="44" t="s">
        <v>458</v>
      </c>
      <c r="K89" s="65" t="s">
        <v>458</v>
      </c>
      <c r="M89" s="44"/>
      <c r="O89" s="10">
        <v>1</v>
      </c>
    </row>
    <row r="90" spans="1:15">
      <c r="A90" s="6">
        <v>500355</v>
      </c>
      <c r="B90" s="20">
        <v>1112024</v>
      </c>
      <c r="C90" s="6" t="s">
        <v>335</v>
      </c>
      <c r="D90" s="6" t="s">
        <v>335</v>
      </c>
      <c r="E90" s="6" t="s">
        <v>325</v>
      </c>
      <c r="F90" t="s">
        <v>325</v>
      </c>
      <c r="G90" t="s">
        <v>326</v>
      </c>
      <c r="H90" t="s">
        <v>326</v>
      </c>
      <c r="I90" t="s">
        <v>326</v>
      </c>
      <c r="J90" s="44" t="s">
        <v>458</v>
      </c>
      <c r="K90" s="65" t="s">
        <v>458</v>
      </c>
      <c r="M90" s="44"/>
      <c r="O90" s="10">
        <v>1</v>
      </c>
    </row>
    <row r="91" s="2" customFormat="1" spans="1:15">
      <c r="A91" s="15">
        <v>500190</v>
      </c>
      <c r="B91" s="4">
        <v>1112025</v>
      </c>
      <c r="C91" s="4" t="s">
        <v>325</v>
      </c>
      <c r="D91" s="4" t="s">
        <v>325</v>
      </c>
      <c r="E91" s="4" t="s">
        <v>325</v>
      </c>
      <c r="F91" s="2" t="s">
        <v>325</v>
      </c>
      <c r="G91" s="2" t="s">
        <v>326</v>
      </c>
      <c r="H91" s="2" t="s">
        <v>326</v>
      </c>
      <c r="I91" s="2" t="s">
        <v>326</v>
      </c>
      <c r="J91" s="2" t="s">
        <v>494</v>
      </c>
      <c r="K91" s="28" t="s">
        <v>495</v>
      </c>
      <c r="L91" s="29"/>
      <c r="M91" s="49" t="s">
        <v>496</v>
      </c>
      <c r="O91" s="31">
        <v>1</v>
      </c>
    </row>
    <row r="92" spans="1:15">
      <c r="A92" s="16">
        <v>500191</v>
      </c>
      <c r="B92" s="6">
        <v>1112025</v>
      </c>
      <c r="C92" s="6" t="s">
        <v>325</v>
      </c>
      <c r="D92" s="6" t="s">
        <v>325</v>
      </c>
      <c r="E92" s="6" t="s">
        <v>325</v>
      </c>
      <c r="F92" t="s">
        <v>325</v>
      </c>
      <c r="G92" t="s">
        <v>326</v>
      </c>
      <c r="H92" t="s">
        <v>326</v>
      </c>
      <c r="I92" t="s">
        <v>326</v>
      </c>
      <c r="J92" s="61" t="s">
        <v>497</v>
      </c>
      <c r="K92" s="7" t="s">
        <v>339</v>
      </c>
      <c r="M92" s="44"/>
      <c r="O92" s="10">
        <v>1</v>
      </c>
    </row>
    <row r="93" spans="1:15">
      <c r="A93" s="16">
        <v>500192</v>
      </c>
      <c r="B93" s="6">
        <v>1112025</v>
      </c>
      <c r="C93" s="6" t="s">
        <v>325</v>
      </c>
      <c r="D93" s="6" t="s">
        <v>325</v>
      </c>
      <c r="E93" s="6" t="s">
        <v>325</v>
      </c>
      <c r="F93" t="s">
        <v>325</v>
      </c>
      <c r="G93" t="s">
        <v>326</v>
      </c>
      <c r="H93" t="s">
        <v>326</v>
      </c>
      <c r="I93" t="s">
        <v>326</v>
      </c>
      <c r="J93" t="s">
        <v>498</v>
      </c>
      <c r="K93" s="7" t="s">
        <v>339</v>
      </c>
      <c r="M93" s="9" t="s">
        <v>499</v>
      </c>
      <c r="O93" s="10">
        <v>1</v>
      </c>
    </row>
    <row r="94" s="3" customFormat="1" spans="1:15">
      <c r="A94" s="17">
        <v>500194</v>
      </c>
      <c r="B94" s="18">
        <v>1112025</v>
      </c>
      <c r="C94" s="18" t="s">
        <v>325</v>
      </c>
      <c r="D94" s="18" t="s">
        <v>325</v>
      </c>
      <c r="E94" s="18" t="s">
        <v>325</v>
      </c>
      <c r="F94" s="3" t="s">
        <v>325</v>
      </c>
      <c r="G94" s="3" t="s">
        <v>326</v>
      </c>
      <c r="H94" s="3" t="s">
        <v>326</v>
      </c>
      <c r="I94" s="3" t="s">
        <v>326</v>
      </c>
      <c r="J94" s="66" t="s">
        <v>500</v>
      </c>
      <c r="K94" s="33" t="s">
        <v>383</v>
      </c>
      <c r="L94" s="34"/>
      <c r="M94" s="67" t="s">
        <v>501</v>
      </c>
      <c r="O94" s="36">
        <v>1</v>
      </c>
    </row>
    <row r="95" s="5" customFormat="1" spans="1:15">
      <c r="A95" s="22">
        <v>500198</v>
      </c>
      <c r="B95" s="22">
        <v>1112026</v>
      </c>
      <c r="C95" s="22" t="s">
        <v>325</v>
      </c>
      <c r="D95" s="22" t="s">
        <v>325</v>
      </c>
      <c r="E95" s="22" t="s">
        <v>325</v>
      </c>
      <c r="F95" s="5" t="s">
        <v>325</v>
      </c>
      <c r="G95" s="5" t="s">
        <v>326</v>
      </c>
      <c r="H95" s="5" t="s">
        <v>326</v>
      </c>
      <c r="I95" s="5" t="s">
        <v>326</v>
      </c>
      <c r="J95" s="5" t="s">
        <v>502</v>
      </c>
      <c r="K95" s="53" t="s">
        <v>339</v>
      </c>
      <c r="L95" s="8"/>
      <c r="O95" s="54">
        <v>1</v>
      </c>
    </row>
    <row r="96" s="5" customFormat="1" spans="1:15">
      <c r="A96" s="22">
        <v>500200</v>
      </c>
      <c r="B96" s="22">
        <v>1112026</v>
      </c>
      <c r="C96" s="22" t="s">
        <v>325</v>
      </c>
      <c r="D96" s="22" t="s">
        <v>325</v>
      </c>
      <c r="E96" s="22" t="s">
        <v>325</v>
      </c>
      <c r="F96" s="5" t="s">
        <v>325</v>
      </c>
      <c r="G96" s="5" t="s">
        <v>326</v>
      </c>
      <c r="H96" s="5" t="s">
        <v>326</v>
      </c>
      <c r="I96" s="5" t="s">
        <v>326</v>
      </c>
      <c r="J96" s="5" t="s">
        <v>503</v>
      </c>
      <c r="K96" s="53" t="s">
        <v>339</v>
      </c>
      <c r="L96" s="8"/>
      <c r="O96" s="54">
        <v>1</v>
      </c>
    </row>
    <row r="97" s="5" customFormat="1" spans="1:15">
      <c r="A97" s="22">
        <v>500201</v>
      </c>
      <c r="B97" s="22">
        <v>1112026</v>
      </c>
      <c r="C97" s="22" t="s">
        <v>325</v>
      </c>
      <c r="D97" s="22" t="s">
        <v>325</v>
      </c>
      <c r="E97" s="22" t="s">
        <v>325</v>
      </c>
      <c r="F97" s="5" t="s">
        <v>325</v>
      </c>
      <c r="G97" s="5" t="s">
        <v>326</v>
      </c>
      <c r="H97" s="5" t="s">
        <v>326</v>
      </c>
      <c r="I97" s="5" t="s">
        <v>326</v>
      </c>
      <c r="J97" s="5" t="s">
        <v>409</v>
      </c>
      <c r="K97" s="53" t="s">
        <v>504</v>
      </c>
      <c r="L97" s="8"/>
      <c r="O97" s="54">
        <v>1</v>
      </c>
    </row>
    <row r="98" s="5" customFormat="1" spans="1:15">
      <c r="A98" s="22">
        <v>500203</v>
      </c>
      <c r="B98" s="22">
        <v>1112026</v>
      </c>
      <c r="C98" s="22" t="s">
        <v>335</v>
      </c>
      <c r="D98" s="22" t="s">
        <v>335</v>
      </c>
      <c r="E98" s="22" t="s">
        <v>325</v>
      </c>
      <c r="F98" s="5" t="s">
        <v>325</v>
      </c>
      <c r="G98" s="5" t="s">
        <v>326</v>
      </c>
      <c r="H98" s="5" t="s">
        <v>326</v>
      </c>
      <c r="I98" s="5" t="s">
        <v>326</v>
      </c>
      <c r="J98" s="5" t="s">
        <v>411</v>
      </c>
      <c r="K98" s="53" t="s">
        <v>339</v>
      </c>
      <c r="L98" s="8"/>
      <c r="O98" s="54">
        <v>1</v>
      </c>
    </row>
    <row r="99" s="5" customFormat="1" spans="1:15">
      <c r="A99" s="22">
        <v>500441</v>
      </c>
      <c r="B99" s="22">
        <v>1112028</v>
      </c>
      <c r="C99" s="22" t="s">
        <v>325</v>
      </c>
      <c r="D99" s="22" t="s">
        <v>325</v>
      </c>
      <c r="E99" s="22" t="s">
        <v>325</v>
      </c>
      <c r="F99" s="5" t="s">
        <v>385</v>
      </c>
      <c r="G99" s="5" t="s">
        <v>326</v>
      </c>
      <c r="H99" s="5" t="s">
        <v>326</v>
      </c>
      <c r="I99" s="5" t="s">
        <v>326</v>
      </c>
      <c r="J99" s="5" t="s">
        <v>505</v>
      </c>
      <c r="K99" s="53" t="s">
        <v>328</v>
      </c>
      <c r="L99" s="8"/>
      <c r="M99" s="5" t="s">
        <v>506</v>
      </c>
      <c r="O99" s="54">
        <v>1</v>
      </c>
    </row>
    <row r="100" s="5" customFormat="1" spans="1:15">
      <c r="A100" s="22">
        <v>600587</v>
      </c>
      <c r="B100" s="22">
        <v>1112028</v>
      </c>
      <c r="C100" s="22" t="s">
        <v>325</v>
      </c>
      <c r="D100" s="22" t="s">
        <v>325</v>
      </c>
      <c r="E100" s="22">
        <v>1</v>
      </c>
      <c r="F100" s="5" t="s">
        <v>385</v>
      </c>
      <c r="G100" s="5" t="s">
        <v>326</v>
      </c>
      <c r="H100" s="5" t="s">
        <v>326</v>
      </c>
      <c r="I100" s="5" t="s">
        <v>326</v>
      </c>
      <c r="J100" s="5" t="s">
        <v>507</v>
      </c>
      <c r="K100" s="53" t="s">
        <v>328</v>
      </c>
      <c r="L100" s="8"/>
      <c r="M100" s="5" t="s">
        <v>508</v>
      </c>
      <c r="O100" s="54">
        <v>1</v>
      </c>
    </row>
    <row r="101" s="5" customFormat="1" spans="1:15">
      <c r="A101" s="22">
        <v>600588</v>
      </c>
      <c r="B101" s="22">
        <v>1112028</v>
      </c>
      <c r="C101" s="22" t="s">
        <v>335</v>
      </c>
      <c r="D101" s="22" t="s">
        <v>335</v>
      </c>
      <c r="E101" s="22">
        <v>1</v>
      </c>
      <c r="F101" s="5" t="s">
        <v>385</v>
      </c>
      <c r="G101" s="5" t="s">
        <v>326</v>
      </c>
      <c r="H101" s="5" t="s">
        <v>326</v>
      </c>
      <c r="I101" s="5" t="s">
        <v>326</v>
      </c>
      <c r="J101" s="5" t="s">
        <v>458</v>
      </c>
      <c r="K101" s="53" t="s">
        <v>458</v>
      </c>
      <c r="L101" s="8"/>
      <c r="O101" s="54">
        <v>1</v>
      </c>
    </row>
    <row r="102" s="5" customFormat="1" spans="1:15">
      <c r="A102" s="22">
        <v>700120</v>
      </c>
      <c r="B102" s="22">
        <v>1112028</v>
      </c>
      <c r="C102" s="22" t="s">
        <v>325</v>
      </c>
      <c r="D102" s="22" t="s">
        <v>325</v>
      </c>
      <c r="E102" s="22" t="s">
        <v>394</v>
      </c>
      <c r="F102" s="5" t="s">
        <v>385</v>
      </c>
      <c r="G102" s="5" t="s">
        <v>326</v>
      </c>
      <c r="H102" s="5" t="s">
        <v>326</v>
      </c>
      <c r="I102" s="5" t="s">
        <v>326</v>
      </c>
      <c r="J102" s="5" t="s">
        <v>458</v>
      </c>
      <c r="K102" s="53" t="s">
        <v>458</v>
      </c>
      <c r="L102" s="8"/>
      <c r="O102" s="54">
        <v>1</v>
      </c>
    </row>
    <row r="103" s="2" customFormat="1" spans="1:15">
      <c r="A103" s="15">
        <v>500242</v>
      </c>
      <c r="B103" s="4">
        <v>1113001</v>
      </c>
      <c r="C103" s="4" t="s">
        <v>325</v>
      </c>
      <c r="D103" s="4" t="s">
        <v>325</v>
      </c>
      <c r="E103" s="4" t="s">
        <v>325</v>
      </c>
      <c r="F103" s="2" t="s">
        <v>325</v>
      </c>
      <c r="G103" s="2" t="s">
        <v>326</v>
      </c>
      <c r="H103" s="2" t="s">
        <v>326</v>
      </c>
      <c r="I103" s="2" t="s">
        <v>326</v>
      </c>
      <c r="J103" s="2" t="s">
        <v>509</v>
      </c>
      <c r="K103" s="28" t="s">
        <v>355</v>
      </c>
      <c r="L103" s="29"/>
      <c r="M103" s="49"/>
      <c r="O103" s="31">
        <v>1</v>
      </c>
    </row>
    <row r="104" spans="1:15">
      <c r="A104" s="16">
        <v>500243</v>
      </c>
      <c r="B104" s="6">
        <v>1113001</v>
      </c>
      <c r="C104" s="6" t="s">
        <v>325</v>
      </c>
      <c r="D104" s="6" t="s">
        <v>325</v>
      </c>
      <c r="E104" s="6" t="s">
        <v>325</v>
      </c>
      <c r="F104" t="s">
        <v>325</v>
      </c>
      <c r="G104" t="s">
        <v>326</v>
      </c>
      <c r="H104" t="s">
        <v>326</v>
      </c>
      <c r="I104" t="s">
        <v>326</v>
      </c>
      <c r="J104" t="s">
        <v>510</v>
      </c>
      <c r="K104" s="7" t="s">
        <v>339</v>
      </c>
      <c r="O104" s="10">
        <v>1</v>
      </c>
    </row>
    <row r="105" spans="1:15">
      <c r="A105" s="16">
        <v>600077</v>
      </c>
      <c r="B105" s="6">
        <v>1113001</v>
      </c>
      <c r="C105" s="6" t="s">
        <v>325</v>
      </c>
      <c r="D105" s="6" t="s">
        <v>325</v>
      </c>
      <c r="E105" s="6" t="s">
        <v>325</v>
      </c>
      <c r="F105" t="s">
        <v>325</v>
      </c>
      <c r="G105" t="s">
        <v>326</v>
      </c>
      <c r="H105" t="s">
        <v>326</v>
      </c>
      <c r="I105" t="s">
        <v>326</v>
      </c>
      <c r="J105" t="s">
        <v>511</v>
      </c>
      <c r="K105" s="7" t="s">
        <v>383</v>
      </c>
      <c r="O105" s="10">
        <v>1</v>
      </c>
    </row>
    <row r="106" s="3" customFormat="1" spans="1:15">
      <c r="A106" s="17">
        <v>600078</v>
      </c>
      <c r="B106" s="18">
        <v>1113001</v>
      </c>
      <c r="C106" s="18" t="s">
        <v>335</v>
      </c>
      <c r="D106" s="18" t="s">
        <v>335</v>
      </c>
      <c r="E106" s="18" t="s">
        <v>325</v>
      </c>
      <c r="F106" s="3" t="s">
        <v>325</v>
      </c>
      <c r="G106" s="3" t="s">
        <v>326</v>
      </c>
      <c r="H106" s="3" t="s">
        <v>326</v>
      </c>
      <c r="I106" s="3" t="s">
        <v>326</v>
      </c>
      <c r="J106" s="3" t="s">
        <v>512</v>
      </c>
      <c r="K106" s="33" t="s">
        <v>366</v>
      </c>
      <c r="L106" s="34"/>
      <c r="M106" s="41"/>
      <c r="O106" s="36">
        <v>1</v>
      </c>
    </row>
    <row r="107" s="2" customFormat="1" spans="1:15">
      <c r="A107" s="15">
        <v>500252</v>
      </c>
      <c r="B107" s="4">
        <v>1113002</v>
      </c>
      <c r="C107" s="4" t="s">
        <v>335</v>
      </c>
      <c r="D107" s="4" t="s">
        <v>335</v>
      </c>
      <c r="E107" s="4" t="s">
        <v>325</v>
      </c>
      <c r="F107" s="2" t="s">
        <v>325</v>
      </c>
      <c r="G107" s="2" t="s">
        <v>326</v>
      </c>
      <c r="H107" s="2" t="s">
        <v>326</v>
      </c>
      <c r="I107" s="2" t="s">
        <v>326</v>
      </c>
      <c r="J107" s="2" t="s">
        <v>513</v>
      </c>
      <c r="K107" s="28" t="s">
        <v>366</v>
      </c>
      <c r="L107" s="29"/>
      <c r="M107" s="49"/>
      <c r="O107" s="31">
        <v>1</v>
      </c>
    </row>
    <row r="108" spans="1:15">
      <c r="A108" s="16">
        <v>600086</v>
      </c>
      <c r="B108" s="6">
        <v>1113002</v>
      </c>
      <c r="C108" s="6" t="s">
        <v>325</v>
      </c>
      <c r="D108" s="6" t="s">
        <v>325</v>
      </c>
      <c r="E108" s="6" t="s">
        <v>325</v>
      </c>
      <c r="F108" t="s">
        <v>325</v>
      </c>
      <c r="G108" t="s">
        <v>326</v>
      </c>
      <c r="H108" t="s">
        <v>326</v>
      </c>
      <c r="I108" t="s">
        <v>326</v>
      </c>
      <c r="J108" t="s">
        <v>514</v>
      </c>
      <c r="K108" s="7" t="s">
        <v>355</v>
      </c>
      <c r="O108" s="10">
        <v>1</v>
      </c>
    </row>
    <row r="109" spans="1:15">
      <c r="A109" s="16">
        <v>600087</v>
      </c>
      <c r="B109" s="6">
        <v>1113002</v>
      </c>
      <c r="C109" s="6" t="s">
        <v>325</v>
      </c>
      <c r="D109" s="6" t="s">
        <v>325</v>
      </c>
      <c r="E109" s="6" t="s">
        <v>325</v>
      </c>
      <c r="F109" t="s">
        <v>325</v>
      </c>
      <c r="G109" t="s">
        <v>326</v>
      </c>
      <c r="H109" t="s">
        <v>326</v>
      </c>
      <c r="I109" t="s">
        <v>326</v>
      </c>
      <c r="J109" t="s">
        <v>515</v>
      </c>
      <c r="K109" s="7" t="s">
        <v>516</v>
      </c>
      <c r="O109" s="10">
        <v>1</v>
      </c>
    </row>
    <row r="110" s="3" customFormat="1" spans="1:15">
      <c r="A110" s="17">
        <v>600088</v>
      </c>
      <c r="B110" s="18">
        <v>1113002</v>
      </c>
      <c r="C110" s="18" t="s">
        <v>325</v>
      </c>
      <c r="D110" s="18" t="s">
        <v>325</v>
      </c>
      <c r="E110" s="18" t="s">
        <v>325</v>
      </c>
      <c r="F110" s="3" t="s">
        <v>325</v>
      </c>
      <c r="G110" s="3" t="s">
        <v>326</v>
      </c>
      <c r="H110" s="3" t="s">
        <v>326</v>
      </c>
      <c r="I110" s="3" t="s">
        <v>326</v>
      </c>
      <c r="J110" s="3" t="s">
        <v>517</v>
      </c>
      <c r="K110" s="33" t="s">
        <v>366</v>
      </c>
      <c r="L110" s="34"/>
      <c r="M110" s="41"/>
      <c r="O110" s="36">
        <v>1</v>
      </c>
    </row>
    <row r="111" spans="1:15">
      <c r="A111" s="6">
        <v>600079</v>
      </c>
      <c r="B111" s="6">
        <v>1113003</v>
      </c>
      <c r="C111" s="6" t="s">
        <v>325</v>
      </c>
      <c r="D111" s="6" t="s">
        <v>325</v>
      </c>
      <c r="E111" s="6" t="s">
        <v>325</v>
      </c>
      <c r="F111" t="s">
        <v>325</v>
      </c>
      <c r="G111" t="s">
        <v>326</v>
      </c>
      <c r="H111" t="s">
        <v>326</v>
      </c>
      <c r="I111" t="s">
        <v>326</v>
      </c>
      <c r="J111" t="s">
        <v>518</v>
      </c>
      <c r="K111" s="7" t="s">
        <v>339</v>
      </c>
      <c r="O111" s="10">
        <v>1</v>
      </c>
    </row>
    <row r="112" spans="1:15">
      <c r="A112" s="6">
        <v>600080</v>
      </c>
      <c r="B112" s="6">
        <v>1113003</v>
      </c>
      <c r="C112" s="6" t="s">
        <v>325</v>
      </c>
      <c r="D112" s="6" t="s">
        <v>325</v>
      </c>
      <c r="E112" s="6" t="s">
        <v>325</v>
      </c>
      <c r="F112" t="s">
        <v>325</v>
      </c>
      <c r="G112" t="s">
        <v>326</v>
      </c>
      <c r="H112" t="s">
        <v>326</v>
      </c>
      <c r="I112" t="s">
        <v>326</v>
      </c>
      <c r="J112" t="s">
        <v>519</v>
      </c>
      <c r="K112" s="7" t="s">
        <v>339</v>
      </c>
      <c r="O112" s="10">
        <v>1</v>
      </c>
    </row>
    <row r="113" spans="1:15">
      <c r="A113" s="6">
        <v>600081</v>
      </c>
      <c r="B113" s="6">
        <v>1113003</v>
      </c>
      <c r="C113" s="6" t="s">
        <v>325</v>
      </c>
      <c r="D113" s="6" t="s">
        <v>325</v>
      </c>
      <c r="E113" s="6" t="s">
        <v>325</v>
      </c>
      <c r="F113" t="s">
        <v>325</v>
      </c>
      <c r="G113" t="s">
        <v>326</v>
      </c>
      <c r="H113" t="s">
        <v>326</v>
      </c>
      <c r="I113" t="s">
        <v>326</v>
      </c>
      <c r="J113" t="s">
        <v>520</v>
      </c>
      <c r="K113" s="7" t="s">
        <v>521</v>
      </c>
      <c r="O113" s="10">
        <v>1</v>
      </c>
    </row>
    <row r="114" spans="1:15">
      <c r="A114" s="6">
        <v>600082</v>
      </c>
      <c r="B114" s="6">
        <v>1113003</v>
      </c>
      <c r="C114" s="6" t="s">
        <v>335</v>
      </c>
      <c r="D114" s="6" t="s">
        <v>335</v>
      </c>
      <c r="E114" s="6" t="s">
        <v>325</v>
      </c>
      <c r="F114" t="s">
        <v>325</v>
      </c>
      <c r="G114" t="s">
        <v>326</v>
      </c>
      <c r="H114" t="s">
        <v>326</v>
      </c>
      <c r="I114" t="s">
        <v>326</v>
      </c>
      <c r="J114" t="s">
        <v>522</v>
      </c>
      <c r="K114" s="7" t="s">
        <v>339</v>
      </c>
      <c r="O114" s="10">
        <v>1</v>
      </c>
    </row>
    <row r="115" s="2" customFormat="1" spans="1:15">
      <c r="A115" s="55">
        <v>600090</v>
      </c>
      <c r="B115" s="56">
        <v>1113004</v>
      </c>
      <c r="C115" s="4" t="s">
        <v>325</v>
      </c>
      <c r="D115" s="4" t="s">
        <v>325</v>
      </c>
      <c r="E115" s="4" t="s">
        <v>325</v>
      </c>
      <c r="F115" s="2" t="s">
        <v>325</v>
      </c>
      <c r="G115" s="2" t="s">
        <v>326</v>
      </c>
      <c r="H115" s="2" t="s">
        <v>326</v>
      </c>
      <c r="I115" s="2" t="s">
        <v>326</v>
      </c>
      <c r="J115" s="62" t="s">
        <v>458</v>
      </c>
      <c r="K115" s="68" t="s">
        <v>458</v>
      </c>
      <c r="L115" s="29"/>
      <c r="M115" s="49"/>
      <c r="O115" s="31">
        <v>1</v>
      </c>
    </row>
    <row r="116" spans="1:15">
      <c r="A116" s="57">
        <v>600091</v>
      </c>
      <c r="B116" s="58">
        <v>1113004</v>
      </c>
      <c r="C116" s="6" t="s">
        <v>325</v>
      </c>
      <c r="D116" s="6" t="s">
        <v>325</v>
      </c>
      <c r="E116" s="6" t="s">
        <v>325</v>
      </c>
      <c r="F116" t="s">
        <v>325</v>
      </c>
      <c r="G116" t="s">
        <v>326</v>
      </c>
      <c r="H116" t="s">
        <v>326</v>
      </c>
      <c r="I116" t="s">
        <v>326</v>
      </c>
      <c r="J116" t="s">
        <v>523</v>
      </c>
      <c r="K116" s="7" t="s">
        <v>366</v>
      </c>
      <c r="O116" s="10">
        <v>1</v>
      </c>
    </row>
    <row r="117" s="3" customFormat="1" spans="1:15">
      <c r="A117" s="59">
        <v>600093</v>
      </c>
      <c r="B117" s="60">
        <v>1113004</v>
      </c>
      <c r="C117" s="18" t="s">
        <v>335</v>
      </c>
      <c r="D117" s="18" t="s">
        <v>335</v>
      </c>
      <c r="E117" s="18" t="s">
        <v>325</v>
      </c>
      <c r="F117" s="3" t="s">
        <v>325</v>
      </c>
      <c r="G117" s="3" t="s">
        <v>326</v>
      </c>
      <c r="H117" s="3" t="s">
        <v>326</v>
      </c>
      <c r="I117" s="3" t="s">
        <v>326</v>
      </c>
      <c r="J117" s="3" t="s">
        <v>524</v>
      </c>
      <c r="K117" s="33" t="s">
        <v>366</v>
      </c>
      <c r="L117" s="34"/>
      <c r="M117" s="41"/>
      <c r="O117" s="36">
        <v>1</v>
      </c>
    </row>
    <row r="118" s="2" customFormat="1" spans="1:15">
      <c r="A118" s="15">
        <v>500402</v>
      </c>
      <c r="B118" s="56">
        <v>1113005</v>
      </c>
      <c r="C118" s="4">
        <v>1</v>
      </c>
      <c r="D118" s="4">
        <v>1</v>
      </c>
      <c r="E118" s="4" t="s">
        <v>325</v>
      </c>
      <c r="F118" s="2" t="s">
        <v>385</v>
      </c>
      <c r="G118" s="2" t="s">
        <v>326</v>
      </c>
      <c r="H118" s="2" t="s">
        <v>326</v>
      </c>
      <c r="I118" s="2" t="s">
        <v>326</v>
      </c>
      <c r="J118" s="2" t="s">
        <v>525</v>
      </c>
      <c r="K118" s="28" t="s">
        <v>328</v>
      </c>
      <c r="L118" s="29"/>
      <c r="M118" s="49" t="s">
        <v>526</v>
      </c>
      <c r="O118" s="31">
        <v>1</v>
      </c>
    </row>
    <row r="119" spans="1:15">
      <c r="A119" s="16">
        <v>500405</v>
      </c>
      <c r="B119" s="58">
        <v>1113005</v>
      </c>
      <c r="C119" s="6">
        <v>1</v>
      </c>
      <c r="D119" s="6">
        <v>1</v>
      </c>
      <c r="E119" s="6" t="s">
        <v>325</v>
      </c>
      <c r="F119" t="s">
        <v>385</v>
      </c>
      <c r="G119" t="s">
        <v>326</v>
      </c>
      <c r="H119" t="s">
        <v>326</v>
      </c>
      <c r="I119" t="s">
        <v>326</v>
      </c>
      <c r="J119" t="s">
        <v>527</v>
      </c>
      <c r="K119" s="7" t="s">
        <v>328</v>
      </c>
      <c r="M119" s="9" t="s">
        <v>528</v>
      </c>
      <c r="O119" s="10">
        <v>1</v>
      </c>
    </row>
    <row r="120" spans="1:15">
      <c r="A120" s="16">
        <v>500407</v>
      </c>
      <c r="B120" s="58">
        <v>1113005</v>
      </c>
      <c r="C120" s="6">
        <v>1</v>
      </c>
      <c r="D120" s="6">
        <v>1</v>
      </c>
      <c r="E120" s="6">
        <v>5</v>
      </c>
      <c r="F120" t="s">
        <v>385</v>
      </c>
      <c r="G120" t="s">
        <v>326</v>
      </c>
      <c r="H120" t="s">
        <v>326</v>
      </c>
      <c r="I120" t="s">
        <v>326</v>
      </c>
      <c r="J120" t="s">
        <v>529</v>
      </c>
      <c r="K120" s="7" t="s">
        <v>530</v>
      </c>
      <c r="O120" s="10">
        <v>1</v>
      </c>
    </row>
    <row r="121" spans="1:15">
      <c r="A121" s="16">
        <v>500408</v>
      </c>
      <c r="B121" s="58">
        <v>1113005</v>
      </c>
      <c r="C121" s="6">
        <v>2</v>
      </c>
      <c r="D121" s="6">
        <v>2</v>
      </c>
      <c r="E121" s="6">
        <v>5</v>
      </c>
      <c r="F121" t="s">
        <v>385</v>
      </c>
      <c r="G121" t="s">
        <v>326</v>
      </c>
      <c r="H121" t="s">
        <v>326</v>
      </c>
      <c r="I121" t="s">
        <v>326</v>
      </c>
      <c r="J121" t="s">
        <v>531</v>
      </c>
      <c r="K121" s="7" t="s">
        <v>387</v>
      </c>
      <c r="M121" s="9" t="s">
        <v>532</v>
      </c>
      <c r="O121" s="10">
        <v>1</v>
      </c>
    </row>
    <row r="122" spans="1:15">
      <c r="A122" s="16">
        <v>600582</v>
      </c>
      <c r="B122" s="58">
        <v>1113005</v>
      </c>
      <c r="C122" s="6">
        <v>1</v>
      </c>
      <c r="D122" s="6">
        <v>1</v>
      </c>
      <c r="E122" s="6">
        <v>1</v>
      </c>
      <c r="F122">
        <v>20</v>
      </c>
      <c r="G122">
        <v>0</v>
      </c>
      <c r="H122">
        <v>0</v>
      </c>
      <c r="I122">
        <v>0</v>
      </c>
      <c r="J122" t="s">
        <v>525</v>
      </c>
      <c r="K122" s="7" t="s">
        <v>328</v>
      </c>
      <c r="M122" s="9" t="s">
        <v>526</v>
      </c>
      <c r="O122" s="10">
        <v>1</v>
      </c>
    </row>
    <row r="123" spans="1:15">
      <c r="A123" s="16">
        <v>600583</v>
      </c>
      <c r="B123" s="58">
        <v>1113005</v>
      </c>
      <c r="C123" s="6">
        <v>1</v>
      </c>
      <c r="D123" s="6">
        <v>1</v>
      </c>
      <c r="E123" s="6">
        <v>1</v>
      </c>
      <c r="F123">
        <v>20</v>
      </c>
      <c r="G123">
        <v>0</v>
      </c>
      <c r="H123">
        <v>0</v>
      </c>
      <c r="I123">
        <v>0</v>
      </c>
      <c r="J123" t="s">
        <v>533</v>
      </c>
      <c r="K123" s="7" t="s">
        <v>328</v>
      </c>
      <c r="M123" s="9" t="s">
        <v>534</v>
      </c>
      <c r="O123" s="10">
        <v>1</v>
      </c>
    </row>
    <row r="124" s="3" customFormat="1" spans="1:15">
      <c r="A124" s="17">
        <v>600585</v>
      </c>
      <c r="B124" s="60">
        <v>1113005</v>
      </c>
      <c r="C124" s="18">
        <v>2</v>
      </c>
      <c r="D124" s="18">
        <v>2</v>
      </c>
      <c r="E124" s="18">
        <v>1</v>
      </c>
      <c r="F124" s="3" t="s">
        <v>385</v>
      </c>
      <c r="G124" s="3" t="s">
        <v>326</v>
      </c>
      <c r="H124" s="3" t="s">
        <v>326</v>
      </c>
      <c r="I124" s="3" t="s">
        <v>326</v>
      </c>
      <c r="J124" s="3" t="s">
        <v>531</v>
      </c>
      <c r="K124" s="33" t="s">
        <v>387</v>
      </c>
      <c r="L124" s="34"/>
      <c r="M124" s="41" t="s">
        <v>532</v>
      </c>
      <c r="O124" s="36">
        <v>1</v>
      </c>
    </row>
    <row r="125" spans="1:15">
      <c r="A125" s="6">
        <v>600096</v>
      </c>
      <c r="B125" s="6">
        <v>1113006</v>
      </c>
      <c r="C125" s="6" t="s">
        <v>325</v>
      </c>
      <c r="D125" s="6" t="s">
        <v>325</v>
      </c>
      <c r="E125" s="6" t="s">
        <v>394</v>
      </c>
      <c r="F125" t="s">
        <v>385</v>
      </c>
      <c r="G125" t="s">
        <v>326</v>
      </c>
      <c r="H125" t="s">
        <v>326</v>
      </c>
      <c r="I125" t="s">
        <v>326</v>
      </c>
      <c r="J125" t="s">
        <v>535</v>
      </c>
      <c r="K125" s="47" t="s">
        <v>536</v>
      </c>
      <c r="O125" s="10">
        <v>1</v>
      </c>
    </row>
    <row r="126" spans="1:15">
      <c r="A126" s="6">
        <v>500268</v>
      </c>
      <c r="B126" s="6">
        <v>1113006</v>
      </c>
      <c r="C126" s="6" t="s">
        <v>325</v>
      </c>
      <c r="D126" s="6" t="s">
        <v>325</v>
      </c>
      <c r="E126" s="6" t="s">
        <v>325</v>
      </c>
      <c r="F126" t="s">
        <v>325</v>
      </c>
      <c r="G126" t="s">
        <v>326</v>
      </c>
      <c r="H126" t="s">
        <v>326</v>
      </c>
      <c r="I126" t="s">
        <v>326</v>
      </c>
      <c r="J126" t="s">
        <v>537</v>
      </c>
      <c r="K126" s="69" t="s">
        <v>387</v>
      </c>
      <c r="L126" s="69"/>
      <c r="M126" s="69" t="s">
        <v>538</v>
      </c>
      <c r="O126" s="10">
        <v>1</v>
      </c>
    </row>
    <row r="127" spans="1:15">
      <c r="A127" s="6">
        <v>600094</v>
      </c>
      <c r="B127" s="6">
        <v>1113006</v>
      </c>
      <c r="C127" s="6" t="s">
        <v>325</v>
      </c>
      <c r="D127" s="6" t="s">
        <v>325</v>
      </c>
      <c r="E127" s="6" t="s">
        <v>325</v>
      </c>
      <c r="F127" t="s">
        <v>325</v>
      </c>
      <c r="G127" t="s">
        <v>326</v>
      </c>
      <c r="H127" t="s">
        <v>326</v>
      </c>
      <c r="I127" t="s">
        <v>326</v>
      </c>
      <c r="J127" t="s">
        <v>539</v>
      </c>
      <c r="K127" s="69" t="s">
        <v>344</v>
      </c>
      <c r="L127" s="69"/>
      <c r="M127" s="69" t="s">
        <v>540</v>
      </c>
      <c r="O127" s="10">
        <v>1</v>
      </c>
    </row>
    <row r="128" spans="1:15">
      <c r="A128" s="6">
        <v>600097</v>
      </c>
      <c r="B128" s="6">
        <v>1113006</v>
      </c>
      <c r="C128" s="6" t="s">
        <v>335</v>
      </c>
      <c r="D128" s="6" t="s">
        <v>335</v>
      </c>
      <c r="E128" s="6" t="s">
        <v>325</v>
      </c>
      <c r="F128" t="s">
        <v>325</v>
      </c>
      <c r="G128" t="s">
        <v>326</v>
      </c>
      <c r="H128" t="s">
        <v>326</v>
      </c>
      <c r="I128" t="s">
        <v>326</v>
      </c>
      <c r="J128" t="s">
        <v>541</v>
      </c>
      <c r="K128" s="69" t="s">
        <v>387</v>
      </c>
      <c r="L128" s="69"/>
      <c r="M128" s="69" t="s">
        <v>542</v>
      </c>
      <c r="O128" s="10">
        <v>1</v>
      </c>
    </row>
    <row r="129" s="2" customFormat="1" spans="1:15">
      <c r="A129" s="15">
        <v>500388</v>
      </c>
      <c r="B129" s="4">
        <v>1113007</v>
      </c>
      <c r="C129" s="4">
        <v>1</v>
      </c>
      <c r="D129" s="4">
        <v>1</v>
      </c>
      <c r="E129" s="4" t="s">
        <v>325</v>
      </c>
      <c r="F129" s="2" t="s">
        <v>385</v>
      </c>
      <c r="G129" s="2" t="s">
        <v>326</v>
      </c>
      <c r="H129" s="2" t="s">
        <v>326</v>
      </c>
      <c r="I129" s="2" t="s">
        <v>326</v>
      </c>
      <c r="J129" s="2" t="s">
        <v>543</v>
      </c>
      <c r="K129" s="28" t="s">
        <v>328</v>
      </c>
      <c r="L129" s="29"/>
      <c r="M129" s="49"/>
      <c r="O129" s="31">
        <v>1</v>
      </c>
    </row>
    <row r="130" spans="1:15">
      <c r="A130" s="16">
        <v>500389</v>
      </c>
      <c r="B130" s="6">
        <v>1113007</v>
      </c>
      <c r="C130" s="6">
        <v>1</v>
      </c>
      <c r="D130" s="6">
        <v>1</v>
      </c>
      <c r="E130" s="6" t="s">
        <v>325</v>
      </c>
      <c r="F130" t="s">
        <v>385</v>
      </c>
      <c r="G130" t="s">
        <v>326</v>
      </c>
      <c r="H130" t="s">
        <v>326</v>
      </c>
      <c r="I130" t="s">
        <v>326</v>
      </c>
      <c r="J130" t="s">
        <v>544</v>
      </c>
      <c r="K130" s="7" t="s">
        <v>328</v>
      </c>
      <c r="O130" s="10">
        <v>1</v>
      </c>
    </row>
    <row r="131" spans="1:15">
      <c r="A131" s="16">
        <v>500390</v>
      </c>
      <c r="B131" s="6">
        <v>1113007</v>
      </c>
      <c r="C131" s="6">
        <v>1</v>
      </c>
      <c r="D131" s="6">
        <v>1</v>
      </c>
      <c r="E131" s="6" t="s">
        <v>325</v>
      </c>
      <c r="F131" t="s">
        <v>385</v>
      </c>
      <c r="G131" t="s">
        <v>326</v>
      </c>
      <c r="H131" t="s">
        <v>326</v>
      </c>
      <c r="I131" t="s">
        <v>326</v>
      </c>
      <c r="J131" t="s">
        <v>545</v>
      </c>
      <c r="K131" s="7" t="s">
        <v>546</v>
      </c>
      <c r="O131" s="10">
        <v>1</v>
      </c>
    </row>
    <row r="132" s="3" customFormat="1" spans="1:15">
      <c r="A132" s="17">
        <v>500393</v>
      </c>
      <c r="B132" s="18">
        <v>1113007</v>
      </c>
      <c r="C132" s="18">
        <v>2</v>
      </c>
      <c r="D132" s="18">
        <v>2</v>
      </c>
      <c r="E132" s="18">
        <v>5</v>
      </c>
      <c r="F132" s="3" t="s">
        <v>385</v>
      </c>
      <c r="G132" s="3" t="s">
        <v>326</v>
      </c>
      <c r="H132" s="3" t="s">
        <v>326</v>
      </c>
      <c r="I132" s="3" t="s">
        <v>326</v>
      </c>
      <c r="J132" s="3" t="s">
        <v>547</v>
      </c>
      <c r="K132" s="33" t="s">
        <v>328</v>
      </c>
      <c r="L132" s="34"/>
      <c r="M132" s="41"/>
      <c r="O132" s="36">
        <v>1</v>
      </c>
    </row>
    <row r="133" spans="1:15">
      <c r="A133" s="6">
        <v>600098</v>
      </c>
      <c r="B133" s="20">
        <v>1113008</v>
      </c>
      <c r="C133" s="6" t="s">
        <v>325</v>
      </c>
      <c r="D133" s="6" t="s">
        <v>325</v>
      </c>
      <c r="E133" s="6" t="s">
        <v>325</v>
      </c>
      <c r="F133" t="s">
        <v>325</v>
      </c>
      <c r="G133" t="s">
        <v>326</v>
      </c>
      <c r="H133" t="s">
        <v>326</v>
      </c>
      <c r="I133" t="s">
        <v>326</v>
      </c>
      <c r="J133" s="44" t="s">
        <v>458</v>
      </c>
      <c r="K133" s="65" t="s">
        <v>458</v>
      </c>
      <c r="O133" s="10">
        <v>1</v>
      </c>
    </row>
    <row r="134" spans="1:15">
      <c r="A134" s="6">
        <v>600099</v>
      </c>
      <c r="B134" s="20">
        <v>1113008</v>
      </c>
      <c r="C134" s="6" t="s">
        <v>325</v>
      </c>
      <c r="D134" s="6" t="s">
        <v>325</v>
      </c>
      <c r="E134" s="6" t="s">
        <v>325</v>
      </c>
      <c r="F134" t="s">
        <v>325</v>
      </c>
      <c r="G134" t="s">
        <v>326</v>
      </c>
      <c r="H134" t="s">
        <v>326</v>
      </c>
      <c r="I134" t="s">
        <v>326</v>
      </c>
      <c r="J134" s="44" t="s">
        <v>458</v>
      </c>
      <c r="K134" s="65" t="s">
        <v>458</v>
      </c>
      <c r="O134" s="10">
        <v>1</v>
      </c>
    </row>
    <row r="135" spans="1:15">
      <c r="A135" s="6">
        <v>600100</v>
      </c>
      <c r="B135" s="20">
        <v>1113008</v>
      </c>
      <c r="C135" s="6" t="s">
        <v>325</v>
      </c>
      <c r="D135" s="6" t="s">
        <v>325</v>
      </c>
      <c r="E135" s="6" t="s">
        <v>325</v>
      </c>
      <c r="F135" t="s">
        <v>325</v>
      </c>
      <c r="G135" t="s">
        <v>326</v>
      </c>
      <c r="H135" t="s">
        <v>326</v>
      </c>
      <c r="I135" t="s">
        <v>326</v>
      </c>
      <c r="J135" s="44" t="s">
        <v>458</v>
      </c>
      <c r="K135" s="65" t="s">
        <v>458</v>
      </c>
      <c r="O135" s="10">
        <v>1</v>
      </c>
    </row>
    <row r="136" spans="1:15">
      <c r="A136" s="6">
        <v>600101</v>
      </c>
      <c r="B136" s="20">
        <v>1113008</v>
      </c>
      <c r="C136" s="6">
        <v>2</v>
      </c>
      <c r="D136" s="6">
        <v>2</v>
      </c>
      <c r="E136" s="6" t="s">
        <v>325</v>
      </c>
      <c r="F136" t="s">
        <v>325</v>
      </c>
      <c r="G136" t="s">
        <v>326</v>
      </c>
      <c r="H136" t="s">
        <v>326</v>
      </c>
      <c r="I136" t="s">
        <v>326</v>
      </c>
      <c r="J136" s="44" t="s">
        <v>458</v>
      </c>
      <c r="K136" s="65" t="s">
        <v>458</v>
      </c>
      <c r="O136" s="10">
        <v>1</v>
      </c>
    </row>
    <row r="137" s="2" customFormat="1" spans="1:15">
      <c r="A137" s="15">
        <v>500395</v>
      </c>
      <c r="B137" s="19">
        <v>1113009</v>
      </c>
      <c r="C137" s="4" t="s">
        <v>325</v>
      </c>
      <c r="D137" s="4" t="s">
        <v>325</v>
      </c>
      <c r="E137" s="4" t="s">
        <v>325</v>
      </c>
      <c r="F137" s="2" t="s">
        <v>325</v>
      </c>
      <c r="G137" s="2" t="s">
        <v>326</v>
      </c>
      <c r="H137" s="2" t="s">
        <v>326</v>
      </c>
      <c r="I137" s="2" t="s">
        <v>326</v>
      </c>
      <c r="J137" s="62" t="s">
        <v>458</v>
      </c>
      <c r="K137" s="28" t="s">
        <v>339</v>
      </c>
      <c r="L137" s="29"/>
      <c r="M137" s="49"/>
      <c r="O137" s="31">
        <v>1</v>
      </c>
    </row>
    <row r="138" spans="1:15">
      <c r="A138" s="16">
        <v>500396</v>
      </c>
      <c r="B138" s="20">
        <v>1113009</v>
      </c>
      <c r="C138" s="6" t="s">
        <v>325</v>
      </c>
      <c r="D138" s="6" t="s">
        <v>325</v>
      </c>
      <c r="E138" s="6" t="s">
        <v>325</v>
      </c>
      <c r="F138" t="s">
        <v>325</v>
      </c>
      <c r="G138" t="s">
        <v>326</v>
      </c>
      <c r="H138" t="s">
        <v>326</v>
      </c>
      <c r="I138" t="s">
        <v>326</v>
      </c>
      <c r="J138" s="44" t="s">
        <v>458</v>
      </c>
      <c r="K138" s="7" t="s">
        <v>339</v>
      </c>
      <c r="O138" s="10">
        <v>1</v>
      </c>
    </row>
    <row r="139" spans="1:15">
      <c r="A139" s="16">
        <v>500397</v>
      </c>
      <c r="B139" s="20">
        <v>1113009</v>
      </c>
      <c r="C139" s="6" t="s">
        <v>325</v>
      </c>
      <c r="D139" s="6" t="s">
        <v>325</v>
      </c>
      <c r="E139" s="6" t="s">
        <v>325</v>
      </c>
      <c r="F139" t="s">
        <v>325</v>
      </c>
      <c r="G139" t="s">
        <v>326</v>
      </c>
      <c r="H139" t="s">
        <v>326</v>
      </c>
      <c r="I139" t="s">
        <v>326</v>
      </c>
      <c r="J139" s="44" t="s">
        <v>458</v>
      </c>
      <c r="K139" s="7" t="s">
        <v>355</v>
      </c>
      <c r="O139" s="10">
        <v>1</v>
      </c>
    </row>
    <row r="140" s="3" customFormat="1" spans="1:15">
      <c r="A140" s="17">
        <v>500400</v>
      </c>
      <c r="B140" s="21">
        <v>1113009</v>
      </c>
      <c r="C140" s="18" t="s">
        <v>335</v>
      </c>
      <c r="D140" s="18" t="s">
        <v>335</v>
      </c>
      <c r="E140" s="18" t="s">
        <v>325</v>
      </c>
      <c r="F140" s="3" t="s">
        <v>325</v>
      </c>
      <c r="G140" s="3" t="s">
        <v>326</v>
      </c>
      <c r="H140" s="3" t="s">
        <v>326</v>
      </c>
      <c r="I140" s="3" t="s">
        <v>326</v>
      </c>
      <c r="J140" s="63" t="s">
        <v>458</v>
      </c>
      <c r="K140" s="33" t="s">
        <v>366</v>
      </c>
      <c r="L140" s="34"/>
      <c r="M140" s="41"/>
      <c r="O140" s="36">
        <v>1</v>
      </c>
    </row>
    <row r="141" spans="1:15">
      <c r="A141" s="6">
        <v>500304</v>
      </c>
      <c r="B141" s="6">
        <v>1113010</v>
      </c>
      <c r="C141" s="6" t="s">
        <v>325</v>
      </c>
      <c r="D141" s="6" t="s">
        <v>325</v>
      </c>
      <c r="E141" s="6" t="s">
        <v>325</v>
      </c>
      <c r="F141" t="s">
        <v>325</v>
      </c>
      <c r="G141" t="s">
        <v>326</v>
      </c>
      <c r="H141" t="s">
        <v>326</v>
      </c>
      <c r="I141" t="s">
        <v>326</v>
      </c>
      <c r="J141" t="s">
        <v>548</v>
      </c>
      <c r="K141" s="7" t="s">
        <v>355</v>
      </c>
      <c r="O141" s="10">
        <v>1</v>
      </c>
    </row>
    <row r="142" spans="1:15">
      <c r="A142" s="6">
        <v>600083</v>
      </c>
      <c r="B142" s="6">
        <v>1113010</v>
      </c>
      <c r="C142" s="6" t="s">
        <v>325</v>
      </c>
      <c r="D142" s="6" t="s">
        <v>325</v>
      </c>
      <c r="E142" s="6" t="s">
        <v>325</v>
      </c>
      <c r="F142" t="s">
        <v>325</v>
      </c>
      <c r="G142" t="s">
        <v>326</v>
      </c>
      <c r="H142" t="s">
        <v>326</v>
      </c>
      <c r="I142" t="s">
        <v>326</v>
      </c>
      <c r="J142" t="s">
        <v>549</v>
      </c>
      <c r="K142" s="7" t="s">
        <v>550</v>
      </c>
      <c r="O142" s="10">
        <v>1</v>
      </c>
    </row>
    <row r="143" spans="1:15">
      <c r="A143" s="6">
        <v>600084</v>
      </c>
      <c r="B143" s="6">
        <v>1113010</v>
      </c>
      <c r="C143" s="6" t="s">
        <v>325</v>
      </c>
      <c r="D143" s="6" t="s">
        <v>325</v>
      </c>
      <c r="E143" s="6" t="s">
        <v>325</v>
      </c>
      <c r="F143" t="s">
        <v>325</v>
      </c>
      <c r="G143" t="s">
        <v>326</v>
      </c>
      <c r="H143" t="s">
        <v>326</v>
      </c>
      <c r="I143" t="s">
        <v>326</v>
      </c>
      <c r="J143" t="s">
        <v>551</v>
      </c>
      <c r="K143" s="7" t="s">
        <v>552</v>
      </c>
      <c r="O143" s="10">
        <v>1</v>
      </c>
    </row>
    <row r="144" spans="1:15">
      <c r="A144" s="6">
        <v>600085</v>
      </c>
      <c r="B144" s="6">
        <v>1113010</v>
      </c>
      <c r="C144" s="6" t="s">
        <v>335</v>
      </c>
      <c r="D144" s="6" t="s">
        <v>335</v>
      </c>
      <c r="E144" s="6" t="s">
        <v>325</v>
      </c>
      <c r="F144" t="s">
        <v>325</v>
      </c>
      <c r="G144" t="s">
        <v>326</v>
      </c>
      <c r="H144" t="s">
        <v>326</v>
      </c>
      <c r="I144" t="s">
        <v>326</v>
      </c>
      <c r="J144" t="s">
        <v>553</v>
      </c>
      <c r="K144" s="7" t="s">
        <v>355</v>
      </c>
      <c r="O144" s="10">
        <v>1</v>
      </c>
    </row>
    <row r="145" s="5" customFormat="1" spans="1:15">
      <c r="A145" s="22">
        <v>500157</v>
      </c>
      <c r="B145" s="22">
        <v>1113011</v>
      </c>
      <c r="C145" s="22" t="s">
        <v>325</v>
      </c>
      <c r="D145" s="22" t="s">
        <v>325</v>
      </c>
      <c r="E145" s="22" t="s">
        <v>325</v>
      </c>
      <c r="F145" s="5" t="s">
        <v>325</v>
      </c>
      <c r="G145" s="5" t="s">
        <v>326</v>
      </c>
      <c r="H145" s="5" t="s">
        <v>326</v>
      </c>
      <c r="I145" s="5" t="s">
        <v>326</v>
      </c>
      <c r="J145" s="5" t="s">
        <v>554</v>
      </c>
      <c r="K145" s="53" t="s">
        <v>555</v>
      </c>
      <c r="L145" s="8"/>
      <c r="O145" s="54">
        <v>1</v>
      </c>
    </row>
    <row r="146" s="5" customFormat="1" spans="1:15">
      <c r="A146" s="22">
        <v>500158</v>
      </c>
      <c r="B146" s="22">
        <v>1113011</v>
      </c>
      <c r="C146" s="22" t="s">
        <v>325</v>
      </c>
      <c r="D146" s="22" t="s">
        <v>325</v>
      </c>
      <c r="E146" s="22" t="s">
        <v>325</v>
      </c>
      <c r="F146" s="5" t="s">
        <v>325</v>
      </c>
      <c r="G146" s="5" t="s">
        <v>326</v>
      </c>
      <c r="H146" s="5" t="s">
        <v>326</v>
      </c>
      <c r="I146" s="5" t="s">
        <v>326</v>
      </c>
      <c r="J146" s="5" t="s">
        <v>556</v>
      </c>
      <c r="K146" s="53" t="s">
        <v>339</v>
      </c>
      <c r="L146" s="8"/>
      <c r="O146" s="54">
        <v>1</v>
      </c>
    </row>
    <row r="147" s="5" customFormat="1" spans="1:15">
      <c r="A147" s="22">
        <v>500159</v>
      </c>
      <c r="B147" s="22">
        <v>1113011</v>
      </c>
      <c r="C147" s="22" t="s">
        <v>325</v>
      </c>
      <c r="D147" s="22" t="s">
        <v>325</v>
      </c>
      <c r="E147" s="22" t="s">
        <v>325</v>
      </c>
      <c r="F147" s="5" t="s">
        <v>325</v>
      </c>
      <c r="G147" s="5" t="s">
        <v>326</v>
      </c>
      <c r="H147" s="5" t="s">
        <v>326</v>
      </c>
      <c r="I147" s="5" t="s">
        <v>326</v>
      </c>
      <c r="J147" s="5" t="s">
        <v>557</v>
      </c>
      <c r="K147" s="53" t="s">
        <v>339</v>
      </c>
      <c r="L147" s="8"/>
      <c r="O147" s="54">
        <v>1</v>
      </c>
    </row>
    <row r="148" s="5" customFormat="1" spans="1:15">
      <c r="A148" s="22">
        <v>500161</v>
      </c>
      <c r="B148" s="22">
        <v>1113011</v>
      </c>
      <c r="C148" s="22">
        <v>1</v>
      </c>
      <c r="D148" s="22">
        <v>1</v>
      </c>
      <c r="E148" s="22" t="s">
        <v>325</v>
      </c>
      <c r="F148" s="5" t="s">
        <v>325</v>
      </c>
      <c r="G148" s="5" t="s">
        <v>326</v>
      </c>
      <c r="H148" s="5" t="s">
        <v>326</v>
      </c>
      <c r="I148" s="5" t="s">
        <v>326</v>
      </c>
      <c r="J148" s="5" t="s">
        <v>558</v>
      </c>
      <c r="K148" s="53" t="s">
        <v>339</v>
      </c>
      <c r="L148" s="8"/>
      <c r="O148" s="54">
        <v>1</v>
      </c>
    </row>
    <row r="149" s="5" customFormat="1" spans="1:15">
      <c r="A149" s="22">
        <v>700129</v>
      </c>
      <c r="B149" s="22">
        <v>1113013</v>
      </c>
      <c r="C149" s="22" t="s">
        <v>325</v>
      </c>
      <c r="D149" s="22" t="s">
        <v>325</v>
      </c>
      <c r="E149" s="22" t="s">
        <v>394</v>
      </c>
      <c r="F149" s="5">
        <v>20</v>
      </c>
      <c r="G149" s="5" t="s">
        <v>326</v>
      </c>
      <c r="H149" s="5" t="s">
        <v>326</v>
      </c>
      <c r="I149" s="5" t="s">
        <v>326</v>
      </c>
      <c r="J149" s="5" t="s">
        <v>458</v>
      </c>
      <c r="K149" s="53" t="s">
        <v>458</v>
      </c>
      <c r="L149" s="8"/>
      <c r="O149" s="54">
        <v>1</v>
      </c>
    </row>
    <row r="150" s="5" customFormat="1" spans="1:15">
      <c r="A150" s="22">
        <v>700130</v>
      </c>
      <c r="B150" s="22">
        <v>1113013</v>
      </c>
      <c r="C150" s="22" t="s">
        <v>325</v>
      </c>
      <c r="D150" s="22" t="s">
        <v>325</v>
      </c>
      <c r="E150" s="22" t="s">
        <v>559</v>
      </c>
      <c r="F150" s="5">
        <v>20</v>
      </c>
      <c r="G150" s="5" t="s">
        <v>326</v>
      </c>
      <c r="H150" s="5" t="s">
        <v>326</v>
      </c>
      <c r="I150" s="5" t="s">
        <v>326</v>
      </c>
      <c r="J150" s="5" t="s">
        <v>458</v>
      </c>
      <c r="K150" s="53" t="s">
        <v>458</v>
      </c>
      <c r="L150" s="8"/>
      <c r="O150" s="54">
        <v>1</v>
      </c>
    </row>
    <row r="151" s="5" customFormat="1" spans="1:15">
      <c r="A151" s="22">
        <v>700131</v>
      </c>
      <c r="B151" s="22">
        <v>1113013</v>
      </c>
      <c r="C151" s="22" t="s">
        <v>325</v>
      </c>
      <c r="D151" s="22" t="s">
        <v>325</v>
      </c>
      <c r="E151" s="22" t="s">
        <v>385</v>
      </c>
      <c r="F151" s="5">
        <v>20</v>
      </c>
      <c r="G151" s="5" t="s">
        <v>326</v>
      </c>
      <c r="H151" s="5" t="s">
        <v>326</v>
      </c>
      <c r="I151" s="5" t="s">
        <v>326</v>
      </c>
      <c r="J151" s="5" t="s">
        <v>458</v>
      </c>
      <c r="K151" s="53" t="s">
        <v>458</v>
      </c>
      <c r="L151" s="8"/>
      <c r="O151" s="54">
        <v>1</v>
      </c>
    </row>
    <row r="152" s="5" customFormat="1" spans="1:15">
      <c r="A152" s="22">
        <v>700135</v>
      </c>
      <c r="B152" s="22">
        <v>1113013</v>
      </c>
      <c r="C152" s="22" t="s">
        <v>335</v>
      </c>
      <c r="D152" s="22">
        <v>2</v>
      </c>
      <c r="E152" s="22" t="s">
        <v>560</v>
      </c>
      <c r="F152" s="5">
        <v>20</v>
      </c>
      <c r="G152" s="5" t="s">
        <v>326</v>
      </c>
      <c r="H152" s="5" t="s">
        <v>326</v>
      </c>
      <c r="I152" s="5" t="s">
        <v>326</v>
      </c>
      <c r="J152" s="5" t="s">
        <v>458</v>
      </c>
      <c r="K152" s="53" t="s">
        <v>458</v>
      </c>
      <c r="L152" s="8"/>
      <c r="O152" s="54">
        <v>1</v>
      </c>
    </row>
    <row r="153" s="5" customFormat="1" spans="1:15">
      <c r="A153" s="22">
        <v>600577</v>
      </c>
      <c r="B153" s="22">
        <v>1113015</v>
      </c>
      <c r="C153" s="22" t="s">
        <v>325</v>
      </c>
      <c r="D153" s="22" t="s">
        <v>325</v>
      </c>
      <c r="E153" s="22" t="s">
        <v>325</v>
      </c>
      <c r="F153" s="5">
        <v>20</v>
      </c>
      <c r="G153" s="5" t="s">
        <v>326</v>
      </c>
      <c r="H153" s="5">
        <v>0</v>
      </c>
      <c r="I153" s="5" t="s">
        <v>326</v>
      </c>
      <c r="J153" s="5" t="s">
        <v>561</v>
      </c>
      <c r="K153" s="53" t="s">
        <v>387</v>
      </c>
      <c r="L153" s="8"/>
      <c r="M153" s="5" t="s">
        <v>562</v>
      </c>
      <c r="O153" s="54">
        <v>1</v>
      </c>
    </row>
    <row r="154" s="5" customFormat="1" spans="1:15">
      <c r="A154" s="22">
        <v>600578</v>
      </c>
      <c r="B154" s="22">
        <v>1113015</v>
      </c>
      <c r="C154" s="22" t="s">
        <v>335</v>
      </c>
      <c r="D154" s="22">
        <v>2</v>
      </c>
      <c r="E154" s="22">
        <v>1</v>
      </c>
      <c r="F154" s="5">
        <v>20</v>
      </c>
      <c r="G154" s="5" t="s">
        <v>326</v>
      </c>
      <c r="H154" s="5" t="s">
        <v>326</v>
      </c>
      <c r="I154" s="5" t="s">
        <v>326</v>
      </c>
      <c r="J154" s="5" t="s">
        <v>563</v>
      </c>
      <c r="K154" s="53" t="s">
        <v>328</v>
      </c>
      <c r="L154" s="8"/>
      <c r="M154" s="5" t="s">
        <v>564</v>
      </c>
      <c r="O154" s="54">
        <v>1</v>
      </c>
    </row>
    <row r="155" s="5" customFormat="1" spans="1:15">
      <c r="A155" s="22">
        <v>600579</v>
      </c>
      <c r="B155" s="22">
        <v>1113015</v>
      </c>
      <c r="C155" s="22" t="s">
        <v>325</v>
      </c>
      <c r="D155" s="22" t="s">
        <v>325</v>
      </c>
      <c r="E155" s="22">
        <v>1</v>
      </c>
      <c r="F155" s="5">
        <v>20</v>
      </c>
      <c r="G155" s="5" t="s">
        <v>326</v>
      </c>
      <c r="H155" s="5" t="s">
        <v>326</v>
      </c>
      <c r="I155" s="5" t="s">
        <v>326</v>
      </c>
      <c r="J155" s="5" t="s">
        <v>565</v>
      </c>
      <c r="K155" s="53" t="s">
        <v>328</v>
      </c>
      <c r="L155" s="8"/>
      <c r="M155" s="5" t="s">
        <v>566</v>
      </c>
      <c r="O155" s="54">
        <v>1</v>
      </c>
    </row>
    <row r="156" s="5" customFormat="1" spans="1:15">
      <c r="A156" s="22">
        <v>600580</v>
      </c>
      <c r="B156" s="22">
        <v>1113015</v>
      </c>
      <c r="C156" s="22" t="s">
        <v>325</v>
      </c>
      <c r="D156" s="22" t="s">
        <v>325</v>
      </c>
      <c r="E156" s="22">
        <v>1</v>
      </c>
      <c r="F156" s="5">
        <v>20</v>
      </c>
      <c r="G156" s="5" t="s">
        <v>326</v>
      </c>
      <c r="H156" s="5">
        <v>0</v>
      </c>
      <c r="I156" s="5" t="s">
        <v>326</v>
      </c>
      <c r="J156" s="5" t="s">
        <v>567</v>
      </c>
      <c r="K156" s="53" t="s">
        <v>568</v>
      </c>
      <c r="L156" s="8"/>
      <c r="M156" s="5" t="s">
        <v>569</v>
      </c>
      <c r="O156" s="54">
        <v>1</v>
      </c>
    </row>
    <row r="157" s="5" customFormat="1" spans="1:15">
      <c r="A157" s="22">
        <v>600590</v>
      </c>
      <c r="B157" s="22">
        <v>1113018</v>
      </c>
      <c r="C157" s="22">
        <v>1</v>
      </c>
      <c r="D157" s="22">
        <v>1</v>
      </c>
      <c r="E157" s="22" t="s">
        <v>325</v>
      </c>
      <c r="F157" s="5">
        <v>1</v>
      </c>
      <c r="G157" s="5" t="s">
        <v>326</v>
      </c>
      <c r="H157" s="5" t="s">
        <v>326</v>
      </c>
      <c r="I157" s="5" t="s">
        <v>326</v>
      </c>
      <c r="J157" s="5" t="s">
        <v>570</v>
      </c>
      <c r="K157" s="53"/>
      <c r="L157" s="8"/>
      <c r="M157" s="5" t="s">
        <v>571</v>
      </c>
      <c r="O157" s="54">
        <v>1</v>
      </c>
    </row>
    <row r="158" s="5" customFormat="1" spans="1:15">
      <c r="A158" s="22">
        <v>600591</v>
      </c>
      <c r="B158" s="22">
        <v>1113018</v>
      </c>
      <c r="C158" s="22">
        <v>1</v>
      </c>
      <c r="D158" s="22">
        <v>1</v>
      </c>
      <c r="E158" s="22" t="s">
        <v>325</v>
      </c>
      <c r="F158" s="5">
        <v>1</v>
      </c>
      <c r="G158" s="5" t="s">
        <v>326</v>
      </c>
      <c r="H158" s="5" t="s">
        <v>326</v>
      </c>
      <c r="I158" s="5" t="s">
        <v>326</v>
      </c>
      <c r="J158" s="5" t="s">
        <v>572</v>
      </c>
      <c r="K158" s="53"/>
      <c r="L158" s="8"/>
      <c r="M158" s="5" t="s">
        <v>573</v>
      </c>
      <c r="O158" s="54">
        <v>1</v>
      </c>
    </row>
    <row r="159" s="5" customFormat="1" spans="1:15">
      <c r="A159" s="22">
        <v>600593</v>
      </c>
      <c r="B159" s="22">
        <v>1113018</v>
      </c>
      <c r="C159" s="22">
        <v>1</v>
      </c>
      <c r="D159" s="22">
        <v>1</v>
      </c>
      <c r="E159" s="22" t="s">
        <v>325</v>
      </c>
      <c r="F159" s="5">
        <v>1</v>
      </c>
      <c r="G159" s="5" t="s">
        <v>326</v>
      </c>
      <c r="H159" s="5" t="s">
        <v>326</v>
      </c>
      <c r="I159" s="5" t="s">
        <v>326</v>
      </c>
      <c r="J159" s="5" t="s">
        <v>574</v>
      </c>
      <c r="K159" s="53"/>
      <c r="L159" s="8"/>
      <c r="M159" s="5" t="s">
        <v>575</v>
      </c>
      <c r="O159" s="54">
        <v>1</v>
      </c>
    </row>
    <row r="160" s="5" customFormat="1" spans="1:15">
      <c r="A160" s="22">
        <v>600597</v>
      </c>
      <c r="B160" s="22">
        <v>1113018</v>
      </c>
      <c r="C160" s="22" t="s">
        <v>335</v>
      </c>
      <c r="D160" s="22" t="s">
        <v>335</v>
      </c>
      <c r="E160" s="22">
        <v>1</v>
      </c>
      <c r="F160" s="5">
        <v>1</v>
      </c>
      <c r="G160" s="5" t="s">
        <v>326</v>
      </c>
      <c r="H160" s="5" t="s">
        <v>326</v>
      </c>
      <c r="I160" s="5" t="s">
        <v>326</v>
      </c>
      <c r="J160" s="5" t="s">
        <v>576</v>
      </c>
      <c r="K160" s="53" t="s">
        <v>387</v>
      </c>
      <c r="L160" s="8"/>
      <c r="M160" s="5" t="s">
        <v>577</v>
      </c>
      <c r="O160" s="54">
        <v>1</v>
      </c>
    </row>
    <row r="161" s="5" customFormat="1" spans="1:15">
      <c r="A161" s="22">
        <v>600599</v>
      </c>
      <c r="B161" s="22">
        <v>1113019</v>
      </c>
      <c r="C161" s="22">
        <v>1</v>
      </c>
      <c r="D161" s="22">
        <v>1</v>
      </c>
      <c r="E161" s="22">
        <v>1</v>
      </c>
      <c r="F161" s="5">
        <v>1</v>
      </c>
      <c r="G161" s="5" t="s">
        <v>326</v>
      </c>
      <c r="H161" s="5" t="s">
        <v>326</v>
      </c>
      <c r="I161" s="5" t="s">
        <v>326</v>
      </c>
      <c r="J161" s="5" t="s">
        <v>578</v>
      </c>
      <c r="K161" s="53" t="s">
        <v>328</v>
      </c>
      <c r="L161" s="8"/>
      <c r="M161" s="5" t="s">
        <v>579</v>
      </c>
      <c r="O161" s="54">
        <v>1</v>
      </c>
    </row>
    <row r="162" s="5" customFormat="1" spans="1:15">
      <c r="A162" s="22">
        <v>600600</v>
      </c>
      <c r="B162" s="22">
        <v>1113019</v>
      </c>
      <c r="C162" s="22">
        <v>1</v>
      </c>
      <c r="D162" s="22">
        <v>1</v>
      </c>
      <c r="E162" s="22" t="s">
        <v>325</v>
      </c>
      <c r="F162" s="5">
        <v>1</v>
      </c>
      <c r="G162" s="5" t="s">
        <v>326</v>
      </c>
      <c r="H162" s="5" t="s">
        <v>326</v>
      </c>
      <c r="I162" s="5" t="s">
        <v>326</v>
      </c>
      <c r="J162" s="5" t="s">
        <v>580</v>
      </c>
      <c r="K162" s="53" t="s">
        <v>328</v>
      </c>
      <c r="L162" s="8"/>
      <c r="M162" s="5" t="s">
        <v>581</v>
      </c>
      <c r="O162" s="54">
        <v>1</v>
      </c>
    </row>
    <row r="163" s="5" customFormat="1" spans="1:15">
      <c r="A163" s="22">
        <v>600601</v>
      </c>
      <c r="B163" s="22">
        <v>1113019</v>
      </c>
      <c r="C163" s="22">
        <v>1</v>
      </c>
      <c r="D163" s="22">
        <v>1</v>
      </c>
      <c r="E163" s="22" t="s">
        <v>325</v>
      </c>
      <c r="F163" s="5">
        <v>1</v>
      </c>
      <c r="G163" s="5" t="s">
        <v>326</v>
      </c>
      <c r="H163" s="5" t="s">
        <v>326</v>
      </c>
      <c r="I163" s="5" t="s">
        <v>326</v>
      </c>
      <c r="J163" s="5" t="s">
        <v>582</v>
      </c>
      <c r="K163" s="53" t="s">
        <v>328</v>
      </c>
      <c r="L163" s="8"/>
      <c r="M163" s="5" t="s">
        <v>583</v>
      </c>
      <c r="O163" s="54">
        <v>1</v>
      </c>
    </row>
    <row r="164" s="5" customFormat="1" spans="1:15">
      <c r="A164" s="22">
        <v>600602</v>
      </c>
      <c r="B164" s="22">
        <v>1113019</v>
      </c>
      <c r="C164" s="22">
        <v>2</v>
      </c>
      <c r="D164" s="22">
        <v>2</v>
      </c>
      <c r="E164" s="22" t="s">
        <v>325</v>
      </c>
      <c r="F164" s="5">
        <v>1</v>
      </c>
      <c r="G164" s="5" t="s">
        <v>326</v>
      </c>
      <c r="H164" s="5" t="s">
        <v>326</v>
      </c>
      <c r="I164" s="5" t="s">
        <v>326</v>
      </c>
      <c r="J164" s="5" t="s">
        <v>584</v>
      </c>
      <c r="K164" s="53" t="s">
        <v>387</v>
      </c>
      <c r="L164" s="8"/>
      <c r="M164" s="5" t="s">
        <v>585</v>
      </c>
      <c r="O164" s="54">
        <v>1</v>
      </c>
    </row>
  </sheetData>
  <autoFilter ref="A2:O164">
    <extLst/>
  </autoFilter>
  <conditionalFormatting sqref="A1">
    <cfRule type="duplicateValues" dxfId="0" priority="1"/>
  </conditionalFormatting>
  <conditionalFormatting sqref="A2">
    <cfRule type="duplicateValues" dxfId="0" priority="2"/>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liyunhao</cp:lastModifiedBy>
  <dcterms:created xsi:type="dcterms:W3CDTF">2023-05-12T11:15:00Z</dcterms:created>
  <dcterms:modified xsi:type="dcterms:W3CDTF">2024-03-05T02:20:01Z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2BEAABB389094551924B410466C180EF_12</vt:lpwstr>
  </property>
</Properties>
</file>