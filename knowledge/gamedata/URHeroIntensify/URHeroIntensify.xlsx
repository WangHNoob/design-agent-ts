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制作表" sheetId="2" r:id="rId2"/>
  </sheets>
  <calcPr calcId="144525" concurrentCalc="0"/>
</workbook>
</file>

<file path=xl/comments1.xml><?xml version="1.0" encoding="utf-8"?>
<comments xmlns="http://schemas.openxmlformats.org/spreadsheetml/2006/main">
  <authors>
    <author>admin</author>
  </authors>
  <commentLis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UR角色的星级，3-8星。
每星再分为多个阶段。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UR升1星需要多次，对应UR升星界面截断的外圈段数。</t>
        </r>
      </text>
    </commen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是该星的最大阶段填1；
是该英雄的最大阶段填2；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提升至下一阶段的消耗，满星满阶时为空。
培养栏 左侧显示的道具,可填多个，使用;分割：
货物类型,itemID，数量
</t>
        </r>
      </text>
    </commen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提升至下一结算消耗的货币。
培养栏按钮上方显示的货币材料
只可填一个
货物类型,itemID，数量</t>
        </r>
      </text>
    </commen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累计总值，使用下阶段减去上阶段，得到实际下阶段增加的属性。
属性位置在最外层，同图鉴固定属性。
</t>
        </r>
      </text>
    </comment>
    <comment ref="I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属性位置同超越系数</t>
        </r>
      </text>
    </comment>
    <comment ref="J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属性位置同冲刺训练百分比</t>
        </r>
      </text>
    </comment>
    <comment ref="K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填写到某星级1阶；仅用于客户端展示查询，配合skill表星级实现解锁功能。
技能ID,0 “新增”角标
技能ID,1 “增强”角标
可用分号连接多个</t>
        </r>
      </text>
    </comment>
  </commentList>
</comments>
</file>

<file path=xl/sharedStrings.xml><?xml version="1.0" encoding="utf-8"?>
<sst xmlns="http://schemas.openxmlformats.org/spreadsheetml/2006/main" count="713" uniqueCount="102">
  <si>
    <t>自增id</t>
  </si>
  <si>
    <t>英雄id</t>
  </si>
  <si>
    <t>星级</t>
  </si>
  <si>
    <t>阶段</t>
  </si>
  <si>
    <t>是否为最大等级</t>
  </si>
  <si>
    <t>培养道具消耗</t>
  </si>
  <si>
    <t>货币道具消耗</t>
  </si>
  <si>
    <t>属性增加</t>
  </si>
  <si>
    <t>属性增加系数</t>
  </si>
  <si>
    <t>属性增加百分比</t>
  </si>
  <si>
    <t>解锁技能</t>
  </si>
  <si>
    <t>id</t>
  </si>
  <si>
    <t>heroId</t>
  </si>
  <si>
    <t>star</t>
  </si>
  <si>
    <t>phase</t>
  </si>
  <si>
    <t>isMaxLv</t>
  </si>
  <si>
    <t>itemCost</t>
  </si>
  <si>
    <t>coinCost</t>
  </si>
  <si>
    <t>propNum</t>
  </si>
  <si>
    <t>propFactor</t>
  </si>
  <si>
    <t>propPercent</t>
  </si>
  <si>
    <t>skillID</t>
  </si>
  <si>
    <t>int</t>
  </si>
  <si>
    <t>string</t>
  </si>
  <si>
    <t>primary</t>
  </si>
  <si>
    <t>index</t>
  </si>
  <si>
    <t>none</t>
  </si>
  <si>
    <t>1001,640001,10</t>
  </si>
  <si>
    <t>5,0,30000</t>
  </si>
  <si>
    <t>1,12;2,96;3,4.8</t>
  </si>
  <si>
    <t>1,0;2,0;3,0</t>
  </si>
  <si>
    <t>1,0.01;2,0;3,0</t>
  </si>
  <si>
    <t>1,0.01;2,0.01;3,0.01</t>
  </si>
  <si>
    <t>1,0.02;2,0.01;3,0.01</t>
  </si>
  <si>
    <t>1001,640001,20</t>
  </si>
  <si>
    <t>1,0.02;2,0.02;3,0.02</t>
  </si>
  <si>
    <t>1001,640001,15</t>
  </si>
  <si>
    <t>1,13.5;2,108;3,5.4</t>
  </si>
  <si>
    <t>1,0.03;2,0.03;3,0.03</t>
  </si>
  <si>
    <t>1,0.04;2,0.03;3,0.03</t>
  </si>
  <si>
    <t>1,0.04;2,0.04;3,0.04</t>
  </si>
  <si>
    <t>1,0.05;2,0.04;3,0.04</t>
  </si>
  <si>
    <t>1,0.05;2,0.05;3,0.05</t>
  </si>
  <si>
    <t>1,15;2,120;3,6</t>
  </si>
  <si>
    <t>1,0.06;2,0.06;3,0.06</t>
  </si>
  <si>
    <t>1,0.07;2,0.06;3,0.06</t>
  </si>
  <si>
    <t>1,0.07;2,0.07;3,0.07</t>
  </si>
  <si>
    <t>1,0.08;2,0.07;3,0.07</t>
  </si>
  <si>
    <t>1,0.08;2,0.08;3,0.08</t>
  </si>
  <si>
    <t>1,17;2,136;3,6.8</t>
  </si>
  <si>
    <t>1,0.09;2,0.09;3,0.09</t>
  </si>
  <si>
    <t>302715,0</t>
  </si>
  <si>
    <t>1,0.1;2,0.09;3,0.09</t>
  </si>
  <si>
    <t>1,0.1;2,0.1;3,0.1</t>
  </si>
  <si>
    <t>1,0.11;2,0.1;3,0.1</t>
  </si>
  <si>
    <t>1,0.11;2,0.11;3,0.11</t>
  </si>
  <si>
    <t>1001,640001,40</t>
  </si>
  <si>
    <t>1,19;2,152;3,7.6</t>
  </si>
  <si>
    <t>1,0.12;2,0.12;3,0.12</t>
  </si>
  <si>
    <t>302718,0;302719,0</t>
  </si>
  <si>
    <t>1,0.13;2,0.12;3,0.12</t>
  </si>
  <si>
    <t>1,0.13;2,0.13;3,0.13</t>
  </si>
  <si>
    <t>1,0.14;2,0.13;3,0.13</t>
  </si>
  <si>
    <t>1,0.14;2,0.14;3,0.14</t>
  </si>
  <si>
    <t>1,21;2,168;3,8.4</t>
  </si>
  <si>
    <t>1,0.15;2,0.15;3,0.15</t>
  </si>
  <si>
    <t>302712,0</t>
  </si>
  <si>
    <t>1001,640002,10</t>
  </si>
  <si>
    <t>1001,640002,20</t>
  </si>
  <si>
    <t>1001,640002,15</t>
  </si>
  <si>
    <t>303347,0</t>
  </si>
  <si>
    <t>303348,0</t>
  </si>
  <si>
    <t>1001,640002,40</t>
  </si>
  <si>
    <t>303351,0</t>
  </si>
  <si>
    <t>303349,0</t>
  </si>
  <si>
    <t>1001,630100,10</t>
  </si>
  <si>
    <t>1001,630100,20</t>
  </si>
  <si>
    <t>1001,630100,15</t>
  </si>
  <si>
    <t>303668,0</t>
  </si>
  <si>
    <t>303664,0</t>
  </si>
  <si>
    <t>1001,630100,40</t>
  </si>
  <si>
    <t>303669,0</t>
  </si>
  <si>
    <t>303667,0</t>
  </si>
  <si>
    <t>1001,630110,10</t>
  </si>
  <si>
    <t>1001,630110,20</t>
  </si>
  <si>
    <t>1001,630110,15</t>
  </si>
  <si>
    <t>304111,0</t>
  </si>
  <si>
    <t>304115,0</t>
  </si>
  <si>
    <t>1001,630110,40</t>
  </si>
  <si>
    <t>304114,0</t>
  </si>
  <si>
    <t>304113,0</t>
  </si>
  <si>
    <t>碎片ID</t>
  </si>
  <si>
    <t>数量</t>
  </si>
  <si>
    <t>总段数</t>
  </si>
  <si>
    <t>攻击</t>
  </si>
  <si>
    <t>血</t>
  </si>
  <si>
    <t>防</t>
  </si>
  <si>
    <t>百分比</t>
  </si>
  <si>
    <t>升阶</t>
  </si>
  <si>
    <t>是否最大等级</t>
  </si>
  <si>
    <t>属性系数</t>
  </si>
  <si>
    <t>属性百分比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</si>
</sst>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12" applyNumberFormat="0" applyAlignment="0" applyProtection="0">
      <alignment vertical="center"/>
    </xf>
    <xf numFmtId="0" fontId="10" fillId="6" borderId="13" applyNumberFormat="0" applyAlignment="0" applyProtection="0">
      <alignment vertical="center"/>
    </xf>
    <xf numFmtId="0" fontId="11" fillId="6" borderId="12" applyNumberFormat="0" applyAlignment="0" applyProtection="0">
      <alignment vertical="center"/>
    </xf>
    <xf numFmtId="0" fontId="12" fillId="7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3" borderId="0" xfId="0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2"/>
  <sheetViews>
    <sheetView tabSelected="1" topLeftCell="A118" workbookViewId="0">
      <selection activeCell="M145" sqref="M145"/>
    </sheetView>
  </sheetViews>
  <sheetFormatPr defaultColWidth="9" defaultRowHeight="13.5"/>
  <cols>
    <col min="1" max="1" width="8.375" style="11" customWidth="1"/>
    <col min="2" max="2" width="7.375" style="11" customWidth="1"/>
    <col min="3" max="3" width="5.375" style="11" customWidth="1"/>
    <col min="4" max="4" width="6.375" style="11" customWidth="1"/>
    <col min="5" max="5" width="14.25" style="11" customWidth="1"/>
    <col min="6" max="6" width="28.625" style="11" customWidth="1"/>
    <col min="7" max="7" width="12.875" style="11" customWidth="1"/>
    <col min="8" max="9" width="20.375" style="11" customWidth="1"/>
    <col min="10" max="10" width="22.625" customWidth="1"/>
    <col min="11" max="11" width="15" style="11" customWidth="1"/>
    <col min="12" max="12" width="9" style="11" customWidth="1"/>
    <col min="13" max="16384" width="9" style="11"/>
  </cols>
  <sheetData>
    <row r="1" spans="1:4">
      <c r="A1" s="11">
        <v>7</v>
      </c>
      <c r="B1" s="11">
        <v>1</v>
      </c>
      <c r="C1" s="11">
        <v>9999</v>
      </c>
      <c r="D1">
        <v>11</v>
      </c>
    </row>
    <row r="2" spans="1:11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</row>
    <row r="3" spans="1:11">
      <c r="A3" s="11" t="s">
        <v>11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11" t="s">
        <v>20</v>
      </c>
      <c r="K3" s="11" t="s">
        <v>21</v>
      </c>
    </row>
    <row r="4" spans="1:11">
      <c r="A4" s="11" t="s">
        <v>22</v>
      </c>
      <c r="B4" s="11" t="s">
        <v>22</v>
      </c>
      <c r="C4" s="11" t="s">
        <v>22</v>
      </c>
      <c r="D4" s="11" t="s">
        <v>22</v>
      </c>
      <c r="E4" s="11" t="s">
        <v>22</v>
      </c>
      <c r="F4" s="11" t="s">
        <v>23</v>
      </c>
      <c r="G4" s="11" t="s">
        <v>23</v>
      </c>
      <c r="H4" s="11" t="s">
        <v>23</v>
      </c>
      <c r="I4" s="11" t="s">
        <v>23</v>
      </c>
      <c r="J4" s="11" t="s">
        <v>23</v>
      </c>
      <c r="K4" s="11" t="s">
        <v>23</v>
      </c>
    </row>
    <row r="5" spans="1:11">
      <c r="A5" s="11" t="s">
        <v>24</v>
      </c>
      <c r="B5" s="11" t="s">
        <v>25</v>
      </c>
      <c r="C5" s="11" t="s">
        <v>26</v>
      </c>
      <c r="D5" s="11" t="s">
        <v>26</v>
      </c>
      <c r="E5" s="11" t="s">
        <v>26</v>
      </c>
      <c r="F5" s="11" t="s">
        <v>26</v>
      </c>
      <c r="G5" s="11" t="s">
        <v>26</v>
      </c>
      <c r="H5" s="11" t="s">
        <v>26</v>
      </c>
      <c r="I5" s="11" t="s">
        <v>26</v>
      </c>
      <c r="J5" s="11" t="s">
        <v>26</v>
      </c>
      <c r="K5" s="11" t="s">
        <v>26</v>
      </c>
    </row>
    <row r="6" spans="1:11">
      <c r="A6" s="11" t="s">
        <v>11</v>
      </c>
      <c r="B6" s="11" t="s">
        <v>12</v>
      </c>
      <c r="C6" s="11" t="s">
        <v>13</v>
      </c>
      <c r="D6" s="11" t="s">
        <v>14</v>
      </c>
      <c r="E6" s="11" t="s">
        <v>15</v>
      </c>
      <c r="F6" s="11" t="s">
        <v>16</v>
      </c>
      <c r="G6" s="11" t="s">
        <v>17</v>
      </c>
      <c r="H6" s="11" t="s">
        <v>18</v>
      </c>
      <c r="I6" s="11" t="s">
        <v>19</v>
      </c>
      <c r="J6" s="11" t="s">
        <v>20</v>
      </c>
      <c r="K6" s="11" t="s">
        <v>21</v>
      </c>
    </row>
    <row r="7" spans="1:11">
      <c r="A7">
        <v>10001</v>
      </c>
      <c r="B7">
        <v>113077</v>
      </c>
      <c r="C7">
        <v>3</v>
      </c>
      <c r="D7">
        <v>1</v>
      </c>
      <c r="E7">
        <v>0</v>
      </c>
      <c r="F7" s="12" t="s">
        <v>27</v>
      </c>
      <c r="G7" s="11" t="s">
        <v>28</v>
      </c>
      <c r="I7" s="11" t="s">
        <v>29</v>
      </c>
      <c r="J7" t="s">
        <v>30</v>
      </c>
      <c r="K7"/>
    </row>
    <row r="8" spans="1:11">
      <c r="A8">
        <v>10002</v>
      </c>
      <c r="B8">
        <v>113077</v>
      </c>
      <c r="C8">
        <v>3</v>
      </c>
      <c r="D8">
        <v>2</v>
      </c>
      <c r="E8">
        <v>0</v>
      </c>
      <c r="F8" s="12" t="s">
        <v>27</v>
      </c>
      <c r="G8" s="11" t="s">
        <v>28</v>
      </c>
      <c r="I8" s="11" t="s">
        <v>29</v>
      </c>
      <c r="J8" t="s">
        <v>31</v>
      </c>
      <c r="K8"/>
    </row>
    <row r="9" spans="1:11">
      <c r="A9">
        <v>10003</v>
      </c>
      <c r="B9">
        <v>113077</v>
      </c>
      <c r="C9">
        <v>3</v>
      </c>
      <c r="D9">
        <v>3</v>
      </c>
      <c r="E9">
        <v>0</v>
      </c>
      <c r="F9" s="12" t="s">
        <v>27</v>
      </c>
      <c r="G9" s="11" t="s">
        <v>28</v>
      </c>
      <c r="I9" s="11" t="s">
        <v>29</v>
      </c>
      <c r="J9" t="s">
        <v>32</v>
      </c>
      <c r="K9"/>
    </row>
    <row r="10" spans="1:11">
      <c r="A10">
        <v>10004</v>
      </c>
      <c r="B10">
        <v>113077</v>
      </c>
      <c r="C10">
        <v>3</v>
      </c>
      <c r="D10">
        <v>4</v>
      </c>
      <c r="E10">
        <v>0</v>
      </c>
      <c r="F10" s="12" t="s">
        <v>27</v>
      </c>
      <c r="G10" s="11" t="s">
        <v>28</v>
      </c>
      <c r="I10" s="11" t="s">
        <v>29</v>
      </c>
      <c r="J10" t="s">
        <v>33</v>
      </c>
      <c r="K10"/>
    </row>
    <row r="11" spans="1:11">
      <c r="A11">
        <v>10005</v>
      </c>
      <c r="B11">
        <v>113077</v>
      </c>
      <c r="C11">
        <v>3</v>
      </c>
      <c r="D11">
        <v>5</v>
      </c>
      <c r="E11">
        <v>1</v>
      </c>
      <c r="F11" s="12" t="s">
        <v>34</v>
      </c>
      <c r="G11" s="11" t="s">
        <v>28</v>
      </c>
      <c r="I11" s="11" t="s">
        <v>29</v>
      </c>
      <c r="J11" t="s">
        <v>35</v>
      </c>
      <c r="K11"/>
    </row>
    <row r="12" spans="1:11">
      <c r="A12">
        <v>10006</v>
      </c>
      <c r="B12">
        <v>113077</v>
      </c>
      <c r="C12">
        <v>4</v>
      </c>
      <c r="D12">
        <v>1</v>
      </c>
      <c r="E12">
        <v>0</v>
      </c>
      <c r="F12" s="12" t="s">
        <v>36</v>
      </c>
      <c r="G12" s="11" t="s">
        <v>28</v>
      </c>
      <c r="I12" s="11" t="s">
        <v>37</v>
      </c>
      <c r="J12" t="s">
        <v>38</v>
      </c>
      <c r="K12"/>
    </row>
    <row r="13" spans="1:11">
      <c r="A13">
        <v>10007</v>
      </c>
      <c r="B13">
        <v>113077</v>
      </c>
      <c r="C13">
        <v>4</v>
      </c>
      <c r="D13">
        <v>2</v>
      </c>
      <c r="E13">
        <v>0</v>
      </c>
      <c r="F13" s="12" t="s">
        <v>36</v>
      </c>
      <c r="G13" s="11" t="s">
        <v>28</v>
      </c>
      <c r="I13" s="11" t="s">
        <v>37</v>
      </c>
      <c r="J13" t="s">
        <v>39</v>
      </c>
      <c r="K13"/>
    </row>
    <row r="14" spans="1:11">
      <c r="A14">
        <v>10008</v>
      </c>
      <c r="B14">
        <v>113077</v>
      </c>
      <c r="C14">
        <v>4</v>
      </c>
      <c r="D14">
        <v>3</v>
      </c>
      <c r="E14">
        <v>0</v>
      </c>
      <c r="F14" s="12" t="s">
        <v>36</v>
      </c>
      <c r="G14" s="11" t="s">
        <v>28</v>
      </c>
      <c r="I14" s="11" t="s">
        <v>37</v>
      </c>
      <c r="J14" t="s">
        <v>40</v>
      </c>
      <c r="K14"/>
    </row>
    <row r="15" spans="1:11">
      <c r="A15">
        <v>10009</v>
      </c>
      <c r="B15">
        <v>113077</v>
      </c>
      <c r="C15">
        <v>4</v>
      </c>
      <c r="D15">
        <v>4</v>
      </c>
      <c r="E15">
        <v>0</v>
      </c>
      <c r="F15" s="12" t="s">
        <v>36</v>
      </c>
      <c r="G15" s="11" t="s">
        <v>28</v>
      </c>
      <c r="I15" s="11" t="s">
        <v>37</v>
      </c>
      <c r="J15" t="s">
        <v>41</v>
      </c>
      <c r="K15"/>
    </row>
    <row r="16" spans="1:11">
      <c r="A16">
        <v>10010</v>
      </c>
      <c r="B16">
        <v>113077</v>
      </c>
      <c r="C16">
        <v>4</v>
      </c>
      <c r="D16">
        <v>5</v>
      </c>
      <c r="E16">
        <v>1</v>
      </c>
      <c r="F16" s="12" t="s">
        <v>34</v>
      </c>
      <c r="G16" s="11" t="s">
        <v>28</v>
      </c>
      <c r="I16" s="11" t="s">
        <v>37</v>
      </c>
      <c r="J16" t="s">
        <v>42</v>
      </c>
      <c r="K16"/>
    </row>
    <row r="17" spans="1:11">
      <c r="A17">
        <v>10011</v>
      </c>
      <c r="B17">
        <v>113077</v>
      </c>
      <c r="C17">
        <v>5</v>
      </c>
      <c r="D17">
        <v>1</v>
      </c>
      <c r="E17">
        <v>0</v>
      </c>
      <c r="F17" s="12" t="s">
        <v>34</v>
      </c>
      <c r="G17" s="11" t="s">
        <v>28</v>
      </c>
      <c r="I17" s="11" t="s">
        <v>43</v>
      </c>
      <c r="J17" t="s">
        <v>44</v>
      </c>
      <c r="K17"/>
    </row>
    <row r="18" spans="1:11">
      <c r="A18">
        <v>10012</v>
      </c>
      <c r="B18">
        <v>113077</v>
      </c>
      <c r="C18">
        <v>5</v>
      </c>
      <c r="D18">
        <v>2</v>
      </c>
      <c r="E18">
        <v>0</v>
      </c>
      <c r="F18" s="12" t="s">
        <v>34</v>
      </c>
      <c r="G18" s="11" t="s">
        <v>28</v>
      </c>
      <c r="I18" s="11" t="s">
        <v>43</v>
      </c>
      <c r="J18" t="s">
        <v>45</v>
      </c>
      <c r="K18"/>
    </row>
    <row r="19" spans="1:11">
      <c r="A19">
        <v>10013</v>
      </c>
      <c r="B19">
        <v>113077</v>
      </c>
      <c r="C19">
        <v>5</v>
      </c>
      <c r="D19">
        <v>3</v>
      </c>
      <c r="E19">
        <v>0</v>
      </c>
      <c r="F19" s="12" t="s">
        <v>34</v>
      </c>
      <c r="G19" s="11" t="s">
        <v>28</v>
      </c>
      <c r="I19" s="11" t="s">
        <v>43</v>
      </c>
      <c r="J19" t="s">
        <v>46</v>
      </c>
      <c r="K19"/>
    </row>
    <row r="20" spans="1:11">
      <c r="A20">
        <v>10014</v>
      </c>
      <c r="B20">
        <v>113077</v>
      </c>
      <c r="C20">
        <v>5</v>
      </c>
      <c r="D20">
        <v>4</v>
      </c>
      <c r="E20">
        <v>0</v>
      </c>
      <c r="F20" s="12" t="s">
        <v>34</v>
      </c>
      <c r="G20" s="11" t="s">
        <v>28</v>
      </c>
      <c r="I20" s="11" t="s">
        <v>43</v>
      </c>
      <c r="J20" t="s">
        <v>47</v>
      </c>
      <c r="K20"/>
    </row>
    <row r="21" spans="1:11">
      <c r="A21">
        <v>10015</v>
      </c>
      <c r="B21">
        <v>113077</v>
      </c>
      <c r="C21">
        <v>5</v>
      </c>
      <c r="D21">
        <v>5</v>
      </c>
      <c r="E21">
        <v>1</v>
      </c>
      <c r="F21" s="12" t="s">
        <v>34</v>
      </c>
      <c r="G21" s="11" t="s">
        <v>28</v>
      </c>
      <c r="I21" s="11" t="s">
        <v>43</v>
      </c>
      <c r="J21" t="s">
        <v>48</v>
      </c>
      <c r="K21"/>
    </row>
    <row r="22" spans="1:11">
      <c r="A22">
        <v>10016</v>
      </c>
      <c r="B22">
        <v>113077</v>
      </c>
      <c r="C22">
        <v>6</v>
      </c>
      <c r="D22">
        <v>1</v>
      </c>
      <c r="E22">
        <v>0</v>
      </c>
      <c r="F22" s="12" t="s">
        <v>34</v>
      </c>
      <c r="G22" s="11" t="s">
        <v>28</v>
      </c>
      <c r="I22" s="11" t="s">
        <v>49</v>
      </c>
      <c r="J22" t="s">
        <v>50</v>
      </c>
      <c r="K22" t="s">
        <v>51</v>
      </c>
    </row>
    <row r="23" spans="1:11">
      <c r="A23">
        <v>10017</v>
      </c>
      <c r="B23">
        <v>113077</v>
      </c>
      <c r="C23">
        <v>6</v>
      </c>
      <c r="D23">
        <v>2</v>
      </c>
      <c r="E23">
        <v>0</v>
      </c>
      <c r="F23" s="12" t="s">
        <v>34</v>
      </c>
      <c r="G23" s="11" t="s">
        <v>28</v>
      </c>
      <c r="I23" s="11" t="s">
        <v>49</v>
      </c>
      <c r="J23" t="s">
        <v>52</v>
      </c>
      <c r="K23"/>
    </row>
    <row r="24" spans="1:11">
      <c r="A24">
        <v>10018</v>
      </c>
      <c r="B24">
        <v>113077</v>
      </c>
      <c r="C24">
        <v>6</v>
      </c>
      <c r="D24">
        <v>3</v>
      </c>
      <c r="E24">
        <v>0</v>
      </c>
      <c r="F24" s="12" t="s">
        <v>34</v>
      </c>
      <c r="G24" s="11" t="s">
        <v>28</v>
      </c>
      <c r="I24" s="11" t="s">
        <v>49</v>
      </c>
      <c r="J24" t="s">
        <v>53</v>
      </c>
      <c r="K24"/>
    </row>
    <row r="25" spans="1:11">
      <c r="A25">
        <v>10019</v>
      </c>
      <c r="B25">
        <v>113077</v>
      </c>
      <c r="C25">
        <v>6</v>
      </c>
      <c r="D25">
        <v>4</v>
      </c>
      <c r="E25">
        <v>0</v>
      </c>
      <c r="F25" s="12" t="s">
        <v>34</v>
      </c>
      <c r="G25" s="11" t="s">
        <v>28</v>
      </c>
      <c r="I25" s="11" t="s">
        <v>49</v>
      </c>
      <c r="J25" t="s">
        <v>54</v>
      </c>
      <c r="K25"/>
    </row>
    <row r="26" spans="1:11">
      <c r="A26">
        <v>10020</v>
      </c>
      <c r="B26">
        <v>113077</v>
      </c>
      <c r="C26">
        <v>6</v>
      </c>
      <c r="D26">
        <v>5</v>
      </c>
      <c r="E26">
        <v>1</v>
      </c>
      <c r="F26" s="12" t="s">
        <v>34</v>
      </c>
      <c r="G26" s="11" t="s">
        <v>28</v>
      </c>
      <c r="I26" s="11" t="s">
        <v>49</v>
      </c>
      <c r="J26" t="s">
        <v>55</v>
      </c>
      <c r="K26"/>
    </row>
    <row r="27" spans="1:11">
      <c r="A27">
        <v>10021</v>
      </c>
      <c r="B27">
        <v>113077</v>
      </c>
      <c r="C27">
        <v>7</v>
      </c>
      <c r="D27">
        <v>1</v>
      </c>
      <c r="E27">
        <v>0</v>
      </c>
      <c r="F27" s="12" t="s">
        <v>56</v>
      </c>
      <c r="G27" s="11" t="s">
        <v>28</v>
      </c>
      <c r="I27" s="11" t="s">
        <v>57</v>
      </c>
      <c r="J27" t="s">
        <v>58</v>
      </c>
      <c r="K27" t="s">
        <v>59</v>
      </c>
    </row>
    <row r="28" spans="1:10">
      <c r="A28">
        <v>10022</v>
      </c>
      <c r="B28">
        <v>113077</v>
      </c>
      <c r="C28">
        <v>7</v>
      </c>
      <c r="D28">
        <v>2</v>
      </c>
      <c r="E28">
        <v>0</v>
      </c>
      <c r="F28" s="12" t="s">
        <v>56</v>
      </c>
      <c r="G28" s="11" t="s">
        <v>28</v>
      </c>
      <c r="I28" s="11" t="s">
        <v>57</v>
      </c>
      <c r="J28" t="s">
        <v>60</v>
      </c>
    </row>
    <row r="29" spans="1:11">
      <c r="A29">
        <v>10023</v>
      </c>
      <c r="B29">
        <v>113077</v>
      </c>
      <c r="C29">
        <v>7</v>
      </c>
      <c r="D29">
        <v>3</v>
      </c>
      <c r="E29">
        <v>0</v>
      </c>
      <c r="F29" s="12" t="s">
        <v>56</v>
      </c>
      <c r="G29" s="11" t="s">
        <v>28</v>
      </c>
      <c r="I29" s="11" t="s">
        <v>57</v>
      </c>
      <c r="J29" t="s">
        <v>61</v>
      </c>
      <c r="K29"/>
    </row>
    <row r="30" spans="1:11">
      <c r="A30">
        <v>10024</v>
      </c>
      <c r="B30">
        <v>113077</v>
      </c>
      <c r="C30">
        <v>7</v>
      </c>
      <c r="D30">
        <v>4</v>
      </c>
      <c r="E30">
        <v>0</v>
      </c>
      <c r="F30" s="12" t="s">
        <v>56</v>
      </c>
      <c r="G30" s="11" t="s">
        <v>28</v>
      </c>
      <c r="I30" s="11" t="s">
        <v>57</v>
      </c>
      <c r="J30" t="s">
        <v>62</v>
      </c>
      <c r="K30"/>
    </row>
    <row r="31" spans="1:11">
      <c r="A31">
        <v>10025</v>
      </c>
      <c r="B31">
        <v>113077</v>
      </c>
      <c r="C31">
        <v>7</v>
      </c>
      <c r="D31">
        <v>5</v>
      </c>
      <c r="E31">
        <v>1</v>
      </c>
      <c r="F31" s="12" t="s">
        <v>56</v>
      </c>
      <c r="G31" s="11" t="s">
        <v>28</v>
      </c>
      <c r="I31" s="11" t="s">
        <v>57</v>
      </c>
      <c r="J31" t="s">
        <v>63</v>
      </c>
      <c r="K31"/>
    </row>
    <row r="32" spans="1:11">
      <c r="A32">
        <v>10026</v>
      </c>
      <c r="B32">
        <v>113077</v>
      </c>
      <c r="C32">
        <v>8</v>
      </c>
      <c r="D32">
        <v>1</v>
      </c>
      <c r="E32">
        <v>2</v>
      </c>
      <c r="F32" s="12"/>
      <c r="I32" s="11" t="s">
        <v>64</v>
      </c>
      <c r="J32" t="s">
        <v>65</v>
      </c>
      <c r="K32" t="s">
        <v>66</v>
      </c>
    </row>
    <row r="33" spans="1:11">
      <c r="A33">
        <v>10027</v>
      </c>
      <c r="B33">
        <v>113075</v>
      </c>
      <c r="C33">
        <v>3</v>
      </c>
      <c r="D33">
        <v>1</v>
      </c>
      <c r="E33">
        <v>0</v>
      </c>
      <c r="F33" s="12" t="s">
        <v>27</v>
      </c>
      <c r="G33" s="11" t="s">
        <v>28</v>
      </c>
      <c r="I33" s="11" t="s">
        <v>29</v>
      </c>
      <c r="J33" t="s">
        <v>30</v>
      </c>
      <c r="K33"/>
    </row>
    <row r="34" spans="1:11">
      <c r="A34">
        <v>10028</v>
      </c>
      <c r="B34">
        <v>113075</v>
      </c>
      <c r="C34">
        <v>3</v>
      </c>
      <c r="D34">
        <v>2</v>
      </c>
      <c r="E34">
        <v>0</v>
      </c>
      <c r="F34" s="12" t="s">
        <v>27</v>
      </c>
      <c r="G34" s="11" t="s">
        <v>28</v>
      </c>
      <c r="I34" s="11" t="s">
        <v>29</v>
      </c>
      <c r="J34" t="s">
        <v>31</v>
      </c>
      <c r="K34"/>
    </row>
    <row r="35" spans="1:11">
      <c r="A35">
        <v>10029</v>
      </c>
      <c r="B35">
        <v>113075</v>
      </c>
      <c r="C35">
        <v>3</v>
      </c>
      <c r="D35">
        <v>3</v>
      </c>
      <c r="E35">
        <v>0</v>
      </c>
      <c r="F35" s="12" t="s">
        <v>27</v>
      </c>
      <c r="G35" s="11" t="s">
        <v>28</v>
      </c>
      <c r="I35" s="11" t="s">
        <v>29</v>
      </c>
      <c r="J35" t="s">
        <v>32</v>
      </c>
      <c r="K35"/>
    </row>
    <row r="36" spans="1:11">
      <c r="A36">
        <v>10030</v>
      </c>
      <c r="B36">
        <v>113075</v>
      </c>
      <c r="C36">
        <v>3</v>
      </c>
      <c r="D36">
        <v>4</v>
      </c>
      <c r="E36">
        <v>0</v>
      </c>
      <c r="F36" s="12" t="s">
        <v>27</v>
      </c>
      <c r="G36" s="11" t="s">
        <v>28</v>
      </c>
      <c r="I36" s="11" t="s">
        <v>29</v>
      </c>
      <c r="J36" t="s">
        <v>33</v>
      </c>
      <c r="K36"/>
    </row>
    <row r="37" spans="1:11">
      <c r="A37">
        <v>10031</v>
      </c>
      <c r="B37">
        <v>113075</v>
      </c>
      <c r="C37">
        <v>3</v>
      </c>
      <c r="D37">
        <v>5</v>
      </c>
      <c r="E37">
        <v>1</v>
      </c>
      <c r="F37" s="12" t="s">
        <v>34</v>
      </c>
      <c r="G37" s="11" t="s">
        <v>28</v>
      </c>
      <c r="I37" s="11" t="s">
        <v>29</v>
      </c>
      <c r="J37" t="s">
        <v>35</v>
      </c>
      <c r="K37"/>
    </row>
    <row r="38" spans="1:11">
      <c r="A38">
        <v>10032</v>
      </c>
      <c r="B38">
        <v>113075</v>
      </c>
      <c r="C38">
        <v>4</v>
      </c>
      <c r="D38">
        <v>1</v>
      </c>
      <c r="E38">
        <v>0</v>
      </c>
      <c r="F38" s="12" t="s">
        <v>36</v>
      </c>
      <c r="G38" s="11" t="s">
        <v>28</v>
      </c>
      <c r="I38" s="11" t="s">
        <v>37</v>
      </c>
      <c r="J38" t="s">
        <v>38</v>
      </c>
      <c r="K38"/>
    </row>
    <row r="39" spans="1:11">
      <c r="A39">
        <v>10033</v>
      </c>
      <c r="B39">
        <v>113075</v>
      </c>
      <c r="C39">
        <v>4</v>
      </c>
      <c r="D39">
        <v>2</v>
      </c>
      <c r="E39">
        <v>0</v>
      </c>
      <c r="F39" s="12" t="s">
        <v>36</v>
      </c>
      <c r="G39" s="11" t="s">
        <v>28</v>
      </c>
      <c r="I39" s="11" t="s">
        <v>37</v>
      </c>
      <c r="J39" t="s">
        <v>39</v>
      </c>
      <c r="K39"/>
    </row>
    <row r="40" spans="1:11">
      <c r="A40">
        <v>10034</v>
      </c>
      <c r="B40">
        <v>113075</v>
      </c>
      <c r="C40">
        <v>4</v>
      </c>
      <c r="D40">
        <v>3</v>
      </c>
      <c r="E40">
        <v>0</v>
      </c>
      <c r="F40" s="12" t="s">
        <v>36</v>
      </c>
      <c r="G40" s="11" t="s">
        <v>28</v>
      </c>
      <c r="I40" s="11" t="s">
        <v>37</v>
      </c>
      <c r="J40" t="s">
        <v>40</v>
      </c>
      <c r="K40"/>
    </row>
    <row r="41" spans="1:11">
      <c r="A41">
        <v>10035</v>
      </c>
      <c r="B41">
        <v>113075</v>
      </c>
      <c r="C41">
        <v>4</v>
      </c>
      <c r="D41">
        <v>4</v>
      </c>
      <c r="E41">
        <v>0</v>
      </c>
      <c r="F41" s="12" t="s">
        <v>36</v>
      </c>
      <c r="G41" s="11" t="s">
        <v>28</v>
      </c>
      <c r="I41" s="11" t="s">
        <v>37</v>
      </c>
      <c r="J41" t="s">
        <v>41</v>
      </c>
      <c r="K41"/>
    </row>
    <row r="42" spans="1:11">
      <c r="A42">
        <v>10036</v>
      </c>
      <c r="B42">
        <v>113075</v>
      </c>
      <c r="C42">
        <v>4</v>
      </c>
      <c r="D42">
        <v>5</v>
      </c>
      <c r="E42">
        <v>1</v>
      </c>
      <c r="F42" s="12" t="s">
        <v>34</v>
      </c>
      <c r="G42" s="11" t="s">
        <v>28</v>
      </c>
      <c r="I42" s="11" t="s">
        <v>37</v>
      </c>
      <c r="J42" t="s">
        <v>42</v>
      </c>
      <c r="K42"/>
    </row>
    <row r="43" spans="1:11">
      <c r="A43">
        <v>10037</v>
      </c>
      <c r="B43">
        <v>113075</v>
      </c>
      <c r="C43">
        <v>5</v>
      </c>
      <c r="D43">
        <v>1</v>
      </c>
      <c r="E43">
        <v>0</v>
      </c>
      <c r="F43" s="12" t="s">
        <v>34</v>
      </c>
      <c r="G43" s="11" t="s">
        <v>28</v>
      </c>
      <c r="I43" s="11" t="s">
        <v>43</v>
      </c>
      <c r="J43" t="s">
        <v>44</v>
      </c>
      <c r="K43"/>
    </row>
    <row r="44" spans="1:11">
      <c r="A44">
        <v>10038</v>
      </c>
      <c r="B44">
        <v>113075</v>
      </c>
      <c r="C44">
        <v>5</v>
      </c>
      <c r="D44">
        <v>2</v>
      </c>
      <c r="E44">
        <v>0</v>
      </c>
      <c r="F44" s="12" t="s">
        <v>34</v>
      </c>
      <c r="G44" s="11" t="s">
        <v>28</v>
      </c>
      <c r="I44" s="11" t="s">
        <v>43</v>
      </c>
      <c r="J44" t="s">
        <v>45</v>
      </c>
      <c r="K44"/>
    </row>
    <row r="45" spans="1:11">
      <c r="A45">
        <v>10039</v>
      </c>
      <c r="B45">
        <v>113075</v>
      </c>
      <c r="C45">
        <v>5</v>
      </c>
      <c r="D45">
        <v>3</v>
      </c>
      <c r="E45">
        <v>0</v>
      </c>
      <c r="F45" s="12" t="s">
        <v>34</v>
      </c>
      <c r="G45" s="11" t="s">
        <v>28</v>
      </c>
      <c r="I45" s="11" t="s">
        <v>43</v>
      </c>
      <c r="J45" t="s">
        <v>46</v>
      </c>
      <c r="K45"/>
    </row>
    <row r="46" spans="1:11">
      <c r="A46">
        <v>10040</v>
      </c>
      <c r="B46">
        <v>113075</v>
      </c>
      <c r="C46">
        <v>5</v>
      </c>
      <c r="D46">
        <v>4</v>
      </c>
      <c r="E46">
        <v>0</v>
      </c>
      <c r="F46" s="12" t="s">
        <v>34</v>
      </c>
      <c r="G46" s="11" t="s">
        <v>28</v>
      </c>
      <c r="I46" s="11" t="s">
        <v>43</v>
      </c>
      <c r="J46" t="s">
        <v>47</v>
      </c>
      <c r="K46"/>
    </row>
    <row r="47" spans="1:11">
      <c r="A47">
        <v>10041</v>
      </c>
      <c r="B47">
        <v>113075</v>
      </c>
      <c r="C47">
        <v>5</v>
      </c>
      <c r="D47">
        <v>5</v>
      </c>
      <c r="E47">
        <v>1</v>
      </c>
      <c r="F47" s="12" t="s">
        <v>34</v>
      </c>
      <c r="G47" s="11" t="s">
        <v>28</v>
      </c>
      <c r="I47" s="11" t="s">
        <v>43</v>
      </c>
      <c r="J47" t="s">
        <v>48</v>
      </c>
      <c r="K47"/>
    </row>
    <row r="48" spans="1:11">
      <c r="A48">
        <v>10042</v>
      </c>
      <c r="B48">
        <v>113075</v>
      </c>
      <c r="C48">
        <v>6</v>
      </c>
      <c r="D48">
        <v>1</v>
      </c>
      <c r="E48">
        <v>0</v>
      </c>
      <c r="F48" s="12" t="s">
        <v>34</v>
      </c>
      <c r="G48" s="11" t="s">
        <v>28</v>
      </c>
      <c r="I48" s="11" t="s">
        <v>49</v>
      </c>
      <c r="J48" t="s">
        <v>50</v>
      </c>
      <c r="K48" t="s">
        <v>51</v>
      </c>
    </row>
    <row r="49" spans="1:11">
      <c r="A49">
        <v>10043</v>
      </c>
      <c r="B49">
        <v>113075</v>
      </c>
      <c r="C49">
        <v>6</v>
      </c>
      <c r="D49">
        <v>2</v>
      </c>
      <c r="E49">
        <v>0</v>
      </c>
      <c r="F49" s="12" t="s">
        <v>34</v>
      </c>
      <c r="G49" s="11" t="s">
        <v>28</v>
      </c>
      <c r="I49" s="11" t="s">
        <v>49</v>
      </c>
      <c r="J49" t="s">
        <v>52</v>
      </c>
      <c r="K49"/>
    </row>
    <row r="50" spans="1:11">
      <c r="A50">
        <v>10044</v>
      </c>
      <c r="B50">
        <v>113075</v>
      </c>
      <c r="C50">
        <v>6</v>
      </c>
      <c r="D50">
        <v>3</v>
      </c>
      <c r="E50">
        <v>0</v>
      </c>
      <c r="F50" s="12" t="s">
        <v>34</v>
      </c>
      <c r="G50" s="11" t="s">
        <v>28</v>
      </c>
      <c r="I50" s="11" t="s">
        <v>49</v>
      </c>
      <c r="J50" t="s">
        <v>53</v>
      </c>
      <c r="K50"/>
    </row>
    <row r="51" spans="1:11">
      <c r="A51">
        <v>10045</v>
      </c>
      <c r="B51">
        <v>113075</v>
      </c>
      <c r="C51">
        <v>6</v>
      </c>
      <c r="D51">
        <v>4</v>
      </c>
      <c r="E51">
        <v>0</v>
      </c>
      <c r="F51" s="12" t="s">
        <v>34</v>
      </c>
      <c r="G51" s="11" t="s">
        <v>28</v>
      </c>
      <c r="I51" s="11" t="s">
        <v>49</v>
      </c>
      <c r="J51" t="s">
        <v>54</v>
      </c>
      <c r="K51"/>
    </row>
    <row r="52" spans="1:11">
      <c r="A52">
        <v>10046</v>
      </c>
      <c r="B52">
        <v>113075</v>
      </c>
      <c r="C52">
        <v>6</v>
      </c>
      <c r="D52">
        <v>5</v>
      </c>
      <c r="E52">
        <v>1</v>
      </c>
      <c r="F52" s="12" t="s">
        <v>34</v>
      </c>
      <c r="G52" s="11" t="s">
        <v>28</v>
      </c>
      <c r="I52" s="11" t="s">
        <v>49</v>
      </c>
      <c r="J52" t="s">
        <v>55</v>
      </c>
      <c r="K52"/>
    </row>
    <row r="53" spans="1:11">
      <c r="A53">
        <v>10047</v>
      </c>
      <c r="B53">
        <v>113075</v>
      </c>
      <c r="C53">
        <v>7</v>
      </c>
      <c r="D53">
        <v>1</v>
      </c>
      <c r="E53">
        <v>0</v>
      </c>
      <c r="F53" s="12" t="s">
        <v>56</v>
      </c>
      <c r="G53" s="11" t="s">
        <v>28</v>
      </c>
      <c r="I53" s="11" t="s">
        <v>57</v>
      </c>
      <c r="J53" t="s">
        <v>58</v>
      </c>
      <c r="K53" t="s">
        <v>59</v>
      </c>
    </row>
    <row r="54" spans="1:10">
      <c r="A54">
        <v>10048</v>
      </c>
      <c r="B54">
        <v>113075</v>
      </c>
      <c r="C54">
        <v>7</v>
      </c>
      <c r="D54">
        <v>2</v>
      </c>
      <c r="E54">
        <v>0</v>
      </c>
      <c r="F54" s="12" t="s">
        <v>56</v>
      </c>
      <c r="G54" s="11" t="s">
        <v>28</v>
      </c>
      <c r="I54" s="11" t="s">
        <v>57</v>
      </c>
      <c r="J54" t="s">
        <v>60</v>
      </c>
    </row>
    <row r="55" spans="1:11">
      <c r="A55">
        <v>10049</v>
      </c>
      <c r="B55">
        <v>113075</v>
      </c>
      <c r="C55">
        <v>7</v>
      </c>
      <c r="D55">
        <v>3</v>
      </c>
      <c r="E55">
        <v>0</v>
      </c>
      <c r="F55" s="12" t="s">
        <v>56</v>
      </c>
      <c r="G55" s="11" t="s">
        <v>28</v>
      </c>
      <c r="I55" s="11" t="s">
        <v>57</v>
      </c>
      <c r="J55" t="s">
        <v>61</v>
      </c>
      <c r="K55"/>
    </row>
    <row r="56" spans="1:11">
      <c r="A56">
        <v>10050</v>
      </c>
      <c r="B56">
        <v>113075</v>
      </c>
      <c r="C56">
        <v>7</v>
      </c>
      <c r="D56">
        <v>4</v>
      </c>
      <c r="E56">
        <v>0</v>
      </c>
      <c r="F56" s="12" t="s">
        <v>56</v>
      </c>
      <c r="G56" s="11" t="s">
        <v>28</v>
      </c>
      <c r="I56" s="11" t="s">
        <v>57</v>
      </c>
      <c r="J56" t="s">
        <v>62</v>
      </c>
      <c r="K56"/>
    </row>
    <row r="57" spans="1:11">
      <c r="A57">
        <v>10051</v>
      </c>
      <c r="B57">
        <v>113075</v>
      </c>
      <c r="C57">
        <v>7</v>
      </c>
      <c r="D57">
        <v>5</v>
      </c>
      <c r="E57">
        <v>1</v>
      </c>
      <c r="F57" s="12" t="s">
        <v>56</v>
      </c>
      <c r="G57" s="11" t="s">
        <v>28</v>
      </c>
      <c r="I57" s="11" t="s">
        <v>57</v>
      </c>
      <c r="J57" t="s">
        <v>63</v>
      </c>
      <c r="K57"/>
    </row>
    <row r="58" spans="1:11">
      <c r="A58">
        <v>10052</v>
      </c>
      <c r="B58">
        <v>113075</v>
      </c>
      <c r="C58">
        <v>8</v>
      </c>
      <c r="D58">
        <v>1</v>
      </c>
      <c r="E58">
        <v>2</v>
      </c>
      <c r="F58" s="12"/>
      <c r="I58" s="11" t="s">
        <v>64</v>
      </c>
      <c r="J58" t="s">
        <v>65</v>
      </c>
      <c r="K58" t="s">
        <v>66</v>
      </c>
    </row>
    <row r="59" spans="1:11">
      <c r="A59">
        <v>10053</v>
      </c>
      <c r="B59">
        <v>113044</v>
      </c>
      <c r="C59">
        <v>3</v>
      </c>
      <c r="D59">
        <v>1</v>
      </c>
      <c r="E59">
        <v>0</v>
      </c>
      <c r="F59" s="12" t="s">
        <v>27</v>
      </c>
      <c r="G59" s="11" t="s">
        <v>28</v>
      </c>
      <c r="I59" s="11" t="s">
        <v>29</v>
      </c>
      <c r="J59" t="s">
        <v>30</v>
      </c>
      <c r="K59"/>
    </row>
    <row r="60" spans="1:11">
      <c r="A60">
        <v>10054</v>
      </c>
      <c r="B60">
        <v>113044</v>
      </c>
      <c r="C60">
        <v>3</v>
      </c>
      <c r="D60">
        <v>2</v>
      </c>
      <c r="E60">
        <v>0</v>
      </c>
      <c r="F60" s="12" t="s">
        <v>27</v>
      </c>
      <c r="G60" s="11" t="s">
        <v>28</v>
      </c>
      <c r="I60" s="11" t="s">
        <v>29</v>
      </c>
      <c r="J60" t="s">
        <v>31</v>
      </c>
      <c r="K60"/>
    </row>
    <row r="61" spans="1:11">
      <c r="A61">
        <v>10055</v>
      </c>
      <c r="B61">
        <v>113044</v>
      </c>
      <c r="C61">
        <v>3</v>
      </c>
      <c r="D61">
        <v>3</v>
      </c>
      <c r="E61">
        <v>0</v>
      </c>
      <c r="F61" s="12" t="s">
        <v>27</v>
      </c>
      <c r="G61" s="11" t="s">
        <v>28</v>
      </c>
      <c r="I61" s="11" t="s">
        <v>29</v>
      </c>
      <c r="J61" t="s">
        <v>32</v>
      </c>
      <c r="K61"/>
    </row>
    <row r="62" spans="1:11">
      <c r="A62">
        <v>10056</v>
      </c>
      <c r="B62">
        <v>113044</v>
      </c>
      <c r="C62">
        <v>3</v>
      </c>
      <c r="D62">
        <v>4</v>
      </c>
      <c r="E62">
        <v>0</v>
      </c>
      <c r="F62" s="12" t="s">
        <v>27</v>
      </c>
      <c r="G62" s="11" t="s">
        <v>28</v>
      </c>
      <c r="I62" s="11" t="s">
        <v>29</v>
      </c>
      <c r="J62" t="s">
        <v>33</v>
      </c>
      <c r="K62"/>
    </row>
    <row r="63" spans="1:11">
      <c r="A63">
        <v>10057</v>
      </c>
      <c r="B63">
        <v>113044</v>
      </c>
      <c r="C63">
        <v>3</v>
      </c>
      <c r="D63">
        <v>5</v>
      </c>
      <c r="E63">
        <v>1</v>
      </c>
      <c r="F63" s="12" t="s">
        <v>34</v>
      </c>
      <c r="G63" s="11" t="s">
        <v>28</v>
      </c>
      <c r="I63" s="11" t="s">
        <v>29</v>
      </c>
      <c r="J63" t="s">
        <v>35</v>
      </c>
      <c r="K63"/>
    </row>
    <row r="64" spans="1:11">
      <c r="A64">
        <v>10058</v>
      </c>
      <c r="B64">
        <v>113044</v>
      </c>
      <c r="C64">
        <v>4</v>
      </c>
      <c r="D64">
        <v>1</v>
      </c>
      <c r="E64">
        <v>0</v>
      </c>
      <c r="F64" s="12" t="s">
        <v>36</v>
      </c>
      <c r="G64" s="11" t="s">
        <v>28</v>
      </c>
      <c r="I64" s="11" t="s">
        <v>37</v>
      </c>
      <c r="J64" t="s">
        <v>38</v>
      </c>
      <c r="K64"/>
    </row>
    <row r="65" spans="1:11">
      <c r="A65">
        <v>10059</v>
      </c>
      <c r="B65">
        <v>113044</v>
      </c>
      <c r="C65">
        <v>4</v>
      </c>
      <c r="D65">
        <v>2</v>
      </c>
      <c r="E65">
        <v>0</v>
      </c>
      <c r="F65" s="12" t="s">
        <v>36</v>
      </c>
      <c r="G65" s="11" t="s">
        <v>28</v>
      </c>
      <c r="I65" s="11" t="s">
        <v>37</v>
      </c>
      <c r="J65" t="s">
        <v>39</v>
      </c>
      <c r="K65"/>
    </row>
    <row r="66" spans="1:11">
      <c r="A66">
        <v>10060</v>
      </c>
      <c r="B66">
        <v>113044</v>
      </c>
      <c r="C66">
        <v>4</v>
      </c>
      <c r="D66">
        <v>3</v>
      </c>
      <c r="E66">
        <v>0</v>
      </c>
      <c r="F66" s="12" t="s">
        <v>36</v>
      </c>
      <c r="G66" s="11" t="s">
        <v>28</v>
      </c>
      <c r="I66" s="11" t="s">
        <v>37</v>
      </c>
      <c r="J66" t="s">
        <v>40</v>
      </c>
      <c r="K66"/>
    </row>
    <row r="67" spans="1:11">
      <c r="A67">
        <v>10061</v>
      </c>
      <c r="B67">
        <v>113044</v>
      </c>
      <c r="C67">
        <v>4</v>
      </c>
      <c r="D67">
        <v>4</v>
      </c>
      <c r="E67">
        <v>0</v>
      </c>
      <c r="F67" s="12" t="s">
        <v>36</v>
      </c>
      <c r="G67" s="11" t="s">
        <v>28</v>
      </c>
      <c r="I67" s="11" t="s">
        <v>37</v>
      </c>
      <c r="J67" t="s">
        <v>41</v>
      </c>
      <c r="K67"/>
    </row>
    <row r="68" spans="1:11">
      <c r="A68">
        <v>10062</v>
      </c>
      <c r="B68">
        <v>113044</v>
      </c>
      <c r="C68">
        <v>4</v>
      </c>
      <c r="D68">
        <v>5</v>
      </c>
      <c r="E68">
        <v>1</v>
      </c>
      <c r="F68" s="12" t="s">
        <v>34</v>
      </c>
      <c r="G68" s="11" t="s">
        <v>28</v>
      </c>
      <c r="I68" s="11" t="s">
        <v>37</v>
      </c>
      <c r="J68" t="s">
        <v>42</v>
      </c>
      <c r="K68"/>
    </row>
    <row r="69" spans="1:11">
      <c r="A69">
        <v>10063</v>
      </c>
      <c r="B69">
        <v>113044</v>
      </c>
      <c r="C69">
        <v>5</v>
      </c>
      <c r="D69">
        <v>1</v>
      </c>
      <c r="E69">
        <v>0</v>
      </c>
      <c r="F69" s="12" t="s">
        <v>34</v>
      </c>
      <c r="G69" s="11" t="s">
        <v>28</v>
      </c>
      <c r="I69" s="11" t="s">
        <v>43</v>
      </c>
      <c r="J69" t="s">
        <v>44</v>
      </c>
      <c r="K69"/>
    </row>
    <row r="70" spans="1:11">
      <c r="A70">
        <v>10064</v>
      </c>
      <c r="B70">
        <v>113044</v>
      </c>
      <c r="C70">
        <v>5</v>
      </c>
      <c r="D70">
        <v>2</v>
      </c>
      <c r="E70">
        <v>0</v>
      </c>
      <c r="F70" s="12" t="s">
        <v>34</v>
      </c>
      <c r="G70" s="11" t="s">
        <v>28</v>
      </c>
      <c r="I70" s="11" t="s">
        <v>43</v>
      </c>
      <c r="J70" t="s">
        <v>45</v>
      </c>
      <c r="K70"/>
    </row>
    <row r="71" spans="1:11">
      <c r="A71">
        <v>10065</v>
      </c>
      <c r="B71">
        <v>113044</v>
      </c>
      <c r="C71">
        <v>5</v>
      </c>
      <c r="D71">
        <v>3</v>
      </c>
      <c r="E71">
        <v>0</v>
      </c>
      <c r="F71" s="12" t="s">
        <v>34</v>
      </c>
      <c r="G71" s="11" t="s">
        <v>28</v>
      </c>
      <c r="I71" s="11" t="s">
        <v>43</v>
      </c>
      <c r="J71" t="s">
        <v>46</v>
      </c>
      <c r="K71"/>
    </row>
    <row r="72" spans="1:11">
      <c r="A72">
        <v>10066</v>
      </c>
      <c r="B72">
        <v>113044</v>
      </c>
      <c r="C72">
        <v>5</v>
      </c>
      <c r="D72">
        <v>4</v>
      </c>
      <c r="E72">
        <v>0</v>
      </c>
      <c r="F72" s="12" t="s">
        <v>34</v>
      </c>
      <c r="G72" s="11" t="s">
        <v>28</v>
      </c>
      <c r="I72" s="11" t="s">
        <v>43</v>
      </c>
      <c r="J72" t="s">
        <v>47</v>
      </c>
      <c r="K72"/>
    </row>
    <row r="73" spans="1:11">
      <c r="A73">
        <v>10067</v>
      </c>
      <c r="B73">
        <v>113044</v>
      </c>
      <c r="C73">
        <v>5</v>
      </c>
      <c r="D73">
        <v>5</v>
      </c>
      <c r="E73">
        <v>1</v>
      </c>
      <c r="F73" s="12" t="s">
        <v>34</v>
      </c>
      <c r="G73" s="11" t="s">
        <v>28</v>
      </c>
      <c r="I73" s="11" t="s">
        <v>43</v>
      </c>
      <c r="J73" t="s">
        <v>48</v>
      </c>
      <c r="K73"/>
    </row>
    <row r="74" spans="1:11">
      <c r="A74">
        <v>10068</v>
      </c>
      <c r="B74">
        <v>113044</v>
      </c>
      <c r="C74">
        <v>6</v>
      </c>
      <c r="D74">
        <v>1</v>
      </c>
      <c r="E74">
        <v>0</v>
      </c>
      <c r="F74" s="12" t="s">
        <v>34</v>
      </c>
      <c r="G74" s="11" t="s">
        <v>28</v>
      </c>
      <c r="I74" s="11" t="s">
        <v>49</v>
      </c>
      <c r="J74" t="s">
        <v>50</v>
      </c>
      <c r="K74" t="s">
        <v>51</v>
      </c>
    </row>
    <row r="75" spans="1:11">
      <c r="A75">
        <v>10069</v>
      </c>
      <c r="B75">
        <v>113044</v>
      </c>
      <c r="C75">
        <v>6</v>
      </c>
      <c r="D75">
        <v>2</v>
      </c>
      <c r="E75">
        <v>0</v>
      </c>
      <c r="F75" s="12" t="s">
        <v>34</v>
      </c>
      <c r="G75" s="11" t="s">
        <v>28</v>
      </c>
      <c r="I75" s="11" t="s">
        <v>49</v>
      </c>
      <c r="J75" t="s">
        <v>52</v>
      </c>
      <c r="K75"/>
    </row>
    <row r="76" spans="1:11">
      <c r="A76">
        <v>10070</v>
      </c>
      <c r="B76">
        <v>113044</v>
      </c>
      <c r="C76">
        <v>6</v>
      </c>
      <c r="D76">
        <v>3</v>
      </c>
      <c r="E76">
        <v>0</v>
      </c>
      <c r="F76" s="12" t="s">
        <v>34</v>
      </c>
      <c r="G76" s="11" t="s">
        <v>28</v>
      </c>
      <c r="I76" s="11" t="s">
        <v>49</v>
      </c>
      <c r="J76" t="s">
        <v>53</v>
      </c>
      <c r="K76"/>
    </row>
    <row r="77" spans="1:11">
      <c r="A77">
        <v>10071</v>
      </c>
      <c r="B77">
        <v>113044</v>
      </c>
      <c r="C77">
        <v>6</v>
      </c>
      <c r="D77">
        <v>4</v>
      </c>
      <c r="E77">
        <v>0</v>
      </c>
      <c r="F77" s="12" t="s">
        <v>34</v>
      </c>
      <c r="G77" s="11" t="s">
        <v>28</v>
      </c>
      <c r="I77" s="11" t="s">
        <v>49</v>
      </c>
      <c r="J77" t="s">
        <v>54</v>
      </c>
      <c r="K77"/>
    </row>
    <row r="78" spans="1:11">
      <c r="A78">
        <v>10072</v>
      </c>
      <c r="B78">
        <v>113044</v>
      </c>
      <c r="C78">
        <v>6</v>
      </c>
      <c r="D78">
        <v>5</v>
      </c>
      <c r="E78">
        <v>1</v>
      </c>
      <c r="F78" s="12" t="s">
        <v>34</v>
      </c>
      <c r="G78" s="11" t="s">
        <v>28</v>
      </c>
      <c r="I78" s="11" t="s">
        <v>49</v>
      </c>
      <c r="J78" t="s">
        <v>55</v>
      </c>
      <c r="K78"/>
    </row>
    <row r="79" spans="1:11">
      <c r="A79">
        <v>10073</v>
      </c>
      <c r="B79">
        <v>113044</v>
      </c>
      <c r="C79">
        <v>7</v>
      </c>
      <c r="D79">
        <v>1</v>
      </c>
      <c r="E79">
        <v>0</v>
      </c>
      <c r="F79" s="12" t="s">
        <v>56</v>
      </c>
      <c r="G79" s="11" t="s">
        <v>28</v>
      </c>
      <c r="I79" s="11" t="s">
        <v>57</v>
      </c>
      <c r="J79" t="s">
        <v>58</v>
      </c>
      <c r="K79" t="s">
        <v>59</v>
      </c>
    </row>
    <row r="80" spans="1:10">
      <c r="A80">
        <v>10074</v>
      </c>
      <c r="B80">
        <v>113044</v>
      </c>
      <c r="C80">
        <v>7</v>
      </c>
      <c r="D80">
        <v>2</v>
      </c>
      <c r="E80">
        <v>0</v>
      </c>
      <c r="F80" s="12" t="s">
        <v>56</v>
      </c>
      <c r="G80" s="11" t="s">
        <v>28</v>
      </c>
      <c r="I80" s="11" t="s">
        <v>57</v>
      </c>
      <c r="J80" t="s">
        <v>60</v>
      </c>
    </row>
    <row r="81" spans="1:11">
      <c r="A81">
        <v>10075</v>
      </c>
      <c r="B81">
        <v>113044</v>
      </c>
      <c r="C81">
        <v>7</v>
      </c>
      <c r="D81">
        <v>3</v>
      </c>
      <c r="E81">
        <v>0</v>
      </c>
      <c r="F81" s="12" t="s">
        <v>56</v>
      </c>
      <c r="G81" s="11" t="s">
        <v>28</v>
      </c>
      <c r="I81" s="11" t="s">
        <v>57</v>
      </c>
      <c r="J81" t="s">
        <v>61</v>
      </c>
      <c r="K81"/>
    </row>
    <row r="82" spans="1:11">
      <c r="A82">
        <v>10076</v>
      </c>
      <c r="B82">
        <v>113044</v>
      </c>
      <c r="C82">
        <v>7</v>
      </c>
      <c r="D82">
        <v>4</v>
      </c>
      <c r="E82">
        <v>0</v>
      </c>
      <c r="F82" s="12" t="s">
        <v>56</v>
      </c>
      <c r="G82" s="11" t="s">
        <v>28</v>
      </c>
      <c r="I82" s="11" t="s">
        <v>57</v>
      </c>
      <c r="J82" t="s">
        <v>62</v>
      </c>
      <c r="K82"/>
    </row>
    <row r="83" spans="1:11">
      <c r="A83">
        <v>10077</v>
      </c>
      <c r="B83">
        <v>113044</v>
      </c>
      <c r="C83">
        <v>7</v>
      </c>
      <c r="D83">
        <v>5</v>
      </c>
      <c r="E83">
        <v>1</v>
      </c>
      <c r="F83" s="12" t="s">
        <v>56</v>
      </c>
      <c r="G83" s="11" t="s">
        <v>28</v>
      </c>
      <c r="I83" s="11" t="s">
        <v>57</v>
      </c>
      <c r="J83" t="s">
        <v>63</v>
      </c>
      <c r="K83"/>
    </row>
    <row r="84" spans="1:11">
      <c r="A84">
        <v>10078</v>
      </c>
      <c r="B84">
        <v>113044</v>
      </c>
      <c r="C84">
        <v>8</v>
      </c>
      <c r="D84">
        <v>1</v>
      </c>
      <c r="E84">
        <v>2</v>
      </c>
      <c r="F84" s="12"/>
      <c r="I84" s="11" t="s">
        <v>64</v>
      </c>
      <c r="J84" t="s">
        <v>65</v>
      </c>
      <c r="K84" t="s">
        <v>66</v>
      </c>
    </row>
    <row r="85" spans="1:11">
      <c r="A85">
        <v>10079</v>
      </c>
      <c r="B85">
        <v>113088</v>
      </c>
      <c r="C85">
        <v>3</v>
      </c>
      <c r="D85">
        <v>1</v>
      </c>
      <c r="E85">
        <v>0</v>
      </c>
      <c r="F85" s="12" t="s">
        <v>67</v>
      </c>
      <c r="G85" s="11" t="s">
        <v>28</v>
      </c>
      <c r="I85" s="11" t="s">
        <v>29</v>
      </c>
      <c r="J85" t="s">
        <v>30</v>
      </c>
      <c r="K85"/>
    </row>
    <row r="86" spans="1:11">
      <c r="A86">
        <v>10080</v>
      </c>
      <c r="B86">
        <v>113088</v>
      </c>
      <c r="C86">
        <v>3</v>
      </c>
      <c r="D86">
        <v>2</v>
      </c>
      <c r="E86">
        <v>0</v>
      </c>
      <c r="F86" s="12" t="s">
        <v>67</v>
      </c>
      <c r="G86" s="11" t="s">
        <v>28</v>
      </c>
      <c r="I86" s="11" t="s">
        <v>29</v>
      </c>
      <c r="J86" t="s">
        <v>31</v>
      </c>
      <c r="K86"/>
    </row>
    <row r="87" spans="1:11">
      <c r="A87">
        <v>10081</v>
      </c>
      <c r="B87">
        <v>113088</v>
      </c>
      <c r="C87">
        <v>3</v>
      </c>
      <c r="D87">
        <v>3</v>
      </c>
      <c r="E87">
        <v>0</v>
      </c>
      <c r="F87" s="12" t="s">
        <v>67</v>
      </c>
      <c r="G87" s="11" t="s">
        <v>28</v>
      </c>
      <c r="I87" s="11" t="s">
        <v>29</v>
      </c>
      <c r="J87" t="s">
        <v>32</v>
      </c>
      <c r="K87"/>
    </row>
    <row r="88" spans="1:11">
      <c r="A88">
        <v>10082</v>
      </c>
      <c r="B88">
        <v>113088</v>
      </c>
      <c r="C88">
        <v>3</v>
      </c>
      <c r="D88">
        <v>4</v>
      </c>
      <c r="E88">
        <v>0</v>
      </c>
      <c r="F88" s="12" t="s">
        <v>67</v>
      </c>
      <c r="G88" s="11" t="s">
        <v>28</v>
      </c>
      <c r="I88" s="11" t="s">
        <v>29</v>
      </c>
      <c r="J88" t="s">
        <v>33</v>
      </c>
      <c r="K88"/>
    </row>
    <row r="89" spans="1:11">
      <c r="A89">
        <v>10083</v>
      </c>
      <c r="B89">
        <v>113088</v>
      </c>
      <c r="C89">
        <v>3</v>
      </c>
      <c r="D89">
        <v>5</v>
      </c>
      <c r="E89">
        <v>1</v>
      </c>
      <c r="F89" s="12" t="s">
        <v>68</v>
      </c>
      <c r="G89" s="11" t="s">
        <v>28</v>
      </c>
      <c r="I89" s="11" t="s">
        <v>29</v>
      </c>
      <c r="J89" t="s">
        <v>35</v>
      </c>
      <c r="K89"/>
    </row>
    <row r="90" spans="1:11">
      <c r="A90">
        <v>10084</v>
      </c>
      <c r="B90">
        <v>113088</v>
      </c>
      <c r="C90">
        <v>4</v>
      </c>
      <c r="D90">
        <v>1</v>
      </c>
      <c r="E90">
        <v>0</v>
      </c>
      <c r="F90" s="12" t="s">
        <v>69</v>
      </c>
      <c r="G90" s="11" t="s">
        <v>28</v>
      </c>
      <c r="I90" s="11" t="s">
        <v>37</v>
      </c>
      <c r="J90" t="s">
        <v>38</v>
      </c>
      <c r="K90"/>
    </row>
    <row r="91" spans="1:11">
      <c r="A91">
        <v>10085</v>
      </c>
      <c r="B91">
        <v>113088</v>
      </c>
      <c r="C91">
        <v>4</v>
      </c>
      <c r="D91">
        <v>2</v>
      </c>
      <c r="E91">
        <v>0</v>
      </c>
      <c r="F91" s="12" t="s">
        <v>69</v>
      </c>
      <c r="G91" s="11" t="s">
        <v>28</v>
      </c>
      <c r="I91" s="11" t="s">
        <v>37</v>
      </c>
      <c r="J91" t="s">
        <v>39</v>
      </c>
      <c r="K91"/>
    </row>
    <row r="92" spans="1:11">
      <c r="A92">
        <v>10086</v>
      </c>
      <c r="B92">
        <v>113088</v>
      </c>
      <c r="C92">
        <v>4</v>
      </c>
      <c r="D92">
        <v>3</v>
      </c>
      <c r="E92">
        <v>0</v>
      </c>
      <c r="F92" s="12" t="s">
        <v>69</v>
      </c>
      <c r="G92" s="11" t="s">
        <v>28</v>
      </c>
      <c r="I92" s="11" t="s">
        <v>37</v>
      </c>
      <c r="J92" t="s">
        <v>40</v>
      </c>
      <c r="K92"/>
    </row>
    <row r="93" spans="1:11">
      <c r="A93">
        <v>10087</v>
      </c>
      <c r="B93">
        <v>113088</v>
      </c>
      <c r="C93">
        <v>4</v>
      </c>
      <c r="D93">
        <v>4</v>
      </c>
      <c r="E93">
        <v>0</v>
      </c>
      <c r="F93" s="12" t="s">
        <v>69</v>
      </c>
      <c r="G93" s="11" t="s">
        <v>28</v>
      </c>
      <c r="I93" s="11" t="s">
        <v>37</v>
      </c>
      <c r="J93" t="s">
        <v>41</v>
      </c>
      <c r="K93"/>
    </row>
    <row r="94" spans="1:11">
      <c r="A94">
        <v>10088</v>
      </c>
      <c r="B94">
        <v>113088</v>
      </c>
      <c r="C94">
        <v>4</v>
      </c>
      <c r="D94">
        <v>5</v>
      </c>
      <c r="E94">
        <v>1</v>
      </c>
      <c r="F94" s="12" t="s">
        <v>68</v>
      </c>
      <c r="G94" s="11" t="s">
        <v>28</v>
      </c>
      <c r="I94" s="11" t="s">
        <v>37</v>
      </c>
      <c r="J94" t="s">
        <v>42</v>
      </c>
      <c r="K94"/>
    </row>
    <row r="95" spans="1:11">
      <c r="A95">
        <v>10089</v>
      </c>
      <c r="B95">
        <v>113088</v>
      </c>
      <c r="C95">
        <v>5</v>
      </c>
      <c r="D95">
        <v>1</v>
      </c>
      <c r="E95">
        <v>0</v>
      </c>
      <c r="F95" s="12" t="s">
        <v>68</v>
      </c>
      <c r="G95" s="11" t="s">
        <v>28</v>
      </c>
      <c r="I95" s="11" t="s">
        <v>43</v>
      </c>
      <c r="J95" t="s">
        <v>44</v>
      </c>
      <c r="K95" s="11" t="s">
        <v>70</v>
      </c>
    </row>
    <row r="96" spans="1:11">
      <c r="A96">
        <v>10090</v>
      </c>
      <c r="B96">
        <v>113088</v>
      </c>
      <c r="C96">
        <v>5</v>
      </c>
      <c r="D96">
        <v>2</v>
      </c>
      <c r="E96">
        <v>0</v>
      </c>
      <c r="F96" s="12" t="s">
        <v>68</v>
      </c>
      <c r="G96" s="11" t="s">
        <v>28</v>
      </c>
      <c r="I96" s="11" t="s">
        <v>43</v>
      </c>
      <c r="J96" t="s">
        <v>45</v>
      </c>
      <c r="K96"/>
    </row>
    <row r="97" spans="1:11">
      <c r="A97">
        <v>10091</v>
      </c>
      <c r="B97">
        <v>113088</v>
      </c>
      <c r="C97">
        <v>5</v>
      </c>
      <c r="D97">
        <v>3</v>
      </c>
      <c r="E97">
        <v>0</v>
      </c>
      <c r="F97" s="12" t="s">
        <v>68</v>
      </c>
      <c r="G97" s="11" t="s">
        <v>28</v>
      </c>
      <c r="I97" s="11" t="s">
        <v>43</v>
      </c>
      <c r="J97" t="s">
        <v>46</v>
      </c>
      <c r="K97"/>
    </row>
    <row r="98" spans="1:11">
      <c r="A98">
        <v>10092</v>
      </c>
      <c r="B98">
        <v>113088</v>
      </c>
      <c r="C98">
        <v>5</v>
      </c>
      <c r="D98">
        <v>4</v>
      </c>
      <c r="E98">
        <v>0</v>
      </c>
      <c r="F98" s="12" t="s">
        <v>68</v>
      </c>
      <c r="G98" s="11" t="s">
        <v>28</v>
      </c>
      <c r="I98" s="11" t="s">
        <v>43</v>
      </c>
      <c r="J98" t="s">
        <v>47</v>
      </c>
      <c r="K98"/>
    </row>
    <row r="99" spans="1:11">
      <c r="A99">
        <v>10093</v>
      </c>
      <c r="B99">
        <v>113088</v>
      </c>
      <c r="C99">
        <v>5</v>
      </c>
      <c r="D99">
        <v>5</v>
      </c>
      <c r="E99">
        <v>1</v>
      </c>
      <c r="F99" s="12" t="s">
        <v>68</v>
      </c>
      <c r="G99" s="11" t="s">
        <v>28</v>
      </c>
      <c r="I99" s="11" t="s">
        <v>43</v>
      </c>
      <c r="J99" t="s">
        <v>48</v>
      </c>
      <c r="K99"/>
    </row>
    <row r="100" spans="1:11">
      <c r="A100">
        <v>10094</v>
      </c>
      <c r="B100">
        <v>113088</v>
      </c>
      <c r="C100">
        <v>6</v>
      </c>
      <c r="D100">
        <v>1</v>
      </c>
      <c r="E100">
        <v>0</v>
      </c>
      <c r="F100" s="12" t="s">
        <v>68</v>
      </c>
      <c r="G100" s="11" t="s">
        <v>28</v>
      </c>
      <c r="I100" s="11" t="s">
        <v>49</v>
      </c>
      <c r="J100" t="s">
        <v>50</v>
      </c>
      <c r="K100" s="11" t="s">
        <v>71</v>
      </c>
    </row>
    <row r="101" spans="1:11">
      <c r="A101">
        <v>10095</v>
      </c>
      <c r="B101">
        <v>113088</v>
      </c>
      <c r="C101">
        <v>6</v>
      </c>
      <c r="D101">
        <v>2</v>
      </c>
      <c r="E101">
        <v>0</v>
      </c>
      <c r="F101" s="12" t="s">
        <v>68</v>
      </c>
      <c r="G101" s="11" t="s">
        <v>28</v>
      </c>
      <c r="I101" s="11" t="s">
        <v>49</v>
      </c>
      <c r="J101" t="s">
        <v>52</v>
      </c>
      <c r="K101"/>
    </row>
    <row r="102" spans="1:11">
      <c r="A102">
        <v>10096</v>
      </c>
      <c r="B102">
        <v>113088</v>
      </c>
      <c r="C102">
        <v>6</v>
      </c>
      <c r="D102">
        <v>3</v>
      </c>
      <c r="E102">
        <v>0</v>
      </c>
      <c r="F102" s="12" t="s">
        <v>68</v>
      </c>
      <c r="G102" s="11" t="s">
        <v>28</v>
      </c>
      <c r="I102" s="11" t="s">
        <v>49</v>
      </c>
      <c r="J102" t="s">
        <v>53</v>
      </c>
      <c r="K102"/>
    </row>
    <row r="103" spans="1:11">
      <c r="A103">
        <v>10097</v>
      </c>
      <c r="B103">
        <v>113088</v>
      </c>
      <c r="C103">
        <v>6</v>
      </c>
      <c r="D103">
        <v>4</v>
      </c>
      <c r="E103">
        <v>0</v>
      </c>
      <c r="F103" s="12" t="s">
        <v>68</v>
      </c>
      <c r="G103" s="11" t="s">
        <v>28</v>
      </c>
      <c r="I103" s="11" t="s">
        <v>49</v>
      </c>
      <c r="J103" t="s">
        <v>54</v>
      </c>
      <c r="K103"/>
    </row>
    <row r="104" spans="1:11">
      <c r="A104">
        <v>10098</v>
      </c>
      <c r="B104">
        <v>113088</v>
      </c>
      <c r="C104">
        <v>6</v>
      </c>
      <c r="D104">
        <v>5</v>
      </c>
      <c r="E104">
        <v>1</v>
      </c>
      <c r="F104" s="12" t="s">
        <v>68</v>
      </c>
      <c r="G104" s="11" t="s">
        <v>28</v>
      </c>
      <c r="I104" s="11" t="s">
        <v>49</v>
      </c>
      <c r="J104" t="s">
        <v>55</v>
      </c>
      <c r="K104"/>
    </row>
    <row r="105" spans="1:11">
      <c r="A105">
        <v>10099</v>
      </c>
      <c r="B105">
        <v>113088</v>
      </c>
      <c r="C105">
        <v>7</v>
      </c>
      <c r="D105">
        <v>1</v>
      </c>
      <c r="E105">
        <v>0</v>
      </c>
      <c r="F105" s="12" t="s">
        <v>72</v>
      </c>
      <c r="G105" s="11" t="s">
        <v>28</v>
      </c>
      <c r="I105" s="11" t="s">
        <v>57</v>
      </c>
      <c r="J105" t="s">
        <v>58</v>
      </c>
      <c r="K105" s="11" t="s">
        <v>73</v>
      </c>
    </row>
    <row r="106" spans="1:10">
      <c r="A106">
        <v>10100</v>
      </c>
      <c r="B106">
        <v>113088</v>
      </c>
      <c r="C106">
        <v>7</v>
      </c>
      <c r="D106">
        <v>2</v>
      </c>
      <c r="E106">
        <v>0</v>
      </c>
      <c r="F106" s="12" t="s">
        <v>72</v>
      </c>
      <c r="G106" s="11" t="s">
        <v>28</v>
      </c>
      <c r="I106" s="11" t="s">
        <v>57</v>
      </c>
      <c r="J106" t="s">
        <v>60</v>
      </c>
    </row>
    <row r="107" spans="1:11">
      <c r="A107">
        <v>10101</v>
      </c>
      <c r="B107">
        <v>113088</v>
      </c>
      <c r="C107">
        <v>7</v>
      </c>
      <c r="D107">
        <v>3</v>
      </c>
      <c r="E107">
        <v>0</v>
      </c>
      <c r="F107" s="12" t="s">
        <v>72</v>
      </c>
      <c r="G107" s="11" t="s">
        <v>28</v>
      </c>
      <c r="I107" s="11" t="s">
        <v>57</v>
      </c>
      <c r="J107" t="s">
        <v>61</v>
      </c>
      <c r="K107"/>
    </row>
    <row r="108" spans="1:11">
      <c r="A108">
        <v>10102</v>
      </c>
      <c r="B108">
        <v>113088</v>
      </c>
      <c r="C108">
        <v>7</v>
      </c>
      <c r="D108">
        <v>4</v>
      </c>
      <c r="E108">
        <v>0</v>
      </c>
      <c r="F108" s="12" t="s">
        <v>72</v>
      </c>
      <c r="G108" s="11" t="s">
        <v>28</v>
      </c>
      <c r="I108" s="11" t="s">
        <v>57</v>
      </c>
      <c r="J108" t="s">
        <v>62</v>
      </c>
      <c r="K108"/>
    </row>
    <row r="109" spans="1:11">
      <c r="A109">
        <v>10103</v>
      </c>
      <c r="B109">
        <v>113088</v>
      </c>
      <c r="C109">
        <v>7</v>
      </c>
      <c r="D109">
        <v>5</v>
      </c>
      <c r="E109">
        <v>1</v>
      </c>
      <c r="F109" s="12" t="s">
        <v>72</v>
      </c>
      <c r="G109" s="11" t="s">
        <v>28</v>
      </c>
      <c r="I109" s="11" t="s">
        <v>57</v>
      </c>
      <c r="J109" t="s">
        <v>63</v>
      </c>
      <c r="K109"/>
    </row>
    <row r="110" spans="1:11">
      <c r="A110">
        <v>10104</v>
      </c>
      <c r="B110">
        <v>113088</v>
      </c>
      <c r="C110">
        <v>8</v>
      </c>
      <c r="D110">
        <v>1</v>
      </c>
      <c r="E110">
        <v>2</v>
      </c>
      <c r="F110" s="12"/>
      <c r="I110" s="11" t="s">
        <v>64</v>
      </c>
      <c r="J110" t="s">
        <v>65</v>
      </c>
      <c r="K110" s="13" t="s">
        <v>74</v>
      </c>
    </row>
    <row r="111" spans="1:11">
      <c r="A111">
        <v>10105</v>
      </c>
      <c r="B111">
        <v>113100</v>
      </c>
      <c r="C111">
        <v>3</v>
      </c>
      <c r="D111">
        <v>1</v>
      </c>
      <c r="E111">
        <v>0</v>
      </c>
      <c r="F111" s="12" t="s">
        <v>75</v>
      </c>
      <c r="G111" s="11" t="s">
        <v>28</v>
      </c>
      <c r="I111" s="11" t="s">
        <v>29</v>
      </c>
      <c r="J111" t="s">
        <v>30</v>
      </c>
      <c r="K111"/>
    </row>
    <row r="112" spans="1:11">
      <c r="A112">
        <v>10106</v>
      </c>
      <c r="B112">
        <v>113100</v>
      </c>
      <c r="C112">
        <v>3</v>
      </c>
      <c r="D112">
        <v>2</v>
      </c>
      <c r="E112">
        <v>0</v>
      </c>
      <c r="F112" s="12" t="s">
        <v>75</v>
      </c>
      <c r="G112" s="11" t="s">
        <v>28</v>
      </c>
      <c r="I112" s="11" t="s">
        <v>29</v>
      </c>
      <c r="J112" t="s">
        <v>31</v>
      </c>
      <c r="K112"/>
    </row>
    <row r="113" spans="1:11">
      <c r="A113">
        <v>10107</v>
      </c>
      <c r="B113">
        <v>113100</v>
      </c>
      <c r="C113">
        <v>3</v>
      </c>
      <c r="D113">
        <v>3</v>
      </c>
      <c r="E113">
        <v>0</v>
      </c>
      <c r="F113" s="12" t="s">
        <v>75</v>
      </c>
      <c r="G113" s="11" t="s">
        <v>28</v>
      </c>
      <c r="I113" s="11" t="s">
        <v>29</v>
      </c>
      <c r="J113" t="s">
        <v>32</v>
      </c>
      <c r="K113"/>
    </row>
    <row r="114" spans="1:11">
      <c r="A114">
        <v>10108</v>
      </c>
      <c r="B114">
        <v>113100</v>
      </c>
      <c r="C114">
        <v>3</v>
      </c>
      <c r="D114">
        <v>4</v>
      </c>
      <c r="E114">
        <v>0</v>
      </c>
      <c r="F114" s="12" t="s">
        <v>75</v>
      </c>
      <c r="G114" s="11" t="s">
        <v>28</v>
      </c>
      <c r="I114" s="11" t="s">
        <v>29</v>
      </c>
      <c r="J114" t="s">
        <v>33</v>
      </c>
      <c r="K114"/>
    </row>
    <row r="115" spans="1:11">
      <c r="A115">
        <v>10109</v>
      </c>
      <c r="B115">
        <v>113100</v>
      </c>
      <c r="C115">
        <v>3</v>
      </c>
      <c r="D115">
        <v>5</v>
      </c>
      <c r="E115">
        <v>1</v>
      </c>
      <c r="F115" s="12" t="s">
        <v>76</v>
      </c>
      <c r="G115" s="11" t="s">
        <v>28</v>
      </c>
      <c r="I115" s="11" t="s">
        <v>29</v>
      </c>
      <c r="J115" t="s">
        <v>35</v>
      </c>
      <c r="K115"/>
    </row>
    <row r="116" spans="1:11">
      <c r="A116">
        <v>10110</v>
      </c>
      <c r="B116">
        <v>113100</v>
      </c>
      <c r="C116">
        <v>4</v>
      </c>
      <c r="D116">
        <v>1</v>
      </c>
      <c r="E116">
        <v>0</v>
      </c>
      <c r="F116" s="12" t="s">
        <v>77</v>
      </c>
      <c r="G116" s="11" t="s">
        <v>28</v>
      </c>
      <c r="I116" s="11" t="s">
        <v>37</v>
      </c>
      <c r="J116" t="s">
        <v>38</v>
      </c>
      <c r="K116"/>
    </row>
    <row r="117" spans="1:11">
      <c r="A117">
        <v>10111</v>
      </c>
      <c r="B117">
        <v>113100</v>
      </c>
      <c r="C117">
        <v>4</v>
      </c>
      <c r="D117">
        <v>2</v>
      </c>
      <c r="E117">
        <v>0</v>
      </c>
      <c r="F117" s="12" t="s">
        <v>77</v>
      </c>
      <c r="G117" s="11" t="s">
        <v>28</v>
      </c>
      <c r="I117" s="11" t="s">
        <v>37</v>
      </c>
      <c r="J117" t="s">
        <v>39</v>
      </c>
      <c r="K117"/>
    </row>
    <row r="118" spans="1:11">
      <c r="A118">
        <v>10112</v>
      </c>
      <c r="B118">
        <v>113100</v>
      </c>
      <c r="C118">
        <v>4</v>
      </c>
      <c r="D118">
        <v>3</v>
      </c>
      <c r="E118">
        <v>0</v>
      </c>
      <c r="F118" s="12" t="s">
        <v>77</v>
      </c>
      <c r="G118" s="11" t="s">
        <v>28</v>
      </c>
      <c r="I118" s="11" t="s">
        <v>37</v>
      </c>
      <c r="J118" t="s">
        <v>40</v>
      </c>
      <c r="K118"/>
    </row>
    <row r="119" spans="1:11">
      <c r="A119">
        <v>10113</v>
      </c>
      <c r="B119">
        <v>113100</v>
      </c>
      <c r="C119">
        <v>4</v>
      </c>
      <c r="D119">
        <v>4</v>
      </c>
      <c r="E119">
        <v>0</v>
      </c>
      <c r="F119" s="12" t="s">
        <v>77</v>
      </c>
      <c r="G119" s="11" t="s">
        <v>28</v>
      </c>
      <c r="I119" s="11" t="s">
        <v>37</v>
      </c>
      <c r="J119" t="s">
        <v>41</v>
      </c>
      <c r="K119"/>
    </row>
    <row r="120" spans="1:11">
      <c r="A120">
        <v>10114</v>
      </c>
      <c r="B120">
        <v>113100</v>
      </c>
      <c r="C120">
        <v>4</v>
      </c>
      <c r="D120">
        <v>5</v>
      </c>
      <c r="E120">
        <v>1</v>
      </c>
      <c r="F120" s="12" t="s">
        <v>76</v>
      </c>
      <c r="G120" s="11" t="s">
        <v>28</v>
      </c>
      <c r="I120" s="11" t="s">
        <v>37</v>
      </c>
      <c r="J120" t="s">
        <v>42</v>
      </c>
      <c r="K120"/>
    </row>
    <row r="121" spans="1:11">
      <c r="A121">
        <v>10115</v>
      </c>
      <c r="B121">
        <v>113100</v>
      </c>
      <c r="C121">
        <v>5</v>
      </c>
      <c r="D121">
        <v>1</v>
      </c>
      <c r="E121">
        <v>0</v>
      </c>
      <c r="F121" s="12" t="s">
        <v>76</v>
      </c>
      <c r="G121" s="11" t="s">
        <v>28</v>
      </c>
      <c r="I121" s="11" t="s">
        <v>43</v>
      </c>
      <c r="J121" t="s">
        <v>44</v>
      </c>
      <c r="K121" s="11" t="s">
        <v>78</v>
      </c>
    </row>
    <row r="122" spans="1:11">
      <c r="A122">
        <v>10116</v>
      </c>
      <c r="B122">
        <v>113100</v>
      </c>
      <c r="C122">
        <v>5</v>
      </c>
      <c r="D122">
        <v>2</v>
      </c>
      <c r="E122">
        <v>0</v>
      </c>
      <c r="F122" s="12" t="s">
        <v>76</v>
      </c>
      <c r="G122" s="11" t="s">
        <v>28</v>
      </c>
      <c r="I122" s="11" t="s">
        <v>43</v>
      </c>
      <c r="J122" t="s">
        <v>45</v>
      </c>
      <c r="K122"/>
    </row>
    <row r="123" spans="1:11">
      <c r="A123">
        <v>10117</v>
      </c>
      <c r="B123">
        <v>113100</v>
      </c>
      <c r="C123">
        <v>5</v>
      </c>
      <c r="D123">
        <v>3</v>
      </c>
      <c r="E123">
        <v>0</v>
      </c>
      <c r="F123" s="12" t="s">
        <v>76</v>
      </c>
      <c r="G123" s="11" t="s">
        <v>28</v>
      </c>
      <c r="I123" s="11" t="s">
        <v>43</v>
      </c>
      <c r="J123" t="s">
        <v>46</v>
      </c>
      <c r="K123"/>
    </row>
    <row r="124" spans="1:11">
      <c r="A124">
        <v>10118</v>
      </c>
      <c r="B124">
        <v>113100</v>
      </c>
      <c r="C124">
        <v>5</v>
      </c>
      <c r="D124">
        <v>4</v>
      </c>
      <c r="E124">
        <v>0</v>
      </c>
      <c r="F124" s="12" t="s">
        <v>76</v>
      </c>
      <c r="G124" s="11" t="s">
        <v>28</v>
      </c>
      <c r="I124" s="11" t="s">
        <v>43</v>
      </c>
      <c r="J124" t="s">
        <v>47</v>
      </c>
      <c r="K124"/>
    </row>
    <row r="125" spans="1:11">
      <c r="A125">
        <v>10119</v>
      </c>
      <c r="B125">
        <v>113100</v>
      </c>
      <c r="C125">
        <v>5</v>
      </c>
      <c r="D125">
        <v>5</v>
      </c>
      <c r="E125">
        <v>1</v>
      </c>
      <c r="F125" s="12" t="s">
        <v>76</v>
      </c>
      <c r="G125" s="11" t="s">
        <v>28</v>
      </c>
      <c r="I125" s="11" t="s">
        <v>43</v>
      </c>
      <c r="J125" t="s">
        <v>48</v>
      </c>
      <c r="K125"/>
    </row>
    <row r="126" spans="1:11">
      <c r="A126">
        <v>10120</v>
      </c>
      <c r="B126">
        <v>113100</v>
      </c>
      <c r="C126">
        <v>6</v>
      </c>
      <c r="D126">
        <v>1</v>
      </c>
      <c r="E126">
        <v>0</v>
      </c>
      <c r="F126" s="12" t="s">
        <v>76</v>
      </c>
      <c r="G126" s="11" t="s">
        <v>28</v>
      </c>
      <c r="I126" s="11" t="s">
        <v>49</v>
      </c>
      <c r="J126" t="s">
        <v>50</v>
      </c>
      <c r="K126" s="11" t="s">
        <v>79</v>
      </c>
    </row>
    <row r="127" spans="1:11">
      <c r="A127">
        <v>10121</v>
      </c>
      <c r="B127">
        <v>113100</v>
      </c>
      <c r="C127">
        <v>6</v>
      </c>
      <c r="D127">
        <v>2</v>
      </c>
      <c r="E127">
        <v>0</v>
      </c>
      <c r="F127" s="12" t="s">
        <v>76</v>
      </c>
      <c r="G127" s="11" t="s">
        <v>28</v>
      </c>
      <c r="I127" s="11" t="s">
        <v>49</v>
      </c>
      <c r="J127" t="s">
        <v>52</v>
      </c>
      <c r="K127"/>
    </row>
    <row r="128" spans="1:11">
      <c r="A128">
        <v>10122</v>
      </c>
      <c r="B128">
        <v>113100</v>
      </c>
      <c r="C128">
        <v>6</v>
      </c>
      <c r="D128">
        <v>3</v>
      </c>
      <c r="E128">
        <v>0</v>
      </c>
      <c r="F128" s="12" t="s">
        <v>76</v>
      </c>
      <c r="G128" s="11" t="s">
        <v>28</v>
      </c>
      <c r="I128" s="11" t="s">
        <v>49</v>
      </c>
      <c r="J128" t="s">
        <v>53</v>
      </c>
      <c r="K128"/>
    </row>
    <row r="129" spans="1:11">
      <c r="A129">
        <v>10123</v>
      </c>
      <c r="B129">
        <v>113100</v>
      </c>
      <c r="C129">
        <v>6</v>
      </c>
      <c r="D129">
        <v>4</v>
      </c>
      <c r="E129">
        <v>0</v>
      </c>
      <c r="F129" s="12" t="s">
        <v>76</v>
      </c>
      <c r="G129" s="11" t="s">
        <v>28</v>
      </c>
      <c r="I129" s="11" t="s">
        <v>49</v>
      </c>
      <c r="J129" t="s">
        <v>54</v>
      </c>
      <c r="K129"/>
    </row>
    <row r="130" spans="1:11">
      <c r="A130">
        <v>10124</v>
      </c>
      <c r="B130">
        <v>113100</v>
      </c>
      <c r="C130">
        <v>6</v>
      </c>
      <c r="D130">
        <v>5</v>
      </c>
      <c r="E130">
        <v>1</v>
      </c>
      <c r="F130" s="12" t="s">
        <v>76</v>
      </c>
      <c r="G130" s="11" t="s">
        <v>28</v>
      </c>
      <c r="I130" s="11" t="s">
        <v>49</v>
      </c>
      <c r="J130" t="s">
        <v>55</v>
      </c>
      <c r="K130"/>
    </row>
    <row r="131" spans="1:11">
      <c r="A131">
        <v>10125</v>
      </c>
      <c r="B131">
        <v>113100</v>
      </c>
      <c r="C131">
        <v>7</v>
      </c>
      <c r="D131">
        <v>1</v>
      </c>
      <c r="E131">
        <v>0</v>
      </c>
      <c r="F131" s="12" t="s">
        <v>80</v>
      </c>
      <c r="G131" s="11" t="s">
        <v>28</v>
      </c>
      <c r="I131" s="11" t="s">
        <v>57</v>
      </c>
      <c r="J131" t="s">
        <v>58</v>
      </c>
      <c r="K131" s="11" t="s">
        <v>81</v>
      </c>
    </row>
    <row r="132" spans="1:10">
      <c r="A132">
        <v>10126</v>
      </c>
      <c r="B132">
        <v>113100</v>
      </c>
      <c r="C132">
        <v>7</v>
      </c>
      <c r="D132">
        <v>2</v>
      </c>
      <c r="E132">
        <v>0</v>
      </c>
      <c r="F132" s="12" t="s">
        <v>80</v>
      </c>
      <c r="G132" s="11" t="s">
        <v>28</v>
      </c>
      <c r="I132" s="11" t="s">
        <v>57</v>
      </c>
      <c r="J132" t="s">
        <v>60</v>
      </c>
    </row>
    <row r="133" spans="1:11">
      <c r="A133">
        <v>10127</v>
      </c>
      <c r="B133">
        <v>113100</v>
      </c>
      <c r="C133">
        <v>7</v>
      </c>
      <c r="D133">
        <v>3</v>
      </c>
      <c r="E133">
        <v>0</v>
      </c>
      <c r="F133" s="12" t="s">
        <v>80</v>
      </c>
      <c r="G133" s="11" t="s">
        <v>28</v>
      </c>
      <c r="I133" s="11" t="s">
        <v>57</v>
      </c>
      <c r="J133" t="s">
        <v>61</v>
      </c>
      <c r="K133"/>
    </row>
    <row r="134" spans="1:11">
      <c r="A134">
        <v>10128</v>
      </c>
      <c r="B134">
        <v>113100</v>
      </c>
      <c r="C134">
        <v>7</v>
      </c>
      <c r="D134">
        <v>4</v>
      </c>
      <c r="E134">
        <v>0</v>
      </c>
      <c r="F134" s="12" t="s">
        <v>80</v>
      </c>
      <c r="G134" s="11" t="s">
        <v>28</v>
      </c>
      <c r="I134" s="11" t="s">
        <v>57</v>
      </c>
      <c r="J134" t="s">
        <v>62</v>
      </c>
      <c r="K134"/>
    </row>
    <row r="135" spans="1:11">
      <c r="A135">
        <v>10129</v>
      </c>
      <c r="B135">
        <v>113100</v>
      </c>
      <c r="C135">
        <v>7</v>
      </c>
      <c r="D135">
        <v>5</v>
      </c>
      <c r="E135">
        <v>1</v>
      </c>
      <c r="F135" s="12" t="s">
        <v>80</v>
      </c>
      <c r="G135" s="11" t="s">
        <v>28</v>
      </c>
      <c r="I135" s="11" t="s">
        <v>57</v>
      </c>
      <c r="J135" t="s">
        <v>63</v>
      </c>
      <c r="K135"/>
    </row>
    <row r="136" spans="1:11">
      <c r="A136">
        <v>10130</v>
      </c>
      <c r="B136">
        <v>113100</v>
      </c>
      <c r="C136">
        <v>8</v>
      </c>
      <c r="D136">
        <v>1</v>
      </c>
      <c r="E136">
        <v>2</v>
      </c>
      <c r="F136" s="12"/>
      <c r="I136" s="11" t="s">
        <v>64</v>
      </c>
      <c r="J136" t="s">
        <v>65</v>
      </c>
      <c r="K136" s="13" t="s">
        <v>82</v>
      </c>
    </row>
    <row r="137" spans="1:11">
      <c r="A137">
        <v>10131</v>
      </c>
      <c r="B137">
        <v>113110</v>
      </c>
      <c r="C137">
        <v>3</v>
      </c>
      <c r="D137">
        <v>1</v>
      </c>
      <c r="E137">
        <v>0</v>
      </c>
      <c r="F137" s="12" t="s">
        <v>83</v>
      </c>
      <c r="G137" s="11" t="s">
        <v>28</v>
      </c>
      <c r="I137" s="11" t="s">
        <v>29</v>
      </c>
      <c r="J137" t="s">
        <v>30</v>
      </c>
      <c r="K137"/>
    </row>
    <row r="138" spans="1:11">
      <c r="A138">
        <v>10132</v>
      </c>
      <c r="B138">
        <v>113110</v>
      </c>
      <c r="C138">
        <v>3</v>
      </c>
      <c r="D138">
        <v>2</v>
      </c>
      <c r="E138">
        <v>0</v>
      </c>
      <c r="F138" s="12" t="s">
        <v>83</v>
      </c>
      <c r="G138" s="11" t="s">
        <v>28</v>
      </c>
      <c r="I138" s="11" t="s">
        <v>29</v>
      </c>
      <c r="J138" t="s">
        <v>31</v>
      </c>
      <c r="K138"/>
    </row>
    <row r="139" spans="1:11">
      <c r="A139">
        <v>10133</v>
      </c>
      <c r="B139">
        <v>113110</v>
      </c>
      <c r="C139">
        <v>3</v>
      </c>
      <c r="D139">
        <v>3</v>
      </c>
      <c r="E139">
        <v>0</v>
      </c>
      <c r="F139" s="12" t="s">
        <v>83</v>
      </c>
      <c r="G139" s="11" t="s">
        <v>28</v>
      </c>
      <c r="I139" s="11" t="s">
        <v>29</v>
      </c>
      <c r="J139" t="s">
        <v>32</v>
      </c>
      <c r="K139"/>
    </row>
    <row r="140" spans="1:11">
      <c r="A140">
        <v>10134</v>
      </c>
      <c r="B140">
        <v>113110</v>
      </c>
      <c r="C140">
        <v>3</v>
      </c>
      <c r="D140">
        <v>4</v>
      </c>
      <c r="E140">
        <v>0</v>
      </c>
      <c r="F140" s="12" t="s">
        <v>83</v>
      </c>
      <c r="G140" s="11" t="s">
        <v>28</v>
      </c>
      <c r="I140" s="11" t="s">
        <v>29</v>
      </c>
      <c r="J140" t="s">
        <v>33</v>
      </c>
      <c r="K140"/>
    </row>
    <row r="141" spans="1:11">
      <c r="A141">
        <v>10135</v>
      </c>
      <c r="B141">
        <v>113110</v>
      </c>
      <c r="C141">
        <v>3</v>
      </c>
      <c r="D141">
        <v>5</v>
      </c>
      <c r="E141">
        <v>1</v>
      </c>
      <c r="F141" s="12" t="s">
        <v>84</v>
      </c>
      <c r="G141" s="11" t="s">
        <v>28</v>
      </c>
      <c r="I141" s="11" t="s">
        <v>29</v>
      </c>
      <c r="J141" t="s">
        <v>35</v>
      </c>
      <c r="K141"/>
    </row>
    <row r="142" spans="1:11">
      <c r="A142">
        <v>10136</v>
      </c>
      <c r="B142">
        <v>113110</v>
      </c>
      <c r="C142">
        <v>4</v>
      </c>
      <c r="D142">
        <v>1</v>
      </c>
      <c r="E142">
        <v>0</v>
      </c>
      <c r="F142" s="12" t="s">
        <v>85</v>
      </c>
      <c r="G142" s="11" t="s">
        <v>28</v>
      </c>
      <c r="I142" s="11" t="s">
        <v>37</v>
      </c>
      <c r="J142" t="s">
        <v>38</v>
      </c>
      <c r="K142"/>
    </row>
    <row r="143" spans="1:11">
      <c r="A143">
        <v>10137</v>
      </c>
      <c r="B143">
        <v>113110</v>
      </c>
      <c r="C143">
        <v>4</v>
      </c>
      <c r="D143">
        <v>2</v>
      </c>
      <c r="E143">
        <v>0</v>
      </c>
      <c r="F143" s="12" t="s">
        <v>85</v>
      </c>
      <c r="G143" s="11" t="s">
        <v>28</v>
      </c>
      <c r="I143" s="11" t="s">
        <v>37</v>
      </c>
      <c r="J143" t="s">
        <v>39</v>
      </c>
      <c r="K143"/>
    </row>
    <row r="144" spans="1:11">
      <c r="A144">
        <v>10138</v>
      </c>
      <c r="B144">
        <v>113110</v>
      </c>
      <c r="C144">
        <v>4</v>
      </c>
      <c r="D144">
        <v>3</v>
      </c>
      <c r="E144">
        <v>0</v>
      </c>
      <c r="F144" s="12" t="s">
        <v>85</v>
      </c>
      <c r="G144" s="11" t="s">
        <v>28</v>
      </c>
      <c r="I144" s="11" t="s">
        <v>37</v>
      </c>
      <c r="J144" t="s">
        <v>40</v>
      </c>
      <c r="K144"/>
    </row>
    <row r="145" spans="1:11">
      <c r="A145">
        <v>10139</v>
      </c>
      <c r="B145">
        <v>113110</v>
      </c>
      <c r="C145">
        <v>4</v>
      </c>
      <c r="D145">
        <v>4</v>
      </c>
      <c r="E145">
        <v>0</v>
      </c>
      <c r="F145" s="12" t="s">
        <v>85</v>
      </c>
      <c r="G145" s="11" t="s">
        <v>28</v>
      </c>
      <c r="I145" s="11" t="s">
        <v>37</v>
      </c>
      <c r="J145" t="s">
        <v>41</v>
      </c>
      <c r="K145"/>
    </row>
    <row r="146" spans="1:11">
      <c r="A146">
        <v>10140</v>
      </c>
      <c r="B146">
        <v>113110</v>
      </c>
      <c r="C146">
        <v>4</v>
      </c>
      <c r="D146">
        <v>5</v>
      </c>
      <c r="E146">
        <v>1</v>
      </c>
      <c r="F146" s="12" t="s">
        <v>84</v>
      </c>
      <c r="G146" s="11" t="s">
        <v>28</v>
      </c>
      <c r="I146" s="11" t="s">
        <v>37</v>
      </c>
      <c r="J146" t="s">
        <v>42</v>
      </c>
      <c r="K146"/>
    </row>
    <row r="147" spans="1:11">
      <c r="A147">
        <v>10141</v>
      </c>
      <c r="B147">
        <v>113110</v>
      </c>
      <c r="C147">
        <v>5</v>
      </c>
      <c r="D147">
        <v>1</v>
      </c>
      <c r="E147">
        <v>0</v>
      </c>
      <c r="F147" s="12" t="s">
        <v>84</v>
      </c>
      <c r="G147" s="11" t="s">
        <v>28</v>
      </c>
      <c r="I147" s="11" t="s">
        <v>43</v>
      </c>
      <c r="J147" t="s">
        <v>44</v>
      </c>
      <c r="K147" s="11" t="s">
        <v>86</v>
      </c>
    </row>
    <row r="148" spans="1:11">
      <c r="A148">
        <v>10142</v>
      </c>
      <c r="B148">
        <v>113110</v>
      </c>
      <c r="C148">
        <v>5</v>
      </c>
      <c r="D148">
        <v>2</v>
      </c>
      <c r="E148">
        <v>0</v>
      </c>
      <c r="F148" s="12" t="s">
        <v>84</v>
      </c>
      <c r="G148" s="11" t="s">
        <v>28</v>
      </c>
      <c r="I148" s="11" t="s">
        <v>43</v>
      </c>
      <c r="J148" t="s">
        <v>45</v>
      </c>
      <c r="K148"/>
    </row>
    <row r="149" spans="1:11">
      <c r="A149">
        <v>10143</v>
      </c>
      <c r="B149">
        <v>113110</v>
      </c>
      <c r="C149">
        <v>5</v>
      </c>
      <c r="D149">
        <v>3</v>
      </c>
      <c r="E149">
        <v>0</v>
      </c>
      <c r="F149" s="12" t="s">
        <v>84</v>
      </c>
      <c r="G149" s="11" t="s">
        <v>28</v>
      </c>
      <c r="I149" s="11" t="s">
        <v>43</v>
      </c>
      <c r="J149" t="s">
        <v>46</v>
      </c>
      <c r="K149"/>
    </row>
    <row r="150" spans="1:11">
      <c r="A150">
        <v>10144</v>
      </c>
      <c r="B150">
        <v>113110</v>
      </c>
      <c r="C150">
        <v>5</v>
      </c>
      <c r="D150">
        <v>4</v>
      </c>
      <c r="E150">
        <v>0</v>
      </c>
      <c r="F150" s="12" t="s">
        <v>84</v>
      </c>
      <c r="G150" s="11" t="s">
        <v>28</v>
      </c>
      <c r="I150" s="11" t="s">
        <v>43</v>
      </c>
      <c r="J150" t="s">
        <v>47</v>
      </c>
      <c r="K150"/>
    </row>
    <row r="151" spans="1:11">
      <c r="A151">
        <v>10145</v>
      </c>
      <c r="B151">
        <v>113110</v>
      </c>
      <c r="C151">
        <v>5</v>
      </c>
      <c r="D151">
        <v>5</v>
      </c>
      <c r="E151">
        <v>1</v>
      </c>
      <c r="F151" s="12" t="s">
        <v>84</v>
      </c>
      <c r="G151" s="11" t="s">
        <v>28</v>
      </c>
      <c r="I151" s="11" t="s">
        <v>43</v>
      </c>
      <c r="J151" t="s">
        <v>48</v>
      </c>
      <c r="K151"/>
    </row>
    <row r="152" spans="1:11">
      <c r="A152">
        <v>10146</v>
      </c>
      <c r="B152">
        <v>113110</v>
      </c>
      <c r="C152">
        <v>6</v>
      </c>
      <c r="D152">
        <v>1</v>
      </c>
      <c r="E152">
        <v>0</v>
      </c>
      <c r="F152" s="12" t="s">
        <v>84</v>
      </c>
      <c r="G152" s="11" t="s">
        <v>28</v>
      </c>
      <c r="I152" s="11" t="s">
        <v>49</v>
      </c>
      <c r="J152" t="s">
        <v>50</v>
      </c>
      <c r="K152" s="11" t="s">
        <v>87</v>
      </c>
    </row>
    <row r="153" spans="1:11">
      <c r="A153">
        <v>10147</v>
      </c>
      <c r="B153">
        <v>113110</v>
      </c>
      <c r="C153">
        <v>6</v>
      </c>
      <c r="D153">
        <v>2</v>
      </c>
      <c r="E153">
        <v>0</v>
      </c>
      <c r="F153" s="12" t="s">
        <v>84</v>
      </c>
      <c r="G153" s="11" t="s">
        <v>28</v>
      </c>
      <c r="I153" s="11" t="s">
        <v>49</v>
      </c>
      <c r="J153" t="s">
        <v>52</v>
      </c>
      <c r="K153"/>
    </row>
    <row r="154" spans="1:11">
      <c r="A154">
        <v>10148</v>
      </c>
      <c r="B154">
        <v>113110</v>
      </c>
      <c r="C154">
        <v>6</v>
      </c>
      <c r="D154">
        <v>3</v>
      </c>
      <c r="E154">
        <v>0</v>
      </c>
      <c r="F154" s="12" t="s">
        <v>84</v>
      </c>
      <c r="G154" s="11" t="s">
        <v>28</v>
      </c>
      <c r="I154" s="11" t="s">
        <v>49</v>
      </c>
      <c r="J154" t="s">
        <v>53</v>
      </c>
      <c r="K154"/>
    </row>
    <row r="155" spans="1:11">
      <c r="A155">
        <v>10149</v>
      </c>
      <c r="B155">
        <v>113110</v>
      </c>
      <c r="C155">
        <v>6</v>
      </c>
      <c r="D155">
        <v>4</v>
      </c>
      <c r="E155">
        <v>0</v>
      </c>
      <c r="F155" s="12" t="s">
        <v>84</v>
      </c>
      <c r="G155" s="11" t="s">
        <v>28</v>
      </c>
      <c r="I155" s="11" t="s">
        <v>49</v>
      </c>
      <c r="J155" t="s">
        <v>54</v>
      </c>
      <c r="K155"/>
    </row>
    <row r="156" spans="1:11">
      <c r="A156">
        <v>10150</v>
      </c>
      <c r="B156">
        <v>113110</v>
      </c>
      <c r="C156">
        <v>6</v>
      </c>
      <c r="D156">
        <v>5</v>
      </c>
      <c r="E156">
        <v>1</v>
      </c>
      <c r="F156" s="12" t="s">
        <v>84</v>
      </c>
      <c r="G156" s="11" t="s">
        <v>28</v>
      </c>
      <c r="I156" s="11" t="s">
        <v>49</v>
      </c>
      <c r="J156" t="s">
        <v>55</v>
      </c>
      <c r="K156"/>
    </row>
    <row r="157" spans="1:11">
      <c r="A157">
        <v>10151</v>
      </c>
      <c r="B157">
        <v>113110</v>
      </c>
      <c r="C157">
        <v>7</v>
      </c>
      <c r="D157">
        <v>1</v>
      </c>
      <c r="E157">
        <v>0</v>
      </c>
      <c r="F157" s="12" t="s">
        <v>88</v>
      </c>
      <c r="G157" s="11" t="s">
        <v>28</v>
      </c>
      <c r="I157" s="11" t="s">
        <v>57</v>
      </c>
      <c r="J157" t="s">
        <v>58</v>
      </c>
      <c r="K157" s="11" t="s">
        <v>89</v>
      </c>
    </row>
    <row r="158" spans="1:10">
      <c r="A158">
        <v>10152</v>
      </c>
      <c r="B158">
        <v>113110</v>
      </c>
      <c r="C158">
        <v>7</v>
      </c>
      <c r="D158">
        <v>2</v>
      </c>
      <c r="E158">
        <v>0</v>
      </c>
      <c r="F158" s="12" t="s">
        <v>88</v>
      </c>
      <c r="G158" s="11" t="s">
        <v>28</v>
      </c>
      <c r="I158" s="11" t="s">
        <v>57</v>
      </c>
      <c r="J158" t="s">
        <v>60</v>
      </c>
    </row>
    <row r="159" spans="1:11">
      <c r="A159">
        <v>10153</v>
      </c>
      <c r="B159">
        <v>113110</v>
      </c>
      <c r="C159">
        <v>7</v>
      </c>
      <c r="D159">
        <v>3</v>
      </c>
      <c r="E159">
        <v>0</v>
      </c>
      <c r="F159" s="12" t="s">
        <v>88</v>
      </c>
      <c r="G159" s="11" t="s">
        <v>28</v>
      </c>
      <c r="I159" s="11" t="s">
        <v>57</v>
      </c>
      <c r="J159" t="s">
        <v>61</v>
      </c>
      <c r="K159"/>
    </row>
    <row r="160" spans="1:11">
      <c r="A160">
        <v>10154</v>
      </c>
      <c r="B160">
        <v>113110</v>
      </c>
      <c r="C160">
        <v>7</v>
      </c>
      <c r="D160">
        <v>4</v>
      </c>
      <c r="E160">
        <v>0</v>
      </c>
      <c r="F160" s="12" t="s">
        <v>88</v>
      </c>
      <c r="G160" s="11" t="s">
        <v>28</v>
      </c>
      <c r="I160" s="11" t="s">
        <v>57</v>
      </c>
      <c r="J160" t="s">
        <v>62</v>
      </c>
      <c r="K160"/>
    </row>
    <row r="161" spans="1:11">
      <c r="A161">
        <v>10155</v>
      </c>
      <c r="B161">
        <v>113110</v>
      </c>
      <c r="C161">
        <v>7</v>
      </c>
      <c r="D161">
        <v>5</v>
      </c>
      <c r="E161">
        <v>1</v>
      </c>
      <c r="F161" s="12" t="s">
        <v>88</v>
      </c>
      <c r="G161" s="11" t="s">
        <v>28</v>
      </c>
      <c r="I161" s="11" t="s">
        <v>57</v>
      </c>
      <c r="J161" t="s">
        <v>63</v>
      </c>
      <c r="K161"/>
    </row>
    <row r="162" spans="1:11">
      <c r="A162">
        <v>10156</v>
      </c>
      <c r="B162">
        <v>113110</v>
      </c>
      <c r="C162">
        <v>8</v>
      </c>
      <c r="D162">
        <v>1</v>
      </c>
      <c r="E162">
        <v>2</v>
      </c>
      <c r="F162" s="12"/>
      <c r="I162" s="11" t="s">
        <v>64</v>
      </c>
      <c r="J162" t="s">
        <v>65</v>
      </c>
      <c r="K162" s="13" t="s">
        <v>90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"/>
  <sheetViews>
    <sheetView workbookViewId="0">
      <selection activeCell="E2" sqref="E2:E26"/>
    </sheetView>
  </sheetViews>
  <sheetFormatPr defaultColWidth="9" defaultRowHeight="13.5"/>
  <cols>
    <col min="3" max="3" width="7.375" customWidth="1"/>
    <col min="4" max="4" width="5.125" customWidth="1"/>
    <col min="5" max="5" width="16" customWidth="1"/>
    <col min="11" max="11" width="12.625" customWidth="1"/>
    <col min="28" max="28" width="12.875" customWidth="1"/>
    <col min="32" max="32" width="20.375" customWidth="1"/>
    <col min="33" max="33" width="22.625" customWidth="1"/>
  </cols>
  <sheetData>
    <row r="1" spans="1:33">
      <c r="A1" t="s">
        <v>2</v>
      </c>
      <c r="B1" t="s">
        <v>3</v>
      </c>
      <c r="C1" t="s">
        <v>91</v>
      </c>
      <c r="D1" t="s">
        <v>92</v>
      </c>
      <c r="G1" t="s">
        <v>93</v>
      </c>
      <c r="H1" t="s">
        <v>94</v>
      </c>
      <c r="I1" t="s">
        <v>95</v>
      </c>
      <c r="J1" t="s">
        <v>96</v>
      </c>
      <c r="N1" s="2" t="s">
        <v>2</v>
      </c>
      <c r="O1" s="3" t="s">
        <v>94</v>
      </c>
      <c r="P1" s="3" t="s">
        <v>95</v>
      </c>
      <c r="Q1" s="3" t="s">
        <v>96</v>
      </c>
      <c r="R1" s="7"/>
      <c r="U1" t="s">
        <v>97</v>
      </c>
      <c r="V1" s="2" t="s">
        <v>98</v>
      </c>
      <c r="W1" s="3" t="s">
        <v>94</v>
      </c>
      <c r="X1" s="3" t="s">
        <v>95</v>
      </c>
      <c r="Y1" s="7" t="s">
        <v>96</v>
      </c>
      <c r="Z1" t="s">
        <v>2</v>
      </c>
      <c r="AA1" t="s">
        <v>3</v>
      </c>
      <c r="AB1" t="s">
        <v>99</v>
      </c>
      <c r="AC1" t="s">
        <v>94</v>
      </c>
      <c r="AD1" t="s">
        <v>95</v>
      </c>
      <c r="AE1" t="s">
        <v>96</v>
      </c>
      <c r="AF1" t="s">
        <v>100</v>
      </c>
      <c r="AG1" t="s">
        <v>101</v>
      </c>
    </row>
    <row r="2" spans="1:33">
      <c r="A2">
        <v>3</v>
      </c>
      <c r="B2">
        <v>1</v>
      </c>
      <c r="C2">
        <v>640001</v>
      </c>
      <c r="D2">
        <v>10</v>
      </c>
      <c r="E2" s="1" t="str">
        <f>1001&amp;","&amp;C2&amp;","&amp;D2</f>
        <v>1001,640001,10</v>
      </c>
      <c r="G2">
        <v>1</v>
      </c>
      <c r="H2">
        <v>0</v>
      </c>
      <c r="I2">
        <v>0</v>
      </c>
      <c r="J2">
        <v>0</v>
      </c>
      <c r="K2" t="str">
        <f>1&amp;","&amp;H2&amp;";"&amp;2&amp;","&amp;I2&amp;";"&amp;3&amp;","&amp;J2</f>
        <v>1,0;2,0;3,0</v>
      </c>
      <c r="N2" s="4">
        <v>3</v>
      </c>
      <c r="O2">
        <v>12</v>
      </c>
      <c r="P2">
        <v>96</v>
      </c>
      <c r="Q2">
        <v>4.8</v>
      </c>
      <c r="R2" s="8" t="str">
        <f t="shared" ref="R2:R7" si="0">1&amp;","&amp;O2&amp;";"&amp;2&amp;","&amp;P2&amp;";"&amp;3&amp;","&amp;Q2</f>
        <v>1,12;2,96;3,4.8</v>
      </c>
      <c r="V2" s="4">
        <v>1</v>
      </c>
      <c r="W2">
        <v>0.01</v>
      </c>
      <c r="Y2" s="8"/>
      <c r="Z2">
        <v>3</v>
      </c>
      <c r="AA2">
        <v>1</v>
      </c>
      <c r="AB2">
        <f t="array" ref="AB2">IF(Z2=MAX(Z$2:Z$27),2,IF(AA2=MAX(IF(Z$2:Z$27=Z2,AA$2:AA$27)),1,0))</f>
        <v>0</v>
      </c>
      <c r="AC2">
        <v>0</v>
      </c>
      <c r="AD2">
        <v>0</v>
      </c>
      <c r="AE2">
        <v>0</v>
      </c>
      <c r="AF2" s="1" t="str">
        <f>VLOOKUP(Z2,$N$1:$R$7,5,FALSE)</f>
        <v>1,12;2,96;3,4.8</v>
      </c>
      <c r="AG2" s="1" t="str">
        <f>1&amp;","&amp;AC2&amp;";"&amp;2&amp;","&amp;AD2&amp;";"&amp;3&amp;","&amp;AE2</f>
        <v>1,0;2,0;3,0</v>
      </c>
    </row>
    <row r="3" spans="1:33">
      <c r="A3">
        <v>3</v>
      </c>
      <c r="B3">
        <v>2</v>
      </c>
      <c r="C3">
        <v>640001</v>
      </c>
      <c r="D3">
        <v>10</v>
      </c>
      <c r="E3" s="1" t="str">
        <f t="shared" ref="E3:E26" si="1">1001&amp;","&amp;C3&amp;","&amp;D3</f>
        <v>1001,640001,10</v>
      </c>
      <c r="G3">
        <v>2</v>
      </c>
      <c r="H3">
        <v>20</v>
      </c>
      <c r="I3">
        <v>50</v>
      </c>
      <c r="J3">
        <v>10</v>
      </c>
      <c r="K3" t="str">
        <f t="shared" ref="K3:K30" si="2">1&amp;","&amp;H3&amp;";"&amp;2&amp;","&amp;I3&amp;";"&amp;3&amp;","&amp;J3</f>
        <v>1,20;2,50;3,10</v>
      </c>
      <c r="N3" s="4">
        <v>4</v>
      </c>
      <c r="O3">
        <v>13.5</v>
      </c>
      <c r="P3">
        <v>108</v>
      </c>
      <c r="Q3">
        <v>5.4</v>
      </c>
      <c r="R3" s="8" t="str">
        <f t="shared" si="0"/>
        <v>1,13.5;2,108;3,5.4</v>
      </c>
      <c r="V3" s="4">
        <v>2</v>
      </c>
      <c r="X3">
        <v>0.01</v>
      </c>
      <c r="Y3" s="8">
        <v>0.01</v>
      </c>
      <c r="Z3">
        <v>3</v>
      </c>
      <c r="AA3">
        <v>2</v>
      </c>
      <c r="AB3">
        <f t="array" ref="AB3">IF(Z3=MAX(Z$2:Z$27),2,IF(AA3=MAX(IF(Z$2:Z$27=Z3,AA$2:AA$27)),1,0))</f>
        <v>0</v>
      </c>
      <c r="AC3" s="10">
        <f>AC2+W$2</f>
        <v>0.01</v>
      </c>
      <c r="AD3" s="10">
        <f>AD2+X$2</f>
        <v>0</v>
      </c>
      <c r="AE3" s="10">
        <f>AE2+Y$2</f>
        <v>0</v>
      </c>
      <c r="AF3" s="1" t="str">
        <f t="shared" ref="AF3:AF27" si="3">VLOOKUP(Z3,$N$1:$R$7,5,FALSE)</f>
        <v>1,12;2,96;3,4.8</v>
      </c>
      <c r="AG3" s="1" t="str">
        <f t="shared" ref="AG3:AG27" si="4">1&amp;","&amp;AC3&amp;";"&amp;2&amp;","&amp;AD3&amp;";"&amp;3&amp;","&amp;AE3</f>
        <v>1,0.01;2,0;3,0</v>
      </c>
    </row>
    <row r="4" spans="1:33">
      <c r="A4">
        <v>3</v>
      </c>
      <c r="B4">
        <v>3</v>
      </c>
      <c r="C4">
        <v>640001</v>
      </c>
      <c r="D4">
        <v>10</v>
      </c>
      <c r="E4" s="1" t="str">
        <f t="shared" si="1"/>
        <v>1001,640001,10</v>
      </c>
      <c r="G4">
        <v>3</v>
      </c>
      <c r="H4">
        <v>40</v>
      </c>
      <c r="I4">
        <v>100</v>
      </c>
      <c r="J4">
        <v>20</v>
      </c>
      <c r="K4" t="str">
        <f t="shared" si="2"/>
        <v>1,40;2,100;3,20</v>
      </c>
      <c r="N4" s="4">
        <v>5</v>
      </c>
      <c r="O4">
        <v>15</v>
      </c>
      <c r="P4">
        <v>120</v>
      </c>
      <c r="Q4">
        <v>6</v>
      </c>
      <c r="R4" s="8" t="str">
        <f t="shared" si="0"/>
        <v>1,15;2,120;3,6</v>
      </c>
      <c r="V4" s="4">
        <v>3</v>
      </c>
      <c r="W4">
        <v>0.01</v>
      </c>
      <c r="Y4" s="8"/>
      <c r="Z4">
        <v>3</v>
      </c>
      <c r="AA4">
        <v>3</v>
      </c>
      <c r="AB4">
        <f t="array" ref="AB4">IF(Z4=MAX(Z$2:Z$27),2,IF(AA4=MAX(IF(Z$2:Z$27=Z4,AA$2:AA$27)),1,0))</f>
        <v>0</v>
      </c>
      <c r="AC4" s="10">
        <f>AC3+W$3</f>
        <v>0.01</v>
      </c>
      <c r="AD4" s="10">
        <f>AD3+X$3</f>
        <v>0.01</v>
      </c>
      <c r="AE4" s="10">
        <f>AE3+Y$3</f>
        <v>0.01</v>
      </c>
      <c r="AF4" s="1" t="str">
        <f t="shared" si="3"/>
        <v>1,12;2,96;3,4.8</v>
      </c>
      <c r="AG4" s="1" t="str">
        <f t="shared" si="4"/>
        <v>1,0.01;2,0.01;3,0.01</v>
      </c>
    </row>
    <row r="5" spans="1:33">
      <c r="A5">
        <v>3</v>
      </c>
      <c r="B5">
        <v>4</v>
      </c>
      <c r="C5">
        <v>640001</v>
      </c>
      <c r="D5">
        <v>10</v>
      </c>
      <c r="E5" s="1" t="str">
        <f t="shared" si="1"/>
        <v>1001,640001,10</v>
      </c>
      <c r="G5">
        <v>4</v>
      </c>
      <c r="H5">
        <v>60</v>
      </c>
      <c r="I5">
        <v>150</v>
      </c>
      <c r="J5">
        <v>30</v>
      </c>
      <c r="K5" t="str">
        <f t="shared" si="2"/>
        <v>1,60;2,150;3,30</v>
      </c>
      <c r="N5" s="4">
        <v>6</v>
      </c>
      <c r="O5">
        <v>17</v>
      </c>
      <c r="P5">
        <v>136</v>
      </c>
      <c r="Q5">
        <v>6.8</v>
      </c>
      <c r="R5" s="8" t="str">
        <f t="shared" si="0"/>
        <v>1,17;2,136;3,6.8</v>
      </c>
      <c r="V5" s="4">
        <v>4</v>
      </c>
      <c r="X5">
        <v>0.01</v>
      </c>
      <c r="Y5" s="8">
        <v>0.01</v>
      </c>
      <c r="Z5">
        <v>3</v>
      </c>
      <c r="AA5">
        <v>4</v>
      </c>
      <c r="AB5">
        <f t="array" ref="AB5">IF(Z5=MAX(Z$2:Z$27),2,IF(AA5=MAX(IF(Z$2:Z$27=Z5,AA$2:AA$27)),1,0))</f>
        <v>0</v>
      </c>
      <c r="AC5" s="10">
        <f>AC4+W$4</f>
        <v>0.02</v>
      </c>
      <c r="AD5" s="10">
        <f>AD4+X$4</f>
        <v>0.01</v>
      </c>
      <c r="AE5" s="10">
        <f>AE4+Y$4</f>
        <v>0.01</v>
      </c>
      <c r="AF5" s="1" t="str">
        <f t="shared" si="3"/>
        <v>1,12;2,96;3,4.8</v>
      </c>
      <c r="AG5" s="1" t="str">
        <f t="shared" si="4"/>
        <v>1,0.02;2,0.01;3,0.01</v>
      </c>
    </row>
    <row r="6" ht="14.25" spans="1:33">
      <c r="A6">
        <v>3</v>
      </c>
      <c r="B6">
        <v>5</v>
      </c>
      <c r="C6">
        <v>640001</v>
      </c>
      <c r="D6">
        <v>20</v>
      </c>
      <c r="E6" s="1" t="str">
        <f t="shared" si="1"/>
        <v>1001,640001,20</v>
      </c>
      <c r="G6">
        <v>5</v>
      </c>
      <c r="H6">
        <v>80</v>
      </c>
      <c r="I6">
        <v>200</v>
      </c>
      <c r="J6">
        <v>40</v>
      </c>
      <c r="K6" t="str">
        <f t="shared" si="2"/>
        <v>1,80;2,200;3,40</v>
      </c>
      <c r="N6" s="4">
        <v>7</v>
      </c>
      <c r="O6">
        <v>19</v>
      </c>
      <c r="P6">
        <v>152</v>
      </c>
      <c r="Q6">
        <v>7.6</v>
      </c>
      <c r="R6" s="8" t="str">
        <f t="shared" si="0"/>
        <v>1,19;2,152;3,7.6</v>
      </c>
      <c r="V6" s="5">
        <v>5</v>
      </c>
      <c r="W6" s="6">
        <v>0.01</v>
      </c>
      <c r="X6" s="6">
        <v>0.01</v>
      </c>
      <c r="Y6" s="9">
        <v>0.01</v>
      </c>
      <c r="Z6">
        <v>3</v>
      </c>
      <c r="AA6">
        <v>5</v>
      </c>
      <c r="AB6">
        <f t="array" ref="AB6">IF(Z6=MAX(Z$2:Z$27),2,IF(AA6=MAX(IF(Z$2:Z$27=Z6,AA$2:AA$27)),1,0))</f>
        <v>1</v>
      </c>
      <c r="AC6" s="10">
        <f>AC5+W$5</f>
        <v>0.02</v>
      </c>
      <c r="AD6" s="10">
        <f>AD5+X$5</f>
        <v>0.02</v>
      </c>
      <c r="AE6" s="10">
        <f>AE5+Y$5</f>
        <v>0.02</v>
      </c>
      <c r="AF6" s="1" t="str">
        <f t="shared" si="3"/>
        <v>1,12;2,96;3,4.8</v>
      </c>
      <c r="AG6" s="1" t="str">
        <f t="shared" si="4"/>
        <v>1,0.02;2,0.02;3,0.02</v>
      </c>
    </row>
    <row r="7" ht="14.25" spans="1:33">
      <c r="A7">
        <v>4</v>
      </c>
      <c r="B7">
        <v>1</v>
      </c>
      <c r="C7">
        <v>640001</v>
      </c>
      <c r="D7">
        <v>15</v>
      </c>
      <c r="E7" s="1" t="str">
        <f t="shared" si="1"/>
        <v>1001,640001,15</v>
      </c>
      <c r="G7">
        <v>6</v>
      </c>
      <c r="H7">
        <v>100</v>
      </c>
      <c r="I7">
        <v>250</v>
      </c>
      <c r="J7">
        <v>50</v>
      </c>
      <c r="K7" t="str">
        <f t="shared" si="2"/>
        <v>1,100;2,250;3,50</v>
      </c>
      <c r="N7" s="5">
        <v>8</v>
      </c>
      <c r="O7" s="6">
        <v>21</v>
      </c>
      <c r="P7" s="6">
        <v>168</v>
      </c>
      <c r="Q7" s="6">
        <v>8.4</v>
      </c>
      <c r="R7" s="9" t="str">
        <f t="shared" si="0"/>
        <v>1,21;2,168;3,8.4</v>
      </c>
      <c r="Z7">
        <v>4</v>
      </c>
      <c r="AA7">
        <v>1</v>
      </c>
      <c r="AB7">
        <f t="array" ref="AB7">IF(Z7=MAX(Z$2:Z$27),2,IF(AA7=MAX(IF(Z$2:Z$27=Z7,AA$2:AA$27)),1,0))</f>
        <v>0</v>
      </c>
      <c r="AC7" s="10">
        <f>AC6+W$6</f>
        <v>0.03</v>
      </c>
      <c r="AD7" s="10">
        <f>AD6+X$6</f>
        <v>0.03</v>
      </c>
      <c r="AE7" s="10">
        <f>AE6+Y$6</f>
        <v>0.03</v>
      </c>
      <c r="AF7" s="1" t="str">
        <f t="shared" si="3"/>
        <v>1,13.5;2,108;3,5.4</v>
      </c>
      <c r="AG7" s="1" t="str">
        <f t="shared" si="4"/>
        <v>1,0.03;2,0.03;3,0.03</v>
      </c>
    </row>
    <row r="8" spans="1:33">
      <c r="A8">
        <v>4</v>
      </c>
      <c r="B8">
        <v>2</v>
      </c>
      <c r="C8">
        <v>640001</v>
      </c>
      <c r="D8">
        <v>15</v>
      </c>
      <c r="E8" s="1" t="str">
        <f t="shared" si="1"/>
        <v>1001,640001,15</v>
      </c>
      <c r="G8">
        <v>7</v>
      </c>
      <c r="H8">
        <v>120</v>
      </c>
      <c r="I8">
        <v>300</v>
      </c>
      <c r="J8">
        <v>60</v>
      </c>
      <c r="K8" t="str">
        <f t="shared" si="2"/>
        <v>1,120;2,300;3,60</v>
      </c>
      <c r="Z8">
        <v>4</v>
      </c>
      <c r="AA8">
        <v>2</v>
      </c>
      <c r="AB8">
        <f t="array" ref="AB8">IF(Z8=MAX(Z$2:Z$27),2,IF(AA8=MAX(IF(Z$2:Z$27=Z8,AA$2:AA$27)),1,0))</f>
        <v>0</v>
      </c>
      <c r="AC8" s="10">
        <f t="shared" ref="AC8:AE8" si="5">AC7+W$2</f>
        <v>0.04</v>
      </c>
      <c r="AD8" s="10">
        <f t="shared" si="5"/>
        <v>0.03</v>
      </c>
      <c r="AE8" s="10">
        <f t="shared" si="5"/>
        <v>0.03</v>
      </c>
      <c r="AF8" s="1" t="str">
        <f t="shared" si="3"/>
        <v>1,13.5;2,108;3,5.4</v>
      </c>
      <c r="AG8" s="1" t="str">
        <f t="shared" si="4"/>
        <v>1,0.04;2,0.03;3,0.03</v>
      </c>
    </row>
    <row r="9" spans="1:33">
      <c r="A9">
        <v>4</v>
      </c>
      <c r="B9">
        <v>3</v>
      </c>
      <c r="C9">
        <v>640001</v>
      </c>
      <c r="D9">
        <v>15</v>
      </c>
      <c r="E9" s="1" t="str">
        <f t="shared" si="1"/>
        <v>1001,640001,15</v>
      </c>
      <c r="G9">
        <v>8</v>
      </c>
      <c r="H9">
        <v>140</v>
      </c>
      <c r="I9">
        <v>350</v>
      </c>
      <c r="J9">
        <v>70</v>
      </c>
      <c r="K9" t="str">
        <f t="shared" si="2"/>
        <v>1,140;2,350;3,70</v>
      </c>
      <c r="Z9">
        <v>4</v>
      </c>
      <c r="AA9">
        <v>3</v>
      </c>
      <c r="AB9">
        <f t="array" ref="AB9">IF(Z9=MAX(Z$2:Z$27),2,IF(AA9=MAX(IF(Z$2:Z$27=Z9,AA$2:AA$27)),1,0))</f>
        <v>0</v>
      </c>
      <c r="AC9" s="10">
        <f t="shared" ref="AC9:AE9" si="6">AC8+W$3</f>
        <v>0.04</v>
      </c>
      <c r="AD9" s="10">
        <f t="shared" si="6"/>
        <v>0.04</v>
      </c>
      <c r="AE9" s="10">
        <f t="shared" si="6"/>
        <v>0.04</v>
      </c>
      <c r="AF9" s="1" t="str">
        <f t="shared" si="3"/>
        <v>1,13.5;2,108;3,5.4</v>
      </c>
      <c r="AG9" s="1" t="str">
        <f t="shared" si="4"/>
        <v>1,0.04;2,0.04;3,0.04</v>
      </c>
    </row>
    <row r="10" spans="1:33">
      <c r="A10">
        <v>4</v>
      </c>
      <c r="B10">
        <v>4</v>
      </c>
      <c r="C10">
        <v>640001</v>
      </c>
      <c r="D10">
        <v>15</v>
      </c>
      <c r="E10" s="1" t="str">
        <f t="shared" si="1"/>
        <v>1001,640001,15</v>
      </c>
      <c r="G10">
        <v>9</v>
      </c>
      <c r="H10">
        <v>160</v>
      </c>
      <c r="I10">
        <v>400</v>
      </c>
      <c r="J10">
        <v>80</v>
      </c>
      <c r="K10" t="str">
        <f t="shared" si="2"/>
        <v>1,160;2,400;3,80</v>
      </c>
      <c r="Z10">
        <v>4</v>
      </c>
      <c r="AA10">
        <v>4</v>
      </c>
      <c r="AB10">
        <f t="array" ref="AB10">IF(Z10=MAX(Z$2:Z$27),2,IF(AA10=MAX(IF(Z$2:Z$27=Z10,AA$2:AA$27)),1,0))</f>
        <v>0</v>
      </c>
      <c r="AC10" s="10">
        <f t="shared" ref="AC10:AE10" si="7">AC9+W$4</f>
        <v>0.05</v>
      </c>
      <c r="AD10" s="10">
        <f t="shared" si="7"/>
        <v>0.04</v>
      </c>
      <c r="AE10" s="10">
        <f t="shared" si="7"/>
        <v>0.04</v>
      </c>
      <c r="AF10" s="1" t="str">
        <f t="shared" si="3"/>
        <v>1,13.5;2,108;3,5.4</v>
      </c>
      <c r="AG10" s="1" t="str">
        <f t="shared" si="4"/>
        <v>1,0.05;2,0.04;3,0.04</v>
      </c>
    </row>
    <row r="11" spans="1:33">
      <c r="A11">
        <v>4</v>
      </c>
      <c r="B11">
        <v>5</v>
      </c>
      <c r="C11">
        <v>640001</v>
      </c>
      <c r="D11">
        <v>20</v>
      </c>
      <c r="E11" s="1" t="str">
        <f t="shared" si="1"/>
        <v>1001,640001,20</v>
      </c>
      <c r="G11">
        <v>10</v>
      </c>
      <c r="H11">
        <v>180</v>
      </c>
      <c r="I11">
        <v>450</v>
      </c>
      <c r="J11">
        <v>90</v>
      </c>
      <c r="K11" t="str">
        <f t="shared" si="2"/>
        <v>1,180;2,450;3,90</v>
      </c>
      <c r="Z11">
        <v>4</v>
      </c>
      <c r="AA11">
        <v>5</v>
      </c>
      <c r="AB11">
        <f t="array" ref="AB11">IF(Z11=MAX(Z$2:Z$27),2,IF(AA11=MAX(IF(Z$2:Z$27=Z11,AA$2:AA$27)),1,0))</f>
        <v>1</v>
      </c>
      <c r="AC11" s="10">
        <f t="shared" ref="AC11:AE11" si="8">AC10+W$5</f>
        <v>0.05</v>
      </c>
      <c r="AD11" s="10">
        <f t="shared" si="8"/>
        <v>0.05</v>
      </c>
      <c r="AE11" s="10">
        <f t="shared" si="8"/>
        <v>0.05</v>
      </c>
      <c r="AF11" s="1" t="str">
        <f t="shared" si="3"/>
        <v>1,13.5;2,108;3,5.4</v>
      </c>
      <c r="AG11" s="1" t="str">
        <f t="shared" si="4"/>
        <v>1,0.05;2,0.05;3,0.05</v>
      </c>
    </row>
    <row r="12" spans="1:33">
      <c r="A12">
        <v>5</v>
      </c>
      <c r="B12">
        <v>1</v>
      </c>
      <c r="C12">
        <v>640001</v>
      </c>
      <c r="D12">
        <v>20</v>
      </c>
      <c r="E12" s="1" t="str">
        <f t="shared" si="1"/>
        <v>1001,640001,20</v>
      </c>
      <c r="G12">
        <v>11</v>
      </c>
      <c r="H12">
        <v>200</v>
      </c>
      <c r="I12">
        <v>500</v>
      </c>
      <c r="J12">
        <v>100</v>
      </c>
      <c r="K12" t="str">
        <f t="shared" si="2"/>
        <v>1,200;2,500;3,100</v>
      </c>
      <c r="Z12">
        <v>5</v>
      </c>
      <c r="AA12">
        <v>1</v>
      </c>
      <c r="AB12">
        <f t="array" ref="AB12">IF(Z12=MAX(Z$2:Z$27),2,IF(AA12=MAX(IF(Z$2:Z$27=Z12,AA$2:AA$27)),1,0))</f>
        <v>0</v>
      </c>
      <c r="AC12" s="10">
        <f t="shared" ref="AC12:AE12" si="9">AC11+W$6</f>
        <v>0.06</v>
      </c>
      <c r="AD12" s="10">
        <f t="shared" si="9"/>
        <v>0.06</v>
      </c>
      <c r="AE12" s="10">
        <f t="shared" si="9"/>
        <v>0.06</v>
      </c>
      <c r="AF12" s="1" t="str">
        <f t="shared" si="3"/>
        <v>1,15;2,120;3,6</v>
      </c>
      <c r="AG12" s="1" t="str">
        <f t="shared" si="4"/>
        <v>1,0.06;2,0.06;3,0.06</v>
      </c>
    </row>
    <row r="13" spans="1:33">
      <c r="A13">
        <v>5</v>
      </c>
      <c r="B13">
        <v>2</v>
      </c>
      <c r="C13">
        <v>640001</v>
      </c>
      <c r="D13">
        <v>20</v>
      </c>
      <c r="E13" s="1" t="str">
        <f t="shared" si="1"/>
        <v>1001,640001,20</v>
      </c>
      <c r="G13">
        <v>12</v>
      </c>
      <c r="H13">
        <v>220</v>
      </c>
      <c r="I13">
        <v>550</v>
      </c>
      <c r="J13">
        <v>110</v>
      </c>
      <c r="K13" t="str">
        <f t="shared" si="2"/>
        <v>1,220;2,550;3,110</v>
      </c>
      <c r="Z13">
        <v>5</v>
      </c>
      <c r="AA13">
        <v>2</v>
      </c>
      <c r="AB13">
        <f t="array" ref="AB13">IF(Z13=MAX(Z$2:Z$27),2,IF(AA13=MAX(IF(Z$2:Z$27=Z13,AA$2:AA$27)),1,0))</f>
        <v>0</v>
      </c>
      <c r="AC13" s="10">
        <f t="shared" ref="AC13:AE13" si="10">AC12+W$2</f>
        <v>0.07</v>
      </c>
      <c r="AD13" s="10">
        <f t="shared" si="10"/>
        <v>0.06</v>
      </c>
      <c r="AE13" s="10">
        <f t="shared" si="10"/>
        <v>0.06</v>
      </c>
      <c r="AF13" s="1" t="str">
        <f t="shared" si="3"/>
        <v>1,15;2,120;3,6</v>
      </c>
      <c r="AG13" s="1" t="str">
        <f t="shared" si="4"/>
        <v>1,0.07;2,0.06;3,0.06</v>
      </c>
    </row>
    <row r="14" spans="1:33">
      <c r="A14">
        <v>5</v>
      </c>
      <c r="B14">
        <v>3</v>
      </c>
      <c r="C14">
        <v>640001</v>
      </c>
      <c r="D14">
        <v>20</v>
      </c>
      <c r="E14" s="1" t="str">
        <f t="shared" si="1"/>
        <v>1001,640001,20</v>
      </c>
      <c r="G14">
        <v>13</v>
      </c>
      <c r="H14">
        <v>240</v>
      </c>
      <c r="I14">
        <v>600</v>
      </c>
      <c r="J14">
        <v>120</v>
      </c>
      <c r="K14" t="str">
        <f t="shared" si="2"/>
        <v>1,240;2,600;3,120</v>
      </c>
      <c r="Z14">
        <v>5</v>
      </c>
      <c r="AA14">
        <v>3</v>
      </c>
      <c r="AB14">
        <f t="array" ref="AB14">IF(Z14=MAX(Z$2:Z$27),2,IF(AA14=MAX(IF(Z$2:Z$27=Z14,AA$2:AA$27)),1,0))</f>
        <v>0</v>
      </c>
      <c r="AC14" s="10">
        <f t="shared" ref="AC14:AE14" si="11">AC13+W$3</f>
        <v>0.07</v>
      </c>
      <c r="AD14" s="10">
        <f t="shared" si="11"/>
        <v>0.07</v>
      </c>
      <c r="AE14" s="10">
        <f t="shared" si="11"/>
        <v>0.07</v>
      </c>
      <c r="AF14" s="1" t="str">
        <f t="shared" si="3"/>
        <v>1,15;2,120;3,6</v>
      </c>
      <c r="AG14" s="1" t="str">
        <f t="shared" si="4"/>
        <v>1,0.07;2,0.07;3,0.07</v>
      </c>
    </row>
    <row r="15" spans="1:33">
      <c r="A15">
        <v>5</v>
      </c>
      <c r="B15">
        <v>4</v>
      </c>
      <c r="C15">
        <v>640001</v>
      </c>
      <c r="D15">
        <v>20</v>
      </c>
      <c r="E15" s="1" t="str">
        <f t="shared" si="1"/>
        <v>1001,640001,20</v>
      </c>
      <c r="G15">
        <v>14</v>
      </c>
      <c r="H15">
        <v>260</v>
      </c>
      <c r="I15">
        <v>650</v>
      </c>
      <c r="J15">
        <v>130</v>
      </c>
      <c r="K15" t="str">
        <f t="shared" si="2"/>
        <v>1,260;2,650;3,130</v>
      </c>
      <c r="Z15">
        <v>5</v>
      </c>
      <c r="AA15">
        <v>4</v>
      </c>
      <c r="AB15">
        <f t="array" ref="AB15">IF(Z15=MAX(Z$2:Z$27),2,IF(AA15=MAX(IF(Z$2:Z$27=Z15,AA$2:AA$27)),1,0))</f>
        <v>0</v>
      </c>
      <c r="AC15" s="10">
        <f t="shared" ref="AC15:AE15" si="12">AC14+W$4</f>
        <v>0.08</v>
      </c>
      <c r="AD15" s="10">
        <f t="shared" si="12"/>
        <v>0.07</v>
      </c>
      <c r="AE15" s="10">
        <f t="shared" si="12"/>
        <v>0.07</v>
      </c>
      <c r="AF15" s="1" t="str">
        <f t="shared" si="3"/>
        <v>1,15;2,120;3,6</v>
      </c>
      <c r="AG15" s="1" t="str">
        <f t="shared" si="4"/>
        <v>1,0.08;2,0.07;3,0.07</v>
      </c>
    </row>
    <row r="16" spans="1:33">
      <c r="A16">
        <v>5</v>
      </c>
      <c r="B16">
        <v>5</v>
      </c>
      <c r="C16">
        <v>640001</v>
      </c>
      <c r="D16">
        <v>20</v>
      </c>
      <c r="E16" s="1" t="str">
        <f t="shared" si="1"/>
        <v>1001,640001,20</v>
      </c>
      <c r="G16">
        <v>15</v>
      </c>
      <c r="H16">
        <v>280</v>
      </c>
      <c r="I16">
        <v>700</v>
      </c>
      <c r="J16">
        <v>140</v>
      </c>
      <c r="K16" t="str">
        <f t="shared" si="2"/>
        <v>1,280;2,700;3,140</v>
      </c>
      <c r="Z16">
        <v>5</v>
      </c>
      <c r="AA16">
        <v>5</v>
      </c>
      <c r="AB16">
        <f t="array" ref="AB16">IF(Z16=MAX(Z$2:Z$27),2,IF(AA16=MAX(IF(Z$2:Z$27=Z16,AA$2:AA$27)),1,0))</f>
        <v>1</v>
      </c>
      <c r="AC16" s="10">
        <f t="shared" ref="AC16:AE16" si="13">AC15+W$5</f>
        <v>0.08</v>
      </c>
      <c r="AD16" s="10">
        <f t="shared" si="13"/>
        <v>0.08</v>
      </c>
      <c r="AE16" s="10">
        <f t="shared" si="13"/>
        <v>0.08</v>
      </c>
      <c r="AF16" s="1" t="str">
        <f t="shared" si="3"/>
        <v>1,15;2,120;3,6</v>
      </c>
      <c r="AG16" s="1" t="str">
        <f t="shared" si="4"/>
        <v>1,0.08;2,0.08;3,0.08</v>
      </c>
    </row>
    <row r="17" spans="1:33">
      <c r="A17">
        <v>6</v>
      </c>
      <c r="B17">
        <v>1</v>
      </c>
      <c r="C17">
        <v>640001</v>
      </c>
      <c r="D17">
        <v>20</v>
      </c>
      <c r="E17" s="1" t="str">
        <f t="shared" si="1"/>
        <v>1001,640001,20</v>
      </c>
      <c r="G17">
        <v>16</v>
      </c>
      <c r="H17">
        <v>300</v>
      </c>
      <c r="I17">
        <v>750</v>
      </c>
      <c r="J17">
        <v>150</v>
      </c>
      <c r="K17" t="str">
        <f t="shared" si="2"/>
        <v>1,300;2,750;3,150</v>
      </c>
      <c r="Z17">
        <v>6</v>
      </c>
      <c r="AA17">
        <v>1</v>
      </c>
      <c r="AB17">
        <f t="array" ref="AB17">IF(Z17=MAX(Z$2:Z$27),2,IF(AA17=MAX(IF(Z$2:Z$27=Z17,AA$2:AA$27)),1,0))</f>
        <v>0</v>
      </c>
      <c r="AC17" s="10">
        <f t="shared" ref="AC17:AE17" si="14">AC16+W$6</f>
        <v>0.09</v>
      </c>
      <c r="AD17" s="10">
        <f t="shared" si="14"/>
        <v>0.09</v>
      </c>
      <c r="AE17" s="10">
        <f t="shared" si="14"/>
        <v>0.09</v>
      </c>
      <c r="AF17" s="1" t="str">
        <f t="shared" si="3"/>
        <v>1,17;2,136;3,6.8</v>
      </c>
      <c r="AG17" s="1" t="str">
        <f t="shared" si="4"/>
        <v>1,0.09;2,0.09;3,0.09</v>
      </c>
    </row>
    <row r="18" spans="1:33">
      <c r="A18">
        <v>6</v>
      </c>
      <c r="B18">
        <v>2</v>
      </c>
      <c r="C18">
        <v>640001</v>
      </c>
      <c r="D18">
        <v>20</v>
      </c>
      <c r="E18" s="1" t="str">
        <f t="shared" si="1"/>
        <v>1001,640001,20</v>
      </c>
      <c r="G18">
        <v>17</v>
      </c>
      <c r="H18">
        <v>320</v>
      </c>
      <c r="I18">
        <v>800</v>
      </c>
      <c r="J18">
        <v>160</v>
      </c>
      <c r="K18" t="str">
        <f t="shared" si="2"/>
        <v>1,320;2,800;3,160</v>
      </c>
      <c r="Z18">
        <v>6</v>
      </c>
      <c r="AA18">
        <v>2</v>
      </c>
      <c r="AB18">
        <f t="array" ref="AB18">IF(Z18=MAX(Z$2:Z$27),2,IF(AA18=MAX(IF(Z$2:Z$27=Z18,AA$2:AA$27)),1,0))</f>
        <v>0</v>
      </c>
      <c r="AC18" s="10">
        <f t="shared" ref="AC18:AE18" si="15">AC17+W$2</f>
        <v>0.1</v>
      </c>
      <c r="AD18" s="10">
        <f t="shared" si="15"/>
        <v>0.09</v>
      </c>
      <c r="AE18" s="10">
        <f t="shared" si="15"/>
        <v>0.09</v>
      </c>
      <c r="AF18" s="1" t="str">
        <f t="shared" si="3"/>
        <v>1,17;2,136;3,6.8</v>
      </c>
      <c r="AG18" s="1" t="str">
        <f t="shared" si="4"/>
        <v>1,0.1;2,0.09;3,0.09</v>
      </c>
    </row>
    <row r="19" spans="1:33">
      <c r="A19">
        <v>6</v>
      </c>
      <c r="B19">
        <v>3</v>
      </c>
      <c r="C19">
        <v>640001</v>
      </c>
      <c r="D19">
        <v>20</v>
      </c>
      <c r="E19" s="1" t="str">
        <f t="shared" si="1"/>
        <v>1001,640001,20</v>
      </c>
      <c r="G19">
        <v>18</v>
      </c>
      <c r="H19">
        <v>340</v>
      </c>
      <c r="I19">
        <v>850</v>
      </c>
      <c r="J19">
        <v>170</v>
      </c>
      <c r="K19" t="str">
        <f t="shared" si="2"/>
        <v>1,340;2,850;3,170</v>
      </c>
      <c r="Z19">
        <v>6</v>
      </c>
      <c r="AA19">
        <v>3</v>
      </c>
      <c r="AB19">
        <f t="array" ref="AB19">IF(Z19=MAX(Z$2:Z$27),2,IF(AA19=MAX(IF(Z$2:Z$27=Z19,AA$2:AA$27)),1,0))</f>
        <v>0</v>
      </c>
      <c r="AC19" s="10">
        <f t="shared" ref="AC19:AE19" si="16">AC18+W$3</f>
        <v>0.1</v>
      </c>
      <c r="AD19" s="10">
        <f t="shared" si="16"/>
        <v>0.1</v>
      </c>
      <c r="AE19" s="10">
        <f t="shared" si="16"/>
        <v>0.1</v>
      </c>
      <c r="AF19" s="1" t="str">
        <f t="shared" si="3"/>
        <v>1,17;2,136;3,6.8</v>
      </c>
      <c r="AG19" s="1" t="str">
        <f t="shared" si="4"/>
        <v>1,0.1;2,0.1;3,0.1</v>
      </c>
    </row>
    <row r="20" spans="1:33">
      <c r="A20">
        <v>6</v>
      </c>
      <c r="B20">
        <v>4</v>
      </c>
      <c r="C20">
        <v>640001</v>
      </c>
      <c r="D20">
        <v>20</v>
      </c>
      <c r="E20" s="1" t="str">
        <f t="shared" si="1"/>
        <v>1001,640001,20</v>
      </c>
      <c r="G20">
        <v>19</v>
      </c>
      <c r="H20">
        <v>360</v>
      </c>
      <c r="I20">
        <v>900</v>
      </c>
      <c r="J20">
        <v>180</v>
      </c>
      <c r="K20" t="str">
        <f t="shared" si="2"/>
        <v>1,360;2,900;3,180</v>
      </c>
      <c r="Z20">
        <v>6</v>
      </c>
      <c r="AA20">
        <v>4</v>
      </c>
      <c r="AB20">
        <f t="array" ref="AB20">IF(Z20=MAX(Z$2:Z$27),2,IF(AA20=MAX(IF(Z$2:Z$27=Z20,AA$2:AA$27)),1,0))</f>
        <v>0</v>
      </c>
      <c r="AC20" s="10">
        <f t="shared" ref="AC20:AE20" si="17">AC19+W$4</f>
        <v>0.11</v>
      </c>
      <c r="AD20" s="10">
        <f t="shared" si="17"/>
        <v>0.1</v>
      </c>
      <c r="AE20" s="10">
        <f t="shared" si="17"/>
        <v>0.1</v>
      </c>
      <c r="AF20" s="1" t="str">
        <f t="shared" si="3"/>
        <v>1,17;2,136;3,6.8</v>
      </c>
      <c r="AG20" s="1" t="str">
        <f t="shared" si="4"/>
        <v>1,0.11;2,0.1;3,0.1</v>
      </c>
    </row>
    <row r="21" spans="1:33">
      <c r="A21">
        <v>6</v>
      </c>
      <c r="B21">
        <v>5</v>
      </c>
      <c r="C21">
        <v>640001</v>
      </c>
      <c r="D21">
        <v>20</v>
      </c>
      <c r="E21" s="1" t="str">
        <f t="shared" si="1"/>
        <v>1001,640001,20</v>
      </c>
      <c r="G21">
        <v>20</v>
      </c>
      <c r="H21">
        <v>380</v>
      </c>
      <c r="I21">
        <v>950</v>
      </c>
      <c r="J21">
        <v>190</v>
      </c>
      <c r="K21" t="str">
        <f t="shared" si="2"/>
        <v>1,380;2,950;3,190</v>
      </c>
      <c r="Z21">
        <v>6</v>
      </c>
      <c r="AA21">
        <v>5</v>
      </c>
      <c r="AB21">
        <f t="array" ref="AB21">IF(Z21=MAX(Z$2:Z$27),2,IF(AA21=MAX(IF(Z$2:Z$27=Z21,AA$2:AA$27)),1,0))</f>
        <v>1</v>
      </c>
      <c r="AC21" s="10">
        <f t="shared" ref="AC21:AE21" si="18">AC20+W$5</f>
        <v>0.11</v>
      </c>
      <c r="AD21" s="10">
        <f t="shared" si="18"/>
        <v>0.11</v>
      </c>
      <c r="AE21" s="10">
        <f t="shared" si="18"/>
        <v>0.11</v>
      </c>
      <c r="AF21" s="1" t="str">
        <f t="shared" si="3"/>
        <v>1,17;2,136;3,6.8</v>
      </c>
      <c r="AG21" s="1" t="str">
        <f t="shared" si="4"/>
        <v>1,0.11;2,0.11;3,0.11</v>
      </c>
    </row>
    <row r="22" spans="1:33">
      <c r="A22">
        <v>7</v>
      </c>
      <c r="B22">
        <v>1</v>
      </c>
      <c r="C22">
        <v>640001</v>
      </c>
      <c r="D22">
        <v>40</v>
      </c>
      <c r="E22" s="1" t="str">
        <f t="shared" si="1"/>
        <v>1001,640001,40</v>
      </c>
      <c r="G22">
        <v>21</v>
      </c>
      <c r="H22">
        <v>400</v>
      </c>
      <c r="I22">
        <v>1000</v>
      </c>
      <c r="J22">
        <v>200</v>
      </c>
      <c r="K22" t="str">
        <f t="shared" si="2"/>
        <v>1,400;2,1000;3,200</v>
      </c>
      <c r="Z22">
        <v>7</v>
      </c>
      <c r="AA22">
        <v>1</v>
      </c>
      <c r="AB22">
        <f t="array" ref="AB22">IF(Z22=MAX(Z$2:Z$27),2,IF(AA22=MAX(IF(Z$2:Z$27=Z22,AA$2:AA$27)),1,0))</f>
        <v>0</v>
      </c>
      <c r="AC22" s="10">
        <f t="shared" ref="AC22:AE22" si="19">AC21+W$6</f>
        <v>0.12</v>
      </c>
      <c r="AD22" s="10">
        <f t="shared" si="19"/>
        <v>0.12</v>
      </c>
      <c r="AE22" s="10">
        <f t="shared" si="19"/>
        <v>0.12</v>
      </c>
      <c r="AF22" s="1" t="str">
        <f t="shared" si="3"/>
        <v>1,19;2,152;3,7.6</v>
      </c>
      <c r="AG22" s="1" t="str">
        <f t="shared" si="4"/>
        <v>1,0.12;2,0.12;3,0.12</v>
      </c>
    </row>
    <row r="23" spans="1:33">
      <c r="A23">
        <v>7</v>
      </c>
      <c r="B23">
        <v>2</v>
      </c>
      <c r="C23">
        <v>640001</v>
      </c>
      <c r="D23">
        <v>40</v>
      </c>
      <c r="E23" s="1" t="str">
        <f t="shared" si="1"/>
        <v>1001,640001,40</v>
      </c>
      <c r="G23">
        <v>22</v>
      </c>
      <c r="H23">
        <v>420</v>
      </c>
      <c r="I23">
        <v>1050</v>
      </c>
      <c r="J23">
        <v>210</v>
      </c>
      <c r="K23" t="str">
        <f t="shared" si="2"/>
        <v>1,420;2,1050;3,210</v>
      </c>
      <c r="Z23">
        <v>7</v>
      </c>
      <c r="AA23">
        <v>2</v>
      </c>
      <c r="AB23">
        <f t="array" ref="AB23">IF(Z23=MAX(Z$2:Z$27),2,IF(AA23=MAX(IF(Z$2:Z$27=Z23,AA$2:AA$27)),1,0))</f>
        <v>0</v>
      </c>
      <c r="AC23" s="10">
        <f t="shared" ref="AC23:AE23" si="20">AC22+W$2</f>
        <v>0.13</v>
      </c>
      <c r="AD23" s="10">
        <f t="shared" si="20"/>
        <v>0.12</v>
      </c>
      <c r="AE23" s="10">
        <f t="shared" si="20"/>
        <v>0.12</v>
      </c>
      <c r="AF23" s="1" t="str">
        <f t="shared" si="3"/>
        <v>1,19;2,152;3,7.6</v>
      </c>
      <c r="AG23" s="1" t="str">
        <f t="shared" si="4"/>
        <v>1,0.13;2,0.12;3,0.12</v>
      </c>
    </row>
    <row r="24" spans="1:33">
      <c r="A24">
        <v>7</v>
      </c>
      <c r="B24">
        <v>3</v>
      </c>
      <c r="C24">
        <v>640001</v>
      </c>
      <c r="D24">
        <v>40</v>
      </c>
      <c r="E24" s="1" t="str">
        <f t="shared" si="1"/>
        <v>1001,640001,40</v>
      </c>
      <c r="G24">
        <v>23</v>
      </c>
      <c r="H24">
        <v>440</v>
      </c>
      <c r="I24">
        <v>1100</v>
      </c>
      <c r="J24">
        <v>220</v>
      </c>
      <c r="K24" t="str">
        <f t="shared" si="2"/>
        <v>1,440;2,1100;3,220</v>
      </c>
      <c r="Z24">
        <v>7</v>
      </c>
      <c r="AA24">
        <v>3</v>
      </c>
      <c r="AB24">
        <f t="array" ref="AB24">IF(Z24=MAX(Z$2:Z$27),2,IF(AA24=MAX(IF(Z$2:Z$27=Z24,AA$2:AA$27)),1,0))</f>
        <v>0</v>
      </c>
      <c r="AC24" s="10">
        <f t="shared" ref="AC24:AE24" si="21">AC23+W$3</f>
        <v>0.13</v>
      </c>
      <c r="AD24" s="10">
        <f t="shared" si="21"/>
        <v>0.13</v>
      </c>
      <c r="AE24" s="10">
        <f t="shared" si="21"/>
        <v>0.13</v>
      </c>
      <c r="AF24" s="1" t="str">
        <f t="shared" si="3"/>
        <v>1,19;2,152;3,7.6</v>
      </c>
      <c r="AG24" s="1" t="str">
        <f t="shared" si="4"/>
        <v>1,0.13;2,0.13;3,0.13</v>
      </c>
    </row>
    <row r="25" spans="1:33">
      <c r="A25">
        <v>7</v>
      </c>
      <c r="B25">
        <v>4</v>
      </c>
      <c r="C25">
        <v>640001</v>
      </c>
      <c r="D25">
        <v>40</v>
      </c>
      <c r="E25" s="1" t="str">
        <f t="shared" si="1"/>
        <v>1001,640001,40</v>
      </c>
      <c r="G25">
        <v>24</v>
      </c>
      <c r="H25">
        <v>460</v>
      </c>
      <c r="I25">
        <v>1150</v>
      </c>
      <c r="J25">
        <v>230</v>
      </c>
      <c r="K25" t="str">
        <f t="shared" si="2"/>
        <v>1,460;2,1150;3,230</v>
      </c>
      <c r="Z25">
        <v>7</v>
      </c>
      <c r="AA25">
        <v>4</v>
      </c>
      <c r="AB25">
        <f t="array" ref="AB25">IF(Z25=MAX(Z$2:Z$27),2,IF(AA25=MAX(IF(Z$2:Z$27=Z25,AA$2:AA$27)),1,0))</f>
        <v>0</v>
      </c>
      <c r="AC25" s="10">
        <f t="shared" ref="AC25:AE25" si="22">AC24+W$4</f>
        <v>0.14</v>
      </c>
      <c r="AD25" s="10">
        <f t="shared" si="22"/>
        <v>0.13</v>
      </c>
      <c r="AE25" s="10">
        <f t="shared" si="22"/>
        <v>0.13</v>
      </c>
      <c r="AF25" s="1" t="str">
        <f t="shared" si="3"/>
        <v>1,19;2,152;3,7.6</v>
      </c>
      <c r="AG25" s="1" t="str">
        <f t="shared" si="4"/>
        <v>1,0.14;2,0.13;3,0.13</v>
      </c>
    </row>
    <row r="26" spans="1:33">
      <c r="A26">
        <v>7</v>
      </c>
      <c r="B26">
        <v>5</v>
      </c>
      <c r="C26">
        <v>640001</v>
      </c>
      <c r="D26">
        <v>40</v>
      </c>
      <c r="E26" s="1" t="str">
        <f t="shared" si="1"/>
        <v>1001,640001,40</v>
      </c>
      <c r="G26">
        <v>25</v>
      </c>
      <c r="H26">
        <v>480</v>
      </c>
      <c r="I26">
        <v>1200</v>
      </c>
      <c r="J26">
        <v>240</v>
      </c>
      <c r="K26" t="str">
        <f t="shared" si="2"/>
        <v>1,480;2,1200;3,240</v>
      </c>
      <c r="Z26">
        <v>7</v>
      </c>
      <c r="AA26">
        <v>5</v>
      </c>
      <c r="AB26">
        <f t="array" ref="AB26">IF(Z26=MAX(Z$2:Z$27),2,IF(AA26=MAX(IF(Z$2:Z$27=Z26,AA$2:AA$27)),1,0))</f>
        <v>1</v>
      </c>
      <c r="AC26" s="10">
        <f t="shared" ref="AC26:AE26" si="23">AC25+W$5</f>
        <v>0.14</v>
      </c>
      <c r="AD26" s="10">
        <f t="shared" si="23"/>
        <v>0.14</v>
      </c>
      <c r="AE26" s="10">
        <f t="shared" si="23"/>
        <v>0.14</v>
      </c>
      <c r="AF26" s="1" t="str">
        <f t="shared" si="3"/>
        <v>1,19;2,152;3,7.6</v>
      </c>
      <c r="AG26" s="1" t="str">
        <f t="shared" si="4"/>
        <v>1,0.14;2,0.14;3,0.14</v>
      </c>
    </row>
    <row r="27" spans="1:33">
      <c r="A27">
        <v>8</v>
      </c>
      <c r="B27">
        <v>1</v>
      </c>
      <c r="E27" s="1"/>
      <c r="G27">
        <v>26</v>
      </c>
      <c r="H27">
        <v>500</v>
      </c>
      <c r="I27">
        <v>1250</v>
      </c>
      <c r="J27">
        <v>250</v>
      </c>
      <c r="K27" t="str">
        <f t="shared" si="2"/>
        <v>1,500;2,1250;3,250</v>
      </c>
      <c r="Z27">
        <v>8</v>
      </c>
      <c r="AA27">
        <v>1</v>
      </c>
      <c r="AB27">
        <f t="array" ref="AB27">IF(Z27=MAX(Z$2:Z$27),2,IF(AA27=MAX(IF(Z$2:Z$27=Z27,AA$2:AA$27)),1,0))</f>
        <v>2</v>
      </c>
      <c r="AC27" s="10">
        <f t="shared" ref="AC27:AE27" si="24">AC26+W$6</f>
        <v>0.15</v>
      </c>
      <c r="AD27" s="10">
        <f t="shared" si="24"/>
        <v>0.15</v>
      </c>
      <c r="AE27" s="10">
        <f t="shared" si="24"/>
        <v>0.15</v>
      </c>
      <c r="AF27" s="1" t="str">
        <f t="shared" si="3"/>
        <v>1,21;2,168;3,8.4</v>
      </c>
      <c r="AG27" s="1" t="str">
        <f t="shared" si="4"/>
        <v>1,0.15;2,0.15;3,0.15</v>
      </c>
    </row>
    <row r="28" spans="7:11">
      <c r="G28">
        <v>27</v>
      </c>
      <c r="H28">
        <v>520</v>
      </c>
      <c r="I28">
        <v>1300</v>
      </c>
      <c r="J28">
        <v>260</v>
      </c>
      <c r="K28" t="str">
        <f t="shared" si="2"/>
        <v>1,520;2,1300;3,260</v>
      </c>
    </row>
    <row r="29" spans="7:11">
      <c r="G29">
        <v>28</v>
      </c>
      <c r="H29">
        <v>540</v>
      </c>
      <c r="I29">
        <v>1350</v>
      </c>
      <c r="J29">
        <v>270</v>
      </c>
      <c r="K29" t="str">
        <f t="shared" si="2"/>
        <v>1,540;2,1350;3,270</v>
      </c>
    </row>
    <row r="30" spans="7:11">
      <c r="G30">
        <v>29</v>
      </c>
      <c r="H30">
        <v>560</v>
      </c>
      <c r="I30">
        <v>1400</v>
      </c>
      <c r="J30">
        <v>280</v>
      </c>
      <c r="K30" t="str">
        <f t="shared" si="2"/>
        <v>1,560;2,1400;3,280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制作表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2022-06-09T08:55:00Z</dcterms:created>
  <dcterms:modified xsi:type="dcterms:W3CDTF">2025-09-19T03:09:56Z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D23033C2AC6D46749988AF066D928D11</vt:lpwstr>
  </property>
  <property fmtid="{D5CDD505-2E9C-101B-9397-08002B2CF9AE}" pid="3" name="KSOProductBuildVer">
    <vt:lpwstr>2052-12.1.0.15374</vt:lpwstr>
  </property>
</Properties>
</file>