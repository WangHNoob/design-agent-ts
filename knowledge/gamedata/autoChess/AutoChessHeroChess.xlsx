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Sheet1!$A$6:$AP$170</definedName>
  </definedNames>
  <calcPr calcId="144525"/>
</workbook>
</file>

<file path=xl/sharedStrings.xml><?xml version="1.0" encoding="utf-8"?>
<sst xmlns="http://schemas.openxmlformats.org/spreadsheetml/2006/main" count="730" uniqueCount="322">
  <si>
    <t>chessId</t>
  </si>
  <si>
    <t>英雄Id</t>
  </si>
  <si>
    <t>EmptyKey-C2</t>
  </si>
  <si>
    <t>星数</t>
  </si>
  <si>
    <t>排序分数</t>
  </si>
  <si>
    <t>下一级的Id,最高级是填-1</t>
  </si>
  <si>
    <t>购买价格</t>
  </si>
  <si>
    <t>出售价格</t>
  </si>
  <si>
    <t>扣血</t>
  </si>
  <si>
    <t>召唤物消耗的血量</t>
  </si>
  <si>
    <t>普通攻击</t>
  </si>
  <si>
    <t>普攻技能等级</t>
  </si>
  <si>
    <t>主动技能1AI权重</t>
  </si>
  <si>
    <t>主动技能1</t>
  </si>
  <si>
    <t>主动技能1等级</t>
  </si>
  <si>
    <t>主动技能2AI权重</t>
  </si>
  <si>
    <t>主动技能2</t>
  </si>
  <si>
    <t>主动技能2等级</t>
  </si>
  <si>
    <t>主动技能3AI权重</t>
  </si>
  <si>
    <t>主动技能3</t>
  </si>
  <si>
    <t>主动技能3等级</t>
  </si>
  <si>
    <t>大招AI权重</t>
  </si>
  <si>
    <t>大招</t>
  </si>
  <si>
    <t>大招等级</t>
  </si>
  <si>
    <t>主动技能456... skill4Id,skill4Level,skill4Weight&amp;&amp;skill5Id,skill5Level,skill5Weight</t>
  </si>
  <si>
    <t>主动技能,level&amp;&amp;主动技能,level</t>
  </si>
  <si>
    <t>被动技能,level&amp;&amp;被动技能,level</t>
  </si>
  <si>
    <t>攻击</t>
  </si>
  <si>
    <t>防御</t>
  </si>
  <si>
    <t>血量</t>
  </si>
  <si>
    <t>速度</t>
  </si>
  <si>
    <t>暴击</t>
  </si>
  <si>
    <t>抗暴</t>
  </si>
  <si>
    <t>命中</t>
  </si>
  <si>
    <t>闪避</t>
  </si>
  <si>
    <t>暴击伤害系数</t>
  </si>
  <si>
    <t>格挡</t>
  </si>
  <si>
    <t>破击</t>
  </si>
  <si>
    <t>抗全</t>
  </si>
  <si>
    <t>技能AI循环顺序，以逗号分隔技能，以分号分隔回合，不填则按顺序释放技能和大招（0为只放普攻，123为技能，4为大招）</t>
  </si>
  <si>
    <t>格挡伤害</t>
  </si>
  <si>
    <t>治疗暴击系数</t>
  </si>
  <si>
    <t>heroId</t>
  </si>
  <si>
    <t>star</t>
  </si>
  <si>
    <t>sortScore</t>
  </si>
  <si>
    <t>nextLevelChessId</t>
  </si>
  <si>
    <t>buyPrice</t>
  </si>
  <si>
    <t>sellPrice</t>
  </si>
  <si>
    <t>hpCost</t>
  </si>
  <si>
    <t>summonHpCost</t>
  </si>
  <si>
    <t>DefaultSkill</t>
  </si>
  <si>
    <t>defaultSkillLevel</t>
  </si>
  <si>
    <t>skill1AIWeight</t>
  </si>
  <si>
    <t>skill1</t>
  </si>
  <si>
    <t>skill1Level</t>
  </si>
  <si>
    <t>skill2AIWeight</t>
  </si>
  <si>
    <t>skill2</t>
  </si>
  <si>
    <t>skill2Level</t>
  </si>
  <si>
    <t>skill3AIWeight</t>
  </si>
  <si>
    <t>skill3</t>
  </si>
  <si>
    <t>skill3Level</t>
  </si>
  <si>
    <t>ultimateSkillAIWeight</t>
  </si>
  <si>
    <t>ultimateSkill</t>
  </si>
  <si>
    <t>ultimateSkillLevel</t>
  </si>
  <si>
    <t>activeSkills</t>
  </si>
  <si>
    <t>skills</t>
  </si>
  <si>
    <t>passiveSkills</t>
  </si>
  <si>
    <t>atk</t>
  </si>
  <si>
    <t>def</t>
  </si>
  <si>
    <t>hp</t>
  </si>
  <si>
    <t>speed</t>
  </si>
  <si>
    <t>cri</t>
  </si>
  <si>
    <t>anticri</t>
  </si>
  <si>
    <t>hit</t>
  </si>
  <si>
    <t>dodge</t>
  </si>
  <si>
    <t>cridamage</t>
  </si>
  <si>
    <t>block</t>
  </si>
  <si>
    <t>antiblock</t>
  </si>
  <si>
    <t>antiwhole</t>
  </si>
  <si>
    <t>skillAI</t>
  </si>
  <si>
    <t>blockdamage</t>
  </si>
  <si>
    <t>critreat</t>
  </si>
  <si>
    <t>int</t>
  </si>
  <si>
    <t>string</t>
  </si>
  <si>
    <t>double</t>
  </si>
  <si>
    <t>primary</t>
  </si>
  <si>
    <t>none</t>
  </si>
  <si>
    <t>defaultSkill</t>
  </si>
  <si>
    <t>强高</t>
  </si>
  <si>
    <t>800049,1</t>
  </si>
  <si>
    <t>800050,1</t>
  </si>
  <si>
    <t>克里克</t>
  </si>
  <si>
    <t>800059,1</t>
  </si>
  <si>
    <t>阿金</t>
  </si>
  <si>
    <t>800070,1</t>
  </si>
  <si>
    <t>帕鲁</t>
  </si>
  <si>
    <t>800078,1</t>
  </si>
  <si>
    <t>800079,1&amp;&amp;800080,1</t>
  </si>
  <si>
    <t>阿龙</t>
  </si>
  <si>
    <t>800090,1</t>
  </si>
  <si>
    <t>小八</t>
  </si>
  <si>
    <t>800099,1</t>
  </si>
  <si>
    <t>800099,1&amp;&amp;800100,1</t>
  </si>
  <si>
    <t>路飞</t>
  </si>
  <si>
    <t>800169,1</t>
  </si>
  <si>
    <t>800169,1&amp;&amp;800170,1</t>
  </si>
  <si>
    <t>索罗</t>
  </si>
  <si>
    <t>800179,1</t>
  </si>
  <si>
    <t>800179,1&amp;&amp;800180,1</t>
  </si>
  <si>
    <t>娜美</t>
  </si>
  <si>
    <t>800188,1&amp;&amp;800190,1</t>
  </si>
  <si>
    <t>800188,1&amp;&amp;800189,1&amp;&amp;800190,1</t>
  </si>
  <si>
    <t>乌索普</t>
  </si>
  <si>
    <t>800199,1</t>
  </si>
  <si>
    <t>800200,1</t>
  </si>
  <si>
    <t>山治</t>
  </si>
  <si>
    <t>800209,1</t>
  </si>
  <si>
    <t>乔巴</t>
  </si>
  <si>
    <t>800218,1&amp;&amp;800219,1&amp;&amp;800222,1</t>
  </si>
  <si>
    <t>800696,1&amp;&amp;800699,1</t>
  </si>
  <si>
    <t>800218,1&amp;&amp;800220,1&amp;&amp;800223,1</t>
  </si>
  <si>
    <t>800227,1&amp;&amp;800225,1&amp;&amp;800697,1&amp;&amp;800700,1</t>
  </si>
  <si>
    <t>800218,1&amp;&amp;800221,1&amp;&amp;800224,1</t>
  </si>
  <si>
    <t>800227,1&amp;&amp;800226,1&amp;&amp;800698,1&amp;&amp;800701,1</t>
  </si>
  <si>
    <t>罗宾</t>
  </si>
  <si>
    <t>弗兰奇</t>
  </si>
  <si>
    <t>800249,1</t>
  </si>
  <si>
    <t>布鲁克</t>
  </si>
  <si>
    <t>800260,1</t>
  </si>
  <si>
    <t>巴基</t>
  </si>
  <si>
    <t>800269,1</t>
  </si>
  <si>
    <t>800270,1</t>
  </si>
  <si>
    <t>斯摩格</t>
  </si>
  <si>
    <t>800279,1</t>
  </si>
  <si>
    <t>800280,1</t>
  </si>
  <si>
    <t>塔西琪</t>
  </si>
  <si>
    <t>800289,1</t>
  </si>
  <si>
    <t>杰布拉</t>
  </si>
  <si>
    <t>800348,1&amp;&amp;800349,1&amp;&amp;800352,1</t>
  </si>
  <si>
    <t>800675,1&amp;&amp;800687,1</t>
  </si>
  <si>
    <t>800348,1&amp;&amp;800350,1&amp;&amp;800353,1</t>
  </si>
  <si>
    <t>800356,1&amp;&amp;800676,1&amp;&amp;800688,1</t>
  </si>
  <si>
    <t>800348,1&amp;&amp;800351,1&amp;&amp;800354,1</t>
  </si>
  <si>
    <t>800357,1&amp;&amp;800677,1&amp;&amp;800689,1</t>
  </si>
  <si>
    <t>佳妮法</t>
  </si>
  <si>
    <t>800367,1</t>
  </si>
  <si>
    <t>卡古</t>
  </si>
  <si>
    <t>800375,1&amp;&amp;800376,1&amp;&amp;800379,1</t>
  </si>
  <si>
    <t>800678,1&amp;&amp;800690,1</t>
  </si>
  <si>
    <t>800375,1&amp;&amp;800377,1&amp;&amp;800380,1</t>
  </si>
  <si>
    <t>800679,1&amp;&amp;800691,1</t>
  </si>
  <si>
    <t>800375,1&amp;&amp;800378,1&amp;&amp;800381,1</t>
  </si>
  <si>
    <t>800680,1&amp;&amp;800692,1</t>
  </si>
  <si>
    <t>阿布萨罗姆</t>
  </si>
  <si>
    <t>豪格巴克</t>
  </si>
  <si>
    <t>800403,1</t>
  </si>
  <si>
    <t>800403,1&amp;&amp;800404,1</t>
  </si>
  <si>
    <t>佩罗娜</t>
  </si>
  <si>
    <t>龙马</t>
  </si>
  <si>
    <t>800423,1</t>
  </si>
  <si>
    <t>800424,1</t>
  </si>
  <si>
    <t>培波</t>
  </si>
  <si>
    <t>800433,1</t>
  </si>
  <si>
    <t>800434,1</t>
  </si>
  <si>
    <t>战桃丸</t>
  </si>
  <si>
    <t>800443,1</t>
  </si>
  <si>
    <t>800443,1&amp;&amp;800444,1</t>
  </si>
  <si>
    <t>沙鳄鱼</t>
  </si>
  <si>
    <t>800453,1</t>
  </si>
  <si>
    <t>800453,1&amp;&amp;800454,1</t>
  </si>
  <si>
    <t>艾尼路</t>
  </si>
  <si>
    <t>800463,1</t>
  </si>
  <si>
    <t>800464,1</t>
  </si>
  <si>
    <t>青雉</t>
  </si>
  <si>
    <t>800473,1</t>
  </si>
  <si>
    <t>800474,1</t>
  </si>
  <si>
    <t>卡普</t>
  </si>
  <si>
    <t>800486,1</t>
  </si>
  <si>
    <t>莫利亚</t>
  </si>
  <si>
    <t>800496,1</t>
  </si>
  <si>
    <t>800496,1&amp;&amp;800497,1</t>
  </si>
  <si>
    <t>大熊</t>
  </si>
  <si>
    <t>800506,1</t>
  </si>
  <si>
    <t>800507,1</t>
  </si>
  <si>
    <t>黄猿</t>
  </si>
  <si>
    <t>800516,1</t>
  </si>
  <si>
    <t>800517,1</t>
  </si>
  <si>
    <t>赤犬</t>
  </si>
  <si>
    <t>800535,1</t>
  </si>
  <si>
    <t>800535,1&amp;&amp;800536,1</t>
  </si>
  <si>
    <t>鹰眼</t>
  </si>
  <si>
    <t>鲁兹</t>
  </si>
  <si>
    <t>800555,1&amp;&amp;800556,1&amp;&amp;800559,1</t>
  </si>
  <si>
    <t>800672,1&amp;&amp;800684,1</t>
  </si>
  <si>
    <t>800555,1&amp;&amp;800557,1&amp;&amp;800560,1</t>
  </si>
  <si>
    <t>800563,1&amp;&amp;800673,1&amp;&amp;800685,1</t>
  </si>
  <si>
    <t>800555,1&amp;&amp;800558,1&amp;&amp;800561,1</t>
  </si>
  <si>
    <t>800563,1&amp;&amp;800564,1&amp;&amp;800674,1&amp;&amp;800686,1</t>
  </si>
  <si>
    <t>甚平</t>
  </si>
  <si>
    <t>800572,1</t>
  </si>
  <si>
    <t>800573,1</t>
  </si>
  <si>
    <t>女帝</t>
  </si>
  <si>
    <t>800583,1</t>
  </si>
  <si>
    <t>800584,1</t>
  </si>
  <si>
    <t>罗</t>
  </si>
  <si>
    <t>800596,1</t>
  </si>
  <si>
    <t>基德</t>
  </si>
  <si>
    <t>雷利</t>
  </si>
  <si>
    <t>800621,1</t>
  </si>
  <si>
    <t>800622,1</t>
  </si>
  <si>
    <t>800623,1</t>
  </si>
  <si>
    <t>战国</t>
  </si>
  <si>
    <t>800631,1&amp;&amp;800632,1&amp;&amp;800635,1</t>
  </si>
  <si>
    <t>800681,1&amp;&amp;800693,1&amp;&amp;800638,1</t>
  </si>
  <si>
    <t>800631,1&amp;&amp;800633,1&amp;&amp;800636,1</t>
  </si>
  <si>
    <t>800682,1&amp;&amp;800694,1&amp;&amp;800638,1&amp;&amp;800639,1</t>
  </si>
  <si>
    <t>800631,1&amp;&amp;800634,1&amp;&amp;800637,1</t>
  </si>
  <si>
    <t>800683,1&amp;&amp;800695,1&amp;&amp;800638,1&amp;&amp;800639,1</t>
  </si>
  <si>
    <t>麦哲伦</t>
  </si>
  <si>
    <t>800649,1</t>
  </si>
  <si>
    <t>800650,1</t>
  </si>
  <si>
    <t>马尔高</t>
  </si>
  <si>
    <t>800741,1&amp;&amp;800742,1&amp;&amp;800745,1</t>
  </si>
  <si>
    <t>800777,1&amp;&amp;800780,1</t>
  </si>
  <si>
    <t>800741,1&amp;&amp;800743,1&amp;&amp;800746,1</t>
  </si>
  <si>
    <t>800736,1&amp;&amp;800778,1&amp;&amp;800781,1</t>
  </si>
  <si>
    <t>800741,1&amp;&amp;800744,1&amp;&amp;800747,1</t>
  </si>
  <si>
    <t>800737,1&amp;&amp;800740,1&amp;&amp;800779,1&amp;&amp;800782,1</t>
  </si>
  <si>
    <t>艾斯</t>
  </si>
  <si>
    <t>800714,1</t>
  </si>
  <si>
    <t>白胡子</t>
  </si>
  <si>
    <t>800723,1&amp;&amp;800726,1</t>
  </si>
  <si>
    <t>800724,1&amp;&amp;800727,1</t>
  </si>
  <si>
    <t>乔兹</t>
  </si>
  <si>
    <t>800772,1</t>
  </si>
  <si>
    <t>800773,1&amp;&amp;800776,1</t>
  </si>
  <si>
    <t>比斯塔</t>
  </si>
  <si>
    <t>大妈</t>
  </si>
  <si>
    <t>800790,1&amp;&amp;800791,1&amp;&amp;800794,1</t>
  </si>
  <si>
    <t>800797,1</t>
  </si>
  <si>
    <t>800790,1&amp;&amp;800792,1&amp;&amp;800795,1</t>
  </si>
  <si>
    <t>800798,1&amp;&amp;800801,1</t>
  </si>
  <si>
    <t>800790,1&amp;&amp;800793,1&amp;&amp;800796,1</t>
  </si>
  <si>
    <t>800799,1&amp;&amp;800802,1</t>
  </si>
  <si>
    <t>卡二</t>
  </si>
  <si>
    <t>800810,1&amp;&amp;800811,1&amp;&amp;800814,1</t>
  </si>
  <si>
    <t>800817,1</t>
  </si>
  <si>
    <t>800810,1&amp;&amp;800812,1&amp;&amp;800815,1</t>
  </si>
  <si>
    <t>800818,1</t>
  </si>
  <si>
    <t>800810,1&amp;&amp;800813,1&amp;&amp;800816,1</t>
  </si>
  <si>
    <t>800819,1</t>
  </si>
  <si>
    <t>饼干</t>
  </si>
  <si>
    <t>800830,1&amp;&amp;800831,1&amp;&amp;800834,1</t>
  </si>
  <si>
    <t>800837,1</t>
  </si>
  <si>
    <t>800830,1&amp;&amp;800832,1&amp;&amp;800835,1</t>
  </si>
  <si>
    <t>800838,1&amp;&amp;800841,1</t>
  </si>
  <si>
    <t>800830,1&amp;&amp;800833,1&amp;&amp;800836,1</t>
  </si>
  <si>
    <t>800839,1&amp;&amp;800842,1</t>
  </si>
  <si>
    <t>奶昔</t>
  </si>
  <si>
    <t>800858,1</t>
  </si>
  <si>
    <t>800859,1&amp;&amp;800862,1</t>
  </si>
  <si>
    <t>id</t>
  </si>
  <si>
    <t>sceneId</t>
  </si>
  <si>
    <t>positionId</t>
  </si>
  <si>
    <t>centerX</t>
  </si>
  <si>
    <t>centerZ</t>
  </si>
  <si>
    <t>directionX</t>
  </si>
  <si>
    <t>directionZ</t>
  </si>
  <si>
    <t>type</t>
  </si>
  <si>
    <t>seek_radius</t>
  </si>
  <si>
    <t>血战司法岛</t>
  </si>
  <si>
    <t>BloodyFightRaid_raidName_2</t>
  </si>
  <si>
    <t>1001,270002,1</t>
  </si>
  <si>
    <t>海军</t>
  </si>
  <si>
    <t>BloodyFightRaid_raidName_3</t>
  </si>
  <si>
    <t>1001,270003,1</t>
  </si>
  <si>
    <t>司法犬</t>
  </si>
  <si>
    <t>布鲁诺</t>
  </si>
  <si>
    <t>猫头鹰</t>
  </si>
  <si>
    <t>偎取</t>
  </si>
  <si>
    <t>加布拉</t>
  </si>
  <si>
    <t>有罪陪审团</t>
  </si>
  <si>
    <t>斯潘达姆</t>
  </si>
  <si>
    <t>卡库</t>
  </si>
  <si>
    <t>CP9</t>
  </si>
  <si>
    <t>卡莉法</t>
  </si>
  <si>
    <t>路奇</t>
  </si>
  <si>
    <t>角色名称</t>
  </si>
  <si>
    <t>角色品级</t>
  </si>
  <si>
    <t>职业</t>
  </si>
  <si>
    <t>属性权重分配</t>
  </si>
  <si>
    <t>1星属性</t>
  </si>
  <si>
    <t>2星属性</t>
  </si>
  <si>
    <t>3星属性</t>
  </si>
  <si>
    <t>生命</t>
  </si>
  <si>
    <t>综合</t>
  </si>
  <si>
    <t>金</t>
  </si>
  <si>
    <t>高攻战</t>
  </si>
  <si>
    <t>平均战</t>
  </si>
  <si>
    <t>坦克</t>
  </si>
  <si>
    <t>射手</t>
  </si>
  <si>
    <t>高攻法</t>
  </si>
  <si>
    <t>紫</t>
  </si>
  <si>
    <t>法师</t>
  </si>
  <si>
    <t>高暴法</t>
  </si>
  <si>
    <t>刺客</t>
  </si>
  <si>
    <t>暴击肉战</t>
  </si>
  <si>
    <t>战士</t>
  </si>
  <si>
    <t>蓝</t>
  </si>
  <si>
    <t>敏战</t>
  </si>
  <si>
    <t>治疗</t>
  </si>
  <si>
    <t>绿</t>
  </si>
  <si>
    <t>猎人</t>
  </si>
  <si>
    <t>半肉半输出偏肉</t>
  </si>
  <si>
    <t>半肉半输出偏输出</t>
  </si>
  <si>
    <t>肉</t>
  </si>
  <si>
    <t>战</t>
  </si>
  <si>
    <t>辅</t>
  </si>
  <si>
    <t>白</t>
  </si>
  <si>
    <t>辅助</t>
  </si>
  <si>
    <t>猎</t>
  </si>
  <si>
    <t>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</si>
</sst>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2" tint="-0.0994598223822749"/>
      </left>
      <right style="thin">
        <color theme="2" tint="-0.0994598223822749"/>
      </right>
      <top style="thin">
        <color theme="2" tint="-0.0994598223822749"/>
      </top>
      <bottom style="thin">
        <color theme="2" tint="-0.099459822382274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6" fillId="14" borderId="0">
      <alignment vertical="center"/>
    </xf>
    <xf numFmtId="0" fontId="7" fillId="15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16" borderId="0">
      <alignment vertical="center"/>
    </xf>
    <xf numFmtId="0" fontId="8" fillId="17" borderId="0">
      <alignment vertical="center"/>
    </xf>
    <xf numFmtId="43" fontId="0" fillId="0" borderId="0">
      <alignment vertical="center"/>
    </xf>
    <xf numFmtId="0" fontId="9" fillId="18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19" borderId="3">
      <alignment vertical="center"/>
    </xf>
    <xf numFmtId="0" fontId="9" fillId="2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4">
      <alignment vertical="center"/>
    </xf>
    <xf numFmtId="0" fontId="17" fillId="0" borderId="4">
      <alignment vertical="center"/>
    </xf>
    <xf numFmtId="0" fontId="9" fillId="21" borderId="0">
      <alignment vertical="center"/>
    </xf>
    <xf numFmtId="0" fontId="12" fillId="0" borderId="5">
      <alignment vertical="center"/>
    </xf>
    <xf numFmtId="0" fontId="9" fillId="22" borderId="0">
      <alignment vertical="center"/>
    </xf>
    <xf numFmtId="0" fontId="18" fillId="23" borderId="6">
      <alignment vertical="center"/>
    </xf>
    <xf numFmtId="0" fontId="19" fillId="23" borderId="2">
      <alignment vertical="center"/>
    </xf>
    <xf numFmtId="0" fontId="20" fillId="24" borderId="7">
      <alignment vertical="center"/>
    </xf>
    <xf numFmtId="0" fontId="6" fillId="25" borderId="0">
      <alignment vertical="center"/>
    </xf>
    <xf numFmtId="0" fontId="9" fillId="26" borderId="0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6" fillId="29" borderId="0">
      <alignment vertical="center"/>
    </xf>
    <xf numFmtId="0" fontId="9" fillId="30" borderId="0">
      <alignment vertical="center"/>
    </xf>
    <xf numFmtId="0" fontId="6" fillId="31" borderId="0">
      <alignment vertical="center"/>
    </xf>
    <xf numFmtId="0" fontId="6" fillId="32" borderId="0">
      <alignment vertical="center"/>
    </xf>
    <xf numFmtId="0" fontId="6" fillId="33" borderId="0">
      <alignment vertical="center"/>
    </xf>
    <xf numFmtId="0" fontId="6" fillId="34" borderId="0">
      <alignment vertical="center"/>
    </xf>
    <xf numFmtId="0" fontId="9" fillId="35" borderId="0">
      <alignment vertical="center"/>
    </xf>
    <xf numFmtId="0" fontId="9" fillId="36" borderId="0">
      <alignment vertical="center"/>
    </xf>
    <xf numFmtId="0" fontId="6" fillId="37" borderId="0">
      <alignment vertical="center"/>
    </xf>
    <xf numFmtId="0" fontId="6" fillId="38" borderId="0">
      <alignment vertical="center"/>
    </xf>
    <xf numFmtId="0" fontId="9" fillId="39" borderId="0">
      <alignment vertical="center"/>
    </xf>
    <xf numFmtId="0" fontId="6" fillId="40" borderId="0">
      <alignment vertical="center"/>
    </xf>
    <xf numFmtId="0" fontId="9" fillId="41" borderId="0">
      <alignment vertical="center"/>
    </xf>
    <xf numFmtId="0" fontId="9" fillId="42" borderId="0">
      <alignment vertical="center"/>
    </xf>
    <xf numFmtId="0" fontId="6" fillId="43" borderId="0">
      <alignment vertical="center"/>
    </xf>
    <xf numFmtId="0" fontId="9" fillId="44" borderId="0">
      <alignment vertical="center"/>
    </xf>
    <xf numFmtId="0" fontId="2" fillId="0" borderId="0">
      <alignment vertical="center"/>
    </xf>
  </cellStyleXfs>
  <cellXfs count="42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0" fillId="4" borderId="0" xfId="0" applyNumberFormat="1" applyFont="1" applyFill="1" applyBorder="1" applyProtection="1"/>
    <xf numFmtId="0" fontId="0" fillId="5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top" wrapText="1"/>
    </xf>
    <xf numFmtId="0" fontId="0" fillId="6" borderId="0" xfId="0" applyNumberFormat="1" applyFont="1" applyFill="1" applyBorder="1" applyAlignment="1" applyProtection="1">
      <alignment vertical="center"/>
    </xf>
    <xf numFmtId="0" fontId="0" fillId="7" borderId="0" xfId="0" applyNumberFormat="1" applyFont="1" applyFill="1" applyBorder="1" applyAlignment="1" applyProtection="1">
      <alignment vertical="center"/>
    </xf>
    <xf numFmtId="0" fontId="0" fillId="5" borderId="0" xfId="0" applyNumberFormat="1" applyFont="1" applyFill="1" applyBorder="1" applyAlignment="1" applyProtection="1">
      <alignment vertical="center"/>
    </xf>
    <xf numFmtId="0" fontId="2" fillId="0" borderId="0" xfId="49" applyNumberFormat="1" applyFont="1" applyFill="1" applyBorder="1" applyAlignment="1" applyProtection="1">
      <alignment horizontal="center" vertical="center"/>
    </xf>
    <xf numFmtId="0" fontId="2" fillId="0" borderId="0" xfId="49" applyNumberFormat="1" applyFont="1" applyFill="1" applyBorder="1" applyAlignment="1" applyProtection="1">
      <alignment horizontal="center" vertical="center" wrapText="1"/>
    </xf>
    <xf numFmtId="0" fontId="2" fillId="0" borderId="0" xfId="49" applyNumberFormat="1" applyFont="1" applyFill="1" applyBorder="1" applyAlignment="1" applyProtection="1">
      <alignment vertical="center"/>
    </xf>
    <xf numFmtId="0" fontId="2" fillId="0" borderId="0" xfId="49" applyNumberFormat="1" applyFont="1" applyFill="1" applyBorder="1" applyAlignment="1" applyProtection="1">
      <alignment horizontal="right" vertical="center"/>
    </xf>
    <xf numFmtId="0" fontId="0" fillId="8" borderId="0" xfId="0" applyNumberFormat="1" applyFont="1" applyFill="1" applyBorder="1" applyAlignment="1" applyProtection="1">
      <alignment horizontal="left"/>
    </xf>
    <xf numFmtId="0" fontId="2" fillId="0" borderId="0" xfId="49" applyNumberFormat="1" applyFont="1" applyFill="1" applyBorder="1" applyAlignment="1" applyProtection="1">
      <alignment horizontal="left" vertical="center"/>
    </xf>
    <xf numFmtId="0" fontId="3" fillId="0" borderId="0" xfId="49" applyNumberFormat="1" applyFont="1" applyFill="1" applyBorder="1" applyAlignment="1" applyProtection="1">
      <alignment horizontal="center" vertical="center"/>
    </xf>
    <xf numFmtId="0" fontId="3" fillId="0" borderId="0" xfId="49" applyNumberFormat="1" applyFont="1" applyFill="1" applyBorder="1" applyAlignment="1" applyProtection="1">
      <alignment vertical="center"/>
    </xf>
    <xf numFmtId="0" fontId="2" fillId="9" borderId="0" xfId="49" applyNumberFormat="1" applyFont="1" applyFill="1" applyBorder="1" applyAlignment="1" applyProtection="1">
      <alignment horizontal="center" vertical="center"/>
    </xf>
    <xf numFmtId="0" fontId="3" fillId="10" borderId="0" xfId="49" applyNumberFormat="1" applyFont="1" applyFill="1" applyBorder="1" applyAlignment="1" applyProtection="1">
      <alignment horizontal="center" vertical="center" wrapText="1"/>
    </xf>
    <xf numFmtId="0" fontId="2" fillId="9" borderId="0" xfId="49" applyNumberFormat="1" applyFont="1" applyFill="1" applyBorder="1" applyAlignment="1" applyProtection="1">
      <alignment vertical="center"/>
    </xf>
    <xf numFmtId="0" fontId="4" fillId="10" borderId="0" xfId="0" applyNumberFormat="1" applyFont="1" applyFill="1" applyBorder="1" applyProtection="1"/>
    <xf numFmtId="0" fontId="0" fillId="10" borderId="0" xfId="0" applyNumberFormat="1" applyFont="1" applyFill="1" applyBorder="1" applyProtection="1"/>
    <xf numFmtId="0" fontId="0" fillId="11" borderId="0" xfId="35" applyNumberFormat="1" applyFont="1" applyFill="1" applyBorder="1" applyAlignment="1" applyProtection="1"/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49" fontId="0" fillId="0" borderId="1" xfId="0" applyNumberFormat="1" applyFont="1" applyFill="1" applyBorder="1" applyAlignment="1" applyProtection="1">
      <alignment vertical="center"/>
    </xf>
    <xf numFmtId="0" fontId="0" fillId="12" borderId="0" xfId="0" applyNumberFormat="1" applyFont="1" applyFill="1" applyBorder="1" applyProtection="1"/>
    <xf numFmtId="0" fontId="0" fillId="13" borderId="0" xfId="0" applyNumberFormat="1" applyFont="1" applyFill="1" applyBorder="1" applyProtection="1"/>
    <xf numFmtId="0" fontId="0" fillId="4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horizontal="left"/>
    </xf>
    <xf numFmtId="0" fontId="0" fillId="3" borderId="0" xfId="0" applyNumberFormat="1" applyFont="1" applyFill="1" applyBorder="1" applyAlignment="1" applyProtection="1">
      <alignment horizontal="left"/>
    </xf>
    <xf numFmtId="0" fontId="0" fillId="4" borderId="0" xfId="0" applyNumberFormat="1" applyFont="1" applyFill="1" applyBorder="1" applyAlignment="1" applyProtection="1">
      <alignment horizontal="left"/>
    </xf>
    <xf numFmtId="0" fontId="0" fillId="5" borderId="0" xfId="0" applyNumberFormat="1" applyFont="1" applyFill="1" applyBorder="1" applyAlignment="1" applyProtection="1">
      <alignment horizontal="left"/>
    </xf>
    <xf numFmtId="49" fontId="0" fillId="0" borderId="0" xfId="0" applyNumberFormat="1" applyFont="1" applyFill="1" applyBorder="1" applyProtection="1"/>
    <xf numFmtId="0" fontId="5" fillId="2" borderId="0" xfId="0" applyNumberFormat="1" applyFont="1" applyFill="1" applyBorder="1" applyProtection="1"/>
    <xf numFmtId="0" fontId="5" fillId="3" borderId="0" xfId="0" applyNumberFormat="1" applyFont="1" applyFill="1" applyBorder="1" applyProtection="1"/>
    <xf numFmtId="0" fontId="5" fillId="4" borderId="0" xfId="0" applyNumberFormat="1" applyFont="1" applyFill="1" applyBorder="1" applyProtection="1"/>
    <xf numFmtId="0" fontId="5" fillId="5" borderId="0" xfId="0" applyNumberFormat="1" applyFont="1" applyFill="1" applyBorder="1" applyProtection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75"/>
  <sheetViews>
    <sheetView tabSelected="1" workbookViewId="0">
      <pane xSplit="3" ySplit="6" topLeftCell="W140" activePane="bottomRight" state="frozen"/>
      <selection/>
      <selection pane="topRight"/>
      <selection pane="bottomLeft"/>
      <selection pane="bottomRight" activeCell="AD156" sqref="AD156"/>
    </sheetView>
  </sheetViews>
  <sheetFormatPr defaultColWidth="9" defaultRowHeight="13.5"/>
  <cols>
    <col min="1" max="1" width="13.3333333333333" customWidth="1"/>
    <col min="2" max="3" width="11.5583333333333" customWidth="1"/>
    <col min="4" max="4" width="9.225" customWidth="1"/>
    <col min="5" max="5" width="10.1083333333333" customWidth="1"/>
    <col min="6" max="6" width="10.5583333333333" customWidth="1"/>
    <col min="7" max="8" width="13.4416666666667" customWidth="1"/>
    <col min="9" max="10" width="11.1083333333333" customWidth="1"/>
    <col min="11" max="11" width="14.4416666666667" customWidth="1"/>
    <col min="12" max="12" width="20" customWidth="1"/>
    <col min="13" max="13" width="11" customWidth="1"/>
    <col min="14" max="14" width="13.6666666666667" customWidth="1"/>
    <col min="15" max="15" width="14.775" customWidth="1"/>
    <col min="23" max="23" width="15.1833333333333" customWidth="1"/>
    <col min="25" max="25" width="23.75" customWidth="1"/>
    <col min="26" max="26" width="32.625" customWidth="1"/>
    <col min="27" max="27" width="21.3833333333333" customWidth="1"/>
    <col min="28" max="28" width="9.63333333333333" customWidth="1"/>
    <col min="36" max="36" width="12.8833333333333" customWidth="1"/>
    <col min="39" max="39" width="17.6333333333333" customWidth="1"/>
    <col min="40" max="40" width="24.6333333333333" customWidth="1"/>
    <col min="41" max="41" width="13.75" customWidth="1"/>
    <col min="42" max="42" width="11" customWidth="1"/>
  </cols>
  <sheetData>
    <row r="1" spans="1:4">
      <c r="A1">
        <v>7</v>
      </c>
      <c r="B1">
        <v>1</v>
      </c>
      <c r="C1">
        <v>9999</v>
      </c>
      <c r="D1">
        <v>42</v>
      </c>
    </row>
    <row r="2" s="3" customFormat="1" ht="67.5" spans="1:42">
      <c r="A2" s="3" t="s">
        <v>0</v>
      </c>
      <c r="B2" s="8" t="s">
        <v>1</v>
      </c>
      <c r="C2" s="8" t="s">
        <v>2</v>
      </c>
      <c r="D2" s="3" t="s">
        <v>3</v>
      </c>
      <c r="E2" s="3" t="s">
        <v>4</v>
      </c>
      <c r="F2" s="8" t="s">
        <v>5</v>
      </c>
      <c r="G2" s="3" t="s">
        <v>6</v>
      </c>
      <c r="H2" s="3" t="s">
        <v>7</v>
      </c>
      <c r="I2" s="3" t="s">
        <v>8</v>
      </c>
      <c r="J2" s="8" t="s">
        <v>9</v>
      </c>
      <c r="K2" s="13" t="s">
        <v>10</v>
      </c>
      <c r="L2" s="13" t="s">
        <v>11</v>
      </c>
      <c r="M2" s="14" t="s">
        <v>12</v>
      </c>
      <c r="N2" s="13" t="s">
        <v>13</v>
      </c>
      <c r="O2" s="14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3" t="s">
        <v>24</v>
      </c>
      <c r="Z2" s="18" t="s">
        <v>25</v>
      </c>
      <c r="AA2" s="13" t="s">
        <v>26</v>
      </c>
      <c r="AB2" s="19" t="s">
        <v>27</v>
      </c>
      <c r="AC2" s="19" t="s">
        <v>28</v>
      </c>
      <c r="AD2" s="19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21" t="s">
        <v>34</v>
      </c>
      <c r="AJ2" s="13" t="s">
        <v>35</v>
      </c>
      <c r="AK2" s="13" t="s">
        <v>36</v>
      </c>
      <c r="AL2" s="13" t="s">
        <v>37</v>
      </c>
      <c r="AM2" s="13" t="s">
        <v>38</v>
      </c>
      <c r="AN2" s="22" t="s">
        <v>39</v>
      </c>
      <c r="AO2" s="3" t="s">
        <v>40</v>
      </c>
      <c r="AP2" s="3" t="s">
        <v>41</v>
      </c>
    </row>
    <row r="3" spans="1:42">
      <c r="A3" s="1" t="s">
        <v>0</v>
      </c>
      <c r="B3" s="9" t="s">
        <v>42</v>
      </c>
      <c r="C3" s="9"/>
      <c r="D3" s="1" t="s">
        <v>43</v>
      </c>
      <c r="E3" s="1" t="s">
        <v>44</v>
      </c>
      <c r="F3" s="1" t="s">
        <v>45</v>
      </c>
      <c r="G3" t="s">
        <v>46</v>
      </c>
      <c r="H3" s="1" t="s">
        <v>47</v>
      </c>
      <c r="I3" s="1" t="s">
        <v>48</v>
      </c>
      <c r="J3" s="1" t="s">
        <v>49</v>
      </c>
      <c r="K3" s="15" t="s">
        <v>50</v>
      </c>
      <c r="L3" s="16" t="s">
        <v>51</v>
      </c>
      <c r="M3" s="16" t="s">
        <v>52</v>
      </c>
      <c r="N3" s="16" t="s">
        <v>53</v>
      </c>
      <c r="O3" s="16" t="s">
        <v>54</v>
      </c>
      <c r="P3" s="16" t="s">
        <v>55</v>
      </c>
      <c r="Q3" s="16" t="s">
        <v>56</v>
      </c>
      <c r="R3" s="16" t="s">
        <v>57</v>
      </c>
      <c r="S3" s="15" t="s">
        <v>58</v>
      </c>
      <c r="T3" s="15" t="s">
        <v>59</v>
      </c>
      <c r="U3" s="15" t="s">
        <v>60</v>
      </c>
      <c r="V3" s="15" t="s">
        <v>61</v>
      </c>
      <c r="W3" s="15" t="s">
        <v>62</v>
      </c>
      <c r="X3" s="15" t="s">
        <v>63</v>
      </c>
      <c r="Y3" s="15" t="s">
        <v>64</v>
      </c>
      <c r="Z3" s="15" t="s">
        <v>65</v>
      </c>
      <c r="AA3" s="18" t="s">
        <v>66</v>
      </c>
      <c r="AB3" s="20" t="s">
        <v>67</v>
      </c>
      <c r="AC3" s="20" t="s">
        <v>68</v>
      </c>
      <c r="AD3" s="20" t="s">
        <v>69</v>
      </c>
      <c r="AE3" s="15" t="s">
        <v>70</v>
      </c>
      <c r="AF3" s="15" t="s">
        <v>71</v>
      </c>
      <c r="AG3" s="15" t="s">
        <v>72</v>
      </c>
      <c r="AH3" s="15" t="s">
        <v>73</v>
      </c>
      <c r="AI3" s="23" t="s">
        <v>74</v>
      </c>
      <c r="AJ3" s="15" t="s">
        <v>75</v>
      </c>
      <c r="AK3" s="15" t="s">
        <v>76</v>
      </c>
      <c r="AL3" s="15" t="s">
        <v>77</v>
      </c>
      <c r="AM3" s="15" t="s">
        <v>78</v>
      </c>
      <c r="AN3" s="24" t="s">
        <v>79</v>
      </c>
      <c r="AO3" s="26" t="s">
        <v>80</v>
      </c>
      <c r="AP3" t="s">
        <v>81</v>
      </c>
    </row>
    <row r="4" spans="1:42">
      <c r="A4" s="1" t="s">
        <v>82</v>
      </c>
      <c r="B4" s="1" t="s">
        <v>82</v>
      </c>
      <c r="C4" s="1"/>
      <c r="D4" s="1" t="s">
        <v>82</v>
      </c>
      <c r="E4" s="1" t="s">
        <v>82</v>
      </c>
      <c r="F4" s="1"/>
      <c r="G4" s="1" t="s">
        <v>82</v>
      </c>
      <c r="H4" s="1" t="s">
        <v>82</v>
      </c>
      <c r="I4" s="1" t="s">
        <v>82</v>
      </c>
      <c r="J4" s="1" t="s">
        <v>82</v>
      </c>
      <c r="K4" s="15" t="s">
        <v>82</v>
      </c>
      <c r="L4" s="15" t="s">
        <v>82</v>
      </c>
      <c r="M4" s="15" t="s">
        <v>82</v>
      </c>
      <c r="N4" s="15" t="s">
        <v>82</v>
      </c>
      <c r="O4" s="15" t="s">
        <v>82</v>
      </c>
      <c r="P4" s="15" t="s">
        <v>82</v>
      </c>
      <c r="Q4" s="15" t="s">
        <v>82</v>
      </c>
      <c r="R4" s="15" t="s">
        <v>82</v>
      </c>
      <c r="S4" s="15" t="s">
        <v>82</v>
      </c>
      <c r="T4" s="15" t="s">
        <v>82</v>
      </c>
      <c r="U4" s="15" t="s">
        <v>82</v>
      </c>
      <c r="V4" s="15" t="s">
        <v>82</v>
      </c>
      <c r="W4" s="15" t="s">
        <v>82</v>
      </c>
      <c r="X4" s="15" t="s">
        <v>82</v>
      </c>
      <c r="Y4" s="15" t="s">
        <v>82</v>
      </c>
      <c r="Z4" s="20" t="s">
        <v>83</v>
      </c>
      <c r="AA4" s="20" t="s">
        <v>83</v>
      </c>
      <c r="AB4" t="s">
        <v>84</v>
      </c>
      <c r="AC4" t="s">
        <v>84</v>
      </c>
      <c r="AD4" t="s">
        <v>84</v>
      </c>
      <c r="AE4" t="s">
        <v>84</v>
      </c>
      <c r="AF4" t="s">
        <v>84</v>
      </c>
      <c r="AG4" t="s">
        <v>84</v>
      </c>
      <c r="AH4" t="s">
        <v>84</v>
      </c>
      <c r="AI4" t="s">
        <v>84</v>
      </c>
      <c r="AJ4" t="s">
        <v>84</v>
      </c>
      <c r="AK4" t="s">
        <v>84</v>
      </c>
      <c r="AL4" t="s">
        <v>84</v>
      </c>
      <c r="AM4" t="s">
        <v>84</v>
      </c>
      <c r="AN4" s="25" t="s">
        <v>83</v>
      </c>
      <c r="AO4" s="26" t="s">
        <v>84</v>
      </c>
      <c r="AP4" t="s">
        <v>84</v>
      </c>
    </row>
    <row r="5" spans="1:42">
      <c r="A5" s="1" t="s">
        <v>85</v>
      </c>
      <c r="B5" s="1" t="s">
        <v>86</v>
      </c>
      <c r="C5" s="1"/>
      <c r="D5" s="1" t="s">
        <v>86</v>
      </c>
      <c r="E5" s="1" t="s">
        <v>86</v>
      </c>
      <c r="F5" s="1"/>
      <c r="G5" s="1" t="s">
        <v>86</v>
      </c>
      <c r="H5" s="1" t="s">
        <v>86</v>
      </c>
      <c r="I5" s="1" t="s">
        <v>86</v>
      </c>
      <c r="J5" s="1" t="s">
        <v>86</v>
      </c>
      <c r="K5" s="15" t="s">
        <v>86</v>
      </c>
      <c r="L5" s="15" t="s">
        <v>86</v>
      </c>
      <c r="M5" s="15" t="s">
        <v>86</v>
      </c>
      <c r="N5" s="15" t="s">
        <v>86</v>
      </c>
      <c r="O5" s="15" t="s">
        <v>86</v>
      </c>
      <c r="P5" s="15" t="s">
        <v>86</v>
      </c>
      <c r="Q5" s="15" t="s">
        <v>86</v>
      </c>
      <c r="R5" s="15" t="s">
        <v>86</v>
      </c>
      <c r="S5" s="15" t="s">
        <v>86</v>
      </c>
      <c r="T5" s="15" t="s">
        <v>86</v>
      </c>
      <c r="U5" s="15" t="s">
        <v>86</v>
      </c>
      <c r="V5" s="15" t="s">
        <v>86</v>
      </c>
      <c r="W5" s="15" t="s">
        <v>86</v>
      </c>
      <c r="X5" s="15" t="s">
        <v>86</v>
      </c>
      <c r="Y5" s="15" t="s">
        <v>86</v>
      </c>
      <c r="Z5" s="20" t="s">
        <v>86</v>
      </c>
      <c r="AA5" s="20" t="s">
        <v>86</v>
      </c>
      <c r="AB5" s="20" t="s">
        <v>86</v>
      </c>
      <c r="AC5" s="20" t="s">
        <v>86</v>
      </c>
      <c r="AD5" s="20" t="s">
        <v>86</v>
      </c>
      <c r="AE5" s="20" t="s">
        <v>86</v>
      </c>
      <c r="AF5" s="20" t="s">
        <v>86</v>
      </c>
      <c r="AG5" s="20" t="s">
        <v>86</v>
      </c>
      <c r="AH5" s="20" t="s">
        <v>86</v>
      </c>
      <c r="AI5" s="20" t="s">
        <v>86</v>
      </c>
      <c r="AJ5" s="20" t="s">
        <v>86</v>
      </c>
      <c r="AK5" s="20" t="s">
        <v>86</v>
      </c>
      <c r="AL5" s="20" t="s">
        <v>86</v>
      </c>
      <c r="AM5" s="20" t="s">
        <v>86</v>
      </c>
      <c r="AN5" s="25" t="s">
        <v>86</v>
      </c>
      <c r="AO5" s="26" t="s">
        <v>86</v>
      </c>
      <c r="AP5" t="s">
        <v>86</v>
      </c>
    </row>
    <row r="6" spans="1:42">
      <c r="A6" s="1" t="s">
        <v>0</v>
      </c>
      <c r="B6" s="9" t="s">
        <v>42</v>
      </c>
      <c r="C6" s="9"/>
      <c r="D6" s="1" t="s">
        <v>43</v>
      </c>
      <c r="E6" s="1" t="s">
        <v>44</v>
      </c>
      <c r="F6" s="1" t="s">
        <v>45</v>
      </c>
      <c r="G6" t="s">
        <v>46</v>
      </c>
      <c r="H6" s="1" t="s">
        <v>47</v>
      </c>
      <c r="I6" s="1" t="s">
        <v>48</v>
      </c>
      <c r="J6" s="1" t="s">
        <v>49</v>
      </c>
      <c r="K6" s="15" t="s">
        <v>87</v>
      </c>
      <c r="L6" s="16" t="s">
        <v>51</v>
      </c>
      <c r="M6" s="16" t="s">
        <v>52</v>
      </c>
      <c r="N6" s="16" t="s">
        <v>53</v>
      </c>
      <c r="O6" s="16" t="s">
        <v>54</v>
      </c>
      <c r="P6" s="16" t="s">
        <v>55</v>
      </c>
      <c r="Q6" s="16" t="s">
        <v>56</v>
      </c>
      <c r="R6" s="16" t="s">
        <v>57</v>
      </c>
      <c r="S6" s="15" t="s">
        <v>58</v>
      </c>
      <c r="T6" s="15" t="s">
        <v>59</v>
      </c>
      <c r="U6" s="15" t="s">
        <v>60</v>
      </c>
      <c r="V6" s="15" t="s">
        <v>61</v>
      </c>
      <c r="W6" s="15" t="s">
        <v>62</v>
      </c>
      <c r="X6" s="15" t="s">
        <v>63</v>
      </c>
      <c r="Y6" s="15" t="s">
        <v>64</v>
      </c>
      <c r="Z6" s="15" t="s">
        <v>65</v>
      </c>
      <c r="AA6" s="18" t="s">
        <v>66</v>
      </c>
      <c r="AB6" s="20" t="s">
        <v>67</v>
      </c>
      <c r="AC6" s="20" t="s">
        <v>68</v>
      </c>
      <c r="AD6" s="20" t="s">
        <v>69</v>
      </c>
      <c r="AE6" s="15" t="s">
        <v>70</v>
      </c>
      <c r="AF6" s="15" t="s">
        <v>71</v>
      </c>
      <c r="AG6" s="15" t="s">
        <v>72</v>
      </c>
      <c r="AH6" s="15" t="s">
        <v>73</v>
      </c>
      <c r="AI6" s="23" t="s">
        <v>74</v>
      </c>
      <c r="AJ6" s="15" t="s">
        <v>75</v>
      </c>
      <c r="AK6" s="15" t="s">
        <v>76</v>
      </c>
      <c r="AL6" s="15" t="s">
        <v>77</v>
      </c>
      <c r="AM6" s="15" t="s">
        <v>78</v>
      </c>
      <c r="AN6" s="24" t="s">
        <v>79</v>
      </c>
      <c r="AO6" s="26" t="s">
        <v>80</v>
      </c>
      <c r="AP6" t="s">
        <v>81</v>
      </c>
    </row>
    <row r="7" spans="1:41">
      <c r="A7">
        <v>13</v>
      </c>
      <c r="B7" s="1">
        <v>111005</v>
      </c>
      <c r="C7" s="10" t="s">
        <v>88</v>
      </c>
      <c r="D7">
        <v>1</v>
      </c>
      <c r="E7">
        <v>1</v>
      </c>
      <c r="F7">
        <v>14</v>
      </c>
      <c r="G7">
        <v>1</v>
      </c>
      <c r="H7">
        <v>1</v>
      </c>
      <c r="I7">
        <v>2</v>
      </c>
      <c r="J7">
        <v>0</v>
      </c>
      <c r="K7">
        <v>800041</v>
      </c>
      <c r="L7">
        <v>1</v>
      </c>
      <c r="M7">
        <v>10</v>
      </c>
      <c r="N7" s="17">
        <v>800042</v>
      </c>
      <c r="O7">
        <v>1</v>
      </c>
      <c r="V7">
        <v>10</v>
      </c>
      <c r="W7" s="17">
        <v>800045</v>
      </c>
      <c r="X7">
        <v>1</v>
      </c>
      <c r="AB7">
        <v>2645</v>
      </c>
      <c r="AC7">
        <v>759</v>
      </c>
      <c r="AD7">
        <v>11960</v>
      </c>
      <c r="AE7">
        <v>288</v>
      </c>
      <c r="AF7">
        <v>0</v>
      </c>
      <c r="AG7">
        <v>0</v>
      </c>
      <c r="AH7">
        <v>1</v>
      </c>
      <c r="AI7">
        <v>0</v>
      </c>
      <c r="AJ7">
        <v>1.5</v>
      </c>
      <c r="AK7">
        <v>0</v>
      </c>
      <c r="AL7">
        <v>0</v>
      </c>
      <c r="AM7">
        <v>0</v>
      </c>
      <c r="AO7">
        <v>0.5</v>
      </c>
    </row>
    <row r="8" spans="1:41">
      <c r="A8">
        <v>14</v>
      </c>
      <c r="B8" s="1">
        <v>111005</v>
      </c>
      <c r="C8" s="10" t="s">
        <v>88</v>
      </c>
      <c r="D8">
        <v>2</v>
      </c>
      <c r="E8">
        <v>3</v>
      </c>
      <c r="F8">
        <v>15</v>
      </c>
      <c r="G8">
        <v>1</v>
      </c>
      <c r="H8">
        <v>3</v>
      </c>
      <c r="I8">
        <v>3</v>
      </c>
      <c r="J8">
        <v>0</v>
      </c>
      <c r="K8">
        <v>800041</v>
      </c>
      <c r="L8">
        <v>1</v>
      </c>
      <c r="M8">
        <v>10</v>
      </c>
      <c r="N8" s="17">
        <v>800043</v>
      </c>
      <c r="O8">
        <v>1</v>
      </c>
      <c r="V8">
        <v>10</v>
      </c>
      <c r="W8" s="17">
        <v>800046</v>
      </c>
      <c r="X8">
        <v>1</v>
      </c>
      <c r="AA8" t="s">
        <v>89</v>
      </c>
      <c r="AB8">
        <v>3703</v>
      </c>
      <c r="AC8">
        <v>1063</v>
      </c>
      <c r="AD8">
        <v>16744</v>
      </c>
      <c r="AE8">
        <v>288</v>
      </c>
      <c r="AF8">
        <v>0</v>
      </c>
      <c r="AG8">
        <v>0</v>
      </c>
      <c r="AH8">
        <v>1</v>
      </c>
      <c r="AI8">
        <v>0</v>
      </c>
      <c r="AJ8">
        <v>1.5</v>
      </c>
      <c r="AK8">
        <v>0</v>
      </c>
      <c r="AL8">
        <v>0</v>
      </c>
      <c r="AM8">
        <v>0</v>
      </c>
      <c r="AO8">
        <v>0.5</v>
      </c>
    </row>
    <row r="9" spans="1:41">
      <c r="A9">
        <v>15</v>
      </c>
      <c r="B9" s="1">
        <v>111005</v>
      </c>
      <c r="C9" s="10" t="s">
        <v>88</v>
      </c>
      <c r="D9">
        <v>3</v>
      </c>
      <c r="E9">
        <v>5</v>
      </c>
      <c r="F9">
        <v>-1</v>
      </c>
      <c r="G9">
        <v>1</v>
      </c>
      <c r="H9">
        <v>5</v>
      </c>
      <c r="I9">
        <v>5</v>
      </c>
      <c r="J9">
        <v>0</v>
      </c>
      <c r="K9">
        <v>800041</v>
      </c>
      <c r="L9">
        <v>1</v>
      </c>
      <c r="M9">
        <v>10</v>
      </c>
      <c r="N9" s="17">
        <v>800044</v>
      </c>
      <c r="O9">
        <v>1</v>
      </c>
      <c r="V9">
        <v>10</v>
      </c>
      <c r="W9" s="17">
        <v>800047</v>
      </c>
      <c r="X9">
        <v>1</v>
      </c>
      <c r="AA9" t="s">
        <v>90</v>
      </c>
      <c r="AB9">
        <v>5290</v>
      </c>
      <c r="AC9">
        <v>1518</v>
      </c>
      <c r="AD9">
        <v>23920</v>
      </c>
      <c r="AE9">
        <v>288</v>
      </c>
      <c r="AF9">
        <v>0</v>
      </c>
      <c r="AG9">
        <v>0</v>
      </c>
      <c r="AH9">
        <v>1</v>
      </c>
      <c r="AI9">
        <v>0</v>
      </c>
      <c r="AJ9">
        <v>1.5</v>
      </c>
      <c r="AK9">
        <v>0</v>
      </c>
      <c r="AL9">
        <v>0</v>
      </c>
      <c r="AM9">
        <v>0</v>
      </c>
      <c r="AO9">
        <v>0.5</v>
      </c>
    </row>
    <row r="10" spans="1:41">
      <c r="A10">
        <v>16</v>
      </c>
      <c r="B10" s="1">
        <v>111006</v>
      </c>
      <c r="C10" s="10" t="s">
        <v>91</v>
      </c>
      <c r="D10">
        <v>1</v>
      </c>
      <c r="E10">
        <v>1</v>
      </c>
      <c r="F10">
        <v>17</v>
      </c>
      <c r="G10">
        <v>1</v>
      </c>
      <c r="H10">
        <v>1</v>
      </c>
      <c r="I10">
        <v>2</v>
      </c>
      <c r="J10">
        <v>0</v>
      </c>
      <c r="K10">
        <v>800051</v>
      </c>
      <c r="L10">
        <v>1</v>
      </c>
      <c r="M10">
        <v>10</v>
      </c>
      <c r="N10" s="17">
        <v>800052</v>
      </c>
      <c r="O10">
        <v>1</v>
      </c>
      <c r="V10">
        <v>10</v>
      </c>
      <c r="W10" s="17">
        <v>800055</v>
      </c>
      <c r="X10">
        <v>1</v>
      </c>
      <c r="AB10">
        <v>2760</v>
      </c>
      <c r="AC10">
        <v>805</v>
      </c>
      <c r="AD10">
        <v>10350</v>
      </c>
      <c r="AE10">
        <v>326</v>
      </c>
      <c r="AF10">
        <v>0</v>
      </c>
      <c r="AG10">
        <v>0</v>
      </c>
      <c r="AH10">
        <v>1</v>
      </c>
      <c r="AI10">
        <v>0</v>
      </c>
      <c r="AJ10">
        <v>1.5</v>
      </c>
      <c r="AK10">
        <v>0</v>
      </c>
      <c r="AL10">
        <v>0</v>
      </c>
      <c r="AM10">
        <v>0</v>
      </c>
      <c r="AO10">
        <v>0.5</v>
      </c>
    </row>
    <row r="11" spans="1:41">
      <c r="A11">
        <v>17</v>
      </c>
      <c r="B11" s="1">
        <v>111006</v>
      </c>
      <c r="C11" s="10" t="s">
        <v>91</v>
      </c>
      <c r="D11">
        <v>2</v>
      </c>
      <c r="E11">
        <v>3</v>
      </c>
      <c r="F11">
        <v>18</v>
      </c>
      <c r="G11">
        <v>1</v>
      </c>
      <c r="H11">
        <v>3</v>
      </c>
      <c r="I11">
        <v>3</v>
      </c>
      <c r="J11">
        <v>0</v>
      </c>
      <c r="K11">
        <v>800051</v>
      </c>
      <c r="L11">
        <v>1</v>
      </c>
      <c r="M11">
        <v>10</v>
      </c>
      <c r="N11" s="17">
        <v>800053</v>
      </c>
      <c r="O11">
        <v>1</v>
      </c>
      <c r="V11">
        <v>10</v>
      </c>
      <c r="W11" s="17">
        <v>800056</v>
      </c>
      <c r="X11">
        <v>1</v>
      </c>
      <c r="AA11" t="s">
        <v>92</v>
      </c>
      <c r="AB11">
        <v>3864</v>
      </c>
      <c r="AC11">
        <v>1127</v>
      </c>
      <c r="AD11">
        <v>14490</v>
      </c>
      <c r="AE11">
        <v>326</v>
      </c>
      <c r="AF11">
        <v>0</v>
      </c>
      <c r="AG11">
        <v>0</v>
      </c>
      <c r="AH11">
        <v>1</v>
      </c>
      <c r="AI11">
        <v>0</v>
      </c>
      <c r="AJ11">
        <v>1.5</v>
      </c>
      <c r="AK11">
        <v>0</v>
      </c>
      <c r="AL11">
        <v>0</v>
      </c>
      <c r="AM11">
        <v>0</v>
      </c>
      <c r="AO11">
        <v>0.5</v>
      </c>
    </row>
    <row r="12" spans="1:41">
      <c r="A12">
        <v>18</v>
      </c>
      <c r="B12" s="1">
        <v>111006</v>
      </c>
      <c r="C12" s="10" t="s">
        <v>91</v>
      </c>
      <c r="D12">
        <v>3</v>
      </c>
      <c r="E12">
        <v>5</v>
      </c>
      <c r="F12">
        <v>-1</v>
      </c>
      <c r="G12">
        <v>1</v>
      </c>
      <c r="H12">
        <v>5</v>
      </c>
      <c r="I12">
        <v>5</v>
      </c>
      <c r="J12">
        <v>0</v>
      </c>
      <c r="K12">
        <v>800051</v>
      </c>
      <c r="L12">
        <v>1</v>
      </c>
      <c r="M12">
        <v>10</v>
      </c>
      <c r="N12" s="17">
        <v>800054</v>
      </c>
      <c r="O12">
        <v>1</v>
      </c>
      <c r="V12">
        <v>10</v>
      </c>
      <c r="W12" s="17">
        <v>800057</v>
      </c>
      <c r="X12">
        <v>1</v>
      </c>
      <c r="AA12" t="s">
        <v>92</v>
      </c>
      <c r="AB12">
        <v>5520</v>
      </c>
      <c r="AC12">
        <v>1610</v>
      </c>
      <c r="AD12">
        <v>20700</v>
      </c>
      <c r="AE12">
        <v>326</v>
      </c>
      <c r="AF12">
        <v>0</v>
      </c>
      <c r="AG12">
        <v>0</v>
      </c>
      <c r="AH12">
        <v>1</v>
      </c>
      <c r="AI12">
        <v>0</v>
      </c>
      <c r="AJ12">
        <v>1.5</v>
      </c>
      <c r="AK12">
        <v>0</v>
      </c>
      <c r="AL12">
        <v>0</v>
      </c>
      <c r="AM12">
        <v>0</v>
      </c>
      <c r="AO12">
        <v>0.5</v>
      </c>
    </row>
    <row r="13" spans="1:41">
      <c r="A13">
        <v>19</v>
      </c>
      <c r="B13" s="1">
        <v>111007</v>
      </c>
      <c r="C13" s="10" t="s">
        <v>93</v>
      </c>
      <c r="D13">
        <v>1</v>
      </c>
      <c r="E13">
        <v>1</v>
      </c>
      <c r="F13">
        <v>20</v>
      </c>
      <c r="G13">
        <v>1</v>
      </c>
      <c r="H13">
        <v>1</v>
      </c>
      <c r="I13">
        <v>2</v>
      </c>
      <c r="J13">
        <v>0</v>
      </c>
      <c r="K13">
        <v>800061</v>
      </c>
      <c r="L13">
        <v>1</v>
      </c>
      <c r="M13">
        <v>10</v>
      </c>
      <c r="N13" s="17">
        <v>800062</v>
      </c>
      <c r="O13">
        <v>1</v>
      </c>
      <c r="V13">
        <v>10</v>
      </c>
      <c r="W13" s="17">
        <v>800065</v>
      </c>
      <c r="X13">
        <v>1</v>
      </c>
      <c r="AB13">
        <v>2323</v>
      </c>
      <c r="AC13">
        <v>851</v>
      </c>
      <c r="AD13">
        <v>14260</v>
      </c>
      <c r="AE13">
        <v>233</v>
      </c>
      <c r="AF13">
        <v>0</v>
      </c>
      <c r="AG13">
        <v>0</v>
      </c>
      <c r="AH13">
        <v>1</v>
      </c>
      <c r="AI13">
        <v>0</v>
      </c>
      <c r="AJ13">
        <v>1.5</v>
      </c>
      <c r="AK13">
        <v>0</v>
      </c>
      <c r="AL13">
        <v>0</v>
      </c>
      <c r="AM13">
        <v>0</v>
      </c>
      <c r="AO13">
        <v>0.5</v>
      </c>
    </row>
    <row r="14" spans="1:41">
      <c r="A14">
        <v>20</v>
      </c>
      <c r="B14" s="1">
        <v>111007</v>
      </c>
      <c r="C14" s="10" t="s">
        <v>93</v>
      </c>
      <c r="D14">
        <v>2</v>
      </c>
      <c r="E14">
        <v>3</v>
      </c>
      <c r="F14">
        <v>21</v>
      </c>
      <c r="G14">
        <v>1</v>
      </c>
      <c r="H14">
        <v>3</v>
      </c>
      <c r="I14">
        <v>3</v>
      </c>
      <c r="J14">
        <v>0</v>
      </c>
      <c r="K14">
        <v>800061</v>
      </c>
      <c r="L14">
        <v>1</v>
      </c>
      <c r="M14">
        <v>10</v>
      </c>
      <c r="N14" s="17">
        <v>800063</v>
      </c>
      <c r="O14">
        <v>1</v>
      </c>
      <c r="V14">
        <v>10</v>
      </c>
      <c r="W14" s="17">
        <v>800066</v>
      </c>
      <c r="X14">
        <v>1</v>
      </c>
      <c r="AB14">
        <v>3252</v>
      </c>
      <c r="AC14">
        <v>1191</v>
      </c>
      <c r="AD14">
        <v>19964</v>
      </c>
      <c r="AE14">
        <v>233</v>
      </c>
      <c r="AF14">
        <v>0</v>
      </c>
      <c r="AG14">
        <v>0</v>
      </c>
      <c r="AH14">
        <v>1</v>
      </c>
      <c r="AI14">
        <v>0</v>
      </c>
      <c r="AJ14">
        <v>1.5</v>
      </c>
      <c r="AK14">
        <v>0</v>
      </c>
      <c r="AL14">
        <v>0</v>
      </c>
      <c r="AM14">
        <v>0</v>
      </c>
      <c r="AO14">
        <v>0.5</v>
      </c>
    </row>
    <row r="15" spans="1:41">
      <c r="A15">
        <v>21</v>
      </c>
      <c r="B15" s="1">
        <v>111007</v>
      </c>
      <c r="C15" s="10" t="s">
        <v>93</v>
      </c>
      <c r="D15">
        <v>3</v>
      </c>
      <c r="E15">
        <v>5</v>
      </c>
      <c r="F15">
        <v>-1</v>
      </c>
      <c r="G15">
        <v>1</v>
      </c>
      <c r="H15">
        <v>5</v>
      </c>
      <c r="I15">
        <v>5</v>
      </c>
      <c r="J15">
        <v>0</v>
      </c>
      <c r="K15">
        <v>800061</v>
      </c>
      <c r="L15">
        <v>1</v>
      </c>
      <c r="M15">
        <v>10</v>
      </c>
      <c r="N15" s="17">
        <v>800064</v>
      </c>
      <c r="O15">
        <v>1</v>
      </c>
      <c r="V15">
        <v>10</v>
      </c>
      <c r="W15" s="17">
        <v>800067</v>
      </c>
      <c r="X15">
        <v>1</v>
      </c>
      <c r="AA15" t="s">
        <v>94</v>
      </c>
      <c r="AB15">
        <v>4646</v>
      </c>
      <c r="AC15">
        <v>1702</v>
      </c>
      <c r="AD15">
        <v>28520</v>
      </c>
      <c r="AE15">
        <v>233</v>
      </c>
      <c r="AF15">
        <v>0</v>
      </c>
      <c r="AG15">
        <v>0</v>
      </c>
      <c r="AH15">
        <v>1</v>
      </c>
      <c r="AI15">
        <v>0</v>
      </c>
      <c r="AJ15">
        <v>1.5</v>
      </c>
      <c r="AK15">
        <v>0</v>
      </c>
      <c r="AL15">
        <v>0</v>
      </c>
      <c r="AM15">
        <v>0</v>
      </c>
      <c r="AO15">
        <v>0.5</v>
      </c>
    </row>
    <row r="16" spans="1:41">
      <c r="A16">
        <v>22</v>
      </c>
      <c r="B16" s="1">
        <v>111008</v>
      </c>
      <c r="C16" s="10" t="s">
        <v>95</v>
      </c>
      <c r="D16">
        <v>1</v>
      </c>
      <c r="E16">
        <v>1</v>
      </c>
      <c r="F16">
        <v>23</v>
      </c>
      <c r="G16">
        <v>1</v>
      </c>
      <c r="H16">
        <v>1</v>
      </c>
      <c r="I16">
        <v>2</v>
      </c>
      <c r="J16">
        <v>0</v>
      </c>
      <c r="K16">
        <v>800071</v>
      </c>
      <c r="L16">
        <v>1</v>
      </c>
      <c r="M16">
        <v>10</v>
      </c>
      <c r="N16" s="17">
        <v>800072</v>
      </c>
      <c r="O16">
        <v>1</v>
      </c>
      <c r="V16">
        <v>10</v>
      </c>
      <c r="W16" s="17">
        <v>800075</v>
      </c>
      <c r="X16">
        <v>1</v>
      </c>
      <c r="AB16">
        <v>1679</v>
      </c>
      <c r="AC16">
        <v>1081</v>
      </c>
      <c r="AD16">
        <v>18400</v>
      </c>
      <c r="AE16">
        <v>211</v>
      </c>
      <c r="AF16">
        <v>0</v>
      </c>
      <c r="AG16">
        <v>0</v>
      </c>
      <c r="AH16">
        <v>1</v>
      </c>
      <c r="AI16">
        <v>0</v>
      </c>
      <c r="AJ16">
        <v>1.5</v>
      </c>
      <c r="AK16">
        <v>0</v>
      </c>
      <c r="AL16">
        <v>0</v>
      </c>
      <c r="AM16">
        <v>0</v>
      </c>
      <c r="AO16">
        <v>0.5</v>
      </c>
    </row>
    <row r="17" spans="1:41">
      <c r="A17">
        <v>23</v>
      </c>
      <c r="B17" s="1">
        <v>111008</v>
      </c>
      <c r="C17" s="10" t="s">
        <v>95</v>
      </c>
      <c r="D17">
        <v>2</v>
      </c>
      <c r="E17">
        <v>3</v>
      </c>
      <c r="F17">
        <v>24</v>
      </c>
      <c r="G17">
        <v>1</v>
      </c>
      <c r="H17">
        <v>3</v>
      </c>
      <c r="I17">
        <v>3</v>
      </c>
      <c r="J17">
        <v>0</v>
      </c>
      <c r="K17">
        <v>800071</v>
      </c>
      <c r="L17">
        <v>1</v>
      </c>
      <c r="M17">
        <v>10</v>
      </c>
      <c r="N17" s="17">
        <v>800073</v>
      </c>
      <c r="O17">
        <v>1</v>
      </c>
      <c r="V17">
        <v>10</v>
      </c>
      <c r="W17" s="17">
        <v>800076</v>
      </c>
      <c r="X17">
        <v>1</v>
      </c>
      <c r="AA17" t="s">
        <v>96</v>
      </c>
      <c r="AB17">
        <v>2351</v>
      </c>
      <c r="AC17">
        <v>1513</v>
      </c>
      <c r="AD17">
        <v>25760</v>
      </c>
      <c r="AE17">
        <v>211</v>
      </c>
      <c r="AF17">
        <v>0</v>
      </c>
      <c r="AG17">
        <v>0</v>
      </c>
      <c r="AH17">
        <v>1</v>
      </c>
      <c r="AI17">
        <v>0</v>
      </c>
      <c r="AJ17">
        <v>1.5</v>
      </c>
      <c r="AK17">
        <v>0</v>
      </c>
      <c r="AL17">
        <v>0</v>
      </c>
      <c r="AM17">
        <v>0</v>
      </c>
      <c r="AO17">
        <v>0.5</v>
      </c>
    </row>
    <row r="18" spans="1:41">
      <c r="A18">
        <v>24</v>
      </c>
      <c r="B18" s="1">
        <v>111008</v>
      </c>
      <c r="C18" s="10" t="s">
        <v>95</v>
      </c>
      <c r="D18">
        <v>3</v>
      </c>
      <c r="E18">
        <v>5</v>
      </c>
      <c r="F18">
        <v>-1</v>
      </c>
      <c r="G18">
        <v>1</v>
      </c>
      <c r="H18">
        <v>5</v>
      </c>
      <c r="I18">
        <v>5</v>
      </c>
      <c r="J18">
        <v>0</v>
      </c>
      <c r="K18">
        <v>800071</v>
      </c>
      <c r="L18">
        <v>1</v>
      </c>
      <c r="M18">
        <v>10</v>
      </c>
      <c r="N18" s="17">
        <v>800074</v>
      </c>
      <c r="O18">
        <v>1</v>
      </c>
      <c r="V18">
        <v>10</v>
      </c>
      <c r="W18" s="17">
        <v>800077</v>
      </c>
      <c r="X18">
        <v>1</v>
      </c>
      <c r="AA18" t="s">
        <v>97</v>
      </c>
      <c r="AB18">
        <v>3358</v>
      </c>
      <c r="AC18">
        <v>2162</v>
      </c>
      <c r="AD18">
        <v>36800</v>
      </c>
      <c r="AE18">
        <v>211</v>
      </c>
      <c r="AF18">
        <v>0</v>
      </c>
      <c r="AG18">
        <v>0</v>
      </c>
      <c r="AH18">
        <v>1</v>
      </c>
      <c r="AI18">
        <v>0</v>
      </c>
      <c r="AJ18">
        <v>1.5</v>
      </c>
      <c r="AK18">
        <v>0</v>
      </c>
      <c r="AL18">
        <v>0</v>
      </c>
      <c r="AM18">
        <v>0</v>
      </c>
      <c r="AO18">
        <v>0.5</v>
      </c>
    </row>
    <row r="19" spans="1:41">
      <c r="A19">
        <v>25</v>
      </c>
      <c r="B19" s="1">
        <v>111009</v>
      </c>
      <c r="C19" s="10" t="s">
        <v>98</v>
      </c>
      <c r="D19">
        <v>1</v>
      </c>
      <c r="E19">
        <v>1</v>
      </c>
      <c r="F19">
        <v>26</v>
      </c>
      <c r="G19">
        <v>1</v>
      </c>
      <c r="H19">
        <v>1</v>
      </c>
      <c r="I19">
        <v>2</v>
      </c>
      <c r="J19">
        <v>0</v>
      </c>
      <c r="K19">
        <v>800081</v>
      </c>
      <c r="L19">
        <v>1</v>
      </c>
      <c r="M19">
        <v>10</v>
      </c>
      <c r="N19" s="17">
        <v>800082</v>
      </c>
      <c r="O19">
        <v>1</v>
      </c>
      <c r="V19">
        <v>10</v>
      </c>
      <c r="W19" s="17">
        <v>800085</v>
      </c>
      <c r="X19">
        <v>1</v>
      </c>
      <c r="AB19">
        <v>2231</v>
      </c>
      <c r="AC19">
        <v>1001</v>
      </c>
      <c r="AD19">
        <v>13685</v>
      </c>
      <c r="AE19">
        <v>255</v>
      </c>
      <c r="AF19">
        <v>0</v>
      </c>
      <c r="AG19">
        <v>0</v>
      </c>
      <c r="AH19">
        <v>1</v>
      </c>
      <c r="AI19">
        <v>0</v>
      </c>
      <c r="AJ19">
        <v>1.5</v>
      </c>
      <c r="AK19">
        <v>0</v>
      </c>
      <c r="AL19">
        <v>0</v>
      </c>
      <c r="AM19">
        <v>0</v>
      </c>
      <c r="AO19">
        <v>0.5</v>
      </c>
    </row>
    <row r="20" spans="1:41">
      <c r="A20">
        <v>26</v>
      </c>
      <c r="B20" s="1">
        <v>111009</v>
      </c>
      <c r="C20" s="10" t="s">
        <v>98</v>
      </c>
      <c r="D20">
        <v>2</v>
      </c>
      <c r="E20">
        <v>3</v>
      </c>
      <c r="F20">
        <v>27</v>
      </c>
      <c r="G20">
        <v>1</v>
      </c>
      <c r="H20">
        <v>3</v>
      </c>
      <c r="I20">
        <v>3</v>
      </c>
      <c r="J20">
        <v>0</v>
      </c>
      <c r="K20">
        <v>800081</v>
      </c>
      <c r="L20">
        <v>1</v>
      </c>
      <c r="M20">
        <v>10</v>
      </c>
      <c r="N20" s="17">
        <v>800083</v>
      </c>
      <c r="O20">
        <v>1</v>
      </c>
      <c r="V20">
        <v>10</v>
      </c>
      <c r="W20" s="17">
        <v>800086</v>
      </c>
      <c r="X20">
        <v>1</v>
      </c>
      <c r="AB20">
        <v>3123</v>
      </c>
      <c r="AC20">
        <v>1401</v>
      </c>
      <c r="AD20">
        <v>19159</v>
      </c>
      <c r="AE20">
        <v>255</v>
      </c>
      <c r="AF20">
        <v>0</v>
      </c>
      <c r="AG20">
        <v>0</v>
      </c>
      <c r="AH20">
        <v>1</v>
      </c>
      <c r="AI20">
        <v>0</v>
      </c>
      <c r="AJ20">
        <v>1.5</v>
      </c>
      <c r="AK20">
        <v>0</v>
      </c>
      <c r="AL20">
        <v>0</v>
      </c>
      <c r="AM20">
        <v>0</v>
      </c>
      <c r="AO20">
        <v>0.5</v>
      </c>
    </row>
    <row r="21" spans="1:41">
      <c r="A21">
        <v>27</v>
      </c>
      <c r="B21" s="1">
        <v>111009</v>
      </c>
      <c r="C21" s="10" t="s">
        <v>98</v>
      </c>
      <c r="D21">
        <v>3</v>
      </c>
      <c r="E21">
        <v>5</v>
      </c>
      <c r="F21">
        <v>-1</v>
      </c>
      <c r="G21">
        <v>1</v>
      </c>
      <c r="H21">
        <v>5</v>
      </c>
      <c r="I21">
        <v>5</v>
      </c>
      <c r="J21">
        <v>0</v>
      </c>
      <c r="K21">
        <v>800081</v>
      </c>
      <c r="L21">
        <v>1</v>
      </c>
      <c r="M21">
        <v>10</v>
      </c>
      <c r="N21" s="17">
        <v>800084</v>
      </c>
      <c r="O21">
        <v>1</v>
      </c>
      <c r="V21">
        <v>10</v>
      </c>
      <c r="W21" s="17">
        <v>800087</v>
      </c>
      <c r="X21">
        <v>1</v>
      </c>
      <c r="AA21" t="s">
        <v>99</v>
      </c>
      <c r="AB21">
        <v>4462</v>
      </c>
      <c r="AC21">
        <v>2001</v>
      </c>
      <c r="AD21">
        <v>27370</v>
      </c>
      <c r="AE21">
        <v>255</v>
      </c>
      <c r="AF21">
        <v>0</v>
      </c>
      <c r="AG21">
        <v>0</v>
      </c>
      <c r="AH21">
        <v>1</v>
      </c>
      <c r="AI21">
        <v>0</v>
      </c>
      <c r="AJ21">
        <v>1.5</v>
      </c>
      <c r="AK21">
        <v>0</v>
      </c>
      <c r="AL21">
        <v>0</v>
      </c>
      <c r="AM21">
        <v>0</v>
      </c>
      <c r="AO21">
        <v>0.5</v>
      </c>
    </row>
    <row r="22" spans="1:41">
      <c r="A22">
        <v>28</v>
      </c>
      <c r="B22" s="1">
        <v>111010</v>
      </c>
      <c r="C22" s="10" t="s">
        <v>100</v>
      </c>
      <c r="D22">
        <v>1</v>
      </c>
      <c r="E22">
        <v>1</v>
      </c>
      <c r="F22">
        <v>29</v>
      </c>
      <c r="G22">
        <v>1</v>
      </c>
      <c r="H22">
        <v>1</v>
      </c>
      <c r="I22">
        <v>2</v>
      </c>
      <c r="J22">
        <v>0</v>
      </c>
      <c r="K22">
        <v>800091</v>
      </c>
      <c r="L22">
        <v>1</v>
      </c>
      <c r="M22">
        <v>10</v>
      </c>
      <c r="N22" s="17">
        <v>800092</v>
      </c>
      <c r="O22">
        <v>1</v>
      </c>
      <c r="V22">
        <v>10</v>
      </c>
      <c r="W22" s="17">
        <v>800095</v>
      </c>
      <c r="X22">
        <v>1</v>
      </c>
      <c r="AB22">
        <v>2783</v>
      </c>
      <c r="AC22">
        <v>667</v>
      </c>
      <c r="AD22">
        <v>11500</v>
      </c>
      <c r="AE22">
        <v>275</v>
      </c>
      <c r="AF22">
        <v>0</v>
      </c>
      <c r="AG22">
        <v>0</v>
      </c>
      <c r="AH22">
        <v>1</v>
      </c>
      <c r="AI22">
        <v>0</v>
      </c>
      <c r="AJ22">
        <v>1.5</v>
      </c>
      <c r="AK22">
        <v>0</v>
      </c>
      <c r="AL22">
        <v>0</v>
      </c>
      <c r="AM22">
        <v>0</v>
      </c>
      <c r="AO22">
        <v>0.5</v>
      </c>
    </row>
    <row r="23" spans="1:41">
      <c r="A23">
        <v>29</v>
      </c>
      <c r="B23" s="1">
        <v>111010</v>
      </c>
      <c r="C23" s="10" t="s">
        <v>100</v>
      </c>
      <c r="D23">
        <v>2</v>
      </c>
      <c r="E23">
        <v>3</v>
      </c>
      <c r="F23">
        <v>30</v>
      </c>
      <c r="G23">
        <v>1</v>
      </c>
      <c r="H23">
        <v>3</v>
      </c>
      <c r="I23">
        <v>3</v>
      </c>
      <c r="J23">
        <v>0</v>
      </c>
      <c r="K23">
        <v>800091</v>
      </c>
      <c r="L23">
        <v>1</v>
      </c>
      <c r="M23">
        <v>10</v>
      </c>
      <c r="N23" s="17">
        <v>800093</v>
      </c>
      <c r="O23">
        <v>1</v>
      </c>
      <c r="V23">
        <v>10</v>
      </c>
      <c r="W23" s="17">
        <v>800096</v>
      </c>
      <c r="X23">
        <v>1</v>
      </c>
      <c r="AA23" t="s">
        <v>101</v>
      </c>
      <c r="AB23">
        <v>3896</v>
      </c>
      <c r="AC23">
        <v>934</v>
      </c>
      <c r="AD23">
        <v>16100</v>
      </c>
      <c r="AE23">
        <v>275</v>
      </c>
      <c r="AF23">
        <v>0</v>
      </c>
      <c r="AG23">
        <v>0</v>
      </c>
      <c r="AH23">
        <v>1</v>
      </c>
      <c r="AI23">
        <v>0</v>
      </c>
      <c r="AJ23">
        <v>1.5</v>
      </c>
      <c r="AK23">
        <v>0</v>
      </c>
      <c r="AL23">
        <v>0</v>
      </c>
      <c r="AM23">
        <v>0</v>
      </c>
      <c r="AO23">
        <v>0.5</v>
      </c>
    </row>
    <row r="24" spans="1:41">
      <c r="A24">
        <v>30</v>
      </c>
      <c r="B24" s="1">
        <v>111010</v>
      </c>
      <c r="C24" s="10" t="s">
        <v>100</v>
      </c>
      <c r="D24">
        <v>3</v>
      </c>
      <c r="E24">
        <v>5</v>
      </c>
      <c r="F24">
        <v>-1</v>
      </c>
      <c r="G24">
        <v>1</v>
      </c>
      <c r="H24">
        <v>5</v>
      </c>
      <c r="I24">
        <v>5</v>
      </c>
      <c r="J24">
        <v>0</v>
      </c>
      <c r="K24">
        <v>800091</v>
      </c>
      <c r="L24">
        <v>1</v>
      </c>
      <c r="M24">
        <v>10</v>
      </c>
      <c r="N24" s="17">
        <v>800094</v>
      </c>
      <c r="O24">
        <v>1</v>
      </c>
      <c r="V24">
        <v>10</v>
      </c>
      <c r="W24" s="17">
        <v>800097</v>
      </c>
      <c r="X24">
        <v>1</v>
      </c>
      <c r="AA24" t="s">
        <v>102</v>
      </c>
      <c r="AB24">
        <v>5566</v>
      </c>
      <c r="AC24">
        <v>1334</v>
      </c>
      <c r="AD24">
        <v>23000</v>
      </c>
      <c r="AE24">
        <v>275</v>
      </c>
      <c r="AF24">
        <v>0</v>
      </c>
      <c r="AG24">
        <v>0</v>
      </c>
      <c r="AH24">
        <v>1</v>
      </c>
      <c r="AI24">
        <v>0</v>
      </c>
      <c r="AJ24">
        <v>1.5</v>
      </c>
      <c r="AK24">
        <v>0</v>
      </c>
      <c r="AL24">
        <v>0</v>
      </c>
      <c r="AM24">
        <v>0</v>
      </c>
      <c r="AO24">
        <v>0.5</v>
      </c>
    </row>
    <row r="25" spans="1:41">
      <c r="A25">
        <v>55</v>
      </c>
      <c r="B25" s="1">
        <v>112001</v>
      </c>
      <c r="C25" s="11" t="s">
        <v>103</v>
      </c>
      <c r="D25">
        <v>1</v>
      </c>
      <c r="E25">
        <v>3</v>
      </c>
      <c r="F25">
        <v>56</v>
      </c>
      <c r="G25">
        <v>3</v>
      </c>
      <c r="H25">
        <v>3</v>
      </c>
      <c r="I25">
        <v>4</v>
      </c>
      <c r="J25">
        <v>0</v>
      </c>
      <c r="K25">
        <v>800161</v>
      </c>
      <c r="L25">
        <v>1</v>
      </c>
      <c r="M25">
        <v>10</v>
      </c>
      <c r="N25" s="17">
        <v>800162</v>
      </c>
      <c r="O25">
        <v>1</v>
      </c>
      <c r="V25">
        <v>10</v>
      </c>
      <c r="W25" s="17">
        <v>800165</v>
      </c>
      <c r="X25">
        <v>1</v>
      </c>
      <c r="AB25">
        <v>2070</v>
      </c>
      <c r="AC25">
        <v>1294</v>
      </c>
      <c r="AD25">
        <v>18113</v>
      </c>
      <c r="AE25">
        <v>223</v>
      </c>
      <c r="AF25">
        <v>0</v>
      </c>
      <c r="AG25">
        <v>0</v>
      </c>
      <c r="AH25">
        <v>1</v>
      </c>
      <c r="AI25">
        <v>0</v>
      </c>
      <c r="AJ25">
        <v>1.5</v>
      </c>
      <c r="AK25">
        <v>0</v>
      </c>
      <c r="AL25">
        <v>0</v>
      </c>
      <c r="AM25">
        <v>0</v>
      </c>
      <c r="AO25">
        <v>0.5</v>
      </c>
    </row>
    <row r="26" spans="1:41">
      <c r="A26">
        <v>56</v>
      </c>
      <c r="B26" s="1">
        <v>112001</v>
      </c>
      <c r="C26" s="11" t="s">
        <v>103</v>
      </c>
      <c r="D26">
        <v>2</v>
      </c>
      <c r="E26">
        <v>5</v>
      </c>
      <c r="F26">
        <v>57</v>
      </c>
      <c r="G26">
        <v>3</v>
      </c>
      <c r="H26">
        <v>6</v>
      </c>
      <c r="I26">
        <v>6</v>
      </c>
      <c r="J26">
        <v>0</v>
      </c>
      <c r="K26">
        <v>800161</v>
      </c>
      <c r="L26">
        <v>1</v>
      </c>
      <c r="M26">
        <v>10</v>
      </c>
      <c r="N26" s="17">
        <v>800163</v>
      </c>
      <c r="O26">
        <v>1</v>
      </c>
      <c r="V26">
        <v>10</v>
      </c>
      <c r="W26" s="17">
        <v>800166</v>
      </c>
      <c r="X26">
        <v>1</v>
      </c>
      <c r="AA26" t="s">
        <v>104</v>
      </c>
      <c r="AB26">
        <v>2898</v>
      </c>
      <c r="AC26">
        <v>1811</v>
      </c>
      <c r="AD26">
        <v>25358</v>
      </c>
      <c r="AE26">
        <v>223</v>
      </c>
      <c r="AF26">
        <v>0</v>
      </c>
      <c r="AG26">
        <v>0</v>
      </c>
      <c r="AH26">
        <v>1</v>
      </c>
      <c r="AI26">
        <v>0</v>
      </c>
      <c r="AJ26">
        <v>1.5</v>
      </c>
      <c r="AK26">
        <v>0</v>
      </c>
      <c r="AL26">
        <v>0</v>
      </c>
      <c r="AM26">
        <v>0</v>
      </c>
      <c r="AO26">
        <v>0.5</v>
      </c>
    </row>
    <row r="27" spans="1:41">
      <c r="A27">
        <v>57</v>
      </c>
      <c r="B27" s="1">
        <v>112001</v>
      </c>
      <c r="C27" s="11" t="s">
        <v>103</v>
      </c>
      <c r="D27">
        <v>3</v>
      </c>
      <c r="E27">
        <v>7</v>
      </c>
      <c r="F27">
        <v>-1</v>
      </c>
      <c r="G27">
        <v>3</v>
      </c>
      <c r="H27">
        <v>9</v>
      </c>
      <c r="I27">
        <v>10</v>
      </c>
      <c r="J27">
        <v>0</v>
      </c>
      <c r="K27">
        <v>800161</v>
      </c>
      <c r="L27">
        <v>1</v>
      </c>
      <c r="M27">
        <v>10</v>
      </c>
      <c r="N27" s="17">
        <v>800164</v>
      </c>
      <c r="O27">
        <v>1</v>
      </c>
      <c r="V27">
        <v>10</v>
      </c>
      <c r="W27" s="17">
        <v>800167</v>
      </c>
      <c r="X27">
        <v>1</v>
      </c>
      <c r="AA27" t="s">
        <v>105</v>
      </c>
      <c r="AB27">
        <v>4140</v>
      </c>
      <c r="AC27">
        <v>2588</v>
      </c>
      <c r="AD27">
        <v>36225</v>
      </c>
      <c r="AE27">
        <v>223</v>
      </c>
      <c r="AF27">
        <v>0</v>
      </c>
      <c r="AG27">
        <v>0</v>
      </c>
      <c r="AH27">
        <v>1</v>
      </c>
      <c r="AI27">
        <v>0</v>
      </c>
      <c r="AJ27">
        <v>1.5</v>
      </c>
      <c r="AK27">
        <v>0</v>
      </c>
      <c r="AL27">
        <v>0</v>
      </c>
      <c r="AM27">
        <v>0</v>
      </c>
      <c r="AO27">
        <v>0.5</v>
      </c>
    </row>
    <row r="28" spans="1:41">
      <c r="A28">
        <v>58</v>
      </c>
      <c r="B28" s="1">
        <v>112002</v>
      </c>
      <c r="C28" s="11" t="s">
        <v>106</v>
      </c>
      <c r="D28">
        <v>1</v>
      </c>
      <c r="E28">
        <v>3</v>
      </c>
      <c r="F28">
        <v>59</v>
      </c>
      <c r="G28">
        <v>3</v>
      </c>
      <c r="H28">
        <v>3</v>
      </c>
      <c r="I28">
        <v>4</v>
      </c>
      <c r="J28">
        <v>0</v>
      </c>
      <c r="K28">
        <v>800171</v>
      </c>
      <c r="L28">
        <v>1</v>
      </c>
      <c r="M28">
        <v>10</v>
      </c>
      <c r="N28" s="17">
        <v>800172</v>
      </c>
      <c r="O28">
        <v>1</v>
      </c>
      <c r="V28">
        <v>10</v>
      </c>
      <c r="W28" s="17">
        <v>800175</v>
      </c>
      <c r="X28">
        <v>1</v>
      </c>
      <c r="AB28">
        <v>2588</v>
      </c>
      <c r="AC28">
        <v>1164</v>
      </c>
      <c r="AD28">
        <v>14231</v>
      </c>
      <c r="AE28">
        <v>311</v>
      </c>
      <c r="AF28">
        <v>0</v>
      </c>
      <c r="AG28">
        <v>0</v>
      </c>
      <c r="AH28">
        <v>1</v>
      </c>
      <c r="AI28">
        <v>0</v>
      </c>
      <c r="AJ28">
        <v>1.5</v>
      </c>
      <c r="AK28">
        <v>0</v>
      </c>
      <c r="AL28">
        <v>0</v>
      </c>
      <c r="AM28">
        <v>0</v>
      </c>
      <c r="AO28">
        <v>0.5</v>
      </c>
    </row>
    <row r="29" spans="1:41">
      <c r="A29">
        <v>59</v>
      </c>
      <c r="B29" s="1">
        <v>112002</v>
      </c>
      <c r="C29" s="11" t="s">
        <v>106</v>
      </c>
      <c r="D29">
        <v>2</v>
      </c>
      <c r="E29">
        <v>5</v>
      </c>
      <c r="F29">
        <v>60</v>
      </c>
      <c r="G29">
        <v>3</v>
      </c>
      <c r="H29">
        <v>6</v>
      </c>
      <c r="I29">
        <v>6</v>
      </c>
      <c r="J29">
        <v>0</v>
      </c>
      <c r="K29">
        <v>800171</v>
      </c>
      <c r="L29">
        <v>1</v>
      </c>
      <c r="M29">
        <v>10</v>
      </c>
      <c r="N29" s="17">
        <v>800173</v>
      </c>
      <c r="O29">
        <v>1</v>
      </c>
      <c r="V29">
        <v>10</v>
      </c>
      <c r="W29" s="17">
        <v>800176</v>
      </c>
      <c r="X29">
        <v>1</v>
      </c>
      <c r="AA29" t="s">
        <v>107</v>
      </c>
      <c r="AB29">
        <v>3623</v>
      </c>
      <c r="AC29">
        <v>1630</v>
      </c>
      <c r="AD29">
        <v>19924</v>
      </c>
      <c r="AE29">
        <v>311</v>
      </c>
      <c r="AF29">
        <v>0</v>
      </c>
      <c r="AG29">
        <v>0</v>
      </c>
      <c r="AH29">
        <v>1</v>
      </c>
      <c r="AI29">
        <v>0</v>
      </c>
      <c r="AJ29">
        <v>1.5</v>
      </c>
      <c r="AK29">
        <v>0</v>
      </c>
      <c r="AL29">
        <v>0</v>
      </c>
      <c r="AM29">
        <v>0</v>
      </c>
      <c r="AO29">
        <v>0.5</v>
      </c>
    </row>
    <row r="30" spans="1:41">
      <c r="A30">
        <v>60</v>
      </c>
      <c r="B30" s="1">
        <v>112002</v>
      </c>
      <c r="C30" s="11" t="s">
        <v>106</v>
      </c>
      <c r="D30">
        <v>3</v>
      </c>
      <c r="E30">
        <v>7</v>
      </c>
      <c r="F30">
        <v>-1</v>
      </c>
      <c r="G30">
        <v>3</v>
      </c>
      <c r="H30">
        <v>9</v>
      </c>
      <c r="I30">
        <v>10</v>
      </c>
      <c r="J30">
        <v>0</v>
      </c>
      <c r="K30">
        <v>800171</v>
      </c>
      <c r="L30">
        <v>1</v>
      </c>
      <c r="M30">
        <v>10</v>
      </c>
      <c r="N30" s="17">
        <v>800174</v>
      </c>
      <c r="O30">
        <v>1</v>
      </c>
      <c r="V30">
        <v>10</v>
      </c>
      <c r="W30" s="17">
        <v>800177</v>
      </c>
      <c r="X30">
        <v>1</v>
      </c>
      <c r="AA30" t="s">
        <v>108</v>
      </c>
      <c r="AB30">
        <v>5175</v>
      </c>
      <c r="AC30">
        <v>2329</v>
      </c>
      <c r="AD30">
        <v>28463</v>
      </c>
      <c r="AE30">
        <v>311</v>
      </c>
      <c r="AF30">
        <v>0</v>
      </c>
      <c r="AG30">
        <v>0</v>
      </c>
      <c r="AH30">
        <v>1</v>
      </c>
      <c r="AI30">
        <v>0</v>
      </c>
      <c r="AJ30">
        <v>1.5</v>
      </c>
      <c r="AK30">
        <v>0</v>
      </c>
      <c r="AL30">
        <v>0</v>
      </c>
      <c r="AM30">
        <v>0</v>
      </c>
      <c r="AO30">
        <v>0.5</v>
      </c>
    </row>
    <row r="31" spans="1:41">
      <c r="A31">
        <v>61</v>
      </c>
      <c r="B31" s="1">
        <v>112003</v>
      </c>
      <c r="C31" s="10" t="s">
        <v>109</v>
      </c>
      <c r="D31">
        <v>1</v>
      </c>
      <c r="E31">
        <v>1</v>
      </c>
      <c r="F31">
        <v>62</v>
      </c>
      <c r="G31">
        <v>1</v>
      </c>
      <c r="H31">
        <v>1</v>
      </c>
      <c r="I31">
        <v>2</v>
      </c>
      <c r="J31">
        <v>0</v>
      </c>
      <c r="K31">
        <v>800181</v>
      </c>
      <c r="L31">
        <v>1</v>
      </c>
      <c r="M31">
        <v>10</v>
      </c>
      <c r="N31" s="17">
        <v>800182</v>
      </c>
      <c r="O31">
        <v>1</v>
      </c>
      <c r="V31">
        <v>10</v>
      </c>
      <c r="W31" s="17">
        <v>800185</v>
      </c>
      <c r="X31">
        <v>1</v>
      </c>
      <c r="AB31">
        <v>2415</v>
      </c>
      <c r="AC31">
        <v>874</v>
      </c>
      <c r="AD31">
        <v>13110</v>
      </c>
      <c r="AE31">
        <v>361</v>
      </c>
      <c r="AF31">
        <v>0</v>
      </c>
      <c r="AG31">
        <v>0</v>
      </c>
      <c r="AH31">
        <v>1</v>
      </c>
      <c r="AI31">
        <v>0</v>
      </c>
      <c r="AJ31">
        <v>1.5</v>
      </c>
      <c r="AK31">
        <v>0</v>
      </c>
      <c r="AL31">
        <v>0</v>
      </c>
      <c r="AM31">
        <v>0</v>
      </c>
      <c r="AO31">
        <v>0.5</v>
      </c>
    </row>
    <row r="32" spans="1:41">
      <c r="A32">
        <v>62</v>
      </c>
      <c r="B32" s="1">
        <v>112003</v>
      </c>
      <c r="C32" s="10" t="s">
        <v>109</v>
      </c>
      <c r="D32">
        <v>2</v>
      </c>
      <c r="E32">
        <v>3</v>
      </c>
      <c r="F32">
        <v>63</v>
      </c>
      <c r="G32">
        <v>1</v>
      </c>
      <c r="H32">
        <v>3</v>
      </c>
      <c r="I32">
        <v>3</v>
      </c>
      <c r="J32">
        <v>0</v>
      </c>
      <c r="K32">
        <v>800181</v>
      </c>
      <c r="L32">
        <v>1</v>
      </c>
      <c r="M32">
        <v>10</v>
      </c>
      <c r="N32" s="17">
        <v>800183</v>
      </c>
      <c r="O32">
        <v>1</v>
      </c>
      <c r="V32">
        <v>10</v>
      </c>
      <c r="W32" s="17">
        <v>800186</v>
      </c>
      <c r="X32">
        <v>1</v>
      </c>
      <c r="AA32" t="s">
        <v>110</v>
      </c>
      <c r="AB32">
        <v>3381</v>
      </c>
      <c r="AC32">
        <v>1224</v>
      </c>
      <c r="AD32">
        <v>18354</v>
      </c>
      <c r="AE32">
        <v>361</v>
      </c>
      <c r="AF32">
        <v>0</v>
      </c>
      <c r="AG32">
        <v>0</v>
      </c>
      <c r="AH32">
        <v>1</v>
      </c>
      <c r="AI32">
        <v>0</v>
      </c>
      <c r="AJ32">
        <v>1.5</v>
      </c>
      <c r="AK32">
        <v>0</v>
      </c>
      <c r="AL32">
        <v>0</v>
      </c>
      <c r="AM32">
        <v>0</v>
      </c>
      <c r="AO32">
        <v>0.5</v>
      </c>
    </row>
    <row r="33" spans="1:41">
      <c r="A33">
        <v>63</v>
      </c>
      <c r="B33" s="1">
        <v>112003</v>
      </c>
      <c r="C33" s="10" t="s">
        <v>109</v>
      </c>
      <c r="D33">
        <v>3</v>
      </c>
      <c r="E33">
        <v>5</v>
      </c>
      <c r="F33">
        <v>-1</v>
      </c>
      <c r="G33">
        <v>1</v>
      </c>
      <c r="H33">
        <v>5</v>
      </c>
      <c r="I33">
        <v>5</v>
      </c>
      <c r="J33">
        <v>0</v>
      </c>
      <c r="K33">
        <v>800181</v>
      </c>
      <c r="L33">
        <v>1</v>
      </c>
      <c r="M33">
        <v>10</v>
      </c>
      <c r="N33" s="17">
        <v>800184</v>
      </c>
      <c r="O33">
        <v>1</v>
      </c>
      <c r="V33">
        <v>10</v>
      </c>
      <c r="W33" s="17">
        <v>800187</v>
      </c>
      <c r="X33">
        <v>1</v>
      </c>
      <c r="AA33" t="s">
        <v>111</v>
      </c>
      <c r="AB33">
        <v>4830</v>
      </c>
      <c r="AC33">
        <v>1748</v>
      </c>
      <c r="AD33">
        <v>26220</v>
      </c>
      <c r="AE33">
        <v>361</v>
      </c>
      <c r="AF33">
        <v>0</v>
      </c>
      <c r="AG33">
        <v>0</v>
      </c>
      <c r="AH33">
        <v>1</v>
      </c>
      <c r="AI33">
        <v>0</v>
      </c>
      <c r="AJ33">
        <v>1.5</v>
      </c>
      <c r="AK33">
        <v>0</v>
      </c>
      <c r="AL33">
        <v>0</v>
      </c>
      <c r="AM33">
        <v>0</v>
      </c>
      <c r="AO33">
        <v>0.5</v>
      </c>
    </row>
    <row r="34" spans="1:41">
      <c r="A34">
        <v>64</v>
      </c>
      <c r="B34" s="1">
        <v>112004</v>
      </c>
      <c r="C34" s="12" t="s">
        <v>112</v>
      </c>
      <c r="D34">
        <v>1</v>
      </c>
      <c r="E34">
        <v>2</v>
      </c>
      <c r="F34">
        <v>65</v>
      </c>
      <c r="G34">
        <v>2</v>
      </c>
      <c r="H34">
        <v>2</v>
      </c>
      <c r="I34">
        <v>3</v>
      </c>
      <c r="J34">
        <v>0</v>
      </c>
      <c r="K34">
        <v>800191</v>
      </c>
      <c r="L34">
        <v>1</v>
      </c>
      <c r="M34">
        <v>10</v>
      </c>
      <c r="N34" s="17">
        <v>800192</v>
      </c>
      <c r="O34">
        <v>1</v>
      </c>
      <c r="V34">
        <v>10</v>
      </c>
      <c r="W34" s="17">
        <v>800195</v>
      </c>
      <c r="X34">
        <v>1</v>
      </c>
      <c r="AB34">
        <v>2810</v>
      </c>
      <c r="AC34">
        <v>831</v>
      </c>
      <c r="AD34">
        <v>12463</v>
      </c>
      <c r="AE34">
        <v>363</v>
      </c>
      <c r="AF34">
        <v>0</v>
      </c>
      <c r="AG34">
        <v>0</v>
      </c>
      <c r="AH34">
        <v>1</v>
      </c>
      <c r="AI34">
        <v>0</v>
      </c>
      <c r="AJ34">
        <v>1.5</v>
      </c>
      <c r="AK34">
        <v>0</v>
      </c>
      <c r="AL34">
        <v>0</v>
      </c>
      <c r="AM34">
        <v>0</v>
      </c>
      <c r="AO34">
        <v>0.5</v>
      </c>
    </row>
    <row r="35" spans="1:41">
      <c r="A35">
        <v>65</v>
      </c>
      <c r="B35" s="1">
        <v>112004</v>
      </c>
      <c r="C35" s="12" t="s">
        <v>112</v>
      </c>
      <c r="D35">
        <v>2</v>
      </c>
      <c r="E35">
        <v>4</v>
      </c>
      <c r="F35">
        <v>66</v>
      </c>
      <c r="G35">
        <v>2</v>
      </c>
      <c r="H35">
        <v>4</v>
      </c>
      <c r="I35">
        <v>4</v>
      </c>
      <c r="J35">
        <v>0</v>
      </c>
      <c r="K35">
        <v>800191</v>
      </c>
      <c r="L35">
        <v>1</v>
      </c>
      <c r="M35">
        <v>10</v>
      </c>
      <c r="N35" s="17">
        <v>800193</v>
      </c>
      <c r="O35">
        <v>1</v>
      </c>
      <c r="V35">
        <v>10</v>
      </c>
      <c r="W35" s="17">
        <v>800196</v>
      </c>
      <c r="X35">
        <v>1</v>
      </c>
      <c r="AA35" t="s">
        <v>113</v>
      </c>
      <c r="AB35">
        <v>3934</v>
      </c>
      <c r="AC35">
        <v>1163</v>
      </c>
      <c r="AD35">
        <v>17448</v>
      </c>
      <c r="AE35">
        <v>363</v>
      </c>
      <c r="AF35">
        <v>0</v>
      </c>
      <c r="AG35">
        <v>0</v>
      </c>
      <c r="AH35">
        <v>1</v>
      </c>
      <c r="AI35">
        <v>0</v>
      </c>
      <c r="AJ35">
        <v>1.5</v>
      </c>
      <c r="AK35">
        <v>0</v>
      </c>
      <c r="AL35">
        <v>0</v>
      </c>
      <c r="AM35">
        <v>0</v>
      </c>
      <c r="AO35">
        <v>0.5</v>
      </c>
    </row>
    <row r="36" spans="1:41">
      <c r="A36">
        <v>66</v>
      </c>
      <c r="B36" s="1">
        <v>112004</v>
      </c>
      <c r="C36" s="12" t="s">
        <v>112</v>
      </c>
      <c r="D36">
        <v>3</v>
      </c>
      <c r="E36">
        <v>6</v>
      </c>
      <c r="F36">
        <v>-1</v>
      </c>
      <c r="G36">
        <v>2</v>
      </c>
      <c r="H36">
        <v>6</v>
      </c>
      <c r="I36">
        <v>8</v>
      </c>
      <c r="J36">
        <v>0</v>
      </c>
      <c r="K36">
        <v>800191</v>
      </c>
      <c r="L36">
        <v>1</v>
      </c>
      <c r="M36">
        <v>10</v>
      </c>
      <c r="N36" s="17">
        <v>800194</v>
      </c>
      <c r="O36">
        <v>1</v>
      </c>
      <c r="V36">
        <v>10</v>
      </c>
      <c r="W36" s="17">
        <v>800197</v>
      </c>
      <c r="X36">
        <v>1</v>
      </c>
      <c r="AA36" t="s">
        <v>114</v>
      </c>
      <c r="AB36">
        <v>5621</v>
      </c>
      <c r="AC36">
        <v>1662</v>
      </c>
      <c r="AD36">
        <v>24926</v>
      </c>
      <c r="AE36">
        <v>363</v>
      </c>
      <c r="AF36">
        <v>0</v>
      </c>
      <c r="AG36">
        <v>0</v>
      </c>
      <c r="AH36">
        <v>1</v>
      </c>
      <c r="AI36">
        <v>0</v>
      </c>
      <c r="AJ36">
        <v>1.5</v>
      </c>
      <c r="AK36">
        <v>0</v>
      </c>
      <c r="AL36">
        <v>0</v>
      </c>
      <c r="AM36">
        <v>0</v>
      </c>
      <c r="AO36">
        <v>0.5</v>
      </c>
    </row>
    <row r="37" spans="1:41">
      <c r="A37">
        <v>67</v>
      </c>
      <c r="B37" s="1">
        <v>112005</v>
      </c>
      <c r="C37" s="12" t="s">
        <v>115</v>
      </c>
      <c r="D37">
        <v>1</v>
      </c>
      <c r="E37">
        <v>2</v>
      </c>
      <c r="F37">
        <v>68</v>
      </c>
      <c r="G37">
        <v>2</v>
      </c>
      <c r="H37">
        <v>2</v>
      </c>
      <c r="I37">
        <v>3</v>
      </c>
      <c r="J37">
        <v>0</v>
      </c>
      <c r="K37">
        <v>800201</v>
      </c>
      <c r="L37">
        <v>1</v>
      </c>
      <c r="M37">
        <v>10</v>
      </c>
      <c r="N37" s="17">
        <v>800202</v>
      </c>
      <c r="O37">
        <v>1</v>
      </c>
      <c r="V37">
        <v>10</v>
      </c>
      <c r="W37" s="17">
        <v>800205</v>
      </c>
      <c r="X37">
        <v>1</v>
      </c>
      <c r="AB37">
        <v>2981</v>
      </c>
      <c r="AC37">
        <v>709</v>
      </c>
      <c r="AD37">
        <v>11974</v>
      </c>
      <c r="AE37">
        <v>236</v>
      </c>
      <c r="AF37">
        <v>0</v>
      </c>
      <c r="AG37">
        <v>0</v>
      </c>
      <c r="AH37">
        <v>1</v>
      </c>
      <c r="AI37">
        <v>0</v>
      </c>
      <c r="AJ37">
        <v>1.5</v>
      </c>
      <c r="AK37">
        <v>0</v>
      </c>
      <c r="AL37">
        <v>0</v>
      </c>
      <c r="AM37">
        <v>0</v>
      </c>
      <c r="AO37">
        <v>0.5</v>
      </c>
    </row>
    <row r="38" spans="1:41">
      <c r="A38">
        <v>68</v>
      </c>
      <c r="B38" s="1">
        <v>112005</v>
      </c>
      <c r="C38" s="12" t="s">
        <v>115</v>
      </c>
      <c r="D38">
        <v>2</v>
      </c>
      <c r="E38">
        <v>4</v>
      </c>
      <c r="F38">
        <v>69</v>
      </c>
      <c r="G38">
        <v>2</v>
      </c>
      <c r="H38">
        <v>4</v>
      </c>
      <c r="I38">
        <v>4</v>
      </c>
      <c r="J38">
        <v>0</v>
      </c>
      <c r="K38">
        <v>800201</v>
      </c>
      <c r="L38">
        <v>1</v>
      </c>
      <c r="M38">
        <v>10</v>
      </c>
      <c r="N38" s="17">
        <v>800203</v>
      </c>
      <c r="O38">
        <v>1</v>
      </c>
      <c r="V38">
        <v>10</v>
      </c>
      <c r="W38" s="17">
        <v>800206</v>
      </c>
      <c r="X38">
        <v>1</v>
      </c>
      <c r="AA38" t="s">
        <v>116</v>
      </c>
      <c r="AB38">
        <v>4174</v>
      </c>
      <c r="AC38">
        <v>992</v>
      </c>
      <c r="AD38">
        <v>16764</v>
      </c>
      <c r="AE38">
        <v>236</v>
      </c>
      <c r="AF38">
        <v>0</v>
      </c>
      <c r="AG38">
        <v>0</v>
      </c>
      <c r="AH38">
        <v>1</v>
      </c>
      <c r="AI38">
        <v>0</v>
      </c>
      <c r="AJ38">
        <v>1.5</v>
      </c>
      <c r="AK38">
        <v>0</v>
      </c>
      <c r="AL38">
        <v>0</v>
      </c>
      <c r="AM38">
        <v>0</v>
      </c>
      <c r="AO38">
        <v>0.5</v>
      </c>
    </row>
    <row r="39" spans="1:41">
      <c r="A39">
        <v>69</v>
      </c>
      <c r="B39" s="1">
        <v>112005</v>
      </c>
      <c r="C39" s="12" t="s">
        <v>115</v>
      </c>
      <c r="D39">
        <v>3</v>
      </c>
      <c r="E39">
        <v>6</v>
      </c>
      <c r="F39">
        <v>-1</v>
      </c>
      <c r="G39">
        <v>2</v>
      </c>
      <c r="H39">
        <v>6</v>
      </c>
      <c r="I39">
        <v>8</v>
      </c>
      <c r="J39">
        <v>0</v>
      </c>
      <c r="K39">
        <v>800201</v>
      </c>
      <c r="L39">
        <v>1</v>
      </c>
      <c r="M39">
        <v>10</v>
      </c>
      <c r="N39" s="17">
        <v>800204</v>
      </c>
      <c r="O39">
        <v>1</v>
      </c>
      <c r="V39">
        <v>10</v>
      </c>
      <c r="W39" s="17">
        <v>800207</v>
      </c>
      <c r="X39">
        <v>1</v>
      </c>
      <c r="AA39" t="s">
        <v>116</v>
      </c>
      <c r="AB39">
        <v>5963</v>
      </c>
      <c r="AC39">
        <v>1417</v>
      </c>
      <c r="AD39">
        <v>23949</v>
      </c>
      <c r="AE39">
        <v>236</v>
      </c>
      <c r="AF39">
        <v>0</v>
      </c>
      <c r="AG39">
        <v>0</v>
      </c>
      <c r="AH39">
        <v>1</v>
      </c>
      <c r="AI39">
        <v>0</v>
      </c>
      <c r="AJ39">
        <v>1.5</v>
      </c>
      <c r="AK39">
        <v>0</v>
      </c>
      <c r="AL39">
        <v>0</v>
      </c>
      <c r="AM39">
        <v>0</v>
      </c>
      <c r="AO39">
        <v>0.5</v>
      </c>
    </row>
    <row r="40" spans="1:41">
      <c r="A40">
        <v>70</v>
      </c>
      <c r="B40" s="1">
        <v>112006</v>
      </c>
      <c r="C40" s="10" t="s">
        <v>117</v>
      </c>
      <c r="D40">
        <v>1</v>
      </c>
      <c r="E40">
        <v>1</v>
      </c>
      <c r="F40">
        <v>71</v>
      </c>
      <c r="G40">
        <v>1</v>
      </c>
      <c r="H40">
        <v>1</v>
      </c>
      <c r="I40">
        <v>2</v>
      </c>
      <c r="J40">
        <v>0</v>
      </c>
      <c r="K40">
        <v>800211</v>
      </c>
      <c r="L40">
        <v>1</v>
      </c>
      <c r="M40">
        <v>10</v>
      </c>
      <c r="N40" s="17">
        <v>800212</v>
      </c>
      <c r="O40">
        <v>1</v>
      </c>
      <c r="V40">
        <v>10</v>
      </c>
      <c r="W40" s="17">
        <v>800215</v>
      </c>
      <c r="X40">
        <v>1</v>
      </c>
      <c r="Z40" t="s">
        <v>118</v>
      </c>
      <c r="AA40" t="s">
        <v>119</v>
      </c>
      <c r="AB40">
        <v>2116</v>
      </c>
      <c r="AC40">
        <v>989</v>
      </c>
      <c r="AD40">
        <v>14950</v>
      </c>
      <c r="AE40">
        <v>331</v>
      </c>
      <c r="AF40">
        <v>0</v>
      </c>
      <c r="AG40">
        <v>0</v>
      </c>
      <c r="AH40">
        <v>1</v>
      </c>
      <c r="AI40">
        <v>0</v>
      </c>
      <c r="AJ40">
        <v>1.5</v>
      </c>
      <c r="AK40">
        <v>0</v>
      </c>
      <c r="AL40">
        <v>0</v>
      </c>
      <c r="AM40">
        <v>0</v>
      </c>
      <c r="AO40">
        <v>0.5</v>
      </c>
    </row>
    <row r="41" spans="1:41">
      <c r="A41">
        <v>71</v>
      </c>
      <c r="B41" s="1">
        <v>112006</v>
      </c>
      <c r="C41" s="10" t="s">
        <v>117</v>
      </c>
      <c r="D41">
        <v>2</v>
      </c>
      <c r="E41">
        <v>3</v>
      </c>
      <c r="F41">
        <v>72</v>
      </c>
      <c r="G41">
        <v>1</v>
      </c>
      <c r="H41">
        <v>3</v>
      </c>
      <c r="I41">
        <v>3</v>
      </c>
      <c r="J41">
        <v>0</v>
      </c>
      <c r="K41">
        <v>800211</v>
      </c>
      <c r="L41">
        <v>1</v>
      </c>
      <c r="M41">
        <v>10</v>
      </c>
      <c r="N41" s="17">
        <v>800213</v>
      </c>
      <c r="O41">
        <v>1</v>
      </c>
      <c r="V41">
        <v>10</v>
      </c>
      <c r="W41" s="17">
        <v>800216</v>
      </c>
      <c r="X41">
        <v>1</v>
      </c>
      <c r="Z41" t="s">
        <v>120</v>
      </c>
      <c r="AA41" t="s">
        <v>121</v>
      </c>
      <c r="AB41">
        <v>2962</v>
      </c>
      <c r="AC41">
        <v>1385</v>
      </c>
      <c r="AD41">
        <v>20930</v>
      </c>
      <c r="AE41">
        <v>331</v>
      </c>
      <c r="AF41">
        <v>0</v>
      </c>
      <c r="AG41">
        <v>0</v>
      </c>
      <c r="AH41">
        <v>1</v>
      </c>
      <c r="AI41">
        <v>0</v>
      </c>
      <c r="AJ41">
        <v>1.5</v>
      </c>
      <c r="AK41">
        <v>0</v>
      </c>
      <c r="AL41">
        <v>0</v>
      </c>
      <c r="AM41">
        <v>0</v>
      </c>
      <c r="AO41">
        <v>0.5</v>
      </c>
    </row>
    <row r="42" spans="1:41">
      <c r="A42">
        <v>72</v>
      </c>
      <c r="B42" s="1">
        <v>112006</v>
      </c>
      <c r="C42" s="10" t="s">
        <v>117</v>
      </c>
      <c r="D42">
        <v>3</v>
      </c>
      <c r="E42">
        <v>5</v>
      </c>
      <c r="F42">
        <v>-1</v>
      </c>
      <c r="G42">
        <v>1</v>
      </c>
      <c r="H42">
        <v>5</v>
      </c>
      <c r="I42">
        <v>5</v>
      </c>
      <c r="J42">
        <v>0</v>
      </c>
      <c r="K42">
        <v>800211</v>
      </c>
      <c r="L42">
        <v>1</v>
      </c>
      <c r="M42">
        <v>10</v>
      </c>
      <c r="N42" s="17">
        <v>800214</v>
      </c>
      <c r="O42">
        <v>1</v>
      </c>
      <c r="V42">
        <v>10</v>
      </c>
      <c r="W42" s="17">
        <v>800217</v>
      </c>
      <c r="X42">
        <v>1</v>
      </c>
      <c r="Z42" t="s">
        <v>122</v>
      </c>
      <c r="AA42" t="s">
        <v>123</v>
      </c>
      <c r="AB42">
        <v>4232</v>
      </c>
      <c r="AC42">
        <v>1978</v>
      </c>
      <c r="AD42">
        <v>29900</v>
      </c>
      <c r="AE42">
        <v>331</v>
      </c>
      <c r="AF42">
        <v>0</v>
      </c>
      <c r="AG42">
        <v>0</v>
      </c>
      <c r="AH42">
        <v>1</v>
      </c>
      <c r="AI42">
        <v>0</v>
      </c>
      <c r="AJ42">
        <v>1.5</v>
      </c>
      <c r="AK42">
        <v>0</v>
      </c>
      <c r="AL42">
        <v>0</v>
      </c>
      <c r="AM42">
        <v>0</v>
      </c>
      <c r="AO42">
        <v>0.5</v>
      </c>
    </row>
    <row r="43" spans="1:41">
      <c r="A43">
        <v>73</v>
      </c>
      <c r="B43" s="1">
        <v>112007</v>
      </c>
      <c r="C43" s="10" t="s">
        <v>124</v>
      </c>
      <c r="D43">
        <v>1</v>
      </c>
      <c r="E43">
        <v>1</v>
      </c>
      <c r="F43">
        <v>74</v>
      </c>
      <c r="G43">
        <v>1</v>
      </c>
      <c r="H43">
        <v>1</v>
      </c>
      <c r="I43">
        <v>2</v>
      </c>
      <c r="J43">
        <v>0</v>
      </c>
      <c r="K43">
        <v>800228</v>
      </c>
      <c r="L43">
        <v>1</v>
      </c>
      <c r="M43">
        <v>10</v>
      </c>
      <c r="N43" s="17">
        <v>800229</v>
      </c>
      <c r="O43">
        <v>1</v>
      </c>
      <c r="V43">
        <v>10</v>
      </c>
      <c r="W43" s="17">
        <v>800232</v>
      </c>
      <c r="X43">
        <v>1</v>
      </c>
      <c r="AB43">
        <v>2300</v>
      </c>
      <c r="AC43">
        <v>966</v>
      </c>
      <c r="AD43">
        <v>13340</v>
      </c>
      <c r="AE43">
        <v>330</v>
      </c>
      <c r="AF43">
        <v>0</v>
      </c>
      <c r="AG43">
        <v>0</v>
      </c>
      <c r="AH43">
        <v>1</v>
      </c>
      <c r="AI43">
        <v>0</v>
      </c>
      <c r="AJ43">
        <v>1.5</v>
      </c>
      <c r="AK43">
        <v>0</v>
      </c>
      <c r="AL43">
        <v>0</v>
      </c>
      <c r="AM43">
        <v>0</v>
      </c>
      <c r="AO43">
        <v>0.5</v>
      </c>
    </row>
    <row r="44" spans="1:41">
      <c r="A44">
        <v>74</v>
      </c>
      <c r="B44" s="1">
        <v>112007</v>
      </c>
      <c r="C44" s="10" t="s">
        <v>124</v>
      </c>
      <c r="D44">
        <v>2</v>
      </c>
      <c r="E44">
        <v>3</v>
      </c>
      <c r="F44">
        <v>75</v>
      </c>
      <c r="G44">
        <v>1</v>
      </c>
      <c r="H44">
        <v>3</v>
      </c>
      <c r="I44">
        <v>3</v>
      </c>
      <c r="J44">
        <v>0</v>
      </c>
      <c r="K44">
        <v>800228</v>
      </c>
      <c r="L44">
        <v>1</v>
      </c>
      <c r="M44">
        <v>10</v>
      </c>
      <c r="N44" s="17">
        <v>800230</v>
      </c>
      <c r="O44">
        <v>1</v>
      </c>
      <c r="V44">
        <v>10</v>
      </c>
      <c r="W44" s="17">
        <v>800233</v>
      </c>
      <c r="X44">
        <v>1</v>
      </c>
      <c r="AB44">
        <v>3220</v>
      </c>
      <c r="AC44">
        <v>1352</v>
      </c>
      <c r="AD44">
        <v>18676</v>
      </c>
      <c r="AE44">
        <v>330</v>
      </c>
      <c r="AF44">
        <v>0</v>
      </c>
      <c r="AG44">
        <v>0</v>
      </c>
      <c r="AH44">
        <v>1</v>
      </c>
      <c r="AI44">
        <v>0</v>
      </c>
      <c r="AJ44">
        <v>1.5</v>
      </c>
      <c r="AK44">
        <v>0</v>
      </c>
      <c r="AL44">
        <v>0</v>
      </c>
      <c r="AM44">
        <v>0</v>
      </c>
      <c r="AO44">
        <v>0.5</v>
      </c>
    </row>
    <row r="45" spans="1:41">
      <c r="A45">
        <v>75</v>
      </c>
      <c r="B45" s="1">
        <v>112007</v>
      </c>
      <c r="C45" s="10" t="s">
        <v>124</v>
      </c>
      <c r="D45">
        <v>3</v>
      </c>
      <c r="E45">
        <v>5</v>
      </c>
      <c r="F45">
        <v>-1</v>
      </c>
      <c r="G45">
        <v>1</v>
      </c>
      <c r="H45">
        <v>5</v>
      </c>
      <c r="I45">
        <v>5</v>
      </c>
      <c r="J45">
        <v>0</v>
      </c>
      <c r="K45">
        <v>800228</v>
      </c>
      <c r="L45">
        <v>1</v>
      </c>
      <c r="M45">
        <v>10</v>
      </c>
      <c r="N45" s="17">
        <v>800231</v>
      </c>
      <c r="O45">
        <v>1</v>
      </c>
      <c r="V45">
        <v>10</v>
      </c>
      <c r="W45" s="17">
        <v>800234</v>
      </c>
      <c r="X45">
        <v>1</v>
      </c>
      <c r="AB45">
        <v>4600</v>
      </c>
      <c r="AC45">
        <v>1932</v>
      </c>
      <c r="AD45">
        <v>26680</v>
      </c>
      <c r="AE45">
        <v>330</v>
      </c>
      <c r="AF45">
        <v>0</v>
      </c>
      <c r="AG45">
        <v>0</v>
      </c>
      <c r="AH45">
        <v>1</v>
      </c>
      <c r="AI45">
        <v>0</v>
      </c>
      <c r="AJ45">
        <v>1.5</v>
      </c>
      <c r="AK45">
        <v>0</v>
      </c>
      <c r="AL45">
        <v>0</v>
      </c>
      <c r="AM45">
        <v>0</v>
      </c>
      <c r="AO45">
        <v>0.5</v>
      </c>
    </row>
    <row r="46" spans="1:41">
      <c r="A46">
        <v>76</v>
      </c>
      <c r="B46" s="1">
        <v>112008</v>
      </c>
      <c r="C46" s="10" t="s">
        <v>125</v>
      </c>
      <c r="D46">
        <v>1</v>
      </c>
      <c r="E46">
        <v>1</v>
      </c>
      <c r="F46">
        <v>77</v>
      </c>
      <c r="G46">
        <v>1</v>
      </c>
      <c r="H46">
        <v>1</v>
      </c>
      <c r="I46">
        <v>2</v>
      </c>
      <c r="J46">
        <v>0</v>
      </c>
      <c r="K46">
        <v>800238</v>
      </c>
      <c r="L46">
        <v>1</v>
      </c>
      <c r="M46">
        <v>10</v>
      </c>
      <c r="N46" s="17">
        <v>800239</v>
      </c>
      <c r="O46">
        <v>1</v>
      </c>
      <c r="P46">
        <v>10</v>
      </c>
      <c r="Q46" s="17">
        <v>800242</v>
      </c>
      <c r="R46">
        <v>1</v>
      </c>
      <c r="V46">
        <v>10</v>
      </c>
      <c r="W46" s="17">
        <v>800245</v>
      </c>
      <c r="X46">
        <v>1</v>
      </c>
      <c r="AB46">
        <v>1725</v>
      </c>
      <c r="AC46">
        <v>1150</v>
      </c>
      <c r="AD46">
        <v>17250</v>
      </c>
      <c r="AE46">
        <v>220</v>
      </c>
      <c r="AF46">
        <v>0</v>
      </c>
      <c r="AG46">
        <v>0</v>
      </c>
      <c r="AH46">
        <v>1</v>
      </c>
      <c r="AI46">
        <v>0</v>
      </c>
      <c r="AJ46">
        <v>1.5</v>
      </c>
      <c r="AK46">
        <v>0</v>
      </c>
      <c r="AL46">
        <v>0</v>
      </c>
      <c r="AM46">
        <v>0</v>
      </c>
      <c r="AO46">
        <v>0.5</v>
      </c>
    </row>
    <row r="47" spans="1:41">
      <c r="A47">
        <v>77</v>
      </c>
      <c r="B47" s="1">
        <v>112008</v>
      </c>
      <c r="C47" s="10" t="s">
        <v>125</v>
      </c>
      <c r="D47">
        <v>2</v>
      </c>
      <c r="E47">
        <v>3</v>
      </c>
      <c r="F47">
        <v>78</v>
      </c>
      <c r="G47">
        <v>1</v>
      </c>
      <c r="H47">
        <v>3</v>
      </c>
      <c r="I47">
        <v>3</v>
      </c>
      <c r="J47">
        <v>0</v>
      </c>
      <c r="K47">
        <v>800238</v>
      </c>
      <c r="L47">
        <v>1</v>
      </c>
      <c r="M47">
        <v>10</v>
      </c>
      <c r="N47" s="17">
        <v>800240</v>
      </c>
      <c r="O47">
        <v>1</v>
      </c>
      <c r="P47">
        <v>10</v>
      </c>
      <c r="Q47" s="17">
        <v>800243</v>
      </c>
      <c r="R47">
        <v>1</v>
      </c>
      <c r="V47">
        <v>10</v>
      </c>
      <c r="W47" s="17">
        <v>800246</v>
      </c>
      <c r="X47">
        <v>1</v>
      </c>
      <c r="AA47" t="s">
        <v>126</v>
      </c>
      <c r="AB47">
        <v>2415</v>
      </c>
      <c r="AC47">
        <v>1610</v>
      </c>
      <c r="AD47">
        <v>24150</v>
      </c>
      <c r="AE47">
        <v>220</v>
      </c>
      <c r="AF47">
        <v>0</v>
      </c>
      <c r="AG47">
        <v>0</v>
      </c>
      <c r="AH47">
        <v>1</v>
      </c>
      <c r="AI47">
        <v>0</v>
      </c>
      <c r="AJ47">
        <v>1.5</v>
      </c>
      <c r="AK47">
        <v>0</v>
      </c>
      <c r="AL47">
        <v>0</v>
      </c>
      <c r="AM47">
        <v>0</v>
      </c>
      <c r="AO47">
        <v>0.5</v>
      </c>
    </row>
    <row r="48" spans="1:41">
      <c r="A48">
        <v>78</v>
      </c>
      <c r="B48" s="1">
        <v>112008</v>
      </c>
      <c r="C48" s="10" t="s">
        <v>125</v>
      </c>
      <c r="D48">
        <v>3</v>
      </c>
      <c r="E48">
        <v>5</v>
      </c>
      <c r="F48">
        <v>-1</v>
      </c>
      <c r="G48">
        <v>1</v>
      </c>
      <c r="H48">
        <v>5</v>
      </c>
      <c r="I48">
        <v>5</v>
      </c>
      <c r="J48">
        <v>0</v>
      </c>
      <c r="K48">
        <v>800238</v>
      </c>
      <c r="L48">
        <v>1</v>
      </c>
      <c r="M48">
        <v>10</v>
      </c>
      <c r="N48" s="17">
        <v>800241</v>
      </c>
      <c r="O48">
        <v>1</v>
      </c>
      <c r="P48">
        <v>10</v>
      </c>
      <c r="Q48" s="17">
        <v>800244</v>
      </c>
      <c r="R48">
        <v>1</v>
      </c>
      <c r="V48">
        <v>10</v>
      </c>
      <c r="W48" s="17">
        <v>800247</v>
      </c>
      <c r="X48">
        <v>1</v>
      </c>
      <c r="AA48" t="s">
        <v>126</v>
      </c>
      <c r="AB48">
        <v>3450</v>
      </c>
      <c r="AC48">
        <v>2300</v>
      </c>
      <c r="AD48">
        <v>34500</v>
      </c>
      <c r="AE48">
        <v>220</v>
      </c>
      <c r="AF48">
        <v>0</v>
      </c>
      <c r="AG48">
        <v>0</v>
      </c>
      <c r="AH48">
        <v>1</v>
      </c>
      <c r="AI48">
        <v>0</v>
      </c>
      <c r="AJ48">
        <v>1.5</v>
      </c>
      <c r="AK48">
        <v>0</v>
      </c>
      <c r="AL48">
        <v>0</v>
      </c>
      <c r="AM48">
        <v>0</v>
      </c>
      <c r="AO48">
        <v>0.5</v>
      </c>
    </row>
    <row r="49" spans="1:41">
      <c r="A49">
        <v>79</v>
      </c>
      <c r="B49" s="1">
        <v>112009</v>
      </c>
      <c r="C49" s="10" t="s">
        <v>127</v>
      </c>
      <c r="D49">
        <v>1</v>
      </c>
      <c r="E49">
        <v>1</v>
      </c>
      <c r="F49">
        <v>80</v>
      </c>
      <c r="G49">
        <v>1</v>
      </c>
      <c r="H49">
        <v>1</v>
      </c>
      <c r="I49">
        <v>2</v>
      </c>
      <c r="J49">
        <v>0</v>
      </c>
      <c r="K49">
        <v>800251</v>
      </c>
      <c r="L49">
        <v>1</v>
      </c>
      <c r="M49">
        <v>10</v>
      </c>
      <c r="N49" s="17">
        <v>800252</v>
      </c>
      <c r="O49">
        <v>1</v>
      </c>
      <c r="V49">
        <v>10</v>
      </c>
      <c r="W49" s="17">
        <v>800255</v>
      </c>
      <c r="X49">
        <v>1</v>
      </c>
      <c r="AB49">
        <v>2277</v>
      </c>
      <c r="AC49">
        <v>920</v>
      </c>
      <c r="AD49">
        <v>14030</v>
      </c>
      <c r="AE49">
        <v>324</v>
      </c>
      <c r="AF49">
        <v>0</v>
      </c>
      <c r="AG49">
        <v>0</v>
      </c>
      <c r="AH49">
        <v>1</v>
      </c>
      <c r="AI49">
        <v>0</v>
      </c>
      <c r="AJ49">
        <v>1.5</v>
      </c>
      <c r="AK49">
        <v>0</v>
      </c>
      <c r="AL49">
        <v>0</v>
      </c>
      <c r="AM49">
        <v>0</v>
      </c>
      <c r="AO49">
        <v>0.5</v>
      </c>
    </row>
    <row r="50" spans="1:41">
      <c r="A50">
        <v>80</v>
      </c>
      <c r="B50" s="1">
        <v>112009</v>
      </c>
      <c r="C50" s="10" t="s">
        <v>127</v>
      </c>
      <c r="D50">
        <v>2</v>
      </c>
      <c r="E50">
        <v>3</v>
      </c>
      <c r="F50">
        <v>81</v>
      </c>
      <c r="G50">
        <v>1</v>
      </c>
      <c r="H50">
        <v>3</v>
      </c>
      <c r="I50">
        <v>3</v>
      </c>
      <c r="J50">
        <v>0</v>
      </c>
      <c r="K50">
        <v>800251</v>
      </c>
      <c r="L50">
        <v>1</v>
      </c>
      <c r="M50">
        <v>10</v>
      </c>
      <c r="N50" s="17">
        <v>800253</v>
      </c>
      <c r="O50">
        <v>1</v>
      </c>
      <c r="V50">
        <v>10</v>
      </c>
      <c r="W50" s="17">
        <v>800256</v>
      </c>
      <c r="X50">
        <v>1</v>
      </c>
      <c r="AB50">
        <v>3188</v>
      </c>
      <c r="AC50">
        <v>1288</v>
      </c>
      <c r="AD50">
        <v>19642</v>
      </c>
      <c r="AE50">
        <v>324</v>
      </c>
      <c r="AF50">
        <v>0</v>
      </c>
      <c r="AG50">
        <v>0</v>
      </c>
      <c r="AH50">
        <v>1</v>
      </c>
      <c r="AI50">
        <v>0</v>
      </c>
      <c r="AJ50">
        <v>1.5</v>
      </c>
      <c r="AK50">
        <v>0</v>
      </c>
      <c r="AL50">
        <v>0</v>
      </c>
      <c r="AM50">
        <v>0</v>
      </c>
      <c r="AO50">
        <v>0.5</v>
      </c>
    </row>
    <row r="51" spans="1:41">
      <c r="A51">
        <v>81</v>
      </c>
      <c r="B51" s="1">
        <v>112009</v>
      </c>
      <c r="C51" s="10" t="s">
        <v>127</v>
      </c>
      <c r="D51">
        <v>3</v>
      </c>
      <c r="E51">
        <v>5</v>
      </c>
      <c r="F51">
        <v>-1</v>
      </c>
      <c r="G51">
        <v>1</v>
      </c>
      <c r="H51">
        <v>5</v>
      </c>
      <c r="I51">
        <v>5</v>
      </c>
      <c r="J51">
        <v>0</v>
      </c>
      <c r="K51">
        <v>800251</v>
      </c>
      <c r="L51">
        <v>1</v>
      </c>
      <c r="M51">
        <v>10</v>
      </c>
      <c r="N51" s="17">
        <v>800254</v>
      </c>
      <c r="O51">
        <v>1</v>
      </c>
      <c r="V51">
        <v>10</v>
      </c>
      <c r="W51" s="17">
        <v>800257</v>
      </c>
      <c r="X51">
        <v>1</v>
      </c>
      <c r="AA51" t="s">
        <v>128</v>
      </c>
      <c r="AB51">
        <v>4554</v>
      </c>
      <c r="AC51">
        <v>1840</v>
      </c>
      <c r="AD51">
        <v>28060</v>
      </c>
      <c r="AE51">
        <v>324</v>
      </c>
      <c r="AF51">
        <v>0</v>
      </c>
      <c r="AG51">
        <v>0</v>
      </c>
      <c r="AH51">
        <v>1</v>
      </c>
      <c r="AI51">
        <v>0</v>
      </c>
      <c r="AJ51">
        <v>1.5</v>
      </c>
      <c r="AK51">
        <v>0</v>
      </c>
      <c r="AL51">
        <v>0</v>
      </c>
      <c r="AM51">
        <v>0</v>
      </c>
      <c r="AO51">
        <v>0.5</v>
      </c>
    </row>
    <row r="52" spans="1:41">
      <c r="A52">
        <v>82</v>
      </c>
      <c r="B52" s="1">
        <v>112010</v>
      </c>
      <c r="C52" s="12" t="s">
        <v>129</v>
      </c>
      <c r="D52">
        <v>1</v>
      </c>
      <c r="E52">
        <v>2</v>
      </c>
      <c r="F52">
        <v>83</v>
      </c>
      <c r="G52">
        <v>2</v>
      </c>
      <c r="H52">
        <v>2</v>
      </c>
      <c r="I52">
        <v>3</v>
      </c>
      <c r="J52">
        <v>0</v>
      </c>
      <c r="K52">
        <v>800261</v>
      </c>
      <c r="L52">
        <v>1</v>
      </c>
      <c r="M52">
        <v>10</v>
      </c>
      <c r="N52" s="17">
        <v>800262</v>
      </c>
      <c r="O52">
        <v>1</v>
      </c>
      <c r="V52">
        <v>10</v>
      </c>
      <c r="W52" s="17">
        <v>800265</v>
      </c>
      <c r="X52">
        <v>1</v>
      </c>
      <c r="AB52">
        <v>2175</v>
      </c>
      <c r="AC52">
        <v>953</v>
      </c>
      <c r="AD52">
        <v>17595</v>
      </c>
      <c r="AE52">
        <v>247</v>
      </c>
      <c r="AF52">
        <v>0</v>
      </c>
      <c r="AG52">
        <v>0</v>
      </c>
      <c r="AH52">
        <v>1</v>
      </c>
      <c r="AI52">
        <v>0</v>
      </c>
      <c r="AJ52">
        <v>1.5</v>
      </c>
      <c r="AK52">
        <v>0</v>
      </c>
      <c r="AL52">
        <v>0</v>
      </c>
      <c r="AM52">
        <v>0</v>
      </c>
      <c r="AO52">
        <v>0.5</v>
      </c>
    </row>
    <row r="53" spans="1:41">
      <c r="A53">
        <v>83</v>
      </c>
      <c r="B53" s="1">
        <v>112010</v>
      </c>
      <c r="C53" s="12" t="s">
        <v>129</v>
      </c>
      <c r="D53">
        <v>2</v>
      </c>
      <c r="E53">
        <v>4</v>
      </c>
      <c r="F53">
        <v>84</v>
      </c>
      <c r="G53">
        <v>2</v>
      </c>
      <c r="H53">
        <v>4</v>
      </c>
      <c r="I53">
        <v>4</v>
      </c>
      <c r="J53">
        <v>0</v>
      </c>
      <c r="K53">
        <v>800261</v>
      </c>
      <c r="L53">
        <v>1</v>
      </c>
      <c r="M53">
        <v>10</v>
      </c>
      <c r="N53" s="17">
        <v>800263</v>
      </c>
      <c r="O53">
        <v>1</v>
      </c>
      <c r="V53">
        <v>10</v>
      </c>
      <c r="W53" s="17">
        <v>800266</v>
      </c>
      <c r="X53">
        <v>1</v>
      </c>
      <c r="AA53" t="s">
        <v>130</v>
      </c>
      <c r="AB53">
        <v>3045</v>
      </c>
      <c r="AC53">
        <v>1334</v>
      </c>
      <c r="AD53">
        <v>24633</v>
      </c>
      <c r="AE53">
        <v>247</v>
      </c>
      <c r="AF53">
        <v>0</v>
      </c>
      <c r="AG53">
        <v>0</v>
      </c>
      <c r="AH53">
        <v>1</v>
      </c>
      <c r="AI53">
        <v>0</v>
      </c>
      <c r="AJ53">
        <v>1.5</v>
      </c>
      <c r="AK53">
        <v>0</v>
      </c>
      <c r="AL53">
        <v>0</v>
      </c>
      <c r="AM53">
        <v>0</v>
      </c>
      <c r="AO53">
        <v>0.5</v>
      </c>
    </row>
    <row r="54" spans="1:41">
      <c r="A54">
        <v>84</v>
      </c>
      <c r="B54" s="1">
        <v>112010</v>
      </c>
      <c r="C54" s="12" t="s">
        <v>129</v>
      </c>
      <c r="D54">
        <v>3</v>
      </c>
      <c r="E54">
        <v>6</v>
      </c>
      <c r="F54">
        <v>-1</v>
      </c>
      <c r="G54">
        <v>2</v>
      </c>
      <c r="H54">
        <v>6</v>
      </c>
      <c r="I54">
        <v>8</v>
      </c>
      <c r="J54">
        <v>0</v>
      </c>
      <c r="K54">
        <v>800261</v>
      </c>
      <c r="L54">
        <v>1</v>
      </c>
      <c r="M54">
        <v>10</v>
      </c>
      <c r="N54" s="17">
        <v>800264</v>
      </c>
      <c r="O54">
        <v>1</v>
      </c>
      <c r="V54">
        <v>10</v>
      </c>
      <c r="W54" s="17">
        <v>800267</v>
      </c>
      <c r="X54">
        <v>1</v>
      </c>
      <c r="AA54" t="s">
        <v>131</v>
      </c>
      <c r="AB54">
        <v>4350</v>
      </c>
      <c r="AC54">
        <v>1906</v>
      </c>
      <c r="AD54">
        <v>35190</v>
      </c>
      <c r="AE54">
        <v>247</v>
      </c>
      <c r="AF54">
        <v>0</v>
      </c>
      <c r="AG54">
        <v>0</v>
      </c>
      <c r="AH54">
        <v>1</v>
      </c>
      <c r="AI54">
        <v>0</v>
      </c>
      <c r="AJ54">
        <v>1.5</v>
      </c>
      <c r="AK54">
        <v>0</v>
      </c>
      <c r="AL54">
        <v>0</v>
      </c>
      <c r="AM54">
        <v>0</v>
      </c>
      <c r="AO54">
        <v>0.5</v>
      </c>
    </row>
    <row r="55" spans="1:41">
      <c r="A55">
        <v>85</v>
      </c>
      <c r="B55" s="1">
        <v>112011</v>
      </c>
      <c r="C55" s="12" t="s">
        <v>132</v>
      </c>
      <c r="D55">
        <v>1</v>
      </c>
      <c r="E55">
        <v>2</v>
      </c>
      <c r="F55">
        <v>86</v>
      </c>
      <c r="G55">
        <v>2</v>
      </c>
      <c r="H55">
        <v>2</v>
      </c>
      <c r="I55">
        <v>3</v>
      </c>
      <c r="J55">
        <v>0</v>
      </c>
      <c r="K55">
        <v>800271</v>
      </c>
      <c r="L55">
        <v>1</v>
      </c>
      <c r="M55">
        <v>10</v>
      </c>
      <c r="N55" s="17">
        <v>800272</v>
      </c>
      <c r="O55">
        <v>1</v>
      </c>
      <c r="V55">
        <v>10</v>
      </c>
      <c r="W55" s="17">
        <v>800275</v>
      </c>
      <c r="X55">
        <v>1</v>
      </c>
      <c r="AB55">
        <v>2028</v>
      </c>
      <c r="AC55">
        <v>1002</v>
      </c>
      <c r="AD55">
        <v>18573</v>
      </c>
      <c r="AE55">
        <v>209</v>
      </c>
      <c r="AF55">
        <v>0</v>
      </c>
      <c r="AG55">
        <v>0</v>
      </c>
      <c r="AH55">
        <v>1</v>
      </c>
      <c r="AI55">
        <v>0</v>
      </c>
      <c r="AJ55">
        <v>1.5</v>
      </c>
      <c r="AK55">
        <v>0</v>
      </c>
      <c r="AL55">
        <v>0</v>
      </c>
      <c r="AM55">
        <v>0</v>
      </c>
      <c r="AO55">
        <v>0.5</v>
      </c>
    </row>
    <row r="56" spans="1:41">
      <c r="A56">
        <v>86</v>
      </c>
      <c r="B56" s="1">
        <v>112011</v>
      </c>
      <c r="C56" s="12" t="s">
        <v>132</v>
      </c>
      <c r="D56">
        <v>2</v>
      </c>
      <c r="E56">
        <v>4</v>
      </c>
      <c r="F56">
        <v>87</v>
      </c>
      <c r="G56">
        <v>2</v>
      </c>
      <c r="H56">
        <v>4</v>
      </c>
      <c r="I56">
        <v>4</v>
      </c>
      <c r="J56">
        <v>0</v>
      </c>
      <c r="K56">
        <v>800271</v>
      </c>
      <c r="L56">
        <v>1</v>
      </c>
      <c r="M56">
        <v>10</v>
      </c>
      <c r="N56" s="17">
        <v>800273</v>
      </c>
      <c r="O56">
        <v>1</v>
      </c>
      <c r="V56">
        <v>10</v>
      </c>
      <c r="W56" s="17">
        <v>800276</v>
      </c>
      <c r="X56">
        <v>1</v>
      </c>
      <c r="AA56" t="s">
        <v>133</v>
      </c>
      <c r="AB56">
        <v>2840</v>
      </c>
      <c r="AC56">
        <v>1403</v>
      </c>
      <c r="AD56">
        <v>26002</v>
      </c>
      <c r="AE56">
        <v>209</v>
      </c>
      <c r="AF56">
        <v>0</v>
      </c>
      <c r="AG56">
        <v>0</v>
      </c>
      <c r="AH56">
        <v>1</v>
      </c>
      <c r="AI56">
        <v>0</v>
      </c>
      <c r="AJ56">
        <v>1.5</v>
      </c>
      <c r="AK56">
        <v>0</v>
      </c>
      <c r="AL56">
        <v>0</v>
      </c>
      <c r="AM56">
        <v>0</v>
      </c>
      <c r="AO56">
        <v>0.5</v>
      </c>
    </row>
    <row r="57" spans="1:41">
      <c r="A57">
        <v>87</v>
      </c>
      <c r="B57" s="1">
        <v>112011</v>
      </c>
      <c r="C57" s="12" t="s">
        <v>132</v>
      </c>
      <c r="D57">
        <v>3</v>
      </c>
      <c r="E57">
        <v>6</v>
      </c>
      <c r="F57">
        <v>-1</v>
      </c>
      <c r="G57">
        <v>2</v>
      </c>
      <c r="H57">
        <v>6</v>
      </c>
      <c r="I57">
        <v>8</v>
      </c>
      <c r="J57">
        <v>0</v>
      </c>
      <c r="K57">
        <v>800271</v>
      </c>
      <c r="L57">
        <v>1</v>
      </c>
      <c r="M57">
        <v>10</v>
      </c>
      <c r="N57" s="17">
        <v>800274</v>
      </c>
      <c r="O57">
        <v>1</v>
      </c>
      <c r="V57">
        <v>10</v>
      </c>
      <c r="W57" s="17">
        <v>800277</v>
      </c>
      <c r="X57">
        <v>1</v>
      </c>
      <c r="AA57" t="s">
        <v>134</v>
      </c>
      <c r="AB57">
        <v>4057</v>
      </c>
      <c r="AC57">
        <v>2004</v>
      </c>
      <c r="AD57">
        <v>37145</v>
      </c>
      <c r="AE57">
        <v>209</v>
      </c>
      <c r="AF57">
        <v>0</v>
      </c>
      <c r="AG57">
        <v>0</v>
      </c>
      <c r="AH57">
        <v>1</v>
      </c>
      <c r="AI57">
        <v>0</v>
      </c>
      <c r="AJ57">
        <v>1.5</v>
      </c>
      <c r="AK57">
        <v>0</v>
      </c>
      <c r="AL57">
        <v>0</v>
      </c>
      <c r="AM57">
        <v>0</v>
      </c>
      <c r="AO57">
        <v>0.5</v>
      </c>
    </row>
    <row r="58" spans="1:41">
      <c r="A58">
        <v>88</v>
      </c>
      <c r="B58" s="1">
        <v>112012</v>
      </c>
      <c r="C58" s="10" t="s">
        <v>135</v>
      </c>
      <c r="D58">
        <v>1</v>
      </c>
      <c r="E58">
        <v>1</v>
      </c>
      <c r="F58">
        <v>89</v>
      </c>
      <c r="G58">
        <v>1</v>
      </c>
      <c r="H58">
        <v>1</v>
      </c>
      <c r="I58">
        <v>2</v>
      </c>
      <c r="J58">
        <v>0</v>
      </c>
      <c r="K58">
        <v>800281</v>
      </c>
      <c r="L58">
        <v>1</v>
      </c>
      <c r="M58">
        <v>10</v>
      </c>
      <c r="N58" s="17">
        <v>800282</v>
      </c>
      <c r="O58">
        <v>1</v>
      </c>
      <c r="V58">
        <v>10</v>
      </c>
      <c r="W58" s="17">
        <v>800285</v>
      </c>
      <c r="X58">
        <v>1</v>
      </c>
      <c r="AB58">
        <v>2461</v>
      </c>
      <c r="AC58">
        <v>943</v>
      </c>
      <c r="AD58">
        <v>11960</v>
      </c>
      <c r="AE58">
        <v>355</v>
      </c>
      <c r="AF58">
        <v>0</v>
      </c>
      <c r="AG58">
        <v>0</v>
      </c>
      <c r="AH58">
        <v>1</v>
      </c>
      <c r="AI58">
        <v>0</v>
      </c>
      <c r="AJ58">
        <v>1.5</v>
      </c>
      <c r="AK58">
        <v>0</v>
      </c>
      <c r="AL58">
        <v>0</v>
      </c>
      <c r="AM58">
        <v>0</v>
      </c>
      <c r="AO58">
        <v>0.5</v>
      </c>
    </row>
    <row r="59" spans="1:41">
      <c r="A59">
        <v>89</v>
      </c>
      <c r="B59" s="1">
        <v>112012</v>
      </c>
      <c r="C59" s="10" t="s">
        <v>135</v>
      </c>
      <c r="D59">
        <v>2</v>
      </c>
      <c r="E59">
        <v>3</v>
      </c>
      <c r="F59">
        <v>90</v>
      </c>
      <c r="G59">
        <v>1</v>
      </c>
      <c r="H59">
        <v>3</v>
      </c>
      <c r="I59">
        <v>3</v>
      </c>
      <c r="J59">
        <v>0</v>
      </c>
      <c r="K59">
        <v>800281</v>
      </c>
      <c r="L59">
        <v>1</v>
      </c>
      <c r="M59">
        <v>10</v>
      </c>
      <c r="N59" s="17">
        <v>800283</v>
      </c>
      <c r="O59">
        <v>1</v>
      </c>
      <c r="V59">
        <v>10</v>
      </c>
      <c r="W59" s="17">
        <v>800286</v>
      </c>
      <c r="X59">
        <v>1</v>
      </c>
      <c r="AA59" t="s">
        <v>136</v>
      </c>
      <c r="AB59">
        <v>3445</v>
      </c>
      <c r="AC59">
        <v>1320</v>
      </c>
      <c r="AD59">
        <v>16744</v>
      </c>
      <c r="AE59">
        <v>355</v>
      </c>
      <c r="AF59">
        <v>0</v>
      </c>
      <c r="AG59">
        <v>0</v>
      </c>
      <c r="AH59">
        <v>1</v>
      </c>
      <c r="AI59">
        <v>0</v>
      </c>
      <c r="AJ59">
        <v>1.5</v>
      </c>
      <c r="AK59">
        <v>0</v>
      </c>
      <c r="AL59">
        <v>0</v>
      </c>
      <c r="AM59">
        <v>0</v>
      </c>
      <c r="AO59">
        <v>0.5</v>
      </c>
    </row>
    <row r="60" spans="1:41">
      <c r="A60">
        <v>90</v>
      </c>
      <c r="B60" s="1">
        <v>112012</v>
      </c>
      <c r="C60" s="10" t="s">
        <v>135</v>
      </c>
      <c r="D60">
        <v>3</v>
      </c>
      <c r="E60">
        <v>5</v>
      </c>
      <c r="F60">
        <v>-1</v>
      </c>
      <c r="G60">
        <v>1</v>
      </c>
      <c r="H60">
        <v>5</v>
      </c>
      <c r="I60">
        <v>5</v>
      </c>
      <c r="J60">
        <v>0</v>
      </c>
      <c r="K60">
        <v>800281</v>
      </c>
      <c r="L60">
        <v>1</v>
      </c>
      <c r="M60">
        <v>10</v>
      </c>
      <c r="N60" s="17">
        <v>800284</v>
      </c>
      <c r="O60">
        <v>1</v>
      </c>
      <c r="P60">
        <v>10</v>
      </c>
      <c r="Q60" s="17">
        <v>800288</v>
      </c>
      <c r="R60">
        <v>1</v>
      </c>
      <c r="V60">
        <v>10</v>
      </c>
      <c r="W60" s="17">
        <v>800287</v>
      </c>
      <c r="X60">
        <v>1</v>
      </c>
      <c r="AA60" t="s">
        <v>136</v>
      </c>
      <c r="AB60">
        <v>4922</v>
      </c>
      <c r="AC60">
        <v>1886</v>
      </c>
      <c r="AD60">
        <v>23920</v>
      </c>
      <c r="AE60">
        <v>355</v>
      </c>
      <c r="AF60">
        <v>0</v>
      </c>
      <c r="AG60">
        <v>0</v>
      </c>
      <c r="AH60">
        <v>1</v>
      </c>
      <c r="AI60">
        <v>0</v>
      </c>
      <c r="AJ60">
        <v>1.5</v>
      </c>
      <c r="AK60">
        <v>0</v>
      </c>
      <c r="AL60">
        <v>0</v>
      </c>
      <c r="AM60">
        <v>0</v>
      </c>
      <c r="AO60">
        <v>0.5</v>
      </c>
    </row>
    <row r="61" spans="1:41">
      <c r="A61">
        <v>109</v>
      </c>
      <c r="B61" s="1">
        <v>112019</v>
      </c>
      <c r="C61" s="12" t="s">
        <v>137</v>
      </c>
      <c r="D61">
        <v>1</v>
      </c>
      <c r="E61">
        <v>2</v>
      </c>
      <c r="F61">
        <v>110</v>
      </c>
      <c r="G61">
        <v>2</v>
      </c>
      <c r="H61">
        <v>2</v>
      </c>
      <c r="I61">
        <v>3</v>
      </c>
      <c r="J61">
        <v>0</v>
      </c>
      <c r="K61">
        <v>800341</v>
      </c>
      <c r="L61">
        <v>1</v>
      </c>
      <c r="M61">
        <v>10</v>
      </c>
      <c r="N61" s="17">
        <v>800342</v>
      </c>
      <c r="O61">
        <v>1</v>
      </c>
      <c r="V61">
        <v>10</v>
      </c>
      <c r="W61" s="17">
        <v>800345</v>
      </c>
      <c r="X61">
        <v>1</v>
      </c>
      <c r="Z61" t="s">
        <v>138</v>
      </c>
      <c r="AA61" t="s">
        <v>139</v>
      </c>
      <c r="AB61">
        <v>2224</v>
      </c>
      <c r="AC61">
        <v>1100</v>
      </c>
      <c r="AD61">
        <v>15640</v>
      </c>
      <c r="AE61">
        <v>342</v>
      </c>
      <c r="AF61">
        <v>0</v>
      </c>
      <c r="AG61">
        <v>0</v>
      </c>
      <c r="AH61">
        <v>1</v>
      </c>
      <c r="AI61">
        <v>0</v>
      </c>
      <c r="AJ61">
        <v>1.5</v>
      </c>
      <c r="AK61">
        <v>0</v>
      </c>
      <c r="AL61">
        <v>0</v>
      </c>
      <c r="AM61">
        <v>0</v>
      </c>
      <c r="AO61">
        <v>0.5</v>
      </c>
    </row>
    <row r="62" spans="1:41">
      <c r="A62">
        <v>110</v>
      </c>
      <c r="B62" s="1">
        <v>112019</v>
      </c>
      <c r="C62" s="12" t="s">
        <v>137</v>
      </c>
      <c r="D62">
        <v>2</v>
      </c>
      <c r="E62">
        <v>4</v>
      </c>
      <c r="F62">
        <v>111</v>
      </c>
      <c r="G62">
        <v>2</v>
      </c>
      <c r="H62">
        <v>4</v>
      </c>
      <c r="I62">
        <v>4</v>
      </c>
      <c r="J62">
        <v>0</v>
      </c>
      <c r="K62">
        <v>800341</v>
      </c>
      <c r="L62">
        <v>1</v>
      </c>
      <c r="M62">
        <v>10</v>
      </c>
      <c r="N62" s="17">
        <v>800343</v>
      </c>
      <c r="O62">
        <v>1</v>
      </c>
      <c r="V62">
        <v>10</v>
      </c>
      <c r="W62" s="17">
        <v>800346</v>
      </c>
      <c r="X62">
        <v>1</v>
      </c>
      <c r="Z62" t="s">
        <v>140</v>
      </c>
      <c r="AA62" t="s">
        <v>141</v>
      </c>
      <c r="AB62">
        <v>3113</v>
      </c>
      <c r="AC62">
        <v>1540</v>
      </c>
      <c r="AD62">
        <v>21896</v>
      </c>
      <c r="AE62">
        <v>342</v>
      </c>
      <c r="AF62">
        <v>0</v>
      </c>
      <c r="AG62">
        <v>0</v>
      </c>
      <c r="AH62">
        <v>1</v>
      </c>
      <c r="AI62">
        <v>0</v>
      </c>
      <c r="AJ62">
        <v>1.5</v>
      </c>
      <c r="AK62">
        <v>0</v>
      </c>
      <c r="AL62">
        <v>0</v>
      </c>
      <c r="AM62">
        <v>0</v>
      </c>
      <c r="AO62">
        <v>0.5</v>
      </c>
    </row>
    <row r="63" spans="1:41">
      <c r="A63">
        <v>111</v>
      </c>
      <c r="B63" s="1">
        <v>112019</v>
      </c>
      <c r="C63" s="12" t="s">
        <v>137</v>
      </c>
      <c r="D63">
        <v>3</v>
      </c>
      <c r="E63">
        <v>6</v>
      </c>
      <c r="F63">
        <v>-1</v>
      </c>
      <c r="G63">
        <v>2</v>
      </c>
      <c r="H63">
        <v>6</v>
      </c>
      <c r="I63">
        <v>8</v>
      </c>
      <c r="J63">
        <v>0</v>
      </c>
      <c r="K63">
        <v>800341</v>
      </c>
      <c r="L63">
        <v>1</v>
      </c>
      <c r="M63">
        <v>10</v>
      </c>
      <c r="N63" s="17">
        <v>800344</v>
      </c>
      <c r="O63">
        <v>1</v>
      </c>
      <c r="V63">
        <v>10</v>
      </c>
      <c r="W63" s="17">
        <v>800347</v>
      </c>
      <c r="X63">
        <v>1</v>
      </c>
      <c r="Z63" t="s">
        <v>142</v>
      </c>
      <c r="AA63" t="s">
        <v>143</v>
      </c>
      <c r="AB63">
        <v>4448</v>
      </c>
      <c r="AC63">
        <v>2199</v>
      </c>
      <c r="AD63">
        <v>31280</v>
      </c>
      <c r="AE63">
        <v>342</v>
      </c>
      <c r="AF63">
        <v>0</v>
      </c>
      <c r="AG63">
        <v>0</v>
      </c>
      <c r="AH63">
        <v>1</v>
      </c>
      <c r="AI63">
        <v>0</v>
      </c>
      <c r="AJ63">
        <v>1.5</v>
      </c>
      <c r="AK63">
        <v>0</v>
      </c>
      <c r="AL63">
        <v>0</v>
      </c>
      <c r="AM63">
        <v>0</v>
      </c>
      <c r="AO63">
        <v>0.5</v>
      </c>
    </row>
    <row r="64" spans="1:41">
      <c r="A64">
        <v>112</v>
      </c>
      <c r="B64" s="1">
        <v>112020</v>
      </c>
      <c r="C64" s="11" t="s">
        <v>144</v>
      </c>
      <c r="D64">
        <v>1</v>
      </c>
      <c r="E64">
        <v>3</v>
      </c>
      <c r="F64">
        <v>113</v>
      </c>
      <c r="G64">
        <v>3</v>
      </c>
      <c r="H64">
        <v>3</v>
      </c>
      <c r="I64">
        <v>4</v>
      </c>
      <c r="J64">
        <v>0</v>
      </c>
      <c r="K64">
        <v>800358</v>
      </c>
      <c r="L64">
        <v>1</v>
      </c>
      <c r="M64">
        <v>10</v>
      </c>
      <c r="N64" s="17">
        <v>800359</v>
      </c>
      <c r="O64">
        <v>1</v>
      </c>
      <c r="V64">
        <v>10</v>
      </c>
      <c r="W64" s="17">
        <v>800362</v>
      </c>
      <c r="X64">
        <v>1</v>
      </c>
      <c r="AB64">
        <v>2484</v>
      </c>
      <c r="AC64">
        <v>1139</v>
      </c>
      <c r="AD64">
        <v>15525</v>
      </c>
      <c r="AE64">
        <v>345</v>
      </c>
      <c r="AF64">
        <v>0</v>
      </c>
      <c r="AG64">
        <v>0</v>
      </c>
      <c r="AH64">
        <v>1</v>
      </c>
      <c r="AI64">
        <v>0</v>
      </c>
      <c r="AJ64">
        <v>1.5</v>
      </c>
      <c r="AK64">
        <v>0</v>
      </c>
      <c r="AL64">
        <v>0</v>
      </c>
      <c r="AM64">
        <v>0</v>
      </c>
      <c r="AO64">
        <v>0.5</v>
      </c>
    </row>
    <row r="65" spans="1:41">
      <c r="A65">
        <v>113</v>
      </c>
      <c r="B65" s="1">
        <v>112020</v>
      </c>
      <c r="C65" s="11" t="s">
        <v>144</v>
      </c>
      <c r="D65">
        <v>2</v>
      </c>
      <c r="E65">
        <v>5</v>
      </c>
      <c r="F65">
        <v>114</v>
      </c>
      <c r="G65">
        <v>3</v>
      </c>
      <c r="H65">
        <v>6</v>
      </c>
      <c r="I65">
        <v>6</v>
      </c>
      <c r="J65">
        <v>0</v>
      </c>
      <c r="K65">
        <v>800358</v>
      </c>
      <c r="L65">
        <v>1</v>
      </c>
      <c r="M65">
        <v>10</v>
      </c>
      <c r="N65" s="17">
        <v>800360</v>
      </c>
      <c r="O65">
        <v>1</v>
      </c>
      <c r="V65">
        <v>10</v>
      </c>
      <c r="W65" s="17">
        <v>800363</v>
      </c>
      <c r="X65">
        <v>1</v>
      </c>
      <c r="AB65">
        <v>3478</v>
      </c>
      <c r="AC65">
        <v>1594</v>
      </c>
      <c r="AD65">
        <v>21735</v>
      </c>
      <c r="AE65">
        <v>345</v>
      </c>
      <c r="AF65">
        <v>0</v>
      </c>
      <c r="AG65">
        <v>0</v>
      </c>
      <c r="AH65">
        <v>1</v>
      </c>
      <c r="AI65">
        <v>0</v>
      </c>
      <c r="AJ65">
        <v>1.5</v>
      </c>
      <c r="AK65">
        <v>0</v>
      </c>
      <c r="AL65">
        <v>0</v>
      </c>
      <c r="AM65">
        <v>0</v>
      </c>
      <c r="AO65">
        <v>0.5</v>
      </c>
    </row>
    <row r="66" spans="1:41">
      <c r="A66">
        <v>114</v>
      </c>
      <c r="B66" s="1">
        <v>112020</v>
      </c>
      <c r="C66" s="11" t="s">
        <v>144</v>
      </c>
      <c r="D66">
        <v>3</v>
      </c>
      <c r="E66">
        <v>7</v>
      </c>
      <c r="F66">
        <v>-1</v>
      </c>
      <c r="G66">
        <v>3</v>
      </c>
      <c r="H66">
        <v>9</v>
      </c>
      <c r="I66">
        <v>10</v>
      </c>
      <c r="J66">
        <v>0</v>
      </c>
      <c r="K66">
        <v>800358</v>
      </c>
      <c r="L66">
        <v>1</v>
      </c>
      <c r="M66">
        <v>10</v>
      </c>
      <c r="N66" s="17">
        <v>800361</v>
      </c>
      <c r="O66">
        <v>1</v>
      </c>
      <c r="V66">
        <v>10</v>
      </c>
      <c r="W66" s="17">
        <v>800364</v>
      </c>
      <c r="X66">
        <v>1</v>
      </c>
      <c r="AA66" t="s">
        <v>145</v>
      </c>
      <c r="AB66">
        <v>4968</v>
      </c>
      <c r="AC66">
        <v>2277</v>
      </c>
      <c r="AD66">
        <v>31050</v>
      </c>
      <c r="AE66">
        <v>345</v>
      </c>
      <c r="AF66">
        <v>0</v>
      </c>
      <c r="AG66">
        <v>0</v>
      </c>
      <c r="AH66">
        <v>1</v>
      </c>
      <c r="AI66">
        <v>0</v>
      </c>
      <c r="AJ66">
        <v>1.5</v>
      </c>
      <c r="AK66">
        <v>0</v>
      </c>
      <c r="AL66">
        <v>0</v>
      </c>
      <c r="AM66">
        <v>0</v>
      </c>
      <c r="AO66">
        <v>0.5</v>
      </c>
    </row>
    <row r="67" spans="1:41">
      <c r="A67">
        <v>115</v>
      </c>
      <c r="B67" s="1">
        <v>112021</v>
      </c>
      <c r="C67" s="12" t="s">
        <v>146</v>
      </c>
      <c r="D67">
        <v>1</v>
      </c>
      <c r="E67">
        <v>2</v>
      </c>
      <c r="F67">
        <v>116</v>
      </c>
      <c r="G67">
        <v>2</v>
      </c>
      <c r="H67">
        <v>2</v>
      </c>
      <c r="I67">
        <v>3</v>
      </c>
      <c r="J67">
        <v>0</v>
      </c>
      <c r="K67">
        <v>800368</v>
      </c>
      <c r="L67">
        <v>1</v>
      </c>
      <c r="M67">
        <v>10</v>
      </c>
      <c r="N67" s="17">
        <v>800369</v>
      </c>
      <c r="O67">
        <v>1</v>
      </c>
      <c r="V67">
        <v>10</v>
      </c>
      <c r="W67" s="17">
        <v>800372</v>
      </c>
      <c r="X67">
        <v>1</v>
      </c>
      <c r="Z67" t="s">
        <v>147</v>
      </c>
      <c r="AA67" t="s">
        <v>148</v>
      </c>
      <c r="AB67">
        <v>2346</v>
      </c>
      <c r="AC67">
        <v>1026</v>
      </c>
      <c r="AD67">
        <v>15151</v>
      </c>
      <c r="AE67">
        <v>339</v>
      </c>
      <c r="AF67">
        <v>0</v>
      </c>
      <c r="AG67">
        <v>0</v>
      </c>
      <c r="AH67">
        <v>1</v>
      </c>
      <c r="AI67">
        <v>0</v>
      </c>
      <c r="AJ67">
        <v>1.5</v>
      </c>
      <c r="AK67">
        <v>0</v>
      </c>
      <c r="AL67">
        <v>0</v>
      </c>
      <c r="AM67">
        <v>0</v>
      </c>
      <c r="AO67">
        <v>0.5</v>
      </c>
    </row>
    <row r="68" spans="1:41">
      <c r="A68">
        <v>116</v>
      </c>
      <c r="B68" s="1">
        <v>112021</v>
      </c>
      <c r="C68" s="12" t="s">
        <v>146</v>
      </c>
      <c r="D68">
        <v>2</v>
      </c>
      <c r="E68">
        <v>4</v>
      </c>
      <c r="F68">
        <v>117</v>
      </c>
      <c r="G68">
        <v>2</v>
      </c>
      <c r="H68">
        <v>4</v>
      </c>
      <c r="I68">
        <v>4</v>
      </c>
      <c r="J68">
        <v>0</v>
      </c>
      <c r="K68">
        <v>800368</v>
      </c>
      <c r="L68">
        <v>1</v>
      </c>
      <c r="M68">
        <v>10</v>
      </c>
      <c r="N68" s="17">
        <v>800370</v>
      </c>
      <c r="O68">
        <v>1</v>
      </c>
      <c r="V68">
        <v>10</v>
      </c>
      <c r="W68" s="17">
        <v>800373</v>
      </c>
      <c r="X68">
        <v>1</v>
      </c>
      <c r="Z68" t="s">
        <v>149</v>
      </c>
      <c r="AA68" t="s">
        <v>150</v>
      </c>
      <c r="AB68">
        <v>3284</v>
      </c>
      <c r="AC68">
        <v>1437</v>
      </c>
      <c r="AD68">
        <v>21212</v>
      </c>
      <c r="AE68">
        <v>339</v>
      </c>
      <c r="AF68">
        <v>0</v>
      </c>
      <c r="AG68">
        <v>0</v>
      </c>
      <c r="AH68">
        <v>1</v>
      </c>
      <c r="AI68">
        <v>0</v>
      </c>
      <c r="AJ68">
        <v>1.5</v>
      </c>
      <c r="AK68">
        <v>0</v>
      </c>
      <c r="AL68">
        <v>0</v>
      </c>
      <c r="AM68">
        <v>0</v>
      </c>
      <c r="AO68">
        <v>0.5</v>
      </c>
    </row>
    <row r="69" spans="1:41">
      <c r="A69">
        <v>117</v>
      </c>
      <c r="B69" s="1">
        <v>112021</v>
      </c>
      <c r="C69" s="12" t="s">
        <v>146</v>
      </c>
      <c r="D69">
        <v>3</v>
      </c>
      <c r="E69">
        <v>6</v>
      </c>
      <c r="F69">
        <v>-1</v>
      </c>
      <c r="G69">
        <v>2</v>
      </c>
      <c r="H69">
        <v>6</v>
      </c>
      <c r="I69">
        <v>8</v>
      </c>
      <c r="J69">
        <v>0</v>
      </c>
      <c r="K69">
        <v>800368</v>
      </c>
      <c r="L69">
        <v>1</v>
      </c>
      <c r="M69">
        <v>10</v>
      </c>
      <c r="N69" s="17">
        <v>800371</v>
      </c>
      <c r="O69">
        <v>1</v>
      </c>
      <c r="V69">
        <v>10</v>
      </c>
      <c r="W69" s="17">
        <v>800374</v>
      </c>
      <c r="X69">
        <v>1</v>
      </c>
      <c r="Z69" t="s">
        <v>151</v>
      </c>
      <c r="AA69" t="s">
        <v>152</v>
      </c>
      <c r="AB69">
        <v>4692</v>
      </c>
      <c r="AC69">
        <v>2053</v>
      </c>
      <c r="AD69">
        <v>30303</v>
      </c>
      <c r="AE69">
        <v>339</v>
      </c>
      <c r="AF69">
        <v>0</v>
      </c>
      <c r="AG69">
        <v>0</v>
      </c>
      <c r="AH69">
        <v>1</v>
      </c>
      <c r="AI69">
        <v>0</v>
      </c>
      <c r="AJ69">
        <v>1.5</v>
      </c>
      <c r="AK69">
        <v>0</v>
      </c>
      <c r="AL69">
        <v>0</v>
      </c>
      <c r="AM69">
        <v>0</v>
      </c>
      <c r="AO69">
        <v>0.5</v>
      </c>
    </row>
    <row r="70" spans="1:41">
      <c r="A70">
        <v>121</v>
      </c>
      <c r="B70" s="1">
        <v>112023</v>
      </c>
      <c r="C70" s="12" t="s">
        <v>153</v>
      </c>
      <c r="D70">
        <v>1</v>
      </c>
      <c r="E70">
        <v>2</v>
      </c>
      <c r="F70">
        <v>122</v>
      </c>
      <c r="G70">
        <v>2</v>
      </c>
      <c r="H70">
        <v>2</v>
      </c>
      <c r="I70">
        <v>3</v>
      </c>
      <c r="J70">
        <v>0</v>
      </c>
      <c r="K70">
        <v>800385</v>
      </c>
      <c r="L70">
        <v>1</v>
      </c>
      <c r="M70">
        <v>10</v>
      </c>
      <c r="N70" s="17">
        <v>800386</v>
      </c>
      <c r="O70">
        <v>1</v>
      </c>
      <c r="V70">
        <v>10</v>
      </c>
      <c r="W70" s="17">
        <v>800389</v>
      </c>
      <c r="X70">
        <v>1</v>
      </c>
      <c r="AB70">
        <v>2676</v>
      </c>
      <c r="AC70">
        <v>990</v>
      </c>
      <c r="AD70">
        <v>12219</v>
      </c>
      <c r="AE70">
        <v>336</v>
      </c>
      <c r="AF70">
        <v>0</v>
      </c>
      <c r="AG70">
        <v>0</v>
      </c>
      <c r="AH70">
        <v>1</v>
      </c>
      <c r="AI70">
        <v>0</v>
      </c>
      <c r="AJ70">
        <v>1.5</v>
      </c>
      <c r="AK70">
        <v>0</v>
      </c>
      <c r="AL70">
        <v>0</v>
      </c>
      <c r="AM70">
        <v>0</v>
      </c>
      <c r="AO70">
        <v>0.5</v>
      </c>
    </row>
    <row r="71" spans="1:41">
      <c r="A71">
        <v>122</v>
      </c>
      <c r="B71" s="1">
        <v>112023</v>
      </c>
      <c r="C71" s="12" t="s">
        <v>153</v>
      </c>
      <c r="D71">
        <v>2</v>
      </c>
      <c r="E71">
        <v>4</v>
      </c>
      <c r="F71">
        <v>123</v>
      </c>
      <c r="G71">
        <v>2</v>
      </c>
      <c r="H71">
        <v>4</v>
      </c>
      <c r="I71">
        <v>4</v>
      </c>
      <c r="J71">
        <v>0</v>
      </c>
      <c r="K71">
        <v>800385</v>
      </c>
      <c r="L71">
        <v>1</v>
      </c>
      <c r="M71">
        <v>10</v>
      </c>
      <c r="N71" s="17">
        <v>800387</v>
      </c>
      <c r="O71">
        <v>1</v>
      </c>
      <c r="V71">
        <v>10</v>
      </c>
      <c r="W71" s="17">
        <v>800390</v>
      </c>
      <c r="X71">
        <v>1</v>
      </c>
      <c r="AB71">
        <v>3746</v>
      </c>
      <c r="AC71">
        <v>1386</v>
      </c>
      <c r="AD71">
        <v>17106</v>
      </c>
      <c r="AE71">
        <v>336</v>
      </c>
      <c r="AF71">
        <v>0</v>
      </c>
      <c r="AG71">
        <v>0</v>
      </c>
      <c r="AH71">
        <v>1</v>
      </c>
      <c r="AI71">
        <v>0</v>
      </c>
      <c r="AJ71">
        <v>1.5</v>
      </c>
      <c r="AK71">
        <v>0</v>
      </c>
      <c r="AL71">
        <v>0</v>
      </c>
      <c r="AM71">
        <v>0</v>
      </c>
      <c r="AO71">
        <v>0.5</v>
      </c>
    </row>
    <row r="72" spans="1:41">
      <c r="A72">
        <v>123</v>
      </c>
      <c r="B72" s="1">
        <v>112023</v>
      </c>
      <c r="C72" s="12" t="s">
        <v>153</v>
      </c>
      <c r="D72">
        <v>3</v>
      </c>
      <c r="E72">
        <v>6</v>
      </c>
      <c r="F72">
        <v>-1</v>
      </c>
      <c r="G72">
        <v>2</v>
      </c>
      <c r="H72">
        <v>6</v>
      </c>
      <c r="I72">
        <v>8</v>
      </c>
      <c r="J72">
        <v>0</v>
      </c>
      <c r="K72">
        <v>800385</v>
      </c>
      <c r="L72">
        <v>1</v>
      </c>
      <c r="M72">
        <v>10</v>
      </c>
      <c r="N72" s="17">
        <v>800388</v>
      </c>
      <c r="O72">
        <v>1</v>
      </c>
      <c r="V72">
        <v>10</v>
      </c>
      <c r="W72" s="17">
        <v>800391</v>
      </c>
      <c r="X72">
        <v>1</v>
      </c>
      <c r="AB72">
        <v>5352</v>
      </c>
      <c r="AC72">
        <v>1979</v>
      </c>
      <c r="AD72">
        <v>24438</v>
      </c>
      <c r="AE72">
        <v>336</v>
      </c>
      <c r="AF72">
        <v>0</v>
      </c>
      <c r="AG72">
        <v>0</v>
      </c>
      <c r="AH72">
        <v>1</v>
      </c>
      <c r="AI72">
        <v>0</v>
      </c>
      <c r="AJ72">
        <v>1.5</v>
      </c>
      <c r="AK72">
        <v>0</v>
      </c>
      <c r="AL72">
        <v>0</v>
      </c>
      <c r="AM72">
        <v>0</v>
      </c>
      <c r="AO72">
        <v>0.5</v>
      </c>
    </row>
    <row r="73" spans="1:41">
      <c r="A73">
        <v>124</v>
      </c>
      <c r="B73" s="1">
        <v>112024</v>
      </c>
      <c r="C73" s="11" t="s">
        <v>154</v>
      </c>
      <c r="D73">
        <v>1</v>
      </c>
      <c r="E73">
        <v>3</v>
      </c>
      <c r="F73">
        <v>125</v>
      </c>
      <c r="G73">
        <v>3</v>
      </c>
      <c r="H73">
        <v>3</v>
      </c>
      <c r="I73">
        <v>4</v>
      </c>
      <c r="J73">
        <v>0</v>
      </c>
      <c r="K73">
        <v>800395</v>
      </c>
      <c r="L73">
        <v>1</v>
      </c>
      <c r="M73">
        <v>10</v>
      </c>
      <c r="N73" s="17">
        <v>800396</v>
      </c>
      <c r="O73">
        <v>1</v>
      </c>
      <c r="V73">
        <v>10</v>
      </c>
      <c r="W73" s="17">
        <v>800399</v>
      </c>
      <c r="X73">
        <v>1</v>
      </c>
      <c r="AB73">
        <v>3467</v>
      </c>
      <c r="AC73">
        <v>660</v>
      </c>
      <c r="AD73">
        <v>10479</v>
      </c>
      <c r="AE73">
        <v>295</v>
      </c>
      <c r="AF73">
        <v>0</v>
      </c>
      <c r="AG73">
        <v>0</v>
      </c>
      <c r="AH73">
        <v>1</v>
      </c>
      <c r="AI73">
        <v>0</v>
      </c>
      <c r="AJ73">
        <v>1.5</v>
      </c>
      <c r="AK73">
        <v>0</v>
      </c>
      <c r="AL73">
        <v>0</v>
      </c>
      <c r="AM73">
        <v>0</v>
      </c>
      <c r="AO73">
        <v>0.5</v>
      </c>
    </row>
    <row r="74" spans="1:41">
      <c r="A74">
        <v>125</v>
      </c>
      <c r="B74" s="1">
        <v>112024</v>
      </c>
      <c r="C74" s="11" t="s">
        <v>154</v>
      </c>
      <c r="D74">
        <v>2</v>
      </c>
      <c r="E74">
        <v>5</v>
      </c>
      <c r="F74">
        <v>126</v>
      </c>
      <c r="G74">
        <v>3</v>
      </c>
      <c r="H74">
        <v>6</v>
      </c>
      <c r="I74">
        <v>6</v>
      </c>
      <c r="J74">
        <v>0</v>
      </c>
      <c r="K74">
        <v>800395</v>
      </c>
      <c r="L74">
        <v>1</v>
      </c>
      <c r="M74">
        <v>10</v>
      </c>
      <c r="N74" s="17">
        <v>800397</v>
      </c>
      <c r="O74">
        <v>1</v>
      </c>
      <c r="V74">
        <v>10</v>
      </c>
      <c r="W74" s="17">
        <v>800400</v>
      </c>
      <c r="X74">
        <v>1</v>
      </c>
      <c r="AA74" t="s">
        <v>155</v>
      </c>
      <c r="AB74">
        <v>4854</v>
      </c>
      <c r="AC74">
        <v>924</v>
      </c>
      <c r="AD74">
        <v>14671</v>
      </c>
      <c r="AE74">
        <v>295</v>
      </c>
      <c r="AF74">
        <v>0</v>
      </c>
      <c r="AG74">
        <v>0</v>
      </c>
      <c r="AH74">
        <v>1</v>
      </c>
      <c r="AI74">
        <v>0</v>
      </c>
      <c r="AJ74">
        <v>1.5</v>
      </c>
      <c r="AK74">
        <v>0</v>
      </c>
      <c r="AL74">
        <v>0</v>
      </c>
      <c r="AM74">
        <v>0</v>
      </c>
      <c r="AO74">
        <v>0.5</v>
      </c>
    </row>
    <row r="75" spans="1:41">
      <c r="A75">
        <v>126</v>
      </c>
      <c r="B75" s="1">
        <v>112024</v>
      </c>
      <c r="C75" s="11" t="s">
        <v>154</v>
      </c>
      <c r="D75">
        <v>3</v>
      </c>
      <c r="E75">
        <v>7</v>
      </c>
      <c r="F75">
        <v>-1</v>
      </c>
      <c r="G75">
        <v>3</v>
      </c>
      <c r="H75">
        <v>9</v>
      </c>
      <c r="I75">
        <v>10</v>
      </c>
      <c r="J75">
        <v>0</v>
      </c>
      <c r="K75">
        <v>800395</v>
      </c>
      <c r="L75">
        <v>1</v>
      </c>
      <c r="M75">
        <v>10</v>
      </c>
      <c r="N75" s="17">
        <v>800398</v>
      </c>
      <c r="O75">
        <v>1</v>
      </c>
      <c r="V75">
        <v>10</v>
      </c>
      <c r="W75" s="17">
        <v>800401</v>
      </c>
      <c r="X75">
        <v>1</v>
      </c>
      <c r="AA75" t="s">
        <v>156</v>
      </c>
      <c r="AB75">
        <v>6935</v>
      </c>
      <c r="AC75">
        <v>1320</v>
      </c>
      <c r="AD75">
        <v>20959</v>
      </c>
      <c r="AE75">
        <v>295</v>
      </c>
      <c r="AF75">
        <v>0</v>
      </c>
      <c r="AG75">
        <v>0</v>
      </c>
      <c r="AH75">
        <v>1</v>
      </c>
      <c r="AI75">
        <v>0</v>
      </c>
      <c r="AJ75">
        <v>1.5</v>
      </c>
      <c r="AK75">
        <v>0</v>
      </c>
      <c r="AL75">
        <v>0</v>
      </c>
      <c r="AM75">
        <v>0</v>
      </c>
      <c r="AO75">
        <v>0.5</v>
      </c>
    </row>
    <row r="76" spans="1:41">
      <c r="A76">
        <v>127</v>
      </c>
      <c r="B76" s="1">
        <v>112025</v>
      </c>
      <c r="C76" s="12" t="s">
        <v>157</v>
      </c>
      <c r="D76">
        <v>1</v>
      </c>
      <c r="E76">
        <v>2</v>
      </c>
      <c r="F76">
        <v>128</v>
      </c>
      <c r="G76">
        <v>2</v>
      </c>
      <c r="H76">
        <v>2</v>
      </c>
      <c r="I76">
        <v>4</v>
      </c>
      <c r="J76">
        <v>0</v>
      </c>
      <c r="K76">
        <v>800405</v>
      </c>
      <c r="L76">
        <v>1</v>
      </c>
      <c r="M76">
        <v>10</v>
      </c>
      <c r="N76" s="17">
        <v>800406</v>
      </c>
      <c r="O76">
        <v>1</v>
      </c>
      <c r="V76">
        <v>10</v>
      </c>
      <c r="W76" s="17">
        <v>800409</v>
      </c>
      <c r="X76">
        <v>1</v>
      </c>
      <c r="AB76">
        <v>2798</v>
      </c>
      <c r="AC76">
        <v>623</v>
      </c>
      <c r="AD76">
        <v>14663</v>
      </c>
      <c r="AE76">
        <v>348</v>
      </c>
      <c r="AF76">
        <v>0</v>
      </c>
      <c r="AG76">
        <v>0</v>
      </c>
      <c r="AH76">
        <v>1</v>
      </c>
      <c r="AI76">
        <v>0</v>
      </c>
      <c r="AJ76">
        <v>1.5</v>
      </c>
      <c r="AK76">
        <v>0</v>
      </c>
      <c r="AL76">
        <v>0</v>
      </c>
      <c r="AM76">
        <v>0</v>
      </c>
      <c r="AO76">
        <v>0.5</v>
      </c>
    </row>
    <row r="77" spans="1:41">
      <c r="A77">
        <v>128</v>
      </c>
      <c r="B77" s="1">
        <v>112025</v>
      </c>
      <c r="C77" s="12" t="s">
        <v>157</v>
      </c>
      <c r="D77">
        <v>2</v>
      </c>
      <c r="E77">
        <v>4</v>
      </c>
      <c r="F77">
        <v>129</v>
      </c>
      <c r="G77">
        <v>2</v>
      </c>
      <c r="H77">
        <v>4</v>
      </c>
      <c r="I77">
        <v>6</v>
      </c>
      <c r="J77">
        <v>0</v>
      </c>
      <c r="K77">
        <v>800405</v>
      </c>
      <c r="L77">
        <v>1</v>
      </c>
      <c r="M77">
        <v>10</v>
      </c>
      <c r="N77" s="17">
        <v>800407</v>
      </c>
      <c r="O77">
        <v>1</v>
      </c>
      <c r="V77">
        <v>10</v>
      </c>
      <c r="W77" s="17">
        <v>800410</v>
      </c>
      <c r="X77">
        <v>1</v>
      </c>
      <c r="AB77">
        <v>3917</v>
      </c>
      <c r="AC77">
        <v>872</v>
      </c>
      <c r="AD77">
        <v>20528</v>
      </c>
      <c r="AE77">
        <v>348</v>
      </c>
      <c r="AF77">
        <v>0</v>
      </c>
      <c r="AG77">
        <v>0</v>
      </c>
      <c r="AH77">
        <v>1</v>
      </c>
      <c r="AI77">
        <v>0</v>
      </c>
      <c r="AJ77">
        <v>1.5</v>
      </c>
      <c r="AK77">
        <v>0</v>
      </c>
      <c r="AL77">
        <v>0</v>
      </c>
      <c r="AM77">
        <v>0</v>
      </c>
      <c r="AO77">
        <v>0.5</v>
      </c>
    </row>
    <row r="78" spans="1:41">
      <c r="A78">
        <v>129</v>
      </c>
      <c r="B78" s="1">
        <v>112025</v>
      </c>
      <c r="C78" s="12" t="s">
        <v>157</v>
      </c>
      <c r="D78">
        <v>3</v>
      </c>
      <c r="E78">
        <v>6</v>
      </c>
      <c r="F78">
        <v>-1</v>
      </c>
      <c r="G78">
        <v>2</v>
      </c>
      <c r="H78">
        <v>6</v>
      </c>
      <c r="I78">
        <v>10</v>
      </c>
      <c r="J78">
        <v>0</v>
      </c>
      <c r="K78">
        <v>800405</v>
      </c>
      <c r="L78">
        <v>1</v>
      </c>
      <c r="M78">
        <v>10</v>
      </c>
      <c r="N78" s="17">
        <v>800408</v>
      </c>
      <c r="O78">
        <v>1</v>
      </c>
      <c r="V78">
        <v>10</v>
      </c>
      <c r="W78" s="17">
        <v>800411</v>
      </c>
      <c r="X78">
        <v>1</v>
      </c>
      <c r="AB78">
        <v>5596</v>
      </c>
      <c r="AC78">
        <v>1246</v>
      </c>
      <c r="AD78">
        <v>29325</v>
      </c>
      <c r="AE78">
        <v>348</v>
      </c>
      <c r="AF78">
        <v>0</v>
      </c>
      <c r="AG78">
        <v>0</v>
      </c>
      <c r="AH78">
        <v>1</v>
      </c>
      <c r="AI78">
        <v>0</v>
      </c>
      <c r="AJ78">
        <v>1.5</v>
      </c>
      <c r="AK78">
        <v>0</v>
      </c>
      <c r="AL78">
        <v>0</v>
      </c>
      <c r="AM78">
        <v>0</v>
      </c>
      <c r="AO78">
        <v>0.5</v>
      </c>
    </row>
    <row r="79" spans="1:41">
      <c r="A79">
        <v>130</v>
      </c>
      <c r="B79" s="1">
        <v>112026</v>
      </c>
      <c r="C79" s="11" t="s">
        <v>158</v>
      </c>
      <c r="D79">
        <v>1</v>
      </c>
      <c r="E79">
        <v>3</v>
      </c>
      <c r="F79">
        <v>131</v>
      </c>
      <c r="G79">
        <v>3</v>
      </c>
      <c r="H79">
        <v>3</v>
      </c>
      <c r="I79">
        <v>4</v>
      </c>
      <c r="J79">
        <v>0</v>
      </c>
      <c r="K79">
        <v>800415</v>
      </c>
      <c r="L79">
        <v>1</v>
      </c>
      <c r="M79">
        <v>10</v>
      </c>
      <c r="N79" s="17">
        <v>800416</v>
      </c>
      <c r="O79">
        <v>1</v>
      </c>
      <c r="V79">
        <v>10</v>
      </c>
      <c r="W79" s="17">
        <v>800419</v>
      </c>
      <c r="X79">
        <v>1</v>
      </c>
      <c r="AB79">
        <v>2924</v>
      </c>
      <c r="AC79">
        <v>1009</v>
      </c>
      <c r="AD79">
        <v>12420</v>
      </c>
      <c r="AE79">
        <v>268</v>
      </c>
      <c r="AF79">
        <v>0</v>
      </c>
      <c r="AG79">
        <v>0</v>
      </c>
      <c r="AH79">
        <v>1</v>
      </c>
      <c r="AI79">
        <v>0</v>
      </c>
      <c r="AJ79">
        <v>1.5</v>
      </c>
      <c r="AK79">
        <v>0</v>
      </c>
      <c r="AL79">
        <v>0</v>
      </c>
      <c r="AM79">
        <v>0</v>
      </c>
      <c r="AO79">
        <v>0.5</v>
      </c>
    </row>
    <row r="80" spans="1:41">
      <c r="A80">
        <v>131</v>
      </c>
      <c r="B80" s="1">
        <v>112026</v>
      </c>
      <c r="C80" s="11" t="s">
        <v>158</v>
      </c>
      <c r="D80">
        <v>2</v>
      </c>
      <c r="E80">
        <v>5</v>
      </c>
      <c r="F80">
        <v>132</v>
      </c>
      <c r="G80">
        <v>3</v>
      </c>
      <c r="H80">
        <v>6</v>
      </c>
      <c r="I80">
        <v>6</v>
      </c>
      <c r="J80">
        <v>0</v>
      </c>
      <c r="K80">
        <v>800415</v>
      </c>
      <c r="L80">
        <v>1</v>
      </c>
      <c r="M80">
        <v>10</v>
      </c>
      <c r="N80" s="17">
        <v>800417</v>
      </c>
      <c r="O80">
        <v>1</v>
      </c>
      <c r="V80">
        <v>10</v>
      </c>
      <c r="W80" s="17">
        <v>800420</v>
      </c>
      <c r="X80">
        <v>1</v>
      </c>
      <c r="AA80" t="s">
        <v>159</v>
      </c>
      <c r="AB80">
        <v>4093</v>
      </c>
      <c r="AC80">
        <v>1413</v>
      </c>
      <c r="AD80">
        <v>17388</v>
      </c>
      <c r="AE80">
        <v>268</v>
      </c>
      <c r="AF80">
        <v>0</v>
      </c>
      <c r="AG80">
        <v>0</v>
      </c>
      <c r="AH80">
        <v>1</v>
      </c>
      <c r="AI80">
        <v>0</v>
      </c>
      <c r="AJ80">
        <v>1.5</v>
      </c>
      <c r="AK80">
        <v>0</v>
      </c>
      <c r="AL80">
        <v>0</v>
      </c>
      <c r="AM80">
        <v>0</v>
      </c>
      <c r="AO80">
        <v>0.5</v>
      </c>
    </row>
    <row r="81" spans="1:41">
      <c r="A81">
        <v>132</v>
      </c>
      <c r="B81" s="1">
        <v>112026</v>
      </c>
      <c r="C81" s="11" t="s">
        <v>158</v>
      </c>
      <c r="D81">
        <v>3</v>
      </c>
      <c r="E81">
        <v>7</v>
      </c>
      <c r="F81">
        <v>-1</v>
      </c>
      <c r="G81">
        <v>3</v>
      </c>
      <c r="H81">
        <v>9</v>
      </c>
      <c r="I81">
        <v>10</v>
      </c>
      <c r="J81">
        <v>0</v>
      </c>
      <c r="K81">
        <v>800415</v>
      </c>
      <c r="L81">
        <v>1</v>
      </c>
      <c r="M81">
        <v>10</v>
      </c>
      <c r="N81" s="17">
        <v>800418</v>
      </c>
      <c r="O81">
        <v>1</v>
      </c>
      <c r="V81">
        <v>10</v>
      </c>
      <c r="W81" s="17">
        <v>800421</v>
      </c>
      <c r="X81">
        <v>1</v>
      </c>
      <c r="AA81" t="s">
        <v>160</v>
      </c>
      <c r="AB81">
        <v>5848</v>
      </c>
      <c r="AC81">
        <v>2018</v>
      </c>
      <c r="AD81">
        <v>24840</v>
      </c>
      <c r="AE81">
        <v>268</v>
      </c>
      <c r="AF81">
        <v>0</v>
      </c>
      <c r="AG81">
        <v>0</v>
      </c>
      <c r="AH81">
        <v>1</v>
      </c>
      <c r="AI81">
        <v>0</v>
      </c>
      <c r="AJ81">
        <v>1.5</v>
      </c>
      <c r="AK81">
        <v>0</v>
      </c>
      <c r="AL81">
        <v>0</v>
      </c>
      <c r="AM81">
        <v>0</v>
      </c>
      <c r="AO81">
        <v>0.5</v>
      </c>
    </row>
    <row r="82" spans="1:41">
      <c r="A82">
        <v>133</v>
      </c>
      <c r="B82" s="1">
        <v>112027</v>
      </c>
      <c r="C82" s="12" t="s">
        <v>161</v>
      </c>
      <c r="D82">
        <v>1</v>
      </c>
      <c r="E82">
        <v>2</v>
      </c>
      <c r="F82">
        <v>134</v>
      </c>
      <c r="G82">
        <v>2</v>
      </c>
      <c r="H82">
        <v>2</v>
      </c>
      <c r="I82">
        <v>3</v>
      </c>
      <c r="J82">
        <v>0</v>
      </c>
      <c r="K82">
        <v>800425</v>
      </c>
      <c r="L82">
        <v>1</v>
      </c>
      <c r="M82">
        <v>10</v>
      </c>
      <c r="N82" s="17">
        <v>800426</v>
      </c>
      <c r="O82">
        <v>1</v>
      </c>
      <c r="V82">
        <v>10</v>
      </c>
      <c r="W82" s="17">
        <v>800429</v>
      </c>
      <c r="X82">
        <v>1</v>
      </c>
      <c r="AB82">
        <v>2322</v>
      </c>
      <c r="AC82">
        <v>916</v>
      </c>
      <c r="AD82">
        <v>16495</v>
      </c>
      <c r="AE82">
        <v>252</v>
      </c>
      <c r="AF82">
        <v>0</v>
      </c>
      <c r="AG82">
        <v>0</v>
      </c>
      <c r="AH82">
        <v>1</v>
      </c>
      <c r="AI82">
        <v>0</v>
      </c>
      <c r="AJ82">
        <v>1.5</v>
      </c>
      <c r="AK82">
        <v>0</v>
      </c>
      <c r="AL82">
        <v>0</v>
      </c>
      <c r="AM82">
        <v>0</v>
      </c>
      <c r="AO82">
        <v>0.5</v>
      </c>
    </row>
    <row r="83" spans="1:41">
      <c r="A83">
        <v>134</v>
      </c>
      <c r="B83" s="1">
        <v>112027</v>
      </c>
      <c r="C83" s="12" t="s">
        <v>161</v>
      </c>
      <c r="D83">
        <v>2</v>
      </c>
      <c r="E83">
        <v>4</v>
      </c>
      <c r="F83">
        <v>135</v>
      </c>
      <c r="G83">
        <v>2</v>
      </c>
      <c r="H83">
        <v>4</v>
      </c>
      <c r="I83">
        <v>4</v>
      </c>
      <c r="J83">
        <v>0</v>
      </c>
      <c r="K83">
        <v>800425</v>
      </c>
      <c r="L83">
        <v>1</v>
      </c>
      <c r="M83">
        <v>10</v>
      </c>
      <c r="N83" s="17">
        <v>800427</v>
      </c>
      <c r="O83">
        <v>1</v>
      </c>
      <c r="V83">
        <v>10</v>
      </c>
      <c r="W83" s="17">
        <v>800430</v>
      </c>
      <c r="X83">
        <v>1</v>
      </c>
      <c r="AA83" t="s">
        <v>162</v>
      </c>
      <c r="AB83">
        <v>3250</v>
      </c>
      <c r="AC83">
        <v>1283</v>
      </c>
      <c r="AD83">
        <v>23093</v>
      </c>
      <c r="AE83">
        <v>252</v>
      </c>
      <c r="AF83">
        <v>0</v>
      </c>
      <c r="AG83">
        <v>0</v>
      </c>
      <c r="AH83">
        <v>1</v>
      </c>
      <c r="AI83">
        <v>0</v>
      </c>
      <c r="AJ83">
        <v>1.5</v>
      </c>
      <c r="AK83">
        <v>0</v>
      </c>
      <c r="AL83">
        <v>0</v>
      </c>
      <c r="AM83">
        <v>0</v>
      </c>
      <c r="AO83">
        <v>0.5</v>
      </c>
    </row>
    <row r="84" spans="1:41">
      <c r="A84">
        <v>135</v>
      </c>
      <c r="B84" s="1">
        <v>112027</v>
      </c>
      <c r="C84" s="12" t="s">
        <v>161</v>
      </c>
      <c r="D84">
        <v>3</v>
      </c>
      <c r="E84">
        <v>6</v>
      </c>
      <c r="F84">
        <v>-1</v>
      </c>
      <c r="G84">
        <v>2</v>
      </c>
      <c r="H84">
        <v>6</v>
      </c>
      <c r="I84">
        <v>8</v>
      </c>
      <c r="J84">
        <v>0</v>
      </c>
      <c r="K84">
        <v>800425</v>
      </c>
      <c r="L84">
        <v>1</v>
      </c>
      <c r="M84">
        <v>10</v>
      </c>
      <c r="N84" s="17">
        <v>800428</v>
      </c>
      <c r="O84">
        <v>1</v>
      </c>
      <c r="P84">
        <v>10</v>
      </c>
      <c r="Q84">
        <v>800671</v>
      </c>
      <c r="R84">
        <v>1</v>
      </c>
      <c r="V84">
        <v>10</v>
      </c>
      <c r="W84" s="17">
        <v>800431</v>
      </c>
      <c r="X84">
        <v>1</v>
      </c>
      <c r="AA84" t="s">
        <v>163</v>
      </c>
      <c r="AB84">
        <v>4643</v>
      </c>
      <c r="AC84">
        <v>1833</v>
      </c>
      <c r="AD84">
        <v>32991</v>
      </c>
      <c r="AE84">
        <v>252</v>
      </c>
      <c r="AF84">
        <v>0</v>
      </c>
      <c r="AG84">
        <v>0</v>
      </c>
      <c r="AH84">
        <v>1</v>
      </c>
      <c r="AI84">
        <v>0</v>
      </c>
      <c r="AJ84">
        <v>1.5</v>
      </c>
      <c r="AK84">
        <v>0</v>
      </c>
      <c r="AL84">
        <v>0</v>
      </c>
      <c r="AM84">
        <v>0</v>
      </c>
      <c r="AO84">
        <v>0.5</v>
      </c>
    </row>
    <row r="85" spans="1:41">
      <c r="A85">
        <v>136</v>
      </c>
      <c r="B85" s="1">
        <v>112028</v>
      </c>
      <c r="C85" s="11" t="s">
        <v>164</v>
      </c>
      <c r="D85">
        <v>1</v>
      </c>
      <c r="E85">
        <v>3</v>
      </c>
      <c r="F85">
        <v>137</v>
      </c>
      <c r="G85">
        <v>3</v>
      </c>
      <c r="H85">
        <v>3</v>
      </c>
      <c r="I85">
        <v>4</v>
      </c>
      <c r="J85">
        <v>0</v>
      </c>
      <c r="K85">
        <v>800435</v>
      </c>
      <c r="L85">
        <v>1</v>
      </c>
      <c r="M85">
        <v>10</v>
      </c>
      <c r="N85" s="17">
        <v>800436</v>
      </c>
      <c r="O85">
        <v>1</v>
      </c>
      <c r="V85">
        <v>10</v>
      </c>
      <c r="W85" s="17">
        <v>800439</v>
      </c>
      <c r="X85">
        <v>1</v>
      </c>
      <c r="AB85">
        <v>2277</v>
      </c>
      <c r="AC85">
        <v>1320</v>
      </c>
      <c r="AD85">
        <v>15784</v>
      </c>
      <c r="AE85">
        <v>217</v>
      </c>
      <c r="AF85">
        <v>0</v>
      </c>
      <c r="AG85">
        <v>0</v>
      </c>
      <c r="AH85">
        <v>1</v>
      </c>
      <c r="AI85">
        <v>0</v>
      </c>
      <c r="AJ85">
        <v>1.5</v>
      </c>
      <c r="AK85">
        <v>0</v>
      </c>
      <c r="AL85">
        <v>0</v>
      </c>
      <c r="AM85">
        <v>0</v>
      </c>
      <c r="AO85">
        <v>0.5</v>
      </c>
    </row>
    <row r="86" spans="1:41">
      <c r="A86">
        <v>137</v>
      </c>
      <c r="B86" s="1">
        <v>112028</v>
      </c>
      <c r="C86" s="11" t="s">
        <v>164</v>
      </c>
      <c r="D86">
        <v>2</v>
      </c>
      <c r="E86">
        <v>5</v>
      </c>
      <c r="F86">
        <v>138</v>
      </c>
      <c r="G86">
        <v>3</v>
      </c>
      <c r="H86">
        <v>6</v>
      </c>
      <c r="I86">
        <v>6</v>
      </c>
      <c r="J86">
        <v>0</v>
      </c>
      <c r="K86">
        <v>800435</v>
      </c>
      <c r="L86">
        <v>1</v>
      </c>
      <c r="M86">
        <v>10</v>
      </c>
      <c r="N86" s="17">
        <v>800437</v>
      </c>
      <c r="O86">
        <v>1</v>
      </c>
      <c r="V86">
        <v>10</v>
      </c>
      <c r="W86" s="17">
        <v>800440</v>
      </c>
      <c r="X86">
        <v>1</v>
      </c>
      <c r="AA86" t="s">
        <v>165</v>
      </c>
      <c r="AB86">
        <v>3188</v>
      </c>
      <c r="AC86">
        <v>1847</v>
      </c>
      <c r="AD86">
        <v>22097</v>
      </c>
      <c r="AE86">
        <v>217</v>
      </c>
      <c r="AF86">
        <v>0</v>
      </c>
      <c r="AG86">
        <v>0</v>
      </c>
      <c r="AH86">
        <v>1</v>
      </c>
      <c r="AI86">
        <v>0</v>
      </c>
      <c r="AJ86">
        <v>1.5</v>
      </c>
      <c r="AK86">
        <v>0</v>
      </c>
      <c r="AL86">
        <v>0</v>
      </c>
      <c r="AM86">
        <v>0</v>
      </c>
      <c r="AO86">
        <v>0.5</v>
      </c>
    </row>
    <row r="87" spans="1:41">
      <c r="A87">
        <v>138</v>
      </c>
      <c r="B87" s="1">
        <v>112028</v>
      </c>
      <c r="C87" s="11" t="s">
        <v>164</v>
      </c>
      <c r="D87">
        <v>3</v>
      </c>
      <c r="E87">
        <v>7</v>
      </c>
      <c r="F87">
        <v>-1</v>
      </c>
      <c r="G87">
        <v>3</v>
      </c>
      <c r="H87">
        <v>9</v>
      </c>
      <c r="I87">
        <v>10</v>
      </c>
      <c r="J87">
        <v>0</v>
      </c>
      <c r="K87">
        <v>800435</v>
      </c>
      <c r="L87">
        <v>1</v>
      </c>
      <c r="M87">
        <v>10</v>
      </c>
      <c r="N87" s="17">
        <v>800438</v>
      </c>
      <c r="O87">
        <v>1</v>
      </c>
      <c r="V87">
        <v>10</v>
      </c>
      <c r="W87" s="17">
        <v>800441</v>
      </c>
      <c r="X87">
        <v>1</v>
      </c>
      <c r="AA87" t="s">
        <v>166</v>
      </c>
      <c r="AB87">
        <v>4554</v>
      </c>
      <c r="AC87">
        <v>2639</v>
      </c>
      <c r="AD87">
        <v>31568</v>
      </c>
      <c r="AE87">
        <v>217</v>
      </c>
      <c r="AF87">
        <v>0</v>
      </c>
      <c r="AG87">
        <v>0</v>
      </c>
      <c r="AH87">
        <v>1</v>
      </c>
      <c r="AI87">
        <v>0</v>
      </c>
      <c r="AJ87">
        <v>1.5</v>
      </c>
      <c r="AK87">
        <v>0</v>
      </c>
      <c r="AL87">
        <v>0</v>
      </c>
      <c r="AM87">
        <v>0</v>
      </c>
      <c r="AO87">
        <v>0.5</v>
      </c>
    </row>
    <row r="88" spans="1:41">
      <c r="A88">
        <v>139</v>
      </c>
      <c r="B88" s="1">
        <v>113001</v>
      </c>
      <c r="C88" s="11" t="s">
        <v>167</v>
      </c>
      <c r="D88">
        <v>1</v>
      </c>
      <c r="E88">
        <v>3</v>
      </c>
      <c r="F88">
        <v>140</v>
      </c>
      <c r="G88">
        <v>3</v>
      </c>
      <c r="H88">
        <v>3</v>
      </c>
      <c r="I88">
        <v>4</v>
      </c>
      <c r="J88">
        <v>0</v>
      </c>
      <c r="K88">
        <v>800445</v>
      </c>
      <c r="L88">
        <v>1</v>
      </c>
      <c r="M88">
        <v>10</v>
      </c>
      <c r="N88" s="17">
        <v>800446</v>
      </c>
      <c r="O88">
        <v>1</v>
      </c>
      <c r="V88">
        <v>10</v>
      </c>
      <c r="W88" s="17">
        <v>800449</v>
      </c>
      <c r="X88">
        <v>1</v>
      </c>
      <c r="AB88">
        <v>2872</v>
      </c>
      <c r="AC88">
        <v>957</v>
      </c>
      <c r="AD88">
        <v>13455</v>
      </c>
      <c r="AE88">
        <v>297</v>
      </c>
      <c r="AF88">
        <v>0</v>
      </c>
      <c r="AG88">
        <v>0</v>
      </c>
      <c r="AH88">
        <v>1</v>
      </c>
      <c r="AI88">
        <v>0</v>
      </c>
      <c r="AJ88">
        <v>1.5</v>
      </c>
      <c r="AK88">
        <v>0</v>
      </c>
      <c r="AL88">
        <v>0</v>
      </c>
      <c r="AM88">
        <v>0</v>
      </c>
      <c r="AO88">
        <v>0.5</v>
      </c>
    </row>
    <row r="89" spans="1:41">
      <c r="A89">
        <v>140</v>
      </c>
      <c r="B89" s="1">
        <v>113001</v>
      </c>
      <c r="C89" s="11" t="s">
        <v>167</v>
      </c>
      <c r="D89">
        <v>2</v>
      </c>
      <c r="E89">
        <v>5</v>
      </c>
      <c r="F89">
        <v>141</v>
      </c>
      <c r="G89">
        <v>3</v>
      </c>
      <c r="H89">
        <v>6</v>
      </c>
      <c r="I89">
        <v>6</v>
      </c>
      <c r="J89">
        <v>0</v>
      </c>
      <c r="K89">
        <v>800445</v>
      </c>
      <c r="L89">
        <v>1</v>
      </c>
      <c r="M89">
        <v>10</v>
      </c>
      <c r="N89" s="17">
        <v>800447</v>
      </c>
      <c r="O89">
        <v>1</v>
      </c>
      <c r="V89">
        <v>10</v>
      </c>
      <c r="W89" s="17">
        <v>800450</v>
      </c>
      <c r="X89">
        <v>1</v>
      </c>
      <c r="AA89" t="s">
        <v>168</v>
      </c>
      <c r="AB89">
        <v>4021</v>
      </c>
      <c r="AC89">
        <v>1340</v>
      </c>
      <c r="AD89">
        <v>18837</v>
      </c>
      <c r="AE89">
        <v>297</v>
      </c>
      <c r="AF89">
        <v>0</v>
      </c>
      <c r="AG89">
        <v>0</v>
      </c>
      <c r="AH89">
        <v>1</v>
      </c>
      <c r="AI89">
        <v>0</v>
      </c>
      <c r="AJ89">
        <v>1.5</v>
      </c>
      <c r="AK89">
        <v>0</v>
      </c>
      <c r="AL89">
        <v>0</v>
      </c>
      <c r="AM89">
        <v>0</v>
      </c>
      <c r="AO89">
        <v>0.5</v>
      </c>
    </row>
    <row r="90" spans="1:41">
      <c r="A90">
        <v>141</v>
      </c>
      <c r="B90" s="1">
        <v>113001</v>
      </c>
      <c r="C90" s="11" t="s">
        <v>167</v>
      </c>
      <c r="D90">
        <v>3</v>
      </c>
      <c r="E90">
        <v>7</v>
      </c>
      <c r="F90">
        <v>-1</v>
      </c>
      <c r="G90">
        <v>3</v>
      </c>
      <c r="H90">
        <v>9</v>
      </c>
      <c r="I90">
        <v>10</v>
      </c>
      <c r="J90">
        <v>0</v>
      </c>
      <c r="K90">
        <v>800445</v>
      </c>
      <c r="L90">
        <v>1</v>
      </c>
      <c r="M90">
        <v>10</v>
      </c>
      <c r="N90" s="17">
        <v>800448</v>
      </c>
      <c r="O90">
        <v>1</v>
      </c>
      <c r="V90">
        <v>10</v>
      </c>
      <c r="W90" s="17">
        <v>800451</v>
      </c>
      <c r="X90">
        <v>1</v>
      </c>
      <c r="AA90" t="s">
        <v>169</v>
      </c>
      <c r="AB90">
        <v>5744</v>
      </c>
      <c r="AC90">
        <v>1915</v>
      </c>
      <c r="AD90">
        <v>26910</v>
      </c>
      <c r="AE90">
        <v>297</v>
      </c>
      <c r="AF90">
        <v>0</v>
      </c>
      <c r="AG90">
        <v>0</v>
      </c>
      <c r="AH90">
        <v>1</v>
      </c>
      <c r="AI90">
        <v>0</v>
      </c>
      <c r="AJ90">
        <v>1.5</v>
      </c>
      <c r="AK90">
        <v>0</v>
      </c>
      <c r="AL90">
        <v>0</v>
      </c>
      <c r="AM90">
        <v>0</v>
      </c>
      <c r="AO90">
        <v>0.5</v>
      </c>
    </row>
    <row r="91" spans="1:41">
      <c r="A91">
        <v>142</v>
      </c>
      <c r="B91" s="1">
        <v>113002</v>
      </c>
      <c r="C91" s="27" t="s">
        <v>170</v>
      </c>
      <c r="D91">
        <v>1</v>
      </c>
      <c r="E91">
        <v>5</v>
      </c>
      <c r="F91">
        <v>143</v>
      </c>
      <c r="G91">
        <v>5</v>
      </c>
      <c r="H91">
        <v>5</v>
      </c>
      <c r="I91">
        <v>4</v>
      </c>
      <c r="J91">
        <v>0</v>
      </c>
      <c r="K91">
        <v>800455</v>
      </c>
      <c r="L91">
        <v>1</v>
      </c>
      <c r="M91">
        <v>10</v>
      </c>
      <c r="N91" s="17">
        <v>800456</v>
      </c>
      <c r="O91">
        <v>1</v>
      </c>
      <c r="V91">
        <v>10</v>
      </c>
      <c r="W91" s="17">
        <v>800459</v>
      </c>
      <c r="X91">
        <v>1</v>
      </c>
      <c r="AB91">
        <v>3249</v>
      </c>
      <c r="AC91">
        <v>1006</v>
      </c>
      <c r="AD91">
        <v>14950</v>
      </c>
      <c r="AE91">
        <v>314</v>
      </c>
      <c r="AF91">
        <v>0</v>
      </c>
      <c r="AG91">
        <v>0</v>
      </c>
      <c r="AH91">
        <v>1</v>
      </c>
      <c r="AI91">
        <v>0</v>
      </c>
      <c r="AJ91">
        <v>1.5</v>
      </c>
      <c r="AK91">
        <v>0</v>
      </c>
      <c r="AL91">
        <v>0</v>
      </c>
      <c r="AM91">
        <v>0</v>
      </c>
      <c r="AO91">
        <v>0.5</v>
      </c>
    </row>
    <row r="92" spans="1:41">
      <c r="A92">
        <v>143</v>
      </c>
      <c r="B92" s="1">
        <v>113002</v>
      </c>
      <c r="C92" s="27" t="s">
        <v>170</v>
      </c>
      <c r="D92">
        <v>2</v>
      </c>
      <c r="E92">
        <v>7</v>
      </c>
      <c r="F92">
        <v>144</v>
      </c>
      <c r="G92">
        <v>5</v>
      </c>
      <c r="H92">
        <v>10</v>
      </c>
      <c r="I92">
        <v>6</v>
      </c>
      <c r="J92">
        <v>0</v>
      </c>
      <c r="K92">
        <v>800455</v>
      </c>
      <c r="L92">
        <v>1</v>
      </c>
      <c r="M92">
        <v>10</v>
      </c>
      <c r="N92" s="17">
        <v>800457</v>
      </c>
      <c r="O92">
        <v>1</v>
      </c>
      <c r="V92">
        <v>10</v>
      </c>
      <c r="W92" s="17">
        <v>800460</v>
      </c>
      <c r="X92">
        <v>1</v>
      </c>
      <c r="AA92" t="s">
        <v>171</v>
      </c>
      <c r="AB92">
        <v>4548</v>
      </c>
      <c r="AC92">
        <v>1409</v>
      </c>
      <c r="AD92">
        <v>20930</v>
      </c>
      <c r="AE92">
        <v>314</v>
      </c>
      <c r="AF92">
        <v>0</v>
      </c>
      <c r="AG92">
        <v>0</v>
      </c>
      <c r="AH92">
        <v>1</v>
      </c>
      <c r="AI92">
        <v>0</v>
      </c>
      <c r="AJ92">
        <v>1.5</v>
      </c>
      <c r="AK92">
        <v>0</v>
      </c>
      <c r="AL92">
        <v>0</v>
      </c>
      <c r="AM92">
        <v>0</v>
      </c>
      <c r="AO92">
        <v>0.5</v>
      </c>
    </row>
    <row r="93" spans="1:41">
      <c r="A93">
        <v>144</v>
      </c>
      <c r="B93" s="1">
        <v>113002</v>
      </c>
      <c r="C93" s="27" t="s">
        <v>170</v>
      </c>
      <c r="D93">
        <v>3</v>
      </c>
      <c r="E93">
        <v>9</v>
      </c>
      <c r="F93">
        <v>-1</v>
      </c>
      <c r="G93">
        <v>5</v>
      </c>
      <c r="H93">
        <v>15</v>
      </c>
      <c r="I93">
        <v>10</v>
      </c>
      <c r="J93">
        <v>0</v>
      </c>
      <c r="K93">
        <v>800455</v>
      </c>
      <c r="L93">
        <v>1</v>
      </c>
      <c r="M93">
        <v>10</v>
      </c>
      <c r="N93" s="17">
        <v>800458</v>
      </c>
      <c r="O93">
        <v>1</v>
      </c>
      <c r="V93">
        <v>10</v>
      </c>
      <c r="W93" s="17">
        <v>800461</v>
      </c>
      <c r="X93">
        <v>1</v>
      </c>
      <c r="AA93" t="s">
        <v>172</v>
      </c>
      <c r="AB93">
        <v>6498</v>
      </c>
      <c r="AC93">
        <v>2013</v>
      </c>
      <c r="AD93">
        <v>29900</v>
      </c>
      <c r="AE93">
        <v>314</v>
      </c>
      <c r="AF93">
        <v>0</v>
      </c>
      <c r="AG93">
        <v>0</v>
      </c>
      <c r="AH93">
        <v>1</v>
      </c>
      <c r="AI93">
        <v>0</v>
      </c>
      <c r="AJ93">
        <v>1.5</v>
      </c>
      <c r="AK93">
        <v>0</v>
      </c>
      <c r="AL93">
        <v>0</v>
      </c>
      <c r="AM93">
        <v>0</v>
      </c>
      <c r="AO93">
        <v>0.5</v>
      </c>
    </row>
    <row r="94" spans="1:41">
      <c r="A94">
        <v>145</v>
      </c>
      <c r="B94" s="1">
        <v>113003</v>
      </c>
      <c r="C94" s="28" t="s">
        <v>173</v>
      </c>
      <c r="D94">
        <v>1</v>
      </c>
      <c r="E94">
        <v>3</v>
      </c>
      <c r="F94">
        <v>146</v>
      </c>
      <c r="G94">
        <v>4</v>
      </c>
      <c r="H94">
        <v>4</v>
      </c>
      <c r="I94">
        <v>5</v>
      </c>
      <c r="J94">
        <v>0</v>
      </c>
      <c r="K94">
        <v>800465</v>
      </c>
      <c r="L94">
        <v>1</v>
      </c>
      <c r="M94">
        <v>10</v>
      </c>
      <c r="N94" s="17">
        <v>800466</v>
      </c>
      <c r="O94">
        <v>1</v>
      </c>
      <c r="V94">
        <v>10</v>
      </c>
      <c r="W94" s="17">
        <v>800469</v>
      </c>
      <c r="X94">
        <v>1</v>
      </c>
      <c r="AB94">
        <v>2868</v>
      </c>
      <c r="AC94">
        <v>1093</v>
      </c>
      <c r="AD94">
        <v>15022</v>
      </c>
      <c r="AE94">
        <v>302</v>
      </c>
      <c r="AF94">
        <v>0</v>
      </c>
      <c r="AG94">
        <v>0</v>
      </c>
      <c r="AH94">
        <v>1</v>
      </c>
      <c r="AI94">
        <v>0</v>
      </c>
      <c r="AJ94">
        <v>1.5</v>
      </c>
      <c r="AK94">
        <v>0</v>
      </c>
      <c r="AL94">
        <v>0</v>
      </c>
      <c r="AM94">
        <v>0</v>
      </c>
      <c r="AO94">
        <v>0.5</v>
      </c>
    </row>
    <row r="95" spans="1:41">
      <c r="A95">
        <v>146</v>
      </c>
      <c r="B95" s="1">
        <v>113003</v>
      </c>
      <c r="C95" s="28" t="s">
        <v>173</v>
      </c>
      <c r="D95">
        <v>2</v>
      </c>
      <c r="E95">
        <v>5</v>
      </c>
      <c r="F95">
        <v>147</v>
      </c>
      <c r="G95">
        <v>4</v>
      </c>
      <c r="H95">
        <v>8</v>
      </c>
      <c r="I95">
        <v>8</v>
      </c>
      <c r="J95">
        <v>0</v>
      </c>
      <c r="K95">
        <v>800465</v>
      </c>
      <c r="L95">
        <v>1</v>
      </c>
      <c r="M95">
        <v>10</v>
      </c>
      <c r="N95" s="17">
        <v>800467</v>
      </c>
      <c r="O95">
        <v>1</v>
      </c>
      <c r="V95">
        <v>10</v>
      </c>
      <c r="W95" s="17">
        <v>800470</v>
      </c>
      <c r="X95">
        <v>1</v>
      </c>
      <c r="AA95" t="s">
        <v>174</v>
      </c>
      <c r="AB95">
        <v>4015</v>
      </c>
      <c r="AC95">
        <v>1530</v>
      </c>
      <c r="AD95">
        <v>21031</v>
      </c>
      <c r="AE95">
        <v>302</v>
      </c>
      <c r="AF95">
        <v>0</v>
      </c>
      <c r="AG95">
        <v>0</v>
      </c>
      <c r="AH95">
        <v>1</v>
      </c>
      <c r="AI95">
        <v>0</v>
      </c>
      <c r="AJ95">
        <v>1.5</v>
      </c>
      <c r="AK95">
        <v>0</v>
      </c>
      <c r="AL95">
        <v>0</v>
      </c>
      <c r="AM95">
        <v>0</v>
      </c>
      <c r="AO95">
        <v>0.5</v>
      </c>
    </row>
    <row r="96" spans="1:41">
      <c r="A96">
        <v>147</v>
      </c>
      <c r="B96" s="1">
        <v>113003</v>
      </c>
      <c r="C96" s="28" t="s">
        <v>173</v>
      </c>
      <c r="D96">
        <v>3</v>
      </c>
      <c r="E96">
        <v>7</v>
      </c>
      <c r="F96">
        <v>-1</v>
      </c>
      <c r="G96">
        <v>4</v>
      </c>
      <c r="H96">
        <v>12</v>
      </c>
      <c r="I96">
        <v>15</v>
      </c>
      <c r="J96">
        <v>0</v>
      </c>
      <c r="K96">
        <v>800465</v>
      </c>
      <c r="L96">
        <v>1</v>
      </c>
      <c r="M96">
        <v>10</v>
      </c>
      <c r="N96" s="17">
        <v>800468</v>
      </c>
      <c r="O96">
        <v>1</v>
      </c>
      <c r="V96">
        <v>10</v>
      </c>
      <c r="W96" s="17">
        <v>800471</v>
      </c>
      <c r="X96">
        <v>1</v>
      </c>
      <c r="AA96" t="s">
        <v>175</v>
      </c>
      <c r="AB96">
        <v>5736</v>
      </c>
      <c r="AC96">
        <v>2185</v>
      </c>
      <c r="AD96">
        <v>30044</v>
      </c>
      <c r="AE96">
        <v>302</v>
      </c>
      <c r="AF96">
        <v>0</v>
      </c>
      <c r="AG96">
        <v>0</v>
      </c>
      <c r="AH96">
        <v>1</v>
      </c>
      <c r="AI96">
        <v>0</v>
      </c>
      <c r="AJ96">
        <v>1.5</v>
      </c>
      <c r="AK96">
        <v>0</v>
      </c>
      <c r="AL96">
        <v>0</v>
      </c>
      <c r="AM96">
        <v>0</v>
      </c>
      <c r="AO96">
        <v>0.5</v>
      </c>
    </row>
    <row r="97" spans="1:41">
      <c r="A97">
        <v>148</v>
      </c>
      <c r="B97" s="1">
        <v>113004</v>
      </c>
      <c r="C97" s="28" t="s">
        <v>176</v>
      </c>
      <c r="D97">
        <v>1</v>
      </c>
      <c r="E97">
        <v>3</v>
      </c>
      <c r="F97">
        <v>149</v>
      </c>
      <c r="G97">
        <v>4</v>
      </c>
      <c r="H97">
        <v>4</v>
      </c>
      <c r="I97">
        <v>5</v>
      </c>
      <c r="J97">
        <v>0</v>
      </c>
      <c r="K97">
        <v>800475</v>
      </c>
      <c r="L97">
        <v>1</v>
      </c>
      <c r="M97">
        <v>10</v>
      </c>
      <c r="N97" s="17">
        <v>800476</v>
      </c>
      <c r="O97">
        <v>1</v>
      </c>
      <c r="P97">
        <v>10</v>
      </c>
      <c r="Q97" s="17">
        <v>800479</v>
      </c>
      <c r="R97">
        <v>1</v>
      </c>
      <c r="V97">
        <v>10</v>
      </c>
      <c r="W97" s="17">
        <v>800482</v>
      </c>
      <c r="X97">
        <v>1</v>
      </c>
      <c r="AB97">
        <v>2130</v>
      </c>
      <c r="AC97">
        <v>1338</v>
      </c>
      <c r="AD97">
        <v>19938</v>
      </c>
      <c r="AE97">
        <v>204</v>
      </c>
      <c r="AF97">
        <v>0</v>
      </c>
      <c r="AG97">
        <v>0</v>
      </c>
      <c r="AH97">
        <v>1</v>
      </c>
      <c r="AI97">
        <v>0</v>
      </c>
      <c r="AJ97">
        <v>1.5</v>
      </c>
      <c r="AK97">
        <v>0</v>
      </c>
      <c r="AL97">
        <v>0</v>
      </c>
      <c r="AM97">
        <v>0</v>
      </c>
      <c r="AO97">
        <v>0.5</v>
      </c>
    </row>
    <row r="98" spans="1:41">
      <c r="A98">
        <v>149</v>
      </c>
      <c r="B98" s="1">
        <v>113004</v>
      </c>
      <c r="C98" s="28" t="s">
        <v>176</v>
      </c>
      <c r="D98">
        <v>2</v>
      </c>
      <c r="E98">
        <v>5</v>
      </c>
      <c r="F98">
        <v>150</v>
      </c>
      <c r="G98">
        <v>4</v>
      </c>
      <c r="H98">
        <v>8</v>
      </c>
      <c r="I98">
        <v>8</v>
      </c>
      <c r="J98">
        <v>0</v>
      </c>
      <c r="K98">
        <v>800475</v>
      </c>
      <c r="L98">
        <v>1</v>
      </c>
      <c r="M98">
        <v>10</v>
      </c>
      <c r="N98" s="17">
        <v>800477</v>
      </c>
      <c r="O98">
        <v>1</v>
      </c>
      <c r="P98">
        <v>10</v>
      </c>
      <c r="Q98" s="17">
        <v>800480</v>
      </c>
      <c r="R98">
        <v>1</v>
      </c>
      <c r="V98">
        <v>10</v>
      </c>
      <c r="W98" s="17">
        <v>800483</v>
      </c>
      <c r="X98">
        <v>1</v>
      </c>
      <c r="AA98" t="s">
        <v>177</v>
      </c>
      <c r="AB98">
        <v>2983</v>
      </c>
      <c r="AC98">
        <v>1874</v>
      </c>
      <c r="AD98">
        <v>27913</v>
      </c>
      <c r="AE98">
        <v>204</v>
      </c>
      <c r="AF98">
        <v>0</v>
      </c>
      <c r="AG98">
        <v>0</v>
      </c>
      <c r="AH98">
        <v>1</v>
      </c>
      <c r="AI98">
        <v>0</v>
      </c>
      <c r="AJ98">
        <v>1.5</v>
      </c>
      <c r="AK98">
        <v>0</v>
      </c>
      <c r="AL98">
        <v>0</v>
      </c>
      <c r="AM98">
        <v>0</v>
      </c>
      <c r="AO98">
        <v>0.5</v>
      </c>
    </row>
    <row r="99" spans="1:41">
      <c r="A99">
        <v>150</v>
      </c>
      <c r="B99" s="1">
        <v>113004</v>
      </c>
      <c r="C99" s="28" t="s">
        <v>176</v>
      </c>
      <c r="D99">
        <v>3</v>
      </c>
      <c r="E99">
        <v>7</v>
      </c>
      <c r="F99">
        <v>-1</v>
      </c>
      <c r="G99">
        <v>4</v>
      </c>
      <c r="H99">
        <v>12</v>
      </c>
      <c r="I99">
        <v>15</v>
      </c>
      <c r="J99">
        <v>0</v>
      </c>
      <c r="K99">
        <v>800475</v>
      </c>
      <c r="L99">
        <v>1</v>
      </c>
      <c r="M99">
        <v>10</v>
      </c>
      <c r="N99" s="17">
        <v>800478</v>
      </c>
      <c r="O99">
        <v>1</v>
      </c>
      <c r="P99">
        <v>10</v>
      </c>
      <c r="Q99" s="17">
        <v>800481</v>
      </c>
      <c r="R99">
        <v>1</v>
      </c>
      <c r="V99">
        <v>10</v>
      </c>
      <c r="W99" s="17">
        <v>800484</v>
      </c>
      <c r="X99">
        <v>1</v>
      </c>
      <c r="AA99" t="s">
        <v>177</v>
      </c>
      <c r="AB99">
        <v>4261</v>
      </c>
      <c r="AC99">
        <v>2677</v>
      </c>
      <c r="AD99">
        <v>39876</v>
      </c>
      <c r="AE99">
        <v>204</v>
      </c>
      <c r="AF99">
        <v>0</v>
      </c>
      <c r="AG99">
        <v>0</v>
      </c>
      <c r="AH99">
        <v>1</v>
      </c>
      <c r="AI99">
        <v>0</v>
      </c>
      <c r="AJ99">
        <v>1.5</v>
      </c>
      <c r="AK99">
        <v>0</v>
      </c>
      <c r="AL99">
        <v>0</v>
      </c>
      <c r="AM99">
        <v>0</v>
      </c>
      <c r="AO99">
        <v>0.5</v>
      </c>
    </row>
    <row r="100" spans="1:41">
      <c r="A100">
        <v>151</v>
      </c>
      <c r="B100" s="1">
        <v>113005</v>
      </c>
      <c r="C100" s="11" t="s">
        <v>178</v>
      </c>
      <c r="D100">
        <v>1</v>
      </c>
      <c r="E100">
        <v>3</v>
      </c>
      <c r="F100">
        <v>152</v>
      </c>
      <c r="G100">
        <v>3</v>
      </c>
      <c r="H100">
        <v>3</v>
      </c>
      <c r="I100">
        <v>4</v>
      </c>
      <c r="J100">
        <v>0</v>
      </c>
      <c r="K100">
        <v>800488</v>
      </c>
      <c r="L100">
        <v>1</v>
      </c>
      <c r="M100">
        <v>10</v>
      </c>
      <c r="N100" s="17">
        <v>800489</v>
      </c>
      <c r="O100">
        <v>1</v>
      </c>
      <c r="V100">
        <v>10</v>
      </c>
      <c r="W100" s="17">
        <v>800492</v>
      </c>
      <c r="X100">
        <v>1</v>
      </c>
      <c r="AB100">
        <v>2976</v>
      </c>
      <c r="AC100">
        <v>906</v>
      </c>
      <c r="AD100">
        <v>12938</v>
      </c>
      <c r="AE100">
        <v>306</v>
      </c>
      <c r="AF100">
        <v>0</v>
      </c>
      <c r="AG100">
        <v>0</v>
      </c>
      <c r="AH100">
        <v>1</v>
      </c>
      <c r="AI100">
        <v>0</v>
      </c>
      <c r="AJ100">
        <v>1.5</v>
      </c>
      <c r="AK100">
        <v>0</v>
      </c>
      <c r="AL100">
        <v>0</v>
      </c>
      <c r="AM100">
        <v>0</v>
      </c>
      <c r="AO100">
        <v>0.5</v>
      </c>
    </row>
    <row r="101" spans="1:41">
      <c r="A101">
        <v>152</v>
      </c>
      <c r="B101" s="1">
        <v>113005</v>
      </c>
      <c r="C101" s="11" t="s">
        <v>178</v>
      </c>
      <c r="D101">
        <v>2</v>
      </c>
      <c r="E101">
        <v>5</v>
      </c>
      <c r="F101">
        <v>153</v>
      </c>
      <c r="G101">
        <v>3</v>
      </c>
      <c r="H101">
        <v>6</v>
      </c>
      <c r="I101">
        <v>6</v>
      </c>
      <c r="J101">
        <v>0</v>
      </c>
      <c r="K101">
        <v>800488</v>
      </c>
      <c r="L101">
        <v>1</v>
      </c>
      <c r="M101">
        <v>10</v>
      </c>
      <c r="N101" s="17">
        <v>800490</v>
      </c>
      <c r="O101">
        <v>1</v>
      </c>
      <c r="V101">
        <v>10</v>
      </c>
      <c r="W101" s="17">
        <v>800493</v>
      </c>
      <c r="X101">
        <v>1</v>
      </c>
      <c r="AA101" t="s">
        <v>179</v>
      </c>
      <c r="AB101">
        <v>4166</v>
      </c>
      <c r="AC101">
        <v>1268</v>
      </c>
      <c r="AD101">
        <v>18113</v>
      </c>
      <c r="AE101">
        <v>306</v>
      </c>
      <c r="AF101">
        <v>0</v>
      </c>
      <c r="AG101">
        <v>0</v>
      </c>
      <c r="AH101">
        <v>1</v>
      </c>
      <c r="AI101">
        <v>0</v>
      </c>
      <c r="AJ101">
        <v>1.5</v>
      </c>
      <c r="AK101">
        <v>0</v>
      </c>
      <c r="AL101">
        <v>0</v>
      </c>
      <c r="AM101">
        <v>0</v>
      </c>
      <c r="AO101">
        <v>0.5</v>
      </c>
    </row>
    <row r="102" spans="1:41">
      <c r="A102">
        <v>153</v>
      </c>
      <c r="B102" s="1">
        <v>113005</v>
      </c>
      <c r="C102" s="11" t="s">
        <v>178</v>
      </c>
      <c r="D102">
        <v>3</v>
      </c>
      <c r="E102">
        <v>7</v>
      </c>
      <c r="F102">
        <v>-1</v>
      </c>
      <c r="G102">
        <v>3</v>
      </c>
      <c r="H102">
        <v>9</v>
      </c>
      <c r="I102">
        <v>10</v>
      </c>
      <c r="J102">
        <v>0</v>
      </c>
      <c r="K102">
        <v>800488</v>
      </c>
      <c r="L102">
        <v>1</v>
      </c>
      <c r="M102">
        <v>10</v>
      </c>
      <c r="N102" s="17">
        <v>800491</v>
      </c>
      <c r="O102">
        <v>1</v>
      </c>
      <c r="V102">
        <v>10</v>
      </c>
      <c r="W102" s="17">
        <v>800494</v>
      </c>
      <c r="X102">
        <v>1</v>
      </c>
      <c r="AA102" t="s">
        <v>180</v>
      </c>
      <c r="AB102">
        <v>5951</v>
      </c>
      <c r="AC102">
        <v>1811</v>
      </c>
      <c r="AD102">
        <v>25875</v>
      </c>
      <c r="AE102">
        <v>306</v>
      </c>
      <c r="AF102">
        <v>0</v>
      </c>
      <c r="AG102">
        <v>0</v>
      </c>
      <c r="AH102">
        <v>1</v>
      </c>
      <c r="AI102">
        <v>0</v>
      </c>
      <c r="AJ102">
        <v>1.5</v>
      </c>
      <c r="AK102">
        <v>0</v>
      </c>
      <c r="AL102">
        <v>0</v>
      </c>
      <c r="AM102">
        <v>0</v>
      </c>
      <c r="AO102">
        <v>0.5</v>
      </c>
    </row>
    <row r="103" spans="1:41">
      <c r="A103">
        <v>154</v>
      </c>
      <c r="B103" s="1">
        <v>113006</v>
      </c>
      <c r="C103" s="28" t="s">
        <v>181</v>
      </c>
      <c r="D103">
        <v>1</v>
      </c>
      <c r="E103">
        <v>3</v>
      </c>
      <c r="F103">
        <v>155</v>
      </c>
      <c r="G103">
        <v>4</v>
      </c>
      <c r="H103">
        <v>4</v>
      </c>
      <c r="I103">
        <v>5</v>
      </c>
      <c r="J103">
        <v>0</v>
      </c>
      <c r="K103">
        <v>800498</v>
      </c>
      <c r="L103">
        <v>1</v>
      </c>
      <c r="M103">
        <v>10</v>
      </c>
      <c r="N103" s="17">
        <v>800499</v>
      </c>
      <c r="O103">
        <v>1</v>
      </c>
      <c r="V103">
        <v>10</v>
      </c>
      <c r="W103" s="17">
        <v>800502</v>
      </c>
      <c r="X103">
        <v>1</v>
      </c>
      <c r="AB103">
        <v>2294</v>
      </c>
      <c r="AC103">
        <v>1420</v>
      </c>
      <c r="AD103">
        <v>17480</v>
      </c>
      <c r="AE103">
        <v>228</v>
      </c>
      <c r="AF103">
        <v>0</v>
      </c>
      <c r="AG103">
        <v>0</v>
      </c>
      <c r="AH103">
        <v>1</v>
      </c>
      <c r="AI103">
        <v>0</v>
      </c>
      <c r="AJ103">
        <v>1.5</v>
      </c>
      <c r="AK103">
        <v>0</v>
      </c>
      <c r="AL103">
        <v>0</v>
      </c>
      <c r="AM103">
        <v>0</v>
      </c>
      <c r="AO103">
        <v>0.5</v>
      </c>
    </row>
    <row r="104" spans="1:41">
      <c r="A104">
        <v>155</v>
      </c>
      <c r="B104" s="1">
        <v>113006</v>
      </c>
      <c r="C104" s="28" t="s">
        <v>181</v>
      </c>
      <c r="D104">
        <v>2</v>
      </c>
      <c r="E104">
        <v>5</v>
      </c>
      <c r="F104">
        <v>156</v>
      </c>
      <c r="G104">
        <v>4</v>
      </c>
      <c r="H104">
        <v>8</v>
      </c>
      <c r="I104">
        <v>8</v>
      </c>
      <c r="J104">
        <v>0</v>
      </c>
      <c r="K104">
        <v>800498</v>
      </c>
      <c r="L104">
        <v>1</v>
      </c>
      <c r="M104">
        <v>10</v>
      </c>
      <c r="N104" s="17">
        <v>800500</v>
      </c>
      <c r="O104">
        <v>1</v>
      </c>
      <c r="V104">
        <v>10</v>
      </c>
      <c r="W104" s="17">
        <v>800503</v>
      </c>
      <c r="X104">
        <v>1</v>
      </c>
      <c r="AA104" t="s">
        <v>182</v>
      </c>
      <c r="AB104">
        <v>3212</v>
      </c>
      <c r="AC104">
        <v>1988</v>
      </c>
      <c r="AD104">
        <v>24472</v>
      </c>
      <c r="AE104">
        <v>228</v>
      </c>
      <c r="AF104">
        <v>0</v>
      </c>
      <c r="AG104">
        <v>0</v>
      </c>
      <c r="AH104">
        <v>1</v>
      </c>
      <c r="AI104">
        <v>0</v>
      </c>
      <c r="AJ104">
        <v>1.5</v>
      </c>
      <c r="AK104">
        <v>0</v>
      </c>
      <c r="AL104">
        <v>0</v>
      </c>
      <c r="AM104">
        <v>0</v>
      </c>
      <c r="AO104">
        <v>0.5</v>
      </c>
    </row>
    <row r="105" spans="1:41">
      <c r="A105">
        <v>156</v>
      </c>
      <c r="B105" s="1">
        <v>113006</v>
      </c>
      <c r="C105" s="28" t="s">
        <v>181</v>
      </c>
      <c r="D105">
        <v>3</v>
      </c>
      <c r="E105">
        <v>7</v>
      </c>
      <c r="F105">
        <v>-1</v>
      </c>
      <c r="G105">
        <v>4</v>
      </c>
      <c r="H105">
        <v>12</v>
      </c>
      <c r="I105">
        <v>15</v>
      </c>
      <c r="J105">
        <v>0</v>
      </c>
      <c r="K105">
        <v>800498</v>
      </c>
      <c r="L105">
        <v>1</v>
      </c>
      <c r="M105">
        <v>10</v>
      </c>
      <c r="N105" s="17">
        <v>800501</v>
      </c>
      <c r="O105">
        <v>1</v>
      </c>
      <c r="V105">
        <v>10</v>
      </c>
      <c r="W105" s="17">
        <v>800504</v>
      </c>
      <c r="X105">
        <v>1</v>
      </c>
      <c r="AA105" t="s">
        <v>183</v>
      </c>
      <c r="AB105">
        <v>4589</v>
      </c>
      <c r="AC105">
        <v>2841</v>
      </c>
      <c r="AD105">
        <v>34960</v>
      </c>
      <c r="AE105">
        <v>228</v>
      </c>
      <c r="AF105">
        <v>0</v>
      </c>
      <c r="AG105">
        <v>0</v>
      </c>
      <c r="AH105">
        <v>1</v>
      </c>
      <c r="AI105">
        <v>0</v>
      </c>
      <c r="AJ105">
        <v>1.5</v>
      </c>
      <c r="AK105">
        <v>0</v>
      </c>
      <c r="AL105">
        <v>0</v>
      </c>
      <c r="AM105">
        <v>0</v>
      </c>
      <c r="AO105">
        <v>0.5</v>
      </c>
    </row>
    <row r="106" spans="1:41">
      <c r="A106">
        <v>157</v>
      </c>
      <c r="B106" s="1">
        <v>113007</v>
      </c>
      <c r="C106" s="28" t="s">
        <v>184</v>
      </c>
      <c r="D106">
        <v>1</v>
      </c>
      <c r="E106">
        <v>3</v>
      </c>
      <c r="F106">
        <v>158</v>
      </c>
      <c r="G106">
        <v>4</v>
      </c>
      <c r="H106">
        <v>4</v>
      </c>
      <c r="I106">
        <v>5</v>
      </c>
      <c r="J106">
        <v>0</v>
      </c>
      <c r="K106">
        <v>800508</v>
      </c>
      <c r="L106">
        <v>1</v>
      </c>
      <c r="M106">
        <v>10</v>
      </c>
      <c r="N106" s="17">
        <v>800509</v>
      </c>
      <c r="O106">
        <v>1</v>
      </c>
      <c r="V106">
        <v>10</v>
      </c>
      <c r="W106" s="17">
        <v>800512</v>
      </c>
      <c r="X106">
        <v>1</v>
      </c>
      <c r="AB106">
        <v>3032</v>
      </c>
      <c r="AC106">
        <v>901</v>
      </c>
      <c r="AD106">
        <v>15295</v>
      </c>
      <c r="AE106">
        <v>370</v>
      </c>
      <c r="AF106">
        <v>0</v>
      </c>
      <c r="AG106">
        <v>0</v>
      </c>
      <c r="AH106">
        <v>1</v>
      </c>
      <c r="AI106">
        <v>0</v>
      </c>
      <c r="AJ106">
        <v>1.5</v>
      </c>
      <c r="AK106">
        <v>0</v>
      </c>
      <c r="AL106">
        <v>0</v>
      </c>
      <c r="AM106">
        <v>0</v>
      </c>
      <c r="AO106">
        <v>0.5</v>
      </c>
    </row>
    <row r="107" spans="1:41">
      <c r="A107">
        <v>158</v>
      </c>
      <c r="B107" s="1">
        <v>113007</v>
      </c>
      <c r="C107" s="28" t="s">
        <v>184</v>
      </c>
      <c r="D107">
        <v>2</v>
      </c>
      <c r="E107">
        <v>5</v>
      </c>
      <c r="F107">
        <v>159</v>
      </c>
      <c r="G107">
        <v>4</v>
      </c>
      <c r="H107">
        <v>8</v>
      </c>
      <c r="I107">
        <v>8</v>
      </c>
      <c r="J107">
        <v>0</v>
      </c>
      <c r="K107">
        <v>800508</v>
      </c>
      <c r="L107">
        <v>1</v>
      </c>
      <c r="M107">
        <v>10</v>
      </c>
      <c r="N107" s="17">
        <v>800510</v>
      </c>
      <c r="O107">
        <v>1</v>
      </c>
      <c r="V107">
        <v>10</v>
      </c>
      <c r="W107" s="17">
        <v>800513</v>
      </c>
      <c r="X107">
        <v>1</v>
      </c>
      <c r="AA107" t="s">
        <v>185</v>
      </c>
      <c r="AB107">
        <v>4244</v>
      </c>
      <c r="AC107">
        <v>1262</v>
      </c>
      <c r="AD107">
        <v>21413</v>
      </c>
      <c r="AE107">
        <v>370</v>
      </c>
      <c r="AF107">
        <v>0</v>
      </c>
      <c r="AG107">
        <v>0</v>
      </c>
      <c r="AH107">
        <v>1</v>
      </c>
      <c r="AI107">
        <v>0</v>
      </c>
      <c r="AJ107">
        <v>1.5</v>
      </c>
      <c r="AK107">
        <v>0</v>
      </c>
      <c r="AL107">
        <v>0</v>
      </c>
      <c r="AM107">
        <v>0</v>
      </c>
      <c r="AO107">
        <v>0.5</v>
      </c>
    </row>
    <row r="108" spans="1:41">
      <c r="A108">
        <v>159</v>
      </c>
      <c r="B108" s="1">
        <v>113007</v>
      </c>
      <c r="C108" s="28" t="s">
        <v>184</v>
      </c>
      <c r="D108">
        <v>3</v>
      </c>
      <c r="E108">
        <v>7</v>
      </c>
      <c r="F108">
        <v>-1</v>
      </c>
      <c r="G108">
        <v>4</v>
      </c>
      <c r="H108">
        <v>12</v>
      </c>
      <c r="I108">
        <v>15</v>
      </c>
      <c r="J108">
        <v>0</v>
      </c>
      <c r="K108">
        <v>800508</v>
      </c>
      <c r="L108">
        <v>1</v>
      </c>
      <c r="M108">
        <v>10</v>
      </c>
      <c r="N108" s="17">
        <v>800511</v>
      </c>
      <c r="O108">
        <v>1</v>
      </c>
      <c r="V108">
        <v>10</v>
      </c>
      <c r="W108" s="17">
        <v>800514</v>
      </c>
      <c r="X108">
        <v>1</v>
      </c>
      <c r="AA108" t="s">
        <v>186</v>
      </c>
      <c r="AB108">
        <v>6063</v>
      </c>
      <c r="AC108">
        <v>1803</v>
      </c>
      <c r="AD108">
        <v>30590</v>
      </c>
      <c r="AE108">
        <v>370</v>
      </c>
      <c r="AF108">
        <v>0</v>
      </c>
      <c r="AG108">
        <v>0</v>
      </c>
      <c r="AH108">
        <v>1</v>
      </c>
      <c r="AI108">
        <v>0</v>
      </c>
      <c r="AJ108">
        <v>1.5</v>
      </c>
      <c r="AK108">
        <v>0</v>
      </c>
      <c r="AL108">
        <v>0</v>
      </c>
      <c r="AM108">
        <v>0</v>
      </c>
      <c r="AO108">
        <v>0.5</v>
      </c>
    </row>
    <row r="109" spans="1:41">
      <c r="A109">
        <v>163</v>
      </c>
      <c r="B109" s="1">
        <v>113009</v>
      </c>
      <c r="C109" s="28" t="s">
        <v>187</v>
      </c>
      <c r="D109">
        <v>1</v>
      </c>
      <c r="E109">
        <v>3</v>
      </c>
      <c r="F109">
        <v>164</v>
      </c>
      <c r="G109">
        <v>4</v>
      </c>
      <c r="H109">
        <v>4</v>
      </c>
      <c r="I109">
        <v>5</v>
      </c>
      <c r="J109">
        <v>0</v>
      </c>
      <c r="K109">
        <v>800528</v>
      </c>
      <c r="L109">
        <v>1</v>
      </c>
      <c r="M109">
        <v>10</v>
      </c>
      <c r="N109" s="17">
        <v>800529</v>
      </c>
      <c r="O109">
        <v>1</v>
      </c>
      <c r="V109">
        <v>10</v>
      </c>
      <c r="W109" s="17">
        <v>800532</v>
      </c>
      <c r="X109">
        <v>1</v>
      </c>
      <c r="AA109" t="s">
        <v>188</v>
      </c>
      <c r="AB109">
        <v>2240</v>
      </c>
      <c r="AC109">
        <v>1366</v>
      </c>
      <c r="AD109">
        <v>18573</v>
      </c>
      <c r="AE109">
        <v>215</v>
      </c>
      <c r="AF109">
        <v>0</v>
      </c>
      <c r="AG109">
        <v>0</v>
      </c>
      <c r="AH109">
        <v>1</v>
      </c>
      <c r="AI109">
        <v>0</v>
      </c>
      <c r="AJ109">
        <v>1.5</v>
      </c>
      <c r="AK109">
        <v>0</v>
      </c>
      <c r="AL109">
        <v>0</v>
      </c>
      <c r="AM109">
        <v>0</v>
      </c>
      <c r="AO109">
        <v>0.5</v>
      </c>
    </row>
    <row r="110" spans="1:41">
      <c r="A110">
        <v>164</v>
      </c>
      <c r="B110" s="1">
        <v>113009</v>
      </c>
      <c r="C110" s="28" t="s">
        <v>187</v>
      </c>
      <c r="D110">
        <v>2</v>
      </c>
      <c r="E110">
        <v>5</v>
      </c>
      <c r="F110">
        <v>165</v>
      </c>
      <c r="G110">
        <v>4</v>
      </c>
      <c r="H110">
        <v>8</v>
      </c>
      <c r="I110">
        <v>8</v>
      </c>
      <c r="J110">
        <v>0</v>
      </c>
      <c r="K110">
        <v>800528</v>
      </c>
      <c r="L110">
        <v>1</v>
      </c>
      <c r="M110">
        <v>10</v>
      </c>
      <c r="N110" s="17">
        <v>800530</v>
      </c>
      <c r="O110">
        <v>1</v>
      </c>
      <c r="V110">
        <v>10</v>
      </c>
      <c r="W110" s="17">
        <v>800533</v>
      </c>
      <c r="X110">
        <v>1</v>
      </c>
      <c r="AA110" t="s">
        <v>189</v>
      </c>
      <c r="AB110">
        <v>3135</v>
      </c>
      <c r="AC110">
        <v>1912</v>
      </c>
      <c r="AD110">
        <v>26002</v>
      </c>
      <c r="AE110">
        <v>215</v>
      </c>
      <c r="AF110">
        <v>0</v>
      </c>
      <c r="AG110">
        <v>0</v>
      </c>
      <c r="AH110">
        <v>1</v>
      </c>
      <c r="AI110">
        <v>0</v>
      </c>
      <c r="AJ110">
        <v>1.5</v>
      </c>
      <c r="AK110">
        <v>0</v>
      </c>
      <c r="AL110">
        <v>0</v>
      </c>
      <c r="AM110">
        <v>0</v>
      </c>
      <c r="AO110">
        <v>0.5</v>
      </c>
    </row>
    <row r="111" spans="1:41">
      <c r="A111">
        <v>165</v>
      </c>
      <c r="B111" s="1">
        <v>113009</v>
      </c>
      <c r="C111" s="28" t="s">
        <v>187</v>
      </c>
      <c r="D111">
        <v>3</v>
      </c>
      <c r="E111">
        <v>7</v>
      </c>
      <c r="F111">
        <v>-1</v>
      </c>
      <c r="G111">
        <v>4</v>
      </c>
      <c r="H111">
        <v>12</v>
      </c>
      <c r="I111">
        <v>15</v>
      </c>
      <c r="J111">
        <v>0</v>
      </c>
      <c r="K111">
        <v>800528</v>
      </c>
      <c r="L111">
        <v>1</v>
      </c>
      <c r="M111">
        <v>10</v>
      </c>
      <c r="N111" s="17">
        <v>800531</v>
      </c>
      <c r="O111">
        <v>1</v>
      </c>
      <c r="V111">
        <v>10</v>
      </c>
      <c r="W111" s="17">
        <v>800534</v>
      </c>
      <c r="X111">
        <v>1</v>
      </c>
      <c r="AA111" t="s">
        <v>189</v>
      </c>
      <c r="AB111">
        <v>4479</v>
      </c>
      <c r="AC111">
        <v>2731</v>
      </c>
      <c r="AD111">
        <v>37145</v>
      </c>
      <c r="AE111">
        <v>215</v>
      </c>
      <c r="AF111">
        <v>0</v>
      </c>
      <c r="AG111">
        <v>0</v>
      </c>
      <c r="AH111">
        <v>1</v>
      </c>
      <c r="AI111">
        <v>0</v>
      </c>
      <c r="AJ111">
        <v>1.5</v>
      </c>
      <c r="AK111">
        <v>0</v>
      </c>
      <c r="AL111">
        <v>0</v>
      </c>
      <c r="AM111">
        <v>0</v>
      </c>
      <c r="AO111">
        <v>0.5</v>
      </c>
    </row>
    <row r="112" spans="1:41">
      <c r="A112">
        <v>166</v>
      </c>
      <c r="B112" s="1">
        <v>113010</v>
      </c>
      <c r="C112" s="27" t="s">
        <v>190</v>
      </c>
      <c r="D112">
        <v>1</v>
      </c>
      <c r="E112">
        <v>5</v>
      </c>
      <c r="F112">
        <v>167</v>
      </c>
      <c r="G112">
        <v>5</v>
      </c>
      <c r="H112">
        <v>5</v>
      </c>
      <c r="I112">
        <v>6</v>
      </c>
      <c r="J112">
        <v>0</v>
      </c>
      <c r="K112">
        <v>800538</v>
      </c>
      <c r="L112">
        <v>1</v>
      </c>
      <c r="M112">
        <v>10</v>
      </c>
      <c r="N112" s="17">
        <v>800539</v>
      </c>
      <c r="O112">
        <v>1</v>
      </c>
      <c r="V112">
        <v>10</v>
      </c>
      <c r="W112" s="17">
        <v>800542</v>
      </c>
      <c r="X112">
        <v>1</v>
      </c>
      <c r="AB112">
        <v>2933</v>
      </c>
      <c r="AC112">
        <v>1150</v>
      </c>
      <c r="AD112">
        <v>16675</v>
      </c>
      <c r="AE112">
        <v>366</v>
      </c>
      <c r="AF112">
        <v>0</v>
      </c>
      <c r="AG112">
        <v>0</v>
      </c>
      <c r="AH112">
        <v>1</v>
      </c>
      <c r="AI112">
        <v>0</v>
      </c>
      <c r="AJ112">
        <v>1.5</v>
      </c>
      <c r="AK112">
        <v>0</v>
      </c>
      <c r="AL112">
        <v>0</v>
      </c>
      <c r="AM112">
        <v>0</v>
      </c>
      <c r="AO112">
        <v>0.5</v>
      </c>
    </row>
    <row r="113" spans="1:41">
      <c r="A113">
        <v>167</v>
      </c>
      <c r="B113" s="1">
        <v>113010</v>
      </c>
      <c r="C113" s="27" t="s">
        <v>190</v>
      </c>
      <c r="D113">
        <v>2</v>
      </c>
      <c r="E113">
        <v>7</v>
      </c>
      <c r="F113">
        <v>168</v>
      </c>
      <c r="G113">
        <v>5</v>
      </c>
      <c r="H113">
        <v>10</v>
      </c>
      <c r="I113">
        <v>12</v>
      </c>
      <c r="J113">
        <v>0</v>
      </c>
      <c r="K113">
        <v>800538</v>
      </c>
      <c r="L113">
        <v>1</v>
      </c>
      <c r="M113">
        <v>10</v>
      </c>
      <c r="N113" s="17">
        <v>800540</v>
      </c>
      <c r="O113">
        <v>1</v>
      </c>
      <c r="V113">
        <v>10</v>
      </c>
      <c r="W113" s="17">
        <v>800543</v>
      </c>
      <c r="X113">
        <v>1</v>
      </c>
      <c r="AB113">
        <v>4106</v>
      </c>
      <c r="AC113">
        <v>1610</v>
      </c>
      <c r="AD113">
        <v>23345</v>
      </c>
      <c r="AE113">
        <v>366</v>
      </c>
      <c r="AF113">
        <v>0</v>
      </c>
      <c r="AG113">
        <v>0</v>
      </c>
      <c r="AH113">
        <v>1</v>
      </c>
      <c r="AI113">
        <v>0</v>
      </c>
      <c r="AJ113">
        <v>1.5</v>
      </c>
      <c r="AK113">
        <v>0</v>
      </c>
      <c r="AL113">
        <v>0</v>
      </c>
      <c r="AM113">
        <v>0</v>
      </c>
      <c r="AO113">
        <v>0.5</v>
      </c>
    </row>
    <row r="114" spans="1:41">
      <c r="A114">
        <v>168</v>
      </c>
      <c r="B114" s="1">
        <v>113010</v>
      </c>
      <c r="C114" s="27" t="s">
        <v>190</v>
      </c>
      <c r="D114">
        <v>3</v>
      </c>
      <c r="E114">
        <v>9</v>
      </c>
      <c r="F114">
        <v>-1</v>
      </c>
      <c r="G114">
        <v>5</v>
      </c>
      <c r="H114">
        <v>15</v>
      </c>
      <c r="I114">
        <v>20</v>
      </c>
      <c r="J114">
        <v>0</v>
      </c>
      <c r="K114">
        <v>800538</v>
      </c>
      <c r="L114">
        <v>1</v>
      </c>
      <c r="M114">
        <v>10</v>
      </c>
      <c r="N114" s="17">
        <v>800541</v>
      </c>
      <c r="O114">
        <v>1</v>
      </c>
      <c r="V114">
        <v>10</v>
      </c>
      <c r="W114" s="17">
        <v>800544</v>
      </c>
      <c r="X114">
        <v>1</v>
      </c>
      <c r="AB114">
        <v>5865</v>
      </c>
      <c r="AC114">
        <v>2300</v>
      </c>
      <c r="AD114">
        <v>33350</v>
      </c>
      <c r="AE114">
        <v>366</v>
      </c>
      <c r="AF114">
        <v>0</v>
      </c>
      <c r="AG114">
        <v>0</v>
      </c>
      <c r="AH114">
        <v>1</v>
      </c>
      <c r="AI114">
        <v>0</v>
      </c>
      <c r="AJ114">
        <v>1.5</v>
      </c>
      <c r="AK114">
        <v>0</v>
      </c>
      <c r="AL114">
        <v>0</v>
      </c>
      <c r="AM114">
        <v>0</v>
      </c>
      <c r="AO114">
        <v>0.5</v>
      </c>
    </row>
    <row r="115" spans="1:41">
      <c r="A115">
        <v>169</v>
      </c>
      <c r="B115" s="1">
        <v>113011</v>
      </c>
      <c r="C115" s="11" t="s">
        <v>191</v>
      </c>
      <c r="D115">
        <v>1</v>
      </c>
      <c r="E115">
        <v>3</v>
      </c>
      <c r="F115">
        <v>170</v>
      </c>
      <c r="G115">
        <v>3</v>
      </c>
      <c r="H115">
        <v>3</v>
      </c>
      <c r="I115">
        <v>4</v>
      </c>
      <c r="J115">
        <v>0</v>
      </c>
      <c r="K115">
        <v>800548</v>
      </c>
      <c r="L115">
        <v>1</v>
      </c>
      <c r="M115">
        <v>10</v>
      </c>
      <c r="N115" s="17">
        <v>800549</v>
      </c>
      <c r="O115">
        <v>1</v>
      </c>
      <c r="V115">
        <v>10</v>
      </c>
      <c r="W115" s="17">
        <v>800552</v>
      </c>
      <c r="X115">
        <v>1</v>
      </c>
      <c r="Z115" s="29" t="s">
        <v>192</v>
      </c>
      <c r="AA115" t="s">
        <v>193</v>
      </c>
      <c r="AB115">
        <v>2846</v>
      </c>
      <c r="AC115">
        <v>1113</v>
      </c>
      <c r="AD115">
        <v>12161</v>
      </c>
      <c r="AE115">
        <v>352</v>
      </c>
      <c r="AF115">
        <v>0</v>
      </c>
      <c r="AG115">
        <v>0</v>
      </c>
      <c r="AH115">
        <v>1</v>
      </c>
      <c r="AI115">
        <v>0</v>
      </c>
      <c r="AJ115">
        <v>1.5</v>
      </c>
      <c r="AK115">
        <v>0</v>
      </c>
      <c r="AL115">
        <v>0</v>
      </c>
      <c r="AM115">
        <v>0</v>
      </c>
      <c r="AO115">
        <v>0.5</v>
      </c>
    </row>
    <row r="116" spans="1:41">
      <c r="A116">
        <v>170</v>
      </c>
      <c r="B116" s="1">
        <v>113011</v>
      </c>
      <c r="C116" s="11" t="s">
        <v>191</v>
      </c>
      <c r="D116">
        <v>2</v>
      </c>
      <c r="E116">
        <v>5</v>
      </c>
      <c r="F116">
        <v>171</v>
      </c>
      <c r="G116">
        <v>3</v>
      </c>
      <c r="H116">
        <v>6</v>
      </c>
      <c r="I116">
        <v>6</v>
      </c>
      <c r="J116">
        <v>0</v>
      </c>
      <c r="K116">
        <v>800548</v>
      </c>
      <c r="L116">
        <v>1</v>
      </c>
      <c r="M116">
        <v>10</v>
      </c>
      <c r="N116" s="17">
        <v>800550</v>
      </c>
      <c r="O116">
        <v>1</v>
      </c>
      <c r="V116">
        <v>10</v>
      </c>
      <c r="W116" s="17">
        <v>800553</v>
      </c>
      <c r="X116">
        <v>1</v>
      </c>
      <c r="Z116" s="29" t="s">
        <v>194</v>
      </c>
      <c r="AA116" t="s">
        <v>195</v>
      </c>
      <c r="AB116">
        <v>3985</v>
      </c>
      <c r="AC116">
        <v>1558</v>
      </c>
      <c r="AD116">
        <v>17026</v>
      </c>
      <c r="AE116">
        <v>352</v>
      </c>
      <c r="AF116">
        <v>0</v>
      </c>
      <c r="AG116">
        <v>0</v>
      </c>
      <c r="AH116">
        <v>1</v>
      </c>
      <c r="AI116">
        <v>0</v>
      </c>
      <c r="AJ116">
        <v>1.5</v>
      </c>
      <c r="AK116">
        <v>0</v>
      </c>
      <c r="AL116">
        <v>0</v>
      </c>
      <c r="AM116">
        <v>0</v>
      </c>
      <c r="AO116">
        <v>0.5</v>
      </c>
    </row>
    <row r="117" spans="1:41">
      <c r="A117">
        <v>171</v>
      </c>
      <c r="B117" s="1">
        <v>113011</v>
      </c>
      <c r="C117" s="11" t="s">
        <v>191</v>
      </c>
      <c r="D117">
        <v>3</v>
      </c>
      <c r="E117">
        <v>7</v>
      </c>
      <c r="F117">
        <v>-1</v>
      </c>
      <c r="G117">
        <v>3</v>
      </c>
      <c r="H117">
        <v>9</v>
      </c>
      <c r="I117">
        <v>10</v>
      </c>
      <c r="J117">
        <v>0</v>
      </c>
      <c r="K117">
        <v>800548</v>
      </c>
      <c r="L117">
        <v>1</v>
      </c>
      <c r="M117">
        <v>10</v>
      </c>
      <c r="N117" s="17">
        <v>800551</v>
      </c>
      <c r="O117">
        <v>1</v>
      </c>
      <c r="V117">
        <v>10</v>
      </c>
      <c r="W117" s="17">
        <v>800554</v>
      </c>
      <c r="X117">
        <v>1</v>
      </c>
      <c r="Z117" s="29" t="s">
        <v>196</v>
      </c>
      <c r="AA117" t="s">
        <v>197</v>
      </c>
      <c r="AB117">
        <v>5693</v>
      </c>
      <c r="AC117">
        <v>2225</v>
      </c>
      <c r="AD117">
        <v>24323</v>
      </c>
      <c r="AE117">
        <v>352</v>
      </c>
      <c r="AF117">
        <v>0</v>
      </c>
      <c r="AG117">
        <v>0</v>
      </c>
      <c r="AH117">
        <v>1</v>
      </c>
      <c r="AI117">
        <v>0</v>
      </c>
      <c r="AJ117">
        <v>1.5</v>
      </c>
      <c r="AK117">
        <v>0</v>
      </c>
      <c r="AL117">
        <v>0</v>
      </c>
      <c r="AM117">
        <v>0</v>
      </c>
      <c r="AO117">
        <v>0.5</v>
      </c>
    </row>
    <row r="118" spans="1:41">
      <c r="A118">
        <v>172</v>
      </c>
      <c r="B118" s="1">
        <v>113012</v>
      </c>
      <c r="C118" s="28" t="s">
        <v>198</v>
      </c>
      <c r="D118">
        <v>1</v>
      </c>
      <c r="E118">
        <v>3</v>
      </c>
      <c r="F118">
        <v>173</v>
      </c>
      <c r="G118">
        <v>4</v>
      </c>
      <c r="H118">
        <v>4</v>
      </c>
      <c r="I118">
        <v>5</v>
      </c>
      <c r="J118">
        <v>0</v>
      </c>
      <c r="K118">
        <v>800565</v>
      </c>
      <c r="L118">
        <v>1</v>
      </c>
      <c r="M118">
        <v>10</v>
      </c>
      <c r="N118" s="17">
        <v>800566</v>
      </c>
      <c r="O118">
        <v>1</v>
      </c>
      <c r="V118">
        <v>10</v>
      </c>
      <c r="W118" s="17">
        <v>800569</v>
      </c>
      <c r="X118">
        <v>1</v>
      </c>
      <c r="AA118" t="s">
        <v>199</v>
      </c>
      <c r="AB118">
        <v>2649</v>
      </c>
      <c r="AC118">
        <v>1120</v>
      </c>
      <c r="AD118">
        <v>16934</v>
      </c>
      <c r="AE118">
        <v>261</v>
      </c>
      <c r="AF118">
        <v>0</v>
      </c>
      <c r="AG118">
        <v>0</v>
      </c>
      <c r="AH118">
        <v>1</v>
      </c>
      <c r="AI118">
        <v>0</v>
      </c>
      <c r="AJ118">
        <v>1.5</v>
      </c>
      <c r="AK118">
        <v>0</v>
      </c>
      <c r="AL118">
        <v>0</v>
      </c>
      <c r="AM118">
        <v>0</v>
      </c>
      <c r="AO118">
        <v>0.5</v>
      </c>
    </row>
    <row r="119" spans="1:41">
      <c r="A119">
        <v>173</v>
      </c>
      <c r="B119" s="1">
        <v>113012</v>
      </c>
      <c r="C119" s="28" t="s">
        <v>198</v>
      </c>
      <c r="D119">
        <v>2</v>
      </c>
      <c r="E119">
        <v>5</v>
      </c>
      <c r="F119">
        <v>174</v>
      </c>
      <c r="G119">
        <v>4</v>
      </c>
      <c r="H119">
        <v>8</v>
      </c>
      <c r="I119">
        <v>8</v>
      </c>
      <c r="J119">
        <v>0</v>
      </c>
      <c r="K119">
        <v>800565</v>
      </c>
      <c r="L119">
        <v>1</v>
      </c>
      <c r="M119">
        <v>10</v>
      </c>
      <c r="N119" s="17">
        <v>800567</v>
      </c>
      <c r="O119">
        <v>1</v>
      </c>
      <c r="V119">
        <v>10</v>
      </c>
      <c r="W119" s="17">
        <v>800570</v>
      </c>
      <c r="X119">
        <v>1</v>
      </c>
      <c r="AA119" t="s">
        <v>200</v>
      </c>
      <c r="AB119">
        <v>3709</v>
      </c>
      <c r="AC119">
        <v>1568</v>
      </c>
      <c r="AD119">
        <v>23707</v>
      </c>
      <c r="AE119">
        <v>261</v>
      </c>
      <c r="AF119">
        <v>0</v>
      </c>
      <c r="AG119">
        <v>0</v>
      </c>
      <c r="AH119">
        <v>1</v>
      </c>
      <c r="AI119">
        <v>0</v>
      </c>
      <c r="AJ119">
        <v>1.5</v>
      </c>
      <c r="AK119">
        <v>0</v>
      </c>
      <c r="AL119">
        <v>0</v>
      </c>
      <c r="AM119">
        <v>0</v>
      </c>
      <c r="AO119">
        <v>0.5</v>
      </c>
    </row>
    <row r="120" spans="1:41">
      <c r="A120">
        <v>174</v>
      </c>
      <c r="B120" s="1">
        <v>113012</v>
      </c>
      <c r="C120" s="28" t="s">
        <v>198</v>
      </c>
      <c r="D120">
        <v>3</v>
      </c>
      <c r="E120">
        <v>7</v>
      </c>
      <c r="F120">
        <v>-1</v>
      </c>
      <c r="G120">
        <v>4</v>
      </c>
      <c r="H120">
        <v>12</v>
      </c>
      <c r="I120">
        <v>15</v>
      </c>
      <c r="J120">
        <v>0</v>
      </c>
      <c r="K120">
        <v>800565</v>
      </c>
      <c r="L120">
        <v>1</v>
      </c>
      <c r="M120">
        <v>10</v>
      </c>
      <c r="N120" s="17">
        <v>800568</v>
      </c>
      <c r="O120">
        <v>1</v>
      </c>
      <c r="V120">
        <v>10</v>
      </c>
      <c r="W120" s="17">
        <v>800571</v>
      </c>
      <c r="X120">
        <v>1</v>
      </c>
      <c r="AA120" t="s">
        <v>200</v>
      </c>
      <c r="AB120">
        <v>5299</v>
      </c>
      <c r="AC120">
        <v>2240</v>
      </c>
      <c r="AD120">
        <v>33868</v>
      </c>
      <c r="AE120">
        <v>261</v>
      </c>
      <c r="AF120">
        <v>0</v>
      </c>
      <c r="AG120">
        <v>0</v>
      </c>
      <c r="AH120">
        <v>1</v>
      </c>
      <c r="AI120">
        <v>0</v>
      </c>
      <c r="AJ120">
        <v>1.5</v>
      </c>
      <c r="AK120">
        <v>0</v>
      </c>
      <c r="AL120">
        <v>0</v>
      </c>
      <c r="AM120">
        <v>0</v>
      </c>
      <c r="AO120">
        <v>0.5</v>
      </c>
    </row>
    <row r="121" spans="1:41">
      <c r="A121">
        <v>175</v>
      </c>
      <c r="B121" s="1">
        <v>113013</v>
      </c>
      <c r="C121" s="28" t="s">
        <v>201</v>
      </c>
      <c r="D121">
        <v>1</v>
      </c>
      <c r="E121">
        <v>3</v>
      </c>
      <c r="F121">
        <v>176</v>
      </c>
      <c r="G121">
        <v>4</v>
      </c>
      <c r="H121">
        <v>4</v>
      </c>
      <c r="I121">
        <v>5</v>
      </c>
      <c r="J121">
        <v>0</v>
      </c>
      <c r="K121">
        <v>800575</v>
      </c>
      <c r="L121">
        <v>1</v>
      </c>
      <c r="M121">
        <v>10</v>
      </c>
      <c r="N121" s="17">
        <v>800576</v>
      </c>
      <c r="O121">
        <v>1</v>
      </c>
      <c r="V121">
        <v>10</v>
      </c>
      <c r="W121" s="17">
        <v>800579</v>
      </c>
      <c r="X121">
        <v>1</v>
      </c>
      <c r="AB121">
        <v>3196</v>
      </c>
      <c r="AC121">
        <v>792</v>
      </c>
      <c r="AD121">
        <v>14749</v>
      </c>
      <c r="AE121">
        <v>280</v>
      </c>
      <c r="AF121">
        <v>0</v>
      </c>
      <c r="AG121">
        <v>0</v>
      </c>
      <c r="AH121">
        <v>1</v>
      </c>
      <c r="AI121">
        <v>0</v>
      </c>
      <c r="AJ121">
        <v>1.5</v>
      </c>
      <c r="AK121">
        <v>0</v>
      </c>
      <c r="AL121">
        <v>0</v>
      </c>
      <c r="AM121">
        <v>0</v>
      </c>
      <c r="AO121">
        <v>0.5</v>
      </c>
    </row>
    <row r="122" spans="1:41">
      <c r="A122">
        <v>176</v>
      </c>
      <c r="B122" s="1">
        <v>113013</v>
      </c>
      <c r="C122" s="28" t="s">
        <v>201</v>
      </c>
      <c r="D122">
        <v>2</v>
      </c>
      <c r="E122">
        <v>5</v>
      </c>
      <c r="F122">
        <v>177</v>
      </c>
      <c r="G122">
        <v>4</v>
      </c>
      <c r="H122">
        <v>8</v>
      </c>
      <c r="I122">
        <v>8</v>
      </c>
      <c r="J122">
        <v>0</v>
      </c>
      <c r="K122">
        <v>800575</v>
      </c>
      <c r="L122">
        <v>1</v>
      </c>
      <c r="M122">
        <v>10</v>
      </c>
      <c r="N122" s="17">
        <v>800577</v>
      </c>
      <c r="O122">
        <v>1</v>
      </c>
      <c r="V122">
        <v>10</v>
      </c>
      <c r="W122" s="17">
        <v>800580</v>
      </c>
      <c r="X122">
        <v>1</v>
      </c>
      <c r="AA122" t="s">
        <v>202</v>
      </c>
      <c r="AB122">
        <v>4474</v>
      </c>
      <c r="AC122">
        <v>1109</v>
      </c>
      <c r="AD122">
        <v>20648</v>
      </c>
      <c r="AE122">
        <v>280</v>
      </c>
      <c r="AF122">
        <v>0</v>
      </c>
      <c r="AG122">
        <v>0</v>
      </c>
      <c r="AH122">
        <v>1</v>
      </c>
      <c r="AI122">
        <v>0</v>
      </c>
      <c r="AJ122">
        <v>1.5</v>
      </c>
      <c r="AK122">
        <v>0</v>
      </c>
      <c r="AL122">
        <v>0</v>
      </c>
      <c r="AM122">
        <v>0</v>
      </c>
      <c r="AO122">
        <v>0.5</v>
      </c>
    </row>
    <row r="123" spans="1:41">
      <c r="A123">
        <v>177</v>
      </c>
      <c r="B123" s="1">
        <v>113013</v>
      </c>
      <c r="C123" s="28" t="s">
        <v>201</v>
      </c>
      <c r="D123">
        <v>3</v>
      </c>
      <c r="E123">
        <v>7</v>
      </c>
      <c r="F123">
        <v>-1</v>
      </c>
      <c r="G123">
        <v>4</v>
      </c>
      <c r="H123">
        <v>12</v>
      </c>
      <c r="I123">
        <v>15</v>
      </c>
      <c r="J123">
        <v>0</v>
      </c>
      <c r="K123">
        <v>800575</v>
      </c>
      <c r="L123">
        <v>1</v>
      </c>
      <c r="M123">
        <v>10</v>
      </c>
      <c r="N123" s="17">
        <v>800578</v>
      </c>
      <c r="O123">
        <v>1</v>
      </c>
      <c r="V123">
        <v>10</v>
      </c>
      <c r="W123" s="17">
        <v>800581</v>
      </c>
      <c r="X123">
        <v>1</v>
      </c>
      <c r="AA123" t="s">
        <v>203</v>
      </c>
      <c r="AB123">
        <v>6391</v>
      </c>
      <c r="AC123">
        <v>1584</v>
      </c>
      <c r="AD123">
        <v>29498</v>
      </c>
      <c r="AE123">
        <v>280</v>
      </c>
      <c r="AF123">
        <v>0</v>
      </c>
      <c r="AG123">
        <v>0</v>
      </c>
      <c r="AH123">
        <v>1</v>
      </c>
      <c r="AI123">
        <v>0</v>
      </c>
      <c r="AJ123">
        <v>1.5</v>
      </c>
      <c r="AK123">
        <v>0</v>
      </c>
      <c r="AL123">
        <v>0</v>
      </c>
      <c r="AM123">
        <v>0</v>
      </c>
      <c r="AO123">
        <v>0.5</v>
      </c>
    </row>
    <row r="124" spans="1:41">
      <c r="A124">
        <v>178</v>
      </c>
      <c r="B124" s="1">
        <v>113014</v>
      </c>
      <c r="C124" s="28" t="s">
        <v>204</v>
      </c>
      <c r="D124">
        <v>1</v>
      </c>
      <c r="E124">
        <v>3</v>
      </c>
      <c r="F124">
        <v>179</v>
      </c>
      <c r="G124">
        <v>4</v>
      </c>
      <c r="H124">
        <v>4</v>
      </c>
      <c r="I124">
        <v>5</v>
      </c>
      <c r="J124">
        <v>0</v>
      </c>
      <c r="K124">
        <v>800585</v>
      </c>
      <c r="L124">
        <v>1</v>
      </c>
      <c r="M124">
        <v>10</v>
      </c>
      <c r="N124" s="17">
        <v>800586</v>
      </c>
      <c r="O124">
        <v>1</v>
      </c>
      <c r="P124">
        <v>10</v>
      </c>
      <c r="Q124" s="17">
        <v>800589</v>
      </c>
      <c r="R124">
        <v>1</v>
      </c>
      <c r="V124">
        <v>10</v>
      </c>
      <c r="W124" s="17">
        <v>800592</v>
      </c>
      <c r="X124">
        <v>1</v>
      </c>
      <c r="AB124">
        <v>3168</v>
      </c>
      <c r="AC124">
        <v>860</v>
      </c>
      <c r="AD124">
        <v>14339</v>
      </c>
      <c r="AE124">
        <v>279</v>
      </c>
      <c r="AF124">
        <v>0</v>
      </c>
      <c r="AG124">
        <v>0</v>
      </c>
      <c r="AH124">
        <v>1</v>
      </c>
      <c r="AI124">
        <v>0</v>
      </c>
      <c r="AJ124">
        <v>1.5</v>
      </c>
      <c r="AK124">
        <v>0</v>
      </c>
      <c r="AL124">
        <v>0</v>
      </c>
      <c r="AM124">
        <v>0</v>
      </c>
      <c r="AO124">
        <v>0.5</v>
      </c>
    </row>
    <row r="125" spans="1:41">
      <c r="A125">
        <v>179</v>
      </c>
      <c r="B125" s="1">
        <v>113014</v>
      </c>
      <c r="C125" s="28" t="s">
        <v>204</v>
      </c>
      <c r="D125">
        <v>2</v>
      </c>
      <c r="E125">
        <v>5</v>
      </c>
      <c r="F125">
        <v>180</v>
      </c>
      <c r="G125">
        <v>4</v>
      </c>
      <c r="H125">
        <v>8</v>
      </c>
      <c r="I125">
        <v>8</v>
      </c>
      <c r="J125">
        <v>0</v>
      </c>
      <c r="K125">
        <v>800585</v>
      </c>
      <c r="L125">
        <v>1</v>
      </c>
      <c r="M125">
        <v>10</v>
      </c>
      <c r="N125" s="17">
        <v>800587</v>
      </c>
      <c r="O125">
        <v>1</v>
      </c>
      <c r="P125">
        <v>10</v>
      </c>
      <c r="Q125" s="17">
        <v>800590</v>
      </c>
      <c r="R125">
        <v>1</v>
      </c>
      <c r="V125">
        <v>10</v>
      </c>
      <c r="W125" s="17">
        <v>800593</v>
      </c>
      <c r="X125">
        <v>1</v>
      </c>
      <c r="AA125" t="s">
        <v>205</v>
      </c>
      <c r="AB125">
        <v>4436</v>
      </c>
      <c r="AC125">
        <v>1204</v>
      </c>
      <c r="AD125">
        <v>20075</v>
      </c>
      <c r="AE125">
        <v>279</v>
      </c>
      <c r="AF125">
        <v>0</v>
      </c>
      <c r="AG125">
        <v>0</v>
      </c>
      <c r="AH125">
        <v>1</v>
      </c>
      <c r="AI125">
        <v>0</v>
      </c>
      <c r="AJ125">
        <v>1.5</v>
      </c>
      <c r="AK125">
        <v>0</v>
      </c>
      <c r="AL125">
        <v>0</v>
      </c>
      <c r="AM125">
        <v>0</v>
      </c>
      <c r="AO125">
        <v>0.5</v>
      </c>
    </row>
    <row r="126" spans="1:41">
      <c r="A126">
        <v>180</v>
      </c>
      <c r="B126" s="1">
        <v>113014</v>
      </c>
      <c r="C126" s="28" t="s">
        <v>204</v>
      </c>
      <c r="D126">
        <v>3</v>
      </c>
      <c r="E126">
        <v>7</v>
      </c>
      <c r="F126">
        <v>-1</v>
      </c>
      <c r="G126">
        <v>4</v>
      </c>
      <c r="H126">
        <v>12</v>
      </c>
      <c r="I126">
        <v>15</v>
      </c>
      <c r="J126">
        <v>0</v>
      </c>
      <c r="K126">
        <v>800585</v>
      </c>
      <c r="L126">
        <v>1</v>
      </c>
      <c r="M126">
        <v>10</v>
      </c>
      <c r="N126" s="17">
        <v>800588</v>
      </c>
      <c r="O126">
        <v>1</v>
      </c>
      <c r="P126">
        <v>10</v>
      </c>
      <c r="Q126" s="17">
        <v>800591</v>
      </c>
      <c r="R126">
        <v>1</v>
      </c>
      <c r="V126">
        <v>10</v>
      </c>
      <c r="W126" s="17">
        <v>800594</v>
      </c>
      <c r="X126">
        <v>1</v>
      </c>
      <c r="AA126" t="s">
        <v>205</v>
      </c>
      <c r="AB126">
        <v>6337</v>
      </c>
      <c r="AC126">
        <v>1721</v>
      </c>
      <c r="AD126">
        <v>28678</v>
      </c>
      <c r="AE126">
        <v>279</v>
      </c>
      <c r="AF126">
        <v>0</v>
      </c>
      <c r="AG126">
        <v>0</v>
      </c>
      <c r="AH126">
        <v>1</v>
      </c>
      <c r="AI126">
        <v>0</v>
      </c>
      <c r="AJ126">
        <v>1.5</v>
      </c>
      <c r="AK126">
        <v>0</v>
      </c>
      <c r="AL126">
        <v>0</v>
      </c>
      <c r="AM126">
        <v>0</v>
      </c>
      <c r="AO126">
        <v>0.5</v>
      </c>
    </row>
    <row r="127" spans="1:41">
      <c r="A127">
        <v>181</v>
      </c>
      <c r="B127" s="1">
        <v>113015</v>
      </c>
      <c r="C127" s="28" t="s">
        <v>206</v>
      </c>
      <c r="D127">
        <v>1</v>
      </c>
      <c r="E127">
        <v>3</v>
      </c>
      <c r="F127">
        <v>182</v>
      </c>
      <c r="G127">
        <v>4</v>
      </c>
      <c r="H127">
        <v>4</v>
      </c>
      <c r="I127">
        <v>5</v>
      </c>
      <c r="J127">
        <v>0</v>
      </c>
      <c r="K127">
        <v>800598</v>
      </c>
      <c r="L127">
        <v>1</v>
      </c>
      <c r="M127">
        <v>10</v>
      </c>
      <c r="N127" s="17">
        <v>800599</v>
      </c>
      <c r="O127">
        <v>1</v>
      </c>
      <c r="P127">
        <v>10</v>
      </c>
      <c r="Q127" s="17">
        <v>800602</v>
      </c>
      <c r="R127">
        <v>1</v>
      </c>
      <c r="V127">
        <v>10</v>
      </c>
      <c r="W127" s="17">
        <v>800605</v>
      </c>
      <c r="X127">
        <v>1</v>
      </c>
      <c r="AB127">
        <v>2485</v>
      </c>
      <c r="AC127">
        <v>1174</v>
      </c>
      <c r="AD127">
        <v>18026</v>
      </c>
      <c r="AE127">
        <v>241</v>
      </c>
      <c r="AF127">
        <v>0</v>
      </c>
      <c r="AG127">
        <v>0</v>
      </c>
      <c r="AH127">
        <v>1</v>
      </c>
      <c r="AI127">
        <v>0</v>
      </c>
      <c r="AJ127">
        <v>1.5</v>
      </c>
      <c r="AK127">
        <v>0</v>
      </c>
      <c r="AL127">
        <v>0</v>
      </c>
      <c r="AM127">
        <v>0</v>
      </c>
      <c r="AO127">
        <v>0.5</v>
      </c>
    </row>
    <row r="128" spans="1:41">
      <c r="A128">
        <v>182</v>
      </c>
      <c r="B128" s="1">
        <v>113015</v>
      </c>
      <c r="C128" s="28" t="s">
        <v>206</v>
      </c>
      <c r="D128">
        <v>2</v>
      </c>
      <c r="E128">
        <v>5</v>
      </c>
      <c r="F128">
        <v>183</v>
      </c>
      <c r="G128">
        <v>4</v>
      </c>
      <c r="H128">
        <v>8</v>
      </c>
      <c r="I128">
        <v>8</v>
      </c>
      <c r="J128">
        <v>0</v>
      </c>
      <c r="K128">
        <v>800598</v>
      </c>
      <c r="L128">
        <v>1</v>
      </c>
      <c r="M128">
        <v>10</v>
      </c>
      <c r="N128" s="17">
        <v>800600</v>
      </c>
      <c r="O128">
        <v>1</v>
      </c>
      <c r="P128">
        <v>10</v>
      </c>
      <c r="Q128" s="17">
        <v>800603</v>
      </c>
      <c r="R128">
        <v>1</v>
      </c>
      <c r="V128">
        <v>10</v>
      </c>
      <c r="W128" s="17">
        <v>800606</v>
      </c>
      <c r="X128">
        <v>1</v>
      </c>
      <c r="AB128">
        <v>3480</v>
      </c>
      <c r="AC128">
        <v>1644</v>
      </c>
      <c r="AD128">
        <v>25237</v>
      </c>
      <c r="AE128">
        <v>241</v>
      </c>
      <c r="AF128">
        <v>0</v>
      </c>
      <c r="AG128">
        <v>0</v>
      </c>
      <c r="AH128">
        <v>1</v>
      </c>
      <c r="AI128">
        <v>0</v>
      </c>
      <c r="AJ128">
        <v>1.5</v>
      </c>
      <c r="AK128">
        <v>0</v>
      </c>
      <c r="AL128">
        <v>0</v>
      </c>
      <c r="AM128">
        <v>0</v>
      </c>
      <c r="AO128">
        <v>0.5</v>
      </c>
    </row>
    <row r="129" spans="1:41">
      <c r="A129">
        <v>183</v>
      </c>
      <c r="B129" s="1">
        <v>113015</v>
      </c>
      <c r="C129" s="28" t="s">
        <v>206</v>
      </c>
      <c r="D129">
        <v>3</v>
      </c>
      <c r="E129">
        <v>7</v>
      </c>
      <c r="F129">
        <v>-1</v>
      </c>
      <c r="G129">
        <v>4</v>
      </c>
      <c r="H129">
        <v>12</v>
      </c>
      <c r="I129">
        <v>15</v>
      </c>
      <c r="J129">
        <v>0</v>
      </c>
      <c r="K129">
        <v>800598</v>
      </c>
      <c r="L129">
        <v>1</v>
      </c>
      <c r="M129">
        <v>10</v>
      </c>
      <c r="N129" s="17">
        <v>800601</v>
      </c>
      <c r="O129">
        <v>1</v>
      </c>
      <c r="P129">
        <v>10</v>
      </c>
      <c r="Q129" s="17">
        <v>800604</v>
      </c>
      <c r="R129">
        <v>1</v>
      </c>
      <c r="V129">
        <v>10</v>
      </c>
      <c r="W129" s="17">
        <v>800607</v>
      </c>
      <c r="X129">
        <v>1</v>
      </c>
      <c r="AB129">
        <v>4971</v>
      </c>
      <c r="AC129">
        <v>2349</v>
      </c>
      <c r="AD129">
        <v>36053</v>
      </c>
      <c r="AE129">
        <v>241</v>
      </c>
      <c r="AF129">
        <v>0</v>
      </c>
      <c r="AG129">
        <v>0</v>
      </c>
      <c r="AH129">
        <v>1</v>
      </c>
      <c r="AI129">
        <v>0</v>
      </c>
      <c r="AJ129">
        <v>1.5</v>
      </c>
      <c r="AK129">
        <v>0</v>
      </c>
      <c r="AL129">
        <v>0</v>
      </c>
      <c r="AM129">
        <v>0</v>
      </c>
      <c r="AO129">
        <v>0.5</v>
      </c>
    </row>
    <row r="130" spans="1:41">
      <c r="A130">
        <v>184</v>
      </c>
      <c r="B130" s="1">
        <v>113016</v>
      </c>
      <c r="C130" s="27" t="s">
        <v>207</v>
      </c>
      <c r="D130">
        <v>1</v>
      </c>
      <c r="E130">
        <v>5</v>
      </c>
      <c r="F130">
        <v>185</v>
      </c>
      <c r="G130">
        <v>5</v>
      </c>
      <c r="H130">
        <v>5</v>
      </c>
      <c r="I130">
        <v>6</v>
      </c>
      <c r="J130">
        <v>0</v>
      </c>
      <c r="K130">
        <v>800611</v>
      </c>
      <c r="L130">
        <v>1</v>
      </c>
      <c r="M130">
        <v>10</v>
      </c>
      <c r="N130" s="17">
        <v>800612</v>
      </c>
      <c r="O130">
        <v>1</v>
      </c>
      <c r="V130">
        <v>10</v>
      </c>
      <c r="W130" s="17">
        <v>800618</v>
      </c>
      <c r="X130">
        <v>1</v>
      </c>
      <c r="AA130" t="s">
        <v>208</v>
      </c>
      <c r="AB130">
        <v>3450</v>
      </c>
      <c r="AC130">
        <v>863</v>
      </c>
      <c r="AD130">
        <v>14375</v>
      </c>
      <c r="AE130">
        <v>374</v>
      </c>
      <c r="AF130">
        <v>0</v>
      </c>
      <c r="AG130">
        <v>0</v>
      </c>
      <c r="AH130">
        <v>1</v>
      </c>
      <c r="AI130">
        <v>0</v>
      </c>
      <c r="AJ130">
        <v>1.5</v>
      </c>
      <c r="AK130">
        <v>0</v>
      </c>
      <c r="AL130">
        <v>0</v>
      </c>
      <c r="AM130">
        <v>0</v>
      </c>
      <c r="AO130">
        <v>0.5</v>
      </c>
    </row>
    <row r="131" spans="1:41">
      <c r="A131">
        <v>185</v>
      </c>
      <c r="B131" s="1">
        <v>113016</v>
      </c>
      <c r="C131" s="27" t="s">
        <v>207</v>
      </c>
      <c r="D131">
        <v>2</v>
      </c>
      <c r="E131">
        <v>7</v>
      </c>
      <c r="F131">
        <v>186</v>
      </c>
      <c r="G131">
        <v>5</v>
      </c>
      <c r="H131">
        <v>10</v>
      </c>
      <c r="I131">
        <v>12</v>
      </c>
      <c r="J131">
        <v>0</v>
      </c>
      <c r="K131">
        <v>800611</v>
      </c>
      <c r="L131">
        <v>1</v>
      </c>
      <c r="M131">
        <v>10</v>
      </c>
      <c r="N131" s="17">
        <v>800613</v>
      </c>
      <c r="O131">
        <v>1</v>
      </c>
      <c r="P131">
        <v>10</v>
      </c>
      <c r="Q131" s="17">
        <v>800616</v>
      </c>
      <c r="R131">
        <v>1</v>
      </c>
      <c r="V131">
        <v>10</v>
      </c>
      <c r="W131" s="17">
        <v>800619</v>
      </c>
      <c r="X131">
        <v>1</v>
      </c>
      <c r="AA131" t="s">
        <v>209</v>
      </c>
      <c r="AB131">
        <v>4830</v>
      </c>
      <c r="AC131">
        <v>1208</v>
      </c>
      <c r="AD131">
        <v>20125</v>
      </c>
      <c r="AE131">
        <v>374</v>
      </c>
      <c r="AF131">
        <v>0</v>
      </c>
      <c r="AG131">
        <v>0</v>
      </c>
      <c r="AH131">
        <v>1</v>
      </c>
      <c r="AI131">
        <v>0</v>
      </c>
      <c r="AJ131">
        <v>1.5</v>
      </c>
      <c r="AK131">
        <v>0</v>
      </c>
      <c r="AL131">
        <v>0</v>
      </c>
      <c r="AM131">
        <v>0</v>
      </c>
      <c r="AO131">
        <v>0.5</v>
      </c>
    </row>
    <row r="132" spans="1:41">
      <c r="A132">
        <v>186</v>
      </c>
      <c r="B132" s="1">
        <v>113016</v>
      </c>
      <c r="C132" s="27" t="s">
        <v>207</v>
      </c>
      <c r="D132">
        <v>3</v>
      </c>
      <c r="E132">
        <v>9</v>
      </c>
      <c r="F132">
        <v>-1</v>
      </c>
      <c r="G132">
        <v>5</v>
      </c>
      <c r="H132">
        <v>15</v>
      </c>
      <c r="I132">
        <v>20</v>
      </c>
      <c r="J132">
        <v>0</v>
      </c>
      <c r="K132">
        <v>800611</v>
      </c>
      <c r="L132">
        <v>1</v>
      </c>
      <c r="M132">
        <v>10</v>
      </c>
      <c r="N132" s="17">
        <v>800614</v>
      </c>
      <c r="O132">
        <v>1</v>
      </c>
      <c r="P132">
        <v>10</v>
      </c>
      <c r="Q132" s="17">
        <v>800617</v>
      </c>
      <c r="R132">
        <v>1</v>
      </c>
      <c r="V132">
        <v>10</v>
      </c>
      <c r="W132" s="17">
        <v>800620</v>
      </c>
      <c r="X132">
        <v>1</v>
      </c>
      <c r="AA132" t="s">
        <v>210</v>
      </c>
      <c r="AB132">
        <v>6900</v>
      </c>
      <c r="AC132">
        <v>1725</v>
      </c>
      <c r="AD132">
        <v>28750</v>
      </c>
      <c r="AE132">
        <v>374</v>
      </c>
      <c r="AF132">
        <v>0</v>
      </c>
      <c r="AG132">
        <v>0</v>
      </c>
      <c r="AH132">
        <v>1</v>
      </c>
      <c r="AI132">
        <v>0</v>
      </c>
      <c r="AJ132">
        <v>1.5</v>
      </c>
      <c r="AK132">
        <v>0</v>
      </c>
      <c r="AL132">
        <v>0</v>
      </c>
      <c r="AM132">
        <v>0</v>
      </c>
      <c r="AO132">
        <v>0.5</v>
      </c>
    </row>
    <row r="133" spans="1:41">
      <c r="A133">
        <v>187</v>
      </c>
      <c r="B133" s="1">
        <v>113017</v>
      </c>
      <c r="C133" s="27" t="s">
        <v>211</v>
      </c>
      <c r="D133">
        <v>1</v>
      </c>
      <c r="E133">
        <v>5</v>
      </c>
      <c r="F133">
        <v>188</v>
      </c>
      <c r="G133">
        <v>5</v>
      </c>
      <c r="H133">
        <v>5</v>
      </c>
      <c r="I133">
        <v>6</v>
      </c>
      <c r="J133">
        <v>0</v>
      </c>
      <c r="K133">
        <v>800624</v>
      </c>
      <c r="L133">
        <v>1</v>
      </c>
      <c r="M133">
        <v>10</v>
      </c>
      <c r="N133" s="17">
        <v>800625</v>
      </c>
      <c r="O133">
        <v>1</v>
      </c>
      <c r="V133">
        <v>10</v>
      </c>
      <c r="W133" s="17">
        <v>800628</v>
      </c>
      <c r="X133">
        <v>1</v>
      </c>
      <c r="Z133" s="1" t="s">
        <v>212</v>
      </c>
      <c r="AA133" t="s">
        <v>213</v>
      </c>
      <c r="AB133">
        <v>2243</v>
      </c>
      <c r="AC133">
        <v>1351</v>
      </c>
      <c r="AD133">
        <v>21563</v>
      </c>
      <c r="AE133">
        <v>230</v>
      </c>
      <c r="AF133">
        <v>0</v>
      </c>
      <c r="AG133">
        <v>0</v>
      </c>
      <c r="AH133">
        <v>1</v>
      </c>
      <c r="AI133">
        <v>0</v>
      </c>
      <c r="AJ133">
        <v>1.5</v>
      </c>
      <c r="AK133">
        <v>0</v>
      </c>
      <c r="AL133">
        <v>0</v>
      </c>
      <c r="AM133">
        <v>0</v>
      </c>
      <c r="AO133">
        <v>0.5</v>
      </c>
    </row>
    <row r="134" spans="1:41">
      <c r="A134">
        <v>188</v>
      </c>
      <c r="B134" s="1">
        <v>113017</v>
      </c>
      <c r="C134" s="27" t="s">
        <v>211</v>
      </c>
      <c r="D134">
        <v>2</v>
      </c>
      <c r="E134">
        <v>7</v>
      </c>
      <c r="F134">
        <v>189</v>
      </c>
      <c r="G134">
        <v>5</v>
      </c>
      <c r="H134">
        <v>10</v>
      </c>
      <c r="I134">
        <v>12</v>
      </c>
      <c r="J134">
        <v>0</v>
      </c>
      <c r="K134">
        <v>800624</v>
      </c>
      <c r="L134">
        <v>1</v>
      </c>
      <c r="M134">
        <v>10</v>
      </c>
      <c r="N134" s="17">
        <v>800626</v>
      </c>
      <c r="O134">
        <v>1</v>
      </c>
      <c r="V134">
        <v>10</v>
      </c>
      <c r="W134" s="17">
        <v>800629</v>
      </c>
      <c r="X134">
        <v>1</v>
      </c>
      <c r="Z134" s="1" t="s">
        <v>214</v>
      </c>
      <c r="AA134" t="s">
        <v>215</v>
      </c>
      <c r="AB134">
        <v>3140</v>
      </c>
      <c r="AC134">
        <v>1892</v>
      </c>
      <c r="AD134">
        <v>30188</v>
      </c>
      <c r="AE134">
        <v>230</v>
      </c>
      <c r="AF134">
        <v>0</v>
      </c>
      <c r="AG134">
        <v>0</v>
      </c>
      <c r="AH134">
        <v>1</v>
      </c>
      <c r="AI134">
        <v>0</v>
      </c>
      <c r="AJ134">
        <v>1.5</v>
      </c>
      <c r="AK134">
        <v>0</v>
      </c>
      <c r="AL134">
        <v>0</v>
      </c>
      <c r="AM134">
        <v>0</v>
      </c>
      <c r="AO134">
        <v>0.5</v>
      </c>
    </row>
    <row r="135" spans="1:41">
      <c r="A135">
        <v>189</v>
      </c>
      <c r="B135" s="1">
        <v>113017</v>
      </c>
      <c r="C135" s="27" t="s">
        <v>211</v>
      </c>
      <c r="D135">
        <v>3</v>
      </c>
      <c r="E135">
        <v>9</v>
      </c>
      <c r="F135">
        <v>-1</v>
      </c>
      <c r="G135">
        <v>5</v>
      </c>
      <c r="H135">
        <v>15</v>
      </c>
      <c r="I135">
        <v>20</v>
      </c>
      <c r="J135">
        <v>0</v>
      </c>
      <c r="K135">
        <v>800624</v>
      </c>
      <c r="L135">
        <v>1</v>
      </c>
      <c r="M135">
        <v>10</v>
      </c>
      <c r="N135" s="17">
        <v>800627</v>
      </c>
      <c r="O135">
        <v>1</v>
      </c>
      <c r="V135">
        <v>10</v>
      </c>
      <c r="W135" s="17">
        <v>800630</v>
      </c>
      <c r="X135">
        <v>1</v>
      </c>
      <c r="Z135" s="1" t="s">
        <v>216</v>
      </c>
      <c r="AA135" t="s">
        <v>217</v>
      </c>
      <c r="AB135">
        <v>4485</v>
      </c>
      <c r="AC135">
        <v>2703</v>
      </c>
      <c r="AD135">
        <v>43125</v>
      </c>
      <c r="AE135">
        <v>230</v>
      </c>
      <c r="AF135">
        <v>0</v>
      </c>
      <c r="AG135">
        <v>0</v>
      </c>
      <c r="AH135">
        <v>1</v>
      </c>
      <c r="AI135">
        <v>0</v>
      </c>
      <c r="AJ135">
        <v>1.5</v>
      </c>
      <c r="AK135">
        <v>0</v>
      </c>
      <c r="AL135">
        <v>0</v>
      </c>
      <c r="AM135">
        <v>0</v>
      </c>
      <c r="AO135">
        <v>0.5</v>
      </c>
    </row>
    <row r="136" spans="1:41">
      <c r="A136">
        <v>190</v>
      </c>
      <c r="B136" s="1">
        <v>113018</v>
      </c>
      <c r="C136" s="27" t="s">
        <v>218</v>
      </c>
      <c r="D136">
        <v>1</v>
      </c>
      <c r="E136">
        <v>5</v>
      </c>
      <c r="F136">
        <v>191</v>
      </c>
      <c r="G136">
        <v>5</v>
      </c>
      <c r="H136">
        <v>5</v>
      </c>
      <c r="I136">
        <v>6</v>
      </c>
      <c r="J136">
        <v>0</v>
      </c>
      <c r="K136">
        <v>800641</v>
      </c>
      <c r="L136">
        <v>1</v>
      </c>
      <c r="M136">
        <v>10</v>
      </c>
      <c r="N136" s="17">
        <v>800642</v>
      </c>
      <c r="O136">
        <v>1</v>
      </c>
      <c r="V136">
        <v>10</v>
      </c>
      <c r="W136" s="17">
        <v>800645</v>
      </c>
      <c r="X136">
        <v>1</v>
      </c>
      <c r="AB136">
        <v>2731</v>
      </c>
      <c r="AC136">
        <v>1294</v>
      </c>
      <c r="AD136">
        <v>17250</v>
      </c>
      <c r="AE136">
        <v>318</v>
      </c>
      <c r="AF136">
        <v>0</v>
      </c>
      <c r="AG136">
        <v>0</v>
      </c>
      <c r="AH136">
        <v>1</v>
      </c>
      <c r="AI136">
        <v>0</v>
      </c>
      <c r="AJ136">
        <v>1.5</v>
      </c>
      <c r="AK136">
        <v>0</v>
      </c>
      <c r="AL136">
        <v>0</v>
      </c>
      <c r="AM136">
        <v>0</v>
      </c>
      <c r="AO136">
        <v>0.5</v>
      </c>
    </row>
    <row r="137" spans="1:41">
      <c r="A137">
        <v>191</v>
      </c>
      <c r="B137" s="1">
        <v>113018</v>
      </c>
      <c r="C137" s="27" t="s">
        <v>218</v>
      </c>
      <c r="D137">
        <v>2</v>
      </c>
      <c r="E137">
        <v>7</v>
      </c>
      <c r="F137">
        <v>192</v>
      </c>
      <c r="G137">
        <v>5</v>
      </c>
      <c r="H137">
        <v>10</v>
      </c>
      <c r="I137">
        <v>12</v>
      </c>
      <c r="J137">
        <v>0</v>
      </c>
      <c r="K137">
        <v>800641</v>
      </c>
      <c r="L137">
        <v>1</v>
      </c>
      <c r="M137">
        <v>10</v>
      </c>
      <c r="N137" s="17">
        <v>800643</v>
      </c>
      <c r="O137">
        <v>1</v>
      </c>
      <c r="V137">
        <v>10</v>
      </c>
      <c r="W137" s="17">
        <v>800646</v>
      </c>
      <c r="X137">
        <v>1</v>
      </c>
      <c r="AA137" t="s">
        <v>219</v>
      </c>
      <c r="AB137">
        <v>3824</v>
      </c>
      <c r="AC137">
        <v>1811</v>
      </c>
      <c r="AD137">
        <v>24150</v>
      </c>
      <c r="AE137">
        <v>318</v>
      </c>
      <c r="AF137">
        <v>0</v>
      </c>
      <c r="AG137">
        <v>0</v>
      </c>
      <c r="AH137">
        <v>1</v>
      </c>
      <c r="AI137">
        <v>0</v>
      </c>
      <c r="AJ137">
        <v>1.5</v>
      </c>
      <c r="AK137">
        <v>0</v>
      </c>
      <c r="AL137">
        <v>0</v>
      </c>
      <c r="AM137">
        <v>0</v>
      </c>
      <c r="AO137">
        <v>0.5</v>
      </c>
    </row>
    <row r="138" spans="1:41">
      <c r="A138">
        <v>192</v>
      </c>
      <c r="B138" s="1">
        <v>113018</v>
      </c>
      <c r="C138" s="27" t="s">
        <v>218</v>
      </c>
      <c r="D138">
        <v>3</v>
      </c>
      <c r="E138">
        <v>9</v>
      </c>
      <c r="F138">
        <v>-1</v>
      </c>
      <c r="G138">
        <v>5</v>
      </c>
      <c r="H138">
        <v>15</v>
      </c>
      <c r="I138">
        <v>20</v>
      </c>
      <c r="J138">
        <v>0</v>
      </c>
      <c r="K138">
        <v>800641</v>
      </c>
      <c r="L138">
        <v>1</v>
      </c>
      <c r="M138">
        <v>10</v>
      </c>
      <c r="N138" s="17">
        <v>800644</v>
      </c>
      <c r="O138">
        <v>1</v>
      </c>
      <c r="V138">
        <v>10</v>
      </c>
      <c r="W138" s="17">
        <v>800647</v>
      </c>
      <c r="X138">
        <v>1</v>
      </c>
      <c r="AA138" t="s">
        <v>220</v>
      </c>
      <c r="AB138">
        <v>5463</v>
      </c>
      <c r="AC138">
        <v>2588</v>
      </c>
      <c r="AD138">
        <v>34500</v>
      </c>
      <c r="AE138">
        <v>318</v>
      </c>
      <c r="AF138">
        <v>0</v>
      </c>
      <c r="AG138">
        <v>0</v>
      </c>
      <c r="AH138">
        <v>1</v>
      </c>
      <c r="AI138">
        <v>0</v>
      </c>
      <c r="AJ138">
        <v>1.5</v>
      </c>
      <c r="AK138">
        <v>0</v>
      </c>
      <c r="AL138">
        <v>0</v>
      </c>
      <c r="AM138">
        <v>0</v>
      </c>
      <c r="AO138">
        <v>0.5</v>
      </c>
    </row>
    <row r="139" spans="1:41">
      <c r="A139">
        <v>193</v>
      </c>
      <c r="B139" s="1">
        <v>113022</v>
      </c>
      <c r="C139" s="5" t="s">
        <v>221</v>
      </c>
      <c r="D139">
        <v>1</v>
      </c>
      <c r="E139">
        <v>5</v>
      </c>
      <c r="F139">
        <v>194</v>
      </c>
      <c r="G139">
        <v>4</v>
      </c>
      <c r="H139">
        <v>4</v>
      </c>
      <c r="I139">
        <v>5</v>
      </c>
      <c r="J139">
        <v>0</v>
      </c>
      <c r="K139">
        <v>800728</v>
      </c>
      <c r="L139">
        <v>1</v>
      </c>
      <c r="M139">
        <v>10</v>
      </c>
      <c r="N139" s="17">
        <v>800729</v>
      </c>
      <c r="O139">
        <v>1</v>
      </c>
      <c r="V139">
        <v>10</v>
      </c>
      <c r="W139" s="17">
        <v>800732</v>
      </c>
      <c r="X139">
        <v>1</v>
      </c>
      <c r="Z139" t="s">
        <v>222</v>
      </c>
      <c r="AA139" s="37" t="s">
        <v>223</v>
      </c>
      <c r="AB139">
        <v>3864</v>
      </c>
      <c r="AC139">
        <v>846</v>
      </c>
      <c r="AD139">
        <v>13110</v>
      </c>
      <c r="AE139">
        <v>380</v>
      </c>
      <c r="AF139">
        <v>0</v>
      </c>
      <c r="AG139">
        <v>0</v>
      </c>
      <c r="AH139">
        <v>1</v>
      </c>
      <c r="AI139">
        <v>0</v>
      </c>
      <c r="AJ139">
        <v>1.5</v>
      </c>
      <c r="AK139">
        <v>0</v>
      </c>
      <c r="AL139">
        <v>0</v>
      </c>
      <c r="AM139">
        <v>0</v>
      </c>
      <c r="AO139">
        <v>0.5</v>
      </c>
    </row>
    <row r="140" spans="1:41">
      <c r="A140">
        <v>194</v>
      </c>
      <c r="B140" s="1">
        <v>113022</v>
      </c>
      <c r="C140" s="5" t="s">
        <v>221</v>
      </c>
      <c r="D140">
        <v>2</v>
      </c>
      <c r="E140">
        <v>7</v>
      </c>
      <c r="F140">
        <v>195</v>
      </c>
      <c r="G140">
        <v>4</v>
      </c>
      <c r="H140">
        <v>8</v>
      </c>
      <c r="I140">
        <v>8</v>
      </c>
      <c r="J140">
        <v>0</v>
      </c>
      <c r="K140">
        <v>800728</v>
      </c>
      <c r="L140">
        <v>1</v>
      </c>
      <c r="M140">
        <v>10</v>
      </c>
      <c r="N140" s="17">
        <v>800730</v>
      </c>
      <c r="O140">
        <v>1</v>
      </c>
      <c r="Q140" s="17"/>
      <c r="V140">
        <v>10</v>
      </c>
      <c r="W140" s="17">
        <v>800733</v>
      </c>
      <c r="X140">
        <v>1</v>
      </c>
      <c r="Z140" t="s">
        <v>224</v>
      </c>
      <c r="AA140" t="s">
        <v>225</v>
      </c>
      <c r="AB140">
        <v>5395</v>
      </c>
      <c r="AC140">
        <v>1185</v>
      </c>
      <c r="AD140">
        <v>18354</v>
      </c>
      <c r="AE140">
        <v>380</v>
      </c>
      <c r="AF140">
        <v>0</v>
      </c>
      <c r="AG140">
        <v>0</v>
      </c>
      <c r="AH140">
        <v>1</v>
      </c>
      <c r="AI140">
        <v>0</v>
      </c>
      <c r="AJ140">
        <v>1.5</v>
      </c>
      <c r="AK140">
        <v>0</v>
      </c>
      <c r="AL140">
        <v>0</v>
      </c>
      <c r="AM140">
        <v>0</v>
      </c>
      <c r="AO140">
        <v>0.5</v>
      </c>
    </row>
    <row r="141" spans="1:41">
      <c r="A141">
        <v>195</v>
      </c>
      <c r="B141" s="1">
        <v>113022</v>
      </c>
      <c r="C141" s="5" t="s">
        <v>221</v>
      </c>
      <c r="D141">
        <v>3</v>
      </c>
      <c r="E141">
        <v>9</v>
      </c>
      <c r="F141">
        <v>-1</v>
      </c>
      <c r="G141">
        <v>4</v>
      </c>
      <c r="H141">
        <v>12</v>
      </c>
      <c r="I141">
        <v>15</v>
      </c>
      <c r="J141">
        <v>0</v>
      </c>
      <c r="K141">
        <v>800728</v>
      </c>
      <c r="L141">
        <v>1</v>
      </c>
      <c r="M141">
        <v>10</v>
      </c>
      <c r="N141" s="17">
        <v>800731</v>
      </c>
      <c r="O141">
        <v>1</v>
      </c>
      <c r="Q141" s="17"/>
      <c r="V141">
        <v>10</v>
      </c>
      <c r="W141" s="17">
        <v>800734</v>
      </c>
      <c r="X141">
        <v>1</v>
      </c>
      <c r="Z141" t="s">
        <v>226</v>
      </c>
      <c r="AA141" t="s">
        <v>227</v>
      </c>
      <c r="AB141">
        <v>6304</v>
      </c>
      <c r="AC141">
        <v>1693</v>
      </c>
      <c r="AD141">
        <v>26220</v>
      </c>
      <c r="AE141">
        <v>380</v>
      </c>
      <c r="AF141">
        <v>0</v>
      </c>
      <c r="AG141">
        <v>0</v>
      </c>
      <c r="AH141">
        <v>1</v>
      </c>
      <c r="AI141">
        <v>0</v>
      </c>
      <c r="AJ141">
        <v>1.5</v>
      </c>
      <c r="AK141">
        <v>0</v>
      </c>
      <c r="AL141">
        <v>0</v>
      </c>
      <c r="AM141">
        <v>0</v>
      </c>
      <c r="AO141">
        <v>0.5</v>
      </c>
    </row>
    <row r="142" spans="1:41">
      <c r="A142">
        <v>196</v>
      </c>
      <c r="B142" s="1">
        <v>113008</v>
      </c>
      <c r="C142" s="30" t="s">
        <v>228</v>
      </c>
      <c r="D142">
        <v>1</v>
      </c>
      <c r="E142">
        <v>2</v>
      </c>
      <c r="F142">
        <v>197</v>
      </c>
      <c r="G142">
        <v>2</v>
      </c>
      <c r="H142">
        <v>2</v>
      </c>
      <c r="I142">
        <v>3</v>
      </c>
      <c r="J142">
        <v>0</v>
      </c>
      <c r="K142">
        <v>800702</v>
      </c>
      <c r="L142">
        <v>1</v>
      </c>
      <c r="M142">
        <v>10</v>
      </c>
      <c r="N142" s="17">
        <v>800703</v>
      </c>
      <c r="O142">
        <v>1</v>
      </c>
      <c r="V142">
        <v>10</v>
      </c>
      <c r="W142" s="17">
        <v>800706</v>
      </c>
      <c r="X142">
        <v>1</v>
      </c>
      <c r="Z142" s="1"/>
      <c r="AB142">
        <v>3169</v>
      </c>
      <c r="AC142">
        <v>879</v>
      </c>
      <c r="AD142">
        <v>12096</v>
      </c>
      <c r="AE142">
        <v>320</v>
      </c>
      <c r="AF142">
        <v>0</v>
      </c>
      <c r="AG142">
        <v>0</v>
      </c>
      <c r="AH142">
        <v>1</v>
      </c>
      <c r="AI142">
        <v>0</v>
      </c>
      <c r="AJ142">
        <v>1.5</v>
      </c>
      <c r="AK142">
        <v>0</v>
      </c>
      <c r="AL142">
        <v>0</v>
      </c>
      <c r="AM142">
        <v>0</v>
      </c>
      <c r="AO142">
        <v>0.5</v>
      </c>
    </row>
    <row r="143" spans="1:41">
      <c r="A143">
        <v>197</v>
      </c>
      <c r="B143" s="1">
        <v>113008</v>
      </c>
      <c r="C143" s="30" t="s">
        <v>228</v>
      </c>
      <c r="D143">
        <v>2</v>
      </c>
      <c r="E143">
        <v>4</v>
      </c>
      <c r="F143">
        <v>198</v>
      </c>
      <c r="G143">
        <v>2</v>
      </c>
      <c r="H143">
        <v>4</v>
      </c>
      <c r="I143">
        <v>4</v>
      </c>
      <c r="J143">
        <v>0</v>
      </c>
      <c r="K143">
        <v>800702</v>
      </c>
      <c r="L143">
        <v>1</v>
      </c>
      <c r="M143">
        <v>10</v>
      </c>
      <c r="N143" s="17">
        <v>800704</v>
      </c>
      <c r="O143">
        <v>1</v>
      </c>
      <c r="V143">
        <v>10</v>
      </c>
      <c r="W143" s="17">
        <v>800707</v>
      </c>
      <c r="X143">
        <v>1</v>
      </c>
      <c r="Z143" s="1"/>
      <c r="AB143">
        <v>3899</v>
      </c>
      <c r="AC143">
        <v>1231</v>
      </c>
      <c r="AD143">
        <v>16935</v>
      </c>
      <c r="AE143">
        <v>320</v>
      </c>
      <c r="AF143">
        <v>0</v>
      </c>
      <c r="AG143">
        <v>0</v>
      </c>
      <c r="AH143">
        <v>1</v>
      </c>
      <c r="AI143">
        <v>0</v>
      </c>
      <c r="AJ143">
        <v>1.5</v>
      </c>
      <c r="AK143">
        <v>0</v>
      </c>
      <c r="AL143">
        <v>0</v>
      </c>
      <c r="AM143">
        <v>0</v>
      </c>
      <c r="AO143">
        <v>0.5</v>
      </c>
    </row>
    <row r="144" spans="1:41">
      <c r="A144">
        <v>198</v>
      </c>
      <c r="B144" s="1">
        <v>113008</v>
      </c>
      <c r="C144" s="30" t="s">
        <v>228</v>
      </c>
      <c r="D144">
        <v>3</v>
      </c>
      <c r="E144">
        <v>6</v>
      </c>
      <c r="F144">
        <v>-1</v>
      </c>
      <c r="G144">
        <v>2</v>
      </c>
      <c r="H144">
        <v>6</v>
      </c>
      <c r="I144">
        <v>8</v>
      </c>
      <c r="J144">
        <v>0</v>
      </c>
      <c r="K144">
        <v>800702</v>
      </c>
      <c r="L144">
        <v>1</v>
      </c>
      <c r="M144">
        <v>10</v>
      </c>
      <c r="N144" s="17">
        <v>800705</v>
      </c>
      <c r="O144">
        <v>1</v>
      </c>
      <c r="V144">
        <v>10</v>
      </c>
      <c r="W144" s="17">
        <v>800708</v>
      </c>
      <c r="X144">
        <v>1</v>
      </c>
      <c r="Z144" s="1"/>
      <c r="AA144" t="s">
        <v>229</v>
      </c>
      <c r="AB144">
        <v>5598</v>
      </c>
      <c r="AC144">
        <v>1759</v>
      </c>
      <c r="AD144">
        <v>24193</v>
      </c>
      <c r="AE144">
        <v>320</v>
      </c>
      <c r="AF144">
        <v>0</v>
      </c>
      <c r="AG144">
        <v>0</v>
      </c>
      <c r="AH144">
        <v>1</v>
      </c>
      <c r="AI144">
        <v>0</v>
      </c>
      <c r="AJ144">
        <v>1.5</v>
      </c>
      <c r="AK144">
        <v>0</v>
      </c>
      <c r="AL144">
        <v>0</v>
      </c>
      <c r="AM144">
        <v>0</v>
      </c>
      <c r="AO144">
        <v>0.5</v>
      </c>
    </row>
    <row r="145" spans="1:41">
      <c r="A145">
        <v>199</v>
      </c>
      <c r="B145" s="1">
        <v>113021</v>
      </c>
      <c r="C145" s="4" t="s">
        <v>230</v>
      </c>
      <c r="D145">
        <v>1</v>
      </c>
      <c r="E145">
        <v>5</v>
      </c>
      <c r="F145">
        <v>200</v>
      </c>
      <c r="G145">
        <v>5</v>
      </c>
      <c r="H145">
        <v>5</v>
      </c>
      <c r="I145">
        <v>6</v>
      </c>
      <c r="J145">
        <v>0</v>
      </c>
      <c r="K145">
        <v>800715</v>
      </c>
      <c r="L145">
        <v>1</v>
      </c>
      <c r="M145">
        <v>10</v>
      </c>
      <c r="N145" s="17">
        <v>800716</v>
      </c>
      <c r="O145">
        <v>1</v>
      </c>
      <c r="V145">
        <v>10</v>
      </c>
      <c r="W145" s="17">
        <v>800719</v>
      </c>
      <c r="X145">
        <v>1</v>
      </c>
      <c r="AB145">
        <v>4749</v>
      </c>
      <c r="AC145">
        <v>1138</v>
      </c>
      <c r="AD145">
        <v>19777</v>
      </c>
      <c r="AE145">
        <v>320</v>
      </c>
      <c r="AF145">
        <v>0</v>
      </c>
      <c r="AG145">
        <v>0</v>
      </c>
      <c r="AH145">
        <v>1</v>
      </c>
      <c r="AI145">
        <v>0</v>
      </c>
      <c r="AJ145">
        <v>1.5</v>
      </c>
      <c r="AK145">
        <v>0</v>
      </c>
      <c r="AL145">
        <v>0</v>
      </c>
      <c r="AM145">
        <v>0</v>
      </c>
      <c r="AO145">
        <v>0.5</v>
      </c>
    </row>
    <row r="146" spans="1:41">
      <c r="A146">
        <v>200</v>
      </c>
      <c r="B146" s="1">
        <v>113021</v>
      </c>
      <c r="C146" s="4" t="s">
        <v>230</v>
      </c>
      <c r="D146">
        <v>2</v>
      </c>
      <c r="E146">
        <v>7</v>
      </c>
      <c r="F146">
        <v>201</v>
      </c>
      <c r="G146">
        <v>5</v>
      </c>
      <c r="H146">
        <v>10</v>
      </c>
      <c r="I146">
        <v>12</v>
      </c>
      <c r="J146">
        <v>0</v>
      </c>
      <c r="K146">
        <v>800715</v>
      </c>
      <c r="L146">
        <v>1</v>
      </c>
      <c r="M146">
        <v>10</v>
      </c>
      <c r="N146" s="17">
        <v>800717</v>
      </c>
      <c r="O146">
        <v>1</v>
      </c>
      <c r="V146">
        <v>10</v>
      </c>
      <c r="W146" s="17">
        <v>800720</v>
      </c>
      <c r="X146">
        <v>1</v>
      </c>
      <c r="AA146" t="s">
        <v>231</v>
      </c>
      <c r="AB146">
        <v>6556</v>
      </c>
      <c r="AC146">
        <v>1593</v>
      </c>
      <c r="AD146">
        <v>26690</v>
      </c>
      <c r="AE146">
        <v>320</v>
      </c>
      <c r="AF146">
        <v>0</v>
      </c>
      <c r="AG146">
        <v>0</v>
      </c>
      <c r="AH146">
        <v>1</v>
      </c>
      <c r="AI146">
        <v>0</v>
      </c>
      <c r="AJ146">
        <v>1.5</v>
      </c>
      <c r="AK146">
        <v>0</v>
      </c>
      <c r="AL146">
        <v>0</v>
      </c>
      <c r="AM146">
        <v>0</v>
      </c>
      <c r="AO146">
        <v>0.5</v>
      </c>
    </row>
    <row r="147" spans="1:41">
      <c r="A147">
        <v>201</v>
      </c>
      <c r="B147" s="1">
        <v>113021</v>
      </c>
      <c r="C147" s="4" t="s">
        <v>230</v>
      </c>
      <c r="D147">
        <v>3</v>
      </c>
      <c r="E147">
        <v>9</v>
      </c>
      <c r="F147">
        <v>-1</v>
      </c>
      <c r="G147">
        <v>5</v>
      </c>
      <c r="H147">
        <v>15</v>
      </c>
      <c r="I147">
        <v>20</v>
      </c>
      <c r="J147">
        <v>0</v>
      </c>
      <c r="K147">
        <v>800715</v>
      </c>
      <c r="L147">
        <v>1</v>
      </c>
      <c r="M147">
        <v>10</v>
      </c>
      <c r="N147" s="17">
        <v>800718</v>
      </c>
      <c r="O147">
        <v>1</v>
      </c>
      <c r="V147">
        <v>10</v>
      </c>
      <c r="W147" s="17">
        <v>800721</v>
      </c>
      <c r="X147">
        <v>1</v>
      </c>
      <c r="AA147" t="s">
        <v>232</v>
      </c>
      <c r="AB147">
        <v>8390</v>
      </c>
      <c r="AC147">
        <v>2277</v>
      </c>
      <c r="AD147">
        <v>37755</v>
      </c>
      <c r="AE147">
        <v>320</v>
      </c>
      <c r="AF147">
        <v>0</v>
      </c>
      <c r="AG147">
        <v>0</v>
      </c>
      <c r="AH147">
        <v>1</v>
      </c>
      <c r="AI147">
        <v>0</v>
      </c>
      <c r="AJ147">
        <v>1.5</v>
      </c>
      <c r="AK147">
        <v>0</v>
      </c>
      <c r="AL147">
        <v>0</v>
      </c>
      <c r="AM147">
        <v>0</v>
      </c>
      <c r="AO147">
        <v>0.5</v>
      </c>
    </row>
    <row r="148" spans="1:41">
      <c r="A148">
        <v>202</v>
      </c>
      <c r="B148" s="1">
        <v>113020</v>
      </c>
      <c r="C148" s="31" t="s">
        <v>233</v>
      </c>
      <c r="D148">
        <v>1</v>
      </c>
      <c r="E148">
        <v>3</v>
      </c>
      <c r="F148">
        <v>203</v>
      </c>
      <c r="G148">
        <v>3</v>
      </c>
      <c r="H148">
        <v>3</v>
      </c>
      <c r="I148">
        <v>4</v>
      </c>
      <c r="J148">
        <v>0</v>
      </c>
      <c r="K148">
        <v>800764</v>
      </c>
      <c r="L148">
        <v>1</v>
      </c>
      <c r="M148">
        <v>10</v>
      </c>
      <c r="N148" s="17">
        <v>800765</v>
      </c>
      <c r="O148">
        <v>1</v>
      </c>
      <c r="V148">
        <v>10</v>
      </c>
      <c r="W148" s="17">
        <v>800768</v>
      </c>
      <c r="X148">
        <v>1</v>
      </c>
      <c r="AB148">
        <v>1622</v>
      </c>
      <c r="AC148">
        <v>1371</v>
      </c>
      <c r="AD148">
        <v>25812</v>
      </c>
      <c r="AE148">
        <v>278</v>
      </c>
      <c r="AF148">
        <v>0</v>
      </c>
      <c r="AG148">
        <v>0</v>
      </c>
      <c r="AH148">
        <v>1</v>
      </c>
      <c r="AI148">
        <v>0</v>
      </c>
      <c r="AJ148">
        <v>1.5</v>
      </c>
      <c r="AK148">
        <v>0</v>
      </c>
      <c r="AL148">
        <v>0</v>
      </c>
      <c r="AM148">
        <v>0</v>
      </c>
      <c r="AO148">
        <v>0.5</v>
      </c>
    </row>
    <row r="149" spans="1:41">
      <c r="A149">
        <v>203</v>
      </c>
      <c r="B149" s="1">
        <v>113020</v>
      </c>
      <c r="C149" s="31" t="s">
        <v>233</v>
      </c>
      <c r="D149">
        <v>2</v>
      </c>
      <c r="E149">
        <v>5</v>
      </c>
      <c r="F149">
        <v>204</v>
      </c>
      <c r="G149">
        <v>3</v>
      </c>
      <c r="H149">
        <v>6</v>
      </c>
      <c r="I149">
        <v>6</v>
      </c>
      <c r="J149">
        <v>0</v>
      </c>
      <c r="K149">
        <v>800764</v>
      </c>
      <c r="L149">
        <v>1</v>
      </c>
      <c r="M149">
        <v>10</v>
      </c>
      <c r="N149" s="17">
        <v>800766</v>
      </c>
      <c r="O149">
        <v>1</v>
      </c>
      <c r="V149">
        <v>10</v>
      </c>
      <c r="W149" s="17">
        <v>800769</v>
      </c>
      <c r="X149">
        <v>1</v>
      </c>
      <c r="AA149" t="s">
        <v>234</v>
      </c>
      <c r="AB149">
        <v>2271</v>
      </c>
      <c r="AC149">
        <v>1919</v>
      </c>
      <c r="AD149">
        <v>33537</v>
      </c>
      <c r="AE149">
        <v>278</v>
      </c>
      <c r="AF149">
        <v>0</v>
      </c>
      <c r="AG149">
        <v>0</v>
      </c>
      <c r="AH149">
        <v>1</v>
      </c>
      <c r="AI149">
        <v>0</v>
      </c>
      <c r="AJ149">
        <v>1.5</v>
      </c>
      <c r="AK149">
        <v>0</v>
      </c>
      <c r="AL149">
        <v>0</v>
      </c>
      <c r="AM149">
        <v>0</v>
      </c>
      <c r="AO149">
        <v>0.5</v>
      </c>
    </row>
    <row r="150" spans="1:41">
      <c r="A150">
        <v>204</v>
      </c>
      <c r="B150" s="1">
        <v>113020</v>
      </c>
      <c r="C150" s="31" t="s">
        <v>233</v>
      </c>
      <c r="D150">
        <v>3</v>
      </c>
      <c r="E150">
        <v>7</v>
      </c>
      <c r="F150">
        <v>-1</v>
      </c>
      <c r="G150">
        <v>3</v>
      </c>
      <c r="H150">
        <v>9</v>
      </c>
      <c r="I150">
        <v>10</v>
      </c>
      <c r="J150">
        <v>0</v>
      </c>
      <c r="K150">
        <v>800764</v>
      </c>
      <c r="L150">
        <v>1</v>
      </c>
      <c r="M150">
        <v>10</v>
      </c>
      <c r="N150" s="17">
        <v>800767</v>
      </c>
      <c r="O150">
        <v>1</v>
      </c>
      <c r="V150">
        <v>10</v>
      </c>
      <c r="W150" s="17">
        <v>800770</v>
      </c>
      <c r="X150">
        <v>1</v>
      </c>
      <c r="AA150" t="s">
        <v>235</v>
      </c>
      <c r="AB150">
        <v>3244</v>
      </c>
      <c r="AC150">
        <v>2742</v>
      </c>
      <c r="AD150">
        <v>45637</v>
      </c>
      <c r="AE150">
        <v>278</v>
      </c>
      <c r="AF150">
        <v>0</v>
      </c>
      <c r="AG150">
        <v>0</v>
      </c>
      <c r="AH150">
        <v>1</v>
      </c>
      <c r="AI150">
        <v>0</v>
      </c>
      <c r="AJ150">
        <v>1.5</v>
      </c>
      <c r="AK150">
        <v>0</v>
      </c>
      <c r="AL150">
        <v>0</v>
      </c>
      <c r="AM150">
        <v>0</v>
      </c>
      <c r="AO150">
        <v>0.5</v>
      </c>
    </row>
    <row r="151" spans="1:41">
      <c r="A151">
        <v>205</v>
      </c>
      <c r="B151" s="1">
        <v>113023</v>
      </c>
      <c r="C151" s="5" t="s">
        <v>236</v>
      </c>
      <c r="D151">
        <v>1</v>
      </c>
      <c r="E151">
        <v>3</v>
      </c>
      <c r="F151">
        <v>206</v>
      </c>
      <c r="G151">
        <v>4</v>
      </c>
      <c r="H151">
        <v>4</v>
      </c>
      <c r="I151">
        <v>5</v>
      </c>
      <c r="J151">
        <v>0</v>
      </c>
      <c r="K151">
        <v>800754</v>
      </c>
      <c r="L151">
        <v>1</v>
      </c>
      <c r="M151">
        <v>10</v>
      </c>
      <c r="N151" s="17">
        <v>800755</v>
      </c>
      <c r="O151">
        <v>1</v>
      </c>
      <c r="V151">
        <v>10</v>
      </c>
      <c r="W151" s="17">
        <v>800758</v>
      </c>
      <c r="X151">
        <v>1</v>
      </c>
      <c r="AB151">
        <v>3399</v>
      </c>
      <c r="AC151">
        <v>879</v>
      </c>
      <c r="AD151">
        <v>13972</v>
      </c>
      <c r="AE151">
        <v>387</v>
      </c>
      <c r="AF151">
        <v>0</v>
      </c>
      <c r="AG151">
        <v>0</v>
      </c>
      <c r="AH151">
        <v>1</v>
      </c>
      <c r="AI151">
        <v>0</v>
      </c>
      <c r="AJ151">
        <v>1.5</v>
      </c>
      <c r="AK151">
        <v>0</v>
      </c>
      <c r="AL151">
        <v>0</v>
      </c>
      <c r="AM151">
        <v>0</v>
      </c>
      <c r="AO151">
        <v>0.5</v>
      </c>
    </row>
    <row r="152" spans="1:41">
      <c r="A152">
        <v>206</v>
      </c>
      <c r="B152" s="1">
        <v>113023</v>
      </c>
      <c r="C152" s="5" t="s">
        <v>236</v>
      </c>
      <c r="D152">
        <v>2</v>
      </c>
      <c r="E152">
        <v>5</v>
      </c>
      <c r="F152">
        <v>207</v>
      </c>
      <c r="G152">
        <v>4</v>
      </c>
      <c r="H152">
        <v>8</v>
      </c>
      <c r="I152">
        <v>8</v>
      </c>
      <c r="J152">
        <v>0</v>
      </c>
      <c r="K152">
        <v>800754</v>
      </c>
      <c r="L152">
        <v>1</v>
      </c>
      <c r="M152">
        <v>10</v>
      </c>
      <c r="N152" s="17">
        <v>800756</v>
      </c>
      <c r="O152">
        <v>1</v>
      </c>
      <c r="V152">
        <v>10</v>
      </c>
      <c r="W152" s="17">
        <v>800759</v>
      </c>
      <c r="X152">
        <v>1</v>
      </c>
      <c r="AB152">
        <v>4470</v>
      </c>
      <c r="AC152">
        <v>1231</v>
      </c>
      <c r="AD152">
        <v>19561</v>
      </c>
      <c r="AE152">
        <v>387</v>
      </c>
      <c r="AF152">
        <v>0</v>
      </c>
      <c r="AG152">
        <v>0</v>
      </c>
      <c r="AH152">
        <v>1</v>
      </c>
      <c r="AI152">
        <v>0</v>
      </c>
      <c r="AJ152">
        <v>1.5</v>
      </c>
      <c r="AK152">
        <v>0</v>
      </c>
      <c r="AL152">
        <v>0</v>
      </c>
      <c r="AM152">
        <v>0</v>
      </c>
      <c r="AO152">
        <v>0.5</v>
      </c>
    </row>
    <row r="153" spans="1:41">
      <c r="A153">
        <v>207</v>
      </c>
      <c r="B153" s="1">
        <v>113023</v>
      </c>
      <c r="C153" s="5" t="s">
        <v>236</v>
      </c>
      <c r="D153">
        <v>3</v>
      </c>
      <c r="E153">
        <v>7</v>
      </c>
      <c r="F153">
        <v>-1</v>
      </c>
      <c r="G153">
        <v>4</v>
      </c>
      <c r="H153">
        <v>12</v>
      </c>
      <c r="I153">
        <v>15</v>
      </c>
      <c r="J153">
        <v>0</v>
      </c>
      <c r="K153">
        <v>800754</v>
      </c>
      <c r="L153">
        <v>1</v>
      </c>
      <c r="M153">
        <v>10</v>
      </c>
      <c r="N153" s="17">
        <v>800757</v>
      </c>
      <c r="O153">
        <v>1</v>
      </c>
      <c r="V153">
        <v>10</v>
      </c>
      <c r="W153" s="17">
        <v>800760</v>
      </c>
      <c r="X153">
        <v>1</v>
      </c>
      <c r="AB153">
        <v>6734</v>
      </c>
      <c r="AC153">
        <v>1759</v>
      </c>
      <c r="AD153">
        <v>27945</v>
      </c>
      <c r="AE153">
        <v>387</v>
      </c>
      <c r="AF153">
        <v>0</v>
      </c>
      <c r="AG153">
        <v>0</v>
      </c>
      <c r="AH153">
        <v>1</v>
      </c>
      <c r="AI153">
        <v>0</v>
      </c>
      <c r="AJ153">
        <v>1.5</v>
      </c>
      <c r="AK153">
        <v>0</v>
      </c>
      <c r="AL153">
        <v>0</v>
      </c>
      <c r="AM153">
        <v>0</v>
      </c>
      <c r="AO153">
        <v>0.5</v>
      </c>
    </row>
    <row r="154" s="4" customFormat="1" spans="1:41">
      <c r="A154" s="4">
        <v>208</v>
      </c>
      <c r="B154" s="27">
        <v>113044</v>
      </c>
      <c r="C154" s="4" t="s">
        <v>237</v>
      </c>
      <c r="D154" s="4">
        <v>1</v>
      </c>
      <c r="E154" s="4">
        <v>5</v>
      </c>
      <c r="F154" s="4">
        <v>209</v>
      </c>
      <c r="G154" s="4">
        <v>5</v>
      </c>
      <c r="H154" s="4">
        <v>5</v>
      </c>
      <c r="I154" s="4">
        <v>6</v>
      </c>
      <c r="J154" s="4">
        <v>0</v>
      </c>
      <c r="K154" s="4">
        <v>800783</v>
      </c>
      <c r="L154" s="4">
        <v>1</v>
      </c>
      <c r="M154" s="4">
        <v>10</v>
      </c>
      <c r="N154" s="33">
        <v>800784</v>
      </c>
      <c r="O154" s="4">
        <v>1</v>
      </c>
      <c r="V154" s="4">
        <v>10</v>
      </c>
      <c r="W154" s="33">
        <v>800787</v>
      </c>
      <c r="X154" s="4">
        <v>1</v>
      </c>
      <c r="Z154" s="4" t="s">
        <v>238</v>
      </c>
      <c r="AA154" s="4" t="s">
        <v>239</v>
      </c>
      <c r="AB154">
        <v>4311</v>
      </c>
      <c r="AC154">
        <v>1263</v>
      </c>
      <c r="AD154">
        <v>20182</v>
      </c>
      <c r="AE154" s="38">
        <v>301</v>
      </c>
      <c r="AF154" s="4">
        <v>0</v>
      </c>
      <c r="AG154" s="4">
        <v>0</v>
      </c>
      <c r="AH154" s="4">
        <v>1</v>
      </c>
      <c r="AI154" s="4">
        <v>0</v>
      </c>
      <c r="AJ154" s="4">
        <v>1.5</v>
      </c>
      <c r="AK154" s="4">
        <v>0</v>
      </c>
      <c r="AL154" s="4">
        <v>0</v>
      </c>
      <c r="AM154" s="4">
        <v>0</v>
      </c>
      <c r="AO154" s="4">
        <v>0.5</v>
      </c>
    </row>
    <row r="155" s="4" customFormat="1" spans="1:41">
      <c r="A155" s="4">
        <v>209</v>
      </c>
      <c r="B155" s="27">
        <v>113044</v>
      </c>
      <c r="C155" s="4" t="s">
        <v>237</v>
      </c>
      <c r="D155" s="4">
        <v>2</v>
      </c>
      <c r="E155" s="4">
        <v>7</v>
      </c>
      <c r="F155" s="4">
        <v>210</v>
      </c>
      <c r="G155" s="4">
        <v>5</v>
      </c>
      <c r="H155" s="4">
        <v>10</v>
      </c>
      <c r="I155" s="4">
        <v>12</v>
      </c>
      <c r="J155" s="4">
        <v>0</v>
      </c>
      <c r="K155" s="4">
        <v>800783</v>
      </c>
      <c r="L155" s="4">
        <v>1</v>
      </c>
      <c r="M155" s="4">
        <v>10</v>
      </c>
      <c r="N155" s="33">
        <v>800785</v>
      </c>
      <c r="O155" s="4">
        <v>1</v>
      </c>
      <c r="V155" s="4">
        <v>10</v>
      </c>
      <c r="W155" s="33">
        <v>800788</v>
      </c>
      <c r="X155" s="4">
        <v>1</v>
      </c>
      <c r="Z155" s="4" t="s">
        <v>240</v>
      </c>
      <c r="AA155" s="4" t="s">
        <v>241</v>
      </c>
      <c r="AB155">
        <v>6035</v>
      </c>
      <c r="AC155">
        <v>1769</v>
      </c>
      <c r="AD155">
        <v>28255</v>
      </c>
      <c r="AE155" s="38">
        <v>301</v>
      </c>
      <c r="AF155" s="4">
        <v>0</v>
      </c>
      <c r="AG155" s="4">
        <v>0</v>
      </c>
      <c r="AH155" s="4">
        <v>1</v>
      </c>
      <c r="AI155" s="4">
        <v>0</v>
      </c>
      <c r="AJ155" s="4">
        <v>1.5</v>
      </c>
      <c r="AK155" s="4">
        <v>0</v>
      </c>
      <c r="AL155" s="4">
        <v>0</v>
      </c>
      <c r="AM155" s="4">
        <v>0</v>
      </c>
      <c r="AO155" s="4">
        <v>0.5</v>
      </c>
    </row>
    <row r="156" s="4" customFormat="1" spans="1:41">
      <c r="A156" s="4">
        <v>210</v>
      </c>
      <c r="B156" s="27">
        <v>113044</v>
      </c>
      <c r="C156" s="4" t="s">
        <v>237</v>
      </c>
      <c r="D156" s="4">
        <v>3</v>
      </c>
      <c r="E156" s="4">
        <v>9</v>
      </c>
      <c r="F156" s="4">
        <v>-1</v>
      </c>
      <c r="G156" s="4">
        <v>5</v>
      </c>
      <c r="H156" s="4">
        <v>15</v>
      </c>
      <c r="I156" s="4">
        <v>20</v>
      </c>
      <c r="J156" s="4">
        <v>0</v>
      </c>
      <c r="K156" s="4">
        <v>800783</v>
      </c>
      <c r="L156" s="4">
        <v>1</v>
      </c>
      <c r="M156" s="4">
        <v>10</v>
      </c>
      <c r="N156" s="33">
        <v>800786</v>
      </c>
      <c r="O156" s="4">
        <v>1</v>
      </c>
      <c r="V156" s="4">
        <v>10</v>
      </c>
      <c r="W156" s="33">
        <v>800789</v>
      </c>
      <c r="X156" s="4">
        <v>1</v>
      </c>
      <c r="Z156" s="4" t="s">
        <v>242</v>
      </c>
      <c r="AA156" s="4" t="s">
        <v>243</v>
      </c>
      <c r="AB156">
        <v>7607</v>
      </c>
      <c r="AC156">
        <v>2527</v>
      </c>
      <c r="AD156">
        <v>40365</v>
      </c>
      <c r="AE156" s="38">
        <v>301</v>
      </c>
      <c r="AF156" s="4">
        <v>0</v>
      </c>
      <c r="AG156" s="4">
        <v>0</v>
      </c>
      <c r="AH156" s="4">
        <v>1</v>
      </c>
      <c r="AI156" s="4">
        <v>0</v>
      </c>
      <c r="AJ156" s="4">
        <v>1.5</v>
      </c>
      <c r="AK156" s="4">
        <v>0</v>
      </c>
      <c r="AL156" s="4">
        <v>0</v>
      </c>
      <c r="AM156" s="4">
        <v>0</v>
      </c>
      <c r="AO156" s="4">
        <v>0.5</v>
      </c>
    </row>
    <row r="157" s="5" customFormat="1" spans="1:41">
      <c r="A157" s="5">
        <v>211</v>
      </c>
      <c r="B157" s="28">
        <v>113040</v>
      </c>
      <c r="C157" s="5" t="s">
        <v>244</v>
      </c>
      <c r="D157" s="5">
        <v>1</v>
      </c>
      <c r="E157" s="5">
        <v>3</v>
      </c>
      <c r="F157" s="5">
        <v>212</v>
      </c>
      <c r="G157" s="5">
        <v>4</v>
      </c>
      <c r="H157" s="5">
        <v>4</v>
      </c>
      <c r="I157" s="5">
        <v>5</v>
      </c>
      <c r="J157" s="5">
        <v>0</v>
      </c>
      <c r="K157" s="5">
        <v>800803</v>
      </c>
      <c r="L157" s="5">
        <v>1</v>
      </c>
      <c r="M157" s="5">
        <v>10</v>
      </c>
      <c r="N157" s="34">
        <v>800804</v>
      </c>
      <c r="O157" s="5">
        <v>1</v>
      </c>
      <c r="V157" s="5">
        <v>10</v>
      </c>
      <c r="W157" s="34">
        <v>800807</v>
      </c>
      <c r="X157" s="5">
        <v>1</v>
      </c>
      <c r="Z157" s="5" t="s">
        <v>245</v>
      </c>
      <c r="AA157" s="5" t="s">
        <v>246</v>
      </c>
      <c r="AB157" s="39">
        <v>3725</v>
      </c>
      <c r="AC157" s="39">
        <v>880</v>
      </c>
      <c r="AD157" s="39">
        <v>13110</v>
      </c>
      <c r="AE157" s="39">
        <v>352</v>
      </c>
      <c r="AF157" s="5">
        <v>0</v>
      </c>
      <c r="AG157" s="5">
        <v>0</v>
      </c>
      <c r="AH157" s="5">
        <v>1</v>
      </c>
      <c r="AI157" s="5">
        <v>0</v>
      </c>
      <c r="AJ157" s="5">
        <v>1.5</v>
      </c>
      <c r="AK157" s="5">
        <v>0</v>
      </c>
      <c r="AL157" s="5">
        <v>0</v>
      </c>
      <c r="AM157" s="5">
        <v>0</v>
      </c>
      <c r="AO157" s="5">
        <v>0.5</v>
      </c>
    </row>
    <row r="158" s="5" customFormat="1" spans="1:41">
      <c r="A158" s="5">
        <v>212</v>
      </c>
      <c r="B158" s="28">
        <v>113040</v>
      </c>
      <c r="C158" s="5" t="s">
        <v>244</v>
      </c>
      <c r="D158" s="5">
        <v>2</v>
      </c>
      <c r="E158" s="5">
        <v>5</v>
      </c>
      <c r="F158" s="5">
        <v>213</v>
      </c>
      <c r="G158" s="5">
        <v>4</v>
      </c>
      <c r="H158" s="5">
        <v>8</v>
      </c>
      <c r="I158" s="5">
        <v>8</v>
      </c>
      <c r="J158" s="5">
        <v>0</v>
      </c>
      <c r="K158" s="5">
        <v>800803</v>
      </c>
      <c r="L158" s="5">
        <v>1</v>
      </c>
      <c r="M158" s="5">
        <v>10</v>
      </c>
      <c r="N158" s="34">
        <v>800805</v>
      </c>
      <c r="O158" s="5">
        <v>1</v>
      </c>
      <c r="V158" s="5">
        <v>10</v>
      </c>
      <c r="W158" s="34">
        <v>800808</v>
      </c>
      <c r="X158" s="5">
        <v>1</v>
      </c>
      <c r="Z158" s="5" t="s">
        <v>247</v>
      </c>
      <c r="AA158" s="5" t="s">
        <v>248</v>
      </c>
      <c r="AB158" s="39">
        <v>5216</v>
      </c>
      <c r="AC158" s="39">
        <v>1232</v>
      </c>
      <c r="AD158" s="39">
        <v>18354</v>
      </c>
      <c r="AE158" s="39">
        <v>352</v>
      </c>
      <c r="AF158" s="5">
        <v>0</v>
      </c>
      <c r="AG158" s="5">
        <v>0</v>
      </c>
      <c r="AH158" s="5">
        <v>1</v>
      </c>
      <c r="AI158" s="5">
        <v>0</v>
      </c>
      <c r="AJ158" s="5">
        <v>1.5</v>
      </c>
      <c r="AK158" s="5">
        <v>0</v>
      </c>
      <c r="AL158" s="5">
        <v>0</v>
      </c>
      <c r="AM158" s="5">
        <v>0</v>
      </c>
      <c r="AO158" s="5">
        <v>0.5</v>
      </c>
    </row>
    <row r="159" s="5" customFormat="1" spans="1:41">
      <c r="A159" s="5">
        <v>213</v>
      </c>
      <c r="B159" s="28">
        <v>113040</v>
      </c>
      <c r="C159" s="5" t="s">
        <v>244</v>
      </c>
      <c r="D159" s="5">
        <v>3</v>
      </c>
      <c r="E159" s="5">
        <v>7</v>
      </c>
      <c r="F159" s="5">
        <v>-1</v>
      </c>
      <c r="G159" s="5">
        <v>4</v>
      </c>
      <c r="H159" s="5">
        <v>12</v>
      </c>
      <c r="I159" s="5">
        <v>15</v>
      </c>
      <c r="J159" s="5">
        <v>0</v>
      </c>
      <c r="K159" s="5">
        <v>800803</v>
      </c>
      <c r="L159" s="5">
        <v>1</v>
      </c>
      <c r="M159" s="5">
        <v>10</v>
      </c>
      <c r="N159" s="34">
        <v>800806</v>
      </c>
      <c r="O159" s="5">
        <v>1</v>
      </c>
      <c r="V159" s="5">
        <v>10</v>
      </c>
      <c r="W159" s="34">
        <v>800809</v>
      </c>
      <c r="X159" s="5">
        <v>1</v>
      </c>
      <c r="Z159" s="5" t="s">
        <v>249</v>
      </c>
      <c r="AA159" s="5" t="s">
        <v>250</v>
      </c>
      <c r="AB159" s="39">
        <v>7451</v>
      </c>
      <c r="AC159" s="39">
        <v>1760</v>
      </c>
      <c r="AD159" s="39">
        <v>26220</v>
      </c>
      <c r="AE159" s="39">
        <v>352</v>
      </c>
      <c r="AF159" s="5">
        <v>0</v>
      </c>
      <c r="AG159" s="5">
        <v>0</v>
      </c>
      <c r="AH159" s="5">
        <v>1</v>
      </c>
      <c r="AI159" s="5">
        <v>0</v>
      </c>
      <c r="AJ159" s="5">
        <v>1.5</v>
      </c>
      <c r="AK159" s="5">
        <v>0</v>
      </c>
      <c r="AL159" s="5">
        <v>0</v>
      </c>
      <c r="AM159" s="5">
        <v>0</v>
      </c>
      <c r="AO159" s="5">
        <v>0.5</v>
      </c>
    </row>
    <row r="160" s="6" customFormat="1" spans="1:41">
      <c r="A160" s="6">
        <v>214</v>
      </c>
      <c r="B160" s="32">
        <v>113045</v>
      </c>
      <c r="C160" s="6" t="s">
        <v>251</v>
      </c>
      <c r="D160" s="6">
        <v>1</v>
      </c>
      <c r="E160" s="6">
        <v>3</v>
      </c>
      <c r="F160" s="6">
        <v>215</v>
      </c>
      <c r="G160" s="6">
        <v>3</v>
      </c>
      <c r="H160" s="6">
        <v>3</v>
      </c>
      <c r="I160" s="6">
        <v>4</v>
      </c>
      <c r="J160" s="6">
        <v>0</v>
      </c>
      <c r="K160" s="6">
        <v>800823</v>
      </c>
      <c r="L160" s="6">
        <v>1</v>
      </c>
      <c r="M160" s="6">
        <v>10</v>
      </c>
      <c r="N160" s="35">
        <v>800824</v>
      </c>
      <c r="O160" s="6">
        <v>1</v>
      </c>
      <c r="V160" s="6">
        <v>10</v>
      </c>
      <c r="W160" s="35">
        <v>800827</v>
      </c>
      <c r="X160" s="6">
        <v>1</v>
      </c>
      <c r="Z160" s="35" t="s">
        <v>252</v>
      </c>
      <c r="AA160" s="35" t="s">
        <v>253</v>
      </c>
      <c r="AB160" s="40">
        <v>1371</v>
      </c>
      <c r="AC160" s="40">
        <v>1623</v>
      </c>
      <c r="AD160" s="40">
        <v>25616</v>
      </c>
      <c r="AE160" s="40">
        <v>285</v>
      </c>
      <c r="AF160" s="6">
        <v>0</v>
      </c>
      <c r="AG160" s="6">
        <v>0</v>
      </c>
      <c r="AH160" s="6">
        <v>1</v>
      </c>
      <c r="AI160" s="6">
        <v>0</v>
      </c>
      <c r="AJ160" s="6">
        <v>1.5</v>
      </c>
      <c r="AK160" s="6">
        <v>0</v>
      </c>
      <c r="AL160" s="6">
        <v>0</v>
      </c>
      <c r="AM160" s="6">
        <v>0</v>
      </c>
      <c r="AO160" s="6">
        <v>0.5</v>
      </c>
    </row>
    <row r="161" s="6" customFormat="1" spans="1:41">
      <c r="A161" s="6">
        <v>215</v>
      </c>
      <c r="B161" s="32">
        <v>113045</v>
      </c>
      <c r="C161" s="6" t="s">
        <v>251</v>
      </c>
      <c r="D161" s="6">
        <v>2</v>
      </c>
      <c r="E161" s="6">
        <v>5</v>
      </c>
      <c r="F161" s="6">
        <v>216</v>
      </c>
      <c r="G161" s="6">
        <v>3</v>
      </c>
      <c r="H161" s="6">
        <v>6</v>
      </c>
      <c r="I161" s="6">
        <v>6</v>
      </c>
      <c r="J161" s="6">
        <v>0</v>
      </c>
      <c r="K161" s="6">
        <v>800823</v>
      </c>
      <c r="L161" s="6">
        <v>1</v>
      </c>
      <c r="M161" s="6">
        <v>10</v>
      </c>
      <c r="N161" s="35">
        <v>800825</v>
      </c>
      <c r="O161" s="6">
        <v>1</v>
      </c>
      <c r="V161" s="6">
        <v>10</v>
      </c>
      <c r="W161" s="35">
        <v>800828</v>
      </c>
      <c r="X161" s="6">
        <v>1</v>
      </c>
      <c r="Z161" s="35" t="s">
        <v>254</v>
      </c>
      <c r="AA161" s="35" t="s">
        <v>255</v>
      </c>
      <c r="AB161" s="40">
        <v>1920</v>
      </c>
      <c r="AC161" s="40">
        <v>2272</v>
      </c>
      <c r="AD161" s="40">
        <v>35863</v>
      </c>
      <c r="AE161" s="40">
        <v>285</v>
      </c>
      <c r="AF161" s="6">
        <v>0</v>
      </c>
      <c r="AG161" s="6">
        <v>0</v>
      </c>
      <c r="AH161" s="6">
        <v>1</v>
      </c>
      <c r="AI161" s="6">
        <v>0</v>
      </c>
      <c r="AJ161" s="6">
        <v>1.5</v>
      </c>
      <c r="AK161" s="6">
        <v>0</v>
      </c>
      <c r="AL161" s="6">
        <v>0</v>
      </c>
      <c r="AM161" s="6">
        <v>0</v>
      </c>
      <c r="AO161" s="6">
        <v>0.5</v>
      </c>
    </row>
    <row r="162" s="6" customFormat="1" spans="1:41">
      <c r="A162" s="6">
        <v>216</v>
      </c>
      <c r="B162" s="32">
        <v>113045</v>
      </c>
      <c r="C162" s="6" t="s">
        <v>251</v>
      </c>
      <c r="D162" s="6">
        <v>3</v>
      </c>
      <c r="E162" s="6">
        <v>7</v>
      </c>
      <c r="F162" s="6">
        <v>-1</v>
      </c>
      <c r="G162" s="6">
        <v>3</v>
      </c>
      <c r="H162" s="6">
        <v>9</v>
      </c>
      <c r="I162" s="6">
        <v>10</v>
      </c>
      <c r="J162" s="6">
        <v>0</v>
      </c>
      <c r="K162" s="6">
        <v>800823</v>
      </c>
      <c r="L162" s="6">
        <v>1</v>
      </c>
      <c r="M162" s="6">
        <v>10</v>
      </c>
      <c r="N162" s="35">
        <v>800826</v>
      </c>
      <c r="O162" s="6">
        <v>1</v>
      </c>
      <c r="V162" s="6">
        <v>10</v>
      </c>
      <c r="W162" s="35">
        <v>800829</v>
      </c>
      <c r="X162" s="6">
        <v>1</v>
      </c>
      <c r="Z162" s="35" t="s">
        <v>256</v>
      </c>
      <c r="AA162" s="35" t="s">
        <v>257</v>
      </c>
      <c r="AB162" s="40">
        <v>2743</v>
      </c>
      <c r="AC162" s="40">
        <v>3245</v>
      </c>
      <c r="AD162" s="40">
        <v>51233</v>
      </c>
      <c r="AE162" s="40">
        <v>285</v>
      </c>
      <c r="AF162" s="6">
        <v>0</v>
      </c>
      <c r="AG162" s="6">
        <v>0</v>
      </c>
      <c r="AH162" s="6">
        <v>1</v>
      </c>
      <c r="AI162" s="6">
        <v>0</v>
      </c>
      <c r="AJ162" s="6">
        <v>1.5</v>
      </c>
      <c r="AK162" s="6">
        <v>0</v>
      </c>
      <c r="AL162" s="6">
        <v>0</v>
      </c>
      <c r="AM162" s="6">
        <v>0</v>
      </c>
      <c r="AO162" s="6">
        <v>0.5</v>
      </c>
    </row>
    <row r="163" s="7" customFormat="1" spans="1:41">
      <c r="A163" s="7">
        <v>217</v>
      </c>
      <c r="B163" s="12">
        <v>113046</v>
      </c>
      <c r="C163" s="7" t="s">
        <v>258</v>
      </c>
      <c r="D163" s="7">
        <v>1</v>
      </c>
      <c r="E163" s="7">
        <v>2</v>
      </c>
      <c r="F163" s="7">
        <v>218</v>
      </c>
      <c r="G163" s="7">
        <v>2</v>
      </c>
      <c r="H163" s="7">
        <v>2</v>
      </c>
      <c r="I163" s="7">
        <v>3</v>
      </c>
      <c r="J163" s="7">
        <v>0</v>
      </c>
      <c r="K163" s="7">
        <v>800850</v>
      </c>
      <c r="L163" s="7">
        <v>1</v>
      </c>
      <c r="M163" s="7">
        <v>10</v>
      </c>
      <c r="N163" s="36">
        <v>800851</v>
      </c>
      <c r="O163" s="7">
        <v>1</v>
      </c>
      <c r="V163" s="7">
        <v>10</v>
      </c>
      <c r="W163" s="36">
        <v>800854</v>
      </c>
      <c r="X163" s="7">
        <v>1</v>
      </c>
      <c r="AB163" s="41">
        <v>1711</v>
      </c>
      <c r="AC163" s="41">
        <v>1283</v>
      </c>
      <c r="AD163" s="41">
        <v>19550</v>
      </c>
      <c r="AE163" s="41">
        <v>290</v>
      </c>
      <c r="AF163" s="7">
        <v>0</v>
      </c>
      <c r="AG163" s="7">
        <v>0</v>
      </c>
      <c r="AH163" s="7">
        <v>1</v>
      </c>
      <c r="AI163" s="7">
        <v>0</v>
      </c>
      <c r="AJ163" s="7">
        <v>1.5</v>
      </c>
      <c r="AK163" s="7">
        <v>0</v>
      </c>
      <c r="AL163" s="7">
        <v>0</v>
      </c>
      <c r="AM163" s="7">
        <v>0</v>
      </c>
      <c r="AO163" s="7">
        <v>0.5</v>
      </c>
    </row>
    <row r="164" s="7" customFormat="1" spans="1:41">
      <c r="A164" s="7">
        <v>218</v>
      </c>
      <c r="B164" s="12">
        <v>113046</v>
      </c>
      <c r="C164" s="7" t="s">
        <v>258</v>
      </c>
      <c r="D164" s="7">
        <v>2</v>
      </c>
      <c r="E164" s="7">
        <v>4</v>
      </c>
      <c r="F164" s="7">
        <v>219</v>
      </c>
      <c r="G164" s="7">
        <v>2</v>
      </c>
      <c r="H164" s="7">
        <v>4</v>
      </c>
      <c r="I164" s="7">
        <v>4</v>
      </c>
      <c r="J164" s="7">
        <v>0</v>
      </c>
      <c r="K164" s="7">
        <v>800850</v>
      </c>
      <c r="L164" s="7">
        <v>1</v>
      </c>
      <c r="M164" s="7">
        <v>10</v>
      </c>
      <c r="N164" s="36">
        <v>800852</v>
      </c>
      <c r="O164" s="7">
        <v>1</v>
      </c>
      <c r="V164" s="7">
        <v>10</v>
      </c>
      <c r="W164" s="36">
        <v>800855</v>
      </c>
      <c r="X164" s="7">
        <v>1</v>
      </c>
      <c r="AA164" s="36" t="s">
        <v>259</v>
      </c>
      <c r="AB164" s="41">
        <v>2395</v>
      </c>
      <c r="AC164" s="41">
        <v>1797</v>
      </c>
      <c r="AD164" s="41">
        <v>27370</v>
      </c>
      <c r="AE164" s="41">
        <v>290</v>
      </c>
      <c r="AF164" s="7">
        <v>0</v>
      </c>
      <c r="AG164" s="7">
        <v>0</v>
      </c>
      <c r="AH164" s="7">
        <v>1</v>
      </c>
      <c r="AI164" s="7">
        <v>0</v>
      </c>
      <c r="AJ164" s="7">
        <v>1.5</v>
      </c>
      <c r="AK164" s="7">
        <v>0</v>
      </c>
      <c r="AL164" s="7">
        <v>0</v>
      </c>
      <c r="AM164" s="7">
        <v>0</v>
      </c>
      <c r="AO164" s="7">
        <v>0.5</v>
      </c>
    </row>
    <row r="165" s="7" customFormat="1" spans="1:41">
      <c r="A165" s="7">
        <v>219</v>
      </c>
      <c r="B165" s="12">
        <v>113046</v>
      </c>
      <c r="C165" s="7" t="s">
        <v>258</v>
      </c>
      <c r="D165" s="7">
        <v>3</v>
      </c>
      <c r="E165" s="7">
        <v>6</v>
      </c>
      <c r="F165" s="7">
        <v>-1</v>
      </c>
      <c r="G165" s="7">
        <v>2</v>
      </c>
      <c r="H165" s="7">
        <v>6</v>
      </c>
      <c r="I165" s="7">
        <v>8</v>
      </c>
      <c r="J165" s="7">
        <v>0</v>
      </c>
      <c r="K165" s="7">
        <v>800850</v>
      </c>
      <c r="L165" s="7">
        <v>1</v>
      </c>
      <c r="M165" s="7">
        <v>10</v>
      </c>
      <c r="N165" s="36">
        <v>800853</v>
      </c>
      <c r="O165" s="7">
        <v>1</v>
      </c>
      <c r="V165" s="7">
        <v>10</v>
      </c>
      <c r="W165" s="36">
        <v>800856</v>
      </c>
      <c r="X165" s="7">
        <v>1</v>
      </c>
      <c r="AA165" s="36" t="s">
        <v>260</v>
      </c>
      <c r="AB165" s="41">
        <v>3421</v>
      </c>
      <c r="AC165" s="41">
        <v>2566</v>
      </c>
      <c r="AD165" s="41">
        <v>39100</v>
      </c>
      <c r="AE165" s="41">
        <v>290</v>
      </c>
      <c r="AF165" s="7">
        <v>0</v>
      </c>
      <c r="AG165" s="7">
        <v>0</v>
      </c>
      <c r="AH165" s="7">
        <v>1</v>
      </c>
      <c r="AI165" s="7">
        <v>0</v>
      </c>
      <c r="AJ165" s="7">
        <v>1.5</v>
      </c>
      <c r="AK165" s="7">
        <v>0</v>
      </c>
      <c r="AL165" s="7">
        <v>0</v>
      </c>
      <c r="AM165" s="7">
        <v>0</v>
      </c>
      <c r="AO165" s="7">
        <v>0.5</v>
      </c>
    </row>
    <row r="166" spans="1:41">
      <c r="A166">
        <v>1001</v>
      </c>
      <c r="B166">
        <v>121009</v>
      </c>
      <c r="D166">
        <v>1</v>
      </c>
      <c r="E166">
        <v>1001</v>
      </c>
      <c r="F166">
        <v>-1</v>
      </c>
      <c r="G166">
        <v>0</v>
      </c>
      <c r="H166">
        <v>0</v>
      </c>
      <c r="I166">
        <v>2</v>
      </c>
      <c r="J166">
        <v>0</v>
      </c>
      <c r="K166">
        <v>10010</v>
      </c>
      <c r="L166">
        <v>1</v>
      </c>
      <c r="AB166">
        <v>2242</v>
      </c>
      <c r="AC166">
        <v>517</v>
      </c>
      <c r="AD166">
        <v>6900</v>
      </c>
      <c r="AE166">
        <v>50</v>
      </c>
      <c r="AF166">
        <v>0</v>
      </c>
      <c r="AG166">
        <v>0</v>
      </c>
      <c r="AH166">
        <v>1</v>
      </c>
      <c r="AI166">
        <v>0</v>
      </c>
      <c r="AJ166">
        <v>1.5</v>
      </c>
      <c r="AK166">
        <v>0</v>
      </c>
      <c r="AL166">
        <v>0</v>
      </c>
      <c r="AM166">
        <v>0</v>
      </c>
      <c r="AO166">
        <v>0.5</v>
      </c>
    </row>
    <row r="167" spans="1:41">
      <c r="A167">
        <v>1002</v>
      </c>
      <c r="B167">
        <v>121099</v>
      </c>
      <c r="D167">
        <v>1</v>
      </c>
      <c r="E167">
        <v>1002</v>
      </c>
      <c r="F167">
        <v>-1</v>
      </c>
      <c r="G167">
        <v>0</v>
      </c>
      <c r="H167">
        <v>0</v>
      </c>
      <c r="I167">
        <v>2</v>
      </c>
      <c r="J167">
        <v>0</v>
      </c>
      <c r="K167">
        <v>10352</v>
      </c>
      <c r="L167">
        <v>1</v>
      </c>
      <c r="AB167">
        <v>1897</v>
      </c>
      <c r="AC167">
        <v>474</v>
      </c>
      <c r="AD167">
        <v>7906</v>
      </c>
      <c r="AE167">
        <v>55</v>
      </c>
      <c r="AF167">
        <v>0</v>
      </c>
      <c r="AG167">
        <v>0</v>
      </c>
      <c r="AH167">
        <v>1</v>
      </c>
      <c r="AI167">
        <v>0</v>
      </c>
      <c r="AJ167">
        <v>1.5</v>
      </c>
      <c r="AK167">
        <v>0</v>
      </c>
      <c r="AL167">
        <v>0</v>
      </c>
      <c r="AM167">
        <v>0</v>
      </c>
      <c r="AO167">
        <v>0.5</v>
      </c>
    </row>
    <row r="168" spans="1:41">
      <c r="A168">
        <v>1003</v>
      </c>
      <c r="B168">
        <v>121100</v>
      </c>
      <c r="D168">
        <v>1</v>
      </c>
      <c r="E168">
        <v>1003</v>
      </c>
      <c r="F168">
        <v>-1</v>
      </c>
      <c r="G168">
        <v>0</v>
      </c>
      <c r="H168">
        <v>0</v>
      </c>
      <c r="I168">
        <v>2</v>
      </c>
      <c r="J168">
        <v>0</v>
      </c>
      <c r="K168">
        <v>10353</v>
      </c>
      <c r="L168">
        <v>1</v>
      </c>
      <c r="AB168">
        <v>2587</v>
      </c>
      <c r="AC168">
        <v>345</v>
      </c>
      <c r="AD168">
        <v>5175</v>
      </c>
      <c r="AE168">
        <v>50</v>
      </c>
      <c r="AF168">
        <v>0</v>
      </c>
      <c r="AG168">
        <v>0</v>
      </c>
      <c r="AH168">
        <v>1</v>
      </c>
      <c r="AI168">
        <v>0</v>
      </c>
      <c r="AJ168">
        <v>1.5</v>
      </c>
      <c r="AK168">
        <v>0</v>
      </c>
      <c r="AL168">
        <v>0</v>
      </c>
      <c r="AM168">
        <v>0</v>
      </c>
      <c r="AO168">
        <v>0.5</v>
      </c>
    </row>
    <row r="169" spans="1:41">
      <c r="A169">
        <v>1004</v>
      </c>
      <c r="B169">
        <v>121109</v>
      </c>
      <c r="D169">
        <v>1</v>
      </c>
      <c r="E169">
        <v>1004</v>
      </c>
      <c r="F169">
        <v>-1</v>
      </c>
      <c r="G169">
        <v>0</v>
      </c>
      <c r="H169">
        <v>0</v>
      </c>
      <c r="I169">
        <v>2</v>
      </c>
      <c r="J169">
        <v>0</v>
      </c>
      <c r="K169">
        <v>10362</v>
      </c>
      <c r="L169">
        <v>1</v>
      </c>
      <c r="AB169">
        <v>2055</v>
      </c>
      <c r="AC169">
        <v>747</v>
      </c>
      <c r="AD169">
        <v>9343</v>
      </c>
      <c r="AE169">
        <v>60</v>
      </c>
      <c r="AF169">
        <v>0</v>
      </c>
      <c r="AG169">
        <v>0</v>
      </c>
      <c r="AH169">
        <v>1</v>
      </c>
      <c r="AI169">
        <v>0</v>
      </c>
      <c r="AJ169">
        <v>1.5</v>
      </c>
      <c r="AK169">
        <v>0</v>
      </c>
      <c r="AL169">
        <v>0</v>
      </c>
      <c r="AM169">
        <v>0</v>
      </c>
      <c r="AO169">
        <v>0.5</v>
      </c>
    </row>
    <row r="170" spans="1:41">
      <c r="A170">
        <v>1005</v>
      </c>
      <c r="B170">
        <v>121110</v>
      </c>
      <c r="D170">
        <v>1</v>
      </c>
      <c r="E170">
        <v>1005</v>
      </c>
      <c r="F170">
        <v>-1</v>
      </c>
      <c r="G170">
        <v>0</v>
      </c>
      <c r="H170">
        <v>0</v>
      </c>
      <c r="I170">
        <v>2</v>
      </c>
      <c r="J170">
        <v>0</v>
      </c>
      <c r="K170">
        <v>10363</v>
      </c>
      <c r="L170">
        <v>1</v>
      </c>
      <c r="AB170">
        <v>2616</v>
      </c>
      <c r="AC170">
        <v>560</v>
      </c>
      <c r="AD170">
        <v>5606</v>
      </c>
      <c r="AE170">
        <v>100</v>
      </c>
      <c r="AF170">
        <v>0</v>
      </c>
      <c r="AG170">
        <v>0</v>
      </c>
      <c r="AH170">
        <v>1</v>
      </c>
      <c r="AI170">
        <v>0</v>
      </c>
      <c r="AJ170">
        <v>1.5</v>
      </c>
      <c r="AK170">
        <v>0</v>
      </c>
      <c r="AL170">
        <v>0</v>
      </c>
      <c r="AM170">
        <v>0</v>
      </c>
      <c r="AO170">
        <v>0.5</v>
      </c>
    </row>
    <row r="175" spans="28:28">
      <c r="AB175">
        <v>0.9</v>
      </c>
    </row>
  </sheetData>
  <autoFilter ref="A6:AP170">
    <extLst/>
  </autoFilter>
  <conditionalFormatting sqref="Q60">
    <cfRule type="duplicateValues" dxfId="0" priority="8"/>
  </conditionalFormatting>
  <conditionalFormatting sqref="N7:N9">
    <cfRule type="duplicateValues" dxfId="0" priority="102"/>
  </conditionalFormatting>
  <conditionalFormatting sqref="N10:N12">
    <cfRule type="duplicateValues" dxfId="0" priority="100"/>
  </conditionalFormatting>
  <conditionalFormatting sqref="N13:N15">
    <cfRule type="duplicateValues" dxfId="0" priority="98"/>
  </conditionalFormatting>
  <conditionalFormatting sqref="N16:N18">
    <cfRule type="duplicateValues" dxfId="0" priority="96"/>
  </conditionalFormatting>
  <conditionalFormatting sqref="N19:N21">
    <cfRule type="duplicateValues" dxfId="0" priority="94"/>
  </conditionalFormatting>
  <conditionalFormatting sqref="N22:N24">
    <cfRule type="duplicateValues" dxfId="0" priority="92"/>
  </conditionalFormatting>
  <conditionalFormatting sqref="N25:N27">
    <cfRule type="duplicateValues" dxfId="0" priority="90"/>
  </conditionalFormatting>
  <conditionalFormatting sqref="N28:N30">
    <cfRule type="duplicateValues" dxfId="0" priority="88"/>
  </conditionalFormatting>
  <conditionalFormatting sqref="N31:N33">
    <cfRule type="duplicateValues" dxfId="0" priority="86"/>
  </conditionalFormatting>
  <conditionalFormatting sqref="N34:N36">
    <cfRule type="duplicateValues" dxfId="0" priority="84"/>
  </conditionalFormatting>
  <conditionalFormatting sqref="N37:N39">
    <cfRule type="duplicateValues" dxfId="0" priority="82"/>
  </conditionalFormatting>
  <conditionalFormatting sqref="N40:N42">
    <cfRule type="duplicateValues" dxfId="0" priority="80"/>
  </conditionalFormatting>
  <conditionalFormatting sqref="N43:N45">
    <cfRule type="duplicateValues" dxfId="0" priority="78"/>
  </conditionalFormatting>
  <conditionalFormatting sqref="N46:N48">
    <cfRule type="duplicateValues" dxfId="0" priority="76"/>
  </conditionalFormatting>
  <conditionalFormatting sqref="N49:N51">
    <cfRule type="duplicateValues" dxfId="0" priority="72"/>
  </conditionalFormatting>
  <conditionalFormatting sqref="N52:N54">
    <cfRule type="duplicateValues" dxfId="0" priority="70"/>
  </conditionalFormatting>
  <conditionalFormatting sqref="N55:N57">
    <cfRule type="duplicateValues" dxfId="0" priority="68"/>
  </conditionalFormatting>
  <conditionalFormatting sqref="N58:N60">
    <cfRule type="duplicateValues" dxfId="0" priority="66"/>
  </conditionalFormatting>
  <conditionalFormatting sqref="N61:N63">
    <cfRule type="duplicateValues" dxfId="0" priority="64"/>
  </conditionalFormatting>
  <conditionalFormatting sqref="N64:N66">
    <cfRule type="duplicateValues" dxfId="0" priority="62"/>
  </conditionalFormatting>
  <conditionalFormatting sqref="N67:N69">
    <cfRule type="duplicateValues" dxfId="0" priority="60"/>
  </conditionalFormatting>
  <conditionalFormatting sqref="N70:N72">
    <cfRule type="duplicateValues" dxfId="0" priority="58"/>
  </conditionalFormatting>
  <conditionalFormatting sqref="N73:N75">
    <cfRule type="duplicateValues" dxfId="0" priority="56"/>
  </conditionalFormatting>
  <conditionalFormatting sqref="N76:N78">
    <cfRule type="duplicateValues" dxfId="0" priority="54"/>
  </conditionalFormatting>
  <conditionalFormatting sqref="N79:N81">
    <cfRule type="duplicateValues" dxfId="0" priority="52"/>
  </conditionalFormatting>
  <conditionalFormatting sqref="N82:N84">
    <cfRule type="duplicateValues" dxfId="0" priority="50"/>
  </conditionalFormatting>
  <conditionalFormatting sqref="N85:N87">
    <cfRule type="duplicateValues" dxfId="0" priority="48"/>
  </conditionalFormatting>
  <conditionalFormatting sqref="N88:N90">
    <cfRule type="duplicateValues" dxfId="0" priority="47"/>
  </conditionalFormatting>
  <conditionalFormatting sqref="N91:N93">
    <cfRule type="duplicateValues" dxfId="0" priority="44"/>
  </conditionalFormatting>
  <conditionalFormatting sqref="N94:N96">
    <cfRule type="duplicateValues" dxfId="0" priority="42"/>
  </conditionalFormatting>
  <conditionalFormatting sqref="N97:N99">
    <cfRule type="duplicateValues" dxfId="0" priority="40"/>
  </conditionalFormatting>
  <conditionalFormatting sqref="N100:N102">
    <cfRule type="duplicateValues" dxfId="0" priority="37"/>
  </conditionalFormatting>
  <conditionalFormatting sqref="N103:N105">
    <cfRule type="duplicateValues" dxfId="0" priority="35"/>
  </conditionalFormatting>
  <conditionalFormatting sqref="N106:N108">
    <cfRule type="duplicateValues" dxfId="0" priority="33"/>
  </conditionalFormatting>
  <conditionalFormatting sqref="N109:N111">
    <cfRule type="duplicateValues" dxfId="0" priority="31"/>
  </conditionalFormatting>
  <conditionalFormatting sqref="N112:N114">
    <cfRule type="duplicateValues" dxfId="0" priority="29"/>
  </conditionalFormatting>
  <conditionalFormatting sqref="N115:N117">
    <cfRule type="duplicateValues" dxfId="0" priority="27"/>
  </conditionalFormatting>
  <conditionalFormatting sqref="N118:N120">
    <cfRule type="duplicateValues" dxfId="0" priority="25"/>
  </conditionalFormatting>
  <conditionalFormatting sqref="N121:N123">
    <cfRule type="duplicateValues" dxfId="0" priority="23"/>
  </conditionalFormatting>
  <conditionalFormatting sqref="N124:N126">
    <cfRule type="duplicateValues" dxfId="0" priority="21"/>
  </conditionalFormatting>
  <conditionalFormatting sqref="N127:N129">
    <cfRule type="duplicateValues" dxfId="0" priority="18"/>
  </conditionalFormatting>
  <conditionalFormatting sqref="N130:N132">
    <cfRule type="duplicateValues" dxfId="0" priority="15"/>
  </conditionalFormatting>
  <conditionalFormatting sqref="N133:N135">
    <cfRule type="duplicateValues" dxfId="0" priority="12"/>
  </conditionalFormatting>
  <conditionalFormatting sqref="N136:N138">
    <cfRule type="duplicateValues" dxfId="0" priority="10"/>
  </conditionalFormatting>
  <conditionalFormatting sqref="N139:N141">
    <cfRule type="duplicateValues" dxfId="0" priority="7"/>
  </conditionalFormatting>
  <conditionalFormatting sqref="N142:N144">
    <cfRule type="duplicateValues" dxfId="0" priority="4"/>
  </conditionalFormatting>
  <conditionalFormatting sqref="N145:N156">
    <cfRule type="duplicateValues" dxfId="0" priority="2"/>
  </conditionalFormatting>
  <conditionalFormatting sqref="Q46:Q48">
    <cfRule type="duplicateValues" dxfId="0" priority="74"/>
  </conditionalFormatting>
  <conditionalFormatting sqref="Q97:Q99">
    <cfRule type="duplicateValues" dxfId="0" priority="39"/>
  </conditionalFormatting>
  <conditionalFormatting sqref="Q124:Q126">
    <cfRule type="duplicateValues" dxfId="0" priority="20"/>
  </conditionalFormatting>
  <conditionalFormatting sqref="Q127:Q129">
    <cfRule type="duplicateValues" dxfId="0" priority="17"/>
  </conditionalFormatting>
  <conditionalFormatting sqref="Q131:Q132">
    <cfRule type="duplicateValues" dxfId="0" priority="14"/>
  </conditionalFormatting>
  <conditionalFormatting sqref="Q140:Q141">
    <cfRule type="duplicateValues" dxfId="0" priority="6"/>
  </conditionalFormatting>
  <conditionalFormatting sqref="W7:W9">
    <cfRule type="duplicateValues" dxfId="0" priority="101"/>
  </conditionalFormatting>
  <conditionalFormatting sqref="W10:W12">
    <cfRule type="duplicateValues" dxfId="0" priority="99"/>
  </conditionalFormatting>
  <conditionalFormatting sqref="W13:W15">
    <cfRule type="duplicateValues" dxfId="0" priority="97"/>
  </conditionalFormatting>
  <conditionalFormatting sqref="W16:W18">
    <cfRule type="duplicateValues" dxfId="0" priority="95"/>
  </conditionalFormatting>
  <conditionalFormatting sqref="W19:W21">
    <cfRule type="duplicateValues" dxfId="0" priority="93"/>
  </conditionalFormatting>
  <conditionalFormatting sqref="W22:W24">
    <cfRule type="duplicateValues" dxfId="0" priority="91"/>
  </conditionalFormatting>
  <conditionalFormatting sqref="W25:W27">
    <cfRule type="duplicateValues" dxfId="0" priority="89"/>
  </conditionalFormatting>
  <conditionalFormatting sqref="W28:W30">
    <cfRule type="duplicateValues" dxfId="0" priority="87"/>
  </conditionalFormatting>
  <conditionalFormatting sqref="W31:W33">
    <cfRule type="duplicateValues" dxfId="0" priority="85"/>
  </conditionalFormatting>
  <conditionalFormatting sqref="W34:W36">
    <cfRule type="duplicateValues" dxfId="0" priority="83"/>
  </conditionalFormatting>
  <conditionalFormatting sqref="W37:W39">
    <cfRule type="duplicateValues" dxfId="0" priority="81"/>
  </conditionalFormatting>
  <conditionalFormatting sqref="W40:W42">
    <cfRule type="duplicateValues" dxfId="0" priority="79"/>
  </conditionalFormatting>
  <conditionalFormatting sqref="W43:W45">
    <cfRule type="duplicateValues" dxfId="0" priority="77"/>
  </conditionalFormatting>
  <conditionalFormatting sqref="W46:W48">
    <cfRule type="duplicateValues" dxfId="0" priority="73"/>
  </conditionalFormatting>
  <conditionalFormatting sqref="W49:W51">
    <cfRule type="duplicateValues" dxfId="0" priority="71"/>
  </conditionalFormatting>
  <conditionalFormatting sqref="W52:W54">
    <cfRule type="duplicateValues" dxfId="0" priority="69"/>
  </conditionalFormatting>
  <conditionalFormatting sqref="W55:W57">
    <cfRule type="duplicateValues" dxfId="0" priority="67"/>
  </conditionalFormatting>
  <conditionalFormatting sqref="W58:W60">
    <cfRule type="duplicateValues" dxfId="0" priority="65"/>
  </conditionalFormatting>
  <conditionalFormatting sqref="W61:W63">
    <cfRule type="duplicateValues" dxfId="0" priority="63"/>
  </conditionalFormatting>
  <conditionalFormatting sqref="W64:W66">
    <cfRule type="duplicateValues" dxfId="0" priority="61"/>
  </conditionalFormatting>
  <conditionalFormatting sqref="W67:W69">
    <cfRule type="duplicateValues" dxfId="0" priority="59"/>
  </conditionalFormatting>
  <conditionalFormatting sqref="W70:W72">
    <cfRule type="duplicateValues" dxfId="0" priority="57"/>
  </conditionalFormatting>
  <conditionalFormatting sqref="W73:W75">
    <cfRule type="duplicateValues" dxfId="0" priority="55"/>
  </conditionalFormatting>
  <conditionalFormatting sqref="W76:W78">
    <cfRule type="duplicateValues" dxfId="0" priority="53"/>
  </conditionalFormatting>
  <conditionalFormatting sqref="W79:W81">
    <cfRule type="duplicateValues" dxfId="0" priority="51"/>
  </conditionalFormatting>
  <conditionalFormatting sqref="W82:W84">
    <cfRule type="duplicateValues" dxfId="0" priority="49"/>
  </conditionalFormatting>
  <conditionalFormatting sqref="W85:W87">
    <cfRule type="duplicateValues" dxfId="0" priority="46"/>
  </conditionalFormatting>
  <conditionalFormatting sqref="W88:W90">
    <cfRule type="duplicateValues" dxfId="0" priority="45"/>
  </conditionalFormatting>
  <conditionalFormatting sqref="W91:W93">
    <cfRule type="duplicateValues" dxfId="0" priority="43"/>
  </conditionalFormatting>
  <conditionalFormatting sqref="W94:W96">
    <cfRule type="duplicateValues" dxfId="0" priority="41"/>
  </conditionalFormatting>
  <conditionalFormatting sqref="W97:W99">
    <cfRule type="duplicateValues" dxfId="0" priority="38"/>
  </conditionalFormatting>
  <conditionalFormatting sqref="W100:W102">
    <cfRule type="duplicateValues" dxfId="0" priority="36"/>
  </conditionalFormatting>
  <conditionalFormatting sqref="W103:W105">
    <cfRule type="duplicateValues" dxfId="0" priority="34"/>
  </conditionalFormatting>
  <conditionalFormatting sqref="W106:W108">
    <cfRule type="duplicateValues" dxfId="0" priority="32"/>
  </conditionalFormatting>
  <conditionalFormatting sqref="W109:W111">
    <cfRule type="duplicateValues" dxfId="0" priority="30"/>
  </conditionalFormatting>
  <conditionalFormatting sqref="W112:W114">
    <cfRule type="duplicateValues" dxfId="0" priority="28"/>
  </conditionalFormatting>
  <conditionalFormatting sqref="W115:W117">
    <cfRule type="duplicateValues" dxfId="0" priority="26"/>
  </conditionalFormatting>
  <conditionalFormatting sqref="W118:W120">
    <cfRule type="duplicateValues" dxfId="0" priority="24"/>
  </conditionalFormatting>
  <conditionalFormatting sqref="W121:W123">
    <cfRule type="duplicateValues" dxfId="0" priority="22"/>
  </conditionalFormatting>
  <conditionalFormatting sqref="W124:W126">
    <cfRule type="duplicateValues" dxfId="0" priority="19"/>
  </conditionalFormatting>
  <conditionalFormatting sqref="W127:W129">
    <cfRule type="duplicateValues" dxfId="0" priority="16"/>
  </conditionalFormatting>
  <conditionalFormatting sqref="W130:W132">
    <cfRule type="duplicateValues" dxfId="0" priority="13"/>
  </conditionalFormatting>
  <conditionalFormatting sqref="W133:W135">
    <cfRule type="duplicateValues" dxfId="0" priority="11"/>
  </conditionalFormatting>
  <conditionalFormatting sqref="W136:W138">
    <cfRule type="duplicateValues" dxfId="0" priority="9"/>
  </conditionalFormatting>
  <conditionalFormatting sqref="W139:W141">
    <cfRule type="duplicateValues" dxfId="0" priority="5"/>
  </conditionalFormatting>
  <conditionalFormatting sqref="W142:W144">
    <cfRule type="duplicateValues" dxfId="0" priority="3"/>
  </conditionalFormatting>
  <conditionalFormatting sqref="W145:W153"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I28" sqref="I28"/>
    </sheetView>
  </sheetViews>
  <sheetFormatPr defaultColWidth="9" defaultRowHeight="13.5"/>
  <cols>
    <col min="13" max="14" width="10.8833333333333" customWidth="1"/>
  </cols>
  <sheetData>
    <row r="1" spans="1:9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  <c r="H1" t="s">
        <v>268</v>
      </c>
      <c r="I1" t="s">
        <v>269</v>
      </c>
    </row>
    <row r="2" spans="1:9">
      <c r="A2">
        <v>999</v>
      </c>
      <c r="B2">
        <v>2</v>
      </c>
      <c r="C2">
        <v>999</v>
      </c>
      <c r="D2">
        <v>-29</v>
      </c>
      <c r="E2">
        <v>38.3</v>
      </c>
      <c r="F2">
        <v>0</v>
      </c>
      <c r="G2">
        <v>-1</v>
      </c>
      <c r="H2">
        <v>0</v>
      </c>
      <c r="I2">
        <v>0.5</v>
      </c>
    </row>
    <row r="3" spans="1:9">
      <c r="A3">
        <v>800</v>
      </c>
      <c r="B3">
        <v>2</v>
      </c>
      <c r="C3">
        <v>800</v>
      </c>
      <c r="D3">
        <v>-29</v>
      </c>
      <c r="E3">
        <v>31.3</v>
      </c>
      <c r="F3">
        <v>0</v>
      </c>
      <c r="G3">
        <v>1</v>
      </c>
      <c r="H3">
        <v>0</v>
      </c>
      <c r="I3">
        <v>0.5</v>
      </c>
    </row>
    <row r="4" spans="1:9">
      <c r="A4">
        <v>801</v>
      </c>
      <c r="B4">
        <v>2</v>
      </c>
      <c r="C4">
        <v>801</v>
      </c>
      <c r="D4">
        <v>-30.5</v>
      </c>
      <c r="E4">
        <v>30.7</v>
      </c>
      <c r="F4">
        <v>0</v>
      </c>
      <c r="G4">
        <v>1</v>
      </c>
      <c r="H4">
        <v>0</v>
      </c>
      <c r="I4">
        <v>0.5</v>
      </c>
    </row>
    <row r="5" spans="1:9">
      <c r="A5">
        <v>802</v>
      </c>
      <c r="B5">
        <v>2</v>
      </c>
      <c r="C5">
        <v>802</v>
      </c>
      <c r="D5">
        <v>-27.3</v>
      </c>
      <c r="E5">
        <v>30.7</v>
      </c>
      <c r="F5">
        <v>0</v>
      </c>
      <c r="G5">
        <v>1</v>
      </c>
      <c r="H5">
        <v>0</v>
      </c>
      <c r="I5">
        <v>0.5</v>
      </c>
    </row>
    <row r="6" spans="1:9">
      <c r="A6">
        <v>803</v>
      </c>
      <c r="B6">
        <v>2</v>
      </c>
      <c r="C6">
        <v>803</v>
      </c>
      <c r="D6">
        <v>-25.3</v>
      </c>
      <c r="E6">
        <v>32.1</v>
      </c>
      <c r="F6">
        <v>-0.6</v>
      </c>
      <c r="G6">
        <v>1</v>
      </c>
      <c r="H6">
        <v>0</v>
      </c>
      <c r="I6">
        <v>0.5</v>
      </c>
    </row>
    <row r="7" spans="1:9">
      <c r="A7">
        <v>804</v>
      </c>
      <c r="B7">
        <v>2</v>
      </c>
      <c r="C7">
        <v>804</v>
      </c>
      <c r="D7">
        <v>-32.63</v>
      </c>
      <c r="E7">
        <v>32.1</v>
      </c>
      <c r="F7">
        <v>0.5</v>
      </c>
      <c r="G7">
        <v>1</v>
      </c>
      <c r="H7">
        <v>0</v>
      </c>
      <c r="I7">
        <v>0.5</v>
      </c>
    </row>
    <row r="8" spans="1:9">
      <c r="A8">
        <v>805</v>
      </c>
      <c r="B8">
        <v>2</v>
      </c>
      <c r="C8">
        <v>805</v>
      </c>
      <c r="D8">
        <v>-31.8</v>
      </c>
      <c r="E8">
        <v>29.2</v>
      </c>
      <c r="F8">
        <v>0</v>
      </c>
      <c r="G8">
        <v>-1</v>
      </c>
      <c r="H8">
        <v>0</v>
      </c>
      <c r="I8">
        <v>0.5</v>
      </c>
    </row>
    <row r="9" spans="1:9">
      <c r="A9">
        <v>806</v>
      </c>
      <c r="B9">
        <v>2</v>
      </c>
      <c r="C9">
        <v>806</v>
      </c>
      <c r="D9">
        <v>-26.2</v>
      </c>
      <c r="E9">
        <v>29.2</v>
      </c>
      <c r="F9">
        <v>0</v>
      </c>
      <c r="G9">
        <v>-1</v>
      </c>
      <c r="H9">
        <v>0</v>
      </c>
      <c r="I9">
        <v>0.5</v>
      </c>
    </row>
    <row r="15" spans="13:13">
      <c r="M15" t="s">
        <v>270</v>
      </c>
    </row>
    <row r="16" ht="14.25" spans="1:14">
      <c r="A16">
        <v>2</v>
      </c>
      <c r="B16" s="2" t="s">
        <v>271</v>
      </c>
      <c r="D16">
        <v>40</v>
      </c>
      <c r="E16">
        <v>0</v>
      </c>
      <c r="F16" t="s">
        <v>272</v>
      </c>
      <c r="M16">
        <v>1</v>
      </c>
      <c r="N16" t="s">
        <v>273</v>
      </c>
    </row>
    <row r="17" ht="14.25" spans="1:14">
      <c r="A17">
        <v>3</v>
      </c>
      <c r="B17" s="2" t="s">
        <v>274</v>
      </c>
      <c r="D17">
        <v>50</v>
      </c>
      <c r="E17">
        <v>1</v>
      </c>
      <c r="F17" t="s">
        <v>275</v>
      </c>
      <c r="M17">
        <v>2</v>
      </c>
      <c r="N17" t="s">
        <v>276</v>
      </c>
    </row>
    <row r="18" spans="13:14">
      <c r="M18">
        <v>3</v>
      </c>
      <c r="N18" t="s">
        <v>277</v>
      </c>
    </row>
    <row r="19" spans="13:14">
      <c r="M19">
        <v>4</v>
      </c>
      <c r="N19" t="s">
        <v>278</v>
      </c>
    </row>
    <row r="20" spans="13:14">
      <c r="M20">
        <v>5</v>
      </c>
      <c r="N20" t="s">
        <v>279</v>
      </c>
    </row>
    <row r="21" spans="13:14">
      <c r="M21">
        <v>6</v>
      </c>
      <c r="N21" t="s">
        <v>280</v>
      </c>
    </row>
    <row r="22" spans="13:14">
      <c r="M22">
        <v>7</v>
      </c>
      <c r="N22" t="s">
        <v>281</v>
      </c>
    </row>
    <row r="23" spans="13:14">
      <c r="M23">
        <v>8</v>
      </c>
      <c r="N23" t="s">
        <v>282</v>
      </c>
    </row>
    <row r="24" spans="13:14">
      <c r="M24">
        <v>9</v>
      </c>
      <c r="N24" t="s">
        <v>283</v>
      </c>
    </row>
    <row r="25" spans="13:14">
      <c r="M25">
        <v>10</v>
      </c>
      <c r="N25" t="s">
        <v>284</v>
      </c>
    </row>
    <row r="26" spans="13:14">
      <c r="M26">
        <v>11</v>
      </c>
      <c r="N26" t="s">
        <v>285</v>
      </c>
    </row>
    <row r="27" spans="13:14">
      <c r="M27">
        <v>12</v>
      </c>
      <c r="N27" t="s">
        <v>286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33"/>
  <sheetViews>
    <sheetView topLeftCell="A40" workbookViewId="0">
      <selection activeCell="F58" sqref="F58"/>
    </sheetView>
  </sheetViews>
  <sheetFormatPr defaultColWidth="9" defaultRowHeight="13.5"/>
  <sheetData>
    <row r="1" spans="1:23">
      <c r="A1" t="s">
        <v>287</v>
      </c>
      <c r="B1" t="s">
        <v>288</v>
      </c>
      <c r="C1" t="s">
        <v>289</v>
      </c>
      <c r="D1" t="s">
        <v>290</v>
      </c>
      <c r="H1" t="s">
        <v>291</v>
      </c>
      <c r="L1" t="s">
        <v>292</v>
      </c>
      <c r="P1" t="s">
        <v>293</v>
      </c>
      <c r="U1" t="e">
        <f>ROUND(VLOOKUP($C1,Sheet3!$A$1:$S$50,9+S1,0),0)</f>
        <v>#N/A</v>
      </c>
      <c r="V1" t="e">
        <f>ROUND(VLOOKUP($C1,Sheet3!$A$1:$S$50,10+S1,0),0)</f>
        <v>#N/A</v>
      </c>
      <c r="W1" t="e">
        <f>ROUND(VLOOKUP($C1,Sheet3!$A$1:$S$50,8+S1,0),0)</f>
        <v>#N/A</v>
      </c>
    </row>
    <row r="2" spans="4:28">
      <c r="D2" t="s">
        <v>294</v>
      </c>
      <c r="E2" t="s">
        <v>27</v>
      </c>
      <c r="F2" t="s">
        <v>28</v>
      </c>
      <c r="G2" t="s">
        <v>295</v>
      </c>
      <c r="H2" t="s">
        <v>294</v>
      </c>
      <c r="I2" t="s">
        <v>27</v>
      </c>
      <c r="J2" t="s">
        <v>28</v>
      </c>
      <c r="K2" t="s">
        <v>30</v>
      </c>
      <c r="L2" t="s">
        <v>294</v>
      </c>
      <c r="M2" t="s">
        <v>27</v>
      </c>
      <c r="N2" t="s">
        <v>28</v>
      </c>
      <c r="O2" t="s">
        <v>30</v>
      </c>
      <c r="P2" t="s">
        <v>294</v>
      </c>
      <c r="Q2" t="s">
        <v>27</v>
      </c>
      <c r="R2" t="s">
        <v>28</v>
      </c>
      <c r="S2" t="s">
        <v>30</v>
      </c>
      <c r="X2">
        <v>0</v>
      </c>
      <c r="Z2">
        <v>2645</v>
      </c>
      <c r="AA2">
        <v>759</v>
      </c>
      <c r="AB2">
        <v>11960</v>
      </c>
    </row>
    <row r="3" spans="1:28">
      <c r="A3" t="s">
        <v>207</v>
      </c>
      <c r="B3" t="s">
        <v>296</v>
      </c>
      <c r="C3" t="s">
        <v>297</v>
      </c>
      <c r="D3">
        <v>1500</v>
      </c>
      <c r="E3">
        <v>7500</v>
      </c>
      <c r="F3">
        <v>1000</v>
      </c>
      <c r="G3">
        <v>10000</v>
      </c>
      <c r="H3">
        <v>14375</v>
      </c>
      <c r="I3">
        <v>3450</v>
      </c>
      <c r="J3">
        <v>862.5</v>
      </c>
      <c r="K3">
        <v>565</v>
      </c>
      <c r="L3">
        <v>20125</v>
      </c>
      <c r="M3">
        <v>4830</v>
      </c>
      <c r="N3">
        <v>1207.5</v>
      </c>
      <c r="O3">
        <v>565</v>
      </c>
      <c r="P3">
        <v>28750</v>
      </c>
      <c r="Q3">
        <v>6900</v>
      </c>
      <c r="R3">
        <v>1725</v>
      </c>
      <c r="S3">
        <v>565</v>
      </c>
      <c r="X3">
        <v>4</v>
      </c>
      <c r="Z3">
        <v>3703</v>
      </c>
      <c r="AA3">
        <v>1063</v>
      </c>
      <c r="AB3">
        <v>16744</v>
      </c>
    </row>
    <row r="4" spans="1:28">
      <c r="A4" t="s">
        <v>190</v>
      </c>
      <c r="B4" t="s">
        <v>296</v>
      </c>
      <c r="C4" t="s">
        <v>297</v>
      </c>
      <c r="D4">
        <v>2500</v>
      </c>
      <c r="E4">
        <v>6000</v>
      </c>
      <c r="F4">
        <v>1500</v>
      </c>
      <c r="G4">
        <v>10000</v>
      </c>
      <c r="H4">
        <v>16675</v>
      </c>
      <c r="I4">
        <v>2932.5</v>
      </c>
      <c r="J4">
        <v>1150</v>
      </c>
      <c r="K4">
        <v>492</v>
      </c>
      <c r="L4">
        <v>23345</v>
      </c>
      <c r="M4">
        <v>4105.5</v>
      </c>
      <c r="N4">
        <v>1610</v>
      </c>
      <c r="O4">
        <v>492</v>
      </c>
      <c r="P4">
        <v>33350</v>
      </c>
      <c r="Q4">
        <v>5865</v>
      </c>
      <c r="R4">
        <v>2300</v>
      </c>
      <c r="S4">
        <v>492</v>
      </c>
      <c r="X4">
        <v>8</v>
      </c>
      <c r="Z4">
        <v>5290</v>
      </c>
      <c r="AA4">
        <v>1518</v>
      </c>
      <c r="AB4">
        <v>23920</v>
      </c>
    </row>
    <row r="5" spans="1:28">
      <c r="A5" t="s">
        <v>218</v>
      </c>
      <c r="B5" t="s">
        <v>296</v>
      </c>
      <c r="C5" t="s">
        <v>298</v>
      </c>
      <c r="D5">
        <v>2550</v>
      </c>
      <c r="E5">
        <v>5450</v>
      </c>
      <c r="F5">
        <v>2000</v>
      </c>
      <c r="G5">
        <v>10000</v>
      </c>
      <c r="H5">
        <v>17250</v>
      </c>
      <c r="I5">
        <v>2731.25</v>
      </c>
      <c r="J5">
        <v>1293.75</v>
      </c>
      <c r="K5">
        <v>536</v>
      </c>
      <c r="L5">
        <v>24150</v>
      </c>
      <c r="M5">
        <v>3823.75</v>
      </c>
      <c r="N5">
        <v>1811.25</v>
      </c>
      <c r="O5">
        <v>536</v>
      </c>
      <c r="P5">
        <v>34500</v>
      </c>
      <c r="Q5">
        <v>5462.5</v>
      </c>
      <c r="R5">
        <v>2587.5</v>
      </c>
      <c r="S5">
        <v>536</v>
      </c>
      <c r="X5">
        <v>0</v>
      </c>
      <c r="Z5">
        <v>2760</v>
      </c>
      <c r="AA5">
        <v>805</v>
      </c>
      <c r="AB5">
        <v>10350</v>
      </c>
    </row>
    <row r="6" spans="1:28">
      <c r="A6" t="s">
        <v>211</v>
      </c>
      <c r="B6" t="s">
        <v>296</v>
      </c>
      <c r="C6" t="s">
        <v>299</v>
      </c>
      <c r="D6">
        <v>3250</v>
      </c>
      <c r="E6">
        <v>4500</v>
      </c>
      <c r="F6">
        <v>2250</v>
      </c>
      <c r="G6">
        <v>10000</v>
      </c>
      <c r="H6">
        <v>21562.5</v>
      </c>
      <c r="I6">
        <v>2242.5</v>
      </c>
      <c r="J6">
        <v>1351.25</v>
      </c>
      <c r="K6">
        <v>469</v>
      </c>
      <c r="L6">
        <v>30187.5</v>
      </c>
      <c r="M6">
        <v>3139.5</v>
      </c>
      <c r="N6">
        <v>1891.75</v>
      </c>
      <c r="O6">
        <v>469</v>
      </c>
      <c r="P6">
        <v>43125</v>
      </c>
      <c r="Q6">
        <v>4485</v>
      </c>
      <c r="R6">
        <v>2702.5</v>
      </c>
      <c r="S6">
        <v>469</v>
      </c>
      <c r="X6">
        <v>4</v>
      </c>
      <c r="Z6">
        <v>3864</v>
      </c>
      <c r="AA6">
        <v>1127</v>
      </c>
      <c r="AB6">
        <v>14490</v>
      </c>
    </row>
    <row r="7" spans="1:28">
      <c r="A7" t="s">
        <v>170</v>
      </c>
      <c r="B7" t="s">
        <v>296</v>
      </c>
      <c r="C7" t="s">
        <v>300</v>
      </c>
      <c r="D7">
        <v>1500</v>
      </c>
      <c r="E7">
        <v>7000</v>
      </c>
      <c r="F7">
        <v>1500</v>
      </c>
      <c r="G7">
        <v>10000</v>
      </c>
      <c r="H7">
        <v>14950</v>
      </c>
      <c r="I7">
        <v>3248.75</v>
      </c>
      <c r="J7">
        <v>1006.25</v>
      </c>
      <c r="K7">
        <v>505</v>
      </c>
      <c r="L7">
        <v>20930</v>
      </c>
      <c r="M7">
        <v>4548.25</v>
      </c>
      <c r="N7">
        <v>1408.75</v>
      </c>
      <c r="O7">
        <v>505</v>
      </c>
      <c r="P7">
        <v>29900</v>
      </c>
      <c r="Q7">
        <v>6497.5</v>
      </c>
      <c r="R7">
        <v>2012.5</v>
      </c>
      <c r="S7">
        <v>505</v>
      </c>
      <c r="X7">
        <v>8</v>
      </c>
      <c r="Z7">
        <v>5520</v>
      </c>
      <c r="AA7">
        <v>1610</v>
      </c>
      <c r="AB7">
        <v>20700</v>
      </c>
    </row>
    <row r="8" spans="1:28">
      <c r="A8" t="s">
        <v>230</v>
      </c>
      <c r="B8" t="s">
        <v>296</v>
      </c>
      <c r="C8" t="s">
        <v>301</v>
      </c>
      <c r="D8">
        <v>2000</v>
      </c>
      <c r="E8">
        <v>6500</v>
      </c>
      <c r="F8">
        <v>1500</v>
      </c>
      <c r="G8">
        <v>10000</v>
      </c>
      <c r="H8">
        <v>15525</v>
      </c>
      <c r="I8">
        <v>3018.75</v>
      </c>
      <c r="J8">
        <v>1178.75</v>
      </c>
      <c r="K8">
        <v>550</v>
      </c>
      <c r="L8">
        <v>21735</v>
      </c>
      <c r="M8">
        <v>4226.25</v>
      </c>
      <c r="N8">
        <v>1650.25</v>
      </c>
      <c r="O8">
        <v>550</v>
      </c>
      <c r="P8">
        <v>31050</v>
      </c>
      <c r="Q8">
        <v>6037.5</v>
      </c>
      <c r="R8">
        <v>2357.5</v>
      </c>
      <c r="S8">
        <v>550</v>
      </c>
      <c r="X8">
        <v>0</v>
      </c>
      <c r="Z8">
        <v>2323</v>
      </c>
      <c r="AA8">
        <v>851</v>
      </c>
      <c r="AB8">
        <v>14260</v>
      </c>
    </row>
    <row r="9" spans="1:28">
      <c r="A9" t="s">
        <v>173</v>
      </c>
      <c r="B9" t="s">
        <v>302</v>
      </c>
      <c r="C9" t="s">
        <v>303</v>
      </c>
      <c r="D9">
        <v>1800</v>
      </c>
      <c r="E9">
        <v>6900</v>
      </c>
      <c r="F9">
        <v>1300</v>
      </c>
      <c r="G9">
        <v>10000</v>
      </c>
      <c r="H9">
        <v>15021.875</v>
      </c>
      <c r="I9">
        <v>2867.8125</v>
      </c>
      <c r="J9">
        <v>1092.5</v>
      </c>
      <c r="K9">
        <v>490</v>
      </c>
      <c r="L9">
        <v>21030.625</v>
      </c>
      <c r="M9">
        <v>4014.9375</v>
      </c>
      <c r="N9">
        <v>1529.5</v>
      </c>
      <c r="O9">
        <v>490</v>
      </c>
      <c r="P9">
        <v>30043.75</v>
      </c>
      <c r="Q9">
        <v>5735.625</v>
      </c>
      <c r="R9">
        <v>2185</v>
      </c>
      <c r="S9">
        <v>490</v>
      </c>
      <c r="X9">
        <v>4</v>
      </c>
      <c r="Z9">
        <v>3252</v>
      </c>
      <c r="AA9">
        <v>1191</v>
      </c>
      <c r="AB9">
        <v>19964</v>
      </c>
    </row>
    <row r="10" spans="1:28">
      <c r="A10" t="s">
        <v>184</v>
      </c>
      <c r="B10" t="s">
        <v>302</v>
      </c>
      <c r="C10" t="s">
        <v>304</v>
      </c>
      <c r="D10">
        <v>1400</v>
      </c>
      <c r="E10">
        <v>7200</v>
      </c>
      <c r="F10">
        <v>1400</v>
      </c>
      <c r="G10">
        <v>10000</v>
      </c>
      <c r="H10">
        <v>15295</v>
      </c>
      <c r="I10">
        <v>3031.6875</v>
      </c>
      <c r="J10">
        <v>901.3125</v>
      </c>
      <c r="K10">
        <v>542</v>
      </c>
      <c r="L10">
        <v>21413</v>
      </c>
      <c r="M10">
        <v>4244.3625</v>
      </c>
      <c r="N10">
        <v>1261.8375</v>
      </c>
      <c r="O10">
        <v>542</v>
      </c>
      <c r="P10">
        <v>30590</v>
      </c>
      <c r="Q10">
        <v>6063.375</v>
      </c>
      <c r="R10">
        <v>1802.625</v>
      </c>
      <c r="S10">
        <v>542</v>
      </c>
      <c r="X10">
        <v>8</v>
      </c>
      <c r="Z10">
        <v>4646</v>
      </c>
      <c r="AA10">
        <v>1702</v>
      </c>
      <c r="AB10">
        <v>28520</v>
      </c>
    </row>
    <row r="11" spans="1:28">
      <c r="A11" t="s">
        <v>187</v>
      </c>
      <c r="B11" t="s">
        <v>302</v>
      </c>
      <c r="C11" t="s">
        <v>299</v>
      </c>
      <c r="D11">
        <v>3150</v>
      </c>
      <c r="E11">
        <v>4500</v>
      </c>
      <c r="F11">
        <v>2350</v>
      </c>
      <c r="G11">
        <v>10000</v>
      </c>
      <c r="H11">
        <v>18572.5</v>
      </c>
      <c r="I11">
        <v>2239.625</v>
      </c>
      <c r="J11">
        <v>1365.625</v>
      </c>
      <c r="K11">
        <v>455</v>
      </c>
      <c r="L11">
        <v>26001.5</v>
      </c>
      <c r="M11">
        <v>3135.475</v>
      </c>
      <c r="N11">
        <v>1911.875</v>
      </c>
      <c r="O11">
        <v>455</v>
      </c>
      <c r="P11">
        <v>37145</v>
      </c>
      <c r="Q11">
        <v>4479.25</v>
      </c>
      <c r="R11">
        <v>2731.25</v>
      </c>
      <c r="S11">
        <v>455</v>
      </c>
      <c r="X11">
        <v>0</v>
      </c>
      <c r="Z11">
        <v>1679</v>
      </c>
      <c r="AA11">
        <v>1081</v>
      </c>
      <c r="AB11">
        <v>18400</v>
      </c>
    </row>
    <row r="12" spans="1:28">
      <c r="A12" t="s">
        <v>181</v>
      </c>
      <c r="B12" t="s">
        <v>302</v>
      </c>
      <c r="C12" t="s">
        <v>299</v>
      </c>
      <c r="D12">
        <v>2800</v>
      </c>
      <c r="E12">
        <v>4600</v>
      </c>
      <c r="F12">
        <v>2600</v>
      </c>
      <c r="G12">
        <v>10000</v>
      </c>
      <c r="H12">
        <v>17480</v>
      </c>
      <c r="I12">
        <v>2294.25</v>
      </c>
      <c r="J12">
        <v>1420.25</v>
      </c>
      <c r="K12">
        <v>506</v>
      </c>
      <c r="L12">
        <v>24472</v>
      </c>
      <c r="M12">
        <v>3211.95</v>
      </c>
      <c r="N12">
        <v>1988.35</v>
      </c>
      <c r="O12">
        <v>506</v>
      </c>
      <c r="P12">
        <v>34960</v>
      </c>
      <c r="Q12">
        <v>4588.5</v>
      </c>
      <c r="R12">
        <v>2840.5</v>
      </c>
      <c r="S12">
        <v>506</v>
      </c>
      <c r="X12">
        <v>4</v>
      </c>
      <c r="Z12">
        <v>2351</v>
      </c>
      <c r="AA12">
        <v>1513</v>
      </c>
      <c r="AB12">
        <v>25760</v>
      </c>
    </row>
    <row r="13" spans="1:28">
      <c r="A13" t="s">
        <v>201</v>
      </c>
      <c r="B13" t="s">
        <v>302</v>
      </c>
      <c r="C13" t="s">
        <v>305</v>
      </c>
      <c r="D13">
        <v>1250</v>
      </c>
      <c r="E13">
        <v>7600</v>
      </c>
      <c r="F13">
        <v>1150</v>
      </c>
      <c r="G13">
        <v>10000</v>
      </c>
      <c r="H13">
        <v>14748.75</v>
      </c>
      <c r="I13">
        <v>3195.5625</v>
      </c>
      <c r="J13">
        <v>792.0625</v>
      </c>
      <c r="K13">
        <v>600</v>
      </c>
      <c r="L13">
        <v>20648.25</v>
      </c>
      <c r="M13">
        <v>4473.7875</v>
      </c>
      <c r="N13">
        <v>1108.8875</v>
      </c>
      <c r="O13">
        <v>600</v>
      </c>
      <c r="P13">
        <v>29497.5</v>
      </c>
      <c r="Q13">
        <v>6391.125</v>
      </c>
      <c r="R13">
        <v>1584.125</v>
      </c>
      <c r="S13">
        <v>600</v>
      </c>
      <c r="X13">
        <v>8</v>
      </c>
      <c r="Z13">
        <v>3358</v>
      </c>
      <c r="AA13">
        <v>2162</v>
      </c>
      <c r="AB13">
        <v>36800</v>
      </c>
    </row>
    <row r="14" spans="1:28">
      <c r="A14" t="s">
        <v>176</v>
      </c>
      <c r="B14" t="s">
        <v>302</v>
      </c>
      <c r="C14" t="s">
        <v>299</v>
      </c>
      <c r="D14">
        <v>3500</v>
      </c>
      <c r="E14">
        <v>4000</v>
      </c>
      <c r="F14">
        <v>2500</v>
      </c>
      <c r="G14">
        <v>10000</v>
      </c>
      <c r="H14">
        <v>19938.125</v>
      </c>
      <c r="I14">
        <v>2130.375</v>
      </c>
      <c r="J14">
        <v>1338.3125</v>
      </c>
      <c r="K14">
        <v>445</v>
      </c>
      <c r="L14">
        <v>27913.375</v>
      </c>
      <c r="M14">
        <v>2982.525</v>
      </c>
      <c r="N14">
        <v>1873.6375</v>
      </c>
      <c r="O14">
        <v>445</v>
      </c>
      <c r="P14">
        <v>39876.25</v>
      </c>
      <c r="Q14">
        <v>4260.75</v>
      </c>
      <c r="R14">
        <v>2676.625</v>
      </c>
      <c r="S14">
        <v>445</v>
      </c>
      <c r="X14">
        <v>0</v>
      </c>
      <c r="Z14">
        <v>2231</v>
      </c>
      <c r="AA14">
        <v>1001</v>
      </c>
      <c r="AB14">
        <v>13685</v>
      </c>
    </row>
    <row r="15" spans="1:28">
      <c r="A15" t="s">
        <v>198</v>
      </c>
      <c r="B15" t="s">
        <v>302</v>
      </c>
      <c r="C15" t="s">
        <v>306</v>
      </c>
      <c r="D15">
        <v>2500</v>
      </c>
      <c r="E15">
        <v>5700</v>
      </c>
      <c r="F15">
        <v>1800</v>
      </c>
      <c r="G15">
        <v>10000</v>
      </c>
      <c r="H15">
        <v>16933.75</v>
      </c>
      <c r="I15">
        <v>2649.3125</v>
      </c>
      <c r="J15">
        <v>1119.8125</v>
      </c>
      <c r="K15">
        <v>468</v>
      </c>
      <c r="L15">
        <v>23707.25</v>
      </c>
      <c r="M15">
        <v>3709.0375</v>
      </c>
      <c r="N15">
        <v>1567.7375</v>
      </c>
      <c r="O15">
        <v>468</v>
      </c>
      <c r="P15">
        <v>33867.5</v>
      </c>
      <c r="Q15">
        <v>5298.625</v>
      </c>
      <c r="R15">
        <v>2239.625</v>
      </c>
      <c r="S15">
        <v>468</v>
      </c>
      <c r="X15">
        <v>4</v>
      </c>
      <c r="Z15">
        <v>3123</v>
      </c>
      <c r="AA15">
        <v>1401</v>
      </c>
      <c r="AB15">
        <v>19159</v>
      </c>
    </row>
    <row r="16" spans="1:28">
      <c r="A16" t="s">
        <v>204</v>
      </c>
      <c r="B16" t="s">
        <v>302</v>
      </c>
      <c r="C16" t="s">
        <v>305</v>
      </c>
      <c r="D16">
        <v>1500</v>
      </c>
      <c r="E16">
        <v>7000</v>
      </c>
      <c r="F16">
        <v>1500</v>
      </c>
      <c r="G16">
        <v>10000</v>
      </c>
      <c r="H16">
        <v>14339.0625</v>
      </c>
      <c r="I16">
        <v>3168.25</v>
      </c>
      <c r="J16">
        <v>860.34375</v>
      </c>
      <c r="K16">
        <v>557</v>
      </c>
      <c r="L16">
        <v>20074.6875</v>
      </c>
      <c r="M16">
        <v>4435.55</v>
      </c>
      <c r="N16">
        <v>1204.48125</v>
      </c>
      <c r="O16">
        <v>557</v>
      </c>
      <c r="P16">
        <v>28678.125</v>
      </c>
      <c r="Q16">
        <v>6336.5</v>
      </c>
      <c r="R16">
        <v>1720.6875</v>
      </c>
      <c r="S16">
        <v>557</v>
      </c>
      <c r="X16">
        <v>8</v>
      </c>
      <c r="Z16">
        <v>4462</v>
      </c>
      <c r="AA16">
        <v>2001</v>
      </c>
      <c r="AB16">
        <v>27370</v>
      </c>
    </row>
    <row r="17" spans="1:28">
      <c r="A17" t="s">
        <v>206</v>
      </c>
      <c r="B17" t="s">
        <v>302</v>
      </c>
      <c r="C17" t="s">
        <v>307</v>
      </c>
      <c r="D17">
        <v>2000</v>
      </c>
      <c r="E17">
        <v>6000</v>
      </c>
      <c r="F17">
        <v>2000</v>
      </c>
      <c r="G17">
        <v>10000</v>
      </c>
      <c r="H17">
        <v>18026.25</v>
      </c>
      <c r="I17">
        <v>2485.4375</v>
      </c>
      <c r="J17">
        <v>1174.4375</v>
      </c>
      <c r="K17">
        <v>527</v>
      </c>
      <c r="L17">
        <v>25236.75</v>
      </c>
      <c r="M17">
        <v>3479.6125</v>
      </c>
      <c r="N17">
        <v>1644.2125</v>
      </c>
      <c r="O17">
        <v>527</v>
      </c>
      <c r="P17">
        <v>36052.5</v>
      </c>
      <c r="Q17">
        <v>4970.875</v>
      </c>
      <c r="R17">
        <v>2348.875</v>
      </c>
      <c r="S17">
        <v>527</v>
      </c>
      <c r="X17">
        <v>0</v>
      </c>
      <c r="Z17">
        <v>2783</v>
      </c>
      <c r="AA17">
        <v>667</v>
      </c>
      <c r="AB17">
        <v>11500</v>
      </c>
    </row>
    <row r="18" spans="1:28">
      <c r="A18" t="s">
        <v>221</v>
      </c>
      <c r="B18" t="s">
        <v>302</v>
      </c>
      <c r="C18" t="s">
        <v>307</v>
      </c>
      <c r="D18">
        <v>2400</v>
      </c>
      <c r="E18">
        <v>6100</v>
      </c>
      <c r="F18">
        <v>1500</v>
      </c>
      <c r="G18">
        <v>10000</v>
      </c>
      <c r="H18">
        <v>16114.375</v>
      </c>
      <c r="I18">
        <v>2594.6875</v>
      </c>
      <c r="J18">
        <v>1256.375</v>
      </c>
      <c r="K18">
        <v>560</v>
      </c>
      <c r="L18">
        <v>22560.125</v>
      </c>
      <c r="M18">
        <v>3632.5625</v>
      </c>
      <c r="N18">
        <v>1758.925</v>
      </c>
      <c r="O18">
        <v>560</v>
      </c>
      <c r="P18">
        <v>32228.75</v>
      </c>
      <c r="Q18">
        <v>5189.375</v>
      </c>
      <c r="R18">
        <v>2512.75</v>
      </c>
      <c r="S18">
        <v>560</v>
      </c>
      <c r="X18">
        <v>4</v>
      </c>
      <c r="Z18">
        <v>3896</v>
      </c>
      <c r="AA18">
        <v>934</v>
      </c>
      <c r="AB18">
        <v>16100</v>
      </c>
    </row>
    <row r="19" spans="1:28">
      <c r="A19" t="s">
        <v>233</v>
      </c>
      <c r="B19" t="s">
        <v>302</v>
      </c>
      <c r="C19" t="s">
        <v>299</v>
      </c>
      <c r="D19">
        <v>2750</v>
      </c>
      <c r="E19">
        <v>4500</v>
      </c>
      <c r="F19">
        <v>2750</v>
      </c>
      <c r="G19">
        <v>10000</v>
      </c>
      <c r="H19">
        <v>17070.3125</v>
      </c>
      <c r="I19">
        <v>2307.90625</v>
      </c>
      <c r="J19">
        <v>1447.5625</v>
      </c>
      <c r="K19">
        <v>500</v>
      </c>
      <c r="L19">
        <v>23898.4375</v>
      </c>
      <c r="M19">
        <v>3231.06875</v>
      </c>
      <c r="N19">
        <v>2026.5875</v>
      </c>
      <c r="O19">
        <v>500</v>
      </c>
      <c r="P19">
        <v>34140.625</v>
      </c>
      <c r="Q19">
        <v>4615.8125</v>
      </c>
      <c r="R19">
        <v>2895.125</v>
      </c>
      <c r="S19">
        <v>500</v>
      </c>
      <c r="X19">
        <v>8</v>
      </c>
      <c r="Z19">
        <v>5566</v>
      </c>
      <c r="AA19">
        <v>1334</v>
      </c>
      <c r="AB19">
        <v>23000</v>
      </c>
    </row>
    <row r="20" spans="1:28">
      <c r="A20" t="s">
        <v>103</v>
      </c>
      <c r="B20" t="s">
        <v>308</v>
      </c>
      <c r="C20" t="s">
        <v>299</v>
      </c>
      <c r="D20">
        <v>2750</v>
      </c>
      <c r="E20">
        <v>4500</v>
      </c>
      <c r="F20">
        <v>2750</v>
      </c>
      <c r="G20">
        <v>10000</v>
      </c>
      <c r="H20">
        <v>18112.5</v>
      </c>
      <c r="I20">
        <v>2070</v>
      </c>
      <c r="J20">
        <v>1293.75</v>
      </c>
      <c r="K20">
        <v>410</v>
      </c>
      <c r="L20">
        <v>25357.5</v>
      </c>
      <c r="M20">
        <v>2898</v>
      </c>
      <c r="N20">
        <v>1811.25</v>
      </c>
      <c r="O20">
        <v>410</v>
      </c>
      <c r="P20">
        <v>36225</v>
      </c>
      <c r="Q20">
        <v>4140</v>
      </c>
      <c r="R20">
        <v>2587.5</v>
      </c>
      <c r="S20">
        <v>410</v>
      </c>
      <c r="X20">
        <v>0</v>
      </c>
      <c r="Z20">
        <v>2070</v>
      </c>
      <c r="AA20">
        <v>1294</v>
      </c>
      <c r="AB20">
        <v>18113</v>
      </c>
    </row>
    <row r="21" spans="1:28">
      <c r="A21" t="s">
        <v>106</v>
      </c>
      <c r="B21" t="s">
        <v>308</v>
      </c>
      <c r="C21" t="s">
        <v>307</v>
      </c>
      <c r="D21">
        <v>2500</v>
      </c>
      <c r="E21">
        <v>6000</v>
      </c>
      <c r="F21">
        <v>1500</v>
      </c>
      <c r="G21">
        <v>10000</v>
      </c>
      <c r="H21">
        <v>14231.25</v>
      </c>
      <c r="I21">
        <v>2587.5</v>
      </c>
      <c r="J21">
        <v>1164.375</v>
      </c>
      <c r="K21">
        <v>420</v>
      </c>
      <c r="L21">
        <v>19923.75</v>
      </c>
      <c r="M21">
        <v>3622.5</v>
      </c>
      <c r="N21">
        <v>1630.125</v>
      </c>
      <c r="O21">
        <v>420</v>
      </c>
      <c r="P21">
        <v>28462.5</v>
      </c>
      <c r="Q21">
        <v>5175</v>
      </c>
      <c r="R21">
        <v>2328.75</v>
      </c>
      <c r="S21">
        <v>420</v>
      </c>
      <c r="X21">
        <v>4</v>
      </c>
      <c r="Z21">
        <v>2898</v>
      </c>
      <c r="AA21">
        <v>1811</v>
      </c>
      <c r="AB21">
        <v>25358</v>
      </c>
    </row>
    <row r="22" spans="1:28">
      <c r="A22" t="s">
        <v>191</v>
      </c>
      <c r="B22" t="s">
        <v>308</v>
      </c>
      <c r="C22" t="s">
        <v>309</v>
      </c>
      <c r="D22">
        <v>2250</v>
      </c>
      <c r="E22">
        <v>6250</v>
      </c>
      <c r="F22">
        <v>1500</v>
      </c>
      <c r="G22">
        <v>10000</v>
      </c>
      <c r="H22">
        <v>12161.25</v>
      </c>
      <c r="I22">
        <v>2846.25</v>
      </c>
      <c r="J22">
        <v>1112.625</v>
      </c>
      <c r="K22">
        <v>465</v>
      </c>
      <c r="L22">
        <v>17025.75</v>
      </c>
      <c r="M22">
        <v>3984.75</v>
      </c>
      <c r="N22">
        <v>1557.675</v>
      </c>
      <c r="O22">
        <v>465</v>
      </c>
      <c r="P22">
        <v>24322.5</v>
      </c>
      <c r="Q22">
        <v>5692.5</v>
      </c>
      <c r="R22">
        <v>2225.25</v>
      </c>
      <c r="S22">
        <v>465</v>
      </c>
      <c r="X22">
        <v>8</v>
      </c>
      <c r="Z22">
        <v>4140</v>
      </c>
      <c r="AA22">
        <v>2588</v>
      </c>
      <c r="AB22">
        <v>36225</v>
      </c>
    </row>
    <row r="23" spans="1:28">
      <c r="A23" t="s">
        <v>144</v>
      </c>
      <c r="B23" t="s">
        <v>308</v>
      </c>
      <c r="C23" t="s">
        <v>310</v>
      </c>
      <c r="D23">
        <v>2000</v>
      </c>
      <c r="E23">
        <v>6500</v>
      </c>
      <c r="F23">
        <v>1500</v>
      </c>
      <c r="G23">
        <v>10000</v>
      </c>
      <c r="H23">
        <v>15525</v>
      </c>
      <c r="I23">
        <v>2484</v>
      </c>
      <c r="J23">
        <v>1138.5</v>
      </c>
      <c r="K23">
        <v>435</v>
      </c>
      <c r="L23">
        <v>21735</v>
      </c>
      <c r="M23">
        <v>3477.6</v>
      </c>
      <c r="N23">
        <v>1593.9</v>
      </c>
      <c r="O23">
        <v>435</v>
      </c>
      <c r="P23">
        <v>31050</v>
      </c>
      <c r="Q23">
        <v>4968</v>
      </c>
      <c r="R23">
        <v>2277</v>
      </c>
      <c r="S23">
        <v>435</v>
      </c>
      <c r="X23">
        <v>0</v>
      </c>
      <c r="Z23">
        <v>2588</v>
      </c>
      <c r="AA23">
        <v>1164</v>
      </c>
      <c r="AB23">
        <v>14231</v>
      </c>
    </row>
    <row r="24" spans="1:28">
      <c r="A24" t="s">
        <v>164</v>
      </c>
      <c r="B24" t="s">
        <v>308</v>
      </c>
      <c r="C24" t="s">
        <v>299</v>
      </c>
      <c r="D24">
        <v>2550</v>
      </c>
      <c r="E24">
        <v>4900</v>
      </c>
      <c r="F24">
        <v>2550</v>
      </c>
      <c r="G24">
        <v>10000</v>
      </c>
      <c r="H24">
        <v>15783.75</v>
      </c>
      <c r="I24">
        <v>2277</v>
      </c>
      <c r="J24">
        <v>1319.625</v>
      </c>
      <c r="K24">
        <v>460</v>
      </c>
      <c r="L24">
        <v>22097.25</v>
      </c>
      <c r="M24">
        <v>3187.8</v>
      </c>
      <c r="N24">
        <v>1847.475</v>
      </c>
      <c r="O24">
        <v>460</v>
      </c>
      <c r="P24">
        <v>31567.5</v>
      </c>
      <c r="Q24">
        <v>4554</v>
      </c>
      <c r="R24">
        <v>2639.25</v>
      </c>
      <c r="S24">
        <v>460</v>
      </c>
      <c r="X24">
        <v>4</v>
      </c>
      <c r="Z24">
        <v>3623</v>
      </c>
      <c r="AA24">
        <v>1630</v>
      </c>
      <c r="AB24">
        <v>19924</v>
      </c>
    </row>
    <row r="25" spans="1:28">
      <c r="A25" t="s">
        <v>167</v>
      </c>
      <c r="B25" t="s">
        <v>308</v>
      </c>
      <c r="C25" t="s">
        <v>303</v>
      </c>
      <c r="D25">
        <v>1575</v>
      </c>
      <c r="E25">
        <v>6950</v>
      </c>
      <c r="F25">
        <v>1475</v>
      </c>
      <c r="G25">
        <v>10000</v>
      </c>
      <c r="H25">
        <v>13455</v>
      </c>
      <c r="I25">
        <v>2872.125</v>
      </c>
      <c r="J25">
        <v>957.375</v>
      </c>
      <c r="K25">
        <v>444</v>
      </c>
      <c r="L25">
        <v>18837</v>
      </c>
      <c r="M25">
        <v>4020.975</v>
      </c>
      <c r="N25">
        <v>1340.325</v>
      </c>
      <c r="O25">
        <v>444</v>
      </c>
      <c r="P25">
        <v>26910</v>
      </c>
      <c r="Q25">
        <v>5744.25</v>
      </c>
      <c r="R25">
        <v>1914.75</v>
      </c>
      <c r="S25">
        <v>444</v>
      </c>
      <c r="X25">
        <v>8</v>
      </c>
      <c r="Z25">
        <v>5175</v>
      </c>
      <c r="AA25">
        <v>2329</v>
      </c>
      <c r="AB25">
        <v>28463</v>
      </c>
    </row>
    <row r="26" spans="1:28">
      <c r="A26" t="s">
        <v>178</v>
      </c>
      <c r="B26" t="s">
        <v>308</v>
      </c>
      <c r="C26" t="s">
        <v>303</v>
      </c>
      <c r="D26">
        <v>1825</v>
      </c>
      <c r="E26">
        <v>7050</v>
      </c>
      <c r="F26">
        <v>1125</v>
      </c>
      <c r="G26">
        <v>10000</v>
      </c>
      <c r="H26">
        <v>12937.5</v>
      </c>
      <c r="I26">
        <v>2975.625</v>
      </c>
      <c r="J26">
        <v>905.625</v>
      </c>
      <c r="K26">
        <v>500</v>
      </c>
      <c r="L26">
        <v>18112.5</v>
      </c>
      <c r="M26">
        <v>4165.875</v>
      </c>
      <c r="N26">
        <v>1267.875</v>
      </c>
      <c r="O26">
        <v>500</v>
      </c>
      <c r="P26">
        <v>25875</v>
      </c>
      <c r="Q26">
        <v>5951.25</v>
      </c>
      <c r="R26">
        <v>1811.25</v>
      </c>
      <c r="S26">
        <v>500</v>
      </c>
      <c r="X26">
        <v>0</v>
      </c>
      <c r="Z26">
        <v>2415</v>
      </c>
      <c r="AA26">
        <v>874</v>
      </c>
      <c r="AB26">
        <v>13110</v>
      </c>
    </row>
    <row r="27" spans="1:28">
      <c r="A27" t="s">
        <v>154</v>
      </c>
      <c r="B27" t="s">
        <v>308</v>
      </c>
      <c r="C27" t="s">
        <v>310</v>
      </c>
      <c r="D27">
        <v>2025</v>
      </c>
      <c r="E27">
        <v>6700</v>
      </c>
      <c r="F27">
        <v>1275</v>
      </c>
      <c r="G27">
        <v>10000</v>
      </c>
      <c r="H27">
        <v>10479.375</v>
      </c>
      <c r="I27">
        <v>3467.25</v>
      </c>
      <c r="J27">
        <v>659.8125</v>
      </c>
      <c r="K27">
        <v>423</v>
      </c>
      <c r="L27">
        <v>14671.125</v>
      </c>
      <c r="M27">
        <v>4854.15</v>
      </c>
      <c r="N27">
        <v>923.7375</v>
      </c>
      <c r="O27">
        <v>423</v>
      </c>
      <c r="P27">
        <v>20958.75</v>
      </c>
      <c r="Q27">
        <v>6934.5</v>
      </c>
      <c r="R27">
        <v>1319.625</v>
      </c>
      <c r="S27">
        <v>423</v>
      </c>
      <c r="X27">
        <v>4</v>
      </c>
      <c r="Z27">
        <v>3381</v>
      </c>
      <c r="AA27">
        <v>1224</v>
      </c>
      <c r="AB27">
        <v>18354</v>
      </c>
    </row>
    <row r="28" spans="1:28">
      <c r="A28" t="s">
        <v>158</v>
      </c>
      <c r="B28" t="s">
        <v>308</v>
      </c>
      <c r="C28" t="s">
        <v>297</v>
      </c>
      <c r="D28">
        <v>2200</v>
      </c>
      <c r="E28">
        <v>5950</v>
      </c>
      <c r="F28">
        <v>1850</v>
      </c>
      <c r="G28">
        <v>10000</v>
      </c>
      <c r="H28">
        <v>12420</v>
      </c>
      <c r="I28">
        <v>2923.875</v>
      </c>
      <c r="J28">
        <v>1009.125</v>
      </c>
      <c r="K28">
        <v>456</v>
      </c>
      <c r="L28">
        <v>17388</v>
      </c>
      <c r="M28">
        <v>4093.425</v>
      </c>
      <c r="N28">
        <v>1412.775</v>
      </c>
      <c r="O28">
        <v>456</v>
      </c>
      <c r="P28">
        <v>24840</v>
      </c>
      <c r="Q28">
        <v>5847.75</v>
      </c>
      <c r="R28">
        <v>2018.25</v>
      </c>
      <c r="S28">
        <v>456</v>
      </c>
      <c r="X28">
        <v>8</v>
      </c>
      <c r="Z28">
        <v>4830</v>
      </c>
      <c r="AA28">
        <v>1748</v>
      </c>
      <c r="AB28">
        <v>26220</v>
      </c>
    </row>
    <row r="29" spans="1:28">
      <c r="A29" t="s">
        <v>228</v>
      </c>
      <c r="B29" t="s">
        <v>308</v>
      </c>
      <c r="C29" t="s">
        <v>303</v>
      </c>
      <c r="D29">
        <v>1650</v>
      </c>
      <c r="E29">
        <v>7150</v>
      </c>
      <c r="F29">
        <v>1200</v>
      </c>
      <c r="G29">
        <v>10000</v>
      </c>
      <c r="H29">
        <v>12808.125</v>
      </c>
      <c r="I29">
        <v>2962.6875</v>
      </c>
      <c r="J29">
        <v>931.5</v>
      </c>
      <c r="K29">
        <v>456</v>
      </c>
      <c r="L29">
        <v>17931.375</v>
      </c>
      <c r="M29">
        <v>4147.7625</v>
      </c>
      <c r="N29">
        <v>1304.1</v>
      </c>
      <c r="O29">
        <v>456</v>
      </c>
      <c r="P29">
        <v>25616.25</v>
      </c>
      <c r="Q29">
        <v>5925.375</v>
      </c>
      <c r="R29">
        <v>1863</v>
      </c>
      <c r="S29">
        <v>456</v>
      </c>
      <c r="X29">
        <v>0</v>
      </c>
      <c r="Z29">
        <v>2810</v>
      </c>
      <c r="AA29">
        <v>831</v>
      </c>
      <c r="AB29">
        <v>12463</v>
      </c>
    </row>
    <row r="30" spans="1:28">
      <c r="A30" t="s">
        <v>115</v>
      </c>
      <c r="B30" t="s">
        <v>311</v>
      </c>
      <c r="C30" t="s">
        <v>307</v>
      </c>
      <c r="D30">
        <v>1250</v>
      </c>
      <c r="E30">
        <v>7500</v>
      </c>
      <c r="F30">
        <v>1250</v>
      </c>
      <c r="G30">
        <v>10000</v>
      </c>
      <c r="H30">
        <v>11974.375</v>
      </c>
      <c r="I30">
        <v>2981.375</v>
      </c>
      <c r="J30">
        <v>708.6875</v>
      </c>
      <c r="K30">
        <v>522</v>
      </c>
      <c r="L30">
        <v>16764.125</v>
      </c>
      <c r="M30">
        <v>4173.925</v>
      </c>
      <c r="N30">
        <v>992.1625</v>
      </c>
      <c r="O30">
        <v>522</v>
      </c>
      <c r="P30">
        <v>23948.75</v>
      </c>
      <c r="Q30">
        <v>5962.75</v>
      </c>
      <c r="R30">
        <v>1417.375</v>
      </c>
      <c r="S30">
        <v>522</v>
      </c>
      <c r="X30">
        <v>4</v>
      </c>
      <c r="Z30">
        <v>3934</v>
      </c>
      <c r="AA30">
        <v>1163</v>
      </c>
      <c r="AB30">
        <v>17448</v>
      </c>
    </row>
    <row r="31" spans="1:28">
      <c r="A31" t="s">
        <v>112</v>
      </c>
      <c r="B31" t="s">
        <v>311</v>
      </c>
      <c r="C31" t="s">
        <v>312</v>
      </c>
      <c r="D31">
        <v>1200</v>
      </c>
      <c r="E31">
        <v>7200</v>
      </c>
      <c r="F31">
        <v>1600</v>
      </c>
      <c r="G31">
        <v>10000</v>
      </c>
      <c r="H31">
        <v>12463.125</v>
      </c>
      <c r="I31">
        <v>2810.3125</v>
      </c>
      <c r="J31">
        <v>830.875</v>
      </c>
      <c r="K31">
        <v>472</v>
      </c>
      <c r="L31">
        <v>17448.375</v>
      </c>
      <c r="M31">
        <v>3934.4375</v>
      </c>
      <c r="N31">
        <v>1163.225</v>
      </c>
      <c r="O31">
        <v>472</v>
      </c>
      <c r="P31">
        <v>24926.25</v>
      </c>
      <c r="Q31">
        <v>5620.625</v>
      </c>
      <c r="R31">
        <v>1661.75</v>
      </c>
      <c r="S31">
        <v>472</v>
      </c>
      <c r="X31">
        <v>8</v>
      </c>
      <c r="Z31">
        <v>5621</v>
      </c>
      <c r="AA31">
        <v>1662</v>
      </c>
      <c r="AB31">
        <v>24926</v>
      </c>
    </row>
    <row r="32" spans="1:28">
      <c r="A32" t="s">
        <v>137</v>
      </c>
      <c r="B32" t="s">
        <v>311</v>
      </c>
      <c r="C32" t="s">
        <v>313</v>
      </c>
      <c r="D32">
        <v>2250</v>
      </c>
      <c r="E32">
        <v>5850</v>
      </c>
      <c r="F32">
        <v>1900</v>
      </c>
      <c r="G32">
        <v>10000</v>
      </c>
      <c r="H32">
        <v>15640</v>
      </c>
      <c r="I32">
        <v>2223.8125</v>
      </c>
      <c r="J32">
        <v>1099.6875</v>
      </c>
      <c r="K32">
        <v>407</v>
      </c>
      <c r="L32">
        <v>21896</v>
      </c>
      <c r="M32">
        <v>3113.3375</v>
      </c>
      <c r="N32">
        <v>1539.5625</v>
      </c>
      <c r="O32">
        <v>407</v>
      </c>
      <c r="P32">
        <v>31280</v>
      </c>
      <c r="Q32">
        <v>4447.625</v>
      </c>
      <c r="R32">
        <v>2199.375</v>
      </c>
      <c r="S32">
        <v>407</v>
      </c>
      <c r="X32">
        <v>0</v>
      </c>
      <c r="Z32">
        <v>2981</v>
      </c>
      <c r="AA32">
        <v>709</v>
      </c>
      <c r="AB32">
        <v>11974</v>
      </c>
    </row>
    <row r="33" spans="1:28">
      <c r="A33" t="s">
        <v>146</v>
      </c>
      <c r="B33" t="s">
        <v>311</v>
      </c>
      <c r="C33" t="s">
        <v>314</v>
      </c>
      <c r="D33">
        <v>2050</v>
      </c>
      <c r="E33">
        <v>6150</v>
      </c>
      <c r="F33">
        <v>1800</v>
      </c>
      <c r="G33">
        <v>10000</v>
      </c>
      <c r="H33">
        <v>15151.25</v>
      </c>
      <c r="I33">
        <v>2346</v>
      </c>
      <c r="J33">
        <v>1026.375</v>
      </c>
      <c r="K33">
        <v>425</v>
      </c>
      <c r="L33">
        <v>21211.75</v>
      </c>
      <c r="M33">
        <v>3284.4</v>
      </c>
      <c r="N33">
        <v>1436.925</v>
      </c>
      <c r="O33">
        <v>425</v>
      </c>
      <c r="P33">
        <v>30302.5</v>
      </c>
      <c r="Q33">
        <v>4692</v>
      </c>
      <c r="R33">
        <v>2052.75</v>
      </c>
      <c r="S33">
        <v>425</v>
      </c>
      <c r="X33">
        <v>4</v>
      </c>
      <c r="Z33">
        <v>4174</v>
      </c>
      <c r="AA33">
        <v>992</v>
      </c>
      <c r="AB33">
        <v>16764</v>
      </c>
    </row>
    <row r="34" spans="1:28">
      <c r="A34" t="s">
        <v>132</v>
      </c>
      <c r="B34" t="s">
        <v>311</v>
      </c>
      <c r="C34" t="s">
        <v>315</v>
      </c>
      <c r="D34">
        <v>3150</v>
      </c>
      <c r="E34">
        <v>4150</v>
      </c>
      <c r="F34">
        <v>2700</v>
      </c>
      <c r="G34">
        <v>10000</v>
      </c>
      <c r="H34">
        <v>18572.5</v>
      </c>
      <c r="I34">
        <v>2028.3125</v>
      </c>
      <c r="J34">
        <v>1001.9375</v>
      </c>
      <c r="K34">
        <v>419</v>
      </c>
      <c r="L34">
        <v>26001.5</v>
      </c>
      <c r="M34">
        <v>2839.6375</v>
      </c>
      <c r="N34">
        <v>1402.7125</v>
      </c>
      <c r="O34">
        <v>419</v>
      </c>
      <c r="P34">
        <v>37145</v>
      </c>
      <c r="Q34">
        <v>4056.625</v>
      </c>
      <c r="R34">
        <v>2003.875</v>
      </c>
      <c r="S34">
        <v>419</v>
      </c>
      <c r="X34">
        <v>8</v>
      </c>
      <c r="Z34">
        <v>5963</v>
      </c>
      <c r="AA34">
        <v>1417</v>
      </c>
      <c r="AB34">
        <v>23949</v>
      </c>
    </row>
    <row r="35" spans="1:28">
      <c r="A35" t="s">
        <v>129</v>
      </c>
      <c r="B35" t="s">
        <v>311</v>
      </c>
      <c r="C35" t="s">
        <v>316</v>
      </c>
      <c r="D35">
        <v>2000</v>
      </c>
      <c r="E35">
        <v>6250</v>
      </c>
      <c r="F35">
        <v>1750</v>
      </c>
      <c r="G35">
        <v>10000</v>
      </c>
      <c r="H35">
        <v>17595</v>
      </c>
      <c r="I35">
        <v>2174.9375</v>
      </c>
      <c r="J35">
        <v>953.0625</v>
      </c>
      <c r="K35">
        <v>477</v>
      </c>
      <c r="L35">
        <v>24633</v>
      </c>
      <c r="M35">
        <v>3044.9125</v>
      </c>
      <c r="N35">
        <v>1334.2875</v>
      </c>
      <c r="O35">
        <v>477</v>
      </c>
      <c r="P35">
        <v>35190</v>
      </c>
      <c r="Q35">
        <v>4349.875</v>
      </c>
      <c r="R35">
        <v>1906.125</v>
      </c>
      <c r="S35">
        <v>477</v>
      </c>
      <c r="X35">
        <v>0</v>
      </c>
      <c r="Z35">
        <v>2116</v>
      </c>
      <c r="AA35">
        <v>989</v>
      </c>
      <c r="AB35">
        <v>14950</v>
      </c>
    </row>
    <row r="36" spans="1:28">
      <c r="A36" t="s">
        <v>161</v>
      </c>
      <c r="B36" t="s">
        <v>311</v>
      </c>
      <c r="C36" t="s">
        <v>316</v>
      </c>
      <c r="D36">
        <v>2475</v>
      </c>
      <c r="E36">
        <v>5650</v>
      </c>
      <c r="F36">
        <v>1875</v>
      </c>
      <c r="G36">
        <v>10000</v>
      </c>
      <c r="H36">
        <v>16495.3125</v>
      </c>
      <c r="I36">
        <v>2321.5625</v>
      </c>
      <c r="J36">
        <v>916.40625</v>
      </c>
      <c r="K36">
        <v>450</v>
      </c>
      <c r="L36">
        <v>23093.4375</v>
      </c>
      <c r="M36">
        <v>3250.1875</v>
      </c>
      <c r="N36">
        <v>1282.96875</v>
      </c>
      <c r="O36">
        <v>450</v>
      </c>
      <c r="P36">
        <v>32990.625</v>
      </c>
      <c r="Q36">
        <v>4643.125</v>
      </c>
      <c r="R36">
        <v>1832.8125</v>
      </c>
      <c r="S36">
        <v>450</v>
      </c>
      <c r="X36">
        <v>4</v>
      </c>
      <c r="Z36">
        <v>2962</v>
      </c>
      <c r="AA36">
        <v>1385</v>
      </c>
      <c r="AB36">
        <v>20930</v>
      </c>
    </row>
    <row r="37" spans="1:28">
      <c r="A37" t="s">
        <v>153</v>
      </c>
      <c r="B37" t="s">
        <v>311</v>
      </c>
      <c r="C37" t="s">
        <v>316</v>
      </c>
      <c r="D37">
        <v>2500</v>
      </c>
      <c r="E37">
        <v>5475</v>
      </c>
      <c r="F37">
        <v>2025</v>
      </c>
      <c r="G37">
        <v>10000</v>
      </c>
      <c r="H37">
        <v>12218.75</v>
      </c>
      <c r="I37">
        <v>2675.90625</v>
      </c>
      <c r="J37">
        <v>989.71875</v>
      </c>
      <c r="K37">
        <v>454</v>
      </c>
      <c r="L37">
        <v>17106.25</v>
      </c>
      <c r="M37">
        <v>3746.26875</v>
      </c>
      <c r="N37">
        <v>1385.60625</v>
      </c>
      <c r="O37">
        <v>454</v>
      </c>
      <c r="P37">
        <v>24437.5</v>
      </c>
      <c r="Q37">
        <v>5351.8125</v>
      </c>
      <c r="R37">
        <v>1979.4375</v>
      </c>
      <c r="S37">
        <v>454</v>
      </c>
      <c r="X37">
        <v>8</v>
      </c>
      <c r="Z37">
        <v>4232</v>
      </c>
      <c r="AA37">
        <v>1978</v>
      </c>
      <c r="AB37">
        <v>29900</v>
      </c>
    </row>
    <row r="38" spans="1:28">
      <c r="A38" t="s">
        <v>157</v>
      </c>
      <c r="B38" t="s">
        <v>311</v>
      </c>
      <c r="C38" t="s">
        <v>317</v>
      </c>
      <c r="D38">
        <v>2600</v>
      </c>
      <c r="E38">
        <v>6125</v>
      </c>
      <c r="F38">
        <v>1275</v>
      </c>
      <c r="G38">
        <v>10000</v>
      </c>
      <c r="H38">
        <v>14662.5</v>
      </c>
      <c r="I38">
        <v>2798.09375</v>
      </c>
      <c r="J38">
        <v>623.15625</v>
      </c>
      <c r="K38">
        <v>499</v>
      </c>
      <c r="L38">
        <v>20527.5</v>
      </c>
      <c r="M38">
        <v>3917.33125</v>
      </c>
      <c r="N38">
        <v>872.41875</v>
      </c>
      <c r="O38">
        <v>499</v>
      </c>
      <c r="P38">
        <v>29325</v>
      </c>
      <c r="Q38">
        <v>5596.1875</v>
      </c>
      <c r="R38">
        <v>1246.3125</v>
      </c>
      <c r="S38">
        <v>499</v>
      </c>
      <c r="X38">
        <v>0</v>
      </c>
      <c r="Z38">
        <v>2300</v>
      </c>
      <c r="AA38">
        <v>966</v>
      </c>
      <c r="AB38">
        <v>13340</v>
      </c>
    </row>
    <row r="39" spans="1:28">
      <c r="A39" t="s">
        <v>117</v>
      </c>
      <c r="B39" t="s">
        <v>318</v>
      </c>
      <c r="C39" t="s">
        <v>316</v>
      </c>
      <c r="D39">
        <v>2000</v>
      </c>
      <c r="E39">
        <v>6100</v>
      </c>
      <c r="F39">
        <v>1900</v>
      </c>
      <c r="G39">
        <v>10000</v>
      </c>
      <c r="H39">
        <v>14950</v>
      </c>
      <c r="I39">
        <v>2116</v>
      </c>
      <c r="J39">
        <v>989</v>
      </c>
      <c r="K39">
        <v>439</v>
      </c>
      <c r="L39">
        <v>20930</v>
      </c>
      <c r="M39">
        <v>2962.4</v>
      </c>
      <c r="N39">
        <v>1384.6</v>
      </c>
      <c r="O39">
        <v>439</v>
      </c>
      <c r="P39">
        <v>29900</v>
      </c>
      <c r="Q39">
        <v>4232</v>
      </c>
      <c r="R39">
        <v>1978</v>
      </c>
      <c r="S39">
        <v>439</v>
      </c>
      <c r="X39">
        <v>4</v>
      </c>
      <c r="Z39">
        <v>3220</v>
      </c>
      <c r="AA39">
        <v>1352</v>
      </c>
      <c r="AB39">
        <v>18676</v>
      </c>
    </row>
    <row r="40" spans="1:28">
      <c r="A40" t="s">
        <v>124</v>
      </c>
      <c r="B40" t="s">
        <v>318</v>
      </c>
      <c r="C40" t="s">
        <v>319</v>
      </c>
      <c r="D40">
        <v>2200</v>
      </c>
      <c r="E40">
        <v>5800</v>
      </c>
      <c r="F40">
        <v>2000</v>
      </c>
      <c r="G40">
        <v>10000</v>
      </c>
      <c r="H40">
        <v>13340</v>
      </c>
      <c r="I40">
        <v>2300</v>
      </c>
      <c r="J40">
        <v>966</v>
      </c>
      <c r="K40">
        <v>415</v>
      </c>
      <c r="L40">
        <v>18676</v>
      </c>
      <c r="M40">
        <v>3220</v>
      </c>
      <c r="N40">
        <v>1352.4</v>
      </c>
      <c r="O40">
        <v>415</v>
      </c>
      <c r="P40">
        <v>26680</v>
      </c>
      <c r="Q40">
        <v>4600</v>
      </c>
      <c r="R40">
        <v>1932</v>
      </c>
      <c r="S40">
        <v>415</v>
      </c>
      <c r="X40">
        <v>8</v>
      </c>
      <c r="Z40">
        <v>4600</v>
      </c>
      <c r="AA40">
        <v>1932</v>
      </c>
      <c r="AB40">
        <v>26680</v>
      </c>
    </row>
    <row r="41" spans="1:28">
      <c r="A41" t="s">
        <v>127</v>
      </c>
      <c r="B41" t="s">
        <v>318</v>
      </c>
      <c r="C41" t="s">
        <v>297</v>
      </c>
      <c r="D41">
        <v>1400</v>
      </c>
      <c r="E41">
        <v>7200</v>
      </c>
      <c r="F41">
        <v>1400</v>
      </c>
      <c r="G41">
        <v>10000</v>
      </c>
      <c r="H41">
        <v>14030</v>
      </c>
      <c r="I41">
        <v>2277</v>
      </c>
      <c r="J41">
        <v>920</v>
      </c>
      <c r="K41">
        <v>532</v>
      </c>
      <c r="L41">
        <v>19642</v>
      </c>
      <c r="M41">
        <v>3187.8</v>
      </c>
      <c r="N41">
        <v>1288</v>
      </c>
      <c r="O41">
        <v>532</v>
      </c>
      <c r="P41">
        <v>28060</v>
      </c>
      <c r="Q41">
        <v>4554</v>
      </c>
      <c r="R41">
        <v>1840</v>
      </c>
      <c r="S41">
        <v>532</v>
      </c>
      <c r="X41">
        <v>0</v>
      </c>
      <c r="Z41">
        <v>1725</v>
      </c>
      <c r="AA41">
        <v>1150</v>
      </c>
      <c r="AB41">
        <v>17250</v>
      </c>
    </row>
    <row r="42" spans="1:28">
      <c r="A42" t="s">
        <v>109</v>
      </c>
      <c r="B42" t="s">
        <v>318</v>
      </c>
      <c r="C42" t="s">
        <v>303</v>
      </c>
      <c r="D42">
        <v>1600</v>
      </c>
      <c r="E42">
        <v>6800</v>
      </c>
      <c r="F42">
        <v>1600</v>
      </c>
      <c r="G42">
        <v>10000</v>
      </c>
      <c r="H42">
        <v>13110</v>
      </c>
      <c r="I42">
        <v>2415</v>
      </c>
      <c r="J42">
        <v>874</v>
      </c>
      <c r="K42">
        <v>439</v>
      </c>
      <c r="L42">
        <v>18354</v>
      </c>
      <c r="M42">
        <v>3381</v>
      </c>
      <c r="N42">
        <v>1223.6</v>
      </c>
      <c r="O42">
        <v>439</v>
      </c>
      <c r="P42">
        <v>26220</v>
      </c>
      <c r="Q42">
        <v>4830</v>
      </c>
      <c r="R42">
        <v>1748</v>
      </c>
      <c r="S42">
        <v>439</v>
      </c>
      <c r="X42">
        <v>4</v>
      </c>
      <c r="Z42">
        <v>2415</v>
      </c>
      <c r="AA42">
        <v>1610</v>
      </c>
      <c r="AB42">
        <v>24150</v>
      </c>
    </row>
    <row r="43" spans="1:28">
      <c r="A43" t="s">
        <v>125</v>
      </c>
      <c r="B43" t="s">
        <v>318</v>
      </c>
      <c r="C43" t="s">
        <v>299</v>
      </c>
      <c r="D43">
        <v>3500</v>
      </c>
      <c r="E43">
        <v>4000</v>
      </c>
      <c r="F43">
        <v>2500</v>
      </c>
      <c r="G43">
        <v>10000</v>
      </c>
      <c r="H43">
        <v>17250</v>
      </c>
      <c r="I43">
        <v>1725</v>
      </c>
      <c r="J43">
        <v>1150</v>
      </c>
      <c r="K43">
        <v>405</v>
      </c>
      <c r="L43">
        <v>24150</v>
      </c>
      <c r="M43">
        <v>2415</v>
      </c>
      <c r="N43">
        <v>1610</v>
      </c>
      <c r="O43">
        <v>405</v>
      </c>
      <c r="P43">
        <v>34500</v>
      </c>
      <c r="Q43">
        <v>3450</v>
      </c>
      <c r="R43">
        <v>2300</v>
      </c>
      <c r="S43">
        <v>405</v>
      </c>
      <c r="X43">
        <v>8</v>
      </c>
      <c r="Z43">
        <v>3450</v>
      </c>
      <c r="AA43">
        <v>2300</v>
      </c>
      <c r="AB43">
        <v>34500</v>
      </c>
    </row>
    <row r="44" spans="1:28">
      <c r="A44" t="s">
        <v>135</v>
      </c>
      <c r="B44" t="s">
        <v>318</v>
      </c>
      <c r="C44" t="s">
        <v>297</v>
      </c>
      <c r="D44">
        <v>1850</v>
      </c>
      <c r="E44">
        <v>6250</v>
      </c>
      <c r="F44">
        <v>1900</v>
      </c>
      <c r="G44">
        <v>10000</v>
      </c>
      <c r="H44">
        <v>11960</v>
      </c>
      <c r="I44">
        <v>2461</v>
      </c>
      <c r="J44">
        <v>943</v>
      </c>
      <c r="K44">
        <v>418</v>
      </c>
      <c r="L44">
        <v>16744</v>
      </c>
      <c r="M44">
        <v>3445.4</v>
      </c>
      <c r="N44">
        <v>1320.2</v>
      </c>
      <c r="O44">
        <v>418</v>
      </c>
      <c r="P44">
        <v>23920</v>
      </c>
      <c r="Q44">
        <v>4922</v>
      </c>
      <c r="R44">
        <v>1886</v>
      </c>
      <c r="S44">
        <v>418</v>
      </c>
      <c r="X44">
        <v>0</v>
      </c>
      <c r="Z44">
        <v>2277</v>
      </c>
      <c r="AA44">
        <v>920</v>
      </c>
      <c r="AB44">
        <v>14030</v>
      </c>
    </row>
    <row r="45" spans="1:28">
      <c r="A45" t="s">
        <v>93</v>
      </c>
      <c r="B45" t="s">
        <v>318</v>
      </c>
      <c r="C45" t="s">
        <v>316</v>
      </c>
      <c r="D45">
        <v>2000</v>
      </c>
      <c r="E45">
        <v>6350</v>
      </c>
      <c r="F45">
        <v>1650</v>
      </c>
      <c r="G45">
        <v>10000</v>
      </c>
      <c r="H45">
        <v>14260</v>
      </c>
      <c r="I45">
        <v>2323</v>
      </c>
      <c r="J45">
        <v>851</v>
      </c>
      <c r="K45">
        <v>384</v>
      </c>
      <c r="L45">
        <v>19964</v>
      </c>
      <c r="M45">
        <v>3252.2</v>
      </c>
      <c r="N45">
        <v>1191.4</v>
      </c>
      <c r="O45">
        <v>384</v>
      </c>
      <c r="P45">
        <v>28520</v>
      </c>
      <c r="Q45">
        <v>4646</v>
      </c>
      <c r="R45">
        <v>1702</v>
      </c>
      <c r="S45">
        <v>384</v>
      </c>
      <c r="X45">
        <v>4</v>
      </c>
      <c r="Z45">
        <v>3188</v>
      </c>
      <c r="AA45">
        <v>1288</v>
      </c>
      <c r="AB45">
        <v>19642</v>
      </c>
    </row>
    <row r="46" spans="1:28">
      <c r="A46" t="s">
        <v>95</v>
      </c>
      <c r="B46" t="s">
        <v>318</v>
      </c>
      <c r="C46" t="s">
        <v>315</v>
      </c>
      <c r="D46">
        <v>3200</v>
      </c>
      <c r="E46">
        <v>4700</v>
      </c>
      <c r="F46">
        <v>2100</v>
      </c>
      <c r="G46">
        <v>10000</v>
      </c>
      <c r="H46">
        <v>18400</v>
      </c>
      <c r="I46">
        <v>1679</v>
      </c>
      <c r="J46">
        <v>1081</v>
      </c>
      <c r="K46">
        <v>367</v>
      </c>
      <c r="L46">
        <v>25760</v>
      </c>
      <c r="M46">
        <v>2350.6</v>
      </c>
      <c r="N46">
        <v>1513.4</v>
      </c>
      <c r="O46">
        <v>367</v>
      </c>
      <c r="P46">
        <v>36800</v>
      </c>
      <c r="Q46">
        <v>3358</v>
      </c>
      <c r="R46">
        <v>2162</v>
      </c>
      <c r="S46">
        <v>367</v>
      </c>
      <c r="X46">
        <v>8</v>
      </c>
      <c r="Z46">
        <v>4554</v>
      </c>
      <c r="AA46">
        <v>1840</v>
      </c>
      <c r="AB46">
        <v>28060</v>
      </c>
    </row>
    <row r="47" spans="1:28">
      <c r="A47" t="s">
        <v>88</v>
      </c>
      <c r="B47" t="s">
        <v>318</v>
      </c>
      <c r="C47" t="s">
        <v>320</v>
      </c>
      <c r="D47">
        <v>1900</v>
      </c>
      <c r="E47">
        <v>6925</v>
      </c>
      <c r="F47">
        <v>1175</v>
      </c>
      <c r="G47">
        <v>10000</v>
      </c>
      <c r="H47">
        <v>11960</v>
      </c>
      <c r="I47">
        <v>2645</v>
      </c>
      <c r="J47">
        <v>759</v>
      </c>
      <c r="K47">
        <v>394</v>
      </c>
      <c r="L47">
        <v>16744</v>
      </c>
      <c r="M47">
        <v>3703</v>
      </c>
      <c r="N47">
        <v>1062.6</v>
      </c>
      <c r="O47">
        <v>394</v>
      </c>
      <c r="P47">
        <v>23920</v>
      </c>
      <c r="Q47">
        <v>5290</v>
      </c>
      <c r="R47">
        <v>1518</v>
      </c>
      <c r="S47">
        <v>394</v>
      </c>
      <c r="X47">
        <v>0</v>
      </c>
      <c r="Z47">
        <v>2175</v>
      </c>
      <c r="AA47">
        <v>953</v>
      </c>
      <c r="AB47">
        <v>17595</v>
      </c>
    </row>
    <row r="48" spans="1:28">
      <c r="A48" t="s">
        <v>91</v>
      </c>
      <c r="B48" t="s">
        <v>318</v>
      </c>
      <c r="C48" t="s">
        <v>320</v>
      </c>
      <c r="D48">
        <v>1650</v>
      </c>
      <c r="E48">
        <v>6275</v>
      </c>
      <c r="F48">
        <v>2075</v>
      </c>
      <c r="G48">
        <v>10000</v>
      </c>
      <c r="H48">
        <v>10350</v>
      </c>
      <c r="I48">
        <v>2760</v>
      </c>
      <c r="J48">
        <v>805</v>
      </c>
      <c r="K48">
        <v>368</v>
      </c>
      <c r="L48">
        <v>14490</v>
      </c>
      <c r="M48">
        <v>3864</v>
      </c>
      <c r="N48">
        <v>1127</v>
      </c>
      <c r="O48">
        <v>368</v>
      </c>
      <c r="P48">
        <v>20700</v>
      </c>
      <c r="Q48">
        <v>5520</v>
      </c>
      <c r="R48">
        <v>1610</v>
      </c>
      <c r="S48">
        <v>368</v>
      </c>
      <c r="X48">
        <v>4</v>
      </c>
      <c r="Z48">
        <v>3045</v>
      </c>
      <c r="AA48">
        <v>1334</v>
      </c>
      <c r="AB48">
        <v>24633</v>
      </c>
    </row>
    <row r="49" spans="1:28">
      <c r="A49" t="s">
        <v>98</v>
      </c>
      <c r="B49" t="s">
        <v>318</v>
      </c>
      <c r="C49" t="s">
        <v>316</v>
      </c>
      <c r="D49">
        <v>1855</v>
      </c>
      <c r="E49">
        <v>6375</v>
      </c>
      <c r="F49">
        <v>1770</v>
      </c>
      <c r="G49">
        <v>10000</v>
      </c>
      <c r="H49">
        <v>13685</v>
      </c>
      <c r="I49">
        <v>2231</v>
      </c>
      <c r="J49">
        <v>1000.5</v>
      </c>
      <c r="K49">
        <v>374</v>
      </c>
      <c r="L49">
        <v>19159</v>
      </c>
      <c r="M49">
        <v>3123.4</v>
      </c>
      <c r="N49">
        <v>1400.7</v>
      </c>
      <c r="O49">
        <v>374</v>
      </c>
      <c r="P49">
        <v>27370</v>
      </c>
      <c r="Q49">
        <v>4462</v>
      </c>
      <c r="R49">
        <v>2001</v>
      </c>
      <c r="S49">
        <v>374</v>
      </c>
      <c r="X49">
        <v>8</v>
      </c>
      <c r="Z49">
        <v>4350</v>
      </c>
      <c r="AA49">
        <v>1906</v>
      </c>
      <c r="AB49">
        <v>35190</v>
      </c>
    </row>
    <row r="50" spans="1:28">
      <c r="A50" t="s">
        <v>100</v>
      </c>
      <c r="B50" t="s">
        <v>318</v>
      </c>
      <c r="C50" t="s">
        <v>321</v>
      </c>
      <c r="D50">
        <v>1270</v>
      </c>
      <c r="E50">
        <v>7755</v>
      </c>
      <c r="F50">
        <v>975</v>
      </c>
      <c r="G50">
        <v>10000</v>
      </c>
      <c r="H50">
        <v>11500</v>
      </c>
      <c r="I50">
        <v>2783</v>
      </c>
      <c r="J50">
        <v>667</v>
      </c>
      <c r="K50">
        <v>372</v>
      </c>
      <c r="L50">
        <v>16100</v>
      </c>
      <c r="M50">
        <v>3896.2</v>
      </c>
      <c r="N50">
        <v>933.8</v>
      </c>
      <c r="O50">
        <v>372</v>
      </c>
      <c r="P50">
        <v>23000</v>
      </c>
      <c r="Q50">
        <v>5566</v>
      </c>
      <c r="R50">
        <v>1334</v>
      </c>
      <c r="S50">
        <v>372</v>
      </c>
      <c r="X50">
        <v>0</v>
      </c>
      <c r="Z50">
        <v>2028</v>
      </c>
      <c r="AA50">
        <v>1002</v>
      </c>
      <c r="AB50">
        <v>18573</v>
      </c>
    </row>
    <row r="51" spans="24:28">
      <c r="X51">
        <v>4</v>
      </c>
      <c r="Z51">
        <v>2840</v>
      </c>
      <c r="AA51">
        <v>1403</v>
      </c>
      <c r="AB51">
        <v>26002</v>
      </c>
    </row>
    <row r="52" spans="24:28">
      <c r="X52">
        <v>8</v>
      </c>
      <c r="Z52">
        <v>4057</v>
      </c>
      <c r="AA52">
        <v>2004</v>
      </c>
      <c r="AB52">
        <v>37145</v>
      </c>
    </row>
    <row r="53" spans="24:28">
      <c r="X53">
        <v>0</v>
      </c>
      <c r="Z53">
        <v>2461</v>
      </c>
      <c r="AA53">
        <v>943</v>
      </c>
      <c r="AB53">
        <v>11960</v>
      </c>
    </row>
    <row r="54" spans="24:28">
      <c r="X54">
        <v>4</v>
      </c>
      <c r="Z54">
        <v>3445</v>
      </c>
      <c r="AA54">
        <v>1320</v>
      </c>
      <c r="AB54">
        <v>16744</v>
      </c>
    </row>
    <row r="55" spans="24:28">
      <c r="X55">
        <v>8</v>
      </c>
      <c r="Z55">
        <v>4922</v>
      </c>
      <c r="AA55">
        <v>1886</v>
      </c>
      <c r="AB55">
        <v>23920</v>
      </c>
    </row>
    <row r="56" spans="24:28">
      <c r="X56">
        <v>0</v>
      </c>
      <c r="Z56">
        <v>2224</v>
      </c>
      <c r="AA56">
        <v>1100</v>
      </c>
      <c r="AB56">
        <v>15640</v>
      </c>
    </row>
    <row r="57" spans="5:28">
      <c r="E57" t="s">
        <v>201</v>
      </c>
      <c r="F57">
        <v>280</v>
      </c>
      <c r="X57">
        <v>4</v>
      </c>
      <c r="Z57">
        <v>3113</v>
      </c>
      <c r="AA57">
        <v>1540</v>
      </c>
      <c r="AB57">
        <v>21896</v>
      </c>
    </row>
    <row r="58" spans="5:28">
      <c r="E58" t="s">
        <v>207</v>
      </c>
      <c r="F58">
        <v>374</v>
      </c>
      <c r="X58">
        <v>8</v>
      </c>
      <c r="Z58">
        <v>4448</v>
      </c>
      <c r="AA58">
        <v>2199</v>
      </c>
      <c r="AB58">
        <v>31280</v>
      </c>
    </row>
    <row r="59" spans="5:28">
      <c r="E59" t="s">
        <v>184</v>
      </c>
      <c r="F59">
        <v>370</v>
      </c>
      <c r="X59">
        <v>0</v>
      </c>
      <c r="Z59">
        <v>2484</v>
      </c>
      <c r="AA59">
        <v>1139</v>
      </c>
      <c r="AB59">
        <v>15525</v>
      </c>
    </row>
    <row r="60" spans="5:28">
      <c r="E60" t="s">
        <v>190</v>
      </c>
      <c r="F60">
        <v>366</v>
      </c>
      <c r="X60">
        <v>4</v>
      </c>
      <c r="Z60">
        <v>3478</v>
      </c>
      <c r="AA60">
        <v>1594</v>
      </c>
      <c r="AB60">
        <v>21735</v>
      </c>
    </row>
    <row r="61" spans="5:28">
      <c r="E61" t="s">
        <v>112</v>
      </c>
      <c r="F61">
        <v>363</v>
      </c>
      <c r="X61">
        <v>8</v>
      </c>
      <c r="Z61">
        <v>4968</v>
      </c>
      <c r="AA61">
        <v>2277</v>
      </c>
      <c r="AB61">
        <v>31050</v>
      </c>
    </row>
    <row r="62" spans="5:28">
      <c r="E62" t="s">
        <v>109</v>
      </c>
      <c r="F62">
        <v>361</v>
      </c>
      <c r="X62">
        <v>0</v>
      </c>
      <c r="Z62">
        <v>2346</v>
      </c>
      <c r="AA62">
        <v>1026</v>
      </c>
      <c r="AB62">
        <v>15151</v>
      </c>
    </row>
    <row r="63" spans="5:28">
      <c r="E63" t="s">
        <v>135</v>
      </c>
      <c r="F63">
        <v>355</v>
      </c>
      <c r="X63">
        <v>4</v>
      </c>
      <c r="Z63">
        <v>3284</v>
      </c>
      <c r="AA63">
        <v>1437</v>
      </c>
      <c r="AB63">
        <v>21212</v>
      </c>
    </row>
    <row r="64" spans="5:28">
      <c r="E64" t="s">
        <v>191</v>
      </c>
      <c r="F64">
        <v>352</v>
      </c>
      <c r="X64">
        <v>8</v>
      </c>
      <c r="Z64">
        <v>4692</v>
      </c>
      <c r="AA64">
        <v>2053</v>
      </c>
      <c r="AB64">
        <v>30303</v>
      </c>
    </row>
    <row r="65" spans="5:28">
      <c r="E65" s="1" t="s">
        <v>157</v>
      </c>
      <c r="F65" s="1">
        <v>348</v>
      </c>
      <c r="X65">
        <v>0</v>
      </c>
      <c r="Z65">
        <v>2676</v>
      </c>
      <c r="AA65">
        <v>990</v>
      </c>
      <c r="AB65">
        <v>12219</v>
      </c>
    </row>
    <row r="66" spans="5:28">
      <c r="E66" s="1" t="s">
        <v>144</v>
      </c>
      <c r="F66" s="1">
        <v>345</v>
      </c>
      <c r="X66">
        <v>4</v>
      </c>
      <c r="Z66">
        <v>3746</v>
      </c>
      <c r="AA66">
        <v>1386</v>
      </c>
      <c r="AB66">
        <v>17106</v>
      </c>
    </row>
    <row r="67" spans="5:28">
      <c r="E67" s="1" t="s">
        <v>137</v>
      </c>
      <c r="F67" s="1">
        <v>342</v>
      </c>
      <c r="X67">
        <v>8</v>
      </c>
      <c r="Z67">
        <v>5352</v>
      </c>
      <c r="AA67">
        <v>1979</v>
      </c>
      <c r="AB67">
        <v>24438</v>
      </c>
    </row>
    <row r="68" spans="5:28">
      <c r="E68" s="1" t="s">
        <v>146</v>
      </c>
      <c r="F68" s="1">
        <v>339</v>
      </c>
      <c r="X68">
        <v>0</v>
      </c>
      <c r="Z68">
        <v>3467</v>
      </c>
      <c r="AA68">
        <v>660</v>
      </c>
      <c r="AB68">
        <v>10479</v>
      </c>
    </row>
    <row r="69" spans="5:28">
      <c r="E69" s="1" t="s">
        <v>153</v>
      </c>
      <c r="F69" s="1">
        <v>336</v>
      </c>
      <c r="X69">
        <v>4</v>
      </c>
      <c r="Z69">
        <v>4854</v>
      </c>
      <c r="AA69">
        <v>924</v>
      </c>
      <c r="AB69">
        <v>14671</v>
      </c>
    </row>
    <row r="70" spans="5:28">
      <c r="E70" s="1" t="s">
        <v>117</v>
      </c>
      <c r="F70" s="1">
        <v>331</v>
      </c>
      <c r="X70">
        <v>8</v>
      </c>
      <c r="Z70">
        <v>6935</v>
      </c>
      <c r="AA70">
        <v>1320</v>
      </c>
      <c r="AB70">
        <v>20959</v>
      </c>
    </row>
    <row r="71" spans="5:28">
      <c r="E71" s="1" t="s">
        <v>124</v>
      </c>
      <c r="F71" s="1">
        <v>330</v>
      </c>
      <c r="X71">
        <v>0</v>
      </c>
      <c r="Z71">
        <v>2798</v>
      </c>
      <c r="AA71">
        <v>623</v>
      </c>
      <c r="AB71">
        <v>14663</v>
      </c>
    </row>
    <row r="72" spans="5:28">
      <c r="E72" s="1" t="s">
        <v>91</v>
      </c>
      <c r="F72" s="1">
        <v>326</v>
      </c>
      <c r="X72">
        <v>4</v>
      </c>
      <c r="Z72">
        <v>3917</v>
      </c>
      <c r="AA72">
        <v>872</v>
      </c>
      <c r="AB72">
        <v>20528</v>
      </c>
    </row>
    <row r="73" spans="5:28">
      <c r="E73" s="1" t="s">
        <v>127</v>
      </c>
      <c r="F73" s="1">
        <v>324</v>
      </c>
      <c r="X73">
        <v>8</v>
      </c>
      <c r="Z73">
        <v>5596</v>
      </c>
      <c r="AA73">
        <v>1246</v>
      </c>
      <c r="AB73">
        <v>29325</v>
      </c>
    </row>
    <row r="74" spans="5:28">
      <c r="E74" s="1" t="s">
        <v>218</v>
      </c>
      <c r="F74" s="1">
        <v>318</v>
      </c>
      <c r="X74">
        <v>0</v>
      </c>
      <c r="Z74">
        <v>2924</v>
      </c>
      <c r="AA74">
        <v>1009</v>
      </c>
      <c r="AB74">
        <v>12420</v>
      </c>
    </row>
    <row r="75" spans="5:28">
      <c r="E75" s="1" t="s">
        <v>170</v>
      </c>
      <c r="F75" s="1">
        <v>314</v>
      </c>
      <c r="X75">
        <v>4</v>
      </c>
      <c r="Z75">
        <v>4093</v>
      </c>
      <c r="AA75">
        <v>1413</v>
      </c>
      <c r="AB75">
        <v>17388</v>
      </c>
    </row>
    <row r="76" spans="5:28">
      <c r="E76" s="1" t="s">
        <v>106</v>
      </c>
      <c r="F76" s="1">
        <v>311</v>
      </c>
      <c r="X76">
        <v>8</v>
      </c>
      <c r="Z76">
        <v>5848</v>
      </c>
      <c r="AA76">
        <v>2018</v>
      </c>
      <c r="AB76">
        <v>24840</v>
      </c>
    </row>
    <row r="77" spans="5:28">
      <c r="E77" s="1" t="s">
        <v>178</v>
      </c>
      <c r="F77" s="1">
        <v>306</v>
      </c>
      <c r="X77">
        <v>0</v>
      </c>
      <c r="Z77">
        <v>2322</v>
      </c>
      <c r="AA77">
        <v>916</v>
      </c>
      <c r="AB77">
        <v>16495</v>
      </c>
    </row>
    <row r="78" spans="5:28">
      <c r="E78" s="1" t="s">
        <v>173</v>
      </c>
      <c r="F78" s="1">
        <v>302</v>
      </c>
      <c r="X78">
        <v>4</v>
      </c>
      <c r="Z78">
        <v>3250</v>
      </c>
      <c r="AA78">
        <v>1283</v>
      </c>
      <c r="AB78">
        <v>23093</v>
      </c>
    </row>
    <row r="79" spans="5:28">
      <c r="E79" s="1" t="s">
        <v>167</v>
      </c>
      <c r="F79" s="1">
        <v>297</v>
      </c>
      <c r="X79">
        <v>8</v>
      </c>
      <c r="Z79">
        <v>4643</v>
      </c>
      <c r="AA79">
        <v>1833</v>
      </c>
      <c r="AB79">
        <v>32991</v>
      </c>
    </row>
    <row r="80" spans="5:28">
      <c r="E80" s="1" t="s">
        <v>154</v>
      </c>
      <c r="F80" s="1">
        <v>295</v>
      </c>
      <c r="X80">
        <v>0</v>
      </c>
      <c r="Z80">
        <v>2277</v>
      </c>
      <c r="AA80">
        <v>1320</v>
      </c>
      <c r="AB80">
        <v>15784</v>
      </c>
    </row>
    <row r="81" spans="5:28">
      <c r="E81" s="1" t="s">
        <v>228</v>
      </c>
      <c r="F81" s="1">
        <v>291</v>
      </c>
      <c r="X81">
        <v>4</v>
      </c>
      <c r="Z81">
        <v>3188</v>
      </c>
      <c r="AA81">
        <v>1847</v>
      </c>
      <c r="AB81">
        <v>22097</v>
      </c>
    </row>
    <row r="82" spans="5:28">
      <c r="E82" s="1" t="s">
        <v>88</v>
      </c>
      <c r="F82" s="1">
        <v>288</v>
      </c>
      <c r="X82">
        <v>8</v>
      </c>
      <c r="Z82">
        <v>4554</v>
      </c>
      <c r="AA82">
        <v>2639</v>
      </c>
      <c r="AB82">
        <v>31568</v>
      </c>
    </row>
    <row r="83" spans="5:28">
      <c r="E83" s="1" t="s">
        <v>91</v>
      </c>
      <c r="F83" s="1">
        <v>283</v>
      </c>
      <c r="X83">
        <v>0</v>
      </c>
      <c r="Z83">
        <v>2872</v>
      </c>
      <c r="AA83">
        <v>957</v>
      </c>
      <c r="AB83">
        <v>13455</v>
      </c>
    </row>
    <row r="84" spans="5:28">
      <c r="E84" s="1" t="s">
        <v>204</v>
      </c>
      <c r="F84" s="1">
        <v>279</v>
      </c>
      <c r="X84">
        <v>4</v>
      </c>
      <c r="Z84">
        <v>4021</v>
      </c>
      <c r="AA84">
        <v>1340</v>
      </c>
      <c r="AB84">
        <v>18837</v>
      </c>
    </row>
    <row r="85" spans="5:28">
      <c r="E85" s="1" t="s">
        <v>100</v>
      </c>
      <c r="F85" s="1">
        <v>275</v>
      </c>
      <c r="X85">
        <v>8</v>
      </c>
      <c r="Z85">
        <v>5744</v>
      </c>
      <c r="AA85">
        <v>1915</v>
      </c>
      <c r="AB85">
        <v>26910</v>
      </c>
    </row>
    <row r="86" spans="5:28">
      <c r="E86" s="1" t="s">
        <v>158</v>
      </c>
      <c r="F86" s="1">
        <v>268</v>
      </c>
      <c r="X86">
        <v>0</v>
      </c>
      <c r="Z86">
        <v>3249</v>
      </c>
      <c r="AA86">
        <v>1006</v>
      </c>
      <c r="AB86">
        <v>14950</v>
      </c>
    </row>
    <row r="87" spans="5:28">
      <c r="E87" s="1" t="s">
        <v>198</v>
      </c>
      <c r="F87" s="1">
        <v>261</v>
      </c>
      <c r="X87">
        <v>4</v>
      </c>
      <c r="Z87">
        <v>4548</v>
      </c>
      <c r="AA87">
        <v>1409</v>
      </c>
      <c r="AB87">
        <v>20930</v>
      </c>
    </row>
    <row r="88" spans="5:28">
      <c r="E88" s="1" t="s">
        <v>98</v>
      </c>
      <c r="F88" s="1">
        <v>255</v>
      </c>
      <c r="X88">
        <v>8</v>
      </c>
      <c r="Z88">
        <v>6498</v>
      </c>
      <c r="AA88">
        <v>2013</v>
      </c>
      <c r="AB88">
        <v>29900</v>
      </c>
    </row>
    <row r="89" spans="5:28">
      <c r="E89" s="1" t="s">
        <v>161</v>
      </c>
      <c r="F89" s="1">
        <v>252</v>
      </c>
      <c r="X89">
        <v>0</v>
      </c>
      <c r="Z89">
        <v>2868</v>
      </c>
      <c r="AA89">
        <v>1093</v>
      </c>
      <c r="AB89">
        <v>15022</v>
      </c>
    </row>
    <row r="90" spans="5:28">
      <c r="E90" s="1" t="s">
        <v>129</v>
      </c>
      <c r="F90" s="1">
        <v>247</v>
      </c>
      <c r="X90">
        <v>4</v>
      </c>
      <c r="Z90">
        <v>4015</v>
      </c>
      <c r="AA90">
        <v>1530</v>
      </c>
      <c r="AB90">
        <v>21031</v>
      </c>
    </row>
    <row r="91" spans="5:28">
      <c r="E91" s="1" t="s">
        <v>206</v>
      </c>
      <c r="F91" s="1">
        <v>241</v>
      </c>
      <c r="X91">
        <v>8</v>
      </c>
      <c r="Z91">
        <v>5736</v>
      </c>
      <c r="AA91">
        <v>2185</v>
      </c>
      <c r="AB91">
        <v>30044</v>
      </c>
    </row>
    <row r="92" spans="5:28">
      <c r="E92" s="1" t="s">
        <v>115</v>
      </c>
      <c r="F92" s="1">
        <v>236</v>
      </c>
      <c r="X92">
        <v>0</v>
      </c>
      <c r="Z92">
        <v>2130</v>
      </c>
      <c r="AA92">
        <v>1338</v>
      </c>
      <c r="AB92">
        <v>19938</v>
      </c>
    </row>
    <row r="93" spans="5:28">
      <c r="E93" s="1" t="s">
        <v>93</v>
      </c>
      <c r="F93" s="1">
        <v>233</v>
      </c>
      <c r="X93">
        <v>4</v>
      </c>
      <c r="Z93">
        <v>2983</v>
      </c>
      <c r="AA93">
        <v>1874</v>
      </c>
      <c r="AB93">
        <v>27913</v>
      </c>
    </row>
    <row r="94" spans="5:28">
      <c r="E94" s="1" t="s">
        <v>211</v>
      </c>
      <c r="F94" s="1">
        <v>230</v>
      </c>
      <c r="X94">
        <v>8</v>
      </c>
      <c r="Z94">
        <v>4261</v>
      </c>
      <c r="AA94">
        <v>2677</v>
      </c>
      <c r="AB94">
        <v>39876</v>
      </c>
    </row>
    <row r="95" spans="5:28">
      <c r="E95" s="1" t="s">
        <v>181</v>
      </c>
      <c r="F95" s="1">
        <v>228</v>
      </c>
      <c r="X95">
        <v>0</v>
      </c>
      <c r="Z95">
        <v>2976</v>
      </c>
      <c r="AA95">
        <v>906</v>
      </c>
      <c r="AB95">
        <v>12938</v>
      </c>
    </row>
    <row r="96" spans="5:28">
      <c r="E96" s="1" t="s">
        <v>103</v>
      </c>
      <c r="F96" s="1">
        <v>223</v>
      </c>
      <c r="X96">
        <v>4</v>
      </c>
      <c r="Z96">
        <v>4166</v>
      </c>
      <c r="AA96">
        <v>1268</v>
      </c>
      <c r="AB96">
        <v>18113</v>
      </c>
    </row>
    <row r="97" spans="5:28">
      <c r="E97" s="1" t="s">
        <v>125</v>
      </c>
      <c r="F97" s="1">
        <v>220</v>
      </c>
      <c r="X97">
        <v>8</v>
      </c>
      <c r="Z97">
        <v>5951</v>
      </c>
      <c r="AA97">
        <v>1811</v>
      </c>
      <c r="AB97">
        <v>25875</v>
      </c>
    </row>
    <row r="98" spans="5:28">
      <c r="E98" s="1" t="s">
        <v>164</v>
      </c>
      <c r="F98" s="1">
        <v>217</v>
      </c>
      <c r="X98">
        <v>0</v>
      </c>
      <c r="Z98">
        <v>2294</v>
      </c>
      <c r="AA98">
        <v>1420</v>
      </c>
      <c r="AB98">
        <v>17480</v>
      </c>
    </row>
    <row r="99" spans="5:28">
      <c r="E99" s="1" t="s">
        <v>187</v>
      </c>
      <c r="F99" s="1">
        <v>215</v>
      </c>
      <c r="X99">
        <v>4</v>
      </c>
      <c r="Z99">
        <v>3212</v>
      </c>
      <c r="AA99">
        <v>1988</v>
      </c>
      <c r="AB99">
        <v>24472</v>
      </c>
    </row>
    <row r="100" spans="5:28">
      <c r="E100" s="1" t="s">
        <v>95</v>
      </c>
      <c r="F100" s="1">
        <v>211</v>
      </c>
      <c r="X100">
        <v>8</v>
      </c>
      <c r="Z100">
        <v>4589</v>
      </c>
      <c r="AA100">
        <v>2841</v>
      </c>
      <c r="AB100">
        <v>34960</v>
      </c>
    </row>
    <row r="101" spans="5:28">
      <c r="E101" s="1" t="s">
        <v>132</v>
      </c>
      <c r="F101" s="1">
        <v>209</v>
      </c>
      <c r="X101">
        <v>0</v>
      </c>
      <c r="Z101">
        <v>3032</v>
      </c>
      <c r="AA101">
        <v>901</v>
      </c>
      <c r="AB101">
        <v>15295</v>
      </c>
    </row>
    <row r="102" spans="5:28">
      <c r="E102" s="1" t="s">
        <v>176</v>
      </c>
      <c r="F102" s="1">
        <v>204</v>
      </c>
      <c r="X102">
        <v>4</v>
      </c>
      <c r="Z102">
        <v>4244</v>
      </c>
      <c r="AA102">
        <v>1262</v>
      </c>
      <c r="AB102">
        <v>21413</v>
      </c>
    </row>
    <row r="103" spans="24:28">
      <c r="X103">
        <v>8</v>
      </c>
      <c r="Z103">
        <v>6063</v>
      </c>
      <c r="AA103">
        <v>1803</v>
      </c>
      <c r="AB103">
        <v>30590</v>
      </c>
    </row>
    <row r="104" spans="24:28">
      <c r="X104">
        <v>0</v>
      </c>
      <c r="Z104">
        <v>2240</v>
      </c>
      <c r="AA104">
        <v>1366</v>
      </c>
      <c r="AB104">
        <v>18573</v>
      </c>
    </row>
    <row r="105" spans="24:28">
      <c r="X105">
        <v>4</v>
      </c>
      <c r="Z105">
        <v>3135</v>
      </c>
      <c r="AA105">
        <v>1912</v>
      </c>
      <c r="AB105">
        <v>26002</v>
      </c>
    </row>
    <row r="106" spans="24:28">
      <c r="X106">
        <v>8</v>
      </c>
      <c r="Z106">
        <v>4479</v>
      </c>
      <c r="AA106">
        <v>2731</v>
      </c>
      <c r="AB106">
        <v>37145</v>
      </c>
    </row>
    <row r="107" spans="24:28">
      <c r="X107">
        <v>0</v>
      </c>
      <c r="Z107">
        <v>2933</v>
      </c>
      <c r="AA107">
        <v>1150</v>
      </c>
      <c r="AB107">
        <v>16675</v>
      </c>
    </row>
    <row r="108" spans="24:28">
      <c r="X108">
        <v>4</v>
      </c>
      <c r="Z108">
        <v>4106</v>
      </c>
      <c r="AA108">
        <v>1610</v>
      </c>
      <c r="AB108">
        <v>23345</v>
      </c>
    </row>
    <row r="109" spans="24:28">
      <c r="X109">
        <v>8</v>
      </c>
      <c r="Z109">
        <v>5865</v>
      </c>
      <c r="AA109">
        <v>2300</v>
      </c>
      <c r="AB109">
        <v>33350</v>
      </c>
    </row>
    <row r="110" spans="24:28">
      <c r="X110">
        <v>0</v>
      </c>
      <c r="Z110">
        <v>2846</v>
      </c>
      <c r="AA110">
        <v>1113</v>
      </c>
      <c r="AB110">
        <v>12161</v>
      </c>
    </row>
    <row r="111" spans="24:28">
      <c r="X111">
        <v>4</v>
      </c>
      <c r="Z111">
        <v>3985</v>
      </c>
      <c r="AA111">
        <v>1558</v>
      </c>
      <c r="AB111">
        <v>17026</v>
      </c>
    </row>
    <row r="112" spans="24:28">
      <c r="X112">
        <v>8</v>
      </c>
      <c r="Z112">
        <v>5693</v>
      </c>
      <c r="AA112">
        <v>2225</v>
      </c>
      <c r="AB112">
        <v>24323</v>
      </c>
    </row>
    <row r="113" spans="24:28">
      <c r="X113">
        <v>0</v>
      </c>
      <c r="Z113">
        <v>2649</v>
      </c>
      <c r="AA113">
        <v>1120</v>
      </c>
      <c r="AB113">
        <v>16934</v>
      </c>
    </row>
    <row r="114" spans="24:28">
      <c r="X114">
        <v>4</v>
      </c>
      <c r="Z114">
        <v>3709</v>
      </c>
      <c r="AA114">
        <v>1568</v>
      </c>
      <c r="AB114">
        <v>23707</v>
      </c>
    </row>
    <row r="115" spans="24:28">
      <c r="X115">
        <v>8</v>
      </c>
      <c r="Z115">
        <v>5299</v>
      </c>
      <c r="AA115">
        <v>2240</v>
      </c>
      <c r="AB115">
        <v>33868</v>
      </c>
    </row>
    <row r="116" spans="24:28">
      <c r="X116">
        <v>0</v>
      </c>
      <c r="Z116">
        <v>3196</v>
      </c>
      <c r="AA116">
        <v>792</v>
      </c>
      <c r="AB116">
        <v>14749</v>
      </c>
    </row>
    <row r="117" spans="24:28">
      <c r="X117">
        <v>4</v>
      </c>
      <c r="Z117">
        <v>4474</v>
      </c>
      <c r="AA117">
        <v>1109</v>
      </c>
      <c r="AB117">
        <v>20648</v>
      </c>
    </row>
    <row r="118" spans="24:28">
      <c r="X118">
        <v>8</v>
      </c>
      <c r="Z118">
        <v>6391</v>
      </c>
      <c r="AA118">
        <v>1584</v>
      </c>
      <c r="AB118">
        <v>29498</v>
      </c>
    </row>
    <row r="119" spans="24:28">
      <c r="X119">
        <v>0</v>
      </c>
      <c r="Z119">
        <v>3168</v>
      </c>
      <c r="AA119">
        <v>860</v>
      </c>
      <c r="AB119">
        <v>14339</v>
      </c>
    </row>
    <row r="120" spans="24:28">
      <c r="X120">
        <v>4</v>
      </c>
      <c r="Z120">
        <v>4436</v>
      </c>
      <c r="AA120">
        <v>1204</v>
      </c>
      <c r="AB120">
        <v>20075</v>
      </c>
    </row>
    <row r="121" spans="24:28">
      <c r="X121">
        <v>8</v>
      </c>
      <c r="Z121">
        <v>6337</v>
      </c>
      <c r="AA121">
        <v>1721</v>
      </c>
      <c r="AB121">
        <v>28678</v>
      </c>
    </row>
    <row r="122" spans="24:28">
      <c r="X122">
        <v>0</v>
      </c>
      <c r="Z122">
        <v>2485</v>
      </c>
      <c r="AA122">
        <v>1174</v>
      </c>
      <c r="AB122">
        <v>18026</v>
      </c>
    </row>
    <row r="123" spans="24:28">
      <c r="X123">
        <v>4</v>
      </c>
      <c r="Z123">
        <v>3480</v>
      </c>
      <c r="AA123">
        <v>1644</v>
      </c>
      <c r="AB123">
        <v>25237</v>
      </c>
    </row>
    <row r="124" spans="24:28">
      <c r="X124">
        <v>8</v>
      </c>
      <c r="Z124">
        <v>4971</v>
      </c>
      <c r="AA124">
        <v>2349</v>
      </c>
      <c r="AB124">
        <v>36053</v>
      </c>
    </row>
    <row r="125" spans="24:28">
      <c r="X125">
        <v>0</v>
      </c>
      <c r="Z125">
        <v>3450</v>
      </c>
      <c r="AA125">
        <v>863</v>
      </c>
      <c r="AB125">
        <v>14375</v>
      </c>
    </row>
    <row r="126" spans="24:28">
      <c r="X126">
        <v>4</v>
      </c>
      <c r="Z126">
        <v>4830</v>
      </c>
      <c r="AA126">
        <v>1208</v>
      </c>
      <c r="AB126">
        <v>20125</v>
      </c>
    </row>
    <row r="127" spans="24:28">
      <c r="X127">
        <v>8</v>
      </c>
      <c r="Z127">
        <v>6900</v>
      </c>
      <c r="AA127">
        <v>1725</v>
      </c>
      <c r="AB127">
        <v>28750</v>
      </c>
    </row>
    <row r="128" spans="24:28">
      <c r="X128">
        <v>0</v>
      </c>
      <c r="Z128">
        <v>2243</v>
      </c>
      <c r="AA128">
        <v>1351</v>
      </c>
      <c r="AB128">
        <v>21563</v>
      </c>
    </row>
    <row r="129" spans="24:28">
      <c r="X129">
        <v>4</v>
      </c>
      <c r="Z129">
        <v>3140</v>
      </c>
      <c r="AA129">
        <v>1892</v>
      </c>
      <c r="AB129">
        <v>30188</v>
      </c>
    </row>
    <row r="130" spans="24:28">
      <c r="X130">
        <v>8</v>
      </c>
      <c r="Z130">
        <v>4485</v>
      </c>
      <c r="AA130">
        <v>2703</v>
      </c>
      <c r="AB130">
        <v>43125</v>
      </c>
    </row>
    <row r="131" spans="24:28">
      <c r="X131">
        <v>0</v>
      </c>
      <c r="Z131">
        <v>2731</v>
      </c>
      <c r="AA131">
        <v>1294</v>
      </c>
      <c r="AB131">
        <v>17250</v>
      </c>
    </row>
    <row r="132" spans="24:28">
      <c r="X132">
        <v>4</v>
      </c>
      <c r="Z132">
        <v>3824</v>
      </c>
      <c r="AA132">
        <v>1811</v>
      </c>
      <c r="AB132">
        <v>24150</v>
      </c>
    </row>
    <row r="133" spans="24:28">
      <c r="X133">
        <v>8</v>
      </c>
      <c r="Z133">
        <v>5463</v>
      </c>
      <c r="AA133">
        <v>2588</v>
      </c>
      <c r="AB133">
        <v>34500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醉鱼</cp:lastModifiedBy>
  <dcterms:created xsi:type="dcterms:W3CDTF">2006-09-16T00:00:00Z</dcterms:created>
  <dcterms:modified xsi:type="dcterms:W3CDTF">2022-12-28T07:38:57Z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KSOReadingLayout">
    <vt:bool>false</vt:bool>
  </property>
  <property fmtid="{D5CDD505-2E9C-101B-9397-08002B2CF9AE}" pid="4" name="ICV">
    <vt:lpwstr>9F449ACD0B88466E937A960605C37799</vt:lpwstr>
  </property>
</Properties>
</file>