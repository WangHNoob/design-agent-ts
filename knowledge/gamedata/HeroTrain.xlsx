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Administrator</author>
    <author>PC</author>
    <author>me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训练ID为：训练类型*最大等级+训练等级</t>
        </r>
      </text>
    </comment>
    <comment ref="D2" authorId="1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配置规则为：
1,weight;2,weight;3,weight;4,weight;5,weight;
weight是权值，只能配置整数。</t>
        </r>
      </text>
    </commen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1，攻击
2，生命
3，防御
数值是满格的数值</t>
        </r>
      </text>
    </comment>
    <comment ref="B3" authorId="2">
      <text>
        <r>
          <rPr>
            <sz val="9"/>
            <rFont val="宋体"/>
            <charset val="134"/>
          </rPr>
          <t xml:space="preserve">副本类型：
0:力量（攻击）
1:敏捷（防御）
2:筋肉（血量）
</t>
        </r>
      </text>
    </comment>
  </commentList>
</comments>
</file>

<file path=xl/sharedStrings.xml><?xml version="1.0" encoding="utf-8"?>
<sst xmlns="http://schemas.openxmlformats.org/spreadsheetml/2006/main" count="121" uniqueCount="121">
  <si>
    <t>训练id</t>
  </si>
  <si>
    <t>训练类型</t>
  </si>
  <si>
    <t>训练等级</t>
  </si>
  <si>
    <t>训练随机参数</t>
  </si>
  <si>
    <t>训练到最高级最少次数</t>
  </si>
  <si>
    <t>训练到最高级最大次数</t>
  </si>
  <si>
    <t>消耗物品</t>
  </si>
  <si>
    <t>属性加成</t>
  </si>
  <si>
    <t>训练大师加成</t>
  </si>
  <si>
    <t>EmptyKey-J2</t>
  </si>
  <si>
    <t>EmptyKey-K2</t>
  </si>
  <si>
    <t>EmptyKey-L2</t>
  </si>
  <si>
    <t>EmptyKey-M2</t>
  </si>
  <si>
    <t>EmptyKey-N2</t>
  </si>
  <si>
    <t>EmptyKey-O2</t>
  </si>
  <si>
    <t>EmptyKey-P2</t>
  </si>
  <si>
    <t>EmptyKey-Q2</t>
  </si>
  <si>
    <t>EmptyKey-R2</t>
  </si>
  <si>
    <t>EmptyKey-S2</t>
  </si>
  <si>
    <t>EmptyKey-T2</t>
  </si>
  <si>
    <t>id</t>
  </si>
  <si>
    <t>trainType</t>
  </si>
  <si>
    <t>trainLevel</t>
  </si>
  <si>
    <t>costItems</t>
  </si>
  <si>
    <t>addProp</t>
  </si>
  <si>
    <t>addMasterProp</t>
  </si>
  <si>
    <t>int</t>
  </si>
  <si>
    <t>string</t>
  </si>
  <si>
    <t>primary</t>
  </si>
  <si>
    <t>none</t>
  </si>
  <si>
    <r xmlns="http://schemas.openxmlformats.org/spreadsheetml/2006/main">
      <rPr>
        <b/>
        <sz val="11"/>
        <color theme="1"/>
        <rFont val="宋体"/>
        <charset val="134"/>
      </rPr>
      <t>i</t>
    </r>
    <r xmlns="http://schemas.openxmlformats.org/spreadsheetml/2006/main">
      <rPr>
        <b/>
        <sz val="11"/>
        <color theme="1"/>
        <rFont val="宋体"/>
        <charset val="134"/>
      </rPr>
      <t>d</t>
    </r>
  </si>
  <si>
    <t>trainParam</t>
  </si>
  <si>
    <t>minTimes</t>
  </si>
  <si>
    <t>maxTimes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</si>
  <si>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</si>
  <si>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</si>
  <si>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</si>
  <si>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</si>
  <si>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</si>
  <si>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</si>
  <si>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</si>
  <si>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</si>
  <si>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</si>
  <si>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</si>
  <si>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a,A;b,B;c,C;d,D;e,E</t>
  </si>
  <si>
    <t>1,49;2,49;3,42;4,40;5,20</t>
  </si>
  <si>
    <t>1001,211020,1;5,0,500</t>
  </si>
  <si>
    <t>1,0.02</t>
  </si>
  <si>
    <t>3,10</t>
  </si>
  <si>
    <t>1</t>
  </si>
  <si>
    <t>2</t>
  </si>
  <si>
    <t>3</t>
  </si>
  <si>
    <t>4</t>
  </si>
  <si>
    <t>5</t>
  </si>
  <si>
    <t>1001,212020,1;5,0,750</t>
  </si>
  <si>
    <t>1,25</t>
  </si>
  <si>
    <t>1001,213020,1;5,0,1000</t>
  </si>
  <si>
    <t>2,200</t>
  </si>
  <si>
    <t>1,261;2,261;3,224;4,170;5,85</t>
  </si>
  <si>
    <t>1001,214020,1;5,0,1250</t>
  </si>
  <si>
    <t>3,20</t>
  </si>
  <si>
    <t>1,282;2,282;3,242;4,125;5,70</t>
  </si>
  <si>
    <t>1001,215020,1;5,0,1500</t>
  </si>
  <si>
    <t>1,50</t>
  </si>
  <si>
    <t>1,298;2,298;3,255;4,100;5,50</t>
  </si>
  <si>
    <t>1001,216020,1;5,0,2500</t>
  </si>
  <si>
    <t>2,400</t>
  </si>
  <si>
    <t>1,313;2,313;3,269;4,70;5,35</t>
  </si>
  <si>
    <t>1001,217020,1;5,0,3000</t>
  </si>
  <si>
    <t>3,30</t>
  </si>
  <si>
    <t>1,317;2,317;3,272;4,70;5,25</t>
  </si>
  <si>
    <t>1001,218020,1;5,0,3500</t>
  </si>
  <si>
    <t>1,75</t>
  </si>
  <si>
    <t>1,324;2,324;3,278;4,50;5,25</t>
  </si>
  <si>
    <t>1001,219020,1;5,0,4000</t>
  </si>
  <si>
    <t>2,600</t>
  </si>
  <si>
    <t>1,326;2,326;3,279;4,50;5,20</t>
  </si>
  <si>
    <t>1001,210020,1;5,0,5000</t>
  </si>
  <si>
    <t>1,100;2,800;3,40</t>
  </si>
  <si>
    <t>1001,210120,1;5,0,5500</t>
  </si>
  <si>
    <t>4,5;8,0.02</t>
  </si>
  <si>
    <t>1001,210220,1;5,0,6000</t>
  </si>
  <si>
    <t>4,5;7,0.02</t>
  </si>
  <si>
    <t>1001,210320,1;5,0,6500</t>
  </si>
  <si>
    <t>4,5;5,0.02</t>
  </si>
  <si>
    <t>1001,210420,1;5,0,7000</t>
  </si>
  <si>
    <t>4,5;6,0.02</t>
  </si>
  <si>
    <t>1001,210520,1;5,0,8000</t>
  </si>
  <si>
    <t>1,120;2,1000;3,50;4,10</t>
  </si>
  <si>
    <t>1001,211019,1;5,0,500</t>
  </si>
  <si>
    <t>3,0.02</t>
  </si>
  <si>
    <t>1001,212019,1;5,0,750</t>
  </si>
  <si>
    <t>1001,213019,1;5,0,1000</t>
  </si>
  <si>
    <t>1001,214019,1;5,0,1250</t>
  </si>
  <si>
    <t>1001,215019,1;5,0,1500</t>
  </si>
  <si>
    <t>1001,216019,1;5,0,2500</t>
  </si>
  <si>
    <t>1001,217019,1;5,0,3000</t>
  </si>
  <si>
    <t>1001,218019,1;5,0,3500</t>
  </si>
  <si>
    <t>1001,219019,1;5,0,4000</t>
  </si>
  <si>
    <t>1001,210019,1;5,0,5000</t>
  </si>
  <si>
    <t>1001,210119,1;5,0,5500</t>
  </si>
  <si>
    <t>1001,210219,1;5,0,6000</t>
  </si>
  <si>
    <t>1001,210319,1;5,0,6500</t>
  </si>
  <si>
    <t>1001,210419,1;5,0,7000</t>
  </si>
  <si>
    <t>1001,210519,1;5,0,8000</t>
  </si>
  <si>
    <t>1001,211018,1;5,0,500</t>
  </si>
  <si>
    <t>2,0.02</t>
  </si>
  <si>
    <t>1001,212018,1;5,0,750</t>
  </si>
  <si>
    <t>1001,213018,1;5,0,1000</t>
  </si>
  <si>
    <t>1001,214018,1;5,0,1250</t>
  </si>
  <si>
    <t>1001,215018,1;5,0,1500</t>
  </si>
  <si>
    <t>1001,216018,1;5,0,2500</t>
  </si>
  <si>
    <t>1001,217018,1;5,0,3000</t>
  </si>
  <si>
    <t>1001,218018,1;5,0,3500</t>
  </si>
  <si>
    <t>1001,219018,1;5,0,4000</t>
  </si>
  <si>
    <t>1001,210018,1;5,0,5000</t>
  </si>
  <si>
    <t>1001,210118,1;5,0,5500</t>
  </si>
  <si>
    <t>1001,210218,1;5,0,6000</t>
  </si>
  <si>
    <t>1001,210318,1;5,0,6500</t>
  </si>
  <si>
    <t>1001,210418,1;5,0,7000</t>
  </si>
  <si>
    <t>1001,210518,1;5,0,8000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</si>
</sst>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indexed="8"/>
      <name val="宋体"/>
      <charset val="134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/>
    <xf numFmtId="42" fontId="0" fillId="0" borderId="0">
      <alignment vertical="center"/>
    </xf>
    <xf numFmtId="0" fontId="4" fillId="28" borderId="0">
      <alignment vertical="center"/>
    </xf>
    <xf numFmtId="0" fontId="16" fillId="24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8" fillId="12" borderId="0">
      <alignment vertical="center"/>
    </xf>
    <xf numFmtId="43" fontId="0" fillId="0" borderId="0">
      <alignment vertical="center"/>
    </xf>
    <xf numFmtId="0" fontId="3" fillId="10" borderId="0">
      <alignment vertical="center"/>
    </xf>
    <xf numFmtId="0" fontId="20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27" borderId="5">
      <alignment vertical="center"/>
    </xf>
    <xf numFmtId="0" fontId="3" fillId="7" borderId="0">
      <alignment vertical="center"/>
    </xf>
    <xf numFmtId="0" fontId="1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7" fillId="0" borderId="0">
      <alignment vertical="center"/>
    </xf>
    <xf numFmtId="0" fontId="6" fillId="0" borderId="2">
      <alignment vertical="center"/>
    </xf>
    <xf numFmtId="0" fontId="14" fillId="0" borderId="2">
      <alignment vertical="center"/>
    </xf>
    <xf numFmtId="0" fontId="3" fillId="33" borderId="0">
      <alignment vertical="center"/>
    </xf>
    <xf numFmtId="0" fontId="10" fillId="0" borderId="8">
      <alignment vertical="center"/>
    </xf>
    <xf numFmtId="0" fontId="3" fillId="22" borderId="0">
      <alignment vertical="center"/>
    </xf>
    <xf numFmtId="0" fontId="5" fillId="6" borderId="1">
      <alignment vertical="center"/>
    </xf>
    <xf numFmtId="0" fontId="9" fillId="6" borderId="3">
      <alignment vertical="center"/>
    </xf>
    <xf numFmtId="0" fontId="19" fillId="31" borderId="6">
      <alignment vertical="center"/>
    </xf>
    <xf numFmtId="0" fontId="4" fillId="32" borderId="0">
      <alignment vertical="center"/>
    </xf>
    <xf numFmtId="0" fontId="3" fillId="26" borderId="0">
      <alignment vertical="center"/>
    </xf>
    <xf numFmtId="0" fontId="13" fillId="0" borderId="4">
      <alignment vertical="center"/>
    </xf>
    <xf numFmtId="0" fontId="21" fillId="0" borderId="7">
      <alignment vertical="center"/>
    </xf>
    <xf numFmtId="0" fontId="11" fillId="21" borderId="0">
      <alignment vertical="center"/>
    </xf>
    <xf numFmtId="0" fontId="17" fillId="25" borderId="0">
      <alignment vertical="center"/>
    </xf>
    <xf numFmtId="0" fontId="4" fillId="20" borderId="0">
      <alignment vertical="center"/>
    </xf>
    <xf numFmtId="0" fontId="3" fillId="9" borderId="0">
      <alignment vertical="center"/>
    </xf>
    <xf numFmtId="0" fontId="4" fillId="19" borderId="0">
      <alignment vertical="center"/>
    </xf>
    <xf numFmtId="0" fontId="4" fillId="17" borderId="0">
      <alignment vertical="center"/>
    </xf>
    <xf numFmtId="0" fontId="4" fillId="18" borderId="0">
      <alignment vertical="center"/>
    </xf>
    <xf numFmtId="0" fontId="4" fillId="8" borderId="0">
      <alignment vertical="center"/>
    </xf>
    <xf numFmtId="0" fontId="3" fillId="23" borderId="0">
      <alignment vertical="center"/>
    </xf>
    <xf numFmtId="0" fontId="3" fillId="30" borderId="0">
      <alignment vertical="center"/>
    </xf>
    <xf numFmtId="0" fontId="4" fillId="16" borderId="0">
      <alignment vertical="center"/>
    </xf>
    <xf numFmtId="0" fontId="4" fillId="29" borderId="0">
      <alignment vertical="center"/>
    </xf>
    <xf numFmtId="0" fontId="3" fillId="5" borderId="0">
      <alignment vertical="center"/>
    </xf>
    <xf numFmtId="0" fontId="4" fillId="4" borderId="0">
      <alignment vertical="center"/>
    </xf>
    <xf numFmtId="0" fontId="3" fillId="3" borderId="0">
      <alignment vertical="center"/>
    </xf>
    <xf numFmtId="0" fontId="3" fillId="15" borderId="0">
      <alignment vertical="center"/>
    </xf>
    <xf numFmtId="0" fontId="4" fillId="14" borderId="0">
      <alignment vertical="center"/>
    </xf>
    <xf numFmtId="0" fontId="3" fillId="13" borderId="0">
      <alignment vertical="center"/>
    </xf>
    <xf numFmtId="0" fontId="12" fillId="0" borderId="0">
      <alignment vertical="center"/>
    </xf>
    <xf numFmtId="0" fontId="0" fillId="0" borderId="0"/>
  </cellStyleXfs>
  <cellXfs count="5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horizontal="left"/>
    </xf>
    <xf numFmtId="49" applyNumberFormat="1" fontId="0" applyFont="1" fillId="0" applyFill="1" borderId="0" applyBorder="1" xfId="0" applyProtection="1"/>
    <xf numFmtId="0" applyNumberFormat="1" fontId="2" applyFont="1" fillId="0" applyFill="1" borderId="0" applyBorder="1" xfId="49" applyProtection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T51"/>
  <sheetViews>
    <sheetView tabSelected="1" workbookViewId="0">
      <selection activeCell="D18" sqref="D18"/>
    </sheetView>
  </sheetViews>
  <sheetFormatPr defaultColWidth="9" defaultRowHeight="13.5"/>
  <cols>
    <col min="1" max="1" width="14.5" customWidth="1"/>
    <col min="2" max="2" width="18.3833333333333" customWidth="1"/>
    <col min="3" max="3" width="28.8833333333333" customWidth="1"/>
    <col min="4" max="4" width="43.75" customWidth="1"/>
    <col min="5" max="6" width="20.6333333333333" customWidth="1"/>
    <col min="7" max="7" width="27.1333333333333" customWidth="1"/>
    <col min="8" max="8" width="16.25" customWidth="1" style="2"/>
    <col min="9" max="9" width="18.25" customWidth="1" style="2"/>
    <col min="10" max="14" width="16.25" customWidth="1" style="2"/>
    <col min="15" max="15" width="15.8916666666667" customWidth="1"/>
    <col min="17" max="17" width="14.8833333333333" customWidth="1"/>
    <col min="24" max="24" width="11.25" customWidth="1"/>
    <col min="25" max="25" width="10.25" customWidth="1"/>
    <col min="26" max="26" width="11.25" customWidth="1"/>
    <col min="27" max="27" width="10.25" customWidth="1"/>
    <col min="28" max="28" width="11.8833333333333" customWidth="1"/>
  </cols>
  <sheetData>
    <row r="1">
      <c r="A1" s="3">
        <v>7</v>
      </c>
      <c r="B1" s="3">
        <v>1</v>
      </c>
      <c r="C1" s="3">
        <v>9999</v>
      </c>
      <c r="D1" s="3">
        <v>9</v>
      </c>
      <c r="E1" s="4"/>
      <c r="F1" s="4"/>
      <c r="G1" s="4"/>
    </row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5" t="s">
        <v>14</v>
      </c>
      <c r="P2" s="0" t="s">
        <v>15</v>
      </c>
      <c r="Q2" s="0" t="s">
        <v>16</v>
      </c>
      <c r="R2" s="0" t="s">
        <v>17</v>
      </c>
      <c r="S2" s="0" t="s">
        <v>18</v>
      </c>
      <c r="T2" s="0" t="s">
        <v>19</v>
      </c>
    </row>
    <row r="3">
      <c r="A3" s="5" t="s">
        <v>20</v>
      </c>
      <c r="B3" s="8" t="s">
        <v>21</v>
      </c>
      <c r="C3" s="5" t="s">
        <v>22</v>
      </c>
      <c r="D3" s="5"/>
      <c r="E3" s="5"/>
      <c r="F3" s="5"/>
      <c r="G3" s="6" t="s">
        <v>23</v>
      </c>
      <c r="H3" s="7" t="s">
        <v>24</v>
      </c>
      <c r="I3" s="7" t="s">
        <v>25</v>
      </c>
      <c r="J3" s="7"/>
      <c r="K3" s="7"/>
      <c r="L3" s="7"/>
      <c r="M3" s="7"/>
      <c r="N3" s="7"/>
      <c r="O3" s="5"/>
    </row>
    <row r="4">
      <c r="A4" s="0" t="s">
        <v>26</v>
      </c>
      <c r="B4" s="0" t="s">
        <v>26</v>
      </c>
      <c r="C4" s="0" t="s">
        <v>26</v>
      </c>
      <c r="G4" s="4" t="s">
        <v>27</v>
      </c>
      <c r="H4" s="9" t="s">
        <v>27</v>
      </c>
      <c r="I4" s="9" t="s">
        <v>27</v>
      </c>
      <c r="J4" s="9"/>
      <c r="K4" s="9"/>
      <c r="L4" s="9"/>
      <c r="M4" s="9"/>
      <c r="N4" s="9"/>
    </row>
    <row r="5">
      <c r="A5" s="0" t="s">
        <v>28</v>
      </c>
      <c r="B5" s="0" t="s">
        <v>29</v>
      </c>
      <c r="C5" s="5" t="s">
        <v>29</v>
      </c>
      <c r="E5" s="5"/>
      <c r="F5" s="5"/>
      <c r="G5" s="4" t="s">
        <v>29</v>
      </c>
      <c r="H5" s="9" t="s">
        <v>29</v>
      </c>
      <c r="I5" s="9" t="s">
        <v>29</v>
      </c>
      <c r="J5" s="9"/>
      <c r="K5" s="9"/>
      <c r="L5" s="9"/>
      <c r="M5" s="9"/>
      <c r="N5" s="9"/>
      <c r="O5" s="5"/>
    </row>
    <row r="6" s="1" customFormat="1">
      <c r="A6" s="1" t="s">
        <v>30</v>
      </c>
      <c r="B6" s="1" t="s">
        <v>21</v>
      </c>
      <c r="C6" s="1" t="s">
        <v>22</v>
      </c>
      <c r="D6" s="1" t="s">
        <v>31</v>
      </c>
      <c r="E6" s="1" t="s">
        <v>32</v>
      </c>
      <c r="F6" s="1" t="s">
        <v>33</v>
      </c>
      <c r="G6" s="10" t="s">
        <v>23</v>
      </c>
      <c r="H6" s="11" t="s">
        <v>24</v>
      </c>
      <c r="I6" s="11" t="s">
        <v>25</v>
      </c>
      <c r="J6" s="11" t="s">
        <v>34</v>
      </c>
      <c r="K6" s="11" t="s">
        <v>35</v>
      </c>
      <c r="L6" s="11" t="s">
        <v>36</v>
      </c>
      <c r="M6" s="11" t="s">
        <v>37</v>
      </c>
      <c r="N6" s="11" t="s">
        <v>38</v>
      </c>
      <c r="O6" s="1" t="s">
        <v>39</v>
      </c>
      <c r="P6" s="1" t="s">
        <v>40</v>
      </c>
      <c r="Q6" s="1" t="s">
        <v>41</v>
      </c>
      <c r="R6" s="1" t="s">
        <v>42</v>
      </c>
      <c r="S6" s="1" t="s">
        <v>43</v>
      </c>
      <c r="T6" s="1" t="s">
        <v>44</v>
      </c>
    </row>
    <row r="7">
      <c r="A7" s="0">
        <f>B7*15+C7</f>
        <v>1</v>
      </c>
      <c r="B7" s="12">
        <v>0</v>
      </c>
      <c r="C7" s="5">
        <v>1</v>
      </c>
      <c r="D7" s="12" t="s">
        <v>45</v>
      </c>
      <c r="E7" s="13">
        <v>1</v>
      </c>
      <c r="F7" s="13">
        <v>999999</v>
      </c>
      <c r="G7" s="13" t="s">
        <v>46</v>
      </c>
      <c r="H7" s="14" t="s">
        <v>47</v>
      </c>
      <c r="I7" s="14" t="s">
        <v>48</v>
      </c>
      <c r="J7" s="14" t="s">
        <v>49</v>
      </c>
      <c r="K7" s="14" t="s">
        <v>50</v>
      </c>
      <c r="L7" s="14" t="s">
        <v>51</v>
      </c>
      <c r="M7" s="14" t="s">
        <v>52</v>
      </c>
      <c r="N7" s="14" t="s">
        <v>53</v>
      </c>
      <c r="O7" s="16">
        <v>49</v>
      </c>
      <c r="P7" s="0">
        <v>49</v>
      </c>
      <c r="Q7" s="0">
        <v>42</v>
      </c>
      <c r="R7" s="0">
        <v>40</v>
      </c>
      <c r="S7" s="0">
        <v>20</v>
      </c>
      <c r="T7" s="0" t="str">
        <f>J6&amp;","&amp;O6&amp;";"&amp;K6&amp;","&amp;P6&amp;";"&amp;L6&amp;","&amp;Q6&amp;";"&amp;M6&amp;","&amp;R6&amp;";"&amp;N6&amp;","&amp;S6</f>
        <v>a,A;b,B;c,C;d,D;e,E</v>
      </c>
    </row>
    <row r="8">
      <c r="A8" s="0">
        <f ref="A8:A21" t="shared" si="0">B8*15+C8</f>
        <v>2</v>
      </c>
      <c r="B8" s="12">
        <v>0</v>
      </c>
      <c r="C8" s="5">
        <v>2</v>
      </c>
      <c r="D8" s="12" t="s">
        <v>45</v>
      </c>
      <c r="E8" s="13">
        <v>1</v>
      </c>
      <c r="F8" s="13">
        <v>999999</v>
      </c>
      <c r="G8" s="13" t="s">
        <v>54</v>
      </c>
      <c r="H8" s="14" t="s">
        <v>47</v>
      </c>
      <c r="I8" s="14" t="s">
        <v>55</v>
      </c>
      <c r="J8" s="14" t="s">
        <v>49</v>
      </c>
      <c r="K8" s="14" t="s">
        <v>50</v>
      </c>
      <c r="L8" s="14" t="s">
        <v>51</v>
      </c>
      <c r="M8" s="14" t="s">
        <v>52</v>
      </c>
      <c r="N8" s="14" t="s">
        <v>53</v>
      </c>
      <c r="O8" s="16">
        <v>49</v>
      </c>
      <c r="P8" s="0">
        <v>49</v>
      </c>
      <c r="Q8" s="0">
        <v>42</v>
      </c>
      <c r="R8" s="0">
        <v>40</v>
      </c>
      <c r="S8" s="0">
        <v>20</v>
      </c>
      <c r="T8" s="0" t="str">
        <f ref="T8:T17" t="shared" si="1">J7&amp;","&amp;O7&amp;";"&amp;K7&amp;","&amp;P7&amp;";"&amp;L7&amp;","&amp;Q7&amp;";"&amp;M7&amp;","&amp;R7&amp;";"&amp;N7&amp;","&amp;S7</f>
        <v>1,49;2,49;3,42;4,40;5,20</v>
      </c>
    </row>
    <row r="9">
      <c r="A9" s="0">
        <f t="shared" si="0"/>
        <v>3</v>
      </c>
      <c r="B9" s="12">
        <v>0</v>
      </c>
      <c r="C9" s="5">
        <v>3</v>
      </c>
      <c r="D9" s="12" t="s">
        <v>45</v>
      </c>
      <c r="E9" s="13">
        <v>1</v>
      </c>
      <c r="F9" s="13">
        <v>999999</v>
      </c>
      <c r="G9" s="13" t="s">
        <v>56</v>
      </c>
      <c r="H9" s="14" t="s">
        <v>47</v>
      </c>
      <c r="I9" s="14" t="s">
        <v>57</v>
      </c>
      <c r="J9" s="14" t="s">
        <v>49</v>
      </c>
      <c r="K9" s="14" t="s">
        <v>50</v>
      </c>
      <c r="L9" s="14" t="s">
        <v>51</v>
      </c>
      <c r="M9" s="14" t="s">
        <v>52</v>
      </c>
      <c r="N9" s="14" t="s">
        <v>53</v>
      </c>
      <c r="O9" s="16">
        <v>49</v>
      </c>
      <c r="P9" s="0">
        <v>49</v>
      </c>
      <c r="Q9" s="0">
        <v>42</v>
      </c>
      <c r="R9" s="0">
        <v>40</v>
      </c>
      <c r="S9" s="0">
        <v>20</v>
      </c>
      <c r="T9" s="0" t="str">
        <f t="shared" si="1"/>
        <v>1,49;2,49;3,42;4,40;5,20</v>
      </c>
    </row>
    <row r="10">
      <c r="A10" s="0">
        <f t="shared" si="0"/>
        <v>4</v>
      </c>
      <c r="B10" s="12">
        <v>0</v>
      </c>
      <c r="C10" s="5">
        <v>4</v>
      </c>
      <c r="D10" s="12" t="s">
        <v>58</v>
      </c>
      <c r="E10" s="13">
        <v>1</v>
      </c>
      <c r="F10" s="13">
        <v>999999</v>
      </c>
      <c r="G10" s="13" t="s">
        <v>59</v>
      </c>
      <c r="H10" s="14" t="s">
        <v>47</v>
      </c>
      <c r="I10" s="14" t="s">
        <v>60</v>
      </c>
      <c r="J10" s="14" t="s">
        <v>49</v>
      </c>
      <c r="K10" s="14" t="s">
        <v>50</v>
      </c>
      <c r="L10" s="14" t="s">
        <v>51</v>
      </c>
      <c r="M10" s="14" t="s">
        <v>52</v>
      </c>
      <c r="N10" s="14" t="s">
        <v>53</v>
      </c>
      <c r="O10" s="16">
        <v>26.1</v>
      </c>
      <c r="P10" s="0">
        <v>26.1</v>
      </c>
      <c r="Q10" s="0">
        <v>22.4</v>
      </c>
      <c r="R10" s="0">
        <v>17</v>
      </c>
      <c r="S10" s="0">
        <v>8.5</v>
      </c>
      <c r="T10" s="0" t="str">
        <f t="shared" si="1"/>
        <v>1,49;2,49;3,42;4,40;5,20</v>
      </c>
    </row>
    <row r="11">
      <c r="A11" s="0">
        <f t="shared" si="0"/>
        <v>5</v>
      </c>
      <c r="B11" s="12">
        <v>0</v>
      </c>
      <c r="C11" s="5">
        <v>5</v>
      </c>
      <c r="D11" s="12" t="s">
        <v>61</v>
      </c>
      <c r="E11" s="13">
        <v>1</v>
      </c>
      <c r="F11" s="13">
        <v>999999</v>
      </c>
      <c r="G11" s="13" t="s">
        <v>62</v>
      </c>
      <c r="H11" s="14" t="s">
        <v>47</v>
      </c>
      <c r="I11" s="14" t="s">
        <v>63</v>
      </c>
      <c r="J11" s="14" t="s">
        <v>49</v>
      </c>
      <c r="K11" s="14" t="s">
        <v>50</v>
      </c>
      <c r="L11" s="14" t="s">
        <v>51</v>
      </c>
      <c r="M11" s="14" t="s">
        <v>52</v>
      </c>
      <c r="N11" s="14" t="s">
        <v>53</v>
      </c>
      <c r="O11" s="16">
        <v>28.2</v>
      </c>
      <c r="P11" s="0">
        <v>28.2</v>
      </c>
      <c r="Q11" s="0">
        <v>24.2</v>
      </c>
      <c r="R11" s="0">
        <v>12.5</v>
      </c>
      <c r="S11" s="0">
        <v>7</v>
      </c>
      <c r="T11" s="0" t="str">
        <f t="shared" si="1"/>
        <v>1,26.1;2,26.1;3,22.4;4,17;5,8.5</v>
      </c>
    </row>
    <row r="12">
      <c r="A12" s="0">
        <f t="shared" si="0"/>
        <v>6</v>
      </c>
      <c r="B12" s="12">
        <v>0</v>
      </c>
      <c r="C12" s="5">
        <v>6</v>
      </c>
      <c r="D12" s="12" t="s">
        <v>64</v>
      </c>
      <c r="E12" s="13">
        <v>1</v>
      </c>
      <c r="F12" s="13">
        <v>999999</v>
      </c>
      <c r="G12" s="13" t="s">
        <v>65</v>
      </c>
      <c r="H12" s="14" t="s">
        <v>47</v>
      </c>
      <c r="I12" s="14" t="s">
        <v>66</v>
      </c>
      <c r="J12" s="14" t="s">
        <v>49</v>
      </c>
      <c r="K12" s="14" t="s">
        <v>50</v>
      </c>
      <c r="L12" s="14" t="s">
        <v>51</v>
      </c>
      <c r="M12" s="14" t="s">
        <v>52</v>
      </c>
      <c r="N12" s="14" t="s">
        <v>53</v>
      </c>
      <c r="O12" s="16">
        <v>29.8</v>
      </c>
      <c r="P12" s="0">
        <v>29.8</v>
      </c>
      <c r="Q12" s="0">
        <v>25.5</v>
      </c>
      <c r="R12" s="0">
        <v>10</v>
      </c>
      <c r="S12" s="0">
        <v>5</v>
      </c>
      <c r="T12" s="0" t="str">
        <f t="shared" si="1"/>
        <v>1,28.2;2,28.2;3,24.2;4,12.5;5,7</v>
      </c>
    </row>
    <row r="13">
      <c r="A13" s="0">
        <f t="shared" si="0"/>
        <v>7</v>
      </c>
      <c r="B13" s="12">
        <v>0</v>
      </c>
      <c r="C13" s="5">
        <v>7</v>
      </c>
      <c r="D13" s="12" t="s">
        <v>67</v>
      </c>
      <c r="E13" s="13">
        <v>1</v>
      </c>
      <c r="F13" s="13">
        <v>999999</v>
      </c>
      <c r="G13" s="13" t="s">
        <v>68</v>
      </c>
      <c r="H13" s="14" t="s">
        <v>47</v>
      </c>
      <c r="I13" s="14" t="s">
        <v>69</v>
      </c>
      <c r="J13" s="14" t="s">
        <v>49</v>
      </c>
      <c r="K13" s="14" t="s">
        <v>50</v>
      </c>
      <c r="L13" s="14" t="s">
        <v>51</v>
      </c>
      <c r="M13" s="14" t="s">
        <v>52</v>
      </c>
      <c r="N13" s="14" t="s">
        <v>53</v>
      </c>
      <c r="O13" s="16">
        <v>31.3</v>
      </c>
      <c r="P13" s="0">
        <v>31.3</v>
      </c>
      <c r="Q13" s="0">
        <v>26.9</v>
      </c>
      <c r="R13" s="0">
        <v>7</v>
      </c>
      <c r="S13" s="0">
        <v>3.5</v>
      </c>
      <c r="T13" s="0" t="str">
        <f t="shared" si="1"/>
        <v>1,29.8;2,29.8;3,25.5;4,10;5,5</v>
      </c>
    </row>
    <row r="14">
      <c r="A14" s="0">
        <f t="shared" si="0"/>
        <v>8</v>
      </c>
      <c r="B14" s="12">
        <v>0</v>
      </c>
      <c r="C14" s="5">
        <v>8</v>
      </c>
      <c r="D14" s="12" t="s">
        <v>70</v>
      </c>
      <c r="E14" s="13">
        <v>1</v>
      </c>
      <c r="F14" s="13">
        <v>999999</v>
      </c>
      <c r="G14" s="13" t="s">
        <v>71</v>
      </c>
      <c r="H14" s="14" t="s">
        <v>47</v>
      </c>
      <c r="I14" s="14" t="s">
        <v>72</v>
      </c>
      <c r="J14" s="14" t="s">
        <v>49</v>
      </c>
      <c r="K14" s="14" t="s">
        <v>50</v>
      </c>
      <c r="L14" s="14" t="s">
        <v>51</v>
      </c>
      <c r="M14" s="14" t="s">
        <v>52</v>
      </c>
      <c r="N14" s="14" t="s">
        <v>53</v>
      </c>
      <c r="O14" s="16">
        <v>31.7</v>
      </c>
      <c r="P14" s="0">
        <v>31.7</v>
      </c>
      <c r="Q14" s="12">
        <v>27.2</v>
      </c>
      <c r="R14" s="0">
        <v>7</v>
      </c>
      <c r="S14" s="0">
        <v>2.5</v>
      </c>
      <c r="T14" s="0" t="str">
        <f t="shared" si="1"/>
        <v>1,31.3;2,31.3;3,26.9;4,7;5,3.5</v>
      </c>
    </row>
    <row r="15">
      <c r="A15" s="0">
        <f t="shared" si="0"/>
        <v>9</v>
      </c>
      <c r="B15" s="12">
        <v>0</v>
      </c>
      <c r="C15" s="5">
        <v>9</v>
      </c>
      <c r="D15" s="12" t="s">
        <v>73</v>
      </c>
      <c r="E15" s="13">
        <v>1</v>
      </c>
      <c r="F15" s="13">
        <v>999999</v>
      </c>
      <c r="G15" s="13" t="s">
        <v>74</v>
      </c>
      <c r="H15" s="14" t="s">
        <v>47</v>
      </c>
      <c r="I15" s="14" t="s">
        <v>75</v>
      </c>
      <c r="J15" s="14" t="s">
        <v>49</v>
      </c>
      <c r="K15" s="14" t="s">
        <v>50</v>
      </c>
      <c r="L15" s="14" t="s">
        <v>51</v>
      </c>
      <c r="M15" s="14" t="s">
        <v>52</v>
      </c>
      <c r="N15" s="14" t="s">
        <v>53</v>
      </c>
      <c r="O15" s="16">
        <v>32.4</v>
      </c>
      <c r="P15" s="0">
        <v>32.4</v>
      </c>
      <c r="Q15" s="0">
        <v>27.8</v>
      </c>
      <c r="R15" s="0">
        <v>5</v>
      </c>
      <c r="S15" s="0">
        <v>2.5</v>
      </c>
      <c r="T15" s="0" t="str">
        <f t="shared" si="1"/>
        <v>1,31.7;2,31.7;3,27.2;4,7;5,2.5</v>
      </c>
    </row>
    <row r="16">
      <c r="A16" s="0">
        <f t="shared" si="0"/>
        <v>10</v>
      </c>
      <c r="B16" s="12">
        <v>0</v>
      </c>
      <c r="C16" s="5">
        <v>10</v>
      </c>
      <c r="D16" s="12" t="s">
        <v>76</v>
      </c>
      <c r="E16" s="13">
        <v>1</v>
      </c>
      <c r="F16" s="13">
        <v>999999</v>
      </c>
      <c r="G16" s="13" t="s">
        <v>77</v>
      </c>
      <c r="H16" s="14" t="s">
        <v>47</v>
      </c>
      <c r="I16" s="14" t="s">
        <v>78</v>
      </c>
      <c r="J16" s="14" t="s">
        <v>49</v>
      </c>
      <c r="K16" s="14" t="s">
        <v>50</v>
      </c>
      <c r="L16" s="14" t="s">
        <v>51</v>
      </c>
      <c r="M16" s="14" t="s">
        <v>52</v>
      </c>
      <c r="N16" s="14" t="s">
        <v>53</v>
      </c>
      <c r="O16" s="16">
        <v>32.6</v>
      </c>
      <c r="P16" s="0">
        <v>32.6</v>
      </c>
      <c r="Q16" s="0">
        <v>27.9</v>
      </c>
      <c r="R16" s="0">
        <v>5</v>
      </c>
      <c r="S16" s="0">
        <v>2</v>
      </c>
      <c r="T16" s="0" t="str">
        <f t="shared" si="1"/>
        <v>1,32.4;2,32.4;3,27.8;4,5;5,2.5</v>
      </c>
    </row>
    <row r="17">
      <c r="A17" s="0">
        <f t="shared" si="0"/>
        <v>11</v>
      </c>
      <c r="B17" s="12">
        <v>0</v>
      </c>
      <c r="C17" s="5">
        <v>11</v>
      </c>
      <c r="D17" s="12" t="s">
        <v>76</v>
      </c>
      <c r="E17" s="13">
        <v>1</v>
      </c>
      <c r="F17" s="13">
        <v>999999</v>
      </c>
      <c r="G17" s="15" t="s">
        <v>79</v>
      </c>
      <c r="H17" s="14" t="s">
        <v>47</v>
      </c>
      <c r="I17" s="14" t="s">
        <v>80</v>
      </c>
    </row>
    <row r="18">
      <c r="A18" s="0">
        <f t="shared" si="0"/>
        <v>12</v>
      </c>
      <c r="B18" s="12">
        <v>0</v>
      </c>
      <c r="C18" s="5">
        <v>12</v>
      </c>
      <c r="D18" s="12" t="s">
        <v>76</v>
      </c>
      <c r="E18" s="13">
        <v>1</v>
      </c>
      <c r="F18" s="13">
        <v>999999</v>
      </c>
      <c r="G18" s="15" t="s">
        <v>81</v>
      </c>
      <c r="H18" s="14" t="s">
        <v>47</v>
      </c>
      <c r="I18" s="14" t="s">
        <v>82</v>
      </c>
    </row>
    <row r="19">
      <c r="A19" s="0">
        <f t="shared" si="0"/>
        <v>13</v>
      </c>
      <c r="B19" s="12">
        <v>0</v>
      </c>
      <c r="C19" s="5">
        <v>13</v>
      </c>
      <c r="D19" s="12" t="s">
        <v>76</v>
      </c>
      <c r="E19" s="13">
        <v>1</v>
      </c>
      <c r="F19" s="13">
        <v>999999</v>
      </c>
      <c r="G19" s="15" t="s">
        <v>83</v>
      </c>
      <c r="H19" s="14" t="s">
        <v>47</v>
      </c>
      <c r="I19" s="14" t="s">
        <v>84</v>
      </c>
    </row>
    <row r="20">
      <c r="A20" s="0">
        <f t="shared" si="0"/>
        <v>14</v>
      </c>
      <c r="B20" s="12">
        <v>0</v>
      </c>
      <c r="C20" s="5">
        <v>14</v>
      </c>
      <c r="D20" s="12" t="s">
        <v>76</v>
      </c>
      <c r="E20" s="13">
        <v>1</v>
      </c>
      <c r="F20" s="13">
        <v>999999</v>
      </c>
      <c r="G20" s="15" t="s">
        <v>85</v>
      </c>
      <c r="H20" s="14" t="s">
        <v>47</v>
      </c>
      <c r="I20" s="14" t="s">
        <v>86</v>
      </c>
    </row>
    <row r="21">
      <c r="A21" s="0">
        <f t="shared" si="0"/>
        <v>15</v>
      </c>
      <c r="B21" s="12">
        <v>0</v>
      </c>
      <c r="C21" s="5">
        <v>15</v>
      </c>
      <c r="D21" s="12" t="s">
        <v>76</v>
      </c>
      <c r="E21" s="13">
        <v>1</v>
      </c>
      <c r="F21" s="13">
        <v>999999</v>
      </c>
      <c r="G21" s="15" t="s">
        <v>87</v>
      </c>
      <c r="H21" s="14" t="s">
        <v>47</v>
      </c>
      <c r="I21" s="14" t="s">
        <v>88</v>
      </c>
    </row>
    <row r="22">
      <c r="A22" s="0">
        <f ref="A22:A51" t="shared" si="2">B22*15+C22</f>
        <v>16</v>
      </c>
      <c r="B22" s="12">
        <v>1</v>
      </c>
      <c r="C22" s="5">
        <v>1</v>
      </c>
      <c r="D22" s="12" t="s">
        <v>45</v>
      </c>
      <c r="E22" s="13">
        <v>1</v>
      </c>
      <c r="F22" s="13">
        <v>999999</v>
      </c>
      <c r="G22" s="13" t="s">
        <v>89</v>
      </c>
      <c r="H22" s="14" t="s">
        <v>90</v>
      </c>
      <c r="I22" s="14" t="s">
        <v>48</v>
      </c>
      <c r="J22" s="14" t="s">
        <v>49</v>
      </c>
      <c r="K22" s="14" t="s">
        <v>50</v>
      </c>
      <c r="L22" s="14" t="s">
        <v>51</v>
      </c>
      <c r="M22" s="14" t="s">
        <v>52</v>
      </c>
      <c r="N22" s="14" t="s">
        <v>53</v>
      </c>
      <c r="O22" s="16"/>
      <c r="T22" s="0" t="str">
        <f>J16&amp;","&amp;O16&amp;";"&amp;K16&amp;","&amp;P16&amp;";"&amp;L16&amp;","&amp;Q16&amp;";"&amp;M16&amp;","&amp;R16&amp;";"&amp;N16&amp;","&amp;S16</f>
        <v>1,32.6;2,32.6;3,27.9;4,5;5,2</v>
      </c>
    </row>
    <row r="23">
      <c r="A23" s="0">
        <f t="shared" si="2"/>
        <v>17</v>
      </c>
      <c r="B23" s="12">
        <v>1</v>
      </c>
      <c r="C23" s="5">
        <v>2</v>
      </c>
      <c r="D23" s="12" t="s">
        <v>45</v>
      </c>
      <c r="E23" s="13">
        <v>1</v>
      </c>
      <c r="F23" s="13">
        <v>999999</v>
      </c>
      <c r="G23" s="13" t="s">
        <v>91</v>
      </c>
      <c r="H23" s="14" t="s">
        <v>90</v>
      </c>
      <c r="I23" s="14" t="s">
        <v>55</v>
      </c>
      <c r="J23" s="14"/>
      <c r="K23" s="14"/>
      <c r="L23" s="14"/>
      <c r="M23" s="14"/>
      <c r="N23" s="14"/>
      <c r="O23" s="16"/>
    </row>
    <row r="24">
      <c r="A24" s="0">
        <f t="shared" si="2"/>
        <v>18</v>
      </c>
      <c r="B24" s="12">
        <v>1</v>
      </c>
      <c r="C24" s="5">
        <v>3</v>
      </c>
      <c r="D24" s="12" t="s">
        <v>45</v>
      </c>
      <c r="E24" s="13">
        <v>1</v>
      </c>
      <c r="F24" s="13">
        <v>999999</v>
      </c>
      <c r="G24" s="13" t="s">
        <v>92</v>
      </c>
      <c r="H24" s="14" t="s">
        <v>90</v>
      </c>
      <c r="I24" s="14" t="s">
        <v>57</v>
      </c>
      <c r="J24" s="14"/>
      <c r="K24" s="14"/>
      <c r="L24" s="14"/>
      <c r="M24" s="14"/>
      <c r="N24" s="14"/>
      <c r="O24" s="16"/>
    </row>
    <row r="25">
      <c r="A25" s="0">
        <f t="shared" si="2"/>
        <v>19</v>
      </c>
      <c r="B25" s="12">
        <v>1</v>
      </c>
      <c r="C25" s="5">
        <v>4</v>
      </c>
      <c r="D25" s="12" t="s">
        <v>58</v>
      </c>
      <c r="E25" s="13">
        <v>1</v>
      </c>
      <c r="F25" s="13">
        <v>999999</v>
      </c>
      <c r="G25" s="13" t="s">
        <v>93</v>
      </c>
      <c r="H25" s="14" t="s">
        <v>90</v>
      </c>
      <c r="I25" s="14" t="s">
        <v>60</v>
      </c>
      <c r="J25" s="14"/>
      <c r="K25" s="14"/>
      <c r="L25" s="14"/>
      <c r="M25" s="14"/>
      <c r="N25" s="14"/>
      <c r="O25" s="16"/>
    </row>
    <row r="26">
      <c r="A26" s="0">
        <f t="shared" si="2"/>
        <v>20</v>
      </c>
      <c r="B26" s="12">
        <v>1</v>
      </c>
      <c r="C26" s="5">
        <v>5</v>
      </c>
      <c r="D26" s="12" t="s">
        <v>61</v>
      </c>
      <c r="E26" s="13">
        <v>1</v>
      </c>
      <c r="F26" s="13">
        <v>999999</v>
      </c>
      <c r="G26" s="13" t="s">
        <v>94</v>
      </c>
      <c r="H26" s="14" t="s">
        <v>90</v>
      </c>
      <c r="I26" s="14" t="s">
        <v>63</v>
      </c>
      <c r="J26" s="14"/>
      <c r="K26" s="14"/>
      <c r="L26" s="14"/>
      <c r="M26" s="14"/>
      <c r="N26" s="14"/>
      <c r="O26" s="16"/>
    </row>
    <row r="27">
      <c r="A27" s="0">
        <f t="shared" si="2"/>
        <v>21</v>
      </c>
      <c r="B27" s="12">
        <v>1</v>
      </c>
      <c r="C27" s="5">
        <v>6</v>
      </c>
      <c r="D27" s="12" t="s">
        <v>64</v>
      </c>
      <c r="E27" s="13">
        <v>1</v>
      </c>
      <c r="F27" s="13">
        <v>999999</v>
      </c>
      <c r="G27" s="13" t="s">
        <v>95</v>
      </c>
      <c r="H27" s="14" t="s">
        <v>90</v>
      </c>
      <c r="I27" s="14" t="s">
        <v>66</v>
      </c>
      <c r="J27" s="14"/>
      <c r="K27" s="14"/>
      <c r="L27" s="14"/>
      <c r="M27" s="14"/>
      <c r="N27" s="14"/>
      <c r="O27" s="16"/>
    </row>
    <row r="28">
      <c r="A28" s="0">
        <f t="shared" si="2"/>
        <v>22</v>
      </c>
      <c r="B28" s="12">
        <v>1</v>
      </c>
      <c r="C28" s="5">
        <v>7</v>
      </c>
      <c r="D28" s="12" t="s">
        <v>67</v>
      </c>
      <c r="E28" s="13">
        <v>1</v>
      </c>
      <c r="F28" s="13">
        <v>999999</v>
      </c>
      <c r="G28" s="13" t="s">
        <v>96</v>
      </c>
      <c r="H28" s="14" t="s">
        <v>90</v>
      </c>
      <c r="I28" s="14" t="s">
        <v>69</v>
      </c>
      <c r="J28" s="14"/>
      <c r="K28" s="14"/>
      <c r="L28" s="14"/>
      <c r="M28" s="14"/>
      <c r="N28" s="14"/>
      <c r="O28" s="16"/>
    </row>
    <row r="29">
      <c r="A29" s="0">
        <f t="shared" si="2"/>
        <v>23</v>
      </c>
      <c r="B29" s="12">
        <v>1</v>
      </c>
      <c r="C29" s="5">
        <v>8</v>
      </c>
      <c r="D29" s="12" t="s">
        <v>70</v>
      </c>
      <c r="E29" s="13">
        <v>1</v>
      </c>
      <c r="F29" s="13">
        <v>999999</v>
      </c>
      <c r="G29" s="13" t="s">
        <v>97</v>
      </c>
      <c r="H29" s="14" t="s">
        <v>90</v>
      </c>
      <c r="I29" s="14" t="s">
        <v>72</v>
      </c>
      <c r="J29" s="14"/>
      <c r="K29" s="14"/>
      <c r="L29" s="14"/>
      <c r="M29" s="14"/>
      <c r="N29" s="14"/>
      <c r="O29" s="16"/>
    </row>
    <row r="30">
      <c r="A30" s="0">
        <f t="shared" si="2"/>
        <v>24</v>
      </c>
      <c r="B30" s="12">
        <v>1</v>
      </c>
      <c r="C30" s="5">
        <v>9</v>
      </c>
      <c r="D30" s="12" t="s">
        <v>73</v>
      </c>
      <c r="E30" s="13">
        <v>1</v>
      </c>
      <c r="F30" s="13">
        <v>999999</v>
      </c>
      <c r="G30" s="13" t="s">
        <v>98</v>
      </c>
      <c r="H30" s="14" t="s">
        <v>90</v>
      </c>
      <c r="I30" s="14" t="s">
        <v>75</v>
      </c>
      <c r="J30" s="14"/>
      <c r="K30" s="14"/>
      <c r="L30" s="14"/>
      <c r="M30" s="14"/>
      <c r="N30" s="14"/>
      <c r="O30" s="16"/>
    </row>
    <row r="31">
      <c r="A31" s="0">
        <f t="shared" si="2"/>
        <v>25</v>
      </c>
      <c r="B31" s="12">
        <v>1</v>
      </c>
      <c r="C31" s="5">
        <v>10</v>
      </c>
      <c r="D31" s="12" t="s">
        <v>76</v>
      </c>
      <c r="E31" s="13">
        <v>1</v>
      </c>
      <c r="F31" s="13">
        <v>999999</v>
      </c>
      <c r="G31" s="13" t="s">
        <v>99</v>
      </c>
      <c r="H31" s="14" t="s">
        <v>90</v>
      </c>
      <c r="I31" s="14" t="s">
        <v>78</v>
      </c>
      <c r="J31" s="14"/>
      <c r="K31" s="14"/>
      <c r="L31" s="14"/>
      <c r="M31" s="14"/>
      <c r="N31" s="14"/>
      <c r="O31" s="16"/>
    </row>
    <row r="32">
      <c r="A32" s="0">
        <f t="shared" si="2"/>
        <v>26</v>
      </c>
      <c r="B32" s="12">
        <v>1</v>
      </c>
      <c r="C32" s="5">
        <v>11</v>
      </c>
      <c r="D32" s="12" t="s">
        <v>76</v>
      </c>
      <c r="E32" s="13">
        <v>1</v>
      </c>
      <c r="F32" s="13">
        <v>999999</v>
      </c>
      <c r="G32" s="15" t="s">
        <v>100</v>
      </c>
      <c r="H32" s="14" t="s">
        <v>90</v>
      </c>
      <c r="I32" s="14" t="s">
        <v>80</v>
      </c>
    </row>
    <row r="33">
      <c r="A33" s="0">
        <f t="shared" si="2"/>
        <v>27</v>
      </c>
      <c r="B33" s="12">
        <v>1</v>
      </c>
      <c r="C33" s="5">
        <v>12</v>
      </c>
      <c r="D33" s="12" t="s">
        <v>76</v>
      </c>
      <c r="E33" s="13">
        <v>1</v>
      </c>
      <c r="F33" s="13">
        <v>999999</v>
      </c>
      <c r="G33" s="15" t="s">
        <v>101</v>
      </c>
      <c r="H33" s="14" t="s">
        <v>90</v>
      </c>
      <c r="I33" s="14" t="s">
        <v>82</v>
      </c>
    </row>
    <row r="34">
      <c r="A34" s="0">
        <f t="shared" si="2"/>
        <v>28</v>
      </c>
      <c r="B34" s="12">
        <v>1</v>
      </c>
      <c r="C34" s="5">
        <v>13</v>
      </c>
      <c r="D34" s="12" t="s">
        <v>76</v>
      </c>
      <c r="E34" s="13">
        <v>1</v>
      </c>
      <c r="F34" s="13">
        <v>999999</v>
      </c>
      <c r="G34" s="15" t="s">
        <v>102</v>
      </c>
      <c r="H34" s="14" t="s">
        <v>90</v>
      </c>
      <c r="I34" s="14" t="s">
        <v>84</v>
      </c>
    </row>
    <row r="35">
      <c r="A35" s="0">
        <f t="shared" si="2"/>
        <v>29</v>
      </c>
      <c r="B35" s="12">
        <v>1</v>
      </c>
      <c r="C35" s="5">
        <v>14</v>
      </c>
      <c r="D35" s="12" t="s">
        <v>76</v>
      </c>
      <c r="E35" s="13">
        <v>1</v>
      </c>
      <c r="F35" s="13">
        <v>999999</v>
      </c>
      <c r="G35" s="15" t="s">
        <v>103</v>
      </c>
      <c r="H35" s="14" t="s">
        <v>90</v>
      </c>
      <c r="I35" s="14" t="s">
        <v>86</v>
      </c>
    </row>
    <row r="36">
      <c r="A36" s="0">
        <f t="shared" si="2"/>
        <v>30</v>
      </c>
      <c r="B36" s="12">
        <v>1</v>
      </c>
      <c r="C36" s="5">
        <v>15</v>
      </c>
      <c r="D36" s="12" t="s">
        <v>76</v>
      </c>
      <c r="E36" s="13">
        <v>1</v>
      </c>
      <c r="F36" s="13">
        <v>999999</v>
      </c>
      <c r="G36" s="15" t="s">
        <v>104</v>
      </c>
      <c r="H36" s="14" t="s">
        <v>90</v>
      </c>
      <c r="I36" s="14" t="s">
        <v>88</v>
      </c>
    </row>
    <row r="37">
      <c r="A37" s="0">
        <f t="shared" si="2"/>
        <v>31</v>
      </c>
      <c r="B37" s="12">
        <v>2</v>
      </c>
      <c r="C37" s="5">
        <v>1</v>
      </c>
      <c r="D37" s="12" t="s">
        <v>45</v>
      </c>
      <c r="E37" s="13">
        <v>1</v>
      </c>
      <c r="F37" s="13">
        <v>999999</v>
      </c>
      <c r="G37" s="13" t="s">
        <v>105</v>
      </c>
      <c r="H37" s="14" t="s">
        <v>106</v>
      </c>
      <c r="I37" s="14" t="s">
        <v>48</v>
      </c>
      <c r="J37" s="14"/>
      <c r="K37" s="14"/>
      <c r="L37" s="14"/>
      <c r="M37" s="14"/>
      <c r="N37" s="14"/>
      <c r="O37" s="16"/>
    </row>
    <row r="38">
      <c r="A38" s="0">
        <f t="shared" si="2"/>
        <v>32</v>
      </c>
      <c r="B38" s="12">
        <v>2</v>
      </c>
      <c r="C38" s="5">
        <v>2</v>
      </c>
      <c r="D38" s="12" t="s">
        <v>45</v>
      </c>
      <c r="E38" s="13">
        <v>1</v>
      </c>
      <c r="F38" s="13">
        <v>999999</v>
      </c>
      <c r="G38" s="13" t="s">
        <v>107</v>
      </c>
      <c r="H38" s="14" t="s">
        <v>106</v>
      </c>
      <c r="I38" s="14" t="s">
        <v>55</v>
      </c>
      <c r="J38" s="14"/>
      <c r="K38" s="14"/>
      <c r="L38" s="14"/>
      <c r="M38" s="14"/>
      <c r="N38" s="14"/>
      <c r="O38" s="16"/>
    </row>
    <row r="39">
      <c r="A39" s="0">
        <f t="shared" si="2"/>
        <v>33</v>
      </c>
      <c r="B39" s="12">
        <v>2</v>
      </c>
      <c r="C39" s="5">
        <v>3</v>
      </c>
      <c r="D39" s="12" t="s">
        <v>45</v>
      </c>
      <c r="E39" s="13">
        <v>1</v>
      </c>
      <c r="F39" s="13">
        <v>999999</v>
      </c>
      <c r="G39" s="13" t="s">
        <v>108</v>
      </c>
      <c r="H39" s="14" t="s">
        <v>106</v>
      </c>
      <c r="I39" s="14" t="s">
        <v>57</v>
      </c>
      <c r="J39" s="14"/>
      <c r="K39" s="14"/>
      <c r="L39" s="14"/>
      <c r="M39" s="14"/>
      <c r="N39" s="14"/>
      <c r="O39" s="16"/>
    </row>
    <row r="40">
      <c r="A40" s="0">
        <f t="shared" si="2"/>
        <v>34</v>
      </c>
      <c r="B40" s="12">
        <v>2</v>
      </c>
      <c r="C40" s="5">
        <v>4</v>
      </c>
      <c r="D40" s="12" t="s">
        <v>58</v>
      </c>
      <c r="E40" s="13">
        <v>1</v>
      </c>
      <c r="F40" s="13">
        <v>999999</v>
      </c>
      <c r="G40" s="13" t="s">
        <v>109</v>
      </c>
      <c r="H40" s="14" t="s">
        <v>106</v>
      </c>
      <c r="I40" s="14" t="s">
        <v>60</v>
      </c>
      <c r="J40" s="14"/>
      <c r="K40" s="14"/>
      <c r="L40" s="14"/>
      <c r="M40" s="14"/>
      <c r="N40" s="14"/>
      <c r="O40" s="16"/>
    </row>
    <row r="41">
      <c r="A41" s="0">
        <f t="shared" si="2"/>
        <v>35</v>
      </c>
      <c r="B41" s="12">
        <v>2</v>
      </c>
      <c r="C41" s="5">
        <v>5</v>
      </c>
      <c r="D41" s="12" t="s">
        <v>61</v>
      </c>
      <c r="E41" s="13">
        <v>1</v>
      </c>
      <c r="F41" s="13">
        <v>999999</v>
      </c>
      <c r="G41" s="13" t="s">
        <v>110</v>
      </c>
      <c r="H41" s="14" t="s">
        <v>106</v>
      </c>
      <c r="I41" s="14" t="s">
        <v>63</v>
      </c>
      <c r="J41" s="14"/>
      <c r="K41" s="14"/>
      <c r="L41" s="14"/>
      <c r="M41" s="14"/>
      <c r="N41" s="14"/>
      <c r="O41" s="16"/>
    </row>
    <row r="42">
      <c r="A42" s="0">
        <f t="shared" si="2"/>
        <v>36</v>
      </c>
      <c r="B42" s="12">
        <v>2</v>
      </c>
      <c r="C42" s="5">
        <v>6</v>
      </c>
      <c r="D42" s="12" t="s">
        <v>64</v>
      </c>
      <c r="E42" s="13">
        <v>1</v>
      </c>
      <c r="F42" s="13">
        <v>999999</v>
      </c>
      <c r="G42" s="13" t="s">
        <v>111</v>
      </c>
      <c r="H42" s="14" t="s">
        <v>106</v>
      </c>
      <c r="I42" s="14" t="s">
        <v>66</v>
      </c>
      <c r="J42" s="14"/>
      <c r="K42" s="14"/>
      <c r="L42" s="14"/>
      <c r="M42" s="14"/>
      <c r="N42" s="14"/>
      <c r="O42" s="16"/>
    </row>
    <row r="43">
      <c r="A43" s="0">
        <f t="shared" si="2"/>
        <v>37</v>
      </c>
      <c r="B43" s="12">
        <v>2</v>
      </c>
      <c r="C43" s="5">
        <v>7</v>
      </c>
      <c r="D43" s="12" t="s">
        <v>67</v>
      </c>
      <c r="E43" s="13">
        <v>1</v>
      </c>
      <c r="F43" s="13">
        <v>999999</v>
      </c>
      <c r="G43" s="13" t="s">
        <v>112</v>
      </c>
      <c r="H43" s="14" t="s">
        <v>106</v>
      </c>
      <c r="I43" s="14" t="s">
        <v>69</v>
      </c>
      <c r="J43" s="14"/>
      <c r="K43" s="14"/>
      <c r="L43" s="14"/>
      <c r="M43" s="14"/>
      <c r="N43" s="14"/>
      <c r="O43" s="16"/>
    </row>
    <row r="44">
      <c r="A44" s="0">
        <f t="shared" si="2"/>
        <v>38</v>
      </c>
      <c r="B44" s="12">
        <v>2</v>
      </c>
      <c r="C44" s="5">
        <v>8</v>
      </c>
      <c r="D44" s="12" t="s">
        <v>70</v>
      </c>
      <c r="E44" s="13">
        <v>1</v>
      </c>
      <c r="F44" s="13">
        <v>999999</v>
      </c>
      <c r="G44" s="13" t="s">
        <v>113</v>
      </c>
      <c r="H44" s="14" t="s">
        <v>106</v>
      </c>
      <c r="I44" s="14" t="s">
        <v>72</v>
      </c>
      <c r="J44" s="14"/>
      <c r="K44" s="14"/>
      <c r="L44" s="14"/>
      <c r="M44" s="14"/>
      <c r="N44" s="14"/>
      <c r="O44" s="16"/>
    </row>
    <row r="45">
      <c r="A45" s="0">
        <f t="shared" si="2"/>
        <v>39</v>
      </c>
      <c r="B45" s="12">
        <v>2</v>
      </c>
      <c r="C45" s="5">
        <v>9</v>
      </c>
      <c r="D45" s="12" t="s">
        <v>73</v>
      </c>
      <c r="E45" s="13">
        <v>1</v>
      </c>
      <c r="F45" s="13">
        <v>999999</v>
      </c>
      <c r="G45" s="13" t="s">
        <v>114</v>
      </c>
      <c r="H45" s="14" t="s">
        <v>106</v>
      </c>
      <c r="I45" s="14" t="s">
        <v>75</v>
      </c>
      <c r="J45" s="14"/>
      <c r="K45" s="14"/>
      <c r="L45" s="14"/>
      <c r="M45" s="14"/>
      <c r="N45" s="14"/>
      <c r="O45" s="16"/>
    </row>
    <row r="46">
      <c r="A46" s="0">
        <f t="shared" si="2"/>
        <v>40</v>
      </c>
      <c r="B46" s="12">
        <v>2</v>
      </c>
      <c r="C46" s="5">
        <v>10</v>
      </c>
      <c r="D46" s="12" t="s">
        <v>76</v>
      </c>
      <c r="E46" s="13">
        <v>1</v>
      </c>
      <c r="F46" s="13">
        <v>999999</v>
      </c>
      <c r="G46" s="13" t="s">
        <v>115</v>
      </c>
      <c r="H46" s="14" t="s">
        <v>106</v>
      </c>
      <c r="I46" s="14" t="s">
        <v>78</v>
      </c>
      <c r="J46" s="14"/>
      <c r="K46" s="14"/>
      <c r="L46" s="14"/>
      <c r="M46" s="14"/>
      <c r="N46" s="14"/>
      <c r="O46" s="16"/>
    </row>
    <row r="47">
      <c r="A47" s="0">
        <f t="shared" si="2"/>
        <v>41</v>
      </c>
      <c r="B47" s="12">
        <v>2</v>
      </c>
      <c r="C47" s="5">
        <v>11</v>
      </c>
      <c r="D47" s="12" t="s">
        <v>76</v>
      </c>
      <c r="E47" s="13">
        <v>1</v>
      </c>
      <c r="F47" s="13">
        <v>999999</v>
      </c>
      <c r="G47" s="15" t="s">
        <v>116</v>
      </c>
      <c r="H47" s="14" t="s">
        <v>106</v>
      </c>
      <c r="I47" s="14" t="s">
        <v>80</v>
      </c>
    </row>
    <row r="48">
      <c r="A48" s="0">
        <f t="shared" si="2"/>
        <v>42</v>
      </c>
      <c r="B48" s="12">
        <v>2</v>
      </c>
      <c r="C48" s="5">
        <v>12</v>
      </c>
      <c r="D48" s="12" t="s">
        <v>76</v>
      </c>
      <c r="E48" s="13">
        <v>1</v>
      </c>
      <c r="F48" s="13">
        <v>999999</v>
      </c>
      <c r="G48" s="15" t="s">
        <v>117</v>
      </c>
      <c r="H48" s="14" t="s">
        <v>106</v>
      </c>
      <c r="I48" s="14" t="s">
        <v>82</v>
      </c>
    </row>
    <row r="49">
      <c r="A49" s="0">
        <f t="shared" si="2"/>
        <v>43</v>
      </c>
      <c r="B49" s="12">
        <v>2</v>
      </c>
      <c r="C49" s="5">
        <v>13</v>
      </c>
      <c r="D49" s="12" t="s">
        <v>76</v>
      </c>
      <c r="E49" s="13">
        <v>1</v>
      </c>
      <c r="F49" s="13">
        <v>999999</v>
      </c>
      <c r="G49" s="15" t="s">
        <v>118</v>
      </c>
      <c r="H49" s="14" t="s">
        <v>106</v>
      </c>
      <c r="I49" s="14" t="s">
        <v>84</v>
      </c>
    </row>
    <row r="50">
      <c r="A50" s="0">
        <f t="shared" si="2"/>
        <v>44</v>
      </c>
      <c r="B50" s="12">
        <v>2</v>
      </c>
      <c r="C50" s="5">
        <v>14</v>
      </c>
      <c r="D50" s="12" t="s">
        <v>76</v>
      </c>
      <c r="E50" s="13">
        <v>1</v>
      </c>
      <c r="F50" s="13">
        <v>999999</v>
      </c>
      <c r="G50" s="15" t="s">
        <v>119</v>
      </c>
      <c r="H50" s="14" t="s">
        <v>106</v>
      </c>
      <c r="I50" s="14" t="s">
        <v>86</v>
      </c>
    </row>
    <row r="51">
      <c r="A51" s="0">
        <f t="shared" si="2"/>
        <v>45</v>
      </c>
      <c r="B51" s="12">
        <v>2</v>
      </c>
      <c r="C51" s="5">
        <v>15</v>
      </c>
      <c r="D51" s="12" t="s">
        <v>76</v>
      </c>
      <c r="E51" s="13">
        <v>1</v>
      </c>
      <c r="F51" s="13">
        <v>999999</v>
      </c>
      <c r="G51" s="15" t="s">
        <v>120</v>
      </c>
      <c r="H51" s="14" t="s">
        <v>106</v>
      </c>
      <c r="I51" s="14" t="s">
        <v>88</v>
      </c>
    </row>
  </sheetData>
  <conditionalFormatting sqref="O7:O16 O22:O31 O37:O46"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杨德川-云畅游戏</cp:lastModifiedBy>
  <dcterms:created xsi:type="dcterms:W3CDTF">2006-09-16T00:00:00Z</dcterms:created>
  <dcterms:modified xsi:type="dcterms:W3CDTF">2019-08-26T05:49:38Z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