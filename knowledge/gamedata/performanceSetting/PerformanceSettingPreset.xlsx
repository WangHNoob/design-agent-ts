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</sheets>
  <calcPr calcId="144525" concurrentCalc="0"/>
</workbook>
</file>

<file path=xl/comments1.xml><?xml version="1.0" encoding="utf-8"?>
<comments xmlns="http://schemas.openxmlformats.org/spreadsheetml/2006/main">
  <authors>
    <author>X</author>
    <author>Administrator</author>
  </authors>
  <commentList>
    <comment ref="F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这列数据用来调整（旗舰）高分辨率设备的 Render Scale，通常这些设备的屏幕原生分辨率都大于 1080p
2,073,600 = 1920 * 1080（1080p）
重置版 Render Scale 计算方法：
Render Scale = Mathf.Min(baseResPixelCount / 原生分辨率像素数量, 1) * SacleFactor
以 1080p 为例，高分辨率机器通常高于 2,073,600，会先缩放到 1080p 然后再用 ScaleFactor 缩放；低分辨率机器低于 2,073,600，不用额外应用这个缩放。
如果填 0， 则不需要进行高分辨率的调整，直接按照 ScaleFactor 调整 RenderScale</t>
        </r>
      </text>
    </comment>
    <comment ref="G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按照基准分辨率计算缩放时，不可以小于此数值，防止一些高分辨率的大屏设备缩得太小，导致画面异常模糊</t>
        </r>
      </text>
    </comment>
    <comment ref="I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0，不支持
1，MSAA
2，FXAA
3，SMAA
4，TAA</t>
        </r>
      </text>
    </comment>
    <comment ref="M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（只在安卓旗舰、部分ios、pc模拟器上不禁用）</t>
        </r>
      </text>
    </comment>
    <comment ref="P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0，不支持
1，MSAA
2，FXAA
3，SMAA
4，TAA</t>
        </r>
      </text>
    </comment>
  </commentList>
</comments>
</file>

<file path=xl/sharedStrings.xml><?xml version="1.0" encoding="utf-8"?>
<sst xmlns="http://schemas.openxmlformats.org/spreadsheetml/2006/main" count="194" uniqueCount="102">
  <si>
    <t>预设Id</t>
  </si>
  <si>
    <t>处理器档次</t>
  </si>
  <si>
    <t>GPU档次</t>
  </si>
  <si>
    <t>综合设置</t>
  </si>
  <si>
    <t>最大帧率限制(120/60)</t>
  </si>
  <si>
    <t>基准分辨率像素数量</t>
  </si>
  <si>
    <t>基准分辨率最低缩放系数</t>
  </si>
  <si>
    <t>渲染倍率</t>
  </si>
  <si>
    <t>支持抗锯齿</t>
  </si>
  <si>
    <t>支持实时阴影</t>
  </si>
  <si>
    <t>支持软阴影</t>
  </si>
  <si>
    <t>支持 HDR</t>
  </si>
  <si>
    <t>支持后处理</t>
  </si>
  <si>
    <t>支持水体反射</t>
  </si>
  <si>
    <t>支持后处理描边</t>
  </si>
  <si>
    <t>支持UI界面抗锯齿</t>
  </si>
  <si>
    <t>presetId</t>
  </si>
  <si>
    <t>SocType</t>
  </si>
  <si>
    <t>GPUType</t>
  </si>
  <si>
    <t>GeneralPreset</t>
  </si>
  <si>
    <t>FPSMaxLimit</t>
  </si>
  <si>
    <t>BaseResPixelCount</t>
  </si>
  <si>
    <t>BaseResMinRatio</t>
  </si>
  <si>
    <t>SacleFactor</t>
  </si>
  <si>
    <t>SupportAntiAlasing</t>
  </si>
  <si>
    <t>SupportRealTimeShadow</t>
  </si>
  <si>
    <t>SupportSoftShadow</t>
  </si>
  <si>
    <t>SupportHDR</t>
  </si>
  <si>
    <t>SupportPostProcessing</t>
  </si>
  <si>
    <t>SupportWaterFeature</t>
  </si>
  <si>
    <t>SupportPostOutline</t>
  </si>
  <si>
    <t>SupportUIPageAA</t>
  </si>
  <si>
    <t>int</t>
  </si>
  <si>
    <t>string(intern)</t>
  </si>
  <si>
    <t>float</t>
  </si>
  <si>
    <t>array_float</t>
  </si>
  <si>
    <t>primary</t>
  </si>
  <si>
    <t>none</t>
  </si>
  <si>
    <t>备注</t>
  </si>
  <si>
    <t>安卓设备(3DMark IceStore Extreme成绩)</t>
  </si>
  <si>
    <t>参考标准</t>
  </si>
  <si>
    <t>2021.07.24以前帧率</t>
  </si>
  <si>
    <t>2021.07.24分辨率率</t>
  </si>
  <si>
    <t>MID</t>
  </si>
  <si>
    <t>1&amp;&amp;0.85&amp;&amp;0.75</t>
  </si>
  <si>
    <t>默认设置 id不可变</t>
  </si>
  <si>
    <t>0.70&amp;&amp;0.5&amp;&amp;0.5</t>
  </si>
  <si>
    <t>ULTRA_HIGH</t>
  </si>
  <si>
    <t>旗舰设备 (id不可变)</t>
  </si>
  <si>
    <t>2018 旗舰 | &gt;32000</t>
  </si>
  <si>
    <t>Adreno 630</t>
  </si>
  <si>
    <t>1&amp;&amp;0.7&amp;&amp;0.5</t>
  </si>
  <si>
    <t>HIGH</t>
  </si>
  <si>
    <t>1&amp;&amp;0.9&amp;&amp;0.8</t>
  </si>
  <si>
    <t>高端机</t>
  </si>
  <si>
    <t>2017 旗舰 | &gt;25000(±1000)</t>
  </si>
  <si>
    <t>Adreno 540</t>
  </si>
  <si>
    <t>0.8&amp;&amp;0.6&amp;&amp;0.5</t>
  </si>
  <si>
    <t>中端机</t>
  </si>
  <si>
    <t>2016 旗舰 | &gt;17000(±2000)</t>
  </si>
  <si>
    <t>Mali-T880 / Mali-T860</t>
  </si>
  <si>
    <t>0.70&amp;&amp;0.6&amp;&amp;0.5</t>
  </si>
  <si>
    <t>LOW</t>
  </si>
  <si>
    <t>1&amp;&amp;0.8&amp;&amp;0.7</t>
  </si>
  <si>
    <t>低端机</t>
  </si>
  <si>
    <t>&gt; 8000</t>
  </si>
  <si>
    <t>Adreno 505</t>
  </si>
  <si>
    <t>1&amp;&amp;0.7&amp;&amp;0.6</t>
  </si>
  <si>
    <t>VERY_LOW</t>
  </si>
  <si>
    <t>非常低端机</t>
  </si>
  <si>
    <t>其他</t>
  </si>
  <si>
    <t>0.66&amp;&amp;0.5&amp;&amp;0.5</t>
  </si>
  <si>
    <t>1&amp;&amp;0.8&amp;&amp;0.6</t>
  </si>
  <si>
    <t>ios A9以下 (iPhone 6)</t>
  </si>
  <si>
    <t>0.7&amp;&amp;0.7&amp;&amp;0.7</t>
  </si>
  <si>
    <t>ios A9~A11 (iPhone 6s ~ iPhone X)</t>
  </si>
  <si>
    <t>ios 如果型号匹配不到默认用它</t>
  </si>
  <si>
    <t>1&amp;&amp;0.7&amp;&amp;0.7</t>
  </si>
  <si>
    <t>DEFAULT</t>
  </si>
  <si>
    <t>麒麟920 GPU瓶颈</t>
  </si>
  <si>
    <t>0.7&amp;&amp;0.6&amp;&amp;0.5</t>
  </si>
  <si>
    <t>1.6&amp;&amp;1&amp;&amp;0.8</t>
  </si>
  <si>
    <t>模拟器/PC平台</t>
  </si>
  <si>
    <t>不支持MSAA GrabPass的旗舰设备</t>
  </si>
  <si>
    <t>不支持MSAA GrabPass的高端设备</t>
  </si>
  <si>
    <t>0.9&amp;&amp;0.7&amp;&amp;0.5</t>
  </si>
  <si>
    <t>分辨率取出来异常高端机</t>
  </si>
  <si>
    <t>P20/Pro</t>
  </si>
  <si>
    <t>1&amp;&amp;1&amp;&amp;0.7</t>
  </si>
  <si>
    <t>VIVO 几个设备 分辨做一些微调</t>
  </si>
  <si>
    <t>OPPO 几个设备 分辨做一些微调</t>
  </si>
  <si>
    <t>iPad Pro 120HZ</t>
  </si>
  <si>
    <t>ios A12 以上 (iPhone XS 以后)</t>
  </si>
  <si>
    <t>PC平台，中低端</t>
  </si>
  <si>
    <t>ULTRA_HIGH = 3 // 旗舰</t>
  </si>
  <si>
    <t>HIGH =2 // 高端机 流畅的前提下开一下效果</t>
  </si>
  <si>
    <t>MID =1 // 中端机 保证流畅</t>
  </si>
  <si>
    <t>LOW =0 // 低端机 保证15FPS左右,没有渲染异常</t>
  </si>
  <si>
    <t>这个表修改的时候，不要插入新的行，不要随意改变老数据的 ID</t>
  </si>
  <si>
    <t>VERY_LOW = -1 // 不支持的机型,保证没有渲染异常</t>
  </si>
  <si>
    <t>DEFAULT = -2</t>
  </si>
  <si>
    <t>=1280/1920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</si>
</sst>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5" fillId="13" borderId="0">
      <alignment vertical="center"/>
    </xf>
    <xf numFmtId="0" fontId="12" fillId="16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9" borderId="0">
      <alignment vertical="center"/>
    </xf>
    <xf numFmtId="0" fontId="10" fillId="15" borderId="0">
      <alignment vertical="center"/>
    </xf>
    <xf numFmtId="43" fontId="0" fillId="0" borderId="0">
      <alignment vertical="center"/>
    </xf>
    <xf numFmtId="0" fontId="7" fillId="8" borderId="0">
      <alignment vertical="center"/>
    </xf>
    <xf numFmtId="0" fontId="13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19" borderId="4">
      <alignment vertical="center"/>
    </xf>
    <xf numFmtId="0" fontId="7" fillId="22" borderId="0">
      <alignment vertical="center"/>
    </xf>
    <xf numFmtId="0" fontId="11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8" fillId="0" borderId="0">
      <alignment vertical="center"/>
    </xf>
    <xf numFmtId="0" fontId="17" fillId="0" borderId="5">
      <alignment vertical="center"/>
    </xf>
    <xf numFmtId="0" fontId="18" fillId="0" borderId="5">
      <alignment vertical="center"/>
    </xf>
    <xf numFmtId="0" fontId="7" fillId="25" borderId="0">
      <alignment vertical="center"/>
    </xf>
    <xf numFmtId="0" fontId="11" fillId="0" borderId="6">
      <alignment vertical="center"/>
    </xf>
    <xf numFmtId="0" fontId="7" fillId="27" borderId="0">
      <alignment vertical="center"/>
    </xf>
    <xf numFmtId="0" fontId="19" fillId="29" borderId="7">
      <alignment vertical="center"/>
    </xf>
    <xf numFmtId="0" fontId="20" fillId="29" borderId="3">
      <alignment vertical="center"/>
    </xf>
    <xf numFmtId="0" fontId="9" fillId="14" borderId="2">
      <alignment vertical="center"/>
    </xf>
    <xf numFmtId="0" fontId="5" fillId="7" borderId="0">
      <alignment vertical="center"/>
    </xf>
    <xf numFmtId="0" fontId="7" fillId="31" borderId="0">
      <alignment vertical="center"/>
    </xf>
    <xf numFmtId="0" fontId="6" fillId="0" borderId="1">
      <alignment vertical="center"/>
    </xf>
    <xf numFmtId="0" fontId="21" fillId="0" borderId="8">
      <alignment vertical="center"/>
    </xf>
    <xf numFmtId="0" fontId="23" fillId="33" borderId="0">
      <alignment vertical="center"/>
    </xf>
    <xf numFmtId="0" fontId="22" fillId="32" borderId="0">
      <alignment vertical="center"/>
    </xf>
    <xf numFmtId="0" fontId="5" fillId="12" borderId="0">
      <alignment vertical="center"/>
    </xf>
    <xf numFmtId="0" fontId="7" fillId="28" borderId="0">
      <alignment vertical="center"/>
    </xf>
    <xf numFmtId="0" fontId="5" fillId="5" borderId="0">
      <alignment vertical="center"/>
    </xf>
    <xf numFmtId="0" fontId="5" fillId="34" borderId="0">
      <alignment vertical="center"/>
    </xf>
    <xf numFmtId="0" fontId="5" fillId="21" borderId="0">
      <alignment vertical="center"/>
    </xf>
    <xf numFmtId="0" fontId="5" fillId="6" borderId="0">
      <alignment vertical="center"/>
    </xf>
    <xf numFmtId="0" fontId="7" fillId="11" borderId="0">
      <alignment vertical="center"/>
    </xf>
    <xf numFmtId="0" fontId="7" fillId="26" borderId="0">
      <alignment vertical="center"/>
    </xf>
    <xf numFmtId="0" fontId="5" fillId="23" borderId="0">
      <alignment vertical="center"/>
    </xf>
    <xf numFmtId="0" fontId="5" fillId="20" borderId="0">
      <alignment vertical="center"/>
    </xf>
    <xf numFmtId="0" fontId="7" fillId="30" borderId="0">
      <alignment vertical="center"/>
    </xf>
    <xf numFmtId="0" fontId="5" fillId="24" borderId="0">
      <alignment vertical="center"/>
    </xf>
    <xf numFmtId="0" fontId="7" fillId="18" borderId="0">
      <alignment vertical="center"/>
    </xf>
    <xf numFmtId="0" fontId="7" fillId="10" borderId="0">
      <alignment vertical="center"/>
    </xf>
    <xf numFmtId="0" fontId="5" fillId="17" borderId="0">
      <alignment vertical="center"/>
    </xf>
    <xf numFmtId="0" fontId="7" fillId="35" borderId="0">
      <alignment vertical="center"/>
    </xf>
  </cellStyleXfs>
  <cellXfs count="15">
    <xf numFmtId="0" fontId="0" fillId="0" borderId="0" xfId="0" applyNumberFormat="1" applyFont="1" applyFill="1" applyBorder="1" applyProtection="1"/>
    <xf numFmtId="49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49" fontId="1" fillId="0" borderId="0" xfId="0" applyNumberFormat="1" applyFont="1" applyFill="1" applyBorder="1" applyProtection="1"/>
    <xf numFmtId="49" fontId="0" fillId="2" borderId="0" xfId="0" applyNumberFormat="1" applyFont="1" applyFill="1" applyBorder="1" applyProtection="1"/>
    <xf numFmtId="49" fontId="0" fillId="3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left"/>
    </xf>
    <xf numFmtId="49" fontId="1" fillId="2" borderId="0" xfId="0" applyNumberFormat="1" applyFont="1" applyFill="1" applyBorder="1" applyProtection="1"/>
    <xf numFmtId="49" fontId="0" fillId="0" borderId="0" xfId="0" applyNumberFormat="1" applyFont="1" applyFill="1" applyBorder="1" applyAlignment="1" applyProtection="1">
      <alignment horizontal="center"/>
    </xf>
    <xf numFmtId="49" fontId="0" fillId="4" borderId="0" xfId="0" applyNumberFormat="1" applyFont="1" applyFill="1" applyBorder="1" applyProtection="1"/>
    <xf numFmtId="0" fontId="0" fillId="4" borderId="0" xfId="0" applyNumberFormat="1" applyFont="1" applyFill="1" applyBorder="1" applyAlignment="1" applyProtection="1">
      <alignment horizontal="left"/>
    </xf>
    <xf numFmtId="49" fontId="2" fillId="0" borderId="0" xfId="0" applyNumberFormat="1" applyFont="1" applyFill="1" applyBorder="1" applyAlignment="1" applyProtection="1">
      <alignment vertical="center"/>
    </xf>
    <xf numFmtId="49" fontId="3" fillId="0" borderId="0" xfId="0" applyNumberFormat="1" applyFont="1" applyFill="1" applyBorder="1" applyAlignment="1" applyProtection="1">
      <alignment vertical="center"/>
    </xf>
    <xf numFmtId="49" fontId="4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0"/>
  <sheetViews>
    <sheetView tabSelected="1" zoomScale="115" zoomScaleNormal="115" topLeftCell="K1" workbookViewId="0">
      <selection activeCell="P15" sqref="P15"/>
    </sheetView>
  </sheetViews>
  <sheetFormatPr defaultColWidth="9" defaultRowHeight="13.5"/>
  <cols>
    <col min="1" max="1" width="9.46666666666667" style="1" customWidth="1"/>
    <col min="2" max="2" width="16.125" style="1" customWidth="1"/>
    <col min="3" max="3" width="15.7583333333333" style="1" customWidth="1"/>
    <col min="4" max="4" width="29.1333333333333" style="1" customWidth="1"/>
    <col min="5" max="5" width="28.2583333333333" style="1" customWidth="1"/>
    <col min="6" max="6" width="19.9916666666667" style="1" customWidth="1"/>
    <col min="7" max="7" width="24.125" style="1" customWidth="1"/>
    <col min="8" max="8" width="18.3666666666667" style="1" customWidth="1"/>
    <col min="9" max="9" width="22.3916666666667" style="1" customWidth="1"/>
    <col min="10" max="10" width="25.1083333333333" style="1" customWidth="1"/>
    <col min="11" max="11" width="22.925" style="1" customWidth="1"/>
    <col min="12" max="12" width="16.1916666666667" style="1" customWidth="1"/>
    <col min="13" max="13" width="24.8916666666667" style="1" customWidth="1"/>
    <col min="14" max="14" width="23.875" style="1" customWidth="1"/>
    <col min="15" max="16" width="29.0166666666667" style="1" customWidth="1"/>
    <col min="17" max="17" width="35.2166666666667" style="1" customWidth="1"/>
    <col min="18" max="18" width="41.275" style="1" customWidth="1"/>
    <col min="19" max="19" width="49" style="1" customWidth="1"/>
    <col min="20" max="20" width="19.2333333333333" style="1" customWidth="1"/>
    <col min="21" max="21" width="25.65" style="1" customWidth="1"/>
  </cols>
  <sheetData>
    <row r="1" spans="1:4">
      <c r="A1" s="2">
        <v>7</v>
      </c>
      <c r="B1" s="1">
        <v>1</v>
      </c>
      <c r="C1" s="1">
        <v>9999</v>
      </c>
      <c r="D1" s="2">
        <v>16</v>
      </c>
    </row>
    <row r="2" spans="1:16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7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</row>
    <row r="3" spans="1:16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</row>
    <row r="4" spans="1:16">
      <c r="A4" s="1" t="s">
        <v>32</v>
      </c>
      <c r="B4" s="1" t="s">
        <v>33</v>
      </c>
      <c r="C4" s="1" t="s">
        <v>33</v>
      </c>
      <c r="D4" s="1" t="s">
        <v>33</v>
      </c>
      <c r="E4" s="1" t="s">
        <v>32</v>
      </c>
      <c r="F4" s="1" t="s">
        <v>32</v>
      </c>
      <c r="G4" s="1" t="s">
        <v>34</v>
      </c>
      <c r="H4" s="1" t="s">
        <v>35</v>
      </c>
      <c r="I4" s="1" t="s">
        <v>32</v>
      </c>
      <c r="J4" s="1" t="s">
        <v>32</v>
      </c>
      <c r="K4" s="1" t="s">
        <v>32</v>
      </c>
      <c r="L4" s="1" t="s">
        <v>32</v>
      </c>
      <c r="M4" s="1" t="s">
        <v>32</v>
      </c>
      <c r="N4" s="1" t="s">
        <v>32</v>
      </c>
      <c r="O4" s="1" t="s">
        <v>32</v>
      </c>
      <c r="P4" s="1" t="s">
        <v>32</v>
      </c>
    </row>
    <row r="5" spans="1:21">
      <c r="A5" s="1" t="s">
        <v>36</v>
      </c>
      <c r="B5" s="1" t="s">
        <v>37</v>
      </c>
      <c r="C5" s="1" t="s">
        <v>37</v>
      </c>
      <c r="D5" s="1" t="s">
        <v>37</v>
      </c>
      <c r="E5" s="1" t="s">
        <v>37</v>
      </c>
      <c r="F5" s="1" t="s">
        <v>37</v>
      </c>
      <c r="G5" s="1" t="s">
        <v>37</v>
      </c>
      <c r="H5" s="1" t="s">
        <v>37</v>
      </c>
      <c r="I5" s="1" t="s">
        <v>37</v>
      </c>
      <c r="J5" s="1" t="s">
        <v>37</v>
      </c>
      <c r="K5" s="1" t="s">
        <v>37</v>
      </c>
      <c r="L5" s="1" t="s">
        <v>37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38</v>
      </c>
      <c r="R5" s="1" t="s">
        <v>39</v>
      </c>
      <c r="S5" s="8" t="s">
        <v>40</v>
      </c>
      <c r="T5" s="9" t="s">
        <v>41</v>
      </c>
      <c r="U5" s="9" t="s">
        <v>42</v>
      </c>
    </row>
    <row r="6" spans="20:21">
      <c r="T6" s="9"/>
      <c r="U6" s="9"/>
    </row>
    <row r="7" ht="14" customHeight="1" spans="1:21">
      <c r="A7" s="1">
        <v>1</v>
      </c>
      <c r="B7" s="1" t="s">
        <v>43</v>
      </c>
      <c r="C7" s="1" t="s">
        <v>43</v>
      </c>
      <c r="D7" s="1" t="s">
        <v>43</v>
      </c>
      <c r="E7" s="2">
        <v>60</v>
      </c>
      <c r="F7" s="2">
        <v>2073600</v>
      </c>
      <c r="G7" s="2">
        <v>0.75</v>
      </c>
      <c r="H7" s="1" t="s">
        <v>44</v>
      </c>
      <c r="I7" s="2">
        <v>0</v>
      </c>
      <c r="J7" s="2">
        <v>1</v>
      </c>
      <c r="K7" s="2">
        <v>0</v>
      </c>
      <c r="L7" s="2">
        <v>1</v>
      </c>
      <c r="M7" s="2">
        <v>1</v>
      </c>
      <c r="N7" s="2">
        <v>1</v>
      </c>
      <c r="O7" s="2">
        <v>0</v>
      </c>
      <c r="P7" s="2">
        <v>0</v>
      </c>
      <c r="Q7" s="1" t="s">
        <v>45</v>
      </c>
      <c r="T7" s="10">
        <v>60</v>
      </c>
      <c r="U7" s="9" t="s">
        <v>46</v>
      </c>
    </row>
    <row r="8" spans="1:21">
      <c r="A8" s="5">
        <v>2</v>
      </c>
      <c r="B8" s="1" t="s">
        <v>47</v>
      </c>
      <c r="C8" s="1" t="s">
        <v>47</v>
      </c>
      <c r="D8" s="1" t="s">
        <v>47</v>
      </c>
      <c r="E8" s="2">
        <v>60</v>
      </c>
      <c r="F8" s="2">
        <v>0</v>
      </c>
      <c r="G8" s="2">
        <v>0.8</v>
      </c>
      <c r="H8" s="1" t="s">
        <v>44</v>
      </c>
      <c r="I8" s="2">
        <v>0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0</v>
      </c>
      <c r="P8" s="2">
        <v>1</v>
      </c>
      <c r="Q8" s="1" t="s">
        <v>48</v>
      </c>
      <c r="R8" s="1" t="s">
        <v>49</v>
      </c>
      <c r="S8" s="1" t="s">
        <v>50</v>
      </c>
      <c r="T8" s="10">
        <v>120</v>
      </c>
      <c r="U8" s="9" t="s">
        <v>51</v>
      </c>
    </row>
    <row r="9" spans="1:21">
      <c r="A9" s="1">
        <v>3</v>
      </c>
      <c r="B9" s="1" t="s">
        <v>52</v>
      </c>
      <c r="C9" s="1" t="s">
        <v>52</v>
      </c>
      <c r="D9" s="1" t="s">
        <v>52</v>
      </c>
      <c r="E9" s="2">
        <v>60</v>
      </c>
      <c r="F9" s="2">
        <v>2073600</v>
      </c>
      <c r="G9" s="2">
        <v>0.8</v>
      </c>
      <c r="H9" s="1" t="s">
        <v>53</v>
      </c>
      <c r="I9" s="2">
        <v>0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0</v>
      </c>
      <c r="P9" s="2">
        <v>1</v>
      </c>
      <c r="Q9" s="1" t="s">
        <v>54</v>
      </c>
      <c r="R9" s="1" t="s">
        <v>55</v>
      </c>
      <c r="S9" s="1" t="s">
        <v>56</v>
      </c>
      <c r="T9" s="10">
        <v>60</v>
      </c>
      <c r="U9" s="9" t="s">
        <v>57</v>
      </c>
    </row>
    <row r="10" spans="1:21">
      <c r="A10" s="1">
        <v>4</v>
      </c>
      <c r="B10" s="1" t="s">
        <v>43</v>
      </c>
      <c r="C10" s="1" t="s">
        <v>43</v>
      </c>
      <c r="D10" s="1" t="s">
        <v>43</v>
      </c>
      <c r="E10" s="2">
        <v>60</v>
      </c>
      <c r="F10" s="2">
        <v>2073600</v>
      </c>
      <c r="G10" s="2">
        <v>0.75</v>
      </c>
      <c r="H10" s="1" t="s">
        <v>44</v>
      </c>
      <c r="I10" s="2">
        <v>0</v>
      </c>
      <c r="J10" s="2">
        <v>1</v>
      </c>
      <c r="K10" s="2">
        <v>0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1" t="s">
        <v>58</v>
      </c>
      <c r="R10" s="1" t="s">
        <v>59</v>
      </c>
      <c r="S10" s="1" t="s">
        <v>60</v>
      </c>
      <c r="T10" s="10">
        <v>60</v>
      </c>
      <c r="U10" s="9" t="s">
        <v>61</v>
      </c>
    </row>
    <row r="11" spans="1:21">
      <c r="A11" s="1">
        <v>5</v>
      </c>
      <c r="B11" s="1" t="s">
        <v>62</v>
      </c>
      <c r="C11" s="1" t="s">
        <v>62</v>
      </c>
      <c r="D11" s="1" t="s">
        <v>62</v>
      </c>
      <c r="E11" s="2">
        <v>30</v>
      </c>
      <c r="F11" s="2">
        <v>2073600</v>
      </c>
      <c r="G11" s="2">
        <v>0.7</v>
      </c>
      <c r="H11" s="1" t="s">
        <v>63</v>
      </c>
      <c r="I11" s="2">
        <v>0</v>
      </c>
      <c r="J11" s="2">
        <v>1</v>
      </c>
      <c r="K11" s="2">
        <v>1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1" t="s">
        <v>64</v>
      </c>
      <c r="R11" s="1" t="s">
        <v>65</v>
      </c>
      <c r="S11" s="1" t="s">
        <v>66</v>
      </c>
      <c r="T11" s="10">
        <v>60</v>
      </c>
      <c r="U11" s="9" t="s">
        <v>67</v>
      </c>
    </row>
    <row r="12" ht="13" customHeight="1" spans="1:21">
      <c r="A12" s="1">
        <v>6</v>
      </c>
      <c r="B12" s="1" t="s">
        <v>68</v>
      </c>
      <c r="C12" s="1" t="s">
        <v>68</v>
      </c>
      <c r="D12" s="1" t="s">
        <v>68</v>
      </c>
      <c r="E12" s="2">
        <v>30</v>
      </c>
      <c r="F12" s="2">
        <v>2073600</v>
      </c>
      <c r="G12" s="2">
        <v>0.7</v>
      </c>
      <c r="H12" s="1" t="s">
        <v>63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1" t="s">
        <v>69</v>
      </c>
      <c r="R12" s="1" t="s">
        <v>70</v>
      </c>
      <c r="T12" s="10">
        <v>60</v>
      </c>
      <c r="U12" s="9" t="s">
        <v>71</v>
      </c>
    </row>
    <row r="13" spans="1:21">
      <c r="A13" s="1">
        <v>7</v>
      </c>
      <c r="B13" s="1" t="s">
        <v>52</v>
      </c>
      <c r="C13" s="1" t="s">
        <v>52</v>
      </c>
      <c r="D13" s="1" t="s">
        <v>43</v>
      </c>
      <c r="E13" s="2">
        <v>60</v>
      </c>
      <c r="F13" s="2">
        <v>2073600</v>
      </c>
      <c r="G13" s="2">
        <v>0.8</v>
      </c>
      <c r="H13" s="1" t="s">
        <v>72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1" t="s">
        <v>73</v>
      </c>
      <c r="T13" s="10">
        <v>60</v>
      </c>
      <c r="U13" s="9" t="s">
        <v>74</v>
      </c>
    </row>
    <row r="14" spans="1:21">
      <c r="A14" s="1">
        <v>8</v>
      </c>
      <c r="B14" s="1" t="s">
        <v>52</v>
      </c>
      <c r="C14" s="1" t="s">
        <v>52</v>
      </c>
      <c r="D14" s="1" t="s">
        <v>52</v>
      </c>
      <c r="E14" s="2">
        <v>60</v>
      </c>
      <c r="F14" s="2">
        <v>2073600</v>
      </c>
      <c r="G14" s="2">
        <v>0.8</v>
      </c>
      <c r="H14" s="1" t="s">
        <v>72</v>
      </c>
      <c r="I14" s="2">
        <v>0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0</v>
      </c>
      <c r="P14" s="2">
        <v>1</v>
      </c>
      <c r="Q14" s="1" t="s">
        <v>75</v>
      </c>
      <c r="R14" s="1" t="s">
        <v>76</v>
      </c>
      <c r="T14" s="10">
        <v>60</v>
      </c>
      <c r="U14" s="9" t="s">
        <v>77</v>
      </c>
    </row>
    <row r="15" spans="1:21">
      <c r="A15" s="1">
        <v>9</v>
      </c>
      <c r="B15" s="6" t="s">
        <v>78</v>
      </c>
      <c r="C15" s="6" t="s">
        <v>78</v>
      </c>
      <c r="D15" s="1" t="s">
        <v>43</v>
      </c>
      <c r="E15" s="2">
        <v>60</v>
      </c>
      <c r="F15" s="2">
        <v>2073600</v>
      </c>
      <c r="G15" s="2">
        <v>0.8</v>
      </c>
      <c r="H15" s="1" t="s">
        <v>44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1" t="s">
        <v>79</v>
      </c>
      <c r="T15" s="10">
        <v>60</v>
      </c>
      <c r="U15" s="9" t="s">
        <v>80</v>
      </c>
    </row>
    <row r="16" spans="1:21">
      <c r="A16" s="5">
        <v>10</v>
      </c>
      <c r="B16" s="1" t="s">
        <v>47</v>
      </c>
      <c r="C16" s="1" t="s">
        <v>47</v>
      </c>
      <c r="D16" s="1" t="s">
        <v>47</v>
      </c>
      <c r="E16" s="2">
        <v>144</v>
      </c>
      <c r="F16" s="2">
        <v>0</v>
      </c>
      <c r="G16" s="2">
        <v>0.8</v>
      </c>
      <c r="H16" s="1" t="s">
        <v>81</v>
      </c>
      <c r="I16" s="2">
        <v>0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1" t="s">
        <v>82</v>
      </c>
      <c r="T16" s="10">
        <v>144</v>
      </c>
      <c r="U16" s="9" t="s">
        <v>81</v>
      </c>
    </row>
    <row r="17" spans="1:21">
      <c r="A17" s="1">
        <v>11</v>
      </c>
      <c r="B17" s="1" t="s">
        <v>47</v>
      </c>
      <c r="C17" s="1" t="s">
        <v>47</v>
      </c>
      <c r="D17" s="1" t="s">
        <v>47</v>
      </c>
      <c r="E17" s="2">
        <v>60</v>
      </c>
      <c r="F17" s="2">
        <v>2073600</v>
      </c>
      <c r="G17" s="2">
        <v>0.8</v>
      </c>
      <c r="H17" s="1" t="s">
        <v>53</v>
      </c>
      <c r="I17" s="2">
        <v>0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0</v>
      </c>
      <c r="P17" s="2">
        <v>0</v>
      </c>
      <c r="Q17" s="1" t="s">
        <v>83</v>
      </c>
      <c r="T17" s="10">
        <v>60</v>
      </c>
      <c r="U17" s="9" t="s">
        <v>67</v>
      </c>
    </row>
    <row r="18" spans="1:21">
      <c r="A18" s="1">
        <v>12</v>
      </c>
      <c r="B18" s="1" t="s">
        <v>52</v>
      </c>
      <c r="C18" s="1" t="s">
        <v>52</v>
      </c>
      <c r="D18" s="1" t="s">
        <v>47</v>
      </c>
      <c r="E18" s="2">
        <v>60</v>
      </c>
      <c r="F18" s="2">
        <v>2073600</v>
      </c>
      <c r="G18" s="2">
        <v>0.8</v>
      </c>
      <c r="H18" s="1" t="s">
        <v>53</v>
      </c>
      <c r="I18" s="2">
        <v>0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0</v>
      </c>
      <c r="P18" s="2">
        <v>0</v>
      </c>
      <c r="Q18" s="1" t="s">
        <v>84</v>
      </c>
      <c r="T18" s="10">
        <v>60</v>
      </c>
      <c r="U18" s="9" t="s">
        <v>85</v>
      </c>
    </row>
    <row r="19" spans="1:21">
      <c r="A19" s="1">
        <v>13</v>
      </c>
      <c r="B19" s="1" t="s">
        <v>52</v>
      </c>
      <c r="C19" s="1" t="s">
        <v>52</v>
      </c>
      <c r="D19" s="1" t="s">
        <v>52</v>
      </c>
      <c r="E19" s="2">
        <v>60</v>
      </c>
      <c r="F19" s="2">
        <v>2073600</v>
      </c>
      <c r="G19" s="2">
        <v>0.8</v>
      </c>
      <c r="H19" s="1" t="s">
        <v>53</v>
      </c>
      <c r="I19" s="2">
        <v>0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0</v>
      </c>
      <c r="P19" s="2">
        <v>0</v>
      </c>
      <c r="Q19" s="1" t="s">
        <v>86</v>
      </c>
      <c r="R19" s="1" t="s">
        <v>87</v>
      </c>
      <c r="T19" s="10">
        <v>60</v>
      </c>
      <c r="U19" s="9" t="s">
        <v>88</v>
      </c>
    </row>
    <row r="20" spans="1:21">
      <c r="A20" s="1">
        <v>14</v>
      </c>
      <c r="B20" s="1" t="s">
        <v>43</v>
      </c>
      <c r="C20" s="1" t="s">
        <v>43</v>
      </c>
      <c r="D20" s="1" t="s">
        <v>43</v>
      </c>
      <c r="E20" s="2">
        <v>60</v>
      </c>
      <c r="F20" s="2">
        <v>2073600</v>
      </c>
      <c r="G20" s="2">
        <v>0.75</v>
      </c>
      <c r="H20" s="1" t="s">
        <v>44</v>
      </c>
      <c r="I20" s="2">
        <v>0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0</v>
      </c>
      <c r="P20" s="2">
        <v>0</v>
      </c>
      <c r="Q20" s="1" t="s">
        <v>89</v>
      </c>
      <c r="T20" s="10">
        <v>60</v>
      </c>
      <c r="U20" s="9" t="s">
        <v>44</v>
      </c>
    </row>
    <row r="21" spans="1:21">
      <c r="A21" s="1">
        <v>15</v>
      </c>
      <c r="B21" s="1" t="s">
        <v>43</v>
      </c>
      <c r="C21" s="1" t="s">
        <v>43</v>
      </c>
      <c r="D21" s="1" t="s">
        <v>43</v>
      </c>
      <c r="E21" s="2">
        <v>60</v>
      </c>
      <c r="F21" s="2">
        <v>2073600</v>
      </c>
      <c r="G21" s="2">
        <v>0.75</v>
      </c>
      <c r="H21" s="1" t="s">
        <v>44</v>
      </c>
      <c r="I21" s="2">
        <v>0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0</v>
      </c>
      <c r="P21" s="2">
        <v>0</v>
      </c>
      <c r="Q21" s="1" t="s">
        <v>90</v>
      </c>
      <c r="T21" s="10">
        <v>60</v>
      </c>
      <c r="U21" s="9" t="s">
        <v>44</v>
      </c>
    </row>
    <row r="22" spans="1:21">
      <c r="A22" s="5">
        <v>16</v>
      </c>
      <c r="B22" s="1" t="s">
        <v>47</v>
      </c>
      <c r="C22" s="1" t="s">
        <v>47</v>
      </c>
      <c r="D22" s="1" t="s">
        <v>47</v>
      </c>
      <c r="E22" s="2">
        <v>60</v>
      </c>
      <c r="F22" s="2">
        <v>0</v>
      </c>
      <c r="G22" s="2">
        <v>0.8</v>
      </c>
      <c r="H22" s="1" t="s">
        <v>44</v>
      </c>
      <c r="I22" s="2">
        <v>0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0</v>
      </c>
      <c r="P22" s="2">
        <v>1</v>
      </c>
      <c r="Q22" s="1" t="s">
        <v>91</v>
      </c>
      <c r="T22" s="10">
        <v>120</v>
      </c>
      <c r="U22" s="9" t="s">
        <v>77</v>
      </c>
    </row>
    <row r="23" spans="1:17">
      <c r="A23" s="5">
        <v>17</v>
      </c>
      <c r="B23" s="1" t="s">
        <v>47</v>
      </c>
      <c r="C23" s="1" t="s">
        <v>47</v>
      </c>
      <c r="D23" s="1" t="s">
        <v>47</v>
      </c>
      <c r="E23" s="2">
        <v>60</v>
      </c>
      <c r="F23" s="2">
        <v>0</v>
      </c>
      <c r="G23" s="2">
        <v>0.8</v>
      </c>
      <c r="H23" s="1" t="s">
        <v>44</v>
      </c>
      <c r="I23" s="2">
        <v>0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0</v>
      </c>
      <c r="P23" s="2">
        <v>1</v>
      </c>
      <c r="Q23" s="1" t="s">
        <v>92</v>
      </c>
    </row>
    <row r="24" spans="1:19">
      <c r="A24" s="1">
        <v>18</v>
      </c>
      <c r="B24" s="1" t="s">
        <v>52</v>
      </c>
      <c r="C24" s="1" t="s">
        <v>52</v>
      </c>
      <c r="D24" s="1" t="s">
        <v>52</v>
      </c>
      <c r="E24" s="2">
        <v>60</v>
      </c>
      <c r="F24" s="2">
        <v>0</v>
      </c>
      <c r="G24" s="2">
        <v>0.8</v>
      </c>
      <c r="H24" s="1" t="s">
        <v>53</v>
      </c>
      <c r="I24" s="2">
        <v>0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0</v>
      </c>
      <c r="P24" s="2">
        <v>0</v>
      </c>
      <c r="Q24" s="11" t="s">
        <v>93</v>
      </c>
      <c r="R24" s="12"/>
      <c r="S24" s="1" t="s">
        <v>94</v>
      </c>
    </row>
    <row r="25" spans="17:19">
      <c r="Q25" s="12"/>
      <c r="R25" s="12"/>
      <c r="S25" s="1" t="s">
        <v>95</v>
      </c>
    </row>
    <row r="26" spans="17:19">
      <c r="Q26" s="12"/>
      <c r="R26" s="12"/>
      <c r="S26" s="1" t="s">
        <v>96</v>
      </c>
    </row>
    <row r="27" spans="19:19">
      <c r="S27" s="1" t="s">
        <v>97</v>
      </c>
    </row>
    <row r="28" spans="17:19">
      <c r="Q28" s="13" t="s">
        <v>98</v>
      </c>
      <c r="R28" s="14"/>
      <c r="S28" s="1" t="s">
        <v>99</v>
      </c>
    </row>
    <row r="29" spans="17:19">
      <c r="Q29" s="14"/>
      <c r="R29" s="14"/>
      <c r="S29" s="1" t="s">
        <v>100</v>
      </c>
    </row>
    <row r="30" spans="17:18">
      <c r="Q30" s="14"/>
      <c r="R30" s="14"/>
    </row>
  </sheetData>
  <mergeCells count="1">
    <mergeCell ref="Q28:R30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G2" sqref="G2"/>
    </sheetView>
  </sheetViews>
  <sheetFormatPr defaultColWidth="9.025" defaultRowHeight="13.5" outlineLevelCol="6"/>
  <cols>
    <col min="7" max="7" width="12.8" customWidth="1"/>
  </cols>
  <sheetData>
    <row r="1" spans="1:7">
      <c r="A1" s="1" t="s">
        <v>101</v>
      </c>
      <c r="G1">
        <f>1280/1920</f>
        <v>0.666666666666667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Xzq</cp:lastModifiedBy>
  <dcterms:created xsi:type="dcterms:W3CDTF">2006-09-16T00:00:00Z</dcterms:created>
  <dcterms:modified xsi:type="dcterms:W3CDTF">2022-02-16T13:23:04Z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D9F5828BC7AE46ACA0F38EC0640D5C29</vt:lpwstr>
  </property>
</Properties>
</file>