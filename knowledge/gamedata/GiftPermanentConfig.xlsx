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17940"/>
  </bookViews>
  <sheets>
    <sheet name="Sheet1" sheetId="1" r:id="rId1"/>
    <sheet name="Sheet2" sheetId="2" r:id="rId2"/>
    <sheet name="Sheet3" sheetId="3" r:id="rId3"/>
    <sheet name="Sheet4" sheetId="4" r:id="rId4"/>
    <sheet name="Sheet5" sheetId="5" r:id="rId5"/>
  </sheets>
  <definedNames>
    <definedName name="_xlnm._FilterDatabase" localSheetId="0" hidden="1">Sheet1!$A$1:$Z$292</definedName>
  </definedNames>
  <calcPr calcId="144525" concurrentCalc="0"/>
</workbook>
</file>

<file path=xl/comments1.xml><?xml version="1.0" encoding="utf-8"?>
<comments xmlns="http://schemas.openxmlformats.org/spreadsheetml/2006/main">
  <authors>
    <author>Administrator</author>
    <author>admin</author>
    <author>wangyufei</author>
  </authors>
  <commentList>
    <comment ref="G2" authorId="0">
      <text>
        <r>
          <rPr>
            <sz val="9"/>
            <rFont val="宋体"/>
            <charset val="134"/>
          </rPr>
          <t>0 人民币
1 彩钻
2 蓝钻</t>
        </r>
      </text>
    </comment>
    <comment ref="H2" authorId="0">
      <text>
        <r>
          <rPr>
            <sz val="9"/>
            <rFont val="宋体"/>
            <charset val="134"/>
          </rPr>
          <t>0无 
1热销 
2折扣
4 感恩节
5 购物季
6 立冬
7 圣诞节
8 元旦
9 自选礼包活动</t>
        </r>
      </text>
    </comment>
    <comment ref="I2" authorId="0">
      <text>
        <r>
          <rPr>
            <sz val="9"/>
            <rFont val="宋体"/>
            <charset val="134"/>
          </rPr>
          <t>0不刷新
1每日刷新
2每周刷新
3每月刷新</t>
        </r>
      </text>
    </comment>
    <comment ref="J2" authorId="0">
      <text>
        <r>
          <rPr>
            <sz val="9"/>
            <rFont val="宋体"/>
            <charset val="134"/>
          </rPr>
          <t>0不限购 
1 个人</t>
        </r>
      </text>
    </comment>
    <comment ref="L2" authorId="0">
      <text>
        <r>
          <rPr>
            <sz val="9"/>
            <rFont val="宋体"/>
            <charset val="134"/>
          </rPr>
          <t>0 - 100 ，对应 0-10折</t>
        </r>
      </text>
    </comment>
    <comment ref="M2" authorId="0">
      <text>
        <r>
          <rPr>
            <sz val="9"/>
            <rFont val="宋体"/>
            <charset val="134"/>
          </rPr>
          <t>0白银
1黄金
2玉子 
3钻石
4路飞
5秘传书，战魂
6精炼石，英雄之石
7秘传书，招募券
8古铜战魂礼包
9金币资源礼包
10金色战魂礼包
11角色养成礼包
12强者招募礼包
13小型资源礼包
14稀有装备宝箱
15优质装备宝箱
16经验资源礼包
17装备锻造礼包
18南瓜头
19南瓜头三个
20彩蛋
21饺子
22饺子盒
23火鸡腿
24烤火鸡
25火鸡篮
26双11-1
27双11-2
28双11-3</t>
        </r>
      </text>
    </comment>
    <comment ref="O2" authorId="1">
      <text>
        <r>
          <rPr>
            <b/>
            <sz val="9"/>
            <rFont val="宋体"/>
            <charset val="134"/>
          </rPr>
          <t>admin:</t>
        </r>
        <r>
          <rPr>
            <sz val="9"/>
            <rFont val="宋体"/>
            <charset val="134"/>
          </rPr>
          <t xml:space="preserve">
不在时间范围内的，不显示</t>
        </r>
      </text>
    </comment>
    <comment ref="S2" authorId="1">
      <text>
        <r>
          <rPr>
            <b/>
            <sz val="9"/>
            <rFont val="宋体"/>
            <charset val="134"/>
          </rPr>
          <t>admin:</t>
        </r>
        <r>
          <rPr>
            <sz val="9"/>
            <rFont val="宋体"/>
            <charset val="134"/>
          </rPr>
          <t xml:space="preserve">
0-显示
1-隐藏
2-隐藏，BI后台可获取，用于虚拟充值</t>
        </r>
      </text>
    </comment>
    <comment ref="T2" authorId="1">
      <text>
        <r>
          <rPr>
            <b/>
            <sz val="9"/>
            <rFont val="宋体"/>
            <charset val="134"/>
          </rPr>
          <t>admin:</t>
        </r>
        <r>
          <rPr>
            <sz val="9"/>
            <rFont val="宋体"/>
            <charset val="134"/>
          </rPr>
          <t xml:space="preserve">
</t>
        </r>
        <r>
          <rPr>
            <sz val="8"/>
            <rFont val="宋体"/>
            <charset val="134"/>
          </rPr>
          <t>所在分页，对应GiftTabConfig表
1-限时礼包；2-角色养成；
3-装备养成；4-玩法补给；
5-新春礼包</t>
        </r>
      </text>
    </comment>
    <comment ref="U2" authorId="1">
      <text>
        <r>
          <rPr>
            <sz val="9"/>
            <rFont val="宋体"/>
            <charset val="134"/>
          </rPr>
          <t xml:space="preserve">0 两个都卖
1只卖老服
2只卖新服
</t>
        </r>
      </text>
    </comment>
    <comment ref="V2" authorId="1">
      <text>
        <r>
          <rPr>
            <sz val="9"/>
            <rFont val="宋体"/>
            <charset val="134"/>
          </rPr>
          <t xml:space="preserve">如果售卖类型 0
0 代表 新老服都卖
大于0 代表老服买 新服开服多少天之内卖
</t>
        </r>
      </text>
    </comment>
    <comment ref="AA2" authorId="2">
      <text>
        <r>
          <rPr>
            <b/>
            <sz val="9"/>
            <rFont val="宋体"/>
            <charset val="134"/>
          </rPr>
          <t>wangyufei:</t>
        </r>
        <r>
          <rPr>
            <sz val="9"/>
            <rFont val="宋体"/>
            <charset val="134"/>
          </rPr>
          <t xml:space="preserve">
经典服：1
怀旧服：2</t>
        </r>
      </text>
    </comment>
  </commentList>
</comments>
</file>

<file path=xl/comments2.xml><?xml version="1.0" encoding="utf-8"?>
<comments xmlns="http://schemas.openxmlformats.org/spreadsheetml/2006/main">
  <authors>
    <author>Administrator</author>
  </authors>
  <commentList>
    <comment ref="F597" authorId="0">
      <text>
        <r>
          <rPr>
            <b/>
            <sz val="9"/>
            <rFont val="宋体"/>
            <charset val="134"/>
          </rPr>
          <t>Administrator:</t>
        </r>
        <r>
          <rPr>
            <sz val="9"/>
            <rFont val="宋体"/>
            <charset val="134"/>
          </rPr>
          <t xml:space="preserve">
运营</t>
        </r>
      </text>
    </comment>
    <comment ref="F613" authorId="0">
      <text>
        <r>
          <rPr>
            <b/>
            <sz val="9"/>
            <rFont val="宋体"/>
            <charset val="134"/>
          </rPr>
          <t>Administrator:</t>
        </r>
        <r>
          <rPr>
            <sz val="9"/>
            <rFont val="宋体"/>
            <charset val="134"/>
          </rPr>
          <t xml:space="preserve">
运营</t>
        </r>
      </text>
    </comment>
    <comment ref="F622" authorId="0">
      <text>
        <r>
          <rPr>
            <sz val="9"/>
            <rFont val="宋体"/>
            <charset val="134"/>
          </rPr>
          <t>幸运商店使用</t>
        </r>
      </text>
    </comment>
  </commentList>
</comments>
</file>

<file path=xl/sharedStrings.xml><?xml version="1.0" encoding="utf-8"?>
<sst xmlns="http://schemas.openxmlformats.org/spreadsheetml/2006/main" count="11164" uniqueCount="6533">
  <si>
    <t>7</t>
  </si>
  <si>
    <t>礼包Id</t>
  </si>
  <si>
    <t>礼包名称</t>
  </si>
  <si>
    <t>开服后持续小时数</t>
  </si>
  <si>
    <t>奖励</t>
  </si>
  <si>
    <t>价格</t>
  </si>
  <si>
    <t>真实价格</t>
  </si>
  <si>
    <t>消费类型</t>
  </si>
  <si>
    <t>标签类型</t>
  </si>
  <si>
    <t>刷新类型</t>
  </si>
  <si>
    <t>限购类型</t>
  </si>
  <si>
    <t>限购次数</t>
  </si>
  <si>
    <t>折扣</t>
  </si>
  <si>
    <t>图标下标</t>
  </si>
  <si>
    <t>计费点Id</t>
  </si>
  <si>
    <t>开始日期（yyyy-MM-dd HH:mm:ss）</t>
  </si>
  <si>
    <t>结束日期（yyyy-MM-dd HH:mm:ss）</t>
  </si>
  <si>
    <t>页类型（0限购，1限时）</t>
  </si>
  <si>
    <t>是否重置</t>
  </si>
  <si>
    <t>是否隐藏</t>
  </si>
  <si>
    <t>菜单类型</t>
  </si>
  <si>
    <t>售卖服务器类型</t>
  </si>
  <si>
    <t>新服持续天数</t>
  </si>
  <si>
    <t>排序</t>
  </si>
  <si>
    <t>所属标签</t>
  </si>
  <si>
    <t>自选礼包活动中可选道具池</t>
  </si>
  <si>
    <t>自选可以选几个</t>
  </si>
  <si>
    <t>防盖表经典怀旧判断</t>
  </si>
  <si>
    <t>EmptyKey-AB2</t>
  </si>
  <si>
    <t>giftId</t>
  </si>
  <si>
    <t>reward</t>
  </si>
  <si>
    <t>realPrice</t>
  </si>
  <si>
    <t>sort</t>
  </si>
  <si>
    <t>commonItem</t>
  </si>
  <si>
    <t>commonNum</t>
  </si>
  <si>
    <t>int</t>
  </si>
  <si>
    <t>string</t>
  </si>
  <si>
    <t>none</t>
  </si>
  <si>
    <t>giftName</t>
  </si>
  <si>
    <t>duringHour</t>
  </si>
  <si>
    <t>price</t>
  </si>
  <si>
    <t>costType</t>
  </si>
  <si>
    <t>labelType</t>
  </si>
  <si>
    <t>refreshType</t>
  </si>
  <si>
    <t>limitType</t>
  </si>
  <si>
    <t>limitNum</t>
  </si>
  <si>
    <t>discount</t>
  </si>
  <si>
    <t>iconIndex</t>
  </si>
  <si>
    <t>paymentId</t>
  </si>
  <si>
    <t>startDate</t>
  </si>
  <si>
    <t>endDate</t>
  </si>
  <si>
    <t>giftPageType</t>
  </si>
  <si>
    <t>isResetable</t>
  </si>
  <si>
    <t>isHide</t>
  </si>
  <si>
    <t>menuLabel</t>
  </si>
  <si>
    <t>isNewServer</t>
  </si>
  <si>
    <t>newServerDuringDay</t>
  </si>
  <si>
    <t>titlefrom</t>
  </si>
  <si>
    <r>
      <rPr>
        <sz val="9.75"/>
        <color rgb="FF333333"/>
        <rFont val="Helvetica"/>
        <charset val="134"/>
      </rPr>
      <t>dictServerType</t>
    </r>
  </si>
  <si>
    <t>超值经验宝箱</t>
  </si>
  <si>
    <t>1001,216001,10;1001,215007,5;1001,225002,5;1001,452201,10</t>
  </si>
  <si>
    <t>2020-08-10 0:00:00</t>
  </si>
  <si>
    <t>2020-08-29 0:00:00</t>
  </si>
  <si>
    <t>超值突破宝箱</t>
  </si>
  <si>
    <t>1001,511303,1</t>
  </si>
  <si>
    <t>2020-08-10 0:00:01</t>
  </si>
  <si>
    <t>2020-08-29 0:00:01</t>
  </si>
  <si>
    <t>超值贡献宝箱</t>
  </si>
  <si>
    <t>1001,511304,5</t>
  </si>
  <si>
    <t>2020-08-10 0:00:02</t>
  </si>
  <si>
    <t>2020-08-29 0:00:02</t>
  </si>
  <si>
    <t>超值训练宝箱</t>
  </si>
  <si>
    <t>1001,211021,15;1001,212021,30;1001,213021,45;1001,214021,60;1001,215021,75</t>
  </si>
  <si>
    <t>2020-08-10 0:00:03</t>
  </si>
  <si>
    <t>2020-08-29 0:00:03</t>
  </si>
  <si>
    <t>超值重铸宝箱</t>
  </si>
  <si>
    <t>1001,216002,40;1,0,200;5,0,200000</t>
  </si>
  <si>
    <t>2020-08-10 0:00:04</t>
  </si>
  <si>
    <t>2020-08-29 0:00:04</t>
  </si>
  <si>
    <t>优质经验宝箱</t>
  </si>
  <si>
    <t>1001,216001,10;1001,452201,30;3,0,3888</t>
  </si>
  <si>
    <t>2020-08-10 0:00:05</t>
  </si>
  <si>
    <t>2020-08-29 0:00:05</t>
  </si>
  <si>
    <t>家园桥梁图纸</t>
  </si>
  <si>
    <t>1001,511306,1</t>
  </si>
  <si>
    <t>3006,com.Aligames.hhw.yz128</t>
  </si>
  <si>
    <t>2020-08-10 0:00:06</t>
  </si>
  <si>
    <t>2020-08-29 0:00:06</t>
  </si>
  <si>
    <t>豪华附魂宝箱</t>
  </si>
  <si>
    <t>1001,720001,120;1001,215005,30;3,0,1000</t>
  </si>
  <si>
    <t>2020-08-10 0:00:07</t>
  </si>
  <si>
    <t>2020-08-29 0:00:07</t>
  </si>
  <si>
    <t>豪华精炼宝箱</t>
  </si>
  <si>
    <t>1001,214003,200;1001,214014,20;1001,215002,50</t>
  </si>
  <si>
    <t>2020-08-10 0:00:08</t>
  </si>
  <si>
    <t>2020-08-29 0:00:08</t>
  </si>
  <si>
    <t>豪华战魂宝箱</t>
  </si>
  <si>
    <t>1001,215005,60;1001,216001,20;1,0,1000</t>
  </si>
  <si>
    <t>2020-08-10 0:00:09</t>
  </si>
  <si>
    <t>2020-08-29 0:00:09</t>
  </si>
  <si>
    <t>豪华宝石宝箱</t>
  </si>
  <si>
    <t>1001,511169,10;1001,215004,8;3,0,2000</t>
  </si>
  <si>
    <t>2020-08-10 0:00:10</t>
  </si>
  <si>
    <t>2020-08-29 0:00:10</t>
  </si>
  <si>
    <t>豪华培养宝箱</t>
  </si>
  <si>
    <t>1001,215011,35;1001,215005,20;1001,214003,20;1,0,2000</t>
  </si>
  <si>
    <t>2020-08-10 0:00:11</t>
  </si>
  <si>
    <t>2020-08-29 0:00:11</t>
  </si>
  <si>
    <t>豪华重铸宝箱</t>
  </si>
  <si>
    <t>1001,216002,260;1001,214003,10;1001,214014,5</t>
  </si>
  <si>
    <t>2020-08-10 0:00:12</t>
  </si>
  <si>
    <t>2020-08-29 0:00:12</t>
  </si>
  <si>
    <t>豪华招募宝箱</t>
  </si>
  <si>
    <t>1001,215011,60;1001,216001,10;1,0,1000</t>
  </si>
  <si>
    <t>2020-08-10 0:00:13</t>
  </si>
  <si>
    <t>2020-08-29 0:00:13</t>
  </si>
  <si>
    <t>金币资源礼包</t>
  </si>
  <si>
    <t>4,0,500000;1001,225001,5;3,0,200</t>
  </si>
  <si>
    <t>2020-08-10 0:00:14</t>
  </si>
  <si>
    <t>2020-08-29 0:00:14</t>
  </si>
  <si>
    <t>经验资源礼包</t>
  </si>
  <si>
    <t>1001,215001,50;1001,225002,5;3,0,200</t>
  </si>
  <si>
    <t>2020-08-10 0:00:15</t>
  </si>
  <si>
    <t>2020-08-29 0:00:15</t>
  </si>
  <si>
    <t>巨鲸号角</t>
  </si>
  <si>
    <t>1001,511313,1</t>
  </si>
  <si>
    <t>3003,com.Aligames.hhw.yz68</t>
  </si>
  <si>
    <t>樱花祭神树</t>
  </si>
  <si>
    <t>1001,16010002,1</t>
  </si>
  <si>
    <t>3009,com.Aligames.hhw.yz328</t>
  </si>
  <si>
    <t>樱花祭五重塔</t>
  </si>
  <si>
    <t>1001,16010003,1</t>
  </si>
  <si>
    <t>樱花装扮礼包</t>
  </si>
  <si>
    <t>1001,16010004,1;1001,16010005,1;1001,16010006,1;1001,16010007,1;1001,16010008,1;1001,16010009,1</t>
  </si>
  <si>
    <t>3010,com.Aligames.hhw.yz648</t>
  </si>
  <si>
    <t>周年庆特惠礼包</t>
  </si>
  <si>
    <t>1001,215011,1;1001,215005,1;5,0,50000</t>
  </si>
  <si>
    <t>2020-09-16 0:00:00</t>
  </si>
  <si>
    <t>2020-09-23 19:05:59</t>
  </si>
  <si>
    <t>周年庆超值礼包</t>
  </si>
  <si>
    <t>1001,215011,30;1001,215005,60;1001,720001,60;1001,511170,2;3,0,2000</t>
  </si>
  <si>
    <t>2020-09-23 19:06:00</t>
  </si>
  <si>
    <t>2020-09-30 19:06:00</t>
  </si>
  <si>
    <t>1001,215005,10;5,0,100000;1001,452201,5</t>
  </si>
  <si>
    <t>2020-09-29 00:00:00</t>
  </si>
  <si>
    <t>2020-10-07 23:59:59</t>
  </si>
  <si>
    <t>1001,216001,30;1001,225002,10;1001,452201,20</t>
  </si>
  <si>
    <t>周年庆豪华礼包</t>
  </si>
  <si>
    <t>1001,215005,150;1001,720001,30;3,0,2000;1001,452201,20</t>
  </si>
  <si>
    <t>2020-10-08 00:00:00</t>
  </si>
  <si>
    <t>2020-10-14 23:59:59</t>
  </si>
  <si>
    <t>超值培养礼包</t>
  </si>
  <si>
    <t>2020-10-20 00:00:00</t>
  </si>
  <si>
    <t>2020-10-28 23:59:59</t>
  </si>
  <si>
    <t>超值经验礼包</t>
  </si>
  <si>
    <t>豪华养成礼包</t>
  </si>
  <si>
    <t>万圣节超值礼包</t>
  </si>
  <si>
    <t>2020-10-28 00:00:00</t>
  </si>
  <si>
    <t>2020-11-04 23:59:59</t>
  </si>
  <si>
    <t>万圣节特惠礼包</t>
  </si>
  <si>
    <t>2020-11-04 00:00:00</t>
  </si>
  <si>
    <t>2020-11-11 23:59:59</t>
  </si>
  <si>
    <t>特惠养成礼包</t>
  </si>
  <si>
    <t>2020-11-12 00:00:00</t>
  </si>
  <si>
    <t>2020-11-18 23:59:59</t>
  </si>
  <si>
    <t>2020-11-18 00:00:00</t>
  </si>
  <si>
    <t>2020-11-25 23:59:59</t>
  </si>
  <si>
    <t>1003,com.Aligames.hhw.3</t>
  </si>
  <si>
    <t>2020-11-25 00:00:00</t>
  </si>
  <si>
    <t>2020-12-02 23:59:59</t>
  </si>
  <si>
    <t>2020-12-8 00:00:00</t>
  </si>
  <si>
    <t>2020-12-16 23:59:59</t>
  </si>
  <si>
    <t>超值养成礼包</t>
  </si>
  <si>
    <t>1001,511169,2;1001,215004,1;1001,214003,10;1001,215002,10</t>
  </si>
  <si>
    <t>2020-12-12 23:59:59</t>
  </si>
  <si>
    <t>劳动节特惠礼包</t>
  </si>
  <si>
    <t>2021-05-01 00:00:00</t>
  </si>
  <si>
    <t>2021-05-06 00:00:00</t>
  </si>
  <si>
    <t>劳动节豪华礼包</t>
  </si>
  <si>
    <t>1001,215005,80;1001,216011,10;3,0,1888;1001,216001,20</t>
  </si>
  <si>
    <t>劳动节限定礼包</t>
  </si>
  <si>
    <t>1001,720001,388;1,0,2000;1001,216001,50</t>
  </si>
  <si>
    <t>端午节豪华礼包</t>
  </si>
  <si>
    <t>1001,511419,2;1001,216002,10;3,0,1888;1001,215004,2</t>
  </si>
  <si>
    <t>2021-06-12 00:00:00</t>
  </si>
  <si>
    <t>2021-06-15 00:00:00</t>
  </si>
  <si>
    <t>超值招募礼包</t>
  </si>
  <si>
    <t>1001,215011,4</t>
  </si>
  <si>
    <t>2022-01-27 00:00:00</t>
  </si>
  <si>
    <t>2022-02-02 23:59:59</t>
  </si>
  <si>
    <t>5,0,100000;1001,215005,10;1001,452201,5</t>
  </si>
  <si>
    <t>特惠附魂礼包</t>
  </si>
  <si>
    <t>1001,720001,40;1001,216001,20</t>
  </si>
  <si>
    <t>1,0,2000;1001,215011,45;1001,215005,30;1001,214003,20</t>
  </si>
  <si>
    <t>强者任选礼包</t>
  </si>
  <si>
    <t>1001,511620,1</t>
  </si>
  <si>
    <t>2022-02-09 23:59:59</t>
  </si>
  <si>
    <t>超值训练礼包</t>
  </si>
  <si>
    <t>1001,210121,80;5,0,200000</t>
  </si>
  <si>
    <t>2022-02-03 00:00:00</t>
  </si>
  <si>
    <t>突破养成礼包</t>
  </si>
  <si>
    <t>装备养成礼包</t>
  </si>
  <si>
    <t>1001,216002,80;1001,215004,2;1001,214003,20</t>
  </si>
  <si>
    <t>豪华附魂礼包</t>
  </si>
  <si>
    <t>1,0,2000;1001,720001,388;1001,216001,50</t>
  </si>
  <si>
    <t>精美招募礼包</t>
  </si>
  <si>
    <t>1001,215011,1;1001,214011,1</t>
  </si>
  <si>
    <t>精美经验礼包</t>
  </si>
  <si>
    <t>1001,216001,10;1001,225002,2</t>
  </si>
  <si>
    <t>优选养成礼包</t>
  </si>
  <si>
    <t>1001,215005,10;1001,215007,2</t>
  </si>
  <si>
    <t>优选宝石礼包</t>
  </si>
  <si>
    <t>1010,0,20;1001,800011,2</t>
  </si>
  <si>
    <t>1001,215001,50;1001,216001,30;1001,225002,5</t>
  </si>
  <si>
    <t>超值精炼宝箱</t>
  </si>
  <si>
    <t>1001,214003,100;1001,214014,10;1001,214002,150</t>
  </si>
  <si>
    <t>超值招募宝箱</t>
  </si>
  <si>
    <t>1001,215011,12;1001,720001,10;1001,216001,30</t>
  </si>
  <si>
    <t>开服专享礼包</t>
  </si>
  <si>
    <t>1001,630059,50</t>
  </si>
  <si>
    <t>豪华锻造礼包</t>
  </si>
  <si>
    <t>1001,216002,50;1001,218004,30;1,0,1000</t>
  </si>
  <si>
    <t>豪华招募礼包</t>
  </si>
  <si>
    <t>1001,215011,25;1001,215005,10;1001,216001,50</t>
  </si>
  <si>
    <t>1001,215005,80;1001,215007,10;1,0,500</t>
  </si>
  <si>
    <t>强者同行礼包</t>
  </si>
  <si>
    <t>王者同行礼包</t>
  </si>
  <si>
    <t>1001,619508,1</t>
  </si>
  <si>
    <t>1001,511588,5;1,0,500</t>
  </si>
  <si>
    <t>1001,215011,35;1001,215005,30;1,0,2000</t>
  </si>
  <si>
    <t>豪华金魂宝箱</t>
  </si>
  <si>
    <t>1001,215005,200</t>
  </si>
  <si>
    <t>豪华炼魂石礼包</t>
  </si>
  <si>
    <t>1001,720002,500</t>
  </si>
  <si>
    <t>低级限定礼包</t>
  </si>
  <si>
    <t>中级限定礼包</t>
  </si>
  <si>
    <t>高级限定礼包</t>
  </si>
  <si>
    <t>特级限定礼包</t>
  </si>
  <si>
    <t>顶级限定礼包</t>
  </si>
  <si>
    <t>1001,215001,50;1001,225002,5;3,0,50000</t>
  </si>
  <si>
    <t>重返航线礼包</t>
  </si>
  <si>
    <t>招募宝库礼包</t>
  </si>
  <si>
    <t>1001,910002,1</t>
  </si>
  <si>
    <t>战力提升礼包</t>
  </si>
  <si>
    <t>1001,932017,1</t>
  </si>
  <si>
    <t>06042201</t>
  </si>
  <si>
    <t>招募福利礼品</t>
  </si>
  <si>
    <t>1001,215011,1</t>
  </si>
  <si>
    <t>2022-04-22 00:00:00</t>
  </si>
  <si>
    <t>2022-04-24 23:59:59</t>
  </si>
  <si>
    <t>06042202</t>
  </si>
  <si>
    <t>基德碎片礼包</t>
  </si>
  <si>
    <t>1001,630015,10</t>
  </si>
  <si>
    <t>2022-04-23 00:00:00</t>
  </si>
  <si>
    <t>06042203</t>
  </si>
  <si>
    <t>2022-04-25 00:00:00</t>
  </si>
  <si>
    <t>2022-04-26 23:59:59</t>
  </si>
  <si>
    <t>06042204</t>
  </si>
  <si>
    <t>2022-04-27 00:00:00</t>
  </si>
  <si>
    <t>2022-04-28 23:59:59</t>
  </si>
  <si>
    <t>06042205</t>
  </si>
  <si>
    <t>2022-04-29 00:00:00</t>
  </si>
  <si>
    <t>2022-04-30 23:59:59</t>
  </si>
  <si>
    <t>06042206</t>
  </si>
  <si>
    <t>2022-05-01 00:00:00</t>
  </si>
  <si>
    <t>2022-05-02 23:59:59</t>
  </si>
  <si>
    <t>06042207</t>
  </si>
  <si>
    <t>1001,630015,20</t>
  </si>
  <si>
    <t>2022-05-03 00:00:00</t>
  </si>
  <si>
    <t>2022-05-04 23:59:59</t>
  </si>
  <si>
    <t>会员超值招募礼包</t>
  </si>
  <si>
    <t>1001,215011,90;1001,216001,20;1001,215007,20;3,0,888</t>
  </si>
  <si>
    <t>会员超值养成礼包</t>
  </si>
  <si>
    <t>1001,210121,120;1001,720001,200;1001,511170,1;3,0,888</t>
  </si>
  <si>
    <t>会员特惠自选礼包</t>
  </si>
  <si>
    <t>1001,215011,120;1001,720001,200;3,0,1888</t>
  </si>
  <si>
    <t>会员豪华自选礼包</t>
  </si>
  <si>
    <t>1001,215011,180;1001,720001,300;3,0,2666</t>
  </si>
  <si>
    <t>会员超值重铸礼包</t>
  </si>
  <si>
    <t>1001,216002,500</t>
  </si>
  <si>
    <t>会员5k阵法任选礼包</t>
  </si>
  <si>
    <t>1001,216002,2000;1001,514032,500;1001,720001,200;1001,619268,1;1,0,3000</t>
  </si>
  <si>
    <t>会员5k时装任选礼包</t>
  </si>
  <si>
    <t>1001,216002,2000;1001,514032,500;1001,720001,200;1001,619267,1;1,0,3000</t>
  </si>
  <si>
    <t>会员1w老服套装任选礼包</t>
  </si>
  <si>
    <t>1001,216002,2000;1001,214003,50;1,0,20000;1001,619269,1</t>
  </si>
  <si>
    <t>会员1w新服套装任选礼包</t>
  </si>
  <si>
    <t>1001,216002,2000;1001,214003,50;1,0,20000;1001,619275,1</t>
  </si>
  <si>
    <t>会员1w定制洗练礼包</t>
  </si>
  <si>
    <t>1,0,20000</t>
  </si>
  <si>
    <t>会员20w定制洗练礼包</t>
  </si>
  <si>
    <t>1,0,10000</t>
  </si>
  <si>
    <t>大额七彩礼包一</t>
  </si>
  <si>
    <t>1001,511588,9;1001,619306,1</t>
  </si>
  <si>
    <t>大额七彩礼包二</t>
  </si>
  <si>
    <t>1001,511588,48</t>
  </si>
  <si>
    <t>大额七彩礼包三</t>
  </si>
  <si>
    <t>1001,511588,96</t>
  </si>
  <si>
    <t>大额重铸石礼包一</t>
  </si>
  <si>
    <t>1001,216002,3000</t>
  </si>
  <si>
    <t>大额重铸石礼包二</t>
  </si>
  <si>
    <t>1001,216002,7500</t>
  </si>
  <si>
    <t>金徽章礼包</t>
  </si>
  <si>
    <t>1001,960001,6</t>
  </si>
  <si>
    <t>信物宝库钥匙礼包一</t>
  </si>
  <si>
    <t>1001,910014,1;1001,215011,5;1001,960001,4</t>
  </si>
  <si>
    <t>信物宝库钥匙礼包二</t>
  </si>
  <si>
    <t>1001,910014,1</t>
  </si>
  <si>
    <t>晋升速递礼包</t>
  </si>
  <si>
    <t>1001,214003,50;1001,214002,180;1001,933001,150</t>
  </si>
  <si>
    <t>共鸣速递礼包</t>
  </si>
  <si>
    <t>1001,214003,50;1001,214002,180;1001,933002,12</t>
  </si>
  <si>
    <t>共鸣成长礼包</t>
  </si>
  <si>
    <t>1001,214003,30;1001,214002,100;1001,933002,7</t>
  </si>
  <si>
    <t>1001,215011,10;1001,720001,10</t>
  </si>
  <si>
    <t>支付宝</t>
  </si>
  <si>
    <t>特惠招募礼包</t>
  </si>
  <si>
    <t>1001,215011,30;1,0,300</t>
  </si>
  <si>
    <t>1001,215011,65;1,0,800</t>
  </si>
  <si>
    <t>1001,216001,60;1001,210121,10</t>
  </si>
  <si>
    <t>1001,216001,100;1001,215007,60;1001,214007,40</t>
  </si>
  <si>
    <t>1001,720001,418;1,0,2000</t>
  </si>
  <si>
    <t>豪华炼魂礼包</t>
  </si>
  <si>
    <t>1001,720002,510</t>
  </si>
  <si>
    <t>重铸石礼包</t>
  </si>
  <si>
    <t>1001,216002,220</t>
  </si>
  <si>
    <t>周年惊喜彩钻礼包</t>
  </si>
  <si>
    <t>1,0,120</t>
  </si>
  <si>
    <t>七彩炫光礼包</t>
  </si>
  <si>
    <t>1001,1200001,1</t>
  </si>
  <si>
    <t>宝石进阶礼包</t>
  </si>
  <si>
    <t>1001,511588,3;1001,1200001,1</t>
  </si>
  <si>
    <t>限时重铸礼包</t>
  </si>
  <si>
    <t>1001,216002,10</t>
  </si>
  <si>
    <t>优享重铸礼包</t>
  </si>
  <si>
    <t>1001,216002,45</t>
  </si>
  <si>
    <t>尊享重铸礼包</t>
  </si>
  <si>
    <t>1001,216002,110</t>
  </si>
  <si>
    <t>精选七彩礼包</t>
  </si>
  <si>
    <t>1001,511588,4</t>
  </si>
  <si>
    <t>专享重铸礼包</t>
  </si>
  <si>
    <t>1001,216002,280;1001,218004,30</t>
  </si>
  <si>
    <t>特供重铸礼包</t>
  </si>
  <si>
    <t>1001,216002,35</t>
  </si>
  <si>
    <t>特供炼魂礼包</t>
  </si>
  <si>
    <t>1001,720002,65</t>
  </si>
  <si>
    <t>官方网页支付，需要独立出来ID，这样才能区分支付宝和网页同一个商品的限购</t>
  </si>
  <si>
    <t>网页支付礼包新增</t>
  </si>
  <si>
    <t>特惠月卡礼包</t>
  </si>
  <si>
    <t>1001,910001,1</t>
  </si>
  <si>
    <t>特惠金魂礼包</t>
  </si>
  <si>
    <t>1001,910003,1</t>
  </si>
  <si>
    <t>每日惊喜彩钻礼</t>
  </si>
  <si>
    <t>1,0,60</t>
  </si>
  <si>
    <t>网页支付礼包新增(12-10)</t>
  </si>
  <si>
    <t>狂欢彩钻礼包.小</t>
  </si>
  <si>
    <t>1,0,2000</t>
  </si>
  <si>
    <t>狂欢彩钻礼包.中</t>
  </si>
  <si>
    <t>1,0,6500</t>
  </si>
  <si>
    <t>狂欢彩钻礼包.大</t>
  </si>
  <si>
    <t>1,0,16000</t>
  </si>
  <si>
    <t>狂欢彩钻礼包.豪华</t>
  </si>
  <si>
    <t>1,0,30000</t>
  </si>
  <si>
    <t xml:space="preserve">春节专享宝石礼 </t>
  </si>
  <si>
    <t>1001,511419,5</t>
  </si>
  <si>
    <t xml:space="preserve">春节专享重铸礼 </t>
  </si>
  <si>
    <t>1001,216002,550</t>
  </si>
  <si>
    <t>1001,910010,1</t>
  </si>
  <si>
    <t>尊贵宝石礼包</t>
  </si>
  <si>
    <t>1001,511419,8</t>
  </si>
  <si>
    <t>炼魂石宝库礼包</t>
  </si>
  <si>
    <t>1001,910011,1</t>
  </si>
  <si>
    <t>进阶宝石宝库礼包</t>
  </si>
  <si>
    <t>1001,910012,1</t>
  </si>
  <si>
    <t>假期特供礼包</t>
  </si>
  <si>
    <t>1001,910013,2;1001,910001,1</t>
  </si>
  <si>
    <t>船团豪华礼包</t>
  </si>
  <si>
    <t>1,0,3280;1001,960001,180</t>
  </si>
  <si>
    <t>船团极品礼包</t>
  </si>
  <si>
    <t>1,0,1680;1001,960001,85</t>
  </si>
  <si>
    <t>船团珍贵礼包</t>
  </si>
  <si>
    <t>1,0,680;1001,960001,35</t>
  </si>
  <si>
    <t>船团稀有礼包</t>
  </si>
  <si>
    <t>1,0,350;1001,960001,18</t>
  </si>
  <si>
    <t>船团普通礼包</t>
  </si>
  <si>
    <t>1,0,150;1001,960001,8</t>
  </si>
  <si>
    <r>
      <rPr>
        <sz val="10.5"/>
        <color rgb="FF182B50"/>
        <rFont val="Arial"/>
        <charset val="134"/>
      </rPr>
      <t>共鸣专供礼包</t>
    </r>
  </si>
  <si>
    <t>1001,933002,12;1001,214002,180;1001,214003,50</t>
  </si>
  <si>
    <r>
      <rPr>
        <sz val="10.5"/>
        <color rgb="FF182B50"/>
        <rFont val="Arial"/>
        <charset val="134"/>
      </rPr>
      <t>共鸣特供礼包</t>
    </r>
  </si>
  <si>
    <t>1001,933002,7;1001,214002,100;1001,214003,30</t>
  </si>
  <si>
    <t>周年超级洗练礼</t>
  </si>
  <si>
    <t>1001,216002,3777;20012,0,5000</t>
  </si>
  <si>
    <t>周年闪耀洗练礼</t>
  </si>
  <si>
    <t>1001,216002,7777;20012,0,10500</t>
  </si>
  <si>
    <t>周年闪耀合成礼</t>
  </si>
  <si>
    <t>1001,1200001,1;20012,0,190</t>
  </si>
  <si>
    <t>周年闪耀宝石礼</t>
  </si>
  <si>
    <t>1001,511588,1;20012,0,80</t>
  </si>
  <si>
    <t>周年庆典洗练礼包</t>
  </si>
  <si>
    <t>1001,216002,330;20012,0,830</t>
  </si>
  <si>
    <t>十一预热好礼-经典</t>
  </si>
  <si>
    <t>1,0,7777;1001,931119,1</t>
  </si>
  <si>
    <t>中秋惊喜礼</t>
  </si>
  <si>
    <t>1,0,188;1001,619572,1</t>
  </si>
  <si>
    <t>2025中秋礼包</t>
  </si>
  <si>
    <t>中秋珍贵礼</t>
  </si>
  <si>
    <t>1001,910001,1;1001,910003,1;1001,619572,2</t>
  </si>
  <si>
    <t>中秋超值礼</t>
  </si>
  <si>
    <t>1001,720001,188;1001,619573,1</t>
  </si>
  <si>
    <t>中秋月圆礼</t>
  </si>
  <si>
    <t>1001,210121,300;1001,216001,88;1001,619573,2</t>
  </si>
  <si>
    <t>中秋桂香礼</t>
  </si>
  <si>
    <t>1001,216002,888;1001,619573,3</t>
  </si>
  <si>
    <t>UR助力礼包</t>
  </si>
  <si>
    <t>1001,619574,1;1001,619354,80</t>
  </si>
  <si>
    <t>勋章助力礼包</t>
  </si>
  <si>
    <t>1001,932039,10</t>
  </si>
  <si>
    <t>万圣节时装宝箱</t>
  </si>
  <si>
    <t>1001,619577,1</t>
  </si>
  <si>
    <t>2025万圣节礼包</t>
  </si>
  <si>
    <t>狂欢惊喜礼</t>
  </si>
  <si>
    <t>1,0,60;1001,619586,1</t>
  </si>
  <si>
    <t>2025狂欢预热</t>
  </si>
  <si>
    <t>狂欢超值礼</t>
  </si>
  <si>
    <t>1001,910001,1;1001,910003,1;1001,619586,2</t>
  </si>
  <si>
    <t>狂欢特惠礼</t>
  </si>
  <si>
    <t>1001,514032,120;1001,619587,1</t>
  </si>
  <si>
    <t>狂欢珍贵礼</t>
  </si>
  <si>
    <t>1001,216002,268;1001,216001,88;1001,619587,2</t>
  </si>
  <si>
    <t>年度巨惠小礼</t>
  </si>
  <si>
    <t>1,0,2666</t>
  </si>
  <si>
    <t>2025双十一</t>
  </si>
  <si>
    <t>年度巨惠中礼</t>
  </si>
  <si>
    <t>1,0,6888</t>
  </si>
  <si>
    <t>年度巨惠大礼</t>
  </si>
  <si>
    <t>1,0,16888</t>
  </si>
  <si>
    <t>年度巨惠豪礼</t>
  </si>
  <si>
    <t>1,0,31666</t>
  </si>
  <si>
    <t>空岛惊喜礼</t>
  </si>
  <si>
    <t>1001,931125,1;1001,931126,1</t>
  </si>
  <si>
    <t>2025空岛</t>
  </si>
  <si>
    <t>空岛珍贵礼</t>
  </si>
  <si>
    <t>1001,931125,4;1001,931126,4</t>
  </si>
  <si>
    <t>空岛珍藏礼</t>
  </si>
  <si>
    <t>1001,931125,18;1001,931126,18</t>
  </si>
  <si>
    <t>空岛豪华礼</t>
  </si>
  <si>
    <t>1001,931125,30;1001,931126,30</t>
  </si>
  <si>
    <t>双12限时重铸补给</t>
  </si>
  <si>
    <t>1001,216002,77;20012,0,100</t>
  </si>
  <si>
    <t>2025双十二</t>
  </si>
  <si>
    <t>双12限时洗练补给</t>
  </si>
  <si>
    <t>1001,514032,86;20012,0,100</t>
  </si>
  <si>
    <t>双12限时超值补给</t>
  </si>
  <si>
    <t>1001,215015,20;1001,215011,20;20012,0,300</t>
  </si>
  <si>
    <t>圣诞回馈礼</t>
  </si>
  <si>
    <t>1001,215011,1;1001,215015,1;1001,221011,1;20012,0,50</t>
  </si>
  <si>
    <t>2025圣诞</t>
  </si>
  <si>
    <t>圣诞珍贵礼</t>
  </si>
  <si>
    <t>20012,0,100;1001,511549,1;1001,215015,5</t>
  </si>
  <si>
    <t>圣诞豪华礼</t>
  </si>
  <si>
    <t>20012,0,1225;1001,216002,320</t>
  </si>
  <si>
    <t>新年如意礼包</t>
  </si>
  <si>
    <t>1001,619616,1</t>
  </si>
  <si>
    <t>2026新年</t>
  </si>
  <si>
    <t>新年纳福礼包</t>
  </si>
  <si>
    <t>1001,215005,200;1001,210121,50</t>
  </si>
  <si>
    <t>新年鸿运礼包·一</t>
  </si>
  <si>
    <t>1001,933001,30;1001,933002,3;1001,214003,20</t>
  </si>
  <si>
    <t>新年鸿运礼包·二</t>
  </si>
  <si>
    <t>1001,933001,80;1001,933002,8;1001,214003,50</t>
  </si>
  <si>
    <t>新年鸿运礼包·三</t>
  </si>
  <si>
    <t>1001,216002,188;1001,215015,8</t>
  </si>
  <si>
    <t>新年预热好礼·一</t>
  </si>
  <si>
    <t>1001,215005,450;1001,210121,150;1001,215007,50</t>
  </si>
  <si>
    <t>新年预热好礼·二</t>
  </si>
  <si>
    <t>1001,933002,6;1001,933001,60;1001,214003,60</t>
  </si>
  <si>
    <t>新年预热好礼·三</t>
  </si>
  <si>
    <t>1001,216002,388;20012,0,1000;1001,215015,10</t>
  </si>
  <si>
    <t>新年预热好礼·四</t>
  </si>
  <si>
    <t>1001,216002,200;20012,0,500;1001,215015,5</t>
  </si>
  <si>
    <t>新年预热好礼·五</t>
  </si>
  <si>
    <t>1001,619306,1;1001,1200001,1</t>
  </si>
  <si>
    <t>初征赠礼</t>
  </si>
  <si>
    <t>1001,215011,1;1001,216001,5</t>
  </si>
  <si>
    <t>初征启航礼A</t>
  </si>
  <si>
    <t>1001,215011,10;1001,216001,10</t>
  </si>
  <si>
    <t>初征启航礼B</t>
  </si>
  <si>
    <t>1001,221011,20;1001,216001,10</t>
  </si>
  <si>
    <t>初征启航礼C</t>
  </si>
  <si>
    <t>1001,215015,25;1001,216001,10</t>
  </si>
  <si>
    <t>周年庆典礼包</t>
  </si>
  <si>
    <t>1001,931018,1;1001,619405,1</t>
  </si>
  <si>
    <t>周年庆典礼包1</t>
  </si>
  <si>
    <t>UR招募礼包</t>
  </si>
  <si>
    <t>1001,221011,1</t>
  </si>
  <si>
    <t>周年庆典礼包2</t>
  </si>
  <si>
    <t>罗杰船员礼包</t>
  </si>
  <si>
    <t>1001,619418,1</t>
  </si>
  <si>
    <t>周年庆典礼包3</t>
  </si>
  <si>
    <t>时装任选礼包</t>
  </si>
  <si>
    <t>1001,619417,1</t>
  </si>
  <si>
    <t>周年庆典礼包4</t>
  </si>
  <si>
    <t>周年招募小礼包</t>
  </si>
  <si>
    <t>1001,221011,1;1001,215005,5;1001,216002,5</t>
  </si>
  <si>
    <t>周年庆典礼包5</t>
  </si>
  <si>
    <t>周年招募中礼包</t>
  </si>
  <si>
    <t>1001,221011,6;1001,215005,10;1001,216002,15</t>
  </si>
  <si>
    <t>周年庆典礼包6</t>
  </si>
  <si>
    <t>周年招募大礼包</t>
  </si>
  <si>
    <t>1001,221011,15;1001,215005,15;1001,216002,25;1001,511549,1</t>
  </si>
  <si>
    <t>周年庆典礼包7</t>
  </si>
  <si>
    <t>周年特大招募礼包</t>
  </si>
  <si>
    <t>1001,221011,22;1001,215005,20;1001,216002,35;1001,511549,1</t>
  </si>
  <si>
    <t>周年庆典礼包8</t>
  </si>
  <si>
    <t>周年庆典招募礼包</t>
  </si>
  <si>
    <t>1001,221011,30;1001,215005,30;1001,216002,50;1001,511588,1</t>
  </si>
  <si>
    <t>周年庆典礼包9</t>
  </si>
  <si>
    <t>金魂宝库入场礼包</t>
  </si>
  <si>
    <t>周年庆典礼包10</t>
  </si>
  <si>
    <t>海盗王时装礼包</t>
  </si>
  <si>
    <t>1001,619435,1</t>
  </si>
  <si>
    <t>周年庆典礼包11</t>
  </si>
  <si>
    <t>海盗王大时装礼包</t>
  </si>
  <si>
    <t>1001,619435,11</t>
  </si>
  <si>
    <t>周年庆典礼包12</t>
  </si>
  <si>
    <t>周年庆典礼包BI补礼包用</t>
  </si>
  <si>
    <t>1001,931107,1;1001,932035,1</t>
  </si>
  <si>
    <t>七周年嘉年华礼包</t>
  </si>
  <si>
    <t>周年招募礼包</t>
  </si>
  <si>
    <t>周年船员礼包</t>
  </si>
  <si>
    <t>1001,932033,1</t>
  </si>
  <si>
    <t>周年时装礼包</t>
  </si>
  <si>
    <t>1001,932034,1</t>
  </si>
  <si>
    <t>周年惊喜招募</t>
  </si>
  <si>
    <t>1001,221011,3</t>
  </si>
  <si>
    <t>周年特惠招募</t>
  </si>
  <si>
    <t>1001,221011,7;1001,215005,10;1001,216002,15</t>
  </si>
  <si>
    <t>周年超值招募</t>
  </si>
  <si>
    <t>1001,221011,17;1001,215005,15;1001,216002,25;1001,511549,1</t>
  </si>
  <si>
    <t>周年白银招募</t>
  </si>
  <si>
    <t>1001,221011,27;1001,215005,20;1001,216002,35;1001,511549,1</t>
  </si>
  <si>
    <t>周年黄金招募</t>
  </si>
  <si>
    <t>1001,221011,37;1001,215005,30;1001,216002,50;1001,511588,1</t>
  </si>
  <si>
    <t>三灾时装组合包</t>
  </si>
  <si>
    <t>1001,932028,1</t>
  </si>
  <si>
    <t>新禧红包</t>
  </si>
  <si>
    <t>1001,619424,1;1001,214001,5;1001,214007,5;5,0,100000</t>
  </si>
  <si>
    <t>2025-01-23 00:00:00</t>
  </si>
  <si>
    <t>2025-02-07 00:00:00</t>
  </si>
  <si>
    <t>1001,619425,1;1001,216002,5;1001,800002,2;1001,215011,1;1001,221011,1;</t>
  </si>
  <si>
    <t>自选礼包第一期</t>
  </si>
  <si>
    <t>招募红包</t>
  </si>
  <si>
    <t>1001,215011,1;1001,216001,5;1001,215007,5;5,0,180000</t>
  </si>
  <si>
    <t>JD.self.GiftPackage.80000002</t>
  </si>
  <si>
    <t>1001,221011,1;1001,216002,5;1001,511168,1;1001,619425,1;</t>
  </si>
  <si>
    <t>月卡宝库</t>
  </si>
  <si>
    <t>1001,910001,1;1001,210121,3;1001,216001,5;1001,215007,5;5,0,180000;1001,800005,3;</t>
  </si>
  <si>
    <t>JD.self.GiftPackage.80000003</t>
  </si>
  <si>
    <t>1001,619424,2;1001,216002,20;1001,511168,1;1001,215015,3;1001,215011,3;</t>
  </si>
  <si>
    <t>金魂宝库</t>
  </si>
  <si>
    <t>1001,910003,1;1001,210121,3;1001,216001,5;1001,215007,5;5,0,180000;1001,800005,3;</t>
  </si>
  <si>
    <t>JD.self.GiftPackage.80000004</t>
  </si>
  <si>
    <t>1001,619424,6;1001,216002,50;1001,511170,1;1001,215015,6;1001,215011,6;1,0,1888</t>
  </si>
  <si>
    <t>惊禧红包</t>
  </si>
  <si>
    <t>1001,619424,15;1001,216001,20;1001,215007,20;1001,210121,20;1001,720001,20;1010,0,20</t>
  </si>
  <si>
    <t>JD.self.GiftPackage.80000005</t>
  </si>
  <si>
    <t>1001,1200001,1;1001,514032,180;1001,216002,180;1001,511588,2;1001,215015,30;1001,215011,30;1001,221011,30;</t>
  </si>
  <si>
    <t>双福红包</t>
  </si>
  <si>
    <t>1001,619424,25;1001,216001,20;1001,215007,20;1001,210121,20;1001,720001,20;1010,0,20</t>
  </si>
  <si>
    <t>JD.self.GiftPackage.80000006</t>
  </si>
  <si>
    <t>1001,1200001,2;1001,511588,5;1001,216002,380;1001,215015,68;1001,215011,68;1001,221011,68;1001,514032,400;</t>
  </si>
  <si>
    <t>庆典红包</t>
  </si>
  <si>
    <t>2025-09-25 00:00:00</t>
  </si>
  <si>
    <t>2025-10-10 00:00:00</t>
  </si>
  <si>
    <t>1001,619429,1;1001,216002,5;1001,800002,2;1001,215011,1;1001,221011,1;</t>
  </si>
  <si>
    <t>自选礼包第二期</t>
  </si>
  <si>
    <t>JD.self.GiftPackage.80000008</t>
  </si>
  <si>
    <t>1001,221011,1;1001,216002,5;1001,511168,1;1001,619429,1;</t>
  </si>
  <si>
    <t>JD.self.GiftPackage.80000009</t>
  </si>
  <si>
    <t>JD.self.GiftPackage.80000010</t>
  </si>
  <si>
    <t>JD.self.GiftPackage.80000011</t>
  </si>
  <si>
    <t>1001,1200001,1;1001,514032,180;1001,216002,180;1001,511588,2;1001,215015,30;1001,215011,30;1001,221011,30;1001,617047,35;1001,933001,80;1001,933002,7;1001,619134,13</t>
  </si>
  <si>
    <t>JD.self.GiftPackage.80000012</t>
  </si>
  <si>
    <t>1001,1200001,2;1001,511588,5;1001,216002,380;1001,215015,68;1001,215011,68;1001,221011,68;1001,514032,400;1001,617047,70;1001,933001,180;1001,933002,16;1001,619134,28</t>
  </si>
  <si>
    <t>2026-02-10 00:00:00</t>
  </si>
  <si>
    <t>2026-02-25 00:00:00</t>
  </si>
  <si>
    <t>自选礼包第三期</t>
  </si>
  <si>
    <t>JD.self.GiftPackage.80000014</t>
  </si>
  <si>
    <t>JD.self.GiftPackage.80000015</t>
  </si>
  <si>
    <t>JD.self.GiftPackage.80000016</t>
  </si>
  <si>
    <t>JD.self.GiftPackage.80000017</t>
  </si>
  <si>
    <t>JD.self.GiftPackage.80000018</t>
  </si>
  <si>
    <t>1元礼包</t>
  </si>
  <si>
    <t>5,0,1</t>
  </si>
  <si>
    <t>1元补单用礼包</t>
  </si>
  <si>
    <t>12元补单用礼包</t>
  </si>
  <si>
    <t>648元补单用礼包</t>
  </si>
  <si>
    <t>1000元补单用礼包</t>
  </si>
  <si>
    <t>5000元补单用礼包</t>
  </si>
  <si>
    <t>新春惊喜招募礼</t>
  </si>
  <si>
    <r>
      <rPr>
        <sz val="10"/>
        <color theme="1"/>
        <rFont val="微软雅黑"/>
        <charset val="134"/>
      </rPr>
      <t>1001,215011,5;</t>
    </r>
    <r>
      <rPr>
        <sz val="10"/>
        <color rgb="FFFF0000"/>
        <rFont val="微软雅黑"/>
        <charset val="134"/>
      </rPr>
      <t>1001,619626,10</t>
    </r>
  </si>
  <si>
    <t>新春狂欢招募礼</t>
  </si>
  <si>
    <t>1001,215011,10;1001,619429,5</t>
  </si>
  <si>
    <t>新春庆典铸造礼</t>
  </si>
  <si>
    <t>1001,215015,10;1001,619429,10</t>
  </si>
  <si>
    <t>春节装备晋升礼</t>
  </si>
  <si>
    <t>1001,933002,3;1001,619424,5</t>
  </si>
  <si>
    <t>春节时装惊喜礼</t>
  </si>
  <si>
    <r>
      <rPr>
        <sz val="10"/>
        <color rgb="FFFF0000"/>
        <rFont val="微软雅黑"/>
        <charset val="134"/>
      </rPr>
      <t>1001,619635,1</t>
    </r>
    <r>
      <rPr>
        <sz val="10"/>
        <color theme="1"/>
        <rFont val="微软雅黑"/>
        <charset val="134"/>
      </rPr>
      <t>;1001,619424,6</t>
    </r>
  </si>
  <si>
    <t>新春洗练惊喜礼</t>
  </si>
  <si>
    <t>1001,619636,1;1001,619424,8</t>
  </si>
  <si>
    <t>新春PVE豪华礼</t>
  </si>
  <si>
    <t>1001,619632,3;1001,619633,1</t>
  </si>
  <si>
    <t>2026春节</t>
  </si>
  <si>
    <t>新春狂欢彩钻礼·一</t>
  </si>
  <si>
    <t>1,0,2026</t>
  </si>
  <si>
    <t>新春狂欢彩钻礼·二</t>
  </si>
  <si>
    <t>1,0,8888</t>
  </si>
  <si>
    <t>新春狂欢彩钻礼·三</t>
  </si>
  <si>
    <t>1,0,18888</t>
  </si>
  <si>
    <t>新春限定卡牌礼</t>
  </si>
  <si>
    <t>1001,619634,1</t>
  </si>
  <si>
    <t>马到成功佳节礼</t>
  </si>
  <si>
    <t>1001,216002,7888;20012,0,8999;1001,619646,1</t>
  </si>
  <si>
    <t>一马当先佳节礼</t>
  </si>
  <si>
    <t>1001,216002,3888;1001,619442,300</t>
  </si>
  <si>
    <t>新禧送福佳节礼</t>
  </si>
  <si>
    <t>1001,619306,12;1001,1200001,12;1001,619646,1;</t>
  </si>
  <si>
    <t>新春宝箱礼</t>
  </si>
  <si>
    <t>1001,931131,11;1001,931130,11</t>
  </si>
  <si>
    <t>玩家</t>
  </si>
  <si>
    <t>角色</t>
  </si>
  <si>
    <t>战斗</t>
  </si>
  <si>
    <t>冒险</t>
  </si>
  <si>
    <t>商业</t>
  </si>
  <si>
    <t>竞技</t>
  </si>
  <si>
    <t>社交</t>
  </si>
  <si>
    <t>战队等级</t>
  </si>
  <si>
    <t>卡牌数量</t>
  </si>
  <si>
    <t>战斗场次</t>
  </si>
  <si>
    <t>副本通关章节数</t>
  </si>
  <si>
    <t>竞技场排名</t>
  </si>
  <si>
    <t>玩家好友数量</t>
  </si>
  <si>
    <t>成就类型</t>
  </si>
  <si>
    <t>条件类型</t>
  </si>
  <si>
    <t>描述</t>
  </si>
  <si>
    <t>累计登陆天数</t>
  </si>
  <si>
    <t>血战到达层数</t>
  </si>
  <si>
    <t>天梯积分</t>
  </si>
  <si>
    <t>公会等级</t>
  </si>
  <si>
    <t>等级</t>
  </si>
  <si>
    <t>神秘海域探索值</t>
  </si>
  <si>
    <t>亲密度等级</t>
  </si>
  <si>
    <t>突破等级</t>
  </si>
  <si>
    <t>生活技能等级</t>
  </si>
  <si>
    <t>星级</t>
  </si>
  <si>
    <t>累计在交易市场完成5次交易</t>
  </si>
  <si>
    <t>累计在交易市场完成10次交易</t>
  </si>
  <si>
    <t>累计在交易市场完成20次交易</t>
  </si>
  <si>
    <t>累计在交易市场完成30次交易</t>
  </si>
  <si>
    <t>累计在交易市场完成50次交易</t>
  </si>
  <si>
    <t>0彩钻</t>
  </si>
  <si>
    <t>彩钻红包</t>
  </si>
  <si>
    <t>高级经验卷轴</t>
  </si>
  <si>
    <t>高级秘传书</t>
  </si>
  <si>
    <t>金块</t>
  </si>
  <si>
    <t>1001,</t>
  </si>
  <si>
    <t>,</t>
  </si>
  <si>
    <t>;</t>
  </si>
  <si>
    <t>限购</t>
  </si>
  <si>
    <t>必拿</t>
  </si>
  <si>
    <t>可选</t>
  </si>
  <si>
    <t>可选数量</t>
  </si>
  <si>
    <t>6R</t>
  </si>
  <si>
    <t>强者招募券</t>
  </si>
  <si>
    <t>奥义经验卷轴</t>
  </si>
  <si>
    <t>奥义秘传书</t>
  </si>
  <si>
    <t>30R</t>
  </si>
  <si>
    <t>月卡宝库钥匙</t>
  </si>
  <si>
    <t>冲刺训练书</t>
  </si>
  <si>
    <t>突破材料宝箱</t>
  </si>
  <si>
    <t>168R</t>
  </si>
  <si>
    <t>金魂宝库钥匙</t>
  </si>
  <si>
    <t>328R</t>
  </si>
  <si>
    <t>搜魂券</t>
  </si>
  <si>
    <t>七彩原石头</t>
  </si>
  <si>
    <t>648R</t>
  </si>
  <si>
    <t>道具红包</t>
  </si>
  <si>
    <t>重铸符文石</t>
  </si>
  <si>
    <t>精致宝石袋</t>
  </si>
  <si>
    <t>UR招募券</t>
  </si>
  <si>
    <t>6级宝石任选箱</t>
  </si>
  <si>
    <t>限时铸造券</t>
  </si>
  <si>
    <t>8级宝石任选箱</t>
  </si>
  <si>
    <t>彩钻</t>
  </si>
  <si>
    <t>七彩炫光</t>
  </si>
  <si>
    <t>战船洗练石</t>
  </si>
  <si>
    <t>8级七彩宝石任选袋</t>
  </si>
  <si>
    <t>物品大类型</t>
  </si>
  <si>
    <t>物品子类型</t>
  </si>
  <si>
    <t>背包类型</t>
  </si>
  <si>
    <t>名字</t>
  </si>
  <si>
    <t>名字文本</t>
  </si>
  <si>
    <t>物品id</t>
  </si>
  <si>
    <t>描述文本</t>
  </si>
  <si>
    <t>itemType</t>
  </si>
  <si>
    <t>itemSubType</t>
  </si>
  <si>
    <t>bagType</t>
  </si>
  <si>
    <t>name</t>
  </si>
  <si>
    <t>itemId</t>
  </si>
  <si>
    <t>intro</t>
  </si>
  <si>
    <t>string(intern)</t>
  </si>
  <si>
    <t>index</t>
  </si>
  <si>
    <t>primary</t>
  </si>
  <si>
    <t>nameIndex</t>
  </si>
  <si>
    <t>introIndex</t>
  </si>
  <si>
    <t>经验卷轴</t>
  </si>
  <si>
    <t>112001</t>
  </si>
  <si>
    <t>经验道具，用于增加角色经验。</t>
  </si>
  <si>
    <t>精炼石</t>
  </si>
  <si>
    <t>装备精炼道具，用于提高装备的精炼等级。</t>
  </si>
  <si>
    <t>招募券</t>
  </si>
  <si>
    <t>招募道具，用于在招募界面进行船员招募。</t>
  </si>
  <si>
    <t>秘传书</t>
  </si>
  <si>
    <t>可以增加角色的技能点，用于技能升级。</t>
  </si>
  <si>
    <t>蓝钻</t>
  </si>
  <si>
    <t>航海王中珍贵的货币，可用于购买活动次数、商城兑换等。</t>
  </si>
  <si>
    <t>经验</t>
  </si>
  <si>
    <t>玩家和角色升级所需的经验。</t>
  </si>
  <si>
    <t>航海王中常用的货币，用于日常消费。</t>
  </si>
  <si>
    <t>千里阳光号</t>
  </si>
  <si>
    <t>由宝树亚当制成的草帽一伙的海盗船！是穿越千里大海的梦想之船。</t>
  </si>
  <si>
    <t>海军战舰</t>
  </si>
  <si>
    <t>为将目标全部粉碎的大型军舰。由海军总部中将担任指挥。</t>
  </si>
  <si>
    <t>黄金梅丽号</t>
  </si>
  <si>
    <t>伴随草帽海盗团的成长，是草帽一伙形影不离、不可或缺的伙伴。</t>
  </si>
  <si>
    <t>黑色战士号</t>
  </si>
  <si>
    <t>黑猫海盗团的船，标志就是船头的黑猫，是船长克洛的标志。</t>
  </si>
  <si>
    <t>海军军舰</t>
  </si>
  <si>
    <t>标准的海军船。装备有和总部联络用的各种电话虫。</t>
  </si>
  <si>
    <t>可爱小鸭号</t>
  </si>
  <si>
    <t>船头是一只可爱的天鹅，船帆有“2”的标志，是Mr.2的船。</t>
  </si>
  <si>
    <t>性感福克斯号</t>
  </si>
  <si>
    <t>福克斯海盗团的船。船首和海盗旗、锁链等，都是醒目的狐狸标记。</t>
  </si>
  <si>
    <t>黑胡子木筏</t>
  </si>
  <si>
    <t>黑胡子一伙的标志性木筏。在四周都设有大炮。</t>
  </si>
  <si>
    <t>九蛇海盗船</t>
  </si>
  <si>
    <t>汉库珂所率领的九蛇海盗团的船。船头设有毒蛇，保护轮船不受敌人攻击。</t>
  </si>
  <si>
    <t>雷德·佛斯号</t>
  </si>
  <si>
    <t>航行在新世界的后半段，以龙形船首为特征的杰克斯海盗团的船。</t>
  </si>
  <si>
    <t>巴拉蒂</t>
  </si>
  <si>
    <t>漂浮在“东海”上的巨大海上餐厅。除了餐厅以外，还设有宽敞的厨房和储藏间。</t>
  </si>
  <si>
    <t>革命军船</t>
  </si>
  <si>
    <t>风·格拉玛号</t>
  </si>
  <si>
    <t>在各地不断掀起叛乱的，龙率领武装组织的船。以漆黑船体和龙头船首为特征的母舰。</t>
  </si>
  <si>
    <t>戈普的军舰</t>
  </si>
  <si>
    <t>海军总部戈普的军舰。船首是只衔着骨头的狗。</t>
  </si>
  <si>
    <t>太阳海盗船</t>
  </si>
  <si>
    <t>船首是一只让人想到泰格的鲷鱼头。旗帜上的太阳刻印迎风飘扬。</t>
  </si>
  <si>
    <t>潜水艇</t>
  </si>
  <si>
    <t>极地潜水号</t>
  </si>
  <si>
    <t>罗的潜水艇，拥有先进的医疗设备。</t>
  </si>
  <si>
    <t>幽灵船</t>
  </si>
  <si>
    <t>据说是会出没在“魔鬼三角地带”的海域中，载着死者的神秘船只。</t>
  </si>
  <si>
    <t>黑桃海盗船</t>
  </si>
  <si>
    <t>艾斯做船长时的海盗船！以黑桃为背景的骷髅图案为其海盗旗标志。</t>
  </si>
  <si>
    <t>飞翔的荷兰人号</t>
  </si>
  <si>
    <t>从数百年前开始就徘徊于海底的传说中的幽灵船。不过实际上是飞翔海盗团的船只。</t>
  </si>
  <si>
    <t>莫比迪克号</t>
  </si>
  <si>
    <t>以船长为首的全体船员无一例外都是猛者。同巨大的母船一起，创立了一个时代。</t>
  </si>
  <si>
    <t>弗拉门戈号</t>
  </si>
  <si>
    <t>多弗拉门戈的战船，火烈鸟般的外形承载着唐吉坷德家族的野心。</t>
  </si>
  <si>
    <t>方舟箴言</t>
  </si>
  <si>
    <t>艾尼路的黄金战船，也是唯一能翱翔于天际的战船。</t>
  </si>
  <si>
    <t>女王妈妈吟唱者</t>
  </si>
  <si>
    <t>BIG·MOM海贼团的旗舰，承载着BIG·MOM的荣耀横行于新世界。</t>
  </si>
  <si>
    <t>前进·路飞前辈号</t>
  </si>
  <si>
    <t>前进路飞前辈号是巴尔托洛梅奥海贼团的海贼船，船长巴尔托洛梅奥是草帽海贼团的头号粉丝</t>
  </si>
  <si>
    <t>米霍克的船</t>
  </si>
  <si>
    <t>形如黑棺的船，鹰眼依靠这艘船横跨大海，独行天下。</t>
  </si>
  <si>
    <t>维多利亚朋克号</t>
  </si>
  <si>
    <t>基德海贼团的战船，恐怖的造型和凶恶的作战风格让敌人闻风丧胆。</t>
  </si>
  <si>
    <t>恶意狼号</t>
  </si>
  <si>
    <t>霍金斯海贼团的战船，船首的稻草人昭示着船长的特殊能力。</t>
  </si>
  <si>
    <t>般城丸号</t>
  </si>
  <si>
    <t>破戒僧海盗团的旗舰，船长“怪僧”乌尔基是十一名超新星之一。</t>
  </si>
  <si>
    <t>火焰坦克号</t>
  </si>
  <si>
    <t>火焰坦克海盗团旗舰，其火力之强大堪比一整支海军舰队</t>
  </si>
  <si>
    <t>战船任选</t>
  </si>
  <si>
    <t>战船任选礼盒</t>
  </si>
  <si>
    <t>从风·格拉玛号、雷德·佛斯号、九蛇海盗船、幽灵船、黑桃海盗船中任选一个战船。</t>
  </si>
  <si>
    <t>阵法任选</t>
  </si>
  <si>
    <t>阵法任选礼盒</t>
  </si>
  <si>
    <t>从激进之阵、曙光之阵、元素之阵、冲击之阵、专注之阵中任选一个阵法图纸。</t>
  </si>
  <si>
    <t>初级经验卷轴</t>
  </si>
  <si>
    <t>记录角色冒险经历的初级经验卷轴，使用后可增加角色500点角色经验。</t>
  </si>
  <si>
    <t>中级经验卷轴</t>
  </si>
  <si>
    <t>记录角色冒险经历的中级经验卷轴，使用后可增加角色1500点角色经验。</t>
  </si>
  <si>
    <t>记录角色冒险经历的高级经验卷轴，使用后可增加角色3000点角色经验。</t>
  </si>
  <si>
    <t>超级经验卷轴</t>
  </si>
  <si>
    <t>记录角色冒险经历的超级经验卷轴，使用后增加角色10000点角色经验。</t>
  </si>
  <si>
    <t>记录角色冒险经历的奥义经验卷轴，使用后增加角色30000点角色经验。</t>
  </si>
  <si>
    <t>低级精炼石</t>
  </si>
  <si>
    <t>初级精炼石</t>
  </si>
  <si>
    <t>稀有的金属矿石，可以用于提高装备精炼等级。</t>
  </si>
  <si>
    <t>中级精炼石</t>
  </si>
  <si>
    <t>高级精炼石</t>
  </si>
  <si>
    <t>超级精炼石</t>
  </si>
  <si>
    <t>由工匠们制造的刻有符号的石头，可以用于重新鉴定装备属性。</t>
  </si>
  <si>
    <t>精钢石</t>
  </si>
  <si>
    <t>由珍稀矿石淬炼而成的精钢石，可用于40级装备的宝石打孔。</t>
  </si>
  <si>
    <t>海蓝石</t>
  </si>
  <si>
    <t>由珍稀矿石淬炼而成的海蓝石，可用于50至60级装备的宝石打孔。</t>
  </si>
  <si>
    <t>钢岩石</t>
  </si>
  <si>
    <t>由珍稀矿石淬炼而成的钢岩石，可用于80级装备的宝石打孔。</t>
  </si>
  <si>
    <t>圣辉石</t>
  </si>
  <si>
    <t>由珍稀矿石淬炼而成的圣辉石，可用于100级装备的宝石打孔。</t>
  </si>
  <si>
    <t>精淬石</t>
  </si>
  <si>
    <t>稀有金属炼成的晶石，用于装备的精淬。</t>
  </si>
  <si>
    <t>古铜战魂</t>
  </si>
  <si>
    <t>承载着强大海上战士的信念，用于R品质和SR品质角色超越。</t>
  </si>
  <si>
    <t>黄金战魂</t>
  </si>
  <si>
    <t>承载着英勇海上战士的信念，用于SSR品质角色超越。</t>
  </si>
  <si>
    <t>荣耀之证</t>
  </si>
  <si>
    <t>多用于嘉奖伟大的海上战士，代表着无上的荣誉，是用于角色晋升的必备道具。</t>
  </si>
  <si>
    <t>荣耀之石</t>
  </si>
  <si>
    <t>多用于嘉奖优秀的海上战士，代表着无上的荣誉，是用于角色晋升的必备道具。</t>
  </si>
  <si>
    <t>一袋金币</t>
  </si>
  <si>
    <t>一小袋鼓鼓的金币，开启获得500金币。</t>
  </si>
  <si>
    <t>一小袋鼓鼓的金币，开启获得2500金币。</t>
  </si>
  <si>
    <t>一大袋鼓鼓的金币，开启获得50000金币。</t>
  </si>
  <si>
    <t>一大袋鼓鼓的金币，开启获得100000金币。</t>
  </si>
  <si>
    <t>一袋蓝钻</t>
  </si>
  <si>
    <t>一小袋鼓鼓的蓝钻，开启获得50蓝钻。</t>
  </si>
  <si>
    <t>一袋金块</t>
  </si>
  <si>
    <t>一小袋鼓鼓的金块，开启获得5000金块。</t>
  </si>
  <si>
    <t>一大袋鼓鼓的蓝钻，开启获得500蓝钻。</t>
  </si>
  <si>
    <t>一大袋鼓鼓的金块，开启获得100000金块。</t>
  </si>
  <si>
    <t>一大袋鼓鼓的蓝钻，开启获得200蓝钻。</t>
  </si>
  <si>
    <t>初级秘传书</t>
  </si>
  <si>
    <t>记载如何更好发掘自身潜力的初级书籍，使用后角色获得2技能点数。</t>
  </si>
  <si>
    <t>中级秘传书</t>
  </si>
  <si>
    <t>记载如何更好发掘自身潜力的中级书籍，使用后角色获得4技能点数。</t>
  </si>
  <si>
    <t>记载如何更好发掘自身潜力的高级书籍，使用后角色获得6技能点数。</t>
  </si>
  <si>
    <t>记载如何更好发掘自身潜力的奥义书籍，使用后角色获得8技能点数。</t>
  </si>
  <si>
    <t>觉醒秘传书</t>
  </si>
  <si>
    <t>晋升后使用的秘传书，使用后角色获得10技能点数。</t>
  </si>
  <si>
    <t>极意秘传书</t>
  </si>
  <si>
    <t>记载如何更好发掘自身潜力的极意书籍，使用后角色获得2技能点数。</t>
  </si>
  <si>
    <t>英雄之石</t>
  </si>
  <si>
    <t>由多种稀有的矿石熔炼而成的英雄之石，用于装备精炼。</t>
  </si>
  <si>
    <t>技能重置书</t>
  </si>
  <si>
    <t>记录着神秘信息的书本，可以使角色忘记学过的技能，重置角色所有的技能点。</t>
  </si>
  <si>
    <t>玩家改名卡</t>
  </si>
  <si>
    <t>拥有神秘力量的卡片，可以用于更改冒险者的名字。</t>
  </si>
  <si>
    <t>普通招募券</t>
  </si>
  <si>
    <t>普通的酒馆招募券，可以在酒馆进行普通招募。</t>
  </si>
  <si>
    <t>高级的酒馆使用券，可以在酒馆进行强者招募。</t>
  </si>
  <si>
    <t>精选招募券</t>
  </si>
  <si>
    <t>精选的酒馆使用券，可以在酒馆进行精选招募。</t>
  </si>
  <si>
    <t>夺宝券</t>
  </si>
  <si>
    <t>高级的夺宝券，可以在拼图活动中抽取拼图碎片。</t>
  </si>
  <si>
    <t>晋升招募券</t>
  </si>
  <si>
    <t>精致的酒馆使用券，可以在酒馆进行晋升招募。（80级及以上玩家可进行晋升招募）</t>
  </si>
  <si>
    <t>赐福符</t>
  </si>
  <si>
    <t>节日活动道具，可以在家园的樱花树下赐福</t>
  </si>
  <si>
    <t>限定招募券</t>
  </si>
  <si>
    <t>限定招募的使用券，可以在酒馆进行限定招募。</t>
  </si>
  <si>
    <t>限定UR角色招募券，可在UR招募中进行角色招募。</t>
  </si>
  <si>
    <t>电话虫</t>
  </si>
  <si>
    <t>向全世界发布信息的电话虫，使用后可以让所有的玩家听到自己的声音。</t>
  </si>
  <si>
    <t>珍珠</t>
  </si>
  <si>
    <t>增加角色100点亲密度。</t>
  </si>
  <si>
    <t>幻彩水晶</t>
  </si>
  <si>
    <t>增加角色150点亲密度。</t>
  </si>
  <si>
    <t>冒险指南</t>
  </si>
  <si>
    <t>增加角色200点亲密度。</t>
  </si>
  <si>
    <t>荣誉勋章</t>
  </si>
  <si>
    <t>增加角色400点亲密度。</t>
  </si>
  <si>
    <t>公会改名卡</t>
  </si>
  <si>
    <t>可以用于更改公会名称的卡片，仅公会会长可以使用；该道具与公会管理员对话使用。</t>
  </si>
  <si>
    <t>装备精炼提升道具</t>
  </si>
  <si>
    <t>古铜锭</t>
  </si>
  <si>
    <t>少量提升精炼成功率。</t>
  </si>
  <si>
    <t>锡铁锭</t>
  </si>
  <si>
    <t>部分提升精炼成功率。</t>
  </si>
  <si>
    <t>精金锭</t>
  </si>
  <si>
    <t>较高提升精炼成功率。</t>
  </si>
  <si>
    <t>在限时武器店使用的铸造券，可以通过限时铸造获得装备。</t>
  </si>
  <si>
    <t>船只加点</t>
  </si>
  <si>
    <t>初级改造图纸</t>
  </si>
  <si>
    <t>增加战船1点改造点数。</t>
  </si>
  <si>
    <t>中级改造图纸</t>
  </si>
  <si>
    <t>增加战船2点改造点数。</t>
  </si>
  <si>
    <t>高级改造图纸</t>
  </si>
  <si>
    <t>增加战船3点改造点数。</t>
  </si>
  <si>
    <t>超级改造图纸</t>
  </si>
  <si>
    <t>增加战船5点改造点数。</t>
  </si>
  <si>
    <t>黄金之匙</t>
  </si>
  <si>
    <t>可以用于开启黄金试炼的钥匙，每次开启时间持续20分钟。</t>
  </si>
  <si>
    <t>勇者之匙</t>
  </si>
  <si>
    <t>可以用于开启勇者试炼的钥匙，每次开启时间持续20分钟。</t>
  </si>
  <si>
    <t>克比碎片</t>
  </si>
  <si>
    <t>可比碎片</t>
  </si>
  <si>
    <t>记载可比经历的碎片，集齐10个可合成可比。</t>
  </si>
  <si>
    <t>斧手蒙卡碎片</t>
  </si>
  <si>
    <t>摩根碎片</t>
  </si>
  <si>
    <t>记载摩根经历的碎片，集齐10个可合成摩根。</t>
  </si>
  <si>
    <t>卡巴奇碎片</t>
  </si>
  <si>
    <t>记载卡巴奇经历的碎片，集齐10个可合成卡巴奇。</t>
  </si>
  <si>
    <t>克洛碎片</t>
  </si>
  <si>
    <t>记载克洛经历的碎片，集齐10个可合成克洛。</t>
  </si>
  <si>
    <t>强高碎片</t>
  </si>
  <si>
    <t>记载强高经历的碎片，集齐10个可合成强高。</t>
  </si>
  <si>
    <t>克里克碎片</t>
  </si>
  <si>
    <t>记载克里克经历的碎片，集齐10个可合成克里克。</t>
  </si>
  <si>
    <t>阿金碎片</t>
  </si>
  <si>
    <t>记载阿金经历的碎片，集齐10个可合成阿金。</t>
  </si>
  <si>
    <t>帕鲁碎片</t>
  </si>
  <si>
    <t>记载帕鲁经历的碎片，集齐10个可合成帕鲁。</t>
  </si>
  <si>
    <t>阿龙碎片</t>
  </si>
  <si>
    <t>记载阿龙经历的碎片，集齐10个可合成阿龙。</t>
  </si>
  <si>
    <t>阿八碎片</t>
  </si>
  <si>
    <t>小八碎片</t>
  </si>
  <si>
    <t>记载小八经历的碎片，集齐10个可合成小八。</t>
  </si>
  <si>
    <t>薇薇碎片</t>
  </si>
  <si>
    <t>记载薇薇经历的碎片，集齐10个可合成薇薇。</t>
  </si>
  <si>
    <t>Mr.5碎片</t>
  </si>
  <si>
    <t>记载Mr.5经历的碎片，集齐10个可合成Mr.5。</t>
  </si>
  <si>
    <t>瓦尔波碎片</t>
  </si>
  <si>
    <t>瓦波尔碎片</t>
  </si>
  <si>
    <t>记载瓦波尔经历的碎片，集齐10个可合成瓦波尔。</t>
  </si>
  <si>
    <r>
      <rPr>
        <sz val="11"/>
        <color theme="1"/>
        <rFont val="宋体"/>
        <charset val="134"/>
      </rPr>
      <t>M</t>
    </r>
    <r>
      <rPr>
        <sz val="11"/>
        <color theme="1"/>
        <rFont val="宋体"/>
        <charset val="134"/>
      </rPr>
      <t>r.4碎片</t>
    </r>
  </si>
  <si>
    <t>Mr.4碎片</t>
  </si>
  <si>
    <t>记载Mr.4经历的碎片，集齐10个可合成Mr.4。</t>
  </si>
  <si>
    <r>
      <rPr>
        <sz val="11"/>
        <color theme="1"/>
        <rFont val="宋体"/>
        <charset val="134"/>
      </rPr>
      <t>M</t>
    </r>
    <r>
      <rPr>
        <sz val="11"/>
        <color theme="1"/>
        <rFont val="宋体"/>
        <charset val="134"/>
      </rPr>
      <t>iss.黄金周碎片</t>
    </r>
  </si>
  <si>
    <t>Ms.黄金周碎片</t>
  </si>
  <si>
    <t>记载Ms.黄金周经历的碎片，集齐10个可合成Ms.黄金周。</t>
  </si>
  <si>
    <t>约撒碎片</t>
  </si>
  <si>
    <t>记载约撒经历的碎片，集齐10个可合成约撒。</t>
  </si>
  <si>
    <t>路飞碎片</t>
  </si>
  <si>
    <t>记载路飞经历的碎片，集齐30个可合成路飞。</t>
  </si>
  <si>
    <t>佐罗碎片</t>
  </si>
  <si>
    <t>记载佐罗经历的碎片，集齐30个可合成佐罗。</t>
  </si>
  <si>
    <t>奈美碎片</t>
  </si>
  <si>
    <t>记载奈美经历的碎片，集齐30个可合成奈美。</t>
  </si>
  <si>
    <t>撒谎布碎片</t>
  </si>
  <si>
    <t>记载撒谎布经历的碎片，集齐30个可合成撒谎布。</t>
  </si>
  <si>
    <t>山智碎片</t>
  </si>
  <si>
    <t>记载山智经历的碎片，集齐30个可合成山智。</t>
  </si>
  <si>
    <t>乔巴碎片</t>
  </si>
  <si>
    <t>记载乔巴经历的碎片，集齐30个可合成乔巴。</t>
  </si>
  <si>
    <t>罗宾碎片</t>
  </si>
  <si>
    <t>记载罗宾经历的碎片，集齐30个可合成罗宾。</t>
  </si>
  <si>
    <t>弗兰奇碎片</t>
  </si>
  <si>
    <t>记载弗兰奇经历的碎片，集齐30个可合成弗兰奇。</t>
  </si>
  <si>
    <t>布鲁克碎片</t>
  </si>
  <si>
    <t>记载布鲁克经历的碎片，集齐30个可合成布鲁克。</t>
  </si>
  <si>
    <t>巴基碎片</t>
  </si>
  <si>
    <t>巴奇碎片</t>
  </si>
  <si>
    <t>记载巴奇经历的碎片，集齐30个可合成巴奇。</t>
  </si>
  <si>
    <t>斯摩格碎片</t>
  </si>
  <si>
    <t>烟鬼碎片</t>
  </si>
  <si>
    <t>记载烟鬼经历的碎片，集齐30个可合成烟鬼。</t>
  </si>
  <si>
    <t>塔西琪碎片</t>
  </si>
  <si>
    <t>塔希米碎片</t>
  </si>
  <si>
    <t>记载塔希米经历的碎片，集齐30个可合成塔希米。</t>
  </si>
  <si>
    <t>Mr.1碎片</t>
  </si>
  <si>
    <t>记载Mr.1经历的碎片，集齐30个可合成Mr.1。</t>
  </si>
  <si>
    <t>Mr.2碎片</t>
  </si>
  <si>
    <t>记载Mr.2经历的碎片，集齐30个可合成Mr.2。</t>
  </si>
  <si>
    <t>Mr.3碎片</t>
  </si>
  <si>
    <t>记载Mr.3经历的碎片，集齐30个可合成Mr.3。</t>
  </si>
  <si>
    <r>
      <rPr>
        <sz val="11"/>
        <color theme="1"/>
        <rFont val="宋体"/>
        <charset val="134"/>
      </rPr>
      <t>M</t>
    </r>
    <r>
      <rPr>
        <sz val="11"/>
        <color theme="1"/>
        <rFont val="宋体"/>
        <charset val="134"/>
      </rPr>
      <t>iss.双手指碎片</t>
    </r>
  </si>
  <si>
    <t>Ms.双手指碎片</t>
  </si>
  <si>
    <t>记载Ms.双手指经历的碎片，集齐30个可合成Ms.双手指。</t>
  </si>
  <si>
    <t>贝拉米碎片</t>
  </si>
  <si>
    <t>贝拉密碎片</t>
  </si>
  <si>
    <t>记载贝拉密经历的碎片，集齐30个可合成贝拉密。</t>
  </si>
  <si>
    <t>瓦帕碎片</t>
  </si>
  <si>
    <t>记载瓦帕经历的碎片，集齐30个可合成瓦帕。</t>
  </si>
  <si>
    <t>杰布拉碎片</t>
  </si>
  <si>
    <t>记载杰布拉经历的碎片，集齐30个可合成杰布拉。</t>
  </si>
  <si>
    <t>佳妮法碎片</t>
  </si>
  <si>
    <t>记载佳妮法经历的碎片，集齐30个可合成佳妮法。</t>
  </si>
  <si>
    <t>卡古碎片</t>
  </si>
  <si>
    <t>记载卡古经历的碎片，集齐30个可合成卡古。</t>
  </si>
  <si>
    <t>罗布路奇碎片</t>
  </si>
  <si>
    <t>鲁兹碎片</t>
  </si>
  <si>
    <t>记载罗布·鲁兹经历的碎片，集齐30个可合成鲁兹。</t>
  </si>
  <si>
    <t>阿布萨罗姆碎片</t>
  </si>
  <si>
    <t>记载阿布萨罗姆经历的碎片，集齐30个可合成阿布萨罗姆。</t>
  </si>
  <si>
    <t>豪格巴克碎片</t>
  </si>
  <si>
    <t>记载豪格巴克经历的碎片，集齐30个可合成豪格巴克。</t>
  </si>
  <si>
    <t>佩罗娜碎片</t>
  </si>
  <si>
    <t>记载佩罗娜经历的碎片，集齐30个可合成佩罗娜。</t>
  </si>
  <si>
    <t>龙马碎片</t>
  </si>
  <si>
    <t>记载龙马经历的碎片，集齐30个可合成龙马。</t>
  </si>
  <si>
    <t>贝宝碎片</t>
  </si>
  <si>
    <t>记载贝宝经历的碎片，集齐30个可合成贝宝。</t>
  </si>
  <si>
    <t>战桃丸碎片</t>
  </si>
  <si>
    <t>记载战桃丸经历的碎片，集齐50个可合成战桃丸。</t>
  </si>
  <si>
    <t>克洛克达尔碎片</t>
  </si>
  <si>
    <t>沙·鳄鱼碎片</t>
  </si>
  <si>
    <t>记载沙·鳄鱼经历的碎片，集齐50个可合成沙·鳄鱼。</t>
  </si>
  <si>
    <t>艾尼路碎片</t>
  </si>
  <si>
    <t>记载艾尼路经历的碎片，集齐50个可合成艾尼路。</t>
  </si>
  <si>
    <t>青雉碎片</t>
  </si>
  <si>
    <t>记载青雉经历的碎片，集齐50个可合成青雉。</t>
  </si>
  <si>
    <t>蒙奇·D·戈普碎片</t>
  </si>
  <si>
    <t>戈普碎片</t>
  </si>
  <si>
    <t>记载戈普经历的碎片，集齐50个可合成戈普。</t>
  </si>
  <si>
    <t>月光·莫利亚碎片</t>
  </si>
  <si>
    <t>莫利亚碎片</t>
  </si>
  <si>
    <t>记载莫利亚经历的碎片，集齐50个可合成莫利亚。</t>
  </si>
  <si>
    <t>大熊碎片</t>
  </si>
  <si>
    <t>记载大熊经历的碎片，集齐50个可合成大熊。</t>
  </si>
  <si>
    <t>波尔萨利诺碎片</t>
  </si>
  <si>
    <t>黄猿碎片</t>
  </si>
  <si>
    <t>记载黄猿经历的碎片，集齐50个可合成黄猿。</t>
  </si>
  <si>
    <t>波特夹斯·D·艾斯碎片</t>
  </si>
  <si>
    <t>艾斯碎片</t>
  </si>
  <si>
    <t>记载艾斯经历的碎片，集齐50个可合成艾斯。</t>
  </si>
  <si>
    <t>萨卡斯基碎片</t>
  </si>
  <si>
    <t>赤犬碎片</t>
  </si>
  <si>
    <t>记载赤犬经历的碎片，集齐50个可合成赤犬。</t>
  </si>
  <si>
    <t>杰拉基尔·米霍克碎片</t>
  </si>
  <si>
    <t>米霍克碎片</t>
  </si>
  <si>
    <t>记载米霍克经历的碎片，集齐50个可合成米霍克。</t>
  </si>
  <si>
    <t>路奇碎片</t>
  </si>
  <si>
    <t>记载鲁兹经历的碎片，集齐50个可合成鲁兹。</t>
  </si>
  <si>
    <t>甚平碎片</t>
  </si>
  <si>
    <t>记载甚平经历的碎片，集齐50个可合成甚平。</t>
  </si>
  <si>
    <t>女帝碎片</t>
  </si>
  <si>
    <t>汉库珂碎片</t>
  </si>
  <si>
    <t>记载汉库珂经历的碎片，集齐50个可合成汉库珂。</t>
  </si>
  <si>
    <t>罗碎片</t>
  </si>
  <si>
    <t>记载罗经历的碎片，集齐50个可合成罗。</t>
  </si>
  <si>
    <t>基德碎片</t>
  </si>
  <si>
    <t>记载基德经历的碎片，集齐50个可合成基德。</t>
  </si>
  <si>
    <t>雷利碎片</t>
  </si>
  <si>
    <t>记载雷利经历的碎片，集齐50个可合成雷利。</t>
  </si>
  <si>
    <t>战国碎片</t>
  </si>
  <si>
    <t>记载战国经历的碎片，集齐50个可合成战国。</t>
  </si>
  <si>
    <t>萨卡斯基</t>
  </si>
  <si>
    <t>麦哲伦碎片</t>
  </si>
  <si>
    <t>记载麦哲伦经历的碎片，集齐50个可合成麦哲伦。</t>
  </si>
  <si>
    <t>伊娃碎片</t>
  </si>
  <si>
    <t>伊娃科夫碎片</t>
  </si>
  <si>
    <t>记载伊娃科夫经历的碎片，集齐50个可合成伊娃科夫。</t>
  </si>
  <si>
    <t>乔兹碎片</t>
  </si>
  <si>
    <t>记载乔兹经历的碎片，集齐50个可合成乔兹。</t>
  </si>
  <si>
    <t>白胡子碎片</t>
  </si>
  <si>
    <t>记载白胡子经历的碎片，集齐50个可合成白胡子。</t>
  </si>
  <si>
    <t>马尔高碎片</t>
  </si>
  <si>
    <t>记载马尔高经历的碎片，集齐50个可合成马尔高。</t>
  </si>
  <si>
    <t>比斯塔碎片</t>
  </si>
  <si>
    <t>记载比斯塔经历的碎片，集齐50个可合成比斯塔。</t>
  </si>
  <si>
    <t>杰克斯碎片</t>
  </si>
  <si>
    <t>记载杰克斯经历的碎片，集齐50个可合成杰克斯。</t>
  </si>
  <si>
    <t>新世界撒谎布碎片</t>
  </si>
  <si>
    <t>记载新世界撒谎布经历的碎片，集齐50个可合成新世界撒谎布。</t>
  </si>
  <si>
    <t>新世界佐罗碎片</t>
  </si>
  <si>
    <t>记载新世界佐罗经历的碎片，集齐50个可合成新世界佐罗。</t>
  </si>
  <si>
    <t>黑胡子碎片</t>
  </si>
  <si>
    <t>记载黑胡子经历的碎片，集齐50个可合成黑胡子。</t>
  </si>
  <si>
    <t>新世界奈美</t>
  </si>
  <si>
    <t>新世界奈美碎片</t>
  </si>
  <si>
    <t>记载新世界奈美经历的碎片，集齐50个可合成新世界奈美。</t>
  </si>
  <si>
    <t>新世界罗宾</t>
  </si>
  <si>
    <t>新世界罗宾碎片</t>
  </si>
  <si>
    <t>记载新世界罗宾经历的碎片，集齐50个可合成新世界罗宾。</t>
  </si>
  <si>
    <t>多弗拉门戈</t>
  </si>
  <si>
    <t>多弗拉门戈碎片</t>
  </si>
  <si>
    <t>记载多弗拉门戈经历的碎片，集齐50个可合成多弗拉门戈。</t>
  </si>
  <si>
    <t>新世界路飞碎片</t>
  </si>
  <si>
    <t>记载新世界路飞经历的碎片，集齐50个可合成新世界路飞。</t>
  </si>
  <si>
    <t>新世界烟鬼</t>
  </si>
  <si>
    <t>新世界烟鬼碎片</t>
  </si>
  <si>
    <t>记载新世界烟鬼经历的碎片，集齐50个可合成新世界烟鬼。</t>
  </si>
  <si>
    <t>新世界塔希米</t>
  </si>
  <si>
    <t>新世界塔希米碎片</t>
  </si>
  <si>
    <t>记载新世界塔希米经历的碎片，集齐50个可合成新世界塔希米。</t>
  </si>
  <si>
    <t>锦卫门</t>
  </si>
  <si>
    <t>锦卫门碎片</t>
  </si>
  <si>
    <t>记载锦卫门经历的碎片，集齐50个可合成锦卫门。</t>
  </si>
  <si>
    <t>新世界弗兰奇</t>
  </si>
  <si>
    <t>新世界弗兰奇碎片</t>
  </si>
  <si>
    <t>记载新世界弗兰奇经历的碎片，集齐50个可合成新世界弗兰奇。</t>
  </si>
  <si>
    <t>新世界布鲁克</t>
  </si>
  <si>
    <t>新世界布鲁克碎片</t>
  </si>
  <si>
    <t>记载新世界布鲁克经历的碎片，集齐50个可合成新世界布鲁克。</t>
  </si>
  <si>
    <t>新世界山智</t>
  </si>
  <si>
    <t>新世界山智碎片</t>
  </si>
  <si>
    <t>记载新世界山智经历的碎片，集齐50个可合成新世界山智。</t>
  </si>
  <si>
    <t>新世界乔巴</t>
  </si>
  <si>
    <t>新世界乔巴碎片</t>
  </si>
  <si>
    <t>记载新世界乔巴经历的碎片，集齐50个可合成新世界乔巴。</t>
  </si>
  <si>
    <t>新世界罗</t>
  </si>
  <si>
    <t>新世界罗碎片</t>
  </si>
  <si>
    <t>记载新世界罗经历的碎片，集齐50个可合成新世界罗。</t>
  </si>
  <si>
    <t>藤虎</t>
  </si>
  <si>
    <t>藤虎碎片</t>
  </si>
  <si>
    <t>记载藤虎经历的碎片，集齐50个可合成藤虎。</t>
  </si>
  <si>
    <t>卡塔库栗</t>
  </si>
  <si>
    <t>卡塔库栗碎片</t>
  </si>
  <si>
    <t>记载卡塔库栗经历的碎片，集齐50个可合成卡塔库栗。</t>
  </si>
  <si>
    <t>凯撒</t>
  </si>
  <si>
    <t>凯撒碎片</t>
  </si>
  <si>
    <t>记载凯撒经历的碎片，集齐50个可合成凯撒。</t>
  </si>
  <si>
    <t>萨波</t>
  </si>
  <si>
    <t>萨波碎片</t>
  </si>
  <si>
    <t>记载萨波经历的碎片，集齐50个可合成萨波。</t>
  </si>
  <si>
    <t>夏洛特·玲玲</t>
  </si>
  <si>
    <t>夏洛特·玲玲碎片</t>
  </si>
  <si>
    <t>记载夏洛特·玲玲经历的碎片，集齐50个可合成夏洛特·玲玲。</t>
  </si>
  <si>
    <t>苏打饼</t>
  </si>
  <si>
    <t>苏打饼碎片</t>
  </si>
  <si>
    <t>记载苏打饼经历的碎片，集齐50个可合成苏打饼。</t>
  </si>
  <si>
    <t>奶昔</t>
  </si>
  <si>
    <t>奶昔碎片</t>
  </si>
  <si>
    <t>记载奶昔经历的碎片，集齐50个可合成奶昔。</t>
  </si>
  <si>
    <t>凯多</t>
  </si>
  <si>
    <t>凯多碎片</t>
  </si>
  <si>
    <t>记载凯多经历的碎片，集齐50个可合成凯多。</t>
  </si>
  <si>
    <t>新世界库赞</t>
  </si>
  <si>
    <t>新世界库赞碎片</t>
  </si>
  <si>
    <t>记载新世界库赞经历的碎片，集齐50个可合成新世界库赞。</t>
  </si>
  <si>
    <t>新世界赤犬</t>
  </si>
  <si>
    <t>新世界赤犬碎片</t>
  </si>
  <si>
    <t>记载新世界赤犬经历的碎片，集齐50个可合成新世界赤犬。</t>
  </si>
  <si>
    <t>丽久</t>
  </si>
  <si>
    <t>丽久碎片</t>
  </si>
  <si>
    <t>记载丽久经历的碎片，集齐50个可合成丽久。</t>
  </si>
  <si>
    <t>新世界路奇碎片</t>
  </si>
  <si>
    <t>新世界鲁兹碎片</t>
  </si>
  <si>
    <t>记载新世界鲁兹经历的碎片，集齐50个可合成新世界鲁兹。</t>
  </si>
  <si>
    <t>推进城汉库珂</t>
  </si>
  <si>
    <t>推进城汉库珂碎片</t>
  </si>
  <si>
    <t>记载推进城汉库珂经历的碎片，集齐50个可合成推进城汉库珂。</t>
  </si>
  <si>
    <t>巴尔托洛梅奥</t>
  </si>
  <si>
    <t>巴尔托洛梅奥碎片</t>
  </si>
  <si>
    <t>记载巴尔托洛梅奥经历的碎片，集齐50个可合成巴尔托洛梅奥。</t>
  </si>
  <si>
    <t>新世界马尔高</t>
  </si>
  <si>
    <t>新世界马尔高碎片</t>
  </si>
  <si>
    <t>记载新世界马尔高经历的碎片，集齐50个可合成新世界马尔高。</t>
  </si>
  <si>
    <t>新世界米霍克</t>
  </si>
  <si>
    <t>新世界米霍克碎片</t>
  </si>
  <si>
    <t>记载新世界米霍克经历的碎片，集齐50个可合成新世界米霍克。</t>
  </si>
  <si>
    <t>糖糖</t>
  </si>
  <si>
    <t>糖糖碎片</t>
  </si>
  <si>
    <t>记载糖糖经历的碎片，集齐50个可合成糖糖。</t>
  </si>
  <si>
    <t>凯文迪修</t>
  </si>
  <si>
    <t>凯文迪修碎片</t>
  </si>
  <si>
    <t>记载凯文迪修经历的碎片，集齐50个可合成凯文迪修。</t>
  </si>
  <si>
    <t>光月御殿</t>
  </si>
  <si>
    <t>光月御殿碎片</t>
  </si>
  <si>
    <t>记载光月御殿经历的碎片，集齐50个可合成光月御殿。</t>
  </si>
  <si>
    <t>青年雷利</t>
  </si>
  <si>
    <t>青年雷利碎片</t>
  </si>
  <si>
    <t>记载青年雷利经历的碎片，集齐50个可合成青年雷利。</t>
  </si>
  <si>
    <t>凯罗特</t>
  </si>
  <si>
    <t>凯罗特碎片</t>
  </si>
  <si>
    <t>记载凯罗特经历的碎片，集齐50个可合成凯罗特。</t>
  </si>
  <si>
    <t>阿菊</t>
  </si>
  <si>
    <t>阿菊碎片</t>
  </si>
  <si>
    <t>记载阿菊经历的碎片，集齐50个可合成阿菊。</t>
  </si>
  <si>
    <t>baby5</t>
  </si>
  <si>
    <t>baby5碎片</t>
  </si>
  <si>
    <t>记载baby5经历的碎片，集齐50个可合成baby5。</t>
  </si>
  <si>
    <t>年轻白胡子</t>
  </si>
  <si>
    <t>年轻白胡子碎片</t>
  </si>
  <si>
    <t>记载年轻白胡子经历的碎片，集齐50个可合成年轻白胡子。</t>
  </si>
  <si>
    <t>新世界佩罗娜碎片</t>
  </si>
  <si>
    <t>记载新世界佩罗娜经历的碎片，集齐50个可合成新世界佩罗娜。</t>
  </si>
  <si>
    <t>英雄戈普碎片</t>
  </si>
  <si>
    <t>记载英雄戈普经历的碎片，集齐50个可合成英雄戈普。</t>
  </si>
  <si>
    <t>新世界黑胡子碎片</t>
  </si>
  <si>
    <t>记载新世界黑胡子经历的碎片，集齐50个可合成新世界黑胡子。</t>
  </si>
  <si>
    <t>犬岚碎片</t>
  </si>
  <si>
    <t>记载犬岚经历的碎片，集齐50个可合成犬岚。</t>
  </si>
  <si>
    <t>猫蝮蛇碎片</t>
  </si>
  <si>
    <t>记载猫蝮蛇经历的碎片，集齐50个可合成猫蝮蛇。</t>
  </si>
  <si>
    <t>布玲碎片</t>
  </si>
  <si>
    <t>记载布玲经历的碎片，集齐50个可合成布玲。</t>
  </si>
  <si>
    <t>霍金斯碎片</t>
  </si>
  <si>
    <t>记载霍金斯经历的碎片，集齐50个可合成霍金斯。</t>
  </si>
  <si>
    <t>德雷克碎片</t>
  </si>
  <si>
    <t>记载德雷克经历的碎片，集齐50个可合成德雷克。</t>
  </si>
  <si>
    <t>希流碎片</t>
  </si>
  <si>
    <t>记载希流经历的碎片，集齐50个可合成希流。</t>
  </si>
  <si>
    <t>大将战国碎片</t>
  </si>
  <si>
    <t>记载大将战国经历的碎片，集齐50个可合成大将战国。</t>
  </si>
  <si>
    <t>杰克碎片</t>
  </si>
  <si>
    <t>记载杰克经历的碎片，集齐50个可合成杰克。</t>
  </si>
  <si>
    <t>昆因碎片</t>
  </si>
  <si>
    <t>记载昆因经历的碎片，集齐50个可合成昆因。</t>
  </si>
  <si>
    <t>大和碎片</t>
  </si>
  <si>
    <t>记载大和经历的碎片，集齐50个可合成大和。</t>
  </si>
  <si>
    <t>乌塔碎片</t>
  </si>
  <si>
    <t>记载乌塔经历的碎片，集齐50个可合成乌塔。</t>
  </si>
  <si>
    <t>润媞碎片</t>
  </si>
  <si>
    <t>记载润媞经历的碎片，集齐50个可合成润媞。</t>
  </si>
  <si>
    <t>烬碎片</t>
  </si>
  <si>
    <t>记载烬经历的碎片，集齐50个可合成烬。</t>
  </si>
  <si>
    <t>佩吉旺碎片</t>
  </si>
  <si>
    <t>记载佩吉旺经历的碎片，集齐50个可合成佩吉旺。</t>
  </si>
  <si>
    <t>基拉碎片</t>
  </si>
  <si>
    <t>记载基拉经历的碎片，集齐50个可合成基拉。</t>
  </si>
  <si>
    <t>新世界基德碎片</t>
  </si>
  <si>
    <t>记载新世界基德经历的碎片，集齐50个可合成新世界基德。</t>
  </si>
  <si>
    <t>和之国罗碎片</t>
  </si>
  <si>
    <t>记载和之国罗经历的碎片，集齐50个可合成和之国罗。</t>
  </si>
  <si>
    <t>龙人凯多碎片</t>
  </si>
  <si>
    <t>记载龙人凯多经历的碎片，集齐80个可合成龙人凯多。</t>
  </si>
  <si>
    <t>花魁阿玲碎片</t>
  </si>
  <si>
    <t>记载花魁阿玲经历的碎片，集齐80个可合成花魁阿玲。</t>
  </si>
  <si>
    <t>和之国路飞碎片</t>
  </si>
  <si>
    <t>记载和之国路飞经历的碎片，集齐50个可合成和之国路飞。</t>
  </si>
  <si>
    <t>和之国罗宾碎片</t>
  </si>
  <si>
    <t>记载和之国罗宾经历的碎片，集齐50个可合成和之国罗宾。</t>
  </si>
  <si>
    <t>和之国山智碎片</t>
  </si>
  <si>
    <t>记载和之国山智经历的碎片，集齐50个可合成和之国山智。</t>
  </si>
  <si>
    <t>和之国佐罗碎片</t>
  </si>
  <si>
    <t>记载和之国佐罗经历的碎片，集齐50个可合成和之国佐罗。</t>
  </si>
  <si>
    <t>和之国乔巴碎片</t>
  </si>
  <si>
    <t>记载和之国乔巴经历的碎片，集齐50个可合成和之国乔巴。</t>
  </si>
  <si>
    <t>和之国撒谎布碎片</t>
  </si>
  <si>
    <t>记载和之国撒谎布经历的碎片，集齐50个可合成和之国撒谎布。</t>
  </si>
  <si>
    <t>和之国奈美碎片</t>
  </si>
  <si>
    <t>记载和之国奈美经历的碎片，集齐50个可合成和之国奈美。</t>
  </si>
  <si>
    <t>和之国弗兰奇碎片</t>
  </si>
  <si>
    <t>记载和之国弗兰奇经历的碎片，集齐50个可合成和之国弗兰奇。</t>
  </si>
  <si>
    <t>和之国布鲁克碎片</t>
  </si>
  <si>
    <t>记载和之国布鲁克经历的碎片，集齐50个可合成和之国布鲁克。</t>
  </si>
  <si>
    <t>和之国甚平碎片</t>
  </si>
  <si>
    <t>记载和之国甚平经历的碎片，集齐50个可合成和之国甚平。</t>
  </si>
  <si>
    <t>黑色玛利亚碎片</t>
  </si>
  <si>
    <t>记载黑色玛利亚经历的碎片，集齐50个可合成黑色玛利亚。</t>
  </si>
  <si>
    <t>罗杰碎片</t>
  </si>
  <si>
    <t>记载罗杰经历的碎片，集齐80个可合成罗杰。</t>
  </si>
  <si>
    <t>金狮子西奇碎片</t>
  </si>
  <si>
    <t>记载金狮子西奇经历的碎片，集齐50个可合成金狮子西奇。</t>
  </si>
  <si>
    <t>荞麦假面碎片</t>
  </si>
  <si>
    <t>记载荞麦假面经历的碎片，集齐50个可合成荞麦假面。</t>
  </si>
  <si>
    <t>绿牛碎片</t>
  </si>
  <si>
    <t>记载绿牛经历的碎片，集齐50个可合成荞麦假面。</t>
  </si>
  <si>
    <t>杰克斯晋升勋章</t>
  </si>
  <si>
    <t>大口真神大和碎片</t>
  </si>
  <si>
    <t>晋升功能消耗，可用于杰克斯的晋升。</t>
  </si>
  <si>
    <t>夏洛特·玲玲晋升勋章</t>
  </si>
  <si>
    <t>基德与罗碎片</t>
  </si>
  <si>
    <t>晋升功能消耗，可用于夏洛特·玲玲的晋升。\n每个勋章可兑换2个夏洛特·玲玲英雄碎片。</t>
  </si>
  <si>
    <t>黑胡子晋升勋章</t>
  </si>
  <si>
    <t>晋升功能消耗，可用于黑胡子的晋升。\n每个勋章可兑换2个黑胡子英雄碎片。</t>
  </si>
  <si>
    <t>莫利亚晋升勋章</t>
  </si>
  <si>
    <t>晋升功能消耗，可用于莫利亚的晋升。\n每个勋章可兑换2个莫利亚英雄碎片。</t>
  </si>
  <si>
    <t>精准之阵</t>
  </si>
  <si>
    <t>记载精准之阵奇妙信息的图纸，使用后可以学习精准之阵。</t>
  </si>
  <si>
    <t>会心之阵</t>
  </si>
  <si>
    <t>记载会心之阵奇妙信息的图纸，使用后可以学习会心之阵。</t>
  </si>
  <si>
    <t>平静之阵</t>
  </si>
  <si>
    <t>记载平静之阵奇妙信息的图纸，使用后可以学习平静之阵。</t>
  </si>
  <si>
    <t>疾行之阵</t>
  </si>
  <si>
    <t>记载疾行之阵奇妙信息的图纸，使用后可以学习疾行之阵。</t>
  </si>
  <si>
    <t>治愈之阵</t>
  </si>
  <si>
    <t>记载治愈之阵奇妙信息的图纸，使用后可以学习治愈之阵。</t>
  </si>
  <si>
    <t>沉稳之阵</t>
  </si>
  <si>
    <t>记载沉稳之阵奇妙信息的图纸，使用后可以学习沉稳之阵。</t>
  </si>
  <si>
    <t>狂怒之阵</t>
  </si>
  <si>
    <t>记载狂怒之阵奇妙信息的图纸，使用后可以学习狂怒之阵。</t>
  </si>
  <si>
    <t>壁垒之阵</t>
  </si>
  <si>
    <t>记载壁垒之阵奇妙信息的图纸，使用后可以学习壁垒之阵。</t>
  </si>
  <si>
    <t>激励之阵</t>
  </si>
  <si>
    <t>记载激励之阵奇妙信息的图纸，使用后可以学习激励之阵。</t>
  </si>
  <si>
    <t>战魂之阵</t>
  </si>
  <si>
    <t>记载战魂之阵奇妙信息的图纸，使用后可以学习战魂之阵。</t>
  </si>
  <si>
    <t>突袭之阵</t>
  </si>
  <si>
    <t>记载突袭之阵奇妙信息的图纸，使用后可以学习突袭之阵。</t>
  </si>
  <si>
    <t>对决之阵</t>
  </si>
  <si>
    <t>记载对决之阵奇妙信息的图纸，使用后可以学习对决之阵。</t>
  </si>
  <si>
    <t>极护之阵</t>
  </si>
  <si>
    <t>记载极护之阵奇妙信息的图纸，使用后可以学习极护之阵。</t>
  </si>
  <si>
    <t>精锐之阵</t>
  </si>
  <si>
    <t>记载精锐之阵奇妙信息的图纸，使用后可以学习精锐之阵。</t>
  </si>
  <si>
    <t>凶恶之阵</t>
  </si>
  <si>
    <t>记载凶恶之阵奇妙信息的图纸，使用后可以学习凶恶之阵。</t>
  </si>
  <si>
    <t>欢欣之阵</t>
  </si>
  <si>
    <t>记载欢欣之阵奇妙信息的图纸，使用后可以学习欢欣之阵。</t>
  </si>
  <si>
    <t>猎手之阵</t>
  </si>
  <si>
    <t>记载猎手之阵奇妙信息的图纸，使用后可以学习猎手之阵。</t>
  </si>
  <si>
    <t>灵性之阵</t>
  </si>
  <si>
    <t>记载灵性之阵奇妙信息的图纸，使用后可以学习灵性之阵。</t>
  </si>
  <si>
    <t>虚无之阵</t>
  </si>
  <si>
    <t>记载虚无之阵奇妙信息的图纸，使用后可以学习虚无之阵。</t>
  </si>
  <si>
    <t>凛冬之阵</t>
  </si>
  <si>
    <t>记载凛冬之阵奇妙信息的图纸，使用后可以学习凛冬之阵。</t>
  </si>
  <si>
    <t>雷炎之阵</t>
  </si>
  <si>
    <t>记载雷炎之阵奇妙信息的图纸，使用后可以学习雷炎之阵。</t>
  </si>
  <si>
    <t>曙光之阵</t>
  </si>
  <si>
    <t>记载曙光之阵奇妙信息的图纸，使用后可以学习曙光之阵。</t>
  </si>
  <si>
    <t>防护之阵</t>
  </si>
  <si>
    <t>记载防护之阵奇妙信息的图纸，使用后可以学习防护之阵。</t>
  </si>
  <si>
    <t>冲击之阵</t>
  </si>
  <si>
    <t>记载冲击之阵奇妙信息的图纸，使用后可以学习冲击之阵。</t>
  </si>
  <si>
    <t>进击之阵</t>
  </si>
  <si>
    <t>记载进击之阵奇妙信息的图纸，使用后可以学习进击之阵。</t>
  </si>
  <si>
    <t>元素之阵</t>
  </si>
  <si>
    <t>记载元素之阵奇妙信息的图纸，使用后可以学习元素之阵。</t>
  </si>
  <si>
    <t>专注之阵</t>
  </si>
  <si>
    <t>记载专注之阵奇妙信息的图纸，使用后可以学习专注之阵。</t>
  </si>
  <si>
    <t>激进之阵</t>
  </si>
  <si>
    <t>记载激进之阵奇妙信息的图纸，使用后可以学习激进之阵。</t>
  </si>
  <si>
    <t>冥想之阵</t>
  </si>
  <si>
    <t>记载冥想之阵奇妙信息的图纸，使用后可以学习冥想之阵。</t>
  </si>
  <si>
    <t>急速之阵</t>
  </si>
  <si>
    <t>记载急速之阵奇妙信息的图纸，使用后可以学习急速之阵。</t>
  </si>
  <si>
    <t>争霸之阵</t>
  </si>
  <si>
    <t>记载争霸之阵奇妙信息的图纸，使用后可以学习争霸之阵。</t>
  </si>
  <si>
    <t>守护之阵</t>
  </si>
  <si>
    <t>记载守护之阵奇妙信息的图纸，使用后可以学习守护之阵。</t>
  </si>
  <si>
    <t>御敌之阵</t>
  </si>
  <si>
    <t>记载御敌之阵奇妙信息的图纸，使用后可以学习御敌之阵。</t>
  </si>
  <si>
    <t>勇者之阵</t>
  </si>
  <si>
    <t>记载勇者之阵奇妙信息的图纸，使用后可以学习勇者之阵。</t>
  </si>
  <si>
    <t>毁灭之阵</t>
  </si>
  <si>
    <t>记载毁灭之阵奇妙信息的图纸，使用后可以学习毁灭之阵。</t>
  </si>
  <si>
    <t>勇士之阵</t>
  </si>
  <si>
    <t>记载勇士之阵奇妙信息的图纸，使用后可以学习勇士之阵。</t>
  </si>
  <si>
    <t>魔力之阵</t>
  </si>
  <si>
    <t>记载魔力之阵奇妙信息的图纸，使用后可以学习魔力之阵。</t>
  </si>
  <si>
    <t>幻想之阵</t>
  </si>
  <si>
    <t>记载幻想之阵奇妙信息的图纸，使用后可以学习幻想之阵。</t>
  </si>
  <si>
    <t>群免之阵</t>
  </si>
  <si>
    <t>记载群免之阵奇妙信息的图纸，使用后可以学习群免之阵。</t>
  </si>
  <si>
    <t>极伤之阵</t>
  </si>
  <si>
    <t>记载极伤之阵奇妙信息的图纸，使用后可以学习极伤之阵。</t>
  </si>
  <si>
    <t>抗敌之阵</t>
  </si>
  <si>
    <t>记载抗敌之阵奇妙信息的图纸，使用后可以学习抗敌之阵。</t>
  </si>
  <si>
    <t>对立之阵</t>
  </si>
  <si>
    <t>记载对立之阵奇妙信息的图纸，使用后可以学习对立之阵。</t>
  </si>
  <si>
    <t>豪气之阵</t>
  </si>
  <si>
    <t>记载豪气之阵奇妙信息的图纸，使用后可以学习豪气之阵。</t>
  </si>
  <si>
    <t>狂霸之阵</t>
  </si>
  <si>
    <t>记载狂霸之阵奇妙信息的图纸，使用后可以学习狂霸之阵。</t>
  </si>
  <si>
    <t>远投之阵</t>
  </si>
  <si>
    <t>记载远投之阵奇妙信息的图纸，使用后可以学习远投之阵。</t>
  </si>
  <si>
    <t>蔑视之阵</t>
  </si>
  <si>
    <t>记载蔑视之阵奇妙信息的图纸，使用后可以学习蔑视之阵。</t>
  </si>
  <si>
    <t>必杀之阵</t>
  </si>
  <si>
    <t>记载必杀之阵奇妙信息的图纸，使用后可以学习必杀之阵。</t>
  </si>
  <si>
    <t>速击之阵</t>
  </si>
  <si>
    <t>记载速击之阵奇妙信息的图纸，使用后可以学习速击之阵。</t>
  </si>
  <si>
    <t>胜佑之阵</t>
  </si>
  <si>
    <t>记载胜佑之阵奇妙信息的图纸，使用后可以学习胜佑之阵。</t>
  </si>
  <si>
    <t>守御之阵</t>
  </si>
  <si>
    <t>记载守御之阵奇妙信息的图纸，使用后可以学习守御之阵。</t>
  </si>
  <si>
    <t>破杀之阵</t>
  </si>
  <si>
    <t>记载破杀之阵奇妙信息的图纸，使用后可以学习破杀之阵。</t>
  </si>
  <si>
    <t>1级生命训练书</t>
  </si>
  <si>
    <t>1级生命训练材料，用于角色生命训练。</t>
  </si>
  <si>
    <t>2级生命训练书</t>
  </si>
  <si>
    <t>2级生命训练材料，用于角色生命训练。</t>
  </si>
  <si>
    <t>3级生命训练书</t>
  </si>
  <si>
    <t>生命训练书</t>
  </si>
  <si>
    <t>3级生命训练材料，用于角色生命训练。</t>
  </si>
  <si>
    <t>4级生命训练书</t>
  </si>
  <si>
    <t>4级生命训练材料，用于角色生命训练。</t>
  </si>
  <si>
    <t>5级生命训练书</t>
  </si>
  <si>
    <t>5级生命训练材料，用于角色生命训练。</t>
  </si>
  <si>
    <t>6级生命训练书</t>
  </si>
  <si>
    <t>6级生命训练材料，用于角色生命训练。</t>
  </si>
  <si>
    <t>7级生命训练书</t>
  </si>
  <si>
    <t>7级生命训练材料，用于角色生命训练。</t>
  </si>
  <si>
    <t>8级生命训练书</t>
  </si>
  <si>
    <t>8级生命训练材料，用于角色生命训练。</t>
  </si>
  <si>
    <t>9级生命训练书</t>
  </si>
  <si>
    <t>9级生命训练材料，用于角色生命训练。</t>
  </si>
  <si>
    <t>10级生命训练书</t>
  </si>
  <si>
    <t>10级生命训练材料，用于角色生命训练。</t>
  </si>
  <si>
    <t>11级生命训练书</t>
  </si>
  <si>
    <t>11级生命训练材料，用于角色生命训练。</t>
  </si>
  <si>
    <t>12级生命训练书</t>
  </si>
  <si>
    <t>12级生命训练材料，用于角色生命训练。</t>
  </si>
  <si>
    <t>13级生命训练书</t>
  </si>
  <si>
    <t>13级生命训练材料，用于角色生命训练。</t>
  </si>
  <si>
    <t>14级生命训练书</t>
  </si>
  <si>
    <t>14级生命训练材料，用于角色生命训练。</t>
  </si>
  <si>
    <t>15级生命训练书</t>
  </si>
  <si>
    <t>15级生命训练材料，用于角色生命训练。</t>
  </si>
  <si>
    <t>生命冲刺训练书</t>
  </si>
  <si>
    <t>生命冲刺训练材料，用于角色生命冲刺训练。</t>
  </si>
  <si>
    <t>1级防御训练书</t>
  </si>
  <si>
    <t>1级防御训练材料，用于角色防御训练。</t>
  </si>
  <si>
    <t>2级防御训练书</t>
  </si>
  <si>
    <t>2级防御训练材料，用于角色防御训练。</t>
  </si>
  <si>
    <t>3级防御训练书</t>
  </si>
  <si>
    <t>防御训练书</t>
  </si>
  <si>
    <t>3级防御训练材料，用于角色防御训练。</t>
  </si>
  <si>
    <t>4级防御训练书</t>
  </si>
  <si>
    <t>4级防御训练材料，用于角色防御训练。</t>
  </si>
  <si>
    <t>5级防御训练书</t>
  </si>
  <si>
    <t>5级防御训练材料，用于角色防御训练。</t>
  </si>
  <si>
    <t>6级防御训练书</t>
  </si>
  <si>
    <t>6级防御训练材料，用于角色防御训练。</t>
  </si>
  <si>
    <t>7级防御训练书</t>
  </si>
  <si>
    <t>7级防御训练材料，用于角色防御训练。</t>
  </si>
  <si>
    <t>8级防御训练书</t>
  </si>
  <si>
    <t>8级防御训练材料，用于角色防御训练。</t>
  </si>
  <si>
    <t>9级防御训练书</t>
  </si>
  <si>
    <t>9级防御训练材料，用于角色防御训练。</t>
  </si>
  <si>
    <t>10级防御训练书</t>
  </si>
  <si>
    <t>10级防御训练材料，用于角色防御训练。</t>
  </si>
  <si>
    <t>11级防御训练书</t>
  </si>
  <si>
    <t>11级防御训练材料，用于角色防御训练。</t>
  </si>
  <si>
    <t>12级防御训练书</t>
  </si>
  <si>
    <t>12级防御训练材料，用于角色防御训练。</t>
  </si>
  <si>
    <t>13级防御训练书</t>
  </si>
  <si>
    <t>13级防御训练材料，用于角色防御训练。</t>
  </si>
  <si>
    <t>14级防御训练书</t>
  </si>
  <si>
    <t>14级防御训练材料，用于角色防御训练。</t>
  </si>
  <si>
    <t>15级防御训练书</t>
  </si>
  <si>
    <t>15级防御训练材料，用于角色防御训练。</t>
  </si>
  <si>
    <t>防御冲刺训练书</t>
  </si>
  <si>
    <t>防御冲刺训练材料，用于角色防御冲刺训练。</t>
  </si>
  <si>
    <t>1级攻击训练书</t>
  </si>
  <si>
    <t>1级攻击训练材料，用于角色攻击训练。</t>
  </si>
  <si>
    <t>2级攻击训练书</t>
  </si>
  <si>
    <t>2级攻击训练材料，用于角色攻击训练。</t>
  </si>
  <si>
    <t>3级攻击训练书</t>
  </si>
  <si>
    <t>攻击训练书</t>
  </si>
  <si>
    <t>3级攻击训练材料，用于角色攻击训练。</t>
  </si>
  <si>
    <t>4级攻击训练书</t>
  </si>
  <si>
    <t>4级攻击训练材料，用于角色攻击训练。</t>
  </si>
  <si>
    <t>5级攻击训练书</t>
  </si>
  <si>
    <t>5级攻击训练材料，用于角色攻击训练。</t>
  </si>
  <si>
    <t>6级攻击训练书</t>
  </si>
  <si>
    <t>6级攻击训练材料，用于角色攻击训练。</t>
  </si>
  <si>
    <t>7级攻击训练书</t>
  </si>
  <si>
    <t>7级攻击训练材料，用于角色攻击训练。</t>
  </si>
  <si>
    <t>8级攻击训练书</t>
  </si>
  <si>
    <t>8级攻击训练材料，用于角色攻击训练。</t>
  </si>
  <si>
    <t>9级攻击训练书</t>
  </si>
  <si>
    <t>9级攻击训练材料，用于角色攻击训练。</t>
  </si>
  <si>
    <t>10级攻击训练书</t>
  </si>
  <si>
    <t>10级攻击训练材料，用于角色攻击训练。</t>
  </si>
  <si>
    <t>11级攻击训练书</t>
  </si>
  <si>
    <t>11级攻击训练材料，用于角色攻击训练。</t>
  </si>
  <si>
    <t>12级攻击训练书</t>
  </si>
  <si>
    <t>12级攻击训练材料，用于角色攻击训练。</t>
  </si>
  <si>
    <t>13级攻击训练书</t>
  </si>
  <si>
    <t>13级攻击训练材料，用于角色攻击训练。</t>
  </si>
  <si>
    <t>14级攻击训练书</t>
  </si>
  <si>
    <t>14级攻击训练材料，用于角色攻击训练。</t>
  </si>
  <si>
    <t>15级攻击训练书</t>
  </si>
  <si>
    <t>15级攻击训练材料，用于角色攻击训练。</t>
  </si>
  <si>
    <t>攻击冲刺训练书</t>
  </si>
  <si>
    <t>攻击冲刺训练材料，用于角色攻击冲刺训练。</t>
  </si>
  <si>
    <t>1级强化训练书</t>
  </si>
  <si>
    <t>1级强化训练材料，用于角色强化训练。</t>
  </si>
  <si>
    <t>2级强化训练书</t>
  </si>
  <si>
    <t>2级强化训练材料，用于角色强化训练。</t>
  </si>
  <si>
    <t>3级强化训练书</t>
  </si>
  <si>
    <t>强化训练书</t>
  </si>
  <si>
    <t>3级强化训练材料，用于角色强化训练。</t>
  </si>
  <si>
    <t>4级强化训练书</t>
  </si>
  <si>
    <t>4级强化训练材料，用于角色强化训练。</t>
  </si>
  <si>
    <t>5级强化训练书</t>
  </si>
  <si>
    <t>5级强化训练材料，用于角色强化训练。</t>
  </si>
  <si>
    <t>6级强化训练书</t>
  </si>
  <si>
    <t>6级强化训练材料，用于角色强化训练。</t>
  </si>
  <si>
    <t>7级强化训练书</t>
  </si>
  <si>
    <t>7级强化训练材料，用于角色强化训练。</t>
  </si>
  <si>
    <t>8级强化训练书</t>
  </si>
  <si>
    <t>8级强化训练材料，用于角色强化训练。</t>
  </si>
  <si>
    <t>9级强化训练书</t>
  </si>
  <si>
    <t>9级强化训练材料，用于角色强化训练。</t>
  </si>
  <si>
    <t>10级强化训练书</t>
  </si>
  <si>
    <t>10级强化训练材料，用于角色强化训练。</t>
  </si>
  <si>
    <t>11级强化训练书</t>
  </si>
  <si>
    <t>11级强化训练材料，用于角色强化训练。</t>
  </si>
  <si>
    <t>12级强化训练书</t>
  </si>
  <si>
    <t>12级强化训练材料，用于角色强化训练。</t>
  </si>
  <si>
    <t>冲刺训练材料，用于角色冲刺训练。</t>
  </si>
  <si>
    <t>强化训练材料，用于角色强化训练。</t>
  </si>
  <si>
    <t>海岸边晶莹剔透的珍珠，采集后用于交付任务。</t>
  </si>
  <si>
    <t>贝壳</t>
  </si>
  <si>
    <t>海岸边光滑的贝壳，采集后用于交付任务。</t>
  </si>
  <si>
    <t>木材</t>
  </si>
  <si>
    <t>看着还不错的木材，采集后用于交付任务。</t>
  </si>
  <si>
    <t>野菜</t>
  </si>
  <si>
    <t>生长在野外的不知名的植物，采集后用于交付任务。</t>
  </si>
  <si>
    <t>稀有草药</t>
  </si>
  <si>
    <t>很少见的草药，用来缓解疼痛，采集后用于交付任务。</t>
  </si>
  <si>
    <t>河豚</t>
  </si>
  <si>
    <t>从浅水区域钓上来的河豚，收集后用于交付任务。</t>
  </si>
  <si>
    <t>新鲜的鱼</t>
  </si>
  <si>
    <t>地毡草</t>
  </si>
  <si>
    <t>桫椤</t>
  </si>
  <si>
    <t>紫云英</t>
  </si>
  <si>
    <t>幽灵兰</t>
  </si>
  <si>
    <t>苦檀果</t>
  </si>
  <si>
    <t>鬼针草</t>
  </si>
  <si>
    <t>从近海区域钓上来的鱼，收集后用于交付任务。</t>
  </si>
  <si>
    <t>黄帽子海盗的鞋子</t>
  </si>
  <si>
    <t>黄帽子海盗脚下穿的鞋，因为穿了太久鞋底都有点要磨穿了。还会散发出阵阵恶臭，不知道谁会要这种东西。</t>
  </si>
  <si>
    <t>黄帽子海盗的帽子</t>
  </si>
  <si>
    <t>黄帽子海盗的帽子，类似于马戏团小丑的帽子。戴起来很有喜感，也不知道一个海盗带这种帽子有什么用。</t>
  </si>
  <si>
    <t>光头海盗的裤子</t>
  </si>
  <si>
    <t>光头海盗的裤子，后打的补丁比原材料还多的一条裤子。</t>
  </si>
  <si>
    <t>光头海盗的上衣</t>
  </si>
  <si>
    <t>光头海盗的上衣，上面印有一些可爱的字母。</t>
  </si>
  <si>
    <t>被偷走的武器</t>
  </si>
  <si>
    <t>武器老板店里被偷走的武器，因为存放过久已经有一些陈旧了。</t>
  </si>
  <si>
    <t>被偷走的蔬菜</t>
  </si>
  <si>
    <t>村民们自己种植的蔬菜，经过仔细的照料长得非常好，吃起来肯定也不错。</t>
  </si>
  <si>
    <t>刺豚鱼人的武器</t>
  </si>
  <si>
    <t>刺豚鱼人的武器，长时间的战斗导致武器已经不那么锋利。</t>
  </si>
  <si>
    <t>胖鱼人的衣服</t>
  </si>
  <si>
    <t>胖鱼人的衣服，因为长久被过于肥胖的身体穿在身上已经没什么弹性了。</t>
  </si>
  <si>
    <t>阔嘴鱼人的财宝</t>
  </si>
  <si>
    <t>阔嘴鱼人的财宝，看上去很值钱，但是很可惜你卖不掉它。</t>
  </si>
  <si>
    <t>记录指针</t>
  </si>
  <si>
    <t>无名探险家的记录指针，在伟大航线航行的必须道具之一。</t>
  </si>
  <si>
    <t>无名探险家的衣服</t>
  </si>
  <si>
    <t>无名探险家的衣服，虽然有些陈旧但是却意外的干净整洁。</t>
  </si>
  <si>
    <t>小胡子海盗的裤子</t>
  </si>
  <si>
    <t>从小胡子海盗背包里缴获的裤子，大小非常的不合适，很明显是从别人手里抢来的裤子。</t>
  </si>
  <si>
    <t>小胡子海盗的上衣</t>
  </si>
  <si>
    <t>从小胡子海盗那里缴获的上衣，大小和风格明显不是他的。</t>
  </si>
  <si>
    <t>慌张海盗的食物</t>
  </si>
  <si>
    <t>慌张海盗被夺走的食物，放的时间有点久，已经不那么新鲜了。这种东西吃下去肯定会不舒服的吧。</t>
  </si>
  <si>
    <t>慌张海盗的衣服</t>
  </si>
  <si>
    <t>慌张海盗被夺走的衣服，又旧又破打满补丁。竟然还有人要抢，太可怕了。</t>
  </si>
  <si>
    <t>慌张海盗的裤子</t>
  </si>
  <si>
    <t>慌张海盗被夺走的裤子，又旧又破打满补丁。竟然还有人要抢，太可怕了。</t>
  </si>
  <si>
    <t>慌张海盗的鞋</t>
  </si>
  <si>
    <t>慌张海盗被夺走的鞋，隔着好几米都能闻到上面散发的臭味。</t>
  </si>
  <si>
    <t>慌张海盗的武器</t>
  </si>
  <si>
    <t>慌张海盗被夺走的武器，并不是什么很好的武器，但是保养的很不错。武器的主人应该很珍惜它吧。</t>
  </si>
  <si>
    <t>戏剧头海盗的武器</t>
  </si>
  <si>
    <t>扎辫子的海盗的武器</t>
  </si>
  <si>
    <t>落难海盗的衣服</t>
  </si>
  <si>
    <t>落难海盗被夺走的的衣服，已经不是很新，长时间的清洗导致已经泛白。</t>
  </si>
  <si>
    <t>落难海盗的裤子</t>
  </si>
  <si>
    <t>落难海盗被夺走的裤子，上面沾满了污渍，看来裤子的主人对它并不是很友好。</t>
  </si>
  <si>
    <t>落难海盗的武器</t>
  </si>
  <si>
    <t>落难海盗被夺走的武器，磨损的非常厉害。</t>
  </si>
  <si>
    <t>落难海盗的鞋子</t>
  </si>
  <si>
    <t>落难海盗的鞋子，鞋底已经快磨穿了，味道也是非常大。</t>
  </si>
  <si>
    <t>散落的货物</t>
  </si>
  <si>
    <t>远行商人遗落在路上的货物，包装的箱子还很完好。</t>
  </si>
  <si>
    <t>矿石</t>
  </si>
  <si>
    <t>坚硬的石材，可以用来修建房屋或者围墙。</t>
  </si>
  <si>
    <t>便当</t>
  </si>
  <si>
    <t>美味的海盗便当，制作的厨师手艺肯定很棒！</t>
  </si>
  <si>
    <t>酒</t>
  </si>
  <si>
    <t>钓具</t>
  </si>
  <si>
    <t>渔民的钓具</t>
  </si>
  <si>
    <t>石子</t>
  </si>
  <si>
    <t>圆形的小石子，拿来当弹弓的子弹太适合不过了。</t>
  </si>
  <si>
    <t>肥料</t>
  </si>
  <si>
    <t>种植蔬菜或者药材所需要的肥料，别名金坷垃，用了都说好！</t>
  </si>
  <si>
    <t>食物（连续支线）</t>
  </si>
  <si>
    <t>食物</t>
  </si>
  <si>
    <t>丢失的货物</t>
  </si>
  <si>
    <t>宝箱</t>
  </si>
  <si>
    <t>存放着美酒的货箱</t>
  </si>
  <si>
    <t>美酒</t>
  </si>
  <si>
    <t>装满酒的货箱</t>
  </si>
  <si>
    <t>美酒，海盗们最喜爱的东西。</t>
  </si>
  <si>
    <t>白色草药根</t>
  </si>
  <si>
    <t>用于制作药品的基础材料，分解完整药材可以获得</t>
  </si>
  <si>
    <t>行李</t>
  </si>
  <si>
    <t>海盗的行李</t>
  </si>
  <si>
    <t>草药根</t>
  </si>
  <si>
    <t>稀有药草（磁鼓）</t>
  </si>
  <si>
    <t>木材（磁鼓）</t>
  </si>
  <si>
    <t>治疗伤病效果非常好的草药。</t>
  </si>
  <si>
    <t>被大雪覆盖的货物</t>
  </si>
  <si>
    <t>商人被大雪掩埋的商品。</t>
  </si>
  <si>
    <t>被夺走的衣服</t>
  </si>
  <si>
    <t>装备商人为民间护卫团准备的衣物，保暖效果很不错。</t>
  </si>
  <si>
    <t>被夺走的武器</t>
  </si>
  <si>
    <t>装备商人为民间护卫团准备的武器。</t>
  </si>
  <si>
    <t>在野外找到的装有食物的货箱。</t>
  </si>
  <si>
    <t>货物</t>
  </si>
  <si>
    <t>供水商人遗落在野外的货物。</t>
  </si>
  <si>
    <t>书写精美的航海日志</t>
  </si>
  <si>
    <t>看上去很精致的航海日志，能看出作者十分用心。</t>
  </si>
  <si>
    <t>破破烂烂的航海日志</t>
  </si>
  <si>
    <t>破破烂烂的航海日志，记录着一些无意义的日常。</t>
  </si>
  <si>
    <t>藏宝图</t>
  </si>
  <si>
    <t>一张记载着宝物位置的藏宝图。</t>
  </si>
  <si>
    <t>藏宝图的碎片</t>
  </si>
  <si>
    <t>藏宝图的碎片，完全看不出藏宝地点。</t>
  </si>
  <si>
    <t>反叛军的物资</t>
  </si>
  <si>
    <t>反叛军被夺走的物资。</t>
  </si>
  <si>
    <t>鼓鼓的麻袋</t>
  </si>
  <si>
    <t>装满物品的麻袋。</t>
  </si>
  <si>
    <t>海军士兵的衣物</t>
  </si>
  <si>
    <t>装满财宝的箱子</t>
  </si>
  <si>
    <t>据说里面的财宝价值10亿贝里，可惜你打不开。</t>
  </si>
  <si>
    <t>商人的货物</t>
  </si>
  <si>
    <t>里面都是特别值钱的货物，要是能据为己有的话肯定能让你的战力直升10万。可惜你不能据为己有。</t>
  </si>
  <si>
    <t>日常奖励</t>
  </si>
  <si>
    <t>完成日常任务将会获得大量经验卷轴并有几率获得钻石抽卡卷等稀有道具。</t>
  </si>
  <si>
    <t>20级未鉴定英雄套装箱</t>
  </si>
  <si>
    <t>每日任务奖励</t>
  </si>
  <si>
    <t>开启后可获得完整一套20级英雄套装</t>
  </si>
  <si>
    <t>40级未鉴定英雄套装箱</t>
  </si>
  <si>
    <t>开启后可获得完整一套40级英雄套装</t>
  </si>
  <si>
    <t>货箱</t>
  </si>
  <si>
    <t>20级英雄套装箱</t>
  </si>
  <si>
    <t>可用于装各种东西的大箱子</t>
  </si>
  <si>
    <t>石材</t>
  </si>
  <si>
    <t>40级英雄套装箱</t>
  </si>
  <si>
    <t>稀有种子</t>
  </si>
  <si>
    <t>木箱</t>
  </si>
  <si>
    <t>斩击贝</t>
  </si>
  <si>
    <t>被抢走的商品</t>
  </si>
  <si>
    <t>木材堆</t>
  </si>
  <si>
    <t>疗伤草药</t>
  </si>
  <si>
    <t>杂乱的木材</t>
  </si>
  <si>
    <t>空箱子</t>
  </si>
  <si>
    <t>60级未鉴定普通套装箱</t>
  </si>
  <si>
    <t>开启后可获得完整一套60级套装</t>
  </si>
  <si>
    <t>珍贵的石头</t>
  </si>
  <si>
    <t>贵重的草药</t>
  </si>
  <si>
    <t>60级普通套装箱</t>
  </si>
  <si>
    <t>隐藏的东西</t>
  </si>
  <si>
    <t>引以为豪的斧子</t>
  </si>
  <si>
    <t>薄荷</t>
  </si>
  <si>
    <t>钥匙</t>
  </si>
  <si>
    <t>重要的行李</t>
  </si>
  <si>
    <t>重要的记录</t>
  </si>
  <si>
    <t>贵妇的商品</t>
  </si>
  <si>
    <t>解毒草</t>
  </si>
  <si>
    <t>初级突破书</t>
  </si>
  <si>
    <t>角色突破道具。</t>
  </si>
  <si>
    <t>初级突破皇冠</t>
  </si>
  <si>
    <t>初级突破卷轴</t>
  </si>
  <si>
    <t>初级突破海图</t>
  </si>
  <si>
    <t>初级突破灵药</t>
  </si>
  <si>
    <t>中级突破书</t>
  </si>
  <si>
    <t>中级突破皇冠</t>
  </si>
  <si>
    <t>中级突破卷轴</t>
  </si>
  <si>
    <t>中级突破海图</t>
  </si>
  <si>
    <t>中级突破灵药</t>
  </si>
  <si>
    <t>高级突破书</t>
  </si>
  <si>
    <t>高级突破皇冠</t>
  </si>
  <si>
    <t>高级突破卷轴</t>
  </si>
  <si>
    <t>高级突破海图</t>
  </si>
  <si>
    <t>高级突破灵药</t>
  </si>
  <si>
    <t>超级突破书</t>
  </si>
  <si>
    <t>超级突破皇冠</t>
  </si>
  <si>
    <t>超级突破卷轴</t>
  </si>
  <si>
    <t>超级突破海图</t>
  </si>
  <si>
    <t>超级突破灵药</t>
  </si>
  <si>
    <t>超级突破核心</t>
  </si>
  <si>
    <t>角色突破道具，在终极挑战副本中积累挑战代币兑换获得。</t>
  </si>
  <si>
    <t>超级突破精华</t>
  </si>
  <si>
    <t>超级突破精淬</t>
  </si>
  <si>
    <t>20级装备宝箱</t>
  </si>
  <si>
    <t>打开随机获得20级装备。</t>
  </si>
  <si>
    <t>30级装备宝箱</t>
  </si>
  <si>
    <t>打开随机获得30级装备。</t>
  </si>
  <si>
    <t>40级装备宝箱</t>
  </si>
  <si>
    <t>装备宝箱</t>
  </si>
  <si>
    <t>打开随机获得40级装备。</t>
  </si>
  <si>
    <t>50级装备宝箱</t>
  </si>
  <si>
    <t>打开随机获得50级装备。</t>
  </si>
  <si>
    <t>60级装备宝箱</t>
  </si>
  <si>
    <t>打开随机获得60级装备。</t>
  </si>
  <si>
    <t>英雄套装宝箱</t>
  </si>
  <si>
    <t>打开随机获得一套60级英雄套装。</t>
  </si>
  <si>
    <t>英雄装备宝箱</t>
  </si>
  <si>
    <t>打开随机获得一件60级英雄装备。</t>
  </si>
  <si>
    <t>40英雄武器</t>
  </si>
  <si>
    <t>打开随机获得一件40级英雄武器。</t>
  </si>
  <si>
    <t>40英雄防具</t>
  </si>
  <si>
    <t>打开随机获得一件40级英雄防具。</t>
  </si>
  <si>
    <t>40英雄戒指</t>
  </si>
  <si>
    <t>完美武器宝箱</t>
  </si>
  <si>
    <t>打开随机获得一件40级英雄戒指。</t>
  </si>
  <si>
    <t>40英雄项链</t>
  </si>
  <si>
    <t>完美防具宝箱</t>
  </si>
  <si>
    <t>打开随机获得一件40级英雄项链。</t>
  </si>
  <si>
    <t>英雄武器宝箱
（只有60级的）</t>
  </si>
  <si>
    <t>完美戒指宝箱</t>
  </si>
  <si>
    <t>打开随机获得一件60级英雄武器。</t>
  </si>
  <si>
    <t>60英雄防具</t>
  </si>
  <si>
    <t>完美项链宝箱</t>
  </si>
  <si>
    <t>打开随机获得一件60级英雄防具。</t>
  </si>
  <si>
    <t>60英雄戒指</t>
  </si>
  <si>
    <t>极致武器宝箱</t>
  </si>
  <si>
    <t>打开随机获得一件60级英雄戒指。</t>
  </si>
  <si>
    <t>60英雄项链</t>
  </si>
  <si>
    <t>极致防具宝箱</t>
  </si>
  <si>
    <t>打开随机获得一件60级英雄项链。</t>
  </si>
  <si>
    <t>每日任务奖励袋子</t>
  </si>
  <si>
    <t>极致戒指宝箱</t>
  </si>
  <si>
    <t>每日任务中获得的奖励。</t>
  </si>
  <si>
    <t>讨伐任务袋子</t>
  </si>
  <si>
    <t>极致项链宝箱</t>
  </si>
  <si>
    <t>讨伐任务中获得的奖励，打开后可以随机获得道具和装备奖励。</t>
  </si>
  <si>
    <t>队长奖励袋子</t>
  </si>
  <si>
    <t>日常任务奖励</t>
  </si>
  <si>
    <t>讨伐任务中作为队长额外获得的奖励，打开后可以获得经验卷轴。</t>
  </si>
  <si>
    <t>讨伐任务奖励</t>
  </si>
  <si>
    <t>队长奖励袋</t>
  </si>
  <si>
    <t>日常任务礼包1</t>
  </si>
  <si>
    <t>打开后随机获得一件道具，有概率获得稀有道具。</t>
  </si>
  <si>
    <t>日常任务礼包20</t>
  </si>
  <si>
    <t>日常任务礼包40</t>
  </si>
  <si>
    <t>日常任务礼包</t>
  </si>
  <si>
    <t>日常任务礼包60</t>
  </si>
  <si>
    <t>讨伐任务礼包</t>
  </si>
  <si>
    <t>20英雄装备（讨伐）</t>
  </si>
  <si>
    <t>打开后随机获得一件20级英雄装备。</t>
  </si>
  <si>
    <t>40英雄装备（讨伐）</t>
  </si>
  <si>
    <t>打开后随机获得一件40级英雄装备。</t>
  </si>
  <si>
    <t>60英雄装备（讨伐）</t>
  </si>
  <si>
    <t>英雄装备箱</t>
  </si>
  <si>
    <t>打开后随机获得一件60级英雄装备。</t>
  </si>
  <si>
    <t>20装备（讨伐）</t>
  </si>
  <si>
    <t>打开随机获得一件20级装备。</t>
  </si>
  <si>
    <t>40装备（讨伐）</t>
  </si>
  <si>
    <t>打开随机获得一件40级装备。</t>
  </si>
  <si>
    <t>60装备（讨伐）</t>
  </si>
  <si>
    <t>打开随机获得一件60级装备。</t>
  </si>
  <si>
    <t>15级野外礼包</t>
  </si>
  <si>
    <t>野外挂机时掉落的特殊礼包，打开可以获得金块、经验卷轴、宝石等奖励。</t>
  </si>
  <si>
    <t>25级野外礼包</t>
  </si>
  <si>
    <t>黑市20武器</t>
  </si>
  <si>
    <t>野外礼包</t>
  </si>
  <si>
    <t>随机获得一件20级未鉴定武器。</t>
  </si>
  <si>
    <t>黑市20防具</t>
  </si>
  <si>
    <t>随机获得一件20级未鉴定防具。</t>
  </si>
  <si>
    <t>黑市20戒指</t>
  </si>
  <si>
    <t>部位：武器</t>
  </si>
  <si>
    <t>随机获得一件20级未鉴定戒指。</t>
  </si>
  <si>
    <t>黑市20项链</t>
  </si>
  <si>
    <t>部位：防具</t>
  </si>
  <si>
    <t>随机获得一件20级未鉴定项链。</t>
  </si>
  <si>
    <t>黑市40武器</t>
  </si>
  <si>
    <t>部位：戒指</t>
  </si>
  <si>
    <t>随机获得一件40级未鉴定武器。</t>
  </si>
  <si>
    <t>黑市40防具</t>
  </si>
  <si>
    <t>部位：项链</t>
  </si>
  <si>
    <t>随机获得一件40级未鉴定防具。</t>
  </si>
  <si>
    <t>黑市40戒指</t>
  </si>
  <si>
    <t>随机获得一件40级未鉴定戒指。</t>
  </si>
  <si>
    <t>黑市40项链</t>
  </si>
  <si>
    <t>随机获得一件40级未鉴定项链。</t>
  </si>
  <si>
    <t>30级英雄装备箱</t>
  </si>
  <si>
    <t>打开后获得一套30级英雄装备。</t>
  </si>
  <si>
    <t>黑市60武器</t>
  </si>
  <si>
    <t>随机获得一件60级未鉴定武器。</t>
  </si>
  <si>
    <t>黑市60防具</t>
  </si>
  <si>
    <t>随机获得一件60级未鉴定防具。</t>
  </si>
  <si>
    <t>黑市60戒指</t>
  </si>
  <si>
    <t>随机获得一件60级未鉴定戒指。</t>
  </si>
  <si>
    <t>黑市60项链</t>
  </si>
  <si>
    <t>随机获得一件60级未鉴定项链。</t>
  </si>
  <si>
    <t>30级野外礼包</t>
  </si>
  <si>
    <t>40级野外礼包</t>
  </si>
  <si>
    <t>50级野外礼包</t>
  </si>
  <si>
    <t>60级野外礼包</t>
  </si>
  <si>
    <t>英雄套装宝箱（40）</t>
  </si>
  <si>
    <t>打开后随机获得一件40级未鉴定英雄套装。</t>
  </si>
  <si>
    <t>英雄装备宝箱（40）</t>
  </si>
  <si>
    <t>打开后随机获得一件40级未鉴定英雄装备，有概率获得英雄套装。</t>
  </si>
  <si>
    <t>随机装备宝箱（40）</t>
  </si>
  <si>
    <t>打开后随机获得一件40级装备，有概率获得英雄装备及英雄套装。</t>
  </si>
  <si>
    <t>英雄套装宝箱（60）</t>
  </si>
  <si>
    <t>打开后随机获得一件60级未鉴定英雄套装。</t>
  </si>
  <si>
    <t>英雄装备宝箱（60）</t>
  </si>
  <si>
    <t>随机装备宝箱</t>
  </si>
  <si>
    <t>打开后随机获得一件60级未鉴定英雄装备，有概率获得英雄套装。</t>
  </si>
  <si>
    <t>随机装备宝箱（60）</t>
  </si>
  <si>
    <t>打开后随机获得一件60级装备，有概率获得英雄装备及英雄套装。</t>
  </si>
  <si>
    <t>随机SR礼盒</t>
  </si>
  <si>
    <t>打开后随机获得一名SR角色。</t>
  </si>
  <si>
    <t>随机SSR礼盒</t>
  </si>
  <si>
    <t>打开后随机获得一名SSR角色。</t>
  </si>
  <si>
    <t>英雄装备宝箱（50）</t>
  </si>
  <si>
    <t>打开后随机获得一件50级未鉴定英雄装备。</t>
  </si>
  <si>
    <t>黑市30武器</t>
  </si>
  <si>
    <t>随机获得一件30级未鉴定武器。</t>
  </si>
  <si>
    <t>黑市30防具</t>
  </si>
  <si>
    <t>随机获得一件30级未鉴定防具。</t>
  </si>
  <si>
    <t>黑市30戒指</t>
  </si>
  <si>
    <t>随机获得一件30级未鉴定戒指。</t>
  </si>
  <si>
    <t>黑市30项链</t>
  </si>
  <si>
    <t>随机获得一件30级未鉴定项链。</t>
  </si>
  <si>
    <t>黑市50武器</t>
  </si>
  <si>
    <t>随机获得一件50级未鉴定武器。</t>
  </si>
  <si>
    <t>黑市50防具</t>
  </si>
  <si>
    <t>随机获得一件50级未鉴定防具。</t>
  </si>
  <si>
    <t>黑市50戒指</t>
  </si>
  <si>
    <t>随机获得一件50级未鉴定戒指。</t>
  </si>
  <si>
    <t>黑市50项链</t>
  </si>
  <si>
    <t>随机获得一件50级未鉴定项链。</t>
  </si>
  <si>
    <t>黑市40英雄武器</t>
  </si>
  <si>
    <t>随机获得一件40级未鉴定英雄武器。</t>
  </si>
  <si>
    <t>黑市40英雄防具</t>
  </si>
  <si>
    <t>随机获得一件40级未鉴定英雄防具。</t>
  </si>
  <si>
    <t>黑市40英雄戒指</t>
  </si>
  <si>
    <t>随机获得一件40级未鉴定英雄戒指。</t>
  </si>
  <si>
    <t>黑市40英雄项链</t>
  </si>
  <si>
    <t>随机获得一件40级未鉴定英雄项链。</t>
  </si>
  <si>
    <t>黑市60英雄武器</t>
  </si>
  <si>
    <t>随机获得一件60级未鉴定英雄武器。</t>
  </si>
  <si>
    <t>黑市60英雄防具</t>
  </si>
  <si>
    <t>随机获得一件60级未鉴定英雄防具。</t>
  </si>
  <si>
    <t>黑市60英雄戒指</t>
  </si>
  <si>
    <t>随机获得一件60级未鉴定英雄戒指。</t>
  </si>
  <si>
    <t>黑市60英雄项链</t>
  </si>
  <si>
    <t>随机获得一件60级未鉴定英雄项链。</t>
  </si>
  <si>
    <t>随机获得一件60级未鉴定英雄装备，有概率获得一件英雄套装。</t>
  </si>
  <si>
    <t>南瓜头</t>
  </si>
  <si>
    <t>一个带着诡异微笑的南瓜头，似乎有什么神秘的作用！可用于兑换道具。</t>
  </si>
  <si>
    <t>英雄套装箱（不绑定）</t>
  </si>
  <si>
    <t>随机英雄装备箱</t>
  </si>
  <si>
    <t>随机获得一件60级未鉴定英雄套装。</t>
  </si>
  <si>
    <t>黑市60英雄武器（活动）</t>
  </si>
  <si>
    <t>黑市60英雄防具（活动）</t>
  </si>
  <si>
    <t>英雄套装箱</t>
  </si>
  <si>
    <t>黑市60英雄戒指（活动）</t>
  </si>
  <si>
    <t>未鉴定武器</t>
  </si>
  <si>
    <t>黑市60英雄项链（活动）</t>
  </si>
  <si>
    <t>未鉴定防具</t>
  </si>
  <si>
    <t>英雄套装箱（绑定）</t>
  </si>
  <si>
    <t>未鉴定戒指</t>
  </si>
  <si>
    <t>黑市80英雄武器</t>
  </si>
  <si>
    <t>未鉴定项链</t>
  </si>
  <si>
    <t>随机获得一件80级未鉴定英雄武器。</t>
  </si>
  <si>
    <t>黑市80英雄防具</t>
  </si>
  <si>
    <t>随机获得一件80级未鉴定英雄防具。</t>
  </si>
  <si>
    <t>黑市80英雄戒指</t>
  </si>
  <si>
    <t>随机获得一件80级未鉴定英雄戒指。</t>
  </si>
  <si>
    <t>黑市80英雄项链</t>
  </si>
  <si>
    <t>随机获得一件80级未鉴定英雄项链。</t>
  </si>
  <si>
    <t>黑市80武器</t>
  </si>
  <si>
    <t>随机获得一件80级未鉴定武器。</t>
  </si>
  <si>
    <t>黑市80防具</t>
  </si>
  <si>
    <t>随机获得一件80级未鉴定防具。</t>
  </si>
  <si>
    <t>黑市80戒指</t>
  </si>
  <si>
    <t>随机获得一件80级未鉴定戒指。</t>
  </si>
  <si>
    <t>黑市80项链</t>
  </si>
  <si>
    <t>随机获得一件80级未鉴定项链。</t>
  </si>
  <si>
    <t>黄金装备宝箱</t>
  </si>
  <si>
    <t>打开后可以获得一套60级黄金套装。</t>
  </si>
  <si>
    <t>队长奖励袋子80</t>
  </si>
  <si>
    <t>日常任务礼包80</t>
  </si>
  <si>
    <t>黄金套装宝箱</t>
  </si>
  <si>
    <t>80级野外礼包</t>
  </si>
  <si>
    <t>10级训练宝箱</t>
  </si>
  <si>
    <t>打开后随机获得一个10级训练道具。</t>
  </si>
  <si>
    <t>豪华套装宝箱</t>
  </si>
  <si>
    <t>随机获得一件80级未鉴定稀有英雄套装。</t>
  </si>
  <si>
    <t>精品套装宝箱</t>
  </si>
  <si>
    <t>训练宝箱</t>
  </si>
  <si>
    <t>随机获得一件80级未鉴定英雄套装。</t>
  </si>
  <si>
    <t>80级装备宝箱</t>
  </si>
  <si>
    <t>随机获得一件80级未鉴定装备。</t>
  </si>
  <si>
    <t>红包</t>
  </si>
  <si>
    <t>新年红包，会给新的一年带来好运。用于兑换道具。</t>
  </si>
  <si>
    <t>60级英雄武器</t>
  </si>
  <si>
    <t>60级英雄防具</t>
  </si>
  <si>
    <t>60级英雄戒指</t>
  </si>
  <si>
    <t>60级英雄项链</t>
  </si>
  <si>
    <t>80级英雄武器</t>
  </si>
  <si>
    <t>80级英雄防具</t>
  </si>
  <si>
    <t>日常任务礼包85</t>
  </si>
  <si>
    <t>80级英雄戒指</t>
  </si>
  <si>
    <t>队长奖励袋子85</t>
  </si>
  <si>
    <t>80级英雄项链</t>
  </si>
  <si>
    <t>85香波迪群岛声望装备箱</t>
  </si>
  <si>
    <t>打开后获得一件英雄·繁星戒指，一件英雄·繁星项链。</t>
  </si>
  <si>
    <t>85级野外礼包</t>
  </si>
  <si>
    <t>繁星宝箱</t>
  </si>
  <si>
    <t>新年红包送豪礼，开袋有惊喜~</t>
  </si>
  <si>
    <t>福字</t>
  </si>
  <si>
    <t>新年祝福送到来，使用有惊喜~</t>
  </si>
  <si>
    <t>鞭炮</t>
  </si>
  <si>
    <t>鞭炮声声响，祝福新年步步高升，可用于兑换神秘道具。</t>
  </si>
  <si>
    <t>决斗者套装箱</t>
  </si>
  <si>
    <t>打开后随机获得一件80级决斗者套装。</t>
  </si>
  <si>
    <t>打火石</t>
  </si>
  <si>
    <t>原始的生火工具，可用于燃放烟花。</t>
  </si>
  <si>
    <t>火把</t>
  </si>
  <si>
    <t>燃烧着的火把，可用于燃放高级烟花。</t>
  </si>
  <si>
    <t>玫瑰花</t>
  </si>
  <si>
    <t>炽热爱意的玫瑰，献给最亲爱的你，使用可随机获得道具。</t>
  </si>
  <si>
    <t>康乃馨</t>
  </si>
  <si>
    <t>女神们最喜欢的花朵之一，使用后可获得神秘道具。</t>
  </si>
  <si>
    <t>庆典礼盒</t>
  </si>
  <si>
    <t>【航海王：燃烧意志】半周年庆典礼盒，可以兑换道具。</t>
  </si>
  <si>
    <t>打开后可以获得一套60级黄金套装（等级达到60可开启）。</t>
  </si>
  <si>
    <t>随机SSR宝箱</t>
  </si>
  <si>
    <t>随机获得一个未拥有的SSR角色。</t>
  </si>
  <si>
    <t>随机时装宝箱</t>
  </si>
  <si>
    <t>随机获得一件未拥有的时装。</t>
  </si>
  <si>
    <t>随机套装宝箱</t>
  </si>
  <si>
    <t>柳条</t>
  </si>
  <si>
    <t>用来祭奠英灵的物品，可用来兑换神秘道具。</t>
  </si>
  <si>
    <t>新版庆典礼盒</t>
  </si>
  <si>
    <t>迎新版本庆典礼盒，使用后可获得神秘奖励</t>
  </si>
  <si>
    <t>幸运彩蛋</t>
  </si>
  <si>
    <t>使用后可获得幸运奖励。</t>
  </si>
  <si>
    <t>粽子</t>
  </si>
  <si>
    <t>端午节的必备食物，使用后获得道具。</t>
  </si>
  <si>
    <t>属性药丸盒</t>
  </si>
  <si>
    <t>使用后随机获得一个属性伤害药丸。</t>
  </si>
  <si>
    <t>抗性药剂盒</t>
  </si>
  <si>
    <t>使用后随机获得一个高级抗性药剂。</t>
  </si>
  <si>
    <t>黑市100武器</t>
  </si>
  <si>
    <t>随机获得一件100级未鉴定武器。</t>
  </si>
  <si>
    <t>黑市100防具</t>
  </si>
  <si>
    <t>随机获得一件100级未鉴定防具。</t>
  </si>
  <si>
    <t>黑市100戒指</t>
  </si>
  <si>
    <t>随机获得一件100级未鉴定戒指。</t>
  </si>
  <si>
    <t>黑市100项链</t>
  </si>
  <si>
    <t>随机获得一件100级未鉴定项链。</t>
  </si>
  <si>
    <t>黑市100英雄武器</t>
  </si>
  <si>
    <t>随机获得一件100级未鉴定英雄武器。</t>
  </si>
  <si>
    <t>黑市100英雄防具</t>
  </si>
  <si>
    <t>随机获得一件100级未鉴定英雄防具。</t>
  </si>
  <si>
    <t>黑市100英雄戒指</t>
  </si>
  <si>
    <t>随机获得一件100级未鉴定英雄戒指。</t>
  </si>
  <si>
    <t>黑市100英雄项链</t>
  </si>
  <si>
    <t>随机获得一件100级未鉴定英雄项链。</t>
  </si>
  <si>
    <t>100级小礼包</t>
  </si>
  <si>
    <t>队长奖励袋子100</t>
  </si>
  <si>
    <t>100级野外礼包</t>
  </si>
  <si>
    <t>资源找回突破绿</t>
  </si>
  <si>
    <t>打开后随机获得一个初级突破道具。</t>
  </si>
  <si>
    <t>资源找回突破蓝</t>
  </si>
  <si>
    <t>打开后随机获得一个中级突破道具。</t>
  </si>
  <si>
    <t>资源找回突破紫</t>
  </si>
  <si>
    <t>初级突破盒</t>
  </si>
  <si>
    <t>打开后随机获得一个高级突破道具。</t>
  </si>
  <si>
    <t>资源找回突破橙</t>
  </si>
  <si>
    <t>中级突破盒</t>
  </si>
  <si>
    <t>打开后随机获得一个超级突破道具。</t>
  </si>
  <si>
    <t>资源找回40级装备</t>
  </si>
  <si>
    <t>高级突破盒</t>
  </si>
  <si>
    <t>打开后随机获得一件40级装备。</t>
  </si>
  <si>
    <t>资源找回50级装备</t>
  </si>
  <si>
    <t>超级突破盒</t>
  </si>
  <si>
    <t>打开后随机获得一件50级装备，有概率获得60级装备。</t>
  </si>
  <si>
    <t>资源找回60级装备</t>
  </si>
  <si>
    <t>打开后随机获得一件60级装备。</t>
  </si>
  <si>
    <t>资源找回60级套装</t>
  </si>
  <si>
    <t>资源找回80级套装</t>
  </si>
  <si>
    <t>打开后随机获得一件80级装备。</t>
  </si>
  <si>
    <t>资源找回远征D</t>
  </si>
  <si>
    <t>打开后随机获得一件D级远征任务奖励。</t>
  </si>
  <si>
    <t>资源找回远征C</t>
  </si>
  <si>
    <t>打开后随机获得一件C级远征任务奖励。</t>
  </si>
  <si>
    <t>资源找回远征B</t>
  </si>
  <si>
    <t>远征宝箱</t>
  </si>
  <si>
    <t>打开后随机获得一件B级远征任务奖励。</t>
  </si>
  <si>
    <t>资源找回远征A</t>
  </si>
  <si>
    <t>打开后随机获得一件A级远征任务奖励。</t>
  </si>
  <si>
    <t>资源找回远征S</t>
  </si>
  <si>
    <t>打开后随机获得一件S级远征任务奖励。</t>
  </si>
  <si>
    <t>周年庆狂欢宝石礼包</t>
  </si>
  <si>
    <t>打开会随机获得 2 颗 LV5 ~ LV7的（攻击宝石，生命宝石，防御宝石，速度宝石，怒气宝石）宝石。</t>
  </si>
  <si>
    <t>春节宝石礼包</t>
  </si>
  <si>
    <t>随机训练箱</t>
  </si>
  <si>
    <t>打开后随机获得一本1级训练书。</t>
  </si>
  <si>
    <t>打开后随机获得一本2级训练书。</t>
  </si>
  <si>
    <t>无暇宝石箱·小</t>
  </si>
  <si>
    <t>打开会随机获得2颗LV1~4的（生命、攻击、防御、破击、命中、正义、骷髅、胜利、回血、吸血）宝石。</t>
  </si>
  <si>
    <t>璀璨宝石袋·小</t>
  </si>
  <si>
    <t>打开会随机获得2颗LV1~4的（生命、攻击、防御、格挡、闪避、抗暴伤、韧性、回怒、治愈、回复）宝石。</t>
  </si>
  <si>
    <t>华贵宝石箱·小</t>
  </si>
  <si>
    <t>打开会随机获得2颗LV1~4的（生命、攻击、防御、速度、暴击、暴伤、怒气、属伤、抗属伤、穿透）宝石。</t>
  </si>
  <si>
    <t>无暇宝石箱·中</t>
  </si>
  <si>
    <t>打开会随机获得2颗LV2~5的（生命、攻击、防御、破击、命中、正义、骷髅、胜利、回血、吸血）宝石。</t>
  </si>
  <si>
    <t>璀璨宝石袋·中</t>
  </si>
  <si>
    <t>打开会随机获得2颗LV2~5的（生命、攻击、防御、格挡、闪避、抗暴伤、韧性、回怒、治愈、回复）宝石。</t>
  </si>
  <si>
    <t>华贵宝石箱·中</t>
  </si>
  <si>
    <t>打开会随机获得2颗LV2~5的（生命、攻击、防御、速度、暴击、暴伤、怒气、属伤、抗属伤、穿透）宝石。</t>
  </si>
  <si>
    <t>无暇宝石箱·大</t>
  </si>
  <si>
    <t>打开会随机获得2颗LV3~7的（生命、攻击、防御、破击、命中、正义、骷髅、胜利、回血、吸血）宝石。</t>
  </si>
  <si>
    <t>璀璨宝石袋·大</t>
  </si>
  <si>
    <t>打开会随机获得2颗LV3~7的（生命、攻击、防御、格挡、闪避、抗暴伤、韧性、回怒、治愈、回复）宝石。</t>
  </si>
  <si>
    <t>华贵宝石箱·大</t>
  </si>
  <si>
    <t>打开会随机获得2颗LV3~7的（生命、攻击、防御、速度、暴击、暴伤、怒气、属伤、抗属伤、穿透）宝石。</t>
  </si>
  <si>
    <t>草药茎</t>
  </si>
  <si>
    <t>普通草药叶</t>
  </si>
  <si>
    <t>用于制作药品的高级材料，分解完整药材可以获得</t>
  </si>
  <si>
    <t>普通草药花</t>
  </si>
  <si>
    <t>普通草药果实</t>
  </si>
  <si>
    <t>石制药碾</t>
  </si>
  <si>
    <t>分解药材时需要的工具，可以在杂货店购买</t>
  </si>
  <si>
    <t>石制药杵</t>
  </si>
  <si>
    <t>泪滴草药</t>
  </si>
  <si>
    <t>制作特殊药品的稀有材料，分解完整药材可以获得。</t>
  </si>
  <si>
    <t>彩虹草药</t>
  </si>
  <si>
    <t>白色梦幻草药</t>
  </si>
  <si>
    <t>白色远古草药</t>
  </si>
  <si>
    <t>稀有草药叶</t>
  </si>
  <si>
    <t>梦幻草药</t>
  </si>
  <si>
    <t>稀有草药花</t>
  </si>
  <si>
    <t>远古草药</t>
  </si>
  <si>
    <t>稀有草药果实</t>
  </si>
  <si>
    <t>玻璃试管</t>
  </si>
  <si>
    <t>用于制作药品的工具，可以在杂货店购买</t>
  </si>
  <si>
    <t>玻璃烧瓶</t>
  </si>
  <si>
    <t>非凡草药叶</t>
  </si>
  <si>
    <t>非凡草药花</t>
  </si>
  <si>
    <t>非凡草药果实</t>
  </si>
  <si>
    <t>强化玻璃试管</t>
  </si>
  <si>
    <t>强化玻璃烧瓶</t>
  </si>
  <si>
    <t>史诗草药叶</t>
  </si>
  <si>
    <t>史诗草药花</t>
  </si>
  <si>
    <t>史诗草药果实</t>
  </si>
  <si>
    <t>水晶试管</t>
  </si>
  <si>
    <t>水晶烧瓶</t>
  </si>
  <si>
    <t>传奇草药根</t>
  </si>
  <si>
    <t>传奇草药茎</t>
  </si>
  <si>
    <t>传奇草药叶</t>
  </si>
  <si>
    <t>传奇草药花</t>
  </si>
  <si>
    <t>传奇草药果实</t>
  </si>
  <si>
    <t>黄金药碾</t>
  </si>
  <si>
    <t>黄金药杵</t>
  </si>
  <si>
    <t>虚幻草药根</t>
  </si>
  <si>
    <t>用于制作药品的传奇材料，分解完整药材可以获得</t>
  </si>
  <si>
    <t>虚幻草药茎</t>
  </si>
  <si>
    <t>虚幻草药叶</t>
  </si>
  <si>
    <t>虚幻草药花</t>
  </si>
  <si>
    <t>虚幻草药果实</t>
  </si>
  <si>
    <t>虚幻草药</t>
  </si>
  <si>
    <t>奇异种子</t>
  </si>
  <si>
    <t>用于制作药品的传奇材料。</t>
  </si>
  <si>
    <t>初级恢复药剂</t>
  </si>
  <si>
    <t>使用后全队立刻恢复20%生命，同类型道具冷却时间15秒</t>
  </si>
  <si>
    <t>高级恢复药剂</t>
  </si>
  <si>
    <t>使用后全队立刻恢复50%生命，同类型道具冷却时间15秒</t>
  </si>
  <si>
    <t>超级恢复药剂</t>
  </si>
  <si>
    <t>使用后全队立刻恢复80%生命，同类型道具冷却时间15秒</t>
  </si>
  <si>
    <t>完美恢复合剂</t>
  </si>
  <si>
    <t>使用后全队立刻恢复100%生命，同类型道具冷却时间15秒</t>
  </si>
  <si>
    <t>初级剧毒药丸</t>
  </si>
  <si>
    <t>毒属性伤害永久提升1%，每个角色使用上限30个</t>
  </si>
  <si>
    <t>初级激流药丸</t>
  </si>
  <si>
    <t>水属性伤害永久提升1%，每个角色使用上限30个</t>
  </si>
  <si>
    <t>初级烈焰药丸</t>
  </si>
  <si>
    <t>火属性伤害永久提升1%，每个角色使用上限30个</t>
  </si>
  <si>
    <t>初级寒冰药剂</t>
  </si>
  <si>
    <t>冰属性伤害永久提升1%，每个角色使用上限30个</t>
  </si>
  <si>
    <t>初级狂风药丸</t>
  </si>
  <si>
    <t>风属性伤害永久提升1%，每个角色使用上限30个</t>
  </si>
  <si>
    <t>初级雷电药丸</t>
  </si>
  <si>
    <t>初级寒冰药丸</t>
  </si>
  <si>
    <t>雷属性伤害永久提升1%，每个角色使用上限30个</t>
  </si>
  <si>
    <t>初级耀光药丸</t>
  </si>
  <si>
    <t>光属性伤害永久提升1%，每个角色使用上限30个</t>
  </si>
  <si>
    <t>初级幽暗药丸</t>
  </si>
  <si>
    <t>暗属性伤害永久提升1%，每个角色使用上限30个</t>
  </si>
  <si>
    <t>初级抗毒药剂</t>
  </si>
  <si>
    <t>受到毒属性伤害永久降低2%，每个角色使用上限30个</t>
  </si>
  <si>
    <t>初级抗火药剂</t>
  </si>
  <si>
    <t>受到火属性伤害永久降低2%，每个角色使用上限30个</t>
  </si>
  <si>
    <t>初级抗风药剂</t>
  </si>
  <si>
    <t>受到风属性伤害永久降低2%，每个角色使用上限30个</t>
  </si>
  <si>
    <t>初级抗冰药剂</t>
  </si>
  <si>
    <t>受到冰属性伤害永久降低2%，每个角色使用上限30个</t>
  </si>
  <si>
    <t>初级抗雷药剂</t>
  </si>
  <si>
    <t>受到雷属性伤害永久降低2%，每个角色使用上限30个</t>
  </si>
  <si>
    <t>初级抗光药剂</t>
  </si>
  <si>
    <t>受到光属性伤害永久降低2%，每个角色使用上限30个</t>
  </si>
  <si>
    <t>初级抗暗药剂</t>
  </si>
  <si>
    <t>受到暗属性伤害永久降低2%，每个角色使用上限30个</t>
  </si>
  <si>
    <t>初级生命药丸</t>
  </si>
  <si>
    <t>生命上限增加1000，与玩家战斗不生效，持续60分钟，同类型不可累积使用</t>
  </si>
  <si>
    <t>初级攻击药丸</t>
  </si>
  <si>
    <t>单个角色攻击增加10%，与玩家战斗不生效，持续30分钟，同类型不可累积使用</t>
  </si>
  <si>
    <t>初级防御药丸</t>
  </si>
  <si>
    <t>单个角色防御增加10%，与玩家战斗不生效，持续30分钟，同类型不可累积使用</t>
  </si>
  <si>
    <t>初级暴击药丸</t>
  </si>
  <si>
    <t>单个角色暴击增加10%，与玩家战斗不生效，持续30分钟，同类型不可累积使用</t>
  </si>
  <si>
    <t>初级韧性药丸</t>
  </si>
  <si>
    <t>单个角色韧性增加10%，与玩家战斗不生效，持续30分钟，同类型不可累积使用</t>
  </si>
  <si>
    <t>初级命中药丸</t>
  </si>
  <si>
    <t>单个角色命中增加10%，与玩家战斗不生效，持续30分钟，同类型不可累积使用</t>
  </si>
  <si>
    <t>初级闪避药丸</t>
  </si>
  <si>
    <t>单个角色闪避增加10%，与玩家战斗不生效，持续30分钟，同类型不可累积使用</t>
  </si>
  <si>
    <t>初级速度药丸</t>
  </si>
  <si>
    <t>单个角色速度增加10%，与玩家战斗不生效，持续30分钟，同类型不可累积使用</t>
  </si>
  <si>
    <t>初级丰收药剂</t>
  </si>
  <si>
    <t>战胜野怪后获得金块和经验增加10%，持续30分钟，同类型不会累积效果</t>
  </si>
  <si>
    <t>初级格挡药丸</t>
  </si>
  <si>
    <t>增加格挡值200，与玩家战斗不生效，持续60分钟，同类型不可累积使用</t>
  </si>
  <si>
    <t>初级破击药丸</t>
  </si>
  <si>
    <t>增加破击值200，与玩家战斗不生效，持续60分钟，同类型不可累积使用</t>
  </si>
  <si>
    <t>初级经验药剂</t>
  </si>
  <si>
    <t>经验获取提升10%</t>
  </si>
  <si>
    <t>初级金币药剂</t>
  </si>
  <si>
    <t>金币获取提升10%</t>
  </si>
  <si>
    <t>超级攻击药剂</t>
  </si>
  <si>
    <t>单个角色攻击增加30%，与玩家战斗不生效，持续10分钟，同类型不可累积使用</t>
  </si>
  <si>
    <t>超级治疗药剂</t>
  </si>
  <si>
    <t>单个角色治疗量增加30%，与玩家战斗不生效，持续10分钟，同类型不可累积使用</t>
  </si>
  <si>
    <t>超级增伤药剂</t>
  </si>
  <si>
    <t>单个角色攻击力永久增加10点，每个角色使用上限10个</t>
  </si>
  <si>
    <t>超级防御药剂</t>
  </si>
  <si>
    <t>单个角色伤害增加30%，与玩家战斗不生效，持续10分钟，同类型不可累积使用</t>
  </si>
  <si>
    <t xml:space="preserve">超级属伤药剂 </t>
  </si>
  <si>
    <t>单个角色防御力增加30%，与玩家战斗不生效，持续10分钟，同类型不可累积使用</t>
  </si>
  <si>
    <t>超级增强药剂</t>
  </si>
  <si>
    <t>单个角色生命永久增加40点，每个角色使用上限10个</t>
  </si>
  <si>
    <t>超级攻击合剂</t>
  </si>
  <si>
    <t>单个角色全属性伤害增加300，与玩家战斗不生效，持续10分钟，同类型不可累积使用</t>
  </si>
  <si>
    <t>超级生命合剂</t>
  </si>
  <si>
    <t>单个角色生命增加20%，与玩家战斗不生效，持续10分钟，同类型不可累积使用</t>
  </si>
  <si>
    <t>超级防御合剂</t>
  </si>
  <si>
    <t>单个角色防御永久增加2点，每个角色使用上限10个</t>
  </si>
  <si>
    <t>完美攻击合剂</t>
  </si>
  <si>
    <t>单个角色攻击永久增加16点，每个角色使用上限20个</t>
  </si>
  <si>
    <t>完美生命合剂</t>
  </si>
  <si>
    <t>单个角色生命永久增加140点，每个角色使用上限20个</t>
  </si>
  <si>
    <t>完美防御合剂</t>
  </si>
  <si>
    <t>单个角色防御永久增加6点，每个角色使用上限20个</t>
  </si>
  <si>
    <t>测试攻击药丸1</t>
  </si>
  <si>
    <t>己方角色攻击增加10%，与玩家战斗不生效，持续30分钟，同类型不可累积使用</t>
  </si>
  <si>
    <t>测试攻击药丸2</t>
  </si>
  <si>
    <t>敌方角色攻击降低10%，与玩家战斗不生效，持续30分钟，同类型不可累积使用</t>
  </si>
  <si>
    <t>测试攻击药丸3</t>
  </si>
  <si>
    <t>进入战斗后对敌方造成百分比伤害，与玩家战斗不生效，持续30分钟，同类型不可累积使用</t>
  </si>
  <si>
    <t>大型剧毒药丸</t>
  </si>
  <si>
    <t>毒属性伤害永久提升2%，每个角色使用上限30个</t>
  </si>
  <si>
    <t>大型激流药丸</t>
  </si>
  <si>
    <t>水属性伤害永久提升2%，每个角色使用上限30个</t>
  </si>
  <si>
    <t>大型烈火药丸</t>
  </si>
  <si>
    <t>超级剧毒合剂</t>
  </si>
  <si>
    <t>增加火属性伤害100，与玩家战斗不生效，持续60分钟，同类型不可累积使用</t>
  </si>
  <si>
    <t>大型寒冰药丸</t>
  </si>
  <si>
    <t>超级激流合剂</t>
  </si>
  <si>
    <t>增加冰属性伤害100，与玩家战斗不生效，持续60分钟，同类型不可累积使用</t>
  </si>
  <si>
    <t>大型暴风药丸</t>
  </si>
  <si>
    <t>增加风属性伤害100，与玩家战斗不生效，持续60分钟，同类型不可累积使用</t>
  </si>
  <si>
    <t>大型雷电药丸</t>
  </si>
  <si>
    <t>增加雷属性伤害100，与玩家战斗不生效，持续60分钟，同类型不可累积使用</t>
  </si>
  <si>
    <t>大型光明药丸</t>
  </si>
  <si>
    <t>增加光属性伤害100，与玩家战斗不生效，持续60分钟，同类型不可累积使用</t>
  </si>
  <si>
    <t>大型黑暗药丸</t>
  </si>
  <si>
    <t>增加暗属性伤害100，与玩家战斗不生效，持续60分钟，同类型不可累积使用</t>
  </si>
  <si>
    <t>高级抗毒药剂</t>
  </si>
  <si>
    <t>高级抗水药剂</t>
  </si>
  <si>
    <t>受到水属性伤害永久降低2%，每个角色使用上限30个</t>
  </si>
  <si>
    <t>高级抗火药剂</t>
  </si>
  <si>
    <t>高级抗风药剂</t>
  </si>
  <si>
    <t>高级抗冰药剂</t>
  </si>
  <si>
    <t>高级抗雷药剂</t>
  </si>
  <si>
    <t>高级抗光药剂</t>
  </si>
  <si>
    <t>高级抗暗药剂</t>
  </si>
  <si>
    <t>大型生命药丸</t>
  </si>
  <si>
    <t>高级攻击药丸</t>
  </si>
  <si>
    <t>单个角色攻击增加20%，与玩家战斗不生效，持续30分钟，同类型不会累积效果</t>
  </si>
  <si>
    <t>高级防御药丸</t>
  </si>
  <si>
    <t>单个角色防御增加20%，与玩家战斗不生效，持续30分钟，同类型不会累积效果</t>
  </si>
  <si>
    <t>高级暴击药丸</t>
  </si>
  <si>
    <t>单个角色暴击增加20%，与玩家战斗不生效，持续30分钟，同类型不会累积效果</t>
  </si>
  <si>
    <t>高级韧性药丸</t>
  </si>
  <si>
    <t>单个角色韧性增加20%，与玩家战斗不生效，持续30分钟，同类型不会累积效果</t>
  </si>
  <si>
    <t>高级命中药丸</t>
  </si>
  <si>
    <t>单个角色命中增加20%，与玩家战斗不生效，持续30分钟，同类型不会累积效果</t>
  </si>
  <si>
    <t>高级闪避药丸</t>
  </si>
  <si>
    <t>单个角色闪避增加20%，与玩家战斗不生效，持续30分钟，同类型不会累积效果</t>
  </si>
  <si>
    <t>高级速度药丸</t>
  </si>
  <si>
    <t>单个角色速度增加20%，与玩家战斗不生效，持续30分钟，同类型不会累积效果</t>
  </si>
  <si>
    <t>高级丰收药剂</t>
  </si>
  <si>
    <t>战胜野怪后获得金块和经验增加15%，持续30分钟，同类型不会累积效果</t>
  </si>
  <si>
    <t>大型格挡药丸</t>
  </si>
  <si>
    <t>增加格挡值400，与玩家战斗不生效，持续60分钟，同类型不可累积使用</t>
  </si>
  <si>
    <t>大型破击药丸</t>
  </si>
  <si>
    <t>增加破击值400，与玩家战斗不生效，持续60分钟，同类型不可累积使用</t>
  </si>
  <si>
    <t>高级经验药剂</t>
  </si>
  <si>
    <t>使用后玩家获得经验增加50%，持续24小时，同类型不会累积效果</t>
  </si>
  <si>
    <t>奥义经验药剂</t>
  </si>
  <si>
    <t>使用后玩家获得经验增加150%，持续24小时，同类型不会累积效果</t>
  </si>
  <si>
    <t>榉木</t>
  </si>
  <si>
    <t>水曲柳</t>
  </si>
  <si>
    <t>柞木</t>
  </si>
  <si>
    <t>椴木</t>
  </si>
  <si>
    <t>榆木</t>
  </si>
  <si>
    <t>木条</t>
  </si>
  <si>
    <t>铁片</t>
  </si>
  <si>
    <t>枫木</t>
  </si>
  <si>
    <t>樟木</t>
  </si>
  <si>
    <t>红松</t>
  </si>
  <si>
    <t>桦木</t>
  </si>
  <si>
    <t>柳木</t>
  </si>
  <si>
    <t>木板</t>
  </si>
  <si>
    <t>齿轮</t>
  </si>
  <si>
    <t>红衫木</t>
  </si>
  <si>
    <t>紫檀木</t>
  </si>
  <si>
    <t>白松</t>
  </si>
  <si>
    <t>楠木</t>
  </si>
  <si>
    <t>乌木</t>
  </si>
  <si>
    <t>帆布</t>
  </si>
  <si>
    <t>弹簧</t>
  </si>
  <si>
    <t>黑檀木</t>
  </si>
  <si>
    <t>水杉木</t>
  </si>
  <si>
    <t>箭毒木</t>
  </si>
  <si>
    <t>铁桦木</t>
  </si>
  <si>
    <t>铁力木</t>
  </si>
  <si>
    <t>铰链</t>
  </si>
  <si>
    <t>曲柄</t>
  </si>
  <si>
    <t>亚当宝树</t>
  </si>
  <si>
    <t>龙血木</t>
  </si>
  <si>
    <t>梧桐木</t>
  </si>
  <si>
    <t>阳树夏娃</t>
  </si>
  <si>
    <t>全知之树</t>
  </si>
  <si>
    <t>桅杆</t>
  </si>
  <si>
    <t>螺栓</t>
  </si>
  <si>
    <t>甘草胶囊</t>
  </si>
  <si>
    <t>简单快速的小剂量恢复药剂，使用后立刻恢复1000血量。（10级使用）</t>
  </si>
  <si>
    <t>蘑菇胶囊</t>
  </si>
  <si>
    <t>有恢复效果的小剂量药剂，使用后每秒恢复50点血，持续15秒。（10级使用）</t>
  </si>
  <si>
    <t>苦檀胶囊</t>
  </si>
  <si>
    <t>低级治愈胶囊</t>
  </si>
  <si>
    <t>简单快速的恢复中剂量药剂，使用后立刻恢复1500血量。（20级使用）</t>
  </si>
  <si>
    <t>薄荷喷雾</t>
  </si>
  <si>
    <t>低级治愈喷雾</t>
  </si>
  <si>
    <t>有恢复效果的中剂量药剂，使用后每秒恢复100点血，持续15秒。（20级使用）</t>
  </si>
  <si>
    <t>紫云英胶囊</t>
  </si>
  <si>
    <t>中级治愈胶囊</t>
  </si>
  <si>
    <t>简单快速的大剂量恢复药剂，使用后立刻恢复2000血量。（30级使用）</t>
  </si>
  <si>
    <t>灵息粉</t>
  </si>
  <si>
    <t>中级治愈药水</t>
  </si>
  <si>
    <t>有恢复效果的大剂量药剂，使用后每秒恢复150点血，持续15秒。（30级使用）</t>
  </si>
  <si>
    <t>普通樱桃</t>
  </si>
  <si>
    <t>高级治愈胶囊</t>
  </si>
  <si>
    <t>烹饪中需要的材料之一。</t>
  </si>
  <si>
    <t>普通柠檬</t>
  </si>
  <si>
    <t>高级治愈药粉</t>
  </si>
  <si>
    <t>普通菠萝</t>
  </si>
  <si>
    <t>普通香蕉</t>
  </si>
  <si>
    <t>普通苹果</t>
  </si>
  <si>
    <t>普通鲷鱼</t>
  </si>
  <si>
    <t>普通蛤蜊</t>
  </si>
  <si>
    <t>普通虾</t>
  </si>
  <si>
    <t>普通章鱼</t>
  </si>
  <si>
    <t>普通沙丁鱼</t>
  </si>
  <si>
    <t>普通秋刀鱼</t>
  </si>
  <si>
    <t>普通猪肉</t>
  </si>
  <si>
    <t>普通鸡肉</t>
  </si>
  <si>
    <t>普通牛肉</t>
  </si>
  <si>
    <t>普通胡萝卜</t>
  </si>
  <si>
    <t>普通鸡蛋</t>
  </si>
  <si>
    <t>普通豆芽</t>
  </si>
  <si>
    <t>普通洋葱</t>
  </si>
  <si>
    <t>普通土豆</t>
  </si>
  <si>
    <t>普通裙带菜</t>
  </si>
  <si>
    <t>普通海带</t>
  </si>
  <si>
    <t>普通豆子</t>
  </si>
  <si>
    <t>普通油炸豆腐</t>
  </si>
  <si>
    <t>普通米饭</t>
  </si>
  <si>
    <t>普通南瓜</t>
  </si>
  <si>
    <t>优质樱桃</t>
  </si>
  <si>
    <t>普通的米饭</t>
  </si>
  <si>
    <t>优质柠檬</t>
  </si>
  <si>
    <t>优质菠萝</t>
  </si>
  <si>
    <t>优质香蕉</t>
  </si>
  <si>
    <t>优质苹果</t>
  </si>
  <si>
    <t>优质鲷鱼</t>
  </si>
  <si>
    <t>优质蛤蜊</t>
  </si>
  <si>
    <t>优质虾</t>
  </si>
  <si>
    <t>优质章鱼</t>
  </si>
  <si>
    <t>优质沙丁鱼</t>
  </si>
  <si>
    <t>优质秋刀鱼</t>
  </si>
  <si>
    <t>优质猪肉</t>
  </si>
  <si>
    <t>优质鸡肉</t>
  </si>
  <si>
    <t>优质牛肉</t>
  </si>
  <si>
    <t>优质胡萝卜</t>
  </si>
  <si>
    <t>优质鸡蛋</t>
  </si>
  <si>
    <t>优质豆芽</t>
  </si>
  <si>
    <t>优质洋葱</t>
  </si>
  <si>
    <t>优质土豆</t>
  </si>
  <si>
    <t>优质裙带菜</t>
  </si>
  <si>
    <t>优质海带</t>
  </si>
  <si>
    <t>优质豆子</t>
  </si>
  <si>
    <t>优质油炸豆腐</t>
  </si>
  <si>
    <t>优质米饭</t>
  </si>
  <si>
    <t>优质南瓜</t>
  </si>
  <si>
    <t>精品樱桃</t>
  </si>
  <si>
    <t>优质的米饭</t>
  </si>
  <si>
    <t>精品柠檬</t>
  </si>
  <si>
    <t>精品菠萝</t>
  </si>
  <si>
    <t>精品香蕉</t>
  </si>
  <si>
    <t>精品苹果</t>
  </si>
  <si>
    <t>精品鲷鱼</t>
  </si>
  <si>
    <t>精品蛤蜊</t>
  </si>
  <si>
    <t>精品虾</t>
  </si>
  <si>
    <t>精品章鱼</t>
  </si>
  <si>
    <t>精品沙丁鱼</t>
  </si>
  <si>
    <t>精品秋刀鱼</t>
  </si>
  <si>
    <t>精品猪肉</t>
  </si>
  <si>
    <t>精品鸡肉</t>
  </si>
  <si>
    <t>精品牛肉</t>
  </si>
  <si>
    <t>精品胡萝卜</t>
  </si>
  <si>
    <t>精品鸡蛋</t>
  </si>
  <si>
    <t>精品豆芽</t>
  </si>
  <si>
    <t>精品洋葱</t>
  </si>
  <si>
    <t>精品土豆</t>
  </si>
  <si>
    <t>精品裙带菜</t>
  </si>
  <si>
    <t>精品海带</t>
  </si>
  <si>
    <t>精品豆子</t>
  </si>
  <si>
    <t>精品油炸豆腐</t>
  </si>
  <si>
    <t>精品米饭</t>
  </si>
  <si>
    <t>精品南瓜</t>
  </si>
  <si>
    <t>高级樱桃</t>
  </si>
  <si>
    <t>精品的米饭</t>
  </si>
  <si>
    <t>高级柠檬</t>
  </si>
  <si>
    <t>高级菠萝</t>
  </si>
  <si>
    <t>高级香蕉</t>
  </si>
  <si>
    <t>高级苹果</t>
  </si>
  <si>
    <t>高级鲷鱼</t>
  </si>
  <si>
    <t>高级蛤蜊</t>
  </si>
  <si>
    <t>高级虾</t>
  </si>
  <si>
    <t>高级章鱼</t>
  </si>
  <si>
    <t>高级沙丁鱼</t>
  </si>
  <si>
    <t>高级秋刀鱼</t>
  </si>
  <si>
    <t>高级猪肉</t>
  </si>
  <si>
    <t>高级鸡肉</t>
  </si>
  <si>
    <t>高级牛肉</t>
  </si>
  <si>
    <t>高级胡萝卜</t>
  </si>
  <si>
    <t>高级鸡蛋</t>
  </si>
  <si>
    <t>高级豆芽</t>
  </si>
  <si>
    <t>高级洋葱</t>
  </si>
  <si>
    <t>高级土豆</t>
  </si>
  <si>
    <t>高级裙带菜</t>
  </si>
  <si>
    <t>高级海带</t>
  </si>
  <si>
    <t>高级豆子</t>
  </si>
  <si>
    <t>高级油炸豆腐</t>
  </si>
  <si>
    <t>高级米饭</t>
  </si>
  <si>
    <t>高级南瓜</t>
  </si>
  <si>
    <t>顶级樱桃</t>
  </si>
  <si>
    <t>高级的米饭</t>
  </si>
  <si>
    <t>顶级柠檬</t>
  </si>
  <si>
    <t>顶级菠萝</t>
  </si>
  <si>
    <t>顶级香蕉</t>
  </si>
  <si>
    <t>顶级苹果</t>
  </si>
  <si>
    <t>顶级鲷鱼</t>
  </si>
  <si>
    <t>顶级蛤蜊</t>
  </si>
  <si>
    <t>顶级虾</t>
  </si>
  <si>
    <t>顶级章鱼</t>
  </si>
  <si>
    <t>顶级沙丁鱼</t>
  </si>
  <si>
    <t>顶级秋刀鱼</t>
  </si>
  <si>
    <t>顶级猪肉</t>
  </si>
  <si>
    <t>顶级鸡肉</t>
  </si>
  <si>
    <t>顶级牛肉</t>
  </si>
  <si>
    <t>顶级胡萝卜</t>
  </si>
  <si>
    <t>顶级鸡蛋</t>
  </si>
  <si>
    <t>顶级豆芽</t>
  </si>
  <si>
    <t>顶级洋葱</t>
  </si>
  <si>
    <t>顶级土豆</t>
  </si>
  <si>
    <t>顶级裙带菜</t>
  </si>
  <si>
    <t>顶级海带</t>
  </si>
  <si>
    <t>顶级豆子</t>
  </si>
  <si>
    <t>顶级油炸豆腐</t>
  </si>
  <si>
    <t>顶级米饭</t>
  </si>
  <si>
    <t>顶级南瓜</t>
  </si>
  <si>
    <t>盐</t>
  </si>
  <si>
    <t>顶级的米饭</t>
  </si>
  <si>
    <t>黑胡椒</t>
  </si>
  <si>
    <t>牛奶</t>
  </si>
  <si>
    <t>芝士</t>
  </si>
  <si>
    <t>色拉油</t>
  </si>
  <si>
    <t>红酒</t>
  </si>
  <si>
    <t>咖喱</t>
  </si>
  <si>
    <t>橄榄油</t>
  </si>
  <si>
    <t>黄油</t>
  </si>
  <si>
    <t>面粉</t>
  </si>
  <si>
    <t>砂糖</t>
  </si>
  <si>
    <t>特制酱汁</t>
  </si>
  <si>
    <t>活力药剂</t>
  </si>
  <si>
    <t>充满活力的药剂，使用后增加1点活力。</t>
  </si>
  <si>
    <r>
      <rPr>
        <sz val="11"/>
        <color theme="1"/>
        <rFont val="宋体"/>
        <charset val="134"/>
      </rPr>
      <t>1</t>
    </r>
    <r>
      <rPr>
        <sz val="11"/>
        <color theme="1"/>
        <rFont val="宋体"/>
        <charset val="134"/>
      </rPr>
      <t>0级低级</t>
    </r>
    <r>
      <rPr>
        <sz val="11"/>
        <color theme="1"/>
        <rFont val="宋体"/>
        <charset val="134"/>
      </rPr>
      <t>装备宝箱</t>
    </r>
  </si>
  <si>
    <t>打开随机获得10级装备。</t>
  </si>
  <si>
    <r>
      <rPr>
        <sz val="11"/>
        <color theme="1"/>
        <rFont val="宋体"/>
        <charset val="134"/>
      </rPr>
      <t>10级高级</t>
    </r>
    <r>
      <rPr>
        <sz val="11"/>
        <color theme="1"/>
        <rFont val="宋体"/>
        <charset val="134"/>
      </rPr>
      <t>装备宝箱</t>
    </r>
  </si>
  <si>
    <r>
      <rPr>
        <sz val="11"/>
        <color theme="1"/>
        <rFont val="宋体"/>
        <charset val="134"/>
      </rPr>
      <t>20级低级</t>
    </r>
    <r>
      <rPr>
        <sz val="11"/>
        <color theme="1"/>
        <rFont val="宋体"/>
        <charset val="134"/>
      </rPr>
      <t>装备宝箱</t>
    </r>
  </si>
  <si>
    <t>初级装备宝箱</t>
  </si>
  <si>
    <r>
      <rPr>
        <sz val="11"/>
        <color theme="1"/>
        <rFont val="宋体"/>
        <charset val="134"/>
      </rPr>
      <t>20级高级</t>
    </r>
    <r>
      <rPr>
        <sz val="11"/>
        <color theme="1"/>
        <rFont val="宋体"/>
        <charset val="134"/>
      </rPr>
      <t>装备宝箱</t>
    </r>
  </si>
  <si>
    <t>高级装备宝箱</t>
  </si>
  <si>
    <r>
      <rPr>
        <sz val="11"/>
        <color theme="1"/>
        <rFont val="宋体"/>
        <charset val="134"/>
      </rPr>
      <t>30级低级</t>
    </r>
    <r>
      <rPr>
        <sz val="11"/>
        <color theme="1"/>
        <rFont val="宋体"/>
        <charset val="134"/>
      </rPr>
      <t>装备宝箱</t>
    </r>
  </si>
  <si>
    <r>
      <rPr>
        <sz val="11"/>
        <color theme="1"/>
        <rFont val="宋体"/>
        <charset val="134"/>
      </rPr>
      <t>30级高级</t>
    </r>
    <r>
      <rPr>
        <sz val="11"/>
        <color theme="1"/>
        <rFont val="宋体"/>
        <charset val="134"/>
      </rPr>
      <t>装备宝箱</t>
    </r>
  </si>
  <si>
    <t>高级突破材料箱</t>
  </si>
  <si>
    <t>打开后随机获得一个高级角色突破材料。</t>
  </si>
  <si>
    <t>攻击训练道具箱</t>
  </si>
  <si>
    <t>打开后随机获得一本攻击训练书。</t>
  </si>
  <si>
    <t>防御训练道具箱</t>
  </si>
  <si>
    <t>打开后随机获得一本防御训练书。</t>
  </si>
  <si>
    <t>生命训练道具箱</t>
  </si>
  <si>
    <t>打开后随机获得一本生命训练书。</t>
  </si>
  <si>
    <t>20级武器</t>
  </si>
  <si>
    <t>通过本关后获得一件20级未鉴定装备【武士刀】。</t>
  </si>
  <si>
    <t>20级防具</t>
  </si>
  <si>
    <t>通过本关后获得一件20级未鉴定装备【独眼眼罩】。</t>
  </si>
  <si>
    <t>20级戒指</t>
  </si>
  <si>
    <t>武士刀</t>
  </si>
  <si>
    <t>通过本关后获得一件20级未鉴定装备【浪花戒】。</t>
  </si>
  <si>
    <t>20级项链</t>
  </si>
  <si>
    <t>独眼眼罩</t>
  </si>
  <si>
    <t>通过本关后获得一件20级未鉴定装备【琥珀项链】。</t>
  </si>
  <si>
    <t>30级武器</t>
  </si>
  <si>
    <t>浪花戒</t>
  </si>
  <si>
    <t>通过本关后获得一件30级未鉴定装备【精铁匕首】。</t>
  </si>
  <si>
    <t>30级防具</t>
  </si>
  <si>
    <t>琥珀项链</t>
  </si>
  <si>
    <t>通过本关后获得一件30级未鉴定装备【探宝帽】。</t>
  </si>
  <si>
    <t>30级戒指</t>
  </si>
  <si>
    <t>精铁匕首</t>
  </si>
  <si>
    <t>通过本关后获得一件30级未鉴定装备【神秘戒】。</t>
  </si>
  <si>
    <t>30级项链</t>
  </si>
  <si>
    <t>探宝帽</t>
  </si>
  <si>
    <t>通过本关后获得一件30级未鉴定装备【花瓣链】。</t>
  </si>
  <si>
    <t>40级武器</t>
  </si>
  <si>
    <t>神秘戒</t>
  </si>
  <si>
    <t>通过本关后获得一件40级未鉴定装备【精铁长刀】。</t>
  </si>
  <si>
    <t>40级防具</t>
  </si>
  <si>
    <t>花瓣链</t>
  </si>
  <si>
    <t>通过本关后获得一件40级未鉴定装备【白色礼帽】。</t>
  </si>
  <si>
    <t>40级戒指</t>
  </si>
  <si>
    <t>精铁长刀</t>
  </si>
  <si>
    <t>通过本关后获得一件40级未鉴定装备【青石指环】。</t>
  </si>
  <si>
    <t>40级项链</t>
  </si>
  <si>
    <t>白色礼帽</t>
  </si>
  <si>
    <t>通过本关后获得一件40级未鉴定装备【蓝海之心】。</t>
  </si>
  <si>
    <t>50级武器</t>
  </si>
  <si>
    <t>青石指环</t>
  </si>
  <si>
    <t>通过本关后获得一件50级未鉴定装备【海盗弯刀】。</t>
  </si>
  <si>
    <t>50级防具</t>
  </si>
  <si>
    <t>蓝海之心</t>
  </si>
  <si>
    <t>通过本关后获得一件50级未鉴定装备【勇士头盔】。</t>
  </si>
  <si>
    <t>50级戒指</t>
  </si>
  <si>
    <t>海盗弯刀</t>
  </si>
  <si>
    <t>通过本关后获得一件50级未鉴定装备【绿草戒】。</t>
  </si>
  <si>
    <t>50级项链</t>
  </si>
  <si>
    <t>勇士头盔</t>
  </si>
  <si>
    <t>通过本关后获得一件50级未鉴定装备【碧牙吊坠】。</t>
  </si>
  <si>
    <t>60级武器</t>
  </si>
  <si>
    <t>绿草戒</t>
  </si>
  <si>
    <t>通过本关后获得一件60级未鉴定装备【短剑】。</t>
  </si>
  <si>
    <t>60级防具</t>
  </si>
  <si>
    <t>碧牙吊坠</t>
  </si>
  <si>
    <t>通过本关后获得一件60级未鉴定装备【船长帽】。</t>
  </si>
  <si>
    <t>60级戒指</t>
  </si>
  <si>
    <t>短剑</t>
  </si>
  <si>
    <t>通过本关后获得一件60级未鉴定装备【海洋戒】。</t>
  </si>
  <si>
    <t>60级项链</t>
  </si>
  <si>
    <t>船长帽</t>
  </si>
  <si>
    <t>通过本关后获得一件60级未鉴定装备【火焰之泪】。</t>
  </si>
  <si>
    <t>20级英雄武器</t>
  </si>
  <si>
    <t>海洋戒</t>
  </si>
  <si>
    <t>通过本关后有概率获得一件20级装备【英雄·武士刀】。</t>
  </si>
  <si>
    <t>20级英雄防具</t>
  </si>
  <si>
    <t>火焰之泪</t>
  </si>
  <si>
    <t>通过本关后有概率获得一件20级装备【英雄·独眼眼罩】。</t>
  </si>
  <si>
    <t>20级英雄戒指</t>
  </si>
  <si>
    <t>英雄·武士刀</t>
  </si>
  <si>
    <t>通过本关后有概率获得一件20级装备【英雄·浪花戒】。</t>
  </si>
  <si>
    <t>20级英雄项链</t>
  </si>
  <si>
    <t>英雄·独眼眼罩</t>
  </si>
  <si>
    <t>通过本关后有概率获得一件20级装备【英雄·琥珀项链】。</t>
  </si>
  <si>
    <t>20级战斗套装武器</t>
  </si>
  <si>
    <t>英雄·浪花戒</t>
  </si>
  <si>
    <t>通过本关后有概率获得一件20级套装【战斗短剑】。</t>
  </si>
  <si>
    <t>20级战斗套装防具</t>
  </si>
  <si>
    <t>英雄·琥珀项链</t>
  </si>
  <si>
    <t>通过本关后有概率获得一件20级套装【战斗铠】。</t>
  </si>
  <si>
    <t>20级战斗套装戒指</t>
  </si>
  <si>
    <t>战斗短剑</t>
  </si>
  <si>
    <t>通过本关后有概率获得一件20级套装【战斗指环】。</t>
  </si>
  <si>
    <t>20级战斗套装项链</t>
  </si>
  <si>
    <t>战斗铠</t>
  </si>
  <si>
    <t>通过本关后有概率获得一件20级套装【战斗项链】。</t>
  </si>
  <si>
    <t>30级英雄武器</t>
  </si>
  <si>
    <t>战斗指环</t>
  </si>
  <si>
    <t>通过本关后有概率获得一件30级装备【英雄·精铁匕首】。</t>
  </si>
  <si>
    <t>30级英雄防具</t>
  </si>
  <si>
    <t>战斗项链</t>
  </si>
  <si>
    <t>通过本关后有概率获得一件30级装备【英雄·探宝帽】。</t>
  </si>
  <si>
    <t>30级英雄戒指</t>
  </si>
  <si>
    <t>英雄·精铁匕首</t>
  </si>
  <si>
    <t>通过本关后有概率获得一件30级装备【英雄·神秘戒】。</t>
  </si>
  <si>
    <t>30级英雄项链</t>
  </si>
  <si>
    <t>英雄·探宝帽</t>
  </si>
  <si>
    <t>通过本关后有概率获得一件30级装备【英雄·花瓣链】。</t>
  </si>
  <si>
    <t>40级英雄武器</t>
  </si>
  <si>
    <t>英雄·神秘戒</t>
  </si>
  <si>
    <t>通过本关后有概率获得一件40级装备【英雄·精铁长刀】。</t>
  </si>
  <si>
    <t>40级英雄防具</t>
  </si>
  <si>
    <t>英雄·花瓣链</t>
  </si>
  <si>
    <t>通过本关后有概率获得一件40级装备【英雄·白色礼帽】。</t>
  </si>
  <si>
    <t>40级英雄戒指</t>
  </si>
  <si>
    <t>英雄·精铁长刀</t>
  </si>
  <si>
    <t>通过本关后有概率获得一件40级装备【英雄·青石指环】。</t>
  </si>
  <si>
    <t>40级英雄项链</t>
  </si>
  <si>
    <t>英雄·白色礼帽</t>
  </si>
  <si>
    <t>通过本关后有概率获得一件40级装备【英雄·蓝海之心】。</t>
  </si>
  <si>
    <t>40级探荒者套装武器</t>
  </si>
  <si>
    <t>英雄·青石指环</t>
  </si>
  <si>
    <t>通过本关后有概率获得一件40级套装【军官手枪】。</t>
  </si>
  <si>
    <t>40级探荒者套装防具</t>
  </si>
  <si>
    <t>英雄·蓝海之心</t>
  </si>
  <si>
    <t>通过本关后有概率获得一件40级套装【军官外套】。</t>
  </si>
  <si>
    <t>40级探荒者套装戒指</t>
  </si>
  <si>
    <t>军官手枪</t>
  </si>
  <si>
    <t>通过本关后有概率获得一件40级套装【军官戒指】。</t>
  </si>
  <si>
    <t>40级探荒者套装项链</t>
  </si>
  <si>
    <t>军官外套</t>
  </si>
  <si>
    <t>通过本关后有概率获得一件40级套装【军官怀表】。</t>
  </si>
  <si>
    <t>40级先驱者套装武器</t>
  </si>
  <si>
    <t>军官戒指</t>
  </si>
  <si>
    <t>通过本关后有概率获得一件40级套装【海盗弯刀】。</t>
  </si>
  <si>
    <t>40级先驱者套装防具</t>
  </si>
  <si>
    <t>军官怀表</t>
  </si>
  <si>
    <t>通过本关后有概率获得一件40级套装【海盗大衣】。</t>
  </si>
  <si>
    <t>40级先驱者套装戒指</t>
  </si>
  <si>
    <t>通过本关后有概率获得一件40级套装【海盗手环】。</t>
  </si>
  <si>
    <t>40级先驱者套装项链</t>
  </si>
  <si>
    <t>海盗大衣</t>
  </si>
  <si>
    <t>通过本关后有概率获得一件40级套装【海盗指针】。</t>
  </si>
  <si>
    <t>40级水手套装武器</t>
  </si>
  <si>
    <t>海盗手环</t>
  </si>
  <si>
    <t>通过本关后有概率获得一件40级套装【水手短枪】。</t>
  </si>
  <si>
    <t>40级水手套装防具</t>
  </si>
  <si>
    <t>海盗指针</t>
  </si>
  <si>
    <t>通过本关后有概率获得一件40级套装【水手便服】。</t>
  </si>
  <si>
    <t>40级水手套装戒指</t>
  </si>
  <si>
    <t>水手短枪</t>
  </si>
  <si>
    <t>通过本关后有概率获得一件40级套装【水手之戒】。</t>
  </si>
  <si>
    <t>40级水手套装项链</t>
  </si>
  <si>
    <t>水手便服</t>
  </si>
  <si>
    <t>通过本关后有概率获得一件40级套装【水手罗盘】。</t>
  </si>
  <si>
    <t>40级绅士套装武器</t>
  </si>
  <si>
    <t>水手之戒</t>
  </si>
  <si>
    <t>通过本关后有概率获得一件40级套装【暗杀太刀】。</t>
  </si>
  <si>
    <t>40级绅士套装防具</t>
  </si>
  <si>
    <t>水手罗盘</t>
  </si>
  <si>
    <t>通过本关后有概率获得一件40级套装【暗杀西装】。</t>
  </si>
  <si>
    <t>40级绅士套装戒指</t>
  </si>
  <si>
    <t>暗杀太刀</t>
  </si>
  <si>
    <t>通过本关后有概率获得一件40级套装【暗杀之戒】。</t>
  </si>
  <si>
    <t>40级绅士套装项链</t>
  </si>
  <si>
    <t>暗杀西装</t>
  </si>
  <si>
    <t>通过本关后有概率获得一件40级套装【暗杀项圈】。</t>
  </si>
  <si>
    <t>40级先驱者英雄套装武器</t>
  </si>
  <si>
    <t>暗杀之戒</t>
  </si>
  <si>
    <t>通过本关后有概率获得一件40级套装【英雄·海盗弯刀】。</t>
  </si>
  <si>
    <t>40级先驱者英雄套装防具</t>
  </si>
  <si>
    <t>暗杀项圈</t>
  </si>
  <si>
    <t>通过本关后有概率获得一件40级套装【英雄·海盗大衣】。</t>
  </si>
  <si>
    <t>40级先驱者英雄套装戒指</t>
  </si>
  <si>
    <t>英雄·海盗弯刀</t>
  </si>
  <si>
    <t>通过本关后有概率获得一件40级套装【英雄·海盗手环】。</t>
  </si>
  <si>
    <t>40级先驱者英雄套装项链</t>
  </si>
  <si>
    <t>英雄·海盗大衣</t>
  </si>
  <si>
    <t>通过本关后有概率获得一件40级套装【英雄·海盗指针】。</t>
  </si>
  <si>
    <t>40级探荒者英雄套装武器</t>
  </si>
  <si>
    <t>英雄·海盗手环</t>
  </si>
  <si>
    <t>通过本关后有概率获得一件40级套装【英雄·军官手枪】。</t>
  </si>
  <si>
    <t>40级探荒者英雄套装防具</t>
  </si>
  <si>
    <t>英雄·海盗指针</t>
  </si>
  <si>
    <t>通过本关后有概率获得一件40级套装【英雄·军官外套】。</t>
  </si>
  <si>
    <t>40级探荒者英雄套装戒指</t>
  </si>
  <si>
    <t>英雄·军官手枪</t>
  </si>
  <si>
    <t>通过本关后有概率获得一件40级套装【英雄·军官戒指】。</t>
  </si>
  <si>
    <t>40级探荒者英雄套装项链</t>
  </si>
  <si>
    <t>英雄·军官外套</t>
  </si>
  <si>
    <t>通过本关后有概率获得一件40级套装【英雄·军官怀表】。</t>
  </si>
  <si>
    <t>50级英雄武器</t>
  </si>
  <si>
    <t>英雄·军官戒指</t>
  </si>
  <si>
    <t>通过本关后有概率获得一件50级装备【海盗弯刀】。</t>
  </si>
  <si>
    <t>50级英雄防具</t>
  </si>
  <si>
    <t>英雄·军官怀表</t>
  </si>
  <si>
    <t>通过本关后有概率获得一件50级装备【勇士头盔】。</t>
  </si>
  <si>
    <t>50级英雄戒指</t>
  </si>
  <si>
    <t>通过本关后有概率获得一件50级装备【绿草戒】。</t>
  </si>
  <si>
    <t>50级英雄项链</t>
  </si>
  <si>
    <t>通过本关后有概率获得一件50级装备【碧牙吊坠】。</t>
  </si>
  <si>
    <t>通过本关后有概率获得一件60级装备【短剑】。</t>
  </si>
  <si>
    <t>通过本关后有概率获得一件60级装备【船长帽】。</t>
  </si>
  <si>
    <t>通过本关后有概率获得一件60级装备【海洋戒】。</t>
  </si>
  <si>
    <t>通过本关后有概率获得一件60级装备【火焰之泪】。</t>
  </si>
  <si>
    <t>60级航行者套装武器</t>
  </si>
  <si>
    <t>通过本关后有概率获得一件60级套装【航行者之枪】。</t>
  </si>
  <si>
    <t>60级航行者套装防具</t>
  </si>
  <si>
    <t>通过本关后有概率获得一件60级套装【航行者之衣】。</t>
  </si>
  <si>
    <t>60级航行者套装戒指</t>
  </si>
  <si>
    <t>航行者之枪</t>
  </si>
  <si>
    <t>通过本关后有概率获得一件60级套装【航行者之戒】。</t>
  </si>
  <si>
    <t>60级航行者套装项链</t>
  </si>
  <si>
    <t>航行者之衣</t>
  </si>
  <si>
    <t>通过本关后有概率获得一件60级套装【航行者之链】。</t>
  </si>
  <si>
    <t>60级角斗士套装武器</t>
  </si>
  <si>
    <t>航行者之戒</t>
  </si>
  <si>
    <t>通过本关后有概率获得一件60级套装【角斗士之斧】。</t>
  </si>
  <si>
    <t>60级角斗士套装防具</t>
  </si>
  <si>
    <t>航行者之链</t>
  </si>
  <si>
    <t>通过本关后有概率获得一件60级套装【角斗士铠甲】。</t>
  </si>
  <si>
    <t>60级角斗士套装戒指</t>
  </si>
  <si>
    <t>角斗士之斧</t>
  </si>
  <si>
    <t>通过本关后有概率获得一件60级套装【角斗士之戒】。</t>
  </si>
  <si>
    <t>60级角斗士套装项链</t>
  </si>
  <si>
    <t>角斗士铠甲</t>
  </si>
  <si>
    <t>通过本关后有概率获得一件60级套装【角斗士之链】。</t>
  </si>
  <si>
    <t>60级皇家禁卫套装武器</t>
  </si>
  <si>
    <t>角斗士之戒</t>
  </si>
  <si>
    <t>通过本关后有概率获得一件60级套装【英雄·皇家猎枪】。</t>
  </si>
  <si>
    <t>60级皇家禁卫套装防具</t>
  </si>
  <si>
    <t>角斗士之链</t>
  </si>
  <si>
    <t>通过本关后有概率获得一件60级套装【英雄·皇家华服】。</t>
  </si>
  <si>
    <t>60级皇家禁卫套装戒指</t>
  </si>
  <si>
    <t>英雄·皇家猎枪</t>
  </si>
  <si>
    <t>通过本关后有概率获得一件60级套装【英雄·皇家珠宝】。</t>
  </si>
  <si>
    <t>60级皇家禁卫套装项链</t>
  </si>
  <si>
    <t>英雄·皇家华服</t>
  </si>
  <si>
    <t>通过本关后有概率获得一件60级套装【英雄·皇家吊坠】。</t>
  </si>
  <si>
    <t>60级大力士套装武器</t>
  </si>
  <si>
    <t>英雄·皇家珠宝</t>
  </si>
  <si>
    <t>通过本关后有概率获得一件60级套装【英雄·野蛮之刃】。</t>
  </si>
  <si>
    <t>60级大力士套装防具</t>
  </si>
  <si>
    <t>英雄·皇家吊坠</t>
  </si>
  <si>
    <t>通过本关后有概率获得一件60级套装【英雄·狂野战袍】。</t>
  </si>
  <si>
    <t>60级大力士套装戒指</t>
  </si>
  <si>
    <t>英雄·野蛮之刃</t>
  </si>
  <si>
    <t>通过本关后有概率获得一件60级套装【英雄·狂野手环】。</t>
  </si>
  <si>
    <t>60级大力士套装项链</t>
  </si>
  <si>
    <t>英雄·狂野战袍</t>
  </si>
  <si>
    <t>通过本关后有概率获得一件60级套装【英雄·狂野项圈】。</t>
  </si>
  <si>
    <t>60级狩猎者套装武器</t>
  </si>
  <si>
    <t>英雄·狂野手环</t>
  </si>
  <si>
    <t>通过本关后有概率获得一件60级套装【英雄·狩猎者之枪】。</t>
  </si>
  <si>
    <t>60级狩猎者套装防具</t>
  </si>
  <si>
    <t>英雄·狂野项圈</t>
  </si>
  <si>
    <t>通过本关后有概率获得一件60级套装【英雄·狩猎者外套】。</t>
  </si>
  <si>
    <t>60级狩猎者套装戒指</t>
  </si>
  <si>
    <t>英雄·狩猎者之枪</t>
  </si>
  <si>
    <t>通过本关后有概率获得一件60级套装【英雄·狩猎者指环】。</t>
  </si>
  <si>
    <t>60级狩猎者套装项链</t>
  </si>
  <si>
    <t>英雄·狩猎者外套</t>
  </si>
  <si>
    <t>通过本关后有概率获得一件60级套装【英雄·狩猎者项链】。</t>
  </si>
  <si>
    <t>60级黄金套装武器</t>
  </si>
  <si>
    <t>英雄·狩猎者指环</t>
  </si>
  <si>
    <t>通过本关后有概率获得一件60级套装【英雄·黄金短枪】。</t>
  </si>
  <si>
    <t>60级黄金套装防具</t>
  </si>
  <si>
    <t>英雄·狩猎者项链</t>
  </si>
  <si>
    <t>通过本关后有概率获得一件60级套装【英雄·黄金斗篷】。</t>
  </si>
  <si>
    <t>60级黄金套装戒指</t>
  </si>
  <si>
    <t>英雄·黄金短枪</t>
  </si>
  <si>
    <t>通过本关后有概率获得一件60级套装【英雄·黄金手环】。</t>
  </si>
  <si>
    <t>60级黄金套装项链</t>
  </si>
  <si>
    <t>英雄·黄金斗篷</t>
  </si>
  <si>
    <t>通过本关后有概率获得一件60级套装【英雄·黄金坠饰】。</t>
  </si>
  <si>
    <t>60级公爵套装武器</t>
  </si>
  <si>
    <t>英雄·黄金手环</t>
  </si>
  <si>
    <t>通过本关后有概率获得一件60级套装【英雄·公爵之剑】。</t>
  </si>
  <si>
    <t>60级公爵套装防具</t>
  </si>
  <si>
    <t>英雄·黄金坠饰</t>
  </si>
  <si>
    <t>通过本关后有概率获得一件60级套装【英雄·公爵外套】。</t>
  </si>
  <si>
    <t>60级公爵套装戒指</t>
  </si>
  <si>
    <t>英雄·公爵之剑</t>
  </si>
  <si>
    <t>通过本关后有概率获得一件60级套装【英雄·公爵指环】。</t>
  </si>
  <si>
    <t>60级公爵套装项链</t>
  </si>
  <si>
    <t>英雄·公爵外套</t>
  </si>
  <si>
    <t>通过本关后有概率获得一件60级套装【英雄·公爵项链】。</t>
  </si>
  <si>
    <t>随机武器宝箱</t>
  </si>
  <si>
    <t>英雄·公爵指环</t>
  </si>
  <si>
    <t>随机获得一件未鉴定装备。</t>
  </si>
  <si>
    <t>英雄·公爵项链</t>
  </si>
  <si>
    <t>20级守卫套装武器</t>
  </si>
  <si>
    <t>20级守卫套装防具</t>
  </si>
  <si>
    <t>20级守卫套装戒指</t>
  </si>
  <si>
    <t>守卫套装武器</t>
  </si>
  <si>
    <t>20级守卫套装项链</t>
  </si>
  <si>
    <t>守卫套装防具</t>
  </si>
  <si>
    <t>守卫套装戒指</t>
  </si>
  <si>
    <t>守卫套装项链</t>
  </si>
  <si>
    <t>战斗套装武器</t>
  </si>
  <si>
    <t>战斗套装防具</t>
  </si>
  <si>
    <t>20级冒险者套装武器</t>
  </si>
  <si>
    <t>战斗套装戒指</t>
  </si>
  <si>
    <t>20级冒险者套装防具</t>
  </si>
  <si>
    <t>战斗套装项链</t>
  </si>
  <si>
    <t>20级冒险者套装戒指</t>
  </si>
  <si>
    <t>冒险者套装武器</t>
  </si>
  <si>
    <t>20级冒险者套装项链</t>
  </si>
  <si>
    <t>冒险者套装防具</t>
  </si>
  <si>
    <t>40级英雄水手武器</t>
  </si>
  <si>
    <t>冒险者套装戒指</t>
  </si>
  <si>
    <t>40级英雄水手防具</t>
  </si>
  <si>
    <t>冒险者套装项链</t>
  </si>
  <si>
    <t>40级英雄水手戒指</t>
  </si>
  <si>
    <t>40级英雄水手项链</t>
  </si>
  <si>
    <t>40级主厨武器</t>
  </si>
  <si>
    <t>通过本关后有概率获得一件40级套装【主厨短刀】。</t>
  </si>
  <si>
    <t>40级主厨防具</t>
  </si>
  <si>
    <t>通过本关后有概率获得一件40级套装【主厨工服】。</t>
  </si>
  <si>
    <t>40级主厨戒指</t>
  </si>
  <si>
    <t>主厨短刀</t>
  </si>
  <si>
    <t>通过本关后有概率获得一件40级套装【主厨扳指】。</t>
  </si>
  <si>
    <t>40级主厨项链</t>
  </si>
  <si>
    <t>主厨工服</t>
  </si>
  <si>
    <t>通过本关后有概率获得一件40级套装【主厨吊坠】。</t>
  </si>
  <si>
    <t>宝石</t>
  </si>
  <si>
    <t>主厨扳指</t>
  </si>
  <si>
    <t>随机获得一个宝石，用于装备镶嵌，提升装备属性。</t>
  </si>
  <si>
    <t>突破材料</t>
  </si>
  <si>
    <t>主厨吊坠</t>
  </si>
  <si>
    <t>随机获得一个突破材料，用于角色突破。</t>
  </si>
  <si>
    <t>R卡</t>
  </si>
  <si>
    <t>随机获得一个R卡碎片。</t>
  </si>
  <si>
    <t>SR卡</t>
  </si>
  <si>
    <t>随机获得一个SR卡碎片。</t>
  </si>
  <si>
    <t>SSR卡</t>
  </si>
  <si>
    <t>R卡碎片</t>
  </si>
  <si>
    <t>随机获得一个SSR卡碎片。</t>
  </si>
  <si>
    <t>SR卡碎片</t>
  </si>
  <si>
    <t>突破材料橙色</t>
  </si>
  <si>
    <t>SSR卡碎片</t>
  </si>
  <si>
    <t>宝石2级</t>
  </si>
  <si>
    <t>随机获得一个宝石，大概率获得2级宝石，用于装备镶嵌，提升装备属性。</t>
  </si>
  <si>
    <t>宝石3级</t>
  </si>
  <si>
    <t>随机获得一个宝石，大概率获得3级宝石，用于装备镶嵌，提升装备属性。</t>
  </si>
  <si>
    <t>宝石4级</t>
  </si>
  <si>
    <t>随机获得一个宝石，大概率获得4级宝石，用于装备镶嵌，提升装备属性。</t>
  </si>
  <si>
    <t>宝石5级</t>
  </si>
  <si>
    <t>随机获得一个宝石，大概率获得5级宝石，用于装备镶嵌，提升装备属性。</t>
  </si>
  <si>
    <t>宝石6级</t>
  </si>
  <si>
    <t>随机获得一个宝石，大概率获得6级宝石，用于装备镶嵌，提升装备属性。</t>
  </si>
  <si>
    <t>宝石7级</t>
  </si>
  <si>
    <t>随机获得一个宝石，大概率获得7级宝石，用于装备镶嵌，提升装备属性。</t>
  </si>
  <si>
    <t>宝石1级</t>
  </si>
  <si>
    <t>随机获得一个1级宝石，用于装备镶嵌，提升装备属性。</t>
  </si>
  <si>
    <t>英雄·商贾巨剑</t>
  </si>
  <si>
    <t>通过本关后有概率获得一件60级套装【英雄·商贾巨剑】。</t>
  </si>
  <si>
    <t>英雄·商贾之袍</t>
  </si>
  <si>
    <t>通过本关后有概率获得一件60级套装【英雄·商贾之袍】。</t>
  </si>
  <si>
    <t>英雄·商贾之戒</t>
  </si>
  <si>
    <t>通过本关后有概率获得一件60级套装【英雄·商贾之戒】。</t>
  </si>
  <si>
    <t>英雄·商贾项链</t>
  </si>
  <si>
    <t>通过本关后有概率获得一件60级套装【英雄·商贾项链】。</t>
  </si>
  <si>
    <t>英雄·霸者之剑</t>
  </si>
  <si>
    <t>通过本关后有概率获得一件60级套装【英雄·霸者之剑】。</t>
  </si>
  <si>
    <t>英雄·霸者之衣</t>
  </si>
  <si>
    <t>通过本关后有概率获得一件60级套装【英雄·霸者之衣】。</t>
  </si>
  <si>
    <t>英雄·霸者之戒</t>
  </si>
  <si>
    <t>通过本关后有概率获得一件60级套装【英雄·霸者之戒】。</t>
  </si>
  <si>
    <t>英雄·霸者之链</t>
  </si>
  <si>
    <t>通过本关后有概率获得一件60级套装【英雄·霸者之链】。</t>
  </si>
  <si>
    <t>英雄·赤炎之刃</t>
  </si>
  <si>
    <t>通过本关后有概率获得一件60级套装【英雄·赤炎之刃】。</t>
  </si>
  <si>
    <t>英雄·赤炎和服</t>
  </si>
  <si>
    <t>通过本关后有概率获得一件60级套装【英雄·赤炎和服】。</t>
  </si>
  <si>
    <t>英雄·赤炎指环</t>
  </si>
  <si>
    <t>通过本关后有概率获得一件60级套装【英雄·赤炎指环】。</t>
  </si>
  <si>
    <t>英雄·赤炎吊坠</t>
  </si>
  <si>
    <t>通过本关后有概率获得一件60级套装【英雄·赤炎吊坠】。</t>
  </si>
  <si>
    <t>80级攻击武器</t>
  </si>
  <si>
    <t>通过本关后获得一件80级装备【黄金剑】。</t>
  </si>
  <si>
    <t>80级攻击防具</t>
  </si>
  <si>
    <t>通过本关后获得一件80级装备【警长帽】。</t>
  </si>
  <si>
    <t>80级攻击戒指</t>
  </si>
  <si>
    <t>黄金剑</t>
  </si>
  <si>
    <t>通过本关后获得一件80级装备【天蓝宝石戒指】。</t>
  </si>
  <si>
    <t>80级攻击项链</t>
  </si>
  <si>
    <t>警长帽</t>
  </si>
  <si>
    <t>通过本关后获得一件80级装备【珍宝项链】。</t>
  </si>
  <si>
    <t>80级攻击英雄武器</t>
  </si>
  <si>
    <t>天蓝宝石戒指</t>
  </si>
  <si>
    <t>通过本关后有概率获得一件80级装备【英雄·黄金剑】。</t>
  </si>
  <si>
    <t>80级攻击英雄防具</t>
  </si>
  <si>
    <t>珍宝项链</t>
  </si>
  <si>
    <t>通过本关后有概率获得一件80级装备【英雄·警长帽】。</t>
  </si>
  <si>
    <t>80级攻击英雄戒指</t>
  </si>
  <si>
    <t>英雄·黄金剑</t>
  </si>
  <si>
    <t>通过本关后有概率获得一件80级装备【英雄·天蓝宝石戒指】。</t>
  </si>
  <si>
    <t>80级攻击英雄项链</t>
  </si>
  <si>
    <t>英雄·警长帽</t>
  </si>
  <si>
    <t>通过本关后有概率获得一件80级装备【英雄·珍宝项链】。</t>
  </si>
  <si>
    <t>80级勇士武器</t>
  </si>
  <si>
    <t>英雄·天蓝宝石戒指</t>
  </si>
  <si>
    <t>通过本关后有概率获得一件80级套装【英雄·勇士大剑】。</t>
  </si>
  <si>
    <t>80级勇士防具</t>
  </si>
  <si>
    <t>英雄·珍宝项链</t>
  </si>
  <si>
    <t>通过本关后有概率获得一件80级套装【英雄·勇士护甲】。</t>
  </si>
  <si>
    <t>80级勇士戒指</t>
  </si>
  <si>
    <t>英雄·勇士大剑</t>
  </si>
  <si>
    <t>通过本关后有概率获得一件80级套装【英雄·勇士戒指】。</t>
  </si>
  <si>
    <t>80级勇士项链</t>
  </si>
  <si>
    <t>英雄·勇士护甲</t>
  </si>
  <si>
    <t>通过本关后有概率获得一件80级套装【英雄·勇士项链】。</t>
  </si>
  <si>
    <t>80级龙鳞武器</t>
  </si>
  <si>
    <t>英雄·勇士戒指</t>
  </si>
  <si>
    <t>通过本关后有概率获得一件80级套装【英雄·龙鳞巨刀】。</t>
  </si>
  <si>
    <t>80级龙鳞防具</t>
  </si>
  <si>
    <t>英雄·勇士项链</t>
  </si>
  <si>
    <t>通过本关后有概率获得一件80级套装【英雄·龙鳞闪甲】。</t>
  </si>
  <si>
    <t>80级龙鳞戒指</t>
  </si>
  <si>
    <t>英雄·龙鳞巨刀</t>
  </si>
  <si>
    <t>通过本关后有概率获得一件80级套装【英雄·龙鳞光戒】。</t>
  </si>
  <si>
    <t>80级龙鳞项链</t>
  </si>
  <si>
    <t>英雄·龙鳞闪甲</t>
  </si>
  <si>
    <t>通过本关后有概率获得一件80级套装【英雄·龙鳞光链】。</t>
  </si>
  <si>
    <t>80级骑士武器</t>
  </si>
  <si>
    <t>英雄·龙鳞光戒</t>
  </si>
  <si>
    <t>通过本关后有概率获得一件80级套装【英雄·骑士长剑】。</t>
  </si>
  <si>
    <t>80级骑士防具</t>
  </si>
  <si>
    <t>英雄·龙鳞光链</t>
  </si>
  <si>
    <t>通过本关后有概率获得一件80级套装【英雄·骑士长袍】。</t>
  </si>
  <si>
    <t>80级骑士戒指</t>
  </si>
  <si>
    <t>英雄·骑士长剑</t>
  </si>
  <si>
    <t>通过本关后有概率获得一件80级套装【英雄·骑士戒指】。</t>
  </si>
  <si>
    <t>80级骑士项链</t>
  </si>
  <si>
    <t>英雄·骑士长袍</t>
  </si>
  <si>
    <t>通过本关后有概率获得一件80级套装【英雄·骑士项链】。</t>
  </si>
  <si>
    <t>80级学者武器</t>
  </si>
  <si>
    <t>英雄·骑士戒指</t>
  </si>
  <si>
    <t>通过本关后有概率获得一件80级套装【英雄·学者慧笔】。</t>
  </si>
  <si>
    <t>80级学者防具</t>
  </si>
  <si>
    <t>英雄·骑士项链</t>
  </si>
  <si>
    <t>通过本关后有概率获得一件80级套装【英雄·学者袍】。</t>
  </si>
  <si>
    <t>80级学者戒指</t>
  </si>
  <si>
    <t>英雄·学者慧笔</t>
  </si>
  <si>
    <t>通过本关后有概率获得一件80级套装【英雄·学者戒指】。</t>
  </si>
  <si>
    <t>80级学者项链</t>
  </si>
  <si>
    <t>英雄·学者袍</t>
  </si>
  <si>
    <t>通过本关后有概率获得一件80级套装【英雄·学者项链】。</t>
  </si>
  <si>
    <t>80级繁星武器</t>
  </si>
  <si>
    <t>英雄·学者戒指</t>
  </si>
  <si>
    <t>通过本关后有概率获得一件80级套装【英雄·繁星剑】。</t>
  </si>
  <si>
    <t>80级繁星防具</t>
  </si>
  <si>
    <t>英雄·学者项链</t>
  </si>
  <si>
    <t>通过本关后有概率获得一件80级套装【英雄·繁星服】。</t>
  </si>
  <si>
    <t>80级繁星戒指</t>
  </si>
  <si>
    <t>英雄·繁星剑</t>
  </si>
  <si>
    <t>通过本关后有概率获得一件80级套装【英雄·繁星戒指】。</t>
  </si>
  <si>
    <t>80级繁星项链</t>
  </si>
  <si>
    <t>英雄·繁星服</t>
  </si>
  <si>
    <t>通过本关后有概率获得一件80级套装【英雄·繁星项链】。</t>
  </si>
  <si>
    <t>80级防御武器</t>
  </si>
  <si>
    <t>英雄·繁星戒指</t>
  </si>
  <si>
    <t>通过本关后获得一件80级装备【豹纹剑】。</t>
  </si>
  <si>
    <t>80级防御防具</t>
  </si>
  <si>
    <t>英雄·繁星项链</t>
  </si>
  <si>
    <t>通过本关后获得一件80级装备【猎手帽】。</t>
  </si>
  <si>
    <t>80级防御戒指</t>
  </si>
  <si>
    <t>豹纹剑</t>
  </si>
  <si>
    <t>通过本关后获得一件80级装备【紫宝石戒指】。</t>
  </si>
  <si>
    <t>80级防御项链</t>
  </si>
  <si>
    <t>猎手帽</t>
  </si>
  <si>
    <t>通过本关后获得一件80级装备【红石项链】。</t>
  </si>
  <si>
    <t>80级标准武器</t>
  </si>
  <si>
    <t>紫宝石戒指</t>
  </si>
  <si>
    <t>通过本关后获得一件80级装备【海螺锤】。</t>
  </si>
  <si>
    <t>80级标准防具</t>
  </si>
  <si>
    <t>红石项链</t>
  </si>
  <si>
    <t>通过本关后获得一件80级装备【护卫坚盔】。</t>
  </si>
  <si>
    <t>80级标准戒指</t>
  </si>
  <si>
    <t>海螺锤</t>
  </si>
  <si>
    <t>通过本关后获得一件80级装备【红蓝戒指】。</t>
  </si>
  <si>
    <t>80级标准项链</t>
  </si>
  <si>
    <t>护卫坚盔</t>
  </si>
  <si>
    <t>通过本关后获得一件80级装备【蓝紫宝石项链】。</t>
  </si>
  <si>
    <t>80级防御英雄武器</t>
  </si>
  <si>
    <t>红蓝戒指</t>
  </si>
  <si>
    <t>通过本关后有概率获得一件80级装备【英雄·豹纹剑】。</t>
  </si>
  <si>
    <t>80级防御英雄防具</t>
  </si>
  <si>
    <t>蓝紫宝石项链</t>
  </si>
  <si>
    <t>通过本关后有概率获得一件80级装备【英雄·猎手帽】。</t>
  </si>
  <si>
    <t>80级防御英雄戒指</t>
  </si>
  <si>
    <t>英雄·豹纹剑</t>
  </si>
  <si>
    <t>通过本关后有概率获得一件80级装备【英雄·紫宝石戒指】。</t>
  </si>
  <si>
    <t>80级防御英雄项链</t>
  </si>
  <si>
    <t>英雄·猎手帽</t>
  </si>
  <si>
    <t>通过本关后有概率获得一件80级装备【英雄·蓝绿宝石项链】。</t>
  </si>
  <si>
    <t>80级标准英雄武器</t>
  </si>
  <si>
    <t>英雄·紫宝石戒指</t>
  </si>
  <si>
    <t>通过本关后有概率获得一件80级装备【英雄·海螺锤】。</t>
  </si>
  <si>
    <t>80级标准英雄防具</t>
  </si>
  <si>
    <t>英雄·蓝绿宝石项链</t>
  </si>
  <si>
    <t>通过本关后有概率获得一件80级装备【英雄·护卫坚盔】。</t>
  </si>
  <si>
    <t>80级标准英雄戒指</t>
  </si>
  <si>
    <t>英雄·海螺锤</t>
  </si>
  <si>
    <t>通过本关后有概率获得一件80级装备【英雄·红蓝戒指】。</t>
  </si>
  <si>
    <t>80级标准英雄项链</t>
  </si>
  <si>
    <t>英雄·护卫坚盔</t>
  </si>
  <si>
    <t>通过本关后有概率获得一件80级装备【英雄·蓝紫宝石项链】。</t>
  </si>
  <si>
    <t>贸易1-绿</t>
  </si>
  <si>
    <t>英雄·红蓝戒指</t>
  </si>
  <si>
    <t>完成贸易订单后有机会获得经验卷轴、训练材料、精炼石、秘传书、亲密道具、突破材料等道具。</t>
  </si>
  <si>
    <t>贸易1-蓝</t>
  </si>
  <si>
    <t>英雄·蓝紫宝石项链</t>
  </si>
  <si>
    <t>贸易1-紫</t>
  </si>
  <si>
    <t>贸易随机奖励</t>
  </si>
  <si>
    <t>贸易1-橙</t>
  </si>
  <si>
    <t>贸易2-绿</t>
  </si>
  <si>
    <t>完成贸易订单后有机会获得宝石、经验卷轴、训练材料、精炼石、亲密度材料等道具。</t>
  </si>
  <si>
    <t>贸易2-蓝</t>
  </si>
  <si>
    <t>完成贸易订单后有机会获得宝石、经验卷轴、训练材料、秘传书等道具。</t>
  </si>
  <si>
    <t>贸易2-紫</t>
  </si>
  <si>
    <t>完成贸易订单后有机会获得宝石、经验卷轴、训练材料、精炼石等道具。</t>
  </si>
  <si>
    <t>贸易2-橙</t>
  </si>
  <si>
    <t>完成贸易订单后有机会获得高品质经验卷轴、高等级训练材料等道具。</t>
  </si>
  <si>
    <t>贸易3-绿</t>
  </si>
  <si>
    <t>贸易3-蓝</t>
  </si>
  <si>
    <t>完成贸易订单后有机会获得宝石、经验卷轴、训练材料、亲密度材料等道具。</t>
  </si>
  <si>
    <t>贸易3-紫</t>
  </si>
  <si>
    <t>完成贸易订单后有机会获得宝石、经验卷轴、秘传书、亲密度材料等道具。</t>
  </si>
  <si>
    <t>贸易3-橙</t>
  </si>
  <si>
    <t>完成贸易订单后有机会获得高品质经验卷轴、高等级训练材料、精炼石、亲密度材料等道具。</t>
  </si>
  <si>
    <t>贸易4-绿</t>
  </si>
  <si>
    <t>贸易4-蓝</t>
  </si>
  <si>
    <t>贸易4-紫</t>
  </si>
  <si>
    <t>贸易4-橙</t>
  </si>
  <si>
    <t>贸易5-绿</t>
  </si>
  <si>
    <t>贸易5-蓝</t>
  </si>
  <si>
    <t>完成贸易订单后有机会获得宝石、经验卷轴、训练材料、亲密度材料、突破材料等道具。</t>
  </si>
  <si>
    <t>贸易5-紫</t>
  </si>
  <si>
    <t>完成贸易订单后有机会获得宝石、经验卷轴、秘传书、亲密度材料、快速挑战券等道具。</t>
  </si>
  <si>
    <t>贸易5-橙</t>
  </si>
  <si>
    <t>完成贸易订单后有机会获得高等级宝石、高品质经验卷轴、高等级训练材料、精炼石、亲密度材料等道具。</t>
  </si>
  <si>
    <t>斗士细剑</t>
  </si>
  <si>
    <t>通过本关后获得一件100级装备【斗士细剑】。</t>
  </si>
  <si>
    <t>金冠</t>
  </si>
  <si>
    <t>通过本关后获得一件100级装备【金冠】。</t>
  </si>
  <si>
    <t>光绿戒指</t>
  </si>
  <si>
    <t>通过本关后获得一件100级装备【光绿戒指】。</t>
  </si>
  <si>
    <t>红珍宝项链</t>
  </si>
  <si>
    <t>通过本关后获得一件100级装备【红珍宝项链】。</t>
  </si>
  <si>
    <t>战锤</t>
  </si>
  <si>
    <t>通过本关后获得一件100级装备【战锤】。</t>
  </si>
  <si>
    <t>卫兵尖盔</t>
  </si>
  <si>
    <t>通过本关后获得一件100级装备【卫兵尖盔】。</t>
  </si>
  <si>
    <t>蓝水晶戒指</t>
  </si>
  <si>
    <t>通过本关后获得一件100级装备【蓝水晶戒指】。</t>
  </si>
  <si>
    <t>珠花项链</t>
  </si>
  <si>
    <t>通过本关后获得一件100级装备【珠花项链】。</t>
  </si>
  <si>
    <t>战斗枪</t>
  </si>
  <si>
    <t>通过本关后获得一件100级装备【战斗枪】。</t>
  </si>
  <si>
    <t>车长帽</t>
  </si>
  <si>
    <t>通过本关后获得一件100级装备【车长帽】。</t>
  </si>
  <si>
    <t>红翡戒指</t>
  </si>
  <si>
    <t>通过本关后获得一件100级装备【红翡戒指】。</t>
  </si>
  <si>
    <t>金珠之链</t>
  </si>
  <si>
    <t>通过本关后获得一件100级装备【金珠之链】。</t>
  </si>
  <si>
    <t>英雄·斗士细剑</t>
  </si>
  <si>
    <t>通过本关后有概率获得一件100级装备【英雄·斗士细剑】。</t>
  </si>
  <si>
    <t>英雄·金冠</t>
  </si>
  <si>
    <t>通过本关后有概率获得一件100级装备【英雄·金冠】。</t>
  </si>
  <si>
    <t>英雄·光绿戒指</t>
  </si>
  <si>
    <t>通过本关后有概率获得一件100级装备【英雄·光绿戒指】。</t>
  </si>
  <si>
    <t>英雄·红珍宝项链</t>
  </si>
  <si>
    <t>通过本关后有概率获得一件100级装备【英雄·红珍宝项链】。</t>
  </si>
  <si>
    <t>英雄·战锤</t>
  </si>
  <si>
    <t>通过本关后有概率获得一件100级装备【英雄·战锤】。</t>
  </si>
  <si>
    <t>英雄·卫兵尖盔</t>
  </si>
  <si>
    <t>通过本关后有概率获得一件100级装备【英雄·卫兵尖盔】。</t>
  </si>
  <si>
    <t>英雄·蓝水晶戒指</t>
  </si>
  <si>
    <t>通过本关后有概率获得一件100级装备【英雄·蓝水晶戒指】。</t>
  </si>
  <si>
    <t>英雄·珠花项链</t>
  </si>
  <si>
    <t>通过本关后有概率获得一件100级装备【英雄·珠花项链】。</t>
  </si>
  <si>
    <t>英雄·战斗枪</t>
  </si>
  <si>
    <t>通过本关后有概率获得一件100级装备【英雄·战斗枪】。</t>
  </si>
  <si>
    <t>英雄·车长帽</t>
  </si>
  <si>
    <t>通过本关后有概率获得一件100级装备【英雄·车长帽】。</t>
  </si>
  <si>
    <t>英雄·红翡戒指</t>
  </si>
  <si>
    <t>通过本关后有概率获得一件100级装备【英雄·红翡戒指】。</t>
  </si>
  <si>
    <t>英雄·金珠之链</t>
  </si>
  <si>
    <t>通过本关后有概率获得一件100级装备【英雄·金珠之链】。</t>
  </si>
  <si>
    <t>英雄·提督长鞭</t>
  </si>
  <si>
    <t>通过本关后有概率获得一件100级装备【英雄·提督长鞭】。</t>
  </si>
  <si>
    <t>英雄·提督长袍</t>
  </si>
  <si>
    <t>通过本关后有概率获得一件100级装备【英雄·提督长袍】。</t>
  </si>
  <si>
    <t>英雄·提督戒指</t>
  </si>
  <si>
    <t>通过本关后有概率获得一件100级装备【英雄·提督戒指】。</t>
  </si>
  <si>
    <t>英雄·提督项链</t>
  </si>
  <si>
    <t>通过本关后有概率获得一件100级装备【英雄·提督项链】。</t>
  </si>
  <si>
    <t>英雄·绅士长杖</t>
  </si>
  <si>
    <t>通过本关后有概率获得一件100级装备【英雄·绅士长杖】。</t>
  </si>
  <si>
    <t>英雄·绅士礼服</t>
  </si>
  <si>
    <t>通过本关后有概率获得一件100级装备【英雄·绅士礼服】。</t>
  </si>
  <si>
    <t>英雄·绅士戒指</t>
  </si>
  <si>
    <t>通过本关后有概率获得一件100级装备【英雄·绅士戒指】。</t>
  </si>
  <si>
    <t>英雄·绅士项链</t>
  </si>
  <si>
    <t>通过本关后有概率获得一件100级装备【英雄·绅士项链】。</t>
  </si>
  <si>
    <t>英雄·起航剑</t>
  </si>
  <si>
    <t>通过本关后有概率获得一件100级装备【英雄·起航剑】。</t>
  </si>
  <si>
    <t>英雄·起航服</t>
  </si>
  <si>
    <t>通过本关后有概率获得一件100级装备【英雄·起航服】。</t>
  </si>
  <si>
    <t>英雄·起航戒指</t>
  </si>
  <si>
    <t>通过本关后有概率获得一件100级装备【英雄·起航戒指】。</t>
  </si>
  <si>
    <t>英雄·起航项链</t>
  </si>
  <si>
    <t>通过本关后有概率获得一件100级装备【英雄·起航项链】。</t>
  </si>
  <si>
    <t>英雄·勇气剑</t>
  </si>
  <si>
    <t>通过本关后有概率获得一件100级装备【英雄·勇气剑】。</t>
  </si>
  <si>
    <t>英雄·勇气服</t>
  </si>
  <si>
    <t>通过本关后有概率获得一件100级装备【英雄·勇气服】。</t>
  </si>
  <si>
    <t>英雄·勇气戒指</t>
  </si>
  <si>
    <t>通过本关后有概率获得一件100级装备【英雄·勇气戒指】。</t>
  </si>
  <si>
    <t>英雄·勇气项链</t>
  </si>
  <si>
    <t>通过本关后有概率获得一件100级装备【英雄·勇气项链】。</t>
  </si>
  <si>
    <t>英雄·冲击长矛</t>
  </si>
  <si>
    <t>通过本关后有概率获得一件100级装备【英雄·冲击长矛】。</t>
  </si>
  <si>
    <t>英雄·冲击长衣</t>
  </si>
  <si>
    <t>通过本关后有概率获得一件100级装备【英雄·冲击长衣】。</t>
  </si>
  <si>
    <t>英雄·冲击戒指</t>
  </si>
  <si>
    <t>通过本关后有概率获得一件100级装备【英雄·冲击戒指】。</t>
  </si>
  <si>
    <t>英雄·冲击项链</t>
  </si>
  <si>
    <t>通过本关后有概率获得一件100级装备【英雄·冲击项链】。</t>
  </si>
  <si>
    <t>1级强健宝石</t>
  </si>
  <si>
    <t>镶嵌在装备上的七彩宝石</t>
  </si>
  <si>
    <t>2级强健宝石</t>
  </si>
  <si>
    <t>3级强健宝石</t>
  </si>
  <si>
    <t>强健宝石</t>
  </si>
  <si>
    <t>4级强健宝石</t>
  </si>
  <si>
    <t>5级强健宝石</t>
  </si>
  <si>
    <t>镶嵌在装备上的强健宝石，增加属性：36点攻击，36点防御，450点血量</t>
  </si>
  <si>
    <t>6级强健宝石</t>
  </si>
  <si>
    <t>镶嵌在装备上的强健宝石，增加属性：48点攻击，48点防御，575点血量</t>
  </si>
  <si>
    <t>7级强健宝石</t>
  </si>
  <si>
    <t>镶嵌在装备上的强健宝石，增加属性：62点攻击，62点防御，755点血量</t>
  </si>
  <si>
    <t>8级强健宝石</t>
  </si>
  <si>
    <t>镶嵌在装备上的强健宝石，增加属性：80点攻击，80点防御，970点血量</t>
  </si>
  <si>
    <t>9级强健宝石</t>
  </si>
  <si>
    <t>镶嵌在装备上的强健宝石，增加属性：104点攻击，104点防御，1260点血量</t>
  </si>
  <si>
    <t>10级强健宝石</t>
  </si>
  <si>
    <t>镶嵌在装备上的强健宝石，增加属性：150点攻击，150点防御，1800点血量</t>
  </si>
  <si>
    <t>11级强健宝石</t>
  </si>
  <si>
    <t>镶嵌在装备上的强健宝石，增加属性：188点攻击，188点防御，2250点血量</t>
  </si>
  <si>
    <t>1级迅捷宝石</t>
  </si>
  <si>
    <t>2级迅捷宝石</t>
  </si>
  <si>
    <t>3级迅捷宝石</t>
  </si>
  <si>
    <t>迅捷宝石</t>
  </si>
  <si>
    <t>4级迅捷宝石</t>
  </si>
  <si>
    <t>5级迅捷宝石</t>
  </si>
  <si>
    <t>镶嵌在装备上的迅捷宝石，增加属性：7点速度，16命中值，16闪避值</t>
  </si>
  <si>
    <t>6级迅捷宝石</t>
  </si>
  <si>
    <t>镶嵌在装备上的迅捷宝石，增加属性：9点速度，20命中值，20闪避值</t>
  </si>
  <si>
    <t>7级迅捷宝石</t>
  </si>
  <si>
    <t>镶嵌在装备上的迅捷宝石，增加属性：12点速度，26命中值，26闪避值</t>
  </si>
  <si>
    <t>8级迅捷宝石</t>
  </si>
  <si>
    <t>镶嵌在装备上的迅捷宝石，增加属性：16点速度，35命中值，35闪避值</t>
  </si>
  <si>
    <t>9级迅捷宝石</t>
  </si>
  <si>
    <t>镶嵌在装备上的迅捷宝石，增加属性：21点速度，46命中值，46闪避值</t>
  </si>
  <si>
    <t>10级迅捷宝石</t>
  </si>
  <si>
    <t>镶嵌在装备上的迅捷宝石，增加属性：30点速度，66命中值，66闪避值</t>
  </si>
  <si>
    <t>11级迅捷宝石</t>
  </si>
  <si>
    <t>镶嵌在装备上的迅捷宝石，增加属性：37点速度，83命中值，83闪避值</t>
  </si>
  <si>
    <t>1级复仇宝石</t>
  </si>
  <si>
    <t>2级复仇宝石</t>
  </si>
  <si>
    <t>3级复仇宝石</t>
  </si>
  <si>
    <t>复仇宝石</t>
  </si>
  <si>
    <t>4级复仇宝石</t>
  </si>
  <si>
    <t>5级复仇宝石</t>
  </si>
  <si>
    <t>镶嵌在装备上的复仇宝石，增加属性：12暴击值，12韧性值，2.0%暴击伤害</t>
  </si>
  <si>
    <t>6级复仇宝石</t>
  </si>
  <si>
    <t>镶嵌在装备上的复仇宝石，增加属性：15暴击值，15韧性值，2.5%暴击伤害</t>
  </si>
  <si>
    <t>7级复仇宝石</t>
  </si>
  <si>
    <t>镶嵌在装备上的复仇宝石，增加属性：20暴击值，20韧性值，3.3%暴击伤害</t>
  </si>
  <si>
    <t>8级复仇宝石</t>
  </si>
  <si>
    <t>镶嵌在装备上的复仇宝石，增加属性：26暴击值，26韧性值，4.3%暴击伤害</t>
  </si>
  <si>
    <t>9级复仇宝石</t>
  </si>
  <si>
    <t>镶嵌在装备上的复仇宝石，增加属性：35暴击值，35韧性值，5.6%暴击伤害</t>
  </si>
  <si>
    <t>10级复仇宝石</t>
  </si>
  <si>
    <t>镶嵌在装备上的复仇宝石，增加属性：49暴击值，49韧性值，8.0%暴击伤害</t>
  </si>
  <si>
    <t>11级复仇宝石</t>
  </si>
  <si>
    <t>镶嵌在装备上的复仇宝石，增加属性：61暴击值，61韧性值，10.0%暴击伤害</t>
  </si>
  <si>
    <t>1级闪耀宝石</t>
  </si>
  <si>
    <t>2级闪耀宝石</t>
  </si>
  <si>
    <t>3级闪耀宝石</t>
  </si>
  <si>
    <t>闪耀宝石</t>
  </si>
  <si>
    <t>4级闪耀宝石</t>
  </si>
  <si>
    <t>5级闪耀宝石</t>
  </si>
  <si>
    <t>镶嵌在装备上的闪耀宝石，增加属性：5%全属性伤害，5%全属性抗性，2.0%抗暴击伤害</t>
  </si>
  <si>
    <t>6级闪耀宝石</t>
  </si>
  <si>
    <t>镶嵌在装备上的闪耀宝石，增加属性：6%全属性伤害，6%全属性抗性，2.5%抗暴击伤害</t>
  </si>
  <si>
    <t>7级闪耀宝石</t>
  </si>
  <si>
    <t>镶嵌在装备上的闪耀宝石，增加属性：7%全属性伤害，7%全属性抗性，3.3%抗暴击伤害</t>
  </si>
  <si>
    <t>8级闪耀宝石</t>
  </si>
  <si>
    <t>镶嵌在装备上的闪耀宝石，增加属性：8%全属性伤害，8%全属性抗性，4.3%抗暴击伤害</t>
  </si>
  <si>
    <t>9级闪耀宝石</t>
  </si>
  <si>
    <t>镶嵌在装备上的闪耀宝石，增加属性：9%全属性伤害，9%全属性抗性，5.6%抗暴击伤害</t>
  </si>
  <si>
    <t>10级闪耀宝石</t>
  </si>
  <si>
    <t>镶嵌在装备上的闪耀宝石，增加属性：10%全属性伤害，10%全属性抗性，8.0%抗暴击伤害</t>
  </si>
  <si>
    <t>11级闪耀宝石</t>
  </si>
  <si>
    <t>镶嵌在装备上的闪耀宝石，增加属性：11%全属性伤害，11%全属性抗性，10.0%抗暴击伤害</t>
  </si>
  <si>
    <t>1级命运宝石</t>
  </si>
  <si>
    <t>2级命运宝石</t>
  </si>
  <si>
    <t>3级命运宝石</t>
  </si>
  <si>
    <t>命运宝石</t>
  </si>
  <si>
    <t>4级命运宝石</t>
  </si>
  <si>
    <t>5级命运宝石</t>
  </si>
  <si>
    <t>镶嵌在装备上的命运宝石，增加属性：5%伤害加成，16命中值，16破击值</t>
  </si>
  <si>
    <t>6级命运宝石</t>
  </si>
  <si>
    <t>镶嵌在装备上的命运宝石，增加属性：6%伤害加成，20命中值，22破击值</t>
  </si>
  <si>
    <t>7级命运宝石</t>
  </si>
  <si>
    <t>镶嵌在装备上的命运宝石，增加属性：7%伤害加成，26命中值，28破击值</t>
  </si>
  <si>
    <t>8级命运宝石</t>
  </si>
  <si>
    <t>镶嵌在装备上的命运宝石，增加属性：8%伤害加成，35命中值，36破击值</t>
  </si>
  <si>
    <t>9级命运宝石</t>
  </si>
  <si>
    <t>镶嵌在装备上的命运宝石，增加属性：9%伤害加成，46命中值，47破击值</t>
  </si>
  <si>
    <t>10级命运宝石</t>
  </si>
  <si>
    <t>镶嵌在装备上的命运宝石，增加属性：10%伤害加成，66命中值，67破击值</t>
  </si>
  <si>
    <t>11级命运宝石</t>
  </si>
  <si>
    <t>镶嵌在装备上的命运宝石，增加属性：11%伤害加成，83命中值，85破击值</t>
  </si>
  <si>
    <t>1级自由宝石</t>
  </si>
  <si>
    <t>2级自由宝石</t>
  </si>
  <si>
    <t>3级自由宝石</t>
  </si>
  <si>
    <t>自由宝石</t>
  </si>
  <si>
    <t>4级自由宝石</t>
  </si>
  <si>
    <t>5级自由宝石</t>
  </si>
  <si>
    <t>镶嵌在装备上的自由宝石，增加属性：5%伤害减免，16闪避值，16格挡值</t>
  </si>
  <si>
    <t>6级自由宝石</t>
  </si>
  <si>
    <t>镶嵌在装备上的自由宝石，增加属性：6%伤害减免，20闪避值，22格挡值</t>
  </si>
  <si>
    <t>7级自由宝石</t>
  </si>
  <si>
    <t>镶嵌在装备上的自由宝石，增加属性：7%伤害减免，26闪避值，28格挡值</t>
  </si>
  <si>
    <t>8级自由宝石</t>
  </si>
  <si>
    <t>镶嵌在装备上的自由宝石，增加属性：8%伤害减免，35闪避值，36格挡值</t>
  </si>
  <si>
    <t>9级自由宝石</t>
  </si>
  <si>
    <t>镶嵌在装备上的自由宝石，增加属性：9%伤害减免，46闪避值，47格挡值</t>
  </si>
  <si>
    <t>10级自由宝石</t>
  </si>
  <si>
    <t>镶嵌在装备上的自由宝石，增加属性：10%伤害减免，66闪避值，67格挡值</t>
  </si>
  <si>
    <t>11级自由宝石</t>
  </si>
  <si>
    <t>镶嵌在装备上的自由宝石，增加属性：11%伤害减免，83闪避值，85格挡值</t>
  </si>
  <si>
    <t>1级攻击红宝石</t>
  </si>
  <si>
    <t>镶嵌在装备上的攻击宝石，增加12点攻击力。</t>
  </si>
  <si>
    <t>2级攻击红宝石</t>
  </si>
  <si>
    <t>镶嵌在装备上的攻击宝石，增加18点攻击力。</t>
  </si>
  <si>
    <t>3级攻击红宝石</t>
  </si>
  <si>
    <t>攻击宝石</t>
  </si>
  <si>
    <t>镶嵌在装备上的攻击宝石，增加24点攻击力。</t>
  </si>
  <si>
    <t>4级攻击红宝石</t>
  </si>
  <si>
    <t>镶嵌在装备上的攻击宝石，增加30点攻击力。</t>
  </si>
  <si>
    <t>5级攻击红宝石</t>
  </si>
  <si>
    <t>镶嵌在装备上的攻击宝石，增加36点攻击力。</t>
  </si>
  <si>
    <t>6级攻击红宝石</t>
  </si>
  <si>
    <t>镶嵌在装备上的攻击宝石，增加48点攻击力。</t>
  </si>
  <si>
    <t>7级攻击红宝石</t>
  </si>
  <si>
    <t>镶嵌在装备上的攻击宝石，增加62点攻击力。</t>
  </si>
  <si>
    <t>8级攻击红宝石</t>
  </si>
  <si>
    <t>镶嵌在装备上的攻击宝石，增加80点攻击力。</t>
  </si>
  <si>
    <t>9级攻击红宝石</t>
  </si>
  <si>
    <t>镶嵌在装备上的攻击宝石，增加104点攻击力。</t>
  </si>
  <si>
    <t>10级攻击红宝石</t>
  </si>
  <si>
    <t>镶嵌在装备上的攻击宝石，增加150点攻击力。</t>
  </si>
  <si>
    <t>11级攻击红宝石</t>
  </si>
  <si>
    <t>镶嵌在装备上的攻击宝石，增加188点攻击力。</t>
  </si>
  <si>
    <t>1级防御灰宝石</t>
  </si>
  <si>
    <t>镶嵌在装备上的防御宝石，增加12点防御。</t>
  </si>
  <si>
    <t>2级防御灰宝石</t>
  </si>
  <si>
    <t>镶嵌在装备上的防御宝石，增加18点防御。</t>
  </si>
  <si>
    <t>3级防御灰宝石</t>
  </si>
  <si>
    <t>防御宝石</t>
  </si>
  <si>
    <t>镶嵌在装备上的防御宝石，增加24点防御。</t>
  </si>
  <si>
    <t>4级防御灰宝石</t>
  </si>
  <si>
    <t>镶嵌在装备上的防御宝石，增加30点防御。</t>
  </si>
  <si>
    <t>5级防御灰宝石</t>
  </si>
  <si>
    <t>镶嵌在装备上的防御宝石，增加36点防御。</t>
  </si>
  <si>
    <t>6级防御灰宝石</t>
  </si>
  <si>
    <t>镶嵌在装备上的防御宝石，增加48点防御。</t>
  </si>
  <si>
    <t>7级防御灰宝石</t>
  </si>
  <si>
    <t>镶嵌在装备上的防御宝石，增加62点防御。</t>
  </si>
  <si>
    <t>8级防御灰宝石</t>
  </si>
  <si>
    <t>镶嵌在装备上的防御宝石，增加80点防御。</t>
  </si>
  <si>
    <t>9级防御灰宝石</t>
  </si>
  <si>
    <t>镶嵌在装备上的防御宝石，增加104点防御。</t>
  </si>
  <si>
    <t>10级防御灰宝石</t>
  </si>
  <si>
    <t>镶嵌在装备上的防御宝石，增加150点防御。</t>
  </si>
  <si>
    <t>11级防御灰宝石</t>
  </si>
  <si>
    <t>镶嵌在装备上的防御宝石，增加188点防御。</t>
  </si>
  <si>
    <t>1级生命红宝石</t>
  </si>
  <si>
    <t>镶嵌在装备上的生命宝石，增加160点血量。</t>
  </si>
  <si>
    <t>2级生命红宝石</t>
  </si>
  <si>
    <t>镶嵌在装备上的生命宝石，增加225点血量。</t>
  </si>
  <si>
    <t>3级生命红宝石</t>
  </si>
  <si>
    <t>生命宝石</t>
  </si>
  <si>
    <t>镶嵌在装备上的生命宝石，增加285点血量。</t>
  </si>
  <si>
    <t>4级生命红宝石</t>
  </si>
  <si>
    <t>镶嵌在装备上的生命宝石，增加360点血量。</t>
  </si>
  <si>
    <t>5级生命红宝石</t>
  </si>
  <si>
    <t>镶嵌在装备上的生命宝石，增加450点血量。</t>
  </si>
  <si>
    <t>6级生命红宝石</t>
  </si>
  <si>
    <t>镶嵌在装备上的生命宝石，增加575点血量。</t>
  </si>
  <si>
    <t>7级生命红宝石</t>
  </si>
  <si>
    <t>镶嵌在装备上的生命宝石，增加755点血量。</t>
  </si>
  <si>
    <t>8级生命红宝石</t>
  </si>
  <si>
    <t>镶嵌在装备上的生命宝石，增加970点血量。</t>
  </si>
  <si>
    <t>9级生命红宝石</t>
  </si>
  <si>
    <t>镶嵌在装备上的生命宝石，增加1260点血量。</t>
  </si>
  <si>
    <t>10级生命红宝石</t>
  </si>
  <si>
    <t>镶嵌在装备上的生命宝石，增加1800点血量。</t>
  </si>
  <si>
    <t>11级生命红宝石</t>
  </si>
  <si>
    <t>镶嵌在装备上的生命宝石，增加2250点血量。</t>
  </si>
  <si>
    <t>1级速度蓝宝石</t>
  </si>
  <si>
    <t>镶嵌在装备上的速度宝石，增加2点速度。</t>
  </si>
  <si>
    <t>2级速度蓝宝石</t>
  </si>
  <si>
    <t>镶嵌在装备上的速度宝石，增加3点速度。</t>
  </si>
  <si>
    <t>3级速度蓝宝石</t>
  </si>
  <si>
    <t>速度宝石</t>
  </si>
  <si>
    <t>镶嵌在装备上的速度宝石，增加4点速度。</t>
  </si>
  <si>
    <t>4级速度蓝宝石</t>
  </si>
  <si>
    <t>镶嵌在装备上的速度宝石，增加6点速度。</t>
  </si>
  <si>
    <t>5级速度蓝宝石</t>
  </si>
  <si>
    <t>镶嵌在装备上的速度宝石，增加7点速度。</t>
  </si>
  <si>
    <t>6级速度蓝宝石</t>
  </si>
  <si>
    <t>镶嵌在装备上的速度宝石，增加9点速度。</t>
  </si>
  <si>
    <t>7级速度蓝宝石</t>
  </si>
  <si>
    <t>镶嵌在装备上的速度宝石，增加12点速度。</t>
  </si>
  <si>
    <t>8级速度蓝宝石</t>
  </si>
  <si>
    <t>镶嵌在装备上的速度宝石，增加16点速度。</t>
  </si>
  <si>
    <t>9级速度蓝宝石</t>
  </si>
  <si>
    <t>镶嵌在装备上的速度宝石，增加21点速度。</t>
  </si>
  <si>
    <t>10级速度蓝宝石</t>
  </si>
  <si>
    <t>镶嵌在装备上的速度宝石，增加30点速度。</t>
  </si>
  <si>
    <t>11级速度蓝宝石</t>
  </si>
  <si>
    <t>镶嵌在装备上的速度宝石，增加35点速度。</t>
  </si>
  <si>
    <t>1级精准紫宝石</t>
  </si>
  <si>
    <t>镶嵌在装备上的精准宝石，增加5命中值。</t>
  </si>
  <si>
    <t>2级精准紫宝石</t>
  </si>
  <si>
    <t>镶嵌在装备上的精准宝石，增加8命中值。</t>
  </si>
  <si>
    <t>3级精准紫宝石</t>
  </si>
  <si>
    <t>精准宝石</t>
  </si>
  <si>
    <t>镶嵌在装备上的精准宝石，增加10命中值。</t>
  </si>
  <si>
    <t>4级精准紫宝石</t>
  </si>
  <si>
    <t>镶嵌在装备上的精准宝石，增加13命中值。</t>
  </si>
  <si>
    <t>5级精准紫宝石</t>
  </si>
  <si>
    <t>镶嵌在装备上的精准宝石，增加16命中值。</t>
  </si>
  <si>
    <t>6级精准紫宝石</t>
  </si>
  <si>
    <t>镶嵌在装备上的精准宝石，增加20命中值。</t>
  </si>
  <si>
    <t>7级精准紫宝石</t>
  </si>
  <si>
    <t>镶嵌在装备上的精准宝石，增加26命中值。</t>
  </si>
  <si>
    <t>8级精准紫宝石</t>
  </si>
  <si>
    <t>镶嵌在装备上的精准宝石，增加35命中值。</t>
  </si>
  <si>
    <t>9级精准紫宝石</t>
  </si>
  <si>
    <t>镶嵌在装备上的精准宝石，增加46命中值。</t>
  </si>
  <si>
    <t>10级精准紫宝石</t>
  </si>
  <si>
    <t>镶嵌在装备上的精准宝石，增加66命中值。</t>
  </si>
  <si>
    <t>11级精准紫宝石</t>
  </si>
  <si>
    <t>镶嵌在装备上的精准宝石，增加82命中值。</t>
  </si>
  <si>
    <t>1级闪避蓝宝石</t>
  </si>
  <si>
    <t>镶嵌在装备上的闪避宝石，增加5闪避值。</t>
  </si>
  <si>
    <t>2级闪避蓝宝石</t>
  </si>
  <si>
    <t>镶嵌在装备上的闪避宝石，增加8闪避值。</t>
  </si>
  <si>
    <t>3级闪避蓝宝石</t>
  </si>
  <si>
    <t>闪避宝石</t>
  </si>
  <si>
    <t>镶嵌在装备上的闪避宝石，增加10闪避值。</t>
  </si>
  <si>
    <t>4级闪避蓝宝石</t>
  </si>
  <si>
    <t>镶嵌在装备上的闪避宝石，增加13闪避值。</t>
  </si>
  <si>
    <t>5级闪避蓝宝石</t>
  </si>
  <si>
    <t>镶嵌在装备上的闪避宝石，增加16闪避值。</t>
  </si>
  <si>
    <t>6级闪避蓝宝石</t>
  </si>
  <si>
    <t>镶嵌在装备上的闪避宝石，增加20闪避值。</t>
  </si>
  <si>
    <t>7级闪避蓝宝石</t>
  </si>
  <si>
    <t>镶嵌在装备上的闪避宝石，增加26闪避值。</t>
  </si>
  <si>
    <t>8级闪避蓝宝石</t>
  </si>
  <si>
    <t>镶嵌在装备上的闪避宝石，增加35闪避值。</t>
  </si>
  <si>
    <t>9级闪避蓝宝石</t>
  </si>
  <si>
    <t>镶嵌在装备上的闪避宝石，增加46闪避值。</t>
  </si>
  <si>
    <t>10级闪避蓝宝石</t>
  </si>
  <si>
    <t>镶嵌在装备上的闪避宝石，增加66闪避值。</t>
  </si>
  <si>
    <t>11级闪避蓝宝石</t>
  </si>
  <si>
    <t>镶嵌在装备上的闪避宝石，增加82闪避值。</t>
  </si>
  <si>
    <t>1级暴击黄宝石</t>
  </si>
  <si>
    <t>镶嵌在装备上的暴击宝石，增加3暴击值。</t>
  </si>
  <si>
    <t>2级暴击黄宝石</t>
  </si>
  <si>
    <t>镶嵌在装备上的暴击宝石，增加5暴击值。</t>
  </si>
  <si>
    <t>3级暴击黄宝石</t>
  </si>
  <si>
    <t>暴击宝石</t>
  </si>
  <si>
    <t>镶嵌在装备上的暴击宝石，增加7暴击值。</t>
  </si>
  <si>
    <t>4级暴击黄宝石</t>
  </si>
  <si>
    <t>镶嵌在装备上的暴击宝石，增加10暴击值。</t>
  </si>
  <si>
    <t>5级暴击黄宝石</t>
  </si>
  <si>
    <t>镶嵌在装备上的暴击宝石，增加12暴击值。</t>
  </si>
  <si>
    <t>6级暴击黄宝石</t>
  </si>
  <si>
    <t>镶嵌在装备上的暴击宝石，增加15暴击值。</t>
  </si>
  <si>
    <t>7级暴击黄宝石</t>
  </si>
  <si>
    <t>镶嵌在装备上的暴击宝石，增加20暴击值。</t>
  </si>
  <si>
    <t>8级暴击黄宝石</t>
  </si>
  <si>
    <t>镶嵌在装备上的暴击宝石，增加26暴击值。</t>
  </si>
  <si>
    <t>9级暴击黄宝石</t>
  </si>
  <si>
    <t>镶嵌在装备上的暴击宝石，增加35暴击值。</t>
  </si>
  <si>
    <t>10级暴击黄宝石</t>
  </si>
  <si>
    <t>镶嵌在装备上的暴击宝石，增加49暴击值。</t>
  </si>
  <si>
    <t>11级暴击黄宝石</t>
  </si>
  <si>
    <t>镶嵌在装备上的暴击宝石，增加82暴击值。</t>
  </si>
  <si>
    <t>1级抗暴蓝宝石</t>
  </si>
  <si>
    <t>镶嵌在装备上的抗暴宝石，增加3韧性值。</t>
  </si>
  <si>
    <t>2级抗暴蓝宝石</t>
  </si>
  <si>
    <t>镶嵌在装备上的抗暴宝石，增加5韧性值。</t>
  </si>
  <si>
    <t>3级抗暴蓝宝石</t>
  </si>
  <si>
    <t>抗暴宝石</t>
  </si>
  <si>
    <t>镶嵌在装备上的抗暴宝石，增加7韧性值。</t>
  </si>
  <si>
    <t>4级抗暴蓝宝石</t>
  </si>
  <si>
    <t>镶嵌在装备上的抗暴宝石，增加10韧性值。</t>
  </si>
  <si>
    <t>5级抗暴蓝宝石</t>
  </si>
  <si>
    <t>镶嵌在装备上的抗暴宝石，增加12韧性值。</t>
  </si>
  <si>
    <t>6级抗暴蓝宝石</t>
  </si>
  <si>
    <t>镶嵌在装备上的抗暴宝石，增加15韧性值。</t>
  </si>
  <si>
    <t>7级抗暴蓝宝石</t>
  </si>
  <si>
    <t>镶嵌在装备上的抗暴宝石，增加20韧性值。</t>
  </si>
  <si>
    <t>8级抗暴蓝宝石</t>
  </si>
  <si>
    <t>镶嵌在装备上的抗暴宝石，增加26韧性值。</t>
  </si>
  <si>
    <t>9级抗暴蓝宝石</t>
  </si>
  <si>
    <t>镶嵌在装备上的抗暴宝石，增加35韧性值。</t>
  </si>
  <si>
    <t>10级抗暴蓝宝石</t>
  </si>
  <si>
    <t>镶嵌在装备上的抗暴宝石，增加49韧性值。</t>
  </si>
  <si>
    <t>11级抗暴蓝宝石</t>
  </si>
  <si>
    <t>镶嵌在装备上的抗暴宝石，增加82韧性值。</t>
  </si>
  <si>
    <t>1级暴伤黄宝石</t>
  </si>
  <si>
    <t>镶嵌在装备上的暴伤宝石，增加0.7%暴击伤害。</t>
  </si>
  <si>
    <t>2级暴伤黄宝石</t>
  </si>
  <si>
    <t>镶嵌在装备上的暴伤宝石，增加1.0%暴击伤害。</t>
  </si>
  <si>
    <t>3级暴伤黄宝石</t>
  </si>
  <si>
    <t>暴伤宝石</t>
  </si>
  <si>
    <t>镶嵌在装备上的暴伤宝石，增加1.2%暴击伤害。</t>
  </si>
  <si>
    <t>4级暴伤黄宝石</t>
  </si>
  <si>
    <t>镶嵌在装备上的暴伤宝石，增加1.6%暴击伤害。</t>
  </si>
  <si>
    <t>5级暴伤黄宝石</t>
  </si>
  <si>
    <t>镶嵌在装备上的暴伤宝石，增加2.0%暴击伤害。</t>
  </si>
  <si>
    <t>6级暴伤黄宝石</t>
  </si>
  <si>
    <t>镶嵌在装备上的暴伤宝石，增加2.5%暴击伤害。</t>
  </si>
  <si>
    <t>7级暴伤黄宝石</t>
  </si>
  <si>
    <t>镶嵌在装备上的暴伤宝石，增加3.3%暴击伤害。</t>
  </si>
  <si>
    <t>8级暴伤黄宝石</t>
  </si>
  <si>
    <t>镶嵌在装备上的暴伤宝石，增加4.3%暴击伤害。</t>
  </si>
  <si>
    <t>9级暴伤黄宝石</t>
  </si>
  <si>
    <t>镶嵌在装备上的暴伤宝石，增加5.6%暴击伤害。</t>
  </si>
  <si>
    <t>10级暴伤黄宝石</t>
  </si>
  <si>
    <t>镶嵌在装备上的暴伤宝石，增加8.0%暴击伤害。</t>
  </si>
  <si>
    <t>11级暴伤黄宝石</t>
  </si>
  <si>
    <t>镶嵌在装备上的暴伤宝石，增加10.0%暴击伤害。</t>
  </si>
  <si>
    <t>1级怒气红宝石</t>
  </si>
  <si>
    <t>镶嵌在装备上的怒气宝石，增加0.5点初始怒气。</t>
  </si>
  <si>
    <t>2级怒气红宝石</t>
  </si>
  <si>
    <t>镶嵌在装备上的怒气宝石，增加1点初始怒气。</t>
  </si>
  <si>
    <t>3级怒气红宝石</t>
  </si>
  <si>
    <t>怒气宝石</t>
  </si>
  <si>
    <t>镶嵌在装备上的怒气宝石，增加1.5点初始怒气。</t>
  </si>
  <si>
    <t>4级怒气红宝石</t>
  </si>
  <si>
    <t>镶嵌在装备上的怒气宝石，增加2点初始怒气。</t>
  </si>
  <si>
    <t>5级怒气红宝石</t>
  </si>
  <si>
    <t>镶嵌在装备上的怒气宝石，增加2.5点初始怒气。</t>
  </si>
  <si>
    <t>6级怒气红宝石</t>
  </si>
  <si>
    <t>镶嵌在装备上的怒气宝石，增加3点初始怒气。</t>
  </si>
  <si>
    <t>7级怒气红宝石</t>
  </si>
  <si>
    <t>镶嵌在装备上的怒气宝石，增加3.5点初始怒气。</t>
  </si>
  <si>
    <t>8级怒气红宝石</t>
  </si>
  <si>
    <t>镶嵌在装备上的怒气宝石，增加4点初始怒气。</t>
  </si>
  <si>
    <t>9级怒气红宝石</t>
  </si>
  <si>
    <t>镶嵌在装备上的怒气宝石，增加4.5点初始怒气。</t>
  </si>
  <si>
    <t>10级怒气红宝石</t>
  </si>
  <si>
    <t>镶嵌在装备上的怒气宝石，增加5点初始怒气。</t>
  </si>
  <si>
    <t>1级回复绿宝石</t>
  </si>
  <si>
    <t>镶嵌在装备上的回复宝石，每回合恢复25血量。</t>
  </si>
  <si>
    <t>2级回复绿宝石</t>
  </si>
  <si>
    <t>镶嵌在装备上的回复宝石，每回合恢复36血量。</t>
  </si>
  <si>
    <t>3级回复绿宝石</t>
  </si>
  <si>
    <t>回复宝石</t>
  </si>
  <si>
    <t>镶嵌在装备上的回复宝石，每回合恢复48血量。</t>
  </si>
  <si>
    <t>4级回复绿宝石</t>
  </si>
  <si>
    <t>镶嵌在装备上的回复宝石，每回合恢复60血量。</t>
  </si>
  <si>
    <t>5级回复绿宝石</t>
  </si>
  <si>
    <t>镶嵌在装备上的回复宝石，每回合恢复75血量。</t>
  </si>
  <si>
    <t>6级回复绿宝石</t>
  </si>
  <si>
    <t>镶嵌在装备上的回复宝石，每回合恢复96血量。</t>
  </si>
  <si>
    <t>7级回复绿宝石</t>
  </si>
  <si>
    <t>镶嵌在装备上的回复宝石，每回合恢复126血量。</t>
  </si>
  <si>
    <t>8级回复绿宝石</t>
  </si>
  <si>
    <t>镶嵌在装备上的回复宝石，每回合恢复162血量。</t>
  </si>
  <si>
    <t>9级回复绿宝石</t>
  </si>
  <si>
    <t>镶嵌在装备上的回复宝石，每回合恢复210血量。</t>
  </si>
  <si>
    <t>10级回复绿宝石</t>
  </si>
  <si>
    <t>镶嵌在装备上的回复宝石，每回合恢复300血量。</t>
  </si>
  <si>
    <t>1级治愈绿宝石</t>
  </si>
  <si>
    <t>镶嵌在装备上的治愈宝石，增加1%治疗量。</t>
  </si>
  <si>
    <t>2级治愈绿宝石</t>
  </si>
  <si>
    <t>镶嵌在装备上的治愈宝石，增加2%治疗量。</t>
  </si>
  <si>
    <t>3级治愈绿宝石</t>
  </si>
  <si>
    <t>治愈宝石</t>
  </si>
  <si>
    <t>镶嵌在装备上的治愈宝石，增加3%治疗量。</t>
  </si>
  <si>
    <t>4级治愈绿宝石</t>
  </si>
  <si>
    <t>镶嵌在装备上的治愈宝石，增加4%治疗量。</t>
  </si>
  <si>
    <t>5级治愈绿宝石</t>
  </si>
  <si>
    <t>镶嵌在装备上的治愈宝石，增加5%治疗量。</t>
  </si>
  <si>
    <t>6级治愈绿宝石</t>
  </si>
  <si>
    <t>镶嵌在装备上的治愈宝石，增加6%治疗量。</t>
  </si>
  <si>
    <t>7级治愈绿宝石</t>
  </si>
  <si>
    <t>镶嵌在装备上的治愈宝石，增加7%治疗量。</t>
  </si>
  <si>
    <t>8级治愈绿宝石</t>
  </si>
  <si>
    <t>镶嵌在装备上的治愈宝石，增加8%治疗量。</t>
  </si>
  <si>
    <t>9级治愈绿宝石</t>
  </si>
  <si>
    <t>镶嵌在装备上的治愈宝石，增加9%治疗量。</t>
  </si>
  <si>
    <t>10级治愈绿宝石</t>
  </si>
  <si>
    <t>镶嵌在装备上的治愈宝石，增加10%治疗量。</t>
  </si>
  <si>
    <t>1级回血绿宝石</t>
  </si>
  <si>
    <t>镶嵌在装备上的回血宝石，击杀敌人后恢复81血量。</t>
  </si>
  <si>
    <t>2级回血绿宝石</t>
  </si>
  <si>
    <t>镶嵌在装备上的回血宝石，击杀敌人后恢复112血量。</t>
  </si>
  <si>
    <t>3级回血绿宝石</t>
  </si>
  <si>
    <t>回血宝石</t>
  </si>
  <si>
    <t>镶嵌在装备上的回血宝石，击杀敌人后恢复144血量。</t>
  </si>
  <si>
    <t>4级回血绿宝石</t>
  </si>
  <si>
    <t>镶嵌在装备上的回血宝石，击杀敌人后恢复180血量。</t>
  </si>
  <si>
    <t>5级回血绿宝石</t>
  </si>
  <si>
    <t>镶嵌在装备上的回血宝石，击杀敌人后恢复225血量。</t>
  </si>
  <si>
    <t>6级回血绿宝石</t>
  </si>
  <si>
    <t>镶嵌在装备上的回血宝石，击杀敌人后恢复288血量。</t>
  </si>
  <si>
    <t>7级回血绿宝石</t>
  </si>
  <si>
    <t>镶嵌在装备上的回血宝石，击杀敌人后恢复378血量。</t>
  </si>
  <si>
    <t>8级回血绿宝石</t>
  </si>
  <si>
    <t>镶嵌在装备上的回血宝石，击杀敌人后恢复486血量。</t>
  </si>
  <si>
    <t>9级回血绿宝石</t>
  </si>
  <si>
    <t>镶嵌在装备上的回血宝石，击杀敌人后恢复630血量。</t>
  </si>
  <si>
    <t>10级回血绿宝石</t>
  </si>
  <si>
    <t>镶嵌在装备上的回血宝石，击杀敌人后恢复900血量。</t>
  </si>
  <si>
    <t>1级回怒红宝石</t>
  </si>
  <si>
    <t>镶嵌在装备上的回怒宝石，击杀敌人后恢复1怒气。</t>
  </si>
  <si>
    <t>2级回怒红宝石</t>
  </si>
  <si>
    <t>镶嵌在装备上的回怒宝石，击杀敌人后恢复2怒气。</t>
  </si>
  <si>
    <t>3级回怒红宝石</t>
  </si>
  <si>
    <t>回怒宝石</t>
  </si>
  <si>
    <t>镶嵌在装备上的回怒宝石，击杀敌人后恢复3怒气。</t>
  </si>
  <si>
    <t>4级回怒红宝石</t>
  </si>
  <si>
    <t>镶嵌在装备上的回怒宝石，击杀敌人后恢复4怒气。</t>
  </si>
  <si>
    <t>5级回怒红宝石</t>
  </si>
  <si>
    <t>镶嵌在装备上的回怒宝石，击杀敌人后恢复5怒气。</t>
  </si>
  <si>
    <t>6级回怒红宝石</t>
  </si>
  <si>
    <t>镶嵌在装备上的回怒宝石，击杀敌人后恢复6怒气。</t>
  </si>
  <si>
    <t>7级回怒红宝石</t>
  </si>
  <si>
    <t>镶嵌在装备上的回怒宝石，击杀敌人后恢复7怒气。</t>
  </si>
  <si>
    <t>8级回怒红宝石</t>
  </si>
  <si>
    <t>镶嵌在装备上的回怒宝石，击杀敌人后恢复8怒气。</t>
  </si>
  <si>
    <t>9级回怒红宝石</t>
  </si>
  <si>
    <t>镶嵌在装备上的回怒宝石，击杀敌人后恢复9怒气。</t>
  </si>
  <si>
    <t>10级回怒红宝石</t>
  </si>
  <si>
    <t>镶嵌在装备上的回怒宝石，击杀敌人后恢复10怒气。</t>
  </si>
  <si>
    <t>1级正义白宝石</t>
  </si>
  <si>
    <t>镶嵌在装备上的正义宝石，对于海盗势力伤害增加0.4%。</t>
  </si>
  <si>
    <t>2级正义白宝石</t>
  </si>
  <si>
    <t>镶嵌在装备上的正义宝石，对于海盗势力伤害增加0.6%。</t>
  </si>
  <si>
    <t>3级正义白宝石</t>
  </si>
  <si>
    <t>正义宝石</t>
  </si>
  <si>
    <t>镶嵌在装备上的正义宝石，对于海盗势力伤害增加0.8%。</t>
  </si>
  <si>
    <t>4级正义白宝石</t>
  </si>
  <si>
    <t>镶嵌在装备上的正义宝石，对于海盗势力伤害增加1.0%。</t>
  </si>
  <si>
    <t>5级正义白宝石</t>
  </si>
  <si>
    <t>镶嵌在装备上的正义宝石，对于海盗势力伤害增加1.3%。</t>
  </si>
  <si>
    <t>6级正义白宝石</t>
  </si>
  <si>
    <t>镶嵌在装备上的正义宝石，对于海盗势力伤害增加1.6%。</t>
  </si>
  <si>
    <t>7级正义白宝石</t>
  </si>
  <si>
    <t>镶嵌在装备上的正义宝石，对于海盗势力伤害增加2.1%。</t>
  </si>
  <si>
    <t>8级正义白宝石</t>
  </si>
  <si>
    <t>镶嵌在装备上的正义宝石，对于海盗势力伤害增加2.7%。</t>
  </si>
  <si>
    <t>9级正义白宝石</t>
  </si>
  <si>
    <t>镶嵌在装备上的正义宝石，对于海盗势力伤害增加3.5%。</t>
  </si>
  <si>
    <t>10级正义白宝石</t>
  </si>
  <si>
    <t>镶嵌在装备上的正义宝石，对于海盗势力伤害增加5.0%。</t>
  </si>
  <si>
    <t>1级骷髅黑宝石</t>
  </si>
  <si>
    <t>镶嵌在装备上的骷髅宝石，对于海军势力伤害增加0.4%。</t>
  </si>
  <si>
    <t>2级骷髅黑宝石</t>
  </si>
  <si>
    <t>镶嵌在装备上的骷髅宝石，对于海军势力伤害增加0.6%。</t>
  </si>
  <si>
    <t>3级骷髅黑宝石</t>
  </si>
  <si>
    <t>骷髅宝石</t>
  </si>
  <si>
    <t>镶嵌在装备上的骷髅宝石，对于海军势力伤害增加0.8%。</t>
  </si>
  <si>
    <t>4级骷髅黑宝石</t>
  </si>
  <si>
    <t>镶嵌在装备上的骷髅宝石，对于海军势力伤害增加1.0%。</t>
  </si>
  <si>
    <t>5级骷髅黑宝石</t>
  </si>
  <si>
    <t>镶嵌在装备上的骷髅宝石，对于海军势力伤害增加1.3%。</t>
  </si>
  <si>
    <t>6级骷髅黑宝石</t>
  </si>
  <si>
    <t>镶嵌在装备上的骷髅宝石，对于海军势力伤害增加1.6%。</t>
  </si>
  <si>
    <t>7级骷髅黑宝石</t>
  </si>
  <si>
    <t>镶嵌在装备上的骷髅宝石，对于海军势力伤害增加2.1%。</t>
  </si>
  <si>
    <t>8级骷髅黑宝石</t>
  </si>
  <si>
    <t>镶嵌在装备上的骷髅宝石，对于海军势力伤害增加2.7%。</t>
  </si>
  <si>
    <t>9级骷髅黑宝石</t>
  </si>
  <si>
    <t>镶嵌在装备上的骷髅宝石，对于海军势力伤害增加3.5%。</t>
  </si>
  <si>
    <t>10级骷髅黑宝石</t>
  </si>
  <si>
    <t>镶嵌在装备上的骷髅宝石，对于海军势力伤害增加5.0%。</t>
  </si>
  <si>
    <t>1级胜利粉宝石</t>
  </si>
  <si>
    <t>镶嵌在装备上的胜利宝石，战斗胜利恢复67点血量。</t>
  </si>
  <si>
    <t>2级胜利粉宝石</t>
  </si>
  <si>
    <t>镶嵌在装备上的胜利宝石，战斗胜利恢复95点血量。</t>
  </si>
  <si>
    <t>3级胜利粉宝石</t>
  </si>
  <si>
    <t>胜利宝石</t>
  </si>
  <si>
    <t>镶嵌在装备上的胜利宝石，战斗胜利恢复120点血量。</t>
  </si>
  <si>
    <t>4级胜利粉宝石</t>
  </si>
  <si>
    <t>镶嵌在装备上的胜利宝石，战斗胜利恢复150点血量。</t>
  </si>
  <si>
    <t>5级胜利粉宝石</t>
  </si>
  <si>
    <t>镶嵌在装备上的胜利宝石，战斗胜利恢复190点血量。</t>
  </si>
  <si>
    <t>6级胜利粉宝石</t>
  </si>
  <si>
    <t>镶嵌在装备上的胜利宝石，战斗胜利恢复240点血量。</t>
  </si>
  <si>
    <t>7级胜利粉宝石</t>
  </si>
  <si>
    <t>镶嵌在装备上的胜利宝石，战斗胜利恢复315点血量。</t>
  </si>
  <si>
    <t>8级胜利粉宝石</t>
  </si>
  <si>
    <t>镶嵌在装备上的胜利宝石，战斗胜利恢复405点血量。</t>
  </si>
  <si>
    <t>9级胜利粉宝石</t>
  </si>
  <si>
    <t>镶嵌在装备上的胜利宝石，战斗胜利恢复525点血量。</t>
  </si>
  <si>
    <t>10级胜利粉宝石</t>
  </si>
  <si>
    <t>镶嵌在装备上的胜利宝石，战斗胜利恢复750点血量。</t>
  </si>
  <si>
    <t>1级格挡宝石</t>
  </si>
  <si>
    <t>镶嵌在装备上的格挡宝石，增加5点格挡值。</t>
  </si>
  <si>
    <t>2级格挡宝石</t>
  </si>
  <si>
    <t>镶嵌在装备上的格挡宝石，增加8点格挡值。</t>
  </si>
  <si>
    <t>3级格挡宝石</t>
  </si>
  <si>
    <t>格挡宝石</t>
  </si>
  <si>
    <t>镶嵌在装备上的格挡宝石，增加11点格挡值。</t>
  </si>
  <si>
    <t>4级格挡宝石</t>
  </si>
  <si>
    <t>镶嵌在装备上的格挡宝石，增加13点格挡值。</t>
  </si>
  <si>
    <t>5级格挡宝石</t>
  </si>
  <si>
    <t>镶嵌在装备上的格挡宝石，增加16点格挡值。</t>
  </si>
  <si>
    <t>6级格挡宝石</t>
  </si>
  <si>
    <t>镶嵌在装备上的格挡宝石，增加22点格挡值。</t>
  </si>
  <si>
    <t>7级格挡宝石</t>
  </si>
  <si>
    <t>镶嵌在装备上的格挡宝石，增加28点格挡值。</t>
  </si>
  <si>
    <t>8级格挡宝石</t>
  </si>
  <si>
    <t>镶嵌在装备上的格挡宝石，增加36点格挡值。</t>
  </si>
  <si>
    <t>9级格挡宝石</t>
  </si>
  <si>
    <t>镶嵌在装备上的格挡宝石，增加47点格挡值。</t>
  </si>
  <si>
    <t>10级格挡宝石</t>
  </si>
  <si>
    <t>镶嵌在装备上的格挡宝石，增加67点格挡值。</t>
  </si>
  <si>
    <t>11级格挡宝石</t>
  </si>
  <si>
    <t>镶嵌在装备上的格挡宝石，增加82点格挡值。</t>
  </si>
  <si>
    <t>1级破击宝石</t>
  </si>
  <si>
    <t>镶嵌在装备上的破击宝石，增加5点破击值。</t>
  </si>
  <si>
    <t>2级破击宝石</t>
  </si>
  <si>
    <t>镶嵌在装备上的破击宝石，增加8点破击值。</t>
  </si>
  <si>
    <t>3级破击宝石</t>
  </si>
  <si>
    <t>破击宝石</t>
  </si>
  <si>
    <t>镶嵌在装备上的破击宝石，增加11点破击值。</t>
  </si>
  <si>
    <t>4级破击宝石</t>
  </si>
  <si>
    <t>镶嵌在装备上的破击宝石，增加13点破击值。</t>
  </si>
  <si>
    <t>5级破击宝石</t>
  </si>
  <si>
    <t>镶嵌在装备上的破击宝石，增加16点破击值。</t>
  </si>
  <si>
    <t>6级破击宝石</t>
  </si>
  <si>
    <t>镶嵌在装备上的破击宝石，增加22点破击值。</t>
  </si>
  <si>
    <t>7级破击宝石</t>
  </si>
  <si>
    <t>镶嵌在装备上的破击宝石，增加28点破击值。</t>
  </si>
  <si>
    <t>8级破击宝石</t>
  </si>
  <si>
    <t>镶嵌在装备上的破击宝石，增加36点破击值。</t>
  </si>
  <si>
    <t>9级破击宝石</t>
  </si>
  <si>
    <t>镶嵌在装备上的破击宝石，增加47点破击值。</t>
  </si>
  <si>
    <t>10级破击宝石</t>
  </si>
  <si>
    <t>镶嵌在装备上的破击宝石，增加67点破击值。</t>
  </si>
  <si>
    <t>11级破击宝石</t>
  </si>
  <si>
    <t>镶嵌在装备上的破击宝石，增加82点破击值。</t>
  </si>
  <si>
    <t>1级吸血宝石</t>
  </si>
  <si>
    <t>镶嵌在装备上的吸血宝石，造成伤害的0.2%转化为自身血量。</t>
  </si>
  <si>
    <t>2级吸血宝石</t>
  </si>
  <si>
    <t>镶嵌在装备上的吸血宝石，造成伤害的0.25%转化为自身血量。</t>
  </si>
  <si>
    <t>3级吸血宝石</t>
  </si>
  <si>
    <t>吸血宝石</t>
  </si>
  <si>
    <t>镶嵌在装备上的吸血宝石，造成伤害的0.32%转化为自身血量。</t>
  </si>
  <si>
    <t>4级吸血宝石</t>
  </si>
  <si>
    <t>镶嵌在装备上的吸血宝石，造成伤害的0.4%转化为自身血量。</t>
  </si>
  <si>
    <t>5级吸血宝石</t>
  </si>
  <si>
    <t>镶嵌在装备上的吸血宝石，造成伤害的0.5%转化为自身血量。</t>
  </si>
  <si>
    <t>6级吸血宝石</t>
  </si>
  <si>
    <t>镶嵌在装备上的吸血宝石，造成伤害的0.64%转化为自身血量。</t>
  </si>
  <si>
    <t>7级吸血宝石</t>
  </si>
  <si>
    <t>镶嵌在装备上的吸血宝石，造成伤害的0.84%转化为自身血量。</t>
  </si>
  <si>
    <t>8级吸血宝石</t>
  </si>
  <si>
    <t>镶嵌在装备上的吸血宝石，造成伤害的1.0%转化为自身血量。</t>
  </si>
  <si>
    <t>9级吸血宝石</t>
  </si>
  <si>
    <t>镶嵌在装备上的吸血宝石，造成伤害的1.4%转化为自身血量。</t>
  </si>
  <si>
    <t>10级吸血宝石</t>
  </si>
  <si>
    <t>镶嵌在装备上的吸血宝石，造成伤害的2.0%转化为自身血量。</t>
  </si>
  <si>
    <t>1级穿透宝石</t>
  </si>
  <si>
    <t>镶嵌在装备上的穿透宝石，降低目标7点防御。</t>
  </si>
  <si>
    <t>2级穿透宝石</t>
  </si>
  <si>
    <t>镶嵌在装备上的穿透宝石，降低目标9点防御。</t>
  </si>
  <si>
    <t>3级穿透宝石</t>
  </si>
  <si>
    <t>穿透宝石</t>
  </si>
  <si>
    <t>镶嵌在装备上的穿透宝石，降低目标12点防御。</t>
  </si>
  <si>
    <t>4级穿透宝石</t>
  </si>
  <si>
    <t>镶嵌在装备上的穿透宝石，降低目标15点防御。</t>
  </si>
  <si>
    <t>5级穿透宝石</t>
  </si>
  <si>
    <t>镶嵌在装备上的穿透宝石，降低目标18点防御。</t>
  </si>
  <si>
    <t>6级穿透宝石</t>
  </si>
  <si>
    <t>镶嵌在装备上的穿透宝石，降低目标24点防御。</t>
  </si>
  <si>
    <t>7级穿透宝石</t>
  </si>
  <si>
    <t>镶嵌在装备上的穿透宝石，降低目标32点防御。</t>
  </si>
  <si>
    <t>8级穿透宝石</t>
  </si>
  <si>
    <t>镶嵌在装备上的穿透宝石，降低目标40点防御。</t>
  </si>
  <si>
    <t>9级穿透宝石</t>
  </si>
  <si>
    <t>镶嵌在装备上的穿透宝石，降低目标52点防御。</t>
  </si>
  <si>
    <t>10级穿透宝石</t>
  </si>
  <si>
    <t>镶嵌在装备上的穿透宝石，降低目标75点防御。</t>
  </si>
  <si>
    <t>1级属伤宝石</t>
  </si>
  <si>
    <t>镶嵌在装备上的属性伤害宝石，提高1%全属性伤害。</t>
  </si>
  <si>
    <t>2级属伤宝石</t>
  </si>
  <si>
    <t>镶嵌在装备上的属性伤害宝石，提高2%全属性伤害。</t>
  </si>
  <si>
    <t>3级属伤宝石</t>
  </si>
  <si>
    <t>属伤宝石</t>
  </si>
  <si>
    <t>镶嵌在装备上的属性伤害宝石，提高3%全属性伤害。</t>
  </si>
  <si>
    <t>4级属伤宝石</t>
  </si>
  <si>
    <t>镶嵌在装备上的属性伤害宝石，提高4%全属性伤害。</t>
  </si>
  <si>
    <t>5级属伤宝石</t>
  </si>
  <si>
    <t>镶嵌在装备上的属性伤害宝石，提高5%全属性伤害。</t>
  </si>
  <si>
    <t>6级属伤宝石</t>
  </si>
  <si>
    <t>镶嵌在装备上的属性伤害宝石，提高6%全属性伤害。</t>
  </si>
  <si>
    <t>7级属伤宝石</t>
  </si>
  <si>
    <t>镶嵌在装备上的属性伤害宝石，提高7%全属性伤害。</t>
  </si>
  <si>
    <t>8级属伤宝石</t>
  </si>
  <si>
    <t>镶嵌在装备上的属性伤害宝石，提高8%全属性伤害。</t>
  </si>
  <si>
    <t>9级属伤宝石</t>
  </si>
  <si>
    <t>镶嵌在装备上的属性伤害宝石，提高9%全属性伤害。</t>
  </si>
  <si>
    <t>10级属伤宝石</t>
  </si>
  <si>
    <t>镶嵌在装备上的属性伤害宝石，提高10%全属性伤害。</t>
  </si>
  <si>
    <t>11级属伤宝石</t>
  </si>
  <si>
    <t>镶嵌在装备上的属性伤害宝石，提高11%全属性伤害。</t>
  </si>
  <si>
    <t>1级抗性宝石</t>
  </si>
  <si>
    <t>镶嵌在装备上的抗性宝石，提高1%全属性抗性。</t>
  </si>
  <si>
    <t>2级抗性宝石</t>
  </si>
  <si>
    <t>镶嵌在装备上的抗性宝石，提高2%全属性抗性。</t>
  </si>
  <si>
    <t>3级抗性宝石</t>
  </si>
  <si>
    <t>抗性宝石</t>
  </si>
  <si>
    <t>镶嵌在装备上的抗性宝石，提高3%全属性抗性。</t>
  </si>
  <si>
    <t>4级抗性宝石</t>
  </si>
  <si>
    <t>镶嵌在装备上的抗性宝石，提高4%全属性抗性。</t>
  </si>
  <si>
    <t>5级抗性宝石</t>
  </si>
  <si>
    <t>镶嵌在装备上的抗性宝石，提高5%全属性抗性。</t>
  </si>
  <si>
    <t>6级抗性宝石</t>
  </si>
  <si>
    <t>镶嵌在装备上的抗性宝石，提高6%全属性抗性。</t>
  </si>
  <si>
    <t>7级抗性宝石</t>
  </si>
  <si>
    <t>镶嵌在装备上的抗性宝石，提高7%全属性抗性。</t>
  </si>
  <si>
    <t>8级抗性宝石</t>
  </si>
  <si>
    <t>镶嵌在装备上的抗性宝石，提高8%全属性抗性。</t>
  </si>
  <si>
    <t>9级抗性宝石</t>
  </si>
  <si>
    <t>镶嵌在装备上的抗性宝石，提高9%全属性抗性。</t>
  </si>
  <si>
    <t>10级抗性宝石</t>
  </si>
  <si>
    <t>镶嵌在装备上的抗性宝石，提高10%全属性抗性。</t>
  </si>
  <si>
    <t>11级抗性宝石</t>
  </si>
  <si>
    <t>镶嵌在装备上的抗性宝石，提高11%全属性抗性。</t>
  </si>
  <si>
    <t>1级抗暴伤宝石</t>
  </si>
  <si>
    <t>镶嵌在装备上的抗暴伤宝石，提高0.7%抗暴击伤害。</t>
  </si>
  <si>
    <t>2级抗暴伤宝石</t>
  </si>
  <si>
    <t>镶嵌在装备上的抗暴伤宝石，提高1.0%抗暴击伤害。</t>
  </si>
  <si>
    <t>3级抗暴伤宝石</t>
  </si>
  <si>
    <t>抗暴伤宝石</t>
  </si>
  <si>
    <t>镶嵌在装备上的抗暴伤宝石，提高1.2%抗暴击伤害。</t>
  </si>
  <si>
    <t>4级抗暴伤宝石</t>
  </si>
  <si>
    <t>镶嵌在装备上的抗暴伤宝石，提高1.6%抗暴击伤害。</t>
  </si>
  <si>
    <t>5级抗暴伤宝石</t>
  </si>
  <si>
    <t>镶嵌在装备上的抗暴伤宝石，提高2.0%抗暴击伤害。</t>
  </si>
  <si>
    <t>6级抗暴伤宝石</t>
  </si>
  <si>
    <t>镶嵌在装备上的抗暴伤宝石，提高2.5%抗暴击伤害。</t>
  </si>
  <si>
    <t>7级抗暴伤宝石</t>
  </si>
  <si>
    <t>镶嵌在装备上的抗暴伤宝石，提高3.3%抗暴击伤害。</t>
  </si>
  <si>
    <t>8级抗暴伤宝石</t>
  </si>
  <si>
    <t>镶嵌在装备上的抗暴伤宝石，提高4.3%抗暴击伤害。</t>
  </si>
  <si>
    <t>9级抗暴伤宝石</t>
  </si>
  <si>
    <t>镶嵌在装备上的抗暴伤宝石，提高5.6%抗暴击伤害。</t>
  </si>
  <si>
    <t>10级抗暴伤宝石</t>
  </si>
  <si>
    <t>镶嵌在装备上的抗暴伤宝石，提高8.0%抗暴击伤害。</t>
  </si>
  <si>
    <t>活力宝石</t>
  </si>
  <si>
    <t>装有宝石的小袋子，打开后可以获得高档宝石，有几率开出高等级宝石。</t>
  </si>
  <si>
    <t>精巧宝石袋</t>
  </si>
  <si>
    <t>技能书袋子</t>
  </si>
  <si>
    <t>装有秘传书的宝箱，打开后可以获得秘传书，有几率开出高等级秘传书。</t>
  </si>
  <si>
    <t>突破材料袋子</t>
  </si>
  <si>
    <t>装有突破材料的宝箱，打开后可以获得突破材料，有几率开出高品质突破材料。</t>
  </si>
  <si>
    <t>打孔道具袋子</t>
  </si>
  <si>
    <t>秘传书宝箱</t>
  </si>
  <si>
    <t>装有打孔石的小袋子，打开后可以获得打孔石，有几率开出高品质打孔石。</t>
  </si>
  <si>
    <t>精炼石袋子</t>
  </si>
  <si>
    <t>装有精炼石的小袋子，打开后可以获得精炼石，有几率开出高品质精炼石。</t>
  </si>
  <si>
    <t>打孔道具袋</t>
  </si>
  <si>
    <t>装有宝石的小袋子，打开后可以随机获得属伤宝石、抗性宝石和抗暴伤宝石，有几率开出高等级宝石。</t>
  </si>
  <si>
    <t>高级宝石袋</t>
  </si>
  <si>
    <t>精炼石袋</t>
  </si>
  <si>
    <t>装有高级宝石的袋子，打开后可以随机获得一个7级宝石。</t>
  </si>
  <si>
    <t>血战宝箱</t>
  </si>
  <si>
    <t>打开后有概率获得蓝钻、秘传书、宝石。</t>
  </si>
  <si>
    <t>打开后有概率获得蓝钻、秘传书、宝石、英雄之石。</t>
  </si>
  <si>
    <t>红绸带</t>
  </si>
  <si>
    <t>飘扬的红绸带，装饰在船上给人过节的感觉，可用于兑换道具</t>
  </si>
  <si>
    <t>红灯笼</t>
  </si>
  <si>
    <t>喜庆的红灯笼，挂在船头可照亮一方无尽的黑夜，可用于兑换道具</t>
  </si>
  <si>
    <t>小红旗</t>
  </si>
  <si>
    <t>国庆节道具，用于国庆节活动。</t>
  </si>
  <si>
    <t>小花灯</t>
  </si>
  <si>
    <t>中秋节道具，用于中秋节活动。</t>
  </si>
  <si>
    <t>月饼</t>
  </si>
  <si>
    <t>银指环</t>
  </si>
  <si>
    <t>获得20级戒指，有几率获得英雄装备。</t>
  </si>
  <si>
    <t>海蓝项链</t>
  </si>
  <si>
    <t>获得20级项链，有几率获得英雄装备。</t>
  </si>
  <si>
    <t>铁制头盔</t>
  </si>
  <si>
    <t>获得20级防具，有几率获得英雄装备。</t>
  </si>
  <si>
    <t>铁锈剑</t>
  </si>
  <si>
    <t>获得20级武器，有几率获得英雄装备。</t>
  </si>
  <si>
    <t>金沙</t>
  </si>
  <si>
    <t>放在回收站可以换取大额的金块。</t>
  </si>
  <si>
    <t>一袋金沙</t>
  </si>
  <si>
    <t>一箱金沙</t>
  </si>
  <si>
    <t>20级未鉴定英雄装备箱</t>
  </si>
  <si>
    <t>打开后随机获得一件未鉴定的20级英雄装备。</t>
  </si>
  <si>
    <t>30级未鉴定英雄装备</t>
  </si>
  <si>
    <t>打开后随机获得一件未鉴定的30级英雄装备。</t>
  </si>
  <si>
    <t>皇家武器宝箱</t>
  </si>
  <si>
    <t>打开后获得一件英雄·皇家猎枪。</t>
  </si>
  <si>
    <t>皇家防具宝箱</t>
  </si>
  <si>
    <t>打开后获得一件英雄·皇家华服。</t>
  </si>
  <si>
    <t>皇家戒指宝箱</t>
  </si>
  <si>
    <t>打开后获得一件英雄·皇家珠宝。</t>
  </si>
  <si>
    <t>皇家项链宝箱</t>
  </si>
  <si>
    <t>打开后获得一件英雄·皇家吊坠。</t>
  </si>
  <si>
    <t>竞技场挑战券</t>
  </si>
  <si>
    <t>进入竞技场需要持有的券，使用后增加竞技场挑战次数。</t>
  </si>
  <si>
    <t>航海日志</t>
  </si>
  <si>
    <t>记录航海事件的日志，使用后增加角色传记次数。</t>
  </si>
  <si>
    <t>副本挑战券</t>
  </si>
  <si>
    <t>使用后增加剧情回顾次数。</t>
  </si>
  <si>
    <t>突破活动挑战券</t>
  </si>
  <si>
    <t>使用后增加突破副本次数。</t>
  </si>
  <si>
    <t>秘传活动挑战券</t>
  </si>
  <si>
    <t>使用后增加秘传书副本次数。</t>
  </si>
  <si>
    <t>训练活动挑战券</t>
  </si>
  <si>
    <t>可以增加活动副本的挑战次数。</t>
  </si>
  <si>
    <t>两周年BOSS挑战券</t>
  </si>
  <si>
    <t>消耗邀请函可以参与周年庆活动。</t>
  </si>
  <si>
    <t>三周年BOSS挑战券</t>
  </si>
  <si>
    <t>活动挑战券</t>
  </si>
  <si>
    <t>沙鳄鱼挑战书</t>
  </si>
  <si>
    <t>两周年邀请函</t>
  </si>
  <si>
    <t>消耗一张即可在乱入强者NPC处挑战沙·鳄鱼。</t>
  </si>
  <si>
    <t>艾尼路挑战书</t>
  </si>
  <si>
    <t>三周年邀请函</t>
  </si>
  <si>
    <t>消耗一张即可在乱入强者NPC处挑战艾尼路。</t>
  </si>
  <si>
    <t>青雉挑战书</t>
  </si>
  <si>
    <t>沙·鳄鱼战令</t>
  </si>
  <si>
    <t>消耗一张即可在乱入强者NPC处挑战青雉。</t>
  </si>
  <si>
    <t>戈普挑战书</t>
  </si>
  <si>
    <t>艾尼路战令</t>
  </si>
  <si>
    <t>消耗一张即可在乱入强者NPC处挑战戈普。</t>
  </si>
  <si>
    <t>莫利亚挑战书</t>
  </si>
  <si>
    <t>青雉战灵</t>
  </si>
  <si>
    <t>消耗一张即可在乱入强者NPC处挑战莫利亚。</t>
  </si>
  <si>
    <t>大熊挑战书</t>
  </si>
  <si>
    <t>戈普战令</t>
  </si>
  <si>
    <t>消耗一张即可在乱入强者NPC处挑战大熊。</t>
  </si>
  <si>
    <t>黄猿挑战书</t>
  </si>
  <si>
    <t>莫利亚战令</t>
  </si>
  <si>
    <t>消耗一张即可在乱入强者NPC处挑战黄猿。</t>
  </si>
  <si>
    <t>艾斯挑战书</t>
  </si>
  <si>
    <t>大熊战令</t>
  </si>
  <si>
    <t>消耗一张即可在乱入强者NPC处挑战艾斯。</t>
  </si>
  <si>
    <t>赤犬挑战书</t>
  </si>
  <si>
    <t>黄猿战令</t>
  </si>
  <si>
    <t>消耗一张即可在乱入强者NPC处挑战赤犬。</t>
  </si>
  <si>
    <t>鹰眼挑战书</t>
  </si>
  <si>
    <t>艾斯战令</t>
  </si>
  <si>
    <t>消耗一张即可在乱入强者NPC处挑战米霍克。</t>
  </si>
  <si>
    <t>乱入强者挑战卷</t>
  </si>
  <si>
    <t>赤犬战令</t>
  </si>
  <si>
    <t>消耗一张即可在乱入强者NPC处挑战这个世界真正的强者。</t>
  </si>
  <si>
    <t>路奇挑战书</t>
  </si>
  <si>
    <t>米霍克战令</t>
  </si>
  <si>
    <t>消耗一张即可在乱入强者NPC处挑战罗布·鲁兹。</t>
  </si>
  <si>
    <t>爆炸头(路飞)时装</t>
  </si>
  <si>
    <t>强者战令</t>
  </si>
  <si>
    <t>可以用来解锁时装：\n&lt;color=#9400d7&gt;路飞（爆炸头）&lt;/color&gt;</t>
  </si>
  <si>
    <t>玛丽弗德(沙·鳄鱼)时装</t>
  </si>
  <si>
    <t>罗布·鲁兹战令</t>
  </si>
  <si>
    <t>可以用来解锁时装：\n&lt;color=#9400d7&gt;沙·鳄鱼（玛丽弗德）&lt;/color&gt;</t>
  </si>
  <si>
    <t>水之都(佐罗)时装</t>
  </si>
  <si>
    <t>路飞（爆炸头）</t>
  </si>
  <si>
    <t>可以用来解锁时装：\n&lt;color=#9400d7&gt;佐罗（水之都时装）&lt;/color&gt;</t>
  </si>
  <si>
    <t>狗头帽(戈普)时装</t>
  </si>
  <si>
    <t>沙·鳄鱼（玛丽弗德）</t>
  </si>
  <si>
    <t>可以用来解锁时装：\n&lt;color=#9400d7&gt;戈普（狗头帽）&lt;/color&gt;</t>
  </si>
  <si>
    <t>紫色旗袍(汉库珂)时装</t>
  </si>
  <si>
    <t>佐罗（水之都时装）</t>
  </si>
  <si>
    <t>可以用来解锁时装：\n&lt;color=#9400d7&gt;汉库珂（紫色旗袍）&lt;/color&gt;</t>
  </si>
  <si>
    <t>阿拉巴斯坦(艾斯)时装</t>
  </si>
  <si>
    <t>戈普（狗头帽）</t>
  </si>
  <si>
    <t>可以用来解锁时装：\n&lt;color=#9400d7&gt;艾斯（阿拉巴斯坦时装）&lt;/color&gt;</t>
  </si>
  <si>
    <t>长链岛(撒谎布)时装</t>
  </si>
  <si>
    <t>汉库珂（紫色旗袍）</t>
  </si>
  <si>
    <t>可以用来解锁时装：\n&lt;color=#9400d7&gt;撒谎布（长链岛时装）&lt;/color&gt;</t>
  </si>
  <si>
    <t>结婚礼服(奈美)时装</t>
  </si>
  <si>
    <t>艾斯（阿拉巴斯坦时装）</t>
  </si>
  <si>
    <t>可以用来解锁时装：\n&lt;color=#9400d7&gt;奈美（结婚礼服）&lt;/color&gt;</t>
  </si>
  <si>
    <t>空岛(山智)时装</t>
  </si>
  <si>
    <t>撒谎布（长链岛时装）</t>
  </si>
  <si>
    <t>可以用来解锁时装：\n&lt;color=#9400d7&gt;山智（空岛时装）&lt;/color&gt;</t>
  </si>
  <si>
    <t>巴奇海军时装</t>
  </si>
  <si>
    <t>奈美（结婚礼服）</t>
  </si>
  <si>
    <t>可以用来解锁时装：\n&lt;color=#9400d7&gt;巴奇（海军装）&lt;/color&gt;</t>
  </si>
  <si>
    <t>薇薇公主时装</t>
  </si>
  <si>
    <t>山智（空岛时装）</t>
  </si>
  <si>
    <t>可以用来解锁时装：\n&lt;color=#9400d7&gt;薇薇（公主装）&lt;/color&gt;</t>
  </si>
  <si>
    <t>鲁兹船工时装</t>
  </si>
  <si>
    <t>巴奇（海军装）</t>
  </si>
  <si>
    <t>可以用来解锁时装：\n&lt;color=#9400d7&gt;鲁兹（船工装）&lt;/color&gt;</t>
  </si>
  <si>
    <t>奈美泳装时装</t>
  </si>
  <si>
    <t>薇薇（公主装）</t>
  </si>
  <si>
    <t>可以用来解锁时装：\n&lt;color=#9400d7&gt;奈美（泳装）&lt;/color&gt;</t>
  </si>
  <si>
    <t>罗宾泳装时装</t>
  </si>
  <si>
    <t>鲁兹（船工装）</t>
  </si>
  <si>
    <t>可以用来解锁时装：\n&lt;color=#9400d7&gt;罗宾（泳装）&lt;/color&gt;</t>
  </si>
  <si>
    <t>奈美阿拉巴斯坦舞娘装</t>
  </si>
  <si>
    <t>奈美（泳装）</t>
  </si>
  <si>
    <t>可以用来解锁时装：\n&lt;color=#9400d7&gt;奈美（阿拉巴斯坦舞娘装）&lt;/color&gt;</t>
  </si>
  <si>
    <t>罗宾巴洛克工作社装</t>
  </si>
  <si>
    <t>罗宾（泳装）</t>
  </si>
  <si>
    <t>可以用来解锁时装：\n&lt;color=#9400d7&gt;罗宾（巴洛克工作社装）&lt;/color&gt;</t>
  </si>
  <si>
    <t>路飞夏威夷服装</t>
  </si>
  <si>
    <t>奈美（阿拉巴斯坦舞娘装）</t>
  </si>
  <si>
    <t>可以用来解锁时装：\n&lt;color=#9400d7&gt;路飞（夏威夷服装）&lt;/color&gt;</t>
  </si>
  <si>
    <t>新世界佐罗-黑色西服</t>
  </si>
  <si>
    <t>罗宾（巴洛克工作社装）</t>
  </si>
  <si>
    <t>可以用来解锁时装：\n&lt;color=#9400d7&gt;新世界佐罗（黑色西服）&lt;/color&gt;</t>
  </si>
  <si>
    <t>新世界佐罗-激战</t>
  </si>
  <si>
    <t>路飞（夏威夷服装）</t>
  </si>
  <si>
    <t>可以用来解锁时装：\n&lt;color=#9400d7&gt;新世界佐罗（激战）&lt;/color&gt;</t>
  </si>
  <si>
    <t>新世界撒谎布-德雷斯罗萨</t>
  </si>
  <si>
    <t>新世界佐罗（黑色西服）</t>
  </si>
  <si>
    <t>可以用来解锁时装：\n&lt;color=#9400d7&gt;新世界撒谎布（德雷斯罗萨）&lt;/color&gt;</t>
  </si>
  <si>
    <t>新世界佐罗-唐装</t>
  </si>
  <si>
    <t>新世界佐罗（激战）</t>
  </si>
  <si>
    <t>可以用来解锁时装：\n&lt;color=#9400d7&gt;新世界佐罗（唐装）&lt;/color&gt;</t>
  </si>
  <si>
    <t>新世界奈美-唐装</t>
  </si>
  <si>
    <t>新世界撒谎布（德雷斯罗萨）</t>
  </si>
  <si>
    <t>可以用来解锁时装：\n&lt;color=#9400d7&gt;新世界奈美（唐装）&lt;/color&gt;</t>
  </si>
  <si>
    <t>新世界撒谎布-唐装</t>
  </si>
  <si>
    <t>新世界佐罗（唐装）</t>
  </si>
  <si>
    <t>可以用来解锁时装：\n&lt;color=#9400d7&gt;新世界撒谎布（唐装）&lt;/color&gt;</t>
  </si>
  <si>
    <t>新世界罗宾-唐装</t>
  </si>
  <si>
    <t>新世界奈美（唐装）</t>
  </si>
  <si>
    <t>可以用来解锁时装：\n&lt;color=#9400d7&gt;新世界罗宾（唐装）&lt;/color&gt;</t>
  </si>
  <si>
    <t>新世界路飞-唐装</t>
  </si>
  <si>
    <t>新世界撒谎布（唐装）</t>
  </si>
  <si>
    <t>可以用来解锁时装：\n&lt;color=#9400d7&gt;新世界路飞（唐装）&lt;/color&gt;</t>
  </si>
  <si>
    <t>新世界山智-唐装</t>
  </si>
  <si>
    <t>新世界罗宾（唐装）</t>
  </si>
  <si>
    <t>可以用来解锁时装：\n&lt;color=#9400d7&gt;新世界山智（唐装）&lt;/color&gt;</t>
  </si>
  <si>
    <t>新世界弗兰奇-黑犀牛FR</t>
  </si>
  <si>
    <t>新世界路飞（唐装）</t>
  </si>
  <si>
    <t>可以用来解锁时装：\n&lt;color=#9400d7&gt;新世界弗兰奇（黑犀牛FR）\n使用后可乘坐专属载具黑犀牛FR&lt;/color&gt;</t>
  </si>
  <si>
    <t>新世界路飞-皇者披风</t>
  </si>
  <si>
    <t>新世界山智（唐装）</t>
  </si>
  <si>
    <t>可以用来解锁时装：\n&lt;color=#9400d7&gt;新世界路飞（皇者披风）&lt;/color&gt;</t>
  </si>
  <si>
    <t>玫瑰礼服(汉库珂)时装</t>
  </si>
  <si>
    <t>新世界弗兰奇（黑犀牛FR）</t>
  </si>
  <si>
    <t>可以用来解锁时装：\n&lt;color=#9400d7&gt;汉库珂（玫瑰礼服）&lt;/color&gt;</t>
  </si>
  <si>
    <t>新世界奈美-泳装</t>
  </si>
  <si>
    <t>新世界路飞（皇者披风）</t>
  </si>
  <si>
    <t>可以用来解锁时装：\n&lt;color=#9400d7&gt;新世界奈美（泳装）&lt;/color&gt;</t>
  </si>
  <si>
    <t>佩罗娜泳装</t>
  </si>
  <si>
    <t>汉库珂（玫瑰礼服）</t>
  </si>
  <si>
    <t>可以用来解锁时装：\n&lt;color=#9400d7&gt;佩罗娜（泳装）&lt;/color&gt;</t>
  </si>
  <si>
    <t>薇薇泳装</t>
  </si>
  <si>
    <t>新世界奈美（泳装）</t>
  </si>
  <si>
    <t>可以用来解锁时装：\n&lt;color=#9400d7&gt;薇薇（泳装）&lt;/color&gt;</t>
  </si>
  <si>
    <t>新世界布鲁克-唐装</t>
  </si>
  <si>
    <t>佩罗娜（泳装）</t>
  </si>
  <si>
    <t>可以用来解锁时装：\n&lt;color=#9400d7&gt;新世界布鲁克（唐装）&lt;/color&gt;</t>
  </si>
  <si>
    <t>新世界罗宾-泳装</t>
  </si>
  <si>
    <t>薇薇（泳装）</t>
  </si>
  <si>
    <t>可以用来解锁时装：\n&lt;color=#9400d7&gt;新世界罗宾（泳装）&lt;/color&gt;</t>
  </si>
  <si>
    <t>新世界塔希米-泳装</t>
  </si>
  <si>
    <t>新世界布鲁克（唐装）</t>
  </si>
  <si>
    <t>可以用来解锁时装：\n&lt;color=#9400d7&gt;新世界塔希米（泳装）&lt;/color&gt;</t>
  </si>
  <si>
    <t>新世界塔希米-泳装不穿外套</t>
  </si>
  <si>
    <t>新世界罗宾（泳装）</t>
  </si>
  <si>
    <t>可以用来解锁时装：\n&lt;color=#9400d7&gt;新世界塔希米（清凉泳装）&lt;/color&gt;</t>
  </si>
  <si>
    <t>汉库珂泳装</t>
  </si>
  <si>
    <t>新世界塔希米（泳装）</t>
  </si>
  <si>
    <t>可以用来解锁时装：\n&lt;color=#9400d7&gt;汉库珂（泳装）&lt;/color&gt;</t>
  </si>
  <si>
    <t>新世界路飞-“路西”</t>
  </si>
  <si>
    <t>新世界塔希米（清凉泳装）</t>
  </si>
  <si>
    <t>可以用来解锁时装：\n&lt;color=#9400d7&gt;新世界路飞（路西时装）&lt;/color&gt;</t>
  </si>
  <si>
    <r>
      <rPr>
        <sz val="11"/>
        <color theme="1"/>
        <rFont val="宋体"/>
        <charset val="134"/>
        <scheme val="minor"/>
      </rPr>
      <t>新世界路飞-</t>
    </r>
    <r>
      <rPr>
        <sz val="11"/>
        <color theme="1"/>
        <rFont val="宋体"/>
        <charset val="134"/>
        <scheme val="minor"/>
      </rPr>
      <t xml:space="preserve"> 皇冠</t>
    </r>
  </si>
  <si>
    <t>汉库珂（泳装）</t>
  </si>
  <si>
    <t>可以用来解锁时装：\n&lt;color=#9400d7&gt;新世界路飞（皇冠时装）&lt;/color&gt;</t>
  </si>
  <si>
    <t>艾斯-万圣节</t>
  </si>
  <si>
    <t>新世界路飞（路西时装）</t>
  </si>
  <si>
    <t>可以用来解锁时装：\n&lt;color=#9400d7&gt;艾斯（万圣节时装）&lt;/color&gt;</t>
  </si>
  <si>
    <t>黑鸦（萨波）</t>
  </si>
  <si>
    <t>新世界路飞（皇冠时装）</t>
  </si>
  <si>
    <t>可以用来解锁时装：\n&lt;color=#9400d7&gt;萨波（黑鸦时装）\n可点击按钮召唤飞行坐骑黑鸦&lt;/color&gt;</t>
  </si>
  <si>
    <t>泳装baby5</t>
  </si>
  <si>
    <t>艾斯（万圣节时装）</t>
  </si>
  <si>
    <t>可以用来解锁时装：\n&lt;color=#9400d7&gt;baby5（泳装）&lt;/color&gt;</t>
  </si>
  <si>
    <t>萨博-万圣节</t>
  </si>
  <si>
    <t>萨波（黑鸦时装）</t>
  </si>
  <si>
    <t>可以用来解锁时装：\n&lt;color=#9400d7&gt;萨博（万圣节时装）&lt;/color&gt;</t>
  </si>
  <si>
    <t>睡衣（夏洛特·玲玲）</t>
  </si>
  <si>
    <t>baby5（泳装）</t>
  </si>
  <si>
    <t>可以用来解锁时装：\n&lt;color=#9400d7&gt;夏洛特·玲玲（睡衣）&lt;/color&gt;</t>
  </si>
  <si>
    <t>新世界路飞- 万圣节</t>
  </si>
  <si>
    <t>萨波（万圣节时装）</t>
  </si>
  <si>
    <t>可以用来解锁时装：\n&lt;color=#9400d7&gt;新世界路飞（万圣节时装）&lt;/color&gt;</t>
  </si>
  <si>
    <t>龙形态（凯多）</t>
  </si>
  <si>
    <t>夏洛特·玲玲（睡衣）</t>
  </si>
  <si>
    <t>可以用来解锁时装：\n&lt;color=#9400d7&gt;凯多（龙形态）\n使用后可化身为龙&lt;/color&gt;</t>
  </si>
  <si>
    <t>新世界罗-万圣节</t>
  </si>
  <si>
    <t>新世界路飞（万圣节时装）</t>
  </si>
  <si>
    <t>可以用来解锁时装：\n&lt;color=#9400d7&gt;新世界罗（万圣节）&lt;/color&gt;</t>
  </si>
  <si>
    <t>新世界罗宾-万圣节</t>
  </si>
  <si>
    <t>凯多（龙形态）</t>
  </si>
  <si>
    <t>可以用来解锁时装：\n&lt;color=#9400d7&gt;新世界罗宾（万圣节）&lt;/color&gt;</t>
  </si>
  <si>
    <t>新世界山智-万圣节</t>
  </si>
  <si>
    <t>新世界罗（万圣节）</t>
  </si>
  <si>
    <t>可以用来解锁时装：\n&lt;color=#9400d7&gt;新世界山智（万圣节）&lt;/color&gt;</t>
  </si>
  <si>
    <t>新世界佐罗-万圣节</t>
  </si>
  <si>
    <t>新世界罗宾（万圣节）</t>
  </si>
  <si>
    <t>可以用来解锁时装：\n&lt;color=#9400d7&gt;新世界佐罗（万圣节）&lt;/color&gt;</t>
  </si>
  <si>
    <t>新世界奈美-万圣节</t>
  </si>
  <si>
    <t>新世界山智（万圣节）</t>
  </si>
  <si>
    <t>可以用来解锁时装：\n&lt;color=#9400d7&gt;新世界奈美（万圣节）&lt;/color&gt;</t>
  </si>
  <si>
    <t>奶昔-泳装</t>
  </si>
  <si>
    <t>新世界佐罗（万圣节）</t>
  </si>
  <si>
    <t>可以用来解锁时装：\n&lt;color=#9400d7&gt;奶昔（泳装）&lt;/color&gt;</t>
  </si>
  <si>
    <t>新世界青雉企鹅</t>
  </si>
  <si>
    <t>新世界奈美（万圣节）</t>
  </si>
  <si>
    <t>可以用来解锁时装：\n&lt;color=#9400d7&gt;新世界库赞（企鹅）\n带有新世界库赞的宠物大企鹅&lt;/color&gt;</t>
  </si>
  <si>
    <t>新世界奈美-圣诞节</t>
  </si>
  <si>
    <t>奶昔（泳装）</t>
  </si>
  <si>
    <t>可以用来解锁时装：\n&lt;color=#9400d7&gt;新世界奈美（圣诞节）&lt;/color&gt;</t>
  </si>
  <si>
    <t>新世界罗宾-圣诞节</t>
  </si>
  <si>
    <t>新世界库赞（企鹅）</t>
  </si>
  <si>
    <t>可以用来解锁时装：\n&lt;color=#9400d7&gt;新世界罗宾（圣诞节）&lt;/color&gt;</t>
  </si>
  <si>
    <t>新世界乔巴-圣诞节</t>
  </si>
  <si>
    <t>新世界奈美（圣诞节）</t>
  </si>
  <si>
    <t>可以用来解锁时装：\n&lt;color=#9400d7&gt;新世界乔巴（圣诞节）&lt;/color&gt;</t>
  </si>
  <si>
    <t>丽久礼服</t>
  </si>
  <si>
    <t>新世界罗宾（圣诞节）</t>
  </si>
  <si>
    <t>可以用来解锁时装：\n&lt;color=#9400d7&gt;丽久（礼服）&lt;/color&gt;</t>
  </si>
  <si>
    <t>新世界路奇和服</t>
  </si>
  <si>
    <t>新世界乔巴（圣诞节）</t>
  </si>
  <si>
    <t>可以用来解锁时装：\n&lt;color=#9400d7&gt;新世界鲁兹（和服）&lt;/color&gt;</t>
  </si>
  <si>
    <t>推进城汉库珂和服</t>
  </si>
  <si>
    <t>丽久（礼服）</t>
  </si>
  <si>
    <t>可以用来解锁时装：\n&lt;color=#9400d7&gt;推进城汉库珂（和服）&lt;/color&gt;</t>
  </si>
  <si>
    <t>新世界马尔高漂浮状态（暂时）</t>
  </si>
  <si>
    <t>新世界鲁兹（和服）</t>
  </si>
  <si>
    <t>可以用来解锁时装：\n&lt;color=#9400d7&gt;新世界马尔高（青炎）&lt;/color&gt;</t>
  </si>
  <si>
    <t>新世界米霍克和服</t>
  </si>
  <si>
    <t>推进城汉库珂（和服）</t>
  </si>
  <si>
    <t>可以用来解锁时装：\n&lt;color=#9400d7&gt;新世界米霍克（和服）&lt;/color&gt;</t>
  </si>
  <si>
    <t>凯文迪修时装</t>
  </si>
  <si>
    <t>新世界马尔高（青炎）</t>
  </si>
  <si>
    <t>可以用来解锁时装：\n&lt;color=#9400d7&gt;凯文迪修（法鲁鲁）\n可召唤坐骑法鲁鲁&lt;/color&gt;</t>
  </si>
  <si>
    <t>糖糖时装</t>
  </si>
  <si>
    <t>新世界米霍克（和服）</t>
  </si>
  <si>
    <t>可以用来解锁时装：\n&lt;color=#9400d7&gt;糖糖（泳装）&lt;/color&gt;</t>
  </si>
  <si>
    <t>光月御殿时装</t>
  </si>
  <si>
    <t>凯文迪修（法鲁鲁）</t>
  </si>
  <si>
    <t>可以用来解锁时装：\n&lt;color=#9400d7&gt;光月御殿（皇冠）&lt;/color&gt;</t>
  </si>
  <si>
    <t>凯罗特和服</t>
  </si>
  <si>
    <t>糖糖（泳装）</t>
  </si>
  <si>
    <t>可以用来解锁时装：\n&lt;color=#9400d7&gt;凯罗特（和服）&lt;/color&gt;</t>
  </si>
  <si>
    <t>阿菊（大铠）</t>
  </si>
  <si>
    <t>光月御殿（皇冠）</t>
  </si>
  <si>
    <t>可以用来解锁时装：\n&lt;color=#9400d7&gt;阿菊（大铠）&lt;/color&gt;</t>
  </si>
  <si>
    <t>年轻白胡子和服</t>
  </si>
  <si>
    <t>凯罗特（和服）</t>
  </si>
  <si>
    <t>可以用来解锁时装：\n&lt;color=#9400d7&gt;年轻白胡子（和服）&lt;/color&gt;</t>
  </si>
  <si>
    <t>新世界佩罗娜(礼服)</t>
  </si>
  <si>
    <t>可以用来解锁时装：\n&lt;color=#9400d7&gt;新世界佩罗娜(礼服)&lt;/color&gt;</t>
  </si>
  <si>
    <t>布玲婚纱</t>
  </si>
  <si>
    <t>年轻白胡子（和服）</t>
  </si>
  <si>
    <t>可以用来解锁时装：\n&lt;color=#9400d7&gt;布玲(婚纱)&lt;/color&gt;</t>
  </si>
  <si>
    <t>布林原皮（飞毯）</t>
  </si>
  <si>
    <t>可以用来解锁时装：\n&lt;color=#9400d7&gt;布玲(飞毯)&lt;/color&gt;</t>
  </si>
  <si>
    <t>布林婚纱（飞毯）</t>
  </si>
  <si>
    <t>布玲(婚纱)</t>
  </si>
  <si>
    <t>可以用来解锁时装：\n&lt;color=#9400d7&gt;布玲婚纱(飞毯)&lt;/color&gt;</t>
  </si>
  <si>
    <t>霍金斯时装</t>
  </si>
  <si>
    <t>布玲（飞毯）</t>
  </si>
  <si>
    <t>可以用来解锁时装：\n&lt;color=#9400d7&gt;霍金斯（狛鹿）&lt;/color&gt;</t>
  </si>
  <si>
    <t>德雷克时装</t>
  </si>
  <si>
    <t>婚纱（飞毯）</t>
  </si>
  <si>
    <t>可以用来解锁时装：\n&lt;color=#9400d7&gt;德雷克（异特龙）&lt;/color&gt;</t>
  </si>
  <si>
    <t>新世界鲁兹时装</t>
  </si>
  <si>
    <t>霍金斯（狛鹿）</t>
  </si>
  <si>
    <t>可以用来解锁时装：\n&lt;color=#9400d7&gt;新世界鲁兹（豹）&lt;/color&gt;</t>
  </si>
  <si>
    <t>龙人凯多时装</t>
  </si>
  <si>
    <t>德雷克（异特龙）</t>
  </si>
  <si>
    <t>可以用来解锁时装：\n&lt;color=#9400d7&gt;龙人凯多（龙人形态）&lt;/color&gt;</t>
  </si>
  <si>
    <t>新世界山智（王子服）</t>
  </si>
  <si>
    <t>新世界鲁兹（豹）</t>
  </si>
  <si>
    <t>可以用来解锁时装：\n&lt;color=#9400d7&gt;新世界山智（王子服）&lt;/color&gt;</t>
  </si>
  <si>
    <t>杰克（猛犸形态）</t>
  </si>
  <si>
    <t>龙人凯多（龙人形态）</t>
  </si>
  <si>
    <t>可以用来解锁时装：\n&lt;color=#9400d7&gt;杰克（猛犸形态）&lt;/color&gt;</t>
  </si>
  <si>
    <t>昆因（腕龙形态）</t>
  </si>
  <si>
    <t>可以用来解锁时装：\n&lt;color=#9400d7&gt;昆因（腕龙形态）&lt;/color&gt;</t>
  </si>
  <si>
    <t>路飞（战斗服）</t>
  </si>
  <si>
    <t>可以用来解锁时装：\n&lt;color=#9400d7&gt;路飞（战斗服）&lt;/color&gt;</t>
  </si>
  <si>
    <t>大和（面具）</t>
  </si>
  <si>
    <t>可以用来解锁时装：\n&lt;color=#9400d7&gt;大和（面具）&lt;/color&gt;</t>
  </si>
  <si>
    <t>乌塔（铠甲）</t>
  </si>
  <si>
    <t>可以用来解锁时装：\n&lt;color=#9400d7&gt;乌塔（铠甲）&lt;/color&gt;</t>
  </si>
  <si>
    <t>润媞（肿头龙）</t>
  </si>
  <si>
    <t>可以用来解锁时装：\n&lt;color=#9400d7&gt;润媞（肿头龙）&lt;/color&gt;</t>
  </si>
  <si>
    <t>烬（无齿翼龙）</t>
  </si>
  <si>
    <t>可以用来解锁时装：\n&lt;color=#9400d8&gt;烬（无齿翼龙）&lt;/color&gt;</t>
  </si>
  <si>
    <t>佩吉旺（脊背龙）</t>
  </si>
  <si>
    <t>可以用来解锁时装：\n&lt;color=#9400d8&gt;佩吉旺（脊背龙）&lt;/color&gt;</t>
  </si>
  <si>
    <t>新世界基德时装</t>
  </si>
  <si>
    <t>可以用来解锁时装：\n&lt;color=#9400d8&gt;基德（获赋者）&lt;/color&gt;</t>
  </si>
  <si>
    <t>和之国罗时装</t>
  </si>
  <si>
    <t>可以用来解锁时装：\n&lt;color=#9400d8&gt;和之国罗（讨伐鬼岛装）&lt;/color&gt;</t>
  </si>
  <si>
    <t>赫拉</t>
  </si>
  <si>
    <t>新世界基德（获赋者）</t>
  </si>
  <si>
    <t>可以用来解锁时装：\n&lt;color=#9400d8&gt;花魁阿玲（赫拉）&lt;/color&gt;</t>
  </si>
  <si>
    <t>路飞太郎</t>
  </si>
  <si>
    <t>和之国罗（讨伐鬼岛装）</t>
  </si>
  <si>
    <t>可以用来解锁时装：\n&lt;color=#9400d8&gt;和之国路飞（路飞太郎）&lt;/color&gt;</t>
  </si>
  <si>
    <t>和之国罗宾（阿罗宾）</t>
  </si>
  <si>
    <t>花魁阿玲（赫拉）</t>
  </si>
  <si>
    <t>可以用来解锁时装：\n&lt;color=#9400d8&gt;和之国罗宾（阿罗宾）&lt;/color&gt;</t>
  </si>
  <si>
    <t>和之国山智（山五郎）</t>
  </si>
  <si>
    <t>和之国路飞（路飞太郎）</t>
  </si>
  <si>
    <t>可以用来解锁时装：\n&lt;color=#9400d8&gt;和之国山智（山五郎）&lt;/color&gt;</t>
  </si>
  <si>
    <t>和之国佐罗（佐罗十郎）</t>
  </si>
  <si>
    <t>可以用来解锁时装：\n&lt;color=#9400d8&gt;和之国佐罗（佐罗十郎）&lt;/color&gt;</t>
  </si>
  <si>
    <t>和之国乔巴（乔巴卫门）</t>
  </si>
  <si>
    <t>可以用来解锁时装：\n&lt;color=#9400d8&gt;和之国乔巴（乔巴卫门）&lt;/color&gt;</t>
  </si>
  <si>
    <t>和之国撒谎布（撒谎八）</t>
  </si>
  <si>
    <t>可以用来解锁时装：\n&lt;color=#9400d8&gt;和之国撒谎布（撒谎八）&lt;/color&gt;</t>
  </si>
  <si>
    <t>和之国奈美（阿奈美）</t>
  </si>
  <si>
    <t>可以用来解锁时装：\n&lt;color=#9400d8&gt;和之国奈美（阿奈美）&lt;/color&gt;</t>
  </si>
  <si>
    <t>和之国弗兰奇（弗兰介）</t>
  </si>
  <si>
    <t>可以用来解锁时装：\n&lt;color=#9400d8&gt;和之国弗兰奇（弗兰介）&lt;/color&gt;</t>
  </si>
  <si>
    <t>和之国布鲁克（骨吉）</t>
  </si>
  <si>
    <t>可以用来解锁时装：\n&lt;color=#9400d8&gt;和之国布鲁克（骨吉）&lt;/color&gt;</t>
  </si>
  <si>
    <t>路飞（西装）</t>
  </si>
  <si>
    <t>可以用来解锁时装：\n&lt;color=#9400d8&gt;路飞（西装）&lt;/color&gt;</t>
  </si>
  <si>
    <t>罗杰（海盗王）</t>
  </si>
  <si>
    <t>可以用来解锁时装：\n&lt;color=#9400d8&gt;罗杰（海盗王）&lt;/color&gt;</t>
  </si>
  <si>
    <t>罗杰（大海盗）</t>
  </si>
  <si>
    <t>可以用来解锁时装：\n&lt;color=#9400d8&gt;罗杰（大海盗）&lt;/color&gt;</t>
  </si>
  <si>
    <t>烬（无面具）</t>
  </si>
  <si>
    <t>可以用来解锁时装：\n&lt;color=#9400d8&gt;烬（无面具）&lt;/color&gt;</t>
  </si>
  <si>
    <t>和之国路飞（获赋者）</t>
  </si>
  <si>
    <t>可以用来解锁时装：\n&lt;color=#9400d8&gt;和之国路飞（获赋者）&lt;/color&gt;</t>
  </si>
  <si>
    <t>绿牛（飞行）</t>
  </si>
  <si>
    <t>可以用来解锁时装：\n&lt;color=#9400d8&gt;绿牛（飞行）&lt;/color&gt;</t>
  </si>
  <si>
    <t>大口真神大和（兽形态）</t>
  </si>
  <si>
    <t>可以用来解锁时装：\n&lt;color=#9400d8&gt;大口真神大和（兽形态）&lt;/color&gt;</t>
  </si>
  <si>
    <t>附魂抽卡卷</t>
  </si>
  <si>
    <t>可以免费搜魂一次</t>
  </si>
  <si>
    <t>舰船甲板1</t>
  </si>
  <si>
    <t>桅杆1</t>
  </si>
  <si>
    <t>基德与罗（罗）</t>
  </si>
  <si>
    <t>增加10%元素抗性，持续30分钟。</t>
  </si>
  <si>
    <t>大炮1</t>
  </si>
  <si>
    <t>帆布1</t>
  </si>
  <si>
    <t>红花水</t>
  </si>
  <si>
    <t>增加10%元素伤害，持续30分钟。</t>
  </si>
  <si>
    <t>铁钉1</t>
  </si>
  <si>
    <t>甘草芦荟丸</t>
  </si>
  <si>
    <t>战斗中50%几率几率免疫减速效果，持续30分钟。</t>
  </si>
  <si>
    <t>缆绳1</t>
  </si>
  <si>
    <t>甘草蘑菇丸</t>
  </si>
  <si>
    <t>战斗中50%几率几率免疫击退效果，持续30分钟。</t>
  </si>
  <si>
    <t>快速挑战券</t>
  </si>
  <si>
    <t>四叶红花水</t>
  </si>
  <si>
    <t>可以在剧情回顾、角色传记、活动副本、血战中快速完成战斗。</t>
  </si>
  <si>
    <t>历险速战券</t>
  </si>
  <si>
    <t>芦荟四叶酒</t>
  </si>
  <si>
    <t>可以在历险中快速完成战斗。</t>
  </si>
  <si>
    <t>青铜勋章</t>
  </si>
  <si>
    <t>芦荟红花胶囊</t>
  </si>
  <si>
    <t>青铜铸造的神秘勋章，可用于兑换指定奖励。</t>
  </si>
  <si>
    <t>白银徽章1</t>
  </si>
  <si>
    <t>兑换道具</t>
  </si>
  <si>
    <t>白银徽章2</t>
  </si>
  <si>
    <t>历险挑战券</t>
  </si>
  <si>
    <t>黄金徽章1</t>
  </si>
  <si>
    <t>学徒布丁</t>
  </si>
  <si>
    <t>白银勋章</t>
  </si>
  <si>
    <t>角色获得亲密度时，额外增加2，持续60分钟，同类型不可累积使用。</t>
  </si>
  <si>
    <t>学徒超美味蛤蜊</t>
  </si>
  <si>
    <t>角色进入战斗后，立即拥有10%的怒气，与玩家战斗不生效，持续60分钟，同类型不可累积使用。</t>
  </si>
  <si>
    <t>学徒便当</t>
  </si>
  <si>
    <t>黄金勋章</t>
  </si>
  <si>
    <t>队伍中每个角色立即恢复1500生命，同类型道具冷却时间15秒。</t>
  </si>
  <si>
    <t>学徒伙食汤</t>
  </si>
  <si>
    <t>增加幸运值10点，幸运值可以提升战胜野外敌人后获得道具几率，持续60分钟，同类型不可累积使用。</t>
  </si>
  <si>
    <t>学徒棒骨大肉</t>
  </si>
  <si>
    <t>永久增加角色生命上限5，每个角色使用上限50个。</t>
  </si>
  <si>
    <t>学徒炖香肠</t>
  </si>
  <si>
    <t>永久增加角色格挡值5，每个角色使用上限50个。</t>
  </si>
  <si>
    <t>学徒可乐饼</t>
  </si>
  <si>
    <t>永久增加角色暴击值5，每个角色使用上限50个。</t>
  </si>
  <si>
    <t>学徒秘制煮豆</t>
  </si>
  <si>
    <t>永久增加角色破击值5，每个角色使用上限50个。</t>
  </si>
  <si>
    <t>学徒切片章鱼</t>
  </si>
  <si>
    <t>永久增加角色闪避值5，每个角色使用上限50个。</t>
  </si>
  <si>
    <t>学徒石烧炖菜</t>
  </si>
  <si>
    <t>永久增加角色韧性值5，每个角色使用上限50个。</t>
  </si>
  <si>
    <t>学徒水果百汇</t>
  </si>
  <si>
    <t>永久增加角色攻击5，每个角色使用上限50个。</t>
  </si>
  <si>
    <t>学徒樱桃派</t>
  </si>
  <si>
    <t>永久增加角色防御5，每个角色使用上限50个。</t>
  </si>
  <si>
    <t>学徒章鱼烧</t>
  </si>
  <si>
    <t>永久增加角色速度5，每个角色使用上限50个。</t>
  </si>
  <si>
    <t>学徒食品摊炒面</t>
  </si>
  <si>
    <t>永久增加角色命中值5，每个角色使用上限50个。</t>
  </si>
  <si>
    <t>初级布丁</t>
  </si>
  <si>
    <t>角色获得亲密度时，额外增加4，持续60分钟，同类型不可累积使用</t>
  </si>
  <si>
    <t>初级超美味蛤蜊</t>
  </si>
  <si>
    <t>角色进入战斗后，立即拥有20%的怒气，与玩家战斗不生效，持续60分钟，同类型不可累积使用</t>
  </si>
  <si>
    <t>初级便当</t>
  </si>
  <si>
    <t>队伍中每个角色立即恢复3000生命，同类型道具冷却时间15秒</t>
  </si>
  <si>
    <t>初级伙食汤</t>
  </si>
  <si>
    <t>增加幸运值20点，幸运值可以提升战胜野外敌人后获得道具几率，持续60分钟，同类型不可累积使用</t>
  </si>
  <si>
    <t>初级棒骨大肉</t>
  </si>
  <si>
    <t>永久增加角色生命上限10，每个角色使用上限50个</t>
  </si>
  <si>
    <t>初级炖香肠</t>
  </si>
  <si>
    <t>永久增加角色格挡值5，每个角色使用上限50个</t>
  </si>
  <si>
    <t>初级可乐饼</t>
  </si>
  <si>
    <t>永久增加角色暴击值5，每个角色使用上限50个</t>
  </si>
  <si>
    <t>初级秘制煮豆</t>
  </si>
  <si>
    <t>永久增加角色破击值5，每个角色使用上限50个</t>
  </si>
  <si>
    <t>初级切片章鱼</t>
  </si>
  <si>
    <t>永久增加角色闪避值5，每个角色使用上限50个</t>
  </si>
  <si>
    <t>初级石烧炖菜</t>
  </si>
  <si>
    <t>永久增加角色韧性值5，每个角色使用上限50个</t>
  </si>
  <si>
    <t>初级水果百汇</t>
  </si>
  <si>
    <t>永久增加角色攻击5，每个角色使用上限50个</t>
  </si>
  <si>
    <t>初级樱桃派</t>
  </si>
  <si>
    <t>永久增加角色防御5，每个角色使用上限50个</t>
  </si>
  <si>
    <t>初级章鱼烧</t>
  </si>
  <si>
    <t>永久增加角色速度5，每个角色使用上限50个</t>
  </si>
  <si>
    <t>初级食品摊炒面</t>
  </si>
  <si>
    <t>永久增加角色命中值5，每个角色使用上限50个</t>
  </si>
  <si>
    <t>中级布丁</t>
  </si>
  <si>
    <t>角色获得亲密度时，额外增加6，持续60分钟，同类型不可累积使用</t>
  </si>
  <si>
    <t>中级超美味蛤蜊</t>
  </si>
  <si>
    <t>角色进入战斗后，立即拥有30%的怒气，与玩家战斗不生效，持续60分钟，同类型不可累积使用</t>
  </si>
  <si>
    <t>中级便当</t>
  </si>
  <si>
    <t>队伍中每个角色立即恢复6000生命，同类型道具冷却时间15秒</t>
  </si>
  <si>
    <t>中级伙食汤</t>
  </si>
  <si>
    <t>增加幸运值30点，幸运值可以提升战胜野外敌人后获得道具几率，持续60分钟，同类型不可累积使用</t>
  </si>
  <si>
    <t>中级棒骨大肉</t>
  </si>
  <si>
    <t>永久增加角色生命上限15，每个角色使用上限50个</t>
  </si>
  <si>
    <t>中级炖香肠</t>
  </si>
  <si>
    <t>中级可乐饼</t>
  </si>
  <si>
    <t>中级秘制煮豆</t>
  </si>
  <si>
    <t>中级切片章鱼</t>
  </si>
  <si>
    <t>中级石烧炖菜</t>
  </si>
  <si>
    <t>中级水果百汇</t>
  </si>
  <si>
    <t>中级樱桃派</t>
  </si>
  <si>
    <t>中级章鱼烧</t>
  </si>
  <si>
    <t>中级食品摊炒面</t>
  </si>
  <si>
    <t>高级布丁</t>
  </si>
  <si>
    <t>角色获得亲密度时，额外增加8，持续60分钟，同类型不可累积使用</t>
  </si>
  <si>
    <t>高级超美味蛤蜊</t>
  </si>
  <si>
    <t>角色进入战斗后，立即拥有40%的怒气，与玩家战斗不生效，持续60分钟，同类型不可累积使用</t>
  </si>
  <si>
    <t>高级便当</t>
  </si>
  <si>
    <t>队伍中每个角色立即恢复9000生命，同类型道具冷却时间15秒</t>
  </si>
  <si>
    <t>高级伙食汤</t>
  </si>
  <si>
    <t>增加幸运值40点，幸运值可以提升战胜野外敌人后获得道具几率，持续60分钟，同类型不可累积使用</t>
  </si>
  <si>
    <t>高级棒骨大肉</t>
  </si>
  <si>
    <t>永久增加角色生命上限20，每个角色使用上限50个</t>
  </si>
  <si>
    <t>高级炖香肠</t>
  </si>
  <si>
    <t>高级可乐饼</t>
  </si>
  <si>
    <t>高级秘制煮豆</t>
  </si>
  <si>
    <t>高级切片章鱼</t>
  </si>
  <si>
    <t>高级石烧炖菜</t>
  </si>
  <si>
    <t>高级水果百汇</t>
  </si>
  <si>
    <t>高级樱桃派</t>
  </si>
  <si>
    <t>高级章鱼烧</t>
  </si>
  <si>
    <t>高级食品摊炒面</t>
  </si>
  <si>
    <t>大师布丁</t>
  </si>
  <si>
    <t>角色获得亲密度时，额外增加10，持续60分钟，同类型不可累积使用</t>
  </si>
  <si>
    <t>大师超美味蛤蜊</t>
  </si>
  <si>
    <t>角色进入战斗后，立即拥有50%的怒气，与玩家战斗不生效，持续60分钟，同类型不可累积使用</t>
  </si>
  <si>
    <t>大师便当</t>
  </si>
  <si>
    <t>队伍中每个角色立即恢复12000生命，同类型道具冷却时间15秒</t>
  </si>
  <si>
    <t>大师伙食汤</t>
  </si>
  <si>
    <t>增加幸运值50点，幸运值可以提升战胜野外敌人后获得道具几率，持续60分钟，同类型不可累积使用</t>
  </si>
  <si>
    <t>大师棒骨大肉</t>
  </si>
  <si>
    <t>永久增加角色生命上限25，每个角色使用上限50个</t>
  </si>
  <si>
    <t>大师炖香肠</t>
  </si>
  <si>
    <t>大师可乐饼</t>
  </si>
  <si>
    <t>大师秘制煮豆</t>
  </si>
  <si>
    <t>大师切片章鱼</t>
  </si>
  <si>
    <t>大师石烧炖菜</t>
  </si>
  <si>
    <t>大师水果百汇</t>
  </si>
  <si>
    <t>大师樱桃派</t>
  </si>
  <si>
    <t>大师章鱼烧</t>
  </si>
  <si>
    <t>大师食品摊炒面</t>
  </si>
  <si>
    <t>鲅鱼</t>
  </si>
  <si>
    <t>肉质鲜美的小型鱼类，是做料理的好材料。</t>
  </si>
  <si>
    <t>鲈鱼</t>
  </si>
  <si>
    <t>栖息在浅海的名贵食用鱼，很受鱼商青睐。</t>
  </si>
  <si>
    <t>金枪鱼</t>
  </si>
  <si>
    <t>极品食用鱼之一，有海洋黄金之称。</t>
  </si>
  <si>
    <t>悬赏BOSS宝箱</t>
  </si>
  <si>
    <t>击败悬赏BOSS获得的宝箱，打开有几率获得蓝钻、黄金钥匙、勇者钥匙、宝石袋、勇者之石。</t>
  </si>
  <si>
    <t>白色草药花</t>
  </si>
  <si>
    <t>采集到的完整药材，在制药屋进行分解可以获得制作药品的材料</t>
  </si>
  <si>
    <t>绿色草药花</t>
  </si>
  <si>
    <t>蓝色草药花</t>
  </si>
  <si>
    <t>紫色草药花</t>
  </si>
  <si>
    <t>金色草药花</t>
  </si>
  <si>
    <t>绯色草药花</t>
  </si>
  <si>
    <t>航海远征加速卷</t>
  </si>
  <si>
    <t>快速完成航海远征任务</t>
  </si>
  <si>
    <t>一捆普通木料</t>
  </si>
  <si>
    <t>建造战船的原材料。在造船厂中提炼可以获得原木，概率获得硬木、木根、龙骨和合金。</t>
  </si>
  <si>
    <t>普通量具</t>
  </si>
  <si>
    <t>用于制作战船零部件的普通材料。</t>
  </si>
  <si>
    <t>普通图纸</t>
  </si>
  <si>
    <t>普通铆钉</t>
  </si>
  <si>
    <t>普通物料箱</t>
  </si>
  <si>
    <t>普通木锤</t>
  </si>
  <si>
    <t>普通铁锤</t>
  </si>
  <si>
    <t>普通原木</t>
  </si>
  <si>
    <t>普通木条</t>
  </si>
  <si>
    <t>普通舰船甲板</t>
  </si>
  <si>
    <t>普通硬木</t>
  </si>
  <si>
    <t>普通木板</t>
  </si>
  <si>
    <t>普通高级甲板</t>
  </si>
  <si>
    <t>用于制作战船的普通零部件。</t>
  </si>
  <si>
    <t>普通精铁</t>
  </si>
  <si>
    <t>普通钢板</t>
  </si>
  <si>
    <t>普通舰船主炮</t>
  </si>
  <si>
    <t>普通合金</t>
  </si>
  <si>
    <t>普通铜板</t>
  </si>
  <si>
    <t>普通舰船炮台</t>
  </si>
  <si>
    <t>普通木根</t>
  </si>
  <si>
    <t>普通帆布</t>
  </si>
  <si>
    <t>普通龙骨</t>
  </si>
  <si>
    <t>普通风帆</t>
  </si>
  <si>
    <t>普通桅柱</t>
  </si>
  <si>
    <t>普通舰船桅杆</t>
  </si>
  <si>
    <t>普通舰船舱室</t>
  </si>
  <si>
    <t>普通龙骨骨架</t>
  </si>
  <si>
    <t>一捆优质木料</t>
  </si>
  <si>
    <t>优质量具</t>
  </si>
  <si>
    <t>用于制作战船零部件的优质材料。</t>
  </si>
  <si>
    <t>优质图纸</t>
  </si>
  <si>
    <t>优质铆钉</t>
  </si>
  <si>
    <t>优质物料箱</t>
  </si>
  <si>
    <t>优质龙骨</t>
  </si>
  <si>
    <t>优质铁锤</t>
  </si>
  <si>
    <t>优质原木</t>
  </si>
  <si>
    <t>优质木条</t>
  </si>
  <si>
    <t>优质木锤</t>
  </si>
  <si>
    <t>优质舰船甲板</t>
  </si>
  <si>
    <t>优质硬木</t>
  </si>
  <si>
    <t>优质木板</t>
  </si>
  <si>
    <t>优质高级甲板</t>
  </si>
  <si>
    <t>用于制作战船的优质零部件。</t>
  </si>
  <si>
    <t>优质精铁</t>
  </si>
  <si>
    <t>优质钢板</t>
  </si>
  <si>
    <t>优质舰船主炮</t>
  </si>
  <si>
    <t>优质合金</t>
  </si>
  <si>
    <t>优质铜板</t>
  </si>
  <si>
    <t>优质舰船炮台</t>
  </si>
  <si>
    <t>优质木根</t>
  </si>
  <si>
    <t>优质帆布</t>
  </si>
  <si>
    <t>优质风帆</t>
  </si>
  <si>
    <t>优质桅柱</t>
  </si>
  <si>
    <t>优质舰船桅杆</t>
  </si>
  <si>
    <t>优质舰船舱室</t>
  </si>
  <si>
    <t>优质龙骨骨架</t>
  </si>
  <si>
    <t>一捆稀有木料</t>
  </si>
  <si>
    <t>稀有量具</t>
  </si>
  <si>
    <t>用于制作战船零部件的稀有材料。</t>
  </si>
  <si>
    <t>稀有图纸</t>
  </si>
  <si>
    <t>稀有铆钉</t>
  </si>
  <si>
    <t>稀有物料箱</t>
  </si>
  <si>
    <t>稀有龙骨</t>
  </si>
  <si>
    <t>稀有铁锤</t>
  </si>
  <si>
    <t>稀有原木</t>
  </si>
  <si>
    <t>稀有木条</t>
  </si>
  <si>
    <t>稀有木锤</t>
  </si>
  <si>
    <t>稀有舰船甲板</t>
  </si>
  <si>
    <t>稀有硬木</t>
  </si>
  <si>
    <t>稀有木板</t>
  </si>
  <si>
    <t>稀有高级甲板</t>
  </si>
  <si>
    <t>用于制作战船的稀有零部件。</t>
  </si>
  <si>
    <t>稀有精铁</t>
  </si>
  <si>
    <t>稀有钢板</t>
  </si>
  <si>
    <t>稀有舰船主炮</t>
  </si>
  <si>
    <t>稀有合金</t>
  </si>
  <si>
    <t>稀有铜板</t>
  </si>
  <si>
    <t>稀有舰船炮台</t>
  </si>
  <si>
    <t>稀有木根</t>
  </si>
  <si>
    <t>稀有帆布</t>
  </si>
  <si>
    <t>稀有风帆</t>
  </si>
  <si>
    <t>稀有桅柱</t>
  </si>
  <si>
    <t>稀有舰船桅杆</t>
  </si>
  <si>
    <t>稀有舰船舱室</t>
  </si>
  <si>
    <t>稀有龙骨骨架</t>
  </si>
  <si>
    <t>一捆贵重木料</t>
  </si>
  <si>
    <t>贵重量具</t>
  </si>
  <si>
    <t>用于制作战船零部件的贵重材料。</t>
  </si>
  <si>
    <t>贵重图纸</t>
  </si>
  <si>
    <t>贵重铆钉</t>
  </si>
  <si>
    <t>贵重物料箱</t>
  </si>
  <si>
    <t>贵重龙骨</t>
  </si>
  <si>
    <t>贵重铁锤</t>
  </si>
  <si>
    <t>贵重原木</t>
  </si>
  <si>
    <t>贵重木条</t>
  </si>
  <si>
    <t>贵重木锤</t>
  </si>
  <si>
    <t>贵重舰船甲板</t>
  </si>
  <si>
    <t>贵重硬木</t>
  </si>
  <si>
    <t>贵重木板</t>
  </si>
  <si>
    <t>贵重高级甲板</t>
  </si>
  <si>
    <t>用于制作战船的贵重零部件。</t>
  </si>
  <si>
    <t>贵重精铁</t>
  </si>
  <si>
    <t>贵重钢板</t>
  </si>
  <si>
    <t>贵重舰船主炮</t>
  </si>
  <si>
    <t>贵重合金</t>
  </si>
  <si>
    <t>贵重铜板</t>
  </si>
  <si>
    <t>贵重舰船炮台</t>
  </si>
  <si>
    <t>贵重木根</t>
  </si>
  <si>
    <t>贵重帆布</t>
  </si>
  <si>
    <t>贵重风帆</t>
  </si>
  <si>
    <t>贵重桅柱</t>
  </si>
  <si>
    <t>贵重舰船桅杆</t>
  </si>
  <si>
    <t>贵重舰船舱室</t>
  </si>
  <si>
    <t>贵重龙骨骨架</t>
  </si>
  <si>
    <t>一捆豪华木料</t>
  </si>
  <si>
    <t>豪华量具</t>
  </si>
  <si>
    <t>用于制作战船零部件的豪华材料。</t>
  </si>
  <si>
    <t>豪华图纸</t>
  </si>
  <si>
    <t>豪华铆钉</t>
  </si>
  <si>
    <t>豪华物料箱</t>
  </si>
  <si>
    <t>豪华龙骨</t>
  </si>
  <si>
    <t>豪华铁锤</t>
  </si>
  <si>
    <t>豪华原木</t>
  </si>
  <si>
    <t>豪华木条</t>
  </si>
  <si>
    <t>豪华木锤</t>
  </si>
  <si>
    <t>豪华舰船甲板</t>
  </si>
  <si>
    <t>豪华硬木</t>
  </si>
  <si>
    <t>豪华木板</t>
  </si>
  <si>
    <t>豪华高级甲板</t>
  </si>
  <si>
    <t>用于制作战船的豪华零部件。</t>
  </si>
  <si>
    <t>豪华精铁</t>
  </si>
  <si>
    <t>豪华钢板</t>
  </si>
  <si>
    <t>豪华舰船主炮</t>
  </si>
  <si>
    <t>豪华合金</t>
  </si>
  <si>
    <t>豪华铜板</t>
  </si>
  <si>
    <t>豪华舰船炮台</t>
  </si>
  <si>
    <t>豪华木根</t>
  </si>
  <si>
    <t>豪华帆布</t>
  </si>
  <si>
    <t>豪华风帆</t>
  </si>
  <si>
    <t>豪华桅柱</t>
  </si>
  <si>
    <t>豪华舰船桅杆</t>
  </si>
  <si>
    <t>豪华舰船舱室</t>
  </si>
  <si>
    <t>豪华龙骨骨架</t>
  </si>
  <si>
    <t>普通沉船货物</t>
  </si>
  <si>
    <t>用于战船的改造。</t>
  </si>
  <si>
    <t>普通海兽兽骨</t>
  </si>
  <si>
    <t>普通皮革</t>
  </si>
  <si>
    <t>普通珊瑚</t>
  </si>
  <si>
    <t>普通珍奇矿石</t>
  </si>
  <si>
    <t>优质沉船货物</t>
  </si>
  <si>
    <t>优质海兽兽骨</t>
  </si>
  <si>
    <t>优质皮革</t>
  </si>
  <si>
    <t>优质珊瑚</t>
  </si>
  <si>
    <t>优质珍奇矿石</t>
  </si>
  <si>
    <t>稀有沉船货物</t>
  </si>
  <si>
    <t>稀有海兽兽骨</t>
  </si>
  <si>
    <t>稀有皮革</t>
  </si>
  <si>
    <t>稀有珊瑚</t>
  </si>
  <si>
    <t>稀有珍奇矿石</t>
  </si>
  <si>
    <t>贵重沉船货物</t>
  </si>
  <si>
    <t>贵重海兽兽骨</t>
  </si>
  <si>
    <t>贵重皮革</t>
  </si>
  <si>
    <t>贵重珊瑚</t>
  </si>
  <si>
    <t>贵重珍奇矿石</t>
  </si>
  <si>
    <t>豪华沉船货物</t>
  </si>
  <si>
    <t>豪华海兽兽骨</t>
  </si>
  <si>
    <t>豪华皮革</t>
  </si>
  <si>
    <t>豪华珊瑚</t>
  </si>
  <si>
    <t>豪华珍奇矿石</t>
  </si>
  <si>
    <t>改造重置书</t>
  </si>
  <si>
    <t>用于重置战船的改造点数。</t>
  </si>
  <si>
    <t>洗练石</t>
  </si>
  <si>
    <t>用于洗练战船技能。</t>
  </si>
  <si>
    <t>时间沙漏(紫色)</t>
  </si>
  <si>
    <t>用于减少航海贸易中的时间。</t>
  </si>
  <si>
    <t>时间沙漏(橙色)</t>
  </si>
  <si>
    <t>测试刀锋草</t>
  </si>
  <si>
    <t>测试迷雾花</t>
  </si>
  <si>
    <t>时间沙漏</t>
  </si>
  <si>
    <t>测试彼岸花</t>
  </si>
  <si>
    <t>测试水晶花</t>
  </si>
  <si>
    <t>测试摩罗花</t>
  </si>
  <si>
    <t>测试赤炎花</t>
  </si>
  <si>
    <t>彩蛋</t>
  </si>
  <si>
    <t>玩具兔</t>
  </si>
  <si>
    <t>瓦尔波的玩具常年随身携带，可用于兑换道具</t>
  </si>
  <si>
    <t>发音盒</t>
  </si>
  <si>
    <t>上弦后可播放美妙动听的音乐，可用于兑换道具</t>
  </si>
  <si>
    <t>幸运抽奖券</t>
  </si>
  <si>
    <t>感恩节彩蛋</t>
  </si>
  <si>
    <t>用于在幸运转盘活动中抽奖，建议在幸运转盘活动开启期间购买</t>
  </si>
  <si>
    <t>幸运兑换币</t>
  </si>
  <si>
    <t>幸运兑换币可以在幸运兑换商店中进行道具兑换</t>
  </si>
  <si>
    <t>火柴</t>
  </si>
  <si>
    <t>用于燃放烟花。</t>
  </si>
  <si>
    <t>用于燃放高级烟花。</t>
  </si>
  <si>
    <t>雪花</t>
  </si>
  <si>
    <t>冬天里最纯洁的雪花，可用于兑换特殊道具。</t>
  </si>
  <si>
    <t>航海指针</t>
  </si>
  <si>
    <t>指引极限挑战的前进线路，可用于重置极限挑战</t>
  </si>
  <si>
    <t>幸运卡牌</t>
  </si>
  <si>
    <t>打火机</t>
  </si>
  <si>
    <t>一张富有神奇魔力的卡牌，可以翻出心仪的道具</t>
  </si>
  <si>
    <t>普通工具箱</t>
  </si>
  <si>
    <t>装满修理工具的箱子，可用来修缮公会建筑</t>
  </si>
  <si>
    <t>高级工具箱</t>
  </si>
  <si>
    <t>初级装备券</t>
  </si>
  <si>
    <t>使用初级装备券可以在装备工坊中抽取60级装备</t>
  </si>
  <si>
    <t>中级装备券</t>
  </si>
  <si>
    <t>使用中级装备券可以在装备工坊中抽取80级装备</t>
  </si>
  <si>
    <t>红气球</t>
  </si>
  <si>
    <t>红色的气球，可用于兑换特殊道具。</t>
  </si>
  <si>
    <t>彩气球</t>
  </si>
  <si>
    <t>一簇彩色气球，可用于兑换特殊道具。</t>
  </si>
  <si>
    <t>海岛争霸币</t>
  </si>
  <si>
    <t>争霸币可以在海岛争霸兑换商店中进行道具兑换</t>
  </si>
  <si>
    <t>装备兑换</t>
  </si>
  <si>
    <t>用于兑换装备。</t>
  </si>
  <si>
    <t>争霸币</t>
  </si>
  <si>
    <t>打开后随机获得一种装备兑换袋，有概率获得豪华装备兑换袋。</t>
  </si>
  <si>
    <t>图纸兑换</t>
  </si>
  <si>
    <t>高级装备兑换袋</t>
  </si>
  <si>
    <t>用于兑换阵法图纸。</t>
  </si>
  <si>
    <t>船兑换</t>
  </si>
  <si>
    <t>豪华装备兑换袋</t>
  </si>
  <si>
    <t>集齐一定数量可以兑换战船。</t>
  </si>
  <si>
    <t>冰块</t>
  </si>
  <si>
    <t>装备兑换袋宝箱</t>
  </si>
  <si>
    <t>夏日令人清爽解暑用品，可用于兑换特殊道具。</t>
  </si>
  <si>
    <t>风筝</t>
  </si>
  <si>
    <t>晶莹珍珠</t>
  </si>
  <si>
    <t>随风飞舞的小风筝，可用于兑换特殊道具。</t>
  </si>
  <si>
    <t>毽子</t>
  </si>
  <si>
    <t>极品战船兑换袋</t>
  </si>
  <si>
    <t>小时候常伴左右的玩具，可用于兑换特殊道具。</t>
  </si>
  <si>
    <t>小扇子</t>
  </si>
  <si>
    <t>一把小扇子，可用于兑换特殊道具。</t>
  </si>
  <si>
    <t>夏日礼盒</t>
  </si>
  <si>
    <t>打开后随机获得一个道具。</t>
  </si>
  <si>
    <t>打捞网</t>
  </si>
  <si>
    <t>在藏宝海域进行高级打捞宝藏的道具，使用后不会增加普通打捞的消耗。</t>
  </si>
  <si>
    <t>解锁自走棋地图2</t>
  </si>
  <si>
    <t>解锁海岛争霸地图</t>
  </si>
  <si>
    <t>解锁自走棋地图3</t>
  </si>
  <si>
    <t>解锁自走棋地图4</t>
  </si>
  <si>
    <t>解锁自走棋地图5</t>
  </si>
  <si>
    <t>海岛争霸岛屿卷</t>
  </si>
  <si>
    <t>解锁自走棋地图6</t>
  </si>
  <si>
    <t>测试用多选宝箱</t>
  </si>
  <si>
    <t>多选大宝箱</t>
  </si>
  <si>
    <t>周年庆钱袋</t>
  </si>
  <si>
    <t>【航海王：燃烧意志】周年庆典钱袋，使用有概率获得周年金币、周年银币。</t>
  </si>
  <si>
    <t>周年狂欢福袋</t>
  </si>
  <si>
    <t>多选宝箱</t>
  </si>
  <si>
    <t>周年狂欢季特殊道具，可以兑换神秘道具</t>
  </si>
  <si>
    <t>周年狂欢锦囊</t>
  </si>
  <si>
    <t>黄猿战利品·首通</t>
  </si>
  <si>
    <t>黄猿战利品</t>
  </si>
  <si>
    <t>青雉战利品·首通</t>
  </si>
  <si>
    <t>青雉战利品</t>
  </si>
  <si>
    <t>赤犬战利品·首通</t>
  </si>
  <si>
    <t>赤犬战利品</t>
  </si>
  <si>
    <t>SSR任选箱</t>
  </si>
  <si>
    <t>【角色】周年任选宝箱，使用后可任意选择获得一个SSR角色</t>
  </si>
  <si>
    <t>时装任选箱</t>
  </si>
  <si>
    <t>【时装】周年任选宝箱，使用后可任意选择获得一个角色时装</t>
  </si>
  <si>
    <t>周年庆银币袋</t>
  </si>
  <si>
    <t>【航海王：燃烧意志】周年庆银币袋，使用获得20枚周年银币</t>
  </si>
  <si>
    <t>宝石任选箱</t>
  </si>
  <si>
    <t>角色·周年任选箱</t>
  </si>
  <si>
    <t>【宝石】周年任选宝箱，使用后可任意选择获得一个五级宝石</t>
  </si>
  <si>
    <t>限定SSR任选箱</t>
  </si>
  <si>
    <t>时装·周年任选箱</t>
  </si>
  <si>
    <t>使用后可任意选择一个限定SSR角色。（可选限定角色截止到比斯塔）</t>
  </si>
  <si>
    <t>中秋佳节共享美食，使用后会获得神秘道具。</t>
  </si>
  <si>
    <t>汉库珂</t>
  </si>
  <si>
    <t>宝石·周年任选箱</t>
  </si>
  <si>
    <t>打开后获得50个汉库珂碎片。</t>
  </si>
  <si>
    <t>麦哲伦</t>
  </si>
  <si>
    <t>打开后获得50个麦哲伦碎片。</t>
  </si>
  <si>
    <t>伊娃科夫</t>
  </si>
  <si>
    <t>打开后获得50个伊娃科夫碎片。</t>
  </si>
  <si>
    <t>汉库珂角色箱</t>
  </si>
  <si>
    <t>使用后可任意选择一个6级宝石。</t>
  </si>
  <si>
    <t>7级宝石任选箱</t>
  </si>
  <si>
    <t>麦哲伦角色箱</t>
  </si>
  <si>
    <t>使用后可任意选择一个7级宝石。</t>
  </si>
  <si>
    <t>伊娃科夫角色箱</t>
  </si>
  <si>
    <t>使用后可任意选择一个8级宝石。</t>
  </si>
  <si>
    <t>限定SR任选箱</t>
  </si>
  <si>
    <t>可从限定SR角色（罗宾、双手指、阿布萨罗姆、豪格巴克、佩罗娜、龙马、贝宝）任意选择一个。</t>
  </si>
  <si>
    <t>通行证经验书</t>
  </si>
  <si>
    <t>使用后可增加50点航海通行证经验。（道具过期后将无法再使用）</t>
  </si>
  <si>
    <t>使用后随机获得一个高品质道具。</t>
  </si>
  <si>
    <t>使用后随机获得一个道具。</t>
  </si>
  <si>
    <t>可从阿布萨罗姆、豪格巴克、佩罗娜、龙马中任意选择一个限定SR角色</t>
  </si>
  <si>
    <t>万圣节宝石袋</t>
  </si>
  <si>
    <t>使用后获得两颗高档宝石（5级~7级）。</t>
  </si>
  <si>
    <t>4级随机宝石袋</t>
  </si>
  <si>
    <t>使用后随机获得一颗4级宝石。</t>
  </si>
  <si>
    <t>女帝宝箱</t>
  </si>
  <si>
    <t>使用后获得汉库珂碎片*50。</t>
  </si>
  <si>
    <t>基德宝箱</t>
  </si>
  <si>
    <t>使用后获得基德碎片*50。</t>
  </si>
  <si>
    <t>使用后获得100级未鉴定的英雄·提督长鞭</t>
  </si>
  <si>
    <t>使用后获得100级未鉴定的英雄·提督长袍</t>
  </si>
  <si>
    <t>使用后获得100级未鉴定的英雄·提督戒指</t>
  </si>
  <si>
    <t>使用后获得100级未鉴定的英雄·提督项链</t>
  </si>
  <si>
    <t>英雄·警卫长枪</t>
  </si>
  <si>
    <t>使用后获得80级未鉴定的英雄·警卫长枪</t>
  </si>
  <si>
    <t>英雄·警卫制服</t>
  </si>
  <si>
    <t>使用后获得80级未鉴定的英雄·警卫制服</t>
  </si>
  <si>
    <t>英雄·警卫戒指</t>
  </si>
  <si>
    <t>使用后获得80级未鉴定的英雄·警卫戒指</t>
  </si>
  <si>
    <t>英雄·警卫项链</t>
  </si>
  <si>
    <t>使用后获得80级未鉴定的英雄·警卫项链</t>
  </si>
  <si>
    <t>使用后获得神秘奖励。</t>
  </si>
  <si>
    <t>大雪人</t>
  </si>
  <si>
    <t>姜饼人</t>
  </si>
  <si>
    <t>普通金币红包</t>
  </si>
  <si>
    <t>可在公会聊天频道发送一个包含金币的红包，发送后获得公会贡献。</t>
  </si>
  <si>
    <t>普通钻石红包</t>
  </si>
  <si>
    <t>可在公会聊天频道发送一个包含蓝钻的红包，发送后获得公会贡献。</t>
  </si>
  <si>
    <t>彩钻钻石红包</t>
  </si>
  <si>
    <t>可在公会聊天频道发送一个包含蓝钻的红包，消耗彩钻，发送后获得公会贡献。</t>
  </si>
  <si>
    <t>烹饪中需要的材料之一，可加速年夜饭的做菜时间10分钟。</t>
  </si>
  <si>
    <t>高级钻石红包</t>
  </si>
  <si>
    <t>烹饪中需要的材料之一，可加速年夜饭的做菜时间1小时。</t>
  </si>
  <si>
    <t>烹饪中需要的材料之一，可加速年夜饭的做菜时间30分钟。</t>
  </si>
  <si>
    <t>鹿角头饰</t>
  </si>
  <si>
    <t>圣诞节神秘的鹿角头饰，可以用于兑换神秘道具。</t>
  </si>
  <si>
    <t>圣诞帽</t>
  </si>
  <si>
    <t>圣诞节必备的圣诞帽，可以用于兑换神秘道具。</t>
  </si>
  <si>
    <t>时装自选宝箱</t>
  </si>
  <si>
    <t>圣诞节庆典宝箱，多种时装任意选择。</t>
  </si>
  <si>
    <t>渔业兑换1</t>
  </si>
  <si>
    <t>海神结晶</t>
  </si>
  <si>
    <t>渔业兑换2</t>
  </si>
  <si>
    <t>渔业兑换3</t>
  </si>
  <si>
    <t>5级随机宝石袋</t>
  </si>
  <si>
    <t>使用后随机获得一颗5级宝石。</t>
  </si>
  <si>
    <t>体力药剂</t>
  </si>
  <si>
    <t>鱼获贩卖2</t>
  </si>
  <si>
    <t>大航海体力药剂，使用后恢复300点大航海体力</t>
  </si>
  <si>
    <t>一袋航海币</t>
  </si>
  <si>
    <t>鱼获贩卖3</t>
  </si>
  <si>
    <t>一小袋鼓鼓的航海币，开启后可获得50航海币。</t>
  </si>
  <si>
    <t>特别的果实</t>
  </si>
  <si>
    <t>只有收藏价值的特别果实，采集后用于交付任务。</t>
  </si>
  <si>
    <t>珍贵的野草</t>
  </si>
  <si>
    <t>用途不明的珍贵野草，采集后用于交付任务。</t>
  </si>
  <si>
    <t>大包</t>
  </si>
  <si>
    <t>粗心的居民丢失的大包，采集后用于交付任务。</t>
  </si>
  <si>
    <t>稀有形状的珊瑚</t>
  </si>
  <si>
    <t>可以用来制作艺术品的珊瑚，采集后用于交付任务。</t>
  </si>
  <si>
    <t>海之森地图</t>
  </si>
  <si>
    <t>路痴的最佳助手，采集后用于交付任务。</t>
  </si>
  <si>
    <t>船匠的备忘录</t>
  </si>
  <si>
    <t>记载着船匠心得的备忘录，采集后用于交付任务。</t>
  </si>
  <si>
    <t>旧抹布</t>
  </si>
  <si>
    <t>使用了很久的抹布，采集后用于交付任务。</t>
  </si>
  <si>
    <t>大鱼</t>
  </si>
  <si>
    <t>肉质鲜美的食材，采集后用于交付任务。</t>
  </si>
  <si>
    <t>特甜砂糖</t>
  </si>
  <si>
    <t>用来制作点心的砂糖，采集后用于交付任务。</t>
  </si>
  <si>
    <t>银色戒指</t>
  </si>
  <si>
    <t>做工精致的戒指，采集后用于交付任务。</t>
  </si>
  <si>
    <t>高级装备券</t>
  </si>
  <si>
    <t>使用高级装备券可以在装备工坊中抽取100级装备</t>
  </si>
  <si>
    <t>大珍珠</t>
  </si>
  <si>
    <t>见证爱情的美丽珍珠。</t>
  </si>
  <si>
    <t>辟邪的珊瑚</t>
  </si>
  <si>
    <t>辟邪的珊瑚，效果令人怀疑。</t>
  </si>
  <si>
    <t>危险的木桶</t>
  </si>
  <si>
    <t>危险的木桶，要小心搬运。</t>
  </si>
  <si>
    <t>宝物笔记</t>
  </si>
  <si>
    <t>宝物笔记，记载了许多宝物效果的百科全书。</t>
  </si>
  <si>
    <t>美味的点心</t>
  </si>
  <si>
    <t>被偷走的美味点心，不可以偷吃喔。</t>
  </si>
  <si>
    <t>新</t>
  </si>
  <si>
    <t>新年神秘道具，可用来兑换道具</t>
  </si>
  <si>
    <t>年</t>
  </si>
  <si>
    <t>1级宝石随机</t>
  </si>
  <si>
    <t>打开后随机获得一个1级宝石。</t>
  </si>
  <si>
    <t>2级宝石随机</t>
  </si>
  <si>
    <t>打开后随机获得一个2级宝石。</t>
  </si>
  <si>
    <t>3级宝石随机</t>
  </si>
  <si>
    <t>打开后随机获得一个3级宝石。</t>
  </si>
  <si>
    <t>4级宝石随机</t>
  </si>
  <si>
    <t>随机宝石袋</t>
  </si>
  <si>
    <t>打开后随机获得一个4级宝石。</t>
  </si>
  <si>
    <t>5级宝石随机</t>
  </si>
  <si>
    <t>打开后随机获得一个5级宝石。</t>
  </si>
  <si>
    <t>6级宝石随机</t>
  </si>
  <si>
    <t>打开后随机获得一个6级宝石。</t>
  </si>
  <si>
    <t>7级宝石随机</t>
  </si>
  <si>
    <t>打开后随机获得一个7级宝石。</t>
  </si>
  <si>
    <t>8级宝石随机</t>
  </si>
  <si>
    <t>打开后随机获得一个8级宝石。</t>
  </si>
  <si>
    <t>9级宝石随机</t>
  </si>
  <si>
    <t>打开后随机获得一个9级宝石。</t>
  </si>
  <si>
    <t>10级宝石随机</t>
  </si>
  <si>
    <t>打开后随机获得一个10级宝石。</t>
  </si>
  <si>
    <t>时装精选宝箱</t>
  </si>
  <si>
    <t>使用后可任意从紫色旗袍(汉库珂)、唐装(新世界佐罗)、唐装(新世界奈美)任选一件时装。</t>
  </si>
  <si>
    <t>玫瑰花束</t>
  </si>
  <si>
    <t>代表真挚的爱意送给最爱的人，使用后有概率获得高级道具。</t>
  </si>
  <si>
    <t>红玫瑰</t>
  </si>
  <si>
    <t>时装任选宝箱</t>
  </si>
  <si>
    <t>情人节庆典宝箱，多种时装任意选择。</t>
  </si>
  <si>
    <t>100鱼人岛声望装备箱</t>
  </si>
  <si>
    <t>打开后获得一件英雄·提督武器，一件英雄·提督项链。</t>
  </si>
  <si>
    <t>水雷</t>
  </si>
  <si>
    <t>用于开启海兽围捕活动。</t>
  </si>
  <si>
    <t>雪域之度地图</t>
  </si>
  <si>
    <t>使用后可激活海岛争霸雪域之度场景。</t>
  </si>
  <si>
    <t>提督宝箱</t>
  </si>
  <si>
    <t>感恩之心</t>
  </si>
  <si>
    <t>战船改造大礼包</t>
  </si>
  <si>
    <t>战船礼包</t>
  </si>
  <si>
    <t>打开后可以从幽灵船和极地潜水号中选择一艘战船。</t>
  </si>
  <si>
    <t>花束</t>
  </si>
  <si>
    <t>SR任选礼包</t>
  </si>
  <si>
    <t>可以从龙马、佩罗娜、豪格巴克、阿布萨罗姆、贝宝和Ms.双手指中任意选择一名角色。</t>
  </si>
  <si>
    <t>阵法任选礼包</t>
  </si>
  <si>
    <t>可以从极护之阵、冥想之阵、虚无之阵、急速之阵、激进之阵和专注之阵中任意选择一张阵法图纸。</t>
  </si>
  <si>
    <t>战船任选礼包</t>
  </si>
  <si>
    <t>可以从风·格拉玛号、雷德·佛斯号、九蛇海盗船、幽灵船和黑桃海盗船中任意选择一艘战船。</t>
  </si>
  <si>
    <t>新世界时装礼包</t>
  </si>
  <si>
    <t>任意选择一件新世界草帽海盗团的时装（不包含新世界罗宾泳装、新世界路飞-皇者披风时装）。</t>
  </si>
  <si>
    <t>初级工具箱</t>
  </si>
  <si>
    <t>使用后可使建筑加速建造5分钟</t>
  </si>
  <si>
    <t>中级工具箱</t>
  </si>
  <si>
    <t>使用后可使建筑加速建造30分钟</t>
  </si>
  <si>
    <t>使用后可使建筑加速建造2小时</t>
  </si>
  <si>
    <t>顶级工具箱</t>
  </si>
  <si>
    <t>使用后可使建筑加速建造6小时</t>
  </si>
  <si>
    <t>100级别套装箱</t>
  </si>
  <si>
    <t>打开可获得一件100级英雄套装</t>
  </si>
  <si>
    <t>80级别套装箱</t>
  </si>
  <si>
    <t>打开可获得一件80级英雄套装</t>
  </si>
  <si>
    <t>60级别套装箱</t>
  </si>
  <si>
    <t>打开可获得一件60级英雄套装</t>
  </si>
  <si>
    <t>40级别套装箱</t>
  </si>
  <si>
    <t>100级精选套装箱</t>
  </si>
  <si>
    <t>打开可获得一件40级英雄套装</t>
  </si>
  <si>
    <t>豪华套装随机箱</t>
  </si>
  <si>
    <t>80级精选套装箱</t>
  </si>
  <si>
    <t>100级豪华套装随机箱</t>
  </si>
  <si>
    <t>黑市60装备随机箱</t>
  </si>
  <si>
    <t>60级精选套装箱</t>
  </si>
  <si>
    <t>打开可获得一件60级装备或一件60级英雄套装</t>
  </si>
  <si>
    <t>黑市80装备随机箱</t>
  </si>
  <si>
    <t>40级精选套装箱</t>
  </si>
  <si>
    <t>打开可获得一件80级装备或一件80级英雄套装</t>
  </si>
  <si>
    <t>黑市100装备随机箱</t>
  </si>
  <si>
    <t>打开可获得一件100级装备或一件100级英雄套装</t>
  </si>
  <si>
    <t>60级精选装备箱</t>
  </si>
  <si>
    <t>可以从风·格拉玛号、雷德·佛斯号、九蛇海盗船、幽灵船、黑桃海盗船、极地潜水号和弗拉门戈号中任意选择一艘战船。</t>
  </si>
  <si>
    <t>玫瑰</t>
  </si>
  <si>
    <t>80级精选装备箱</t>
  </si>
  <si>
    <t>桃心</t>
  </si>
  <si>
    <t>100级精选装备箱</t>
  </si>
  <si>
    <t>黑市40装备随机箱</t>
  </si>
  <si>
    <t>打开可获得一件40级装备或一件40级英雄套装</t>
  </si>
  <si>
    <t>钢材</t>
  </si>
  <si>
    <t>看起来十分高级的建筑材料，可用于家园建筑建造</t>
  </si>
  <si>
    <t>石砖</t>
  </si>
  <si>
    <t>看起来十分坚固的建筑材料，可用于家园建筑建造</t>
  </si>
  <si>
    <t>普通蓝钻袋</t>
  </si>
  <si>
    <t>40级精选装备箱</t>
  </si>
  <si>
    <t>一袋鼓鼓的蓝钻，开启获得50蓝钻。</t>
  </si>
  <si>
    <t>优质蓝钻袋</t>
  </si>
  <si>
    <t>一袋鼓鼓的蓝钻，开启获得100蓝钻。</t>
  </si>
  <si>
    <t>贵重蓝钻袋</t>
  </si>
  <si>
    <t>一袋鼓鼓的蓝钻，开启获得150蓝钻。</t>
  </si>
  <si>
    <t>普通宝石箱</t>
  </si>
  <si>
    <t>装有宝石的箱子，打开后可以随机获得2颗1~4级宝石。</t>
  </si>
  <si>
    <t>优质宝石箱</t>
  </si>
  <si>
    <t>装有宝石的箱子，打开后可以随机获得2颗2~5级宝石。</t>
  </si>
  <si>
    <t>贵重宝石箱</t>
  </si>
  <si>
    <t>装有宝石的箱子，打开后可以随机获得2颗3~7级宝石。</t>
  </si>
  <si>
    <t>普通精炼石袋</t>
  </si>
  <si>
    <t>装有精炼石的袋子，打开后可以随机获得2个精炼石。</t>
  </si>
  <si>
    <t>优质精炼石袋</t>
  </si>
  <si>
    <t>装有精炼石的袋子，打开后可以随机获得2个精炼石，更高几率获得高级精炼石。</t>
  </si>
  <si>
    <t>贵重精炼石袋</t>
  </si>
  <si>
    <t>装有精炼石的袋子，打开后可以随机获得2个精炼石，有几率获得超级精炼石。</t>
  </si>
  <si>
    <t>普通经验卷轴箱</t>
  </si>
  <si>
    <t>散落的经验卷轴，打开后可以随机获得10个经验卷轴。</t>
  </si>
  <si>
    <t>优质经验卷轴箱</t>
  </si>
  <si>
    <t>贵重经验卷轴箱</t>
  </si>
  <si>
    <t>普通训练书箱</t>
  </si>
  <si>
    <t>一摞训练书，打开后可以随机获得10本任意训练书。</t>
  </si>
  <si>
    <t>优质训练书箱</t>
  </si>
  <si>
    <t>贵重训练书箱</t>
  </si>
  <si>
    <t>高级精华器</t>
  </si>
  <si>
    <t>精华收集器的必备零件，可以在家园中建造高级精华收集器</t>
  </si>
  <si>
    <t>丢失的物资</t>
  </si>
  <si>
    <t>仓库管理员弄丢的物资，采集后用于交付任务。</t>
  </si>
  <si>
    <t>珍贵的草药</t>
  </si>
  <si>
    <t>罕见的珍贵药草，采集后用于交付任务。</t>
  </si>
  <si>
    <t>完美的种子</t>
  </si>
  <si>
    <t>可以种出特别植物的种子，采集后用于交付任务。</t>
  </si>
  <si>
    <t>优质的食材</t>
  </si>
  <si>
    <t>烹饪美味佳肴必不可少之物，采集后用于交付任务。</t>
  </si>
  <si>
    <t>刻刀</t>
  </si>
  <si>
    <t>一把老旧的刻刀，陪伴主人经历了许多岁月，采集后用于交付任务。</t>
  </si>
  <si>
    <t>涌来冶炼的常用矿石，采集后用于交付任务。</t>
  </si>
  <si>
    <t>植物颜料</t>
  </si>
  <si>
    <t>随处可见的纯天然颜料，容易褪色，采集后用于交付任务。</t>
  </si>
  <si>
    <t>肥美的鱼饵</t>
  </si>
  <si>
    <t>大鱼最爱之物，采集后用于交付任务。</t>
  </si>
  <si>
    <t>宴会物资</t>
  </si>
  <si>
    <t>举办宴会的最佳选择，采集后用于交付任务。</t>
  </si>
  <si>
    <t>负重工具</t>
  </si>
  <si>
    <t>沉甸甸的箱子，采集后用于交付任务。</t>
  </si>
  <si>
    <t>粽子篮</t>
  </si>
  <si>
    <t>可以从风·格拉玛号、雷德·佛斯号、九蛇海盗船、幽灵船、黑桃海盗船、极地潜水号、弗拉门戈号和莫比迪克号中任意选择一艘战船。</t>
  </si>
  <si>
    <t>从泳装（奈美）、结婚礼服(奈美)、紫色旗袍(汉库珂)、泳装（罗宾）、公主装(薇薇)中任意选择一件。</t>
  </si>
  <si>
    <t>卷轴与书</t>
  </si>
  <si>
    <t>突破材料的一种组合，使用后可开出24个超级突破卷轴与31个超级突破书。</t>
  </si>
  <si>
    <t>海图与卷轴</t>
  </si>
  <si>
    <t>突破材料的一种组合，使用后可开出24个超级突破海图与31个超级突破卷轴。</t>
  </si>
  <si>
    <t>灵药与海图</t>
  </si>
  <si>
    <t>突破材料的一种组合，使用后可开出24个超级突破灵药与31个超级突破海图。</t>
  </si>
  <si>
    <t>皇冠与灵药</t>
  </si>
  <si>
    <t>突破材料的一种组合，使用后可开出24个超级突破皇冠与31个超级突破灵药。</t>
  </si>
  <si>
    <t>书与皇冠</t>
  </si>
  <si>
    <t>突破材料的一种组合，使用后可开出24个超级突破书与31个超级突破皇冠。</t>
  </si>
  <si>
    <t>突破道具宝箱</t>
  </si>
  <si>
    <t>打开后可以选择一种超级突破材料的组合，满足一名SSR角色从突破0到突破3的橙色材料需求。</t>
  </si>
  <si>
    <t>水晶</t>
  </si>
  <si>
    <t>升级公会的稀有道具，使用后个人增加贡献1200，工会获得1枚水晶(无公会状态此道具使用后无效）</t>
  </si>
  <si>
    <t>10级宝石任选箱</t>
  </si>
  <si>
    <t>使用后可任意选择一个10级宝石。</t>
  </si>
  <si>
    <t>简易木桥图纸</t>
  </si>
  <si>
    <t>使用后可以开启家园装扮【简易木桥（副）】</t>
  </si>
  <si>
    <t>贸易港口图纸</t>
  </si>
  <si>
    <t>使用后可以开启家园装扮【贸易港口】</t>
  </si>
  <si>
    <t>精致海边走廊图纸</t>
  </si>
  <si>
    <t>使用后可以开启家园装扮【精致海边走廊】</t>
  </si>
  <si>
    <t>精致休闲长廊图纸</t>
  </si>
  <si>
    <t>使用后可以开启家园装扮【精致休闲长廊】</t>
  </si>
  <si>
    <t>石质拱桥(主)图纸</t>
  </si>
  <si>
    <t>使用后可以开启家园装扮【石质拱桥(主)】</t>
  </si>
  <si>
    <t>石质拱桥(副)图纸</t>
  </si>
  <si>
    <t>使用后可以开启家园装扮【石质拱桥(副)】</t>
  </si>
  <si>
    <t>精致喷泉图纸</t>
  </si>
  <si>
    <t>使用后可以开启家园装扮【精致喷泉】</t>
  </si>
  <si>
    <t>使用后可以开启家园装扮【巨鲸】</t>
  </si>
  <si>
    <t>钢材箱</t>
  </si>
  <si>
    <t>装满钢材的建材箱，使用后可获得500钢材</t>
  </si>
  <si>
    <t>石砖箱</t>
  </si>
  <si>
    <t>装满石砖的建材箱，使用后可获得500石砖</t>
  </si>
  <si>
    <t>盛典徽章</t>
  </si>
  <si>
    <t>用于庆典活动道具兑换。</t>
  </si>
  <si>
    <t>航海徽章</t>
  </si>
  <si>
    <t>可以从风·格拉玛号、雷德·佛斯号、九蛇海盗船、幽灵船、黑桃海盗船、极地潜水号、弗拉门戈号、莫比迪克号和巴拉蒂中任意选择一艘战船。</t>
  </si>
  <si>
    <t>可以从极护之阵、冥想之阵、虚无之阵、急速之阵、激进之阵、专注之阵和守护之阵中任意选择一张阵法图纸。</t>
  </si>
  <si>
    <t>家园建材宝箱</t>
  </si>
  <si>
    <t>装满家园建材的宝箱，使用后可获得3000钢材、3000石砖</t>
  </si>
  <si>
    <t>友情礼包</t>
  </si>
  <si>
    <t>在家园中协助好友生产获得的友情奖励，使用后可获得2000金块、1个初级工具箱</t>
  </si>
  <si>
    <t>宝石礼包</t>
  </si>
  <si>
    <t>打开后随机获得一个1~3级的宝石</t>
  </si>
  <si>
    <t>从泳装（佩罗娜）、泳装(薇薇)中任意选择一件。</t>
  </si>
  <si>
    <t>100级装备宝箱</t>
  </si>
  <si>
    <t>使用后可随机获得一整套100级套装</t>
  </si>
  <si>
    <t>复仇套装随机箱</t>
  </si>
  <si>
    <t>使用后可随机获得复仇套装中的一个部位</t>
  </si>
  <si>
    <t>统帅套装随机箱</t>
  </si>
  <si>
    <t>使用后可随机获得统帅套装中的一个部位</t>
  </si>
  <si>
    <t>英雄·复仇镰刀</t>
  </si>
  <si>
    <t>使用后获得100级未鉴定的英雄·复仇镰刀</t>
  </si>
  <si>
    <t>英雄·复仇战服</t>
  </si>
  <si>
    <t>使用后获得100级未鉴定的英雄·复仇战服</t>
  </si>
  <si>
    <t>英雄·复仇戒指</t>
  </si>
  <si>
    <t>使用后获得100级未鉴定的英雄·复仇戒指</t>
  </si>
  <si>
    <t>英雄·复仇项链</t>
  </si>
  <si>
    <t>使用后获得100级未鉴定的英雄·复仇项链</t>
  </si>
  <si>
    <t>英雄·统帅长剑</t>
  </si>
  <si>
    <t>使用后获得100级未鉴定的英雄·统帅长剑</t>
  </si>
  <si>
    <t>英雄·统帅之服</t>
  </si>
  <si>
    <t>使用后获得100级未鉴定的英雄·统帅之服</t>
  </si>
  <si>
    <t>英雄·统帅戒指</t>
  </si>
  <si>
    <t>使用后获得100级未鉴定的英雄·统帅戒指</t>
  </si>
  <si>
    <t>英雄·统帅项链</t>
  </si>
  <si>
    <t>使用后获得100级未鉴定的英雄·统帅项链</t>
  </si>
  <si>
    <t>复仇套装自选箱</t>
  </si>
  <si>
    <t>使用后可自行选择获得复仇套装中的一个部位</t>
  </si>
  <si>
    <t>统帅套装自选箱</t>
  </si>
  <si>
    <t>使用后可自行选择获得统帅套装中的一个部位</t>
  </si>
  <si>
    <t>可从以下9种阵型任选其一（极护、冥想、虚无、急速、激进、专注、守护、勇者、御敌）</t>
  </si>
  <si>
    <t>小熊礼盒</t>
  </si>
  <si>
    <t>一袋鼓鼓的蓝钻，开启获得40蓝钻。</t>
  </si>
  <si>
    <t>高级蓝钻袋</t>
  </si>
  <si>
    <t>一袋鼓鼓的蓝钻，开启获得60蓝钻。</t>
  </si>
  <si>
    <t>一袋鼓鼓的蓝钻，开启获得70蓝钻。</t>
  </si>
  <si>
    <t>稀有蓝钻袋</t>
  </si>
  <si>
    <t>一袋鼓鼓的蓝钻，开启获得80蓝钻。</t>
  </si>
  <si>
    <t>无暇宝石箱</t>
  </si>
  <si>
    <t>装有宝石的箱子，打开后可以随机获得1颗1级宝石。</t>
  </si>
  <si>
    <t>装有精炼石的袋子，打开后可以随机获得2个精炼石，有较小几率获得更高等级的精炼石。</t>
  </si>
  <si>
    <t>高级精炼石袋</t>
  </si>
  <si>
    <t>装有精炼石的袋子，打开后可以随机获得2个精炼石，有普通几率获得更高等级的精炼石。</t>
  </si>
  <si>
    <t>装有精炼石的袋子，打开后可以随机获得2个精炼石，有较大几率获得更高等级的精炼石。</t>
  </si>
  <si>
    <t>稀有精炼石袋</t>
  </si>
  <si>
    <t>装有精炼石的袋子，打开后可以随机获得2个精炼石，有显著几率获得更高等级的精炼石。</t>
  </si>
  <si>
    <t>散落的经验卷轴，打开后可以随机获得10个各类经验卷轴。</t>
  </si>
  <si>
    <t>高级经验卷轴箱</t>
  </si>
  <si>
    <t>稀有经验卷轴箱</t>
  </si>
  <si>
    <t>高级训练书箱</t>
  </si>
  <si>
    <t>稀有训练书箱</t>
  </si>
  <si>
    <t>神树图纸</t>
  </si>
  <si>
    <t>使用后可以开启家园装扮【神树】</t>
  </si>
  <si>
    <t>五重塔图纸</t>
  </si>
  <si>
    <t>使用后可以开启家园装扮【五重塔】</t>
  </si>
  <si>
    <t>风锦桥图纸</t>
  </si>
  <si>
    <t>使用后可以开启家园装扮【风锦桥】</t>
  </si>
  <si>
    <t>月枕桥图纸</t>
  </si>
  <si>
    <t>使用后可以开启家园装扮【月枕桥】</t>
  </si>
  <si>
    <t>竹林小憩图纸</t>
  </si>
  <si>
    <t>使用后可以开启家园装扮【竹林小憩】</t>
  </si>
  <si>
    <t>挽风凉亭图纸</t>
  </si>
  <si>
    <t>使用后可以开启家园装扮【挽风凉亭】</t>
  </si>
  <si>
    <t>素业茶苑图纸</t>
  </si>
  <si>
    <t>使用后可以开启家园装扮【素业茶苑】</t>
  </si>
  <si>
    <t>樱花祭图纸</t>
  </si>
  <si>
    <t>使用后可以开启家园装扮【樱花祭】</t>
  </si>
  <si>
    <t>樱落图纸（7天）</t>
  </si>
  <si>
    <t>使用后可以开启家园装扮【樱落】（7天）</t>
  </si>
  <si>
    <t>装满家园建材的宝箱，使用后可获得1500钢材、1500石砖</t>
  </si>
  <si>
    <r>
      <rPr>
        <sz val="10.5"/>
        <color rgb="FF191F25"/>
        <rFont val="宋体"/>
        <charset val="134"/>
      </rPr>
      <t>可从以下</t>
    </r>
    <r>
      <rPr>
        <sz val="10.5"/>
        <color rgb="FF191F25"/>
        <rFont val="Segoe UI"/>
        <charset val="134"/>
      </rPr>
      <t>13</t>
    </r>
    <r>
      <rPr>
        <sz val="10.5"/>
        <color rgb="FF191F25"/>
        <rFont val="宋体"/>
        <charset val="134"/>
      </rPr>
      <t>种阵型任选其一（冥想、急速、激进、专注、守护、冲击、曙光、进击、元素、争霸、守护、御敌、勇者）</t>
    </r>
  </si>
  <si>
    <t>使用后可以任意选择获得以下战船一艘（性感福克斯号、黑胡子木筏、海军战舰、戈普的军舰和太阳海盗船）</t>
  </si>
  <si>
    <t>精美宝石袋</t>
  </si>
  <si>
    <t>装有宝石的小袋子，打开后可以获得高档宝石，有几率开出高等级宝石。（最高可开出5级宝石）</t>
  </si>
  <si>
    <t>英雄·游侠长矛</t>
  </si>
  <si>
    <t>使用后获得100级未鉴定的英雄·游侠长矛</t>
  </si>
  <si>
    <t>英雄·游侠长衣</t>
  </si>
  <si>
    <t>使用后获得100级未鉴定的英雄·游侠长衣</t>
  </si>
  <si>
    <t>英雄·游侠戒指</t>
  </si>
  <si>
    <t>使用后获得100级未鉴定的英雄·游侠戒指</t>
  </si>
  <si>
    <t>英雄·游侠项链</t>
  </si>
  <si>
    <t>使用后获得100级未鉴定的英雄·游侠项链</t>
  </si>
  <si>
    <t>英雄·卫兵长戟</t>
  </si>
  <si>
    <t>使用后获得80级未鉴定的英雄·卫兵长戟</t>
  </si>
  <si>
    <t>英雄·卫兵盔甲</t>
  </si>
  <si>
    <t>使用后获得80级未鉴定的英雄·卫兵盔甲</t>
  </si>
  <si>
    <t>英雄·卫兵戒指</t>
  </si>
  <si>
    <t>使用后获得80级未鉴定的英雄·卫兵戒指</t>
  </si>
  <si>
    <t>英雄·卫兵项链</t>
  </si>
  <si>
    <t>使用后获得80级未鉴定的英雄·卫兵项链</t>
  </si>
  <si>
    <t>称号：风雨同舟</t>
  </si>
  <si>
    <t>使用后获得周年庆称号：风雨同舟</t>
  </si>
  <si>
    <t>周年庆狂欢礼包</t>
  </si>
  <si>
    <t>4级宝石箱（公会拍卖）</t>
  </si>
  <si>
    <t>5级宝石箱（公会拍卖）</t>
  </si>
  <si>
    <t>6级宝石箱（公会拍卖）</t>
  </si>
  <si>
    <t>英雄之石箱（公会拍卖）</t>
  </si>
  <si>
    <t>4级宝石袋</t>
  </si>
  <si>
    <t>打开后随机获得10个、20个或30个英雄之石。</t>
  </si>
  <si>
    <t>80级英雄套装箱</t>
  </si>
  <si>
    <t>5级宝石袋</t>
  </si>
  <si>
    <t>打开后随机获得两件80级套装。</t>
  </si>
  <si>
    <t>100级英雄套装箱</t>
  </si>
  <si>
    <t>6级宝石袋</t>
  </si>
  <si>
    <t>打开后随机获得两件100级套装。</t>
  </si>
  <si>
    <t>周年徽章</t>
  </si>
  <si>
    <t>英雄之石袋</t>
  </si>
  <si>
    <t>用于周年庆兑换活动道具。</t>
  </si>
  <si>
    <t>燃梦徽章</t>
  </si>
  <si>
    <t>孙子的来信</t>
  </si>
  <si>
    <t>像是寄给某人的信，采集后用于交付任务。</t>
  </si>
  <si>
    <t>美味的果实</t>
  </si>
  <si>
    <t>看起来就很好吃的果实，采集后用于交付任务。</t>
  </si>
  <si>
    <t>运送中的货物</t>
  </si>
  <si>
    <t>被遗忘在路边的货物，采集后用于交付任务。</t>
  </si>
  <si>
    <t>做干花书签用的花</t>
  </si>
  <si>
    <t>淡雅的花朵，晾干可以作为书签，采集后用于交付任务。</t>
  </si>
  <si>
    <t>珍稀的鸟蛋</t>
  </si>
  <si>
    <t>很少见的鸟蛋，采集后用于交付任务。</t>
  </si>
  <si>
    <t>新鲜牛奶，采集后用于交付任务。</t>
  </si>
  <si>
    <t>凯撒招募礼包</t>
  </si>
  <si>
    <t>内含50个凯撒碎片</t>
  </si>
  <si>
    <t>被夺走的剑</t>
  </si>
  <si>
    <t>看起来略显陈旧的长剑，似乎颇有些年头了。</t>
  </si>
  <si>
    <t>消失的食材</t>
  </si>
  <si>
    <t>被偷走的食材，看起来十分可口。</t>
  </si>
  <si>
    <t>竞技场战斗准备室的武器，不知道被谁偷走了。</t>
  </si>
  <si>
    <t>警察的枪</t>
  </si>
  <si>
    <t>警用配枪，不知道为何会出现在这里。</t>
  </si>
  <si>
    <t>被偷的钱包</t>
  </si>
  <si>
    <t>造型精致的钱包，失主一定很着急。</t>
  </si>
  <si>
    <t>漂亮的昆虫</t>
  </si>
  <si>
    <t>拥有亮丽颜色的昆虫，具有一定的观赏价值</t>
  </si>
  <si>
    <t>重要的戒指</t>
  </si>
  <si>
    <t>看起来意义非凡的戒指，快还给失主吧。</t>
  </si>
  <si>
    <r>
      <rPr>
        <sz val="10.5"/>
        <color rgb="FF191F25"/>
        <rFont val="宋体"/>
        <charset val="134"/>
      </rPr>
      <t>可从以下</t>
    </r>
    <r>
      <rPr>
        <sz val="10.5"/>
        <color rgb="FF191F25"/>
        <rFont val="Segoe UI"/>
        <charset val="134"/>
      </rPr>
      <t>3</t>
    </r>
    <r>
      <rPr>
        <sz val="10.5"/>
        <color rgb="FF191F25"/>
        <rFont val="宋体"/>
        <charset val="134"/>
      </rPr>
      <t>种阵型任选其一（毁灭之阵、勇士之阵和魔力之阵）</t>
    </r>
  </si>
  <si>
    <t>新世界草帽团任选箱</t>
  </si>
  <si>
    <t>任意选择一个新世界草帽团角色</t>
  </si>
  <si>
    <t>任意选择以下一件新世界草帽海盗团的时装（新世界佐罗（黑色西服、激战、唐装）、新世界撒谎布（德雷斯罗萨、唐装）、新世界奈美（唐装、泳装）、新世界罗宾（唐装、泳装）、新世界路飞（唐装）、新世界山智（唐装）、新世界弗兰奇（金属）、新世界布鲁克（唐装））。</t>
  </si>
  <si>
    <t>德莱斯罗兹声望装备箱</t>
  </si>
  <si>
    <t>打开后获得一件英雄·提督防具，一件英雄·提督戒指。</t>
  </si>
  <si>
    <t>幸运南瓜灯</t>
  </si>
  <si>
    <t>打开后随机获得一个高品质道具</t>
  </si>
  <si>
    <t>大南瓜灯</t>
  </si>
  <si>
    <t>万圣节道具，可用于兑换特殊道具。</t>
  </si>
  <si>
    <t>小南瓜灯</t>
  </si>
  <si>
    <t>阵型卷轴</t>
  </si>
  <si>
    <t>用于升级阵型的卷轴，使用后获得5000点阵型经验</t>
  </si>
  <si>
    <r>
      <rPr>
        <sz val="10.5"/>
        <color rgb="FF191F25"/>
        <rFont val="宋体"/>
        <charset val="134"/>
      </rPr>
      <t>可从以下</t>
    </r>
    <r>
      <rPr>
        <sz val="10.5"/>
        <color rgb="FF191F25"/>
        <rFont val="Segoe UI"/>
        <charset val="134"/>
      </rPr>
      <t>13</t>
    </r>
    <r>
      <rPr>
        <sz val="10.5"/>
        <color rgb="FF191F25"/>
        <rFont val="宋体"/>
        <charset val="134"/>
      </rPr>
      <t>种阵型任选其一（冥想、急速、激进、专注、防护、冲击、曙光、进击、元素、争霸、守护、御敌、勇者）</t>
    </r>
  </si>
  <si>
    <t>9级宝石任选箱</t>
  </si>
  <si>
    <t>使用后可任意选择一个9级宝石。</t>
  </si>
  <si>
    <t>精选拼图宝袋</t>
  </si>
  <si>
    <t>打开后可随机获得强者招募券、搜魂券、精致宝石袋等稀有道具</t>
  </si>
  <si>
    <t>晋升副本入场券</t>
  </si>
  <si>
    <t>晋升任选箱</t>
  </si>
  <si>
    <t>打开后可任选获得一种晋升勋章10个</t>
  </si>
  <si>
    <t>高级晋升任选箱</t>
  </si>
  <si>
    <t>打开后可任选获得一种晋升勋章20个</t>
  </si>
  <si>
    <t>8级训练宝箱</t>
  </si>
  <si>
    <t>打开后随机获得一个8级训练道具。</t>
  </si>
  <si>
    <t>英雄·暴走长刃</t>
  </si>
  <si>
    <t>使用后获得100级未鉴定的英雄·暴走长刃</t>
  </si>
  <si>
    <t>英雄·暴走披风</t>
  </si>
  <si>
    <t>使用后获得100级未鉴定的英雄·暴走披风</t>
  </si>
  <si>
    <t>英雄·暴走戒指</t>
  </si>
  <si>
    <t>使用后获得100级未鉴定的英雄·暴走戒指</t>
  </si>
  <si>
    <t>英雄·暴走项链</t>
  </si>
  <si>
    <t>使用后获得100级未鉴定的英雄·暴走项链</t>
  </si>
  <si>
    <t>英雄·决心配剑</t>
  </si>
  <si>
    <t>使用后获得80级未鉴定的英雄·决心配剑</t>
  </si>
  <si>
    <t>英雄·决心侍衣</t>
  </si>
  <si>
    <t>使用后获得80级未鉴定的英雄·决心侍衣</t>
  </si>
  <si>
    <t>英雄·决心戒指</t>
  </si>
  <si>
    <t>使用后获得80级未鉴定的英雄·决心戒指</t>
  </si>
  <si>
    <t>英雄·决心项链</t>
  </si>
  <si>
    <t>使用后获得80级未鉴定的英雄·决心项链</t>
  </si>
  <si>
    <t>英雄·残忍长枪</t>
  </si>
  <si>
    <t>使用后获得100级未鉴定的英雄·残忍长枪</t>
  </si>
  <si>
    <t>英雄·残忍制服</t>
  </si>
  <si>
    <t>使用后获得100级未鉴定的英雄·残忍制服</t>
  </si>
  <si>
    <t>英雄·残忍戒指</t>
  </si>
  <si>
    <t>使用后获得100级未鉴定的英雄·残忍戒指</t>
  </si>
  <si>
    <t>英雄·残忍项链</t>
  </si>
  <si>
    <t>使用后获得100级未鉴定的英雄·残忍项链</t>
  </si>
  <si>
    <t>草药</t>
  </si>
  <si>
    <t>生长于格林比特的药草，采集后用于交付任务。</t>
  </si>
  <si>
    <t>土壤</t>
  </si>
  <si>
    <t>格林比特森林里的土壤，采集后用于交付任务。</t>
  </si>
  <si>
    <t>精选任选箱</t>
  </si>
  <si>
    <t>任意选择一个本期精选招募角色</t>
  </si>
  <si>
    <t>感恩彩蛋</t>
  </si>
  <si>
    <t>药草</t>
  </si>
  <si>
    <t>感恩火鸡</t>
  </si>
  <si>
    <t>新世界佐罗时装箱</t>
  </si>
  <si>
    <t>从黑色西服、激战形态、唐装和万圣节装扮中任意选择一件。</t>
  </si>
  <si>
    <t>幸运圣诞帽</t>
  </si>
  <si>
    <t>圣诞饼干</t>
  </si>
  <si>
    <t>美味的圣诞饼干，可用于兑换特殊道具。</t>
  </si>
  <si>
    <t>平安果</t>
  </si>
  <si>
    <t>象征平安的苹果，可用于兑换特殊道具。</t>
  </si>
  <si>
    <t>幸运雪人</t>
  </si>
  <si>
    <t>大航海挂机次数券</t>
  </si>
  <si>
    <t>可以从九蛇海盗船、雷德·佛斯号、幽灵船、风·格拉玛号、莫比迪克号和弗拉门戈号中任意选择一艘战船。</t>
  </si>
  <si>
    <t>迎春礼盒</t>
  </si>
  <si>
    <t>迎春气球</t>
  </si>
  <si>
    <t>新春红包</t>
  </si>
  <si>
    <t>会给新的一年带来好运。用于兑换道具。</t>
  </si>
  <si>
    <t>新春战船任选箱</t>
  </si>
  <si>
    <t>可以从女王妈妈吟唱者和方舟箴言中任意选择一艘战船。</t>
  </si>
  <si>
    <t>2021春节福字</t>
  </si>
  <si>
    <t>2021年的春节祝福，据说能给人带来一整年的幸福好运，使用后有可以获得道具奖励</t>
  </si>
  <si>
    <t>2021春节鞭炮</t>
  </si>
  <si>
    <t>2021年的春节鞭炮，燃放后可以驱走所有霉运，使用后有可以获得道具奖励</t>
  </si>
  <si>
    <t>白玫瑰花</t>
  </si>
  <si>
    <t>延续情人节的红色爱意，寄托自己真挚的爱意送给最爱的人，使用后有概率获得高级道具</t>
  </si>
  <si>
    <t>感恩花束</t>
  </si>
  <si>
    <t>精美的好友礼物，赠送好友后可以获得50友好度</t>
  </si>
  <si>
    <t>蓝石英</t>
  </si>
  <si>
    <t>精美的好友礼物，赠送好友后可以获得100友好度</t>
  </si>
  <si>
    <t>巧克力花盒</t>
  </si>
  <si>
    <t>精美的好友礼物，赠送好友后可以获得200友好度</t>
  </si>
  <si>
    <t>已废除</t>
  </si>
  <si>
    <t>友好值增加5000</t>
  </si>
  <si>
    <t>爱之心</t>
  </si>
  <si>
    <t>愚人小丑</t>
  </si>
  <si>
    <t>称号：永远的伙伴</t>
  </si>
  <si>
    <t>使用后获得伙伴称号：永远的伙伴</t>
  </si>
  <si>
    <t>和平鸽</t>
  </si>
  <si>
    <t>洁白的和平鸽，可用于兑换特殊道具。</t>
  </si>
  <si>
    <t>红丝带</t>
  </si>
  <si>
    <t>愚人节小丑盒子</t>
  </si>
  <si>
    <t>美丽的红丝带，可用于兑换特殊道具。</t>
  </si>
  <si>
    <t>遮阳伞</t>
  </si>
  <si>
    <t>选择获得一位角色的时装</t>
  </si>
  <si>
    <t>献礼福牌</t>
  </si>
  <si>
    <t>落樱祈福活动道具，可在家园的樱花树下进行献礼抽奖。</t>
  </si>
  <si>
    <t>落樱信笺</t>
  </si>
  <si>
    <t>寄托落樱祝福的信笺，可在用于兑换活动道具。</t>
  </si>
  <si>
    <t>清凉冰块</t>
  </si>
  <si>
    <t>炎炎夏日即将到来，祝各位船长们度过一个清凉的夏日生活。打开后随机获得一个高品质道具</t>
  </si>
  <si>
    <t>寄托着对相思之人的深情爱意，使用后有概率获得高级道具。</t>
  </si>
  <si>
    <t>阵法任选箱</t>
  </si>
  <si>
    <t>可从以下8种阵型任选其一（毁灭之阵、勇士之阵、魔力之阵、幻想之阵、群免之阵、极伤之阵、抗敌之阵、远投之阵）</t>
  </si>
  <si>
    <t>童年时期度过闲暇时光的一种娱乐方式，可用于兑换特殊道具</t>
  </si>
  <si>
    <t>折扇</t>
  </si>
  <si>
    <t>绘画着彩色图案的儿童折扇，可用于兑换特殊道具</t>
  </si>
  <si>
    <t>玩具熊</t>
  </si>
  <si>
    <t>大人们送给孩子们的童年礼物，使用后有概率获得高级道具。</t>
  </si>
  <si>
    <t>粽子礼箱</t>
  </si>
  <si>
    <t>被精致包装过的端午节粽子，使用后有概率获得高级道具。</t>
  </si>
  <si>
    <t>一篮美味的粽子，使用后有概率获得高级道具。</t>
  </si>
  <si>
    <t>端午节粽子</t>
  </si>
  <si>
    <t>庆贺端午节喜气洋洋的气氛，使用后有概率获得高级道具。</t>
  </si>
  <si>
    <t>战船任选箱</t>
  </si>
  <si>
    <t>可以从九蛇海盗船、雷德佛斯号、幽灵船、风·格拉玛号、莫比迪克号、多弗拉门戈的船、前进·路飞前辈号中任意选择一艘战船。</t>
  </si>
  <si>
    <t>通行证礼盒</t>
  </si>
  <si>
    <t>打开后随机获得道具奖励，有概率获得高级道具。</t>
  </si>
  <si>
    <t>可以从玛丽弗德(沙·鳄鱼)、狗头帽(戈普)、阿拉巴斯坦(艾斯)、玛丽弗德(巴奇)、水之都(鲁兹)、路西(新世界路飞)、黑色西服(新世界佐罗)、泳装(佩罗娜)、泳装(薇薇)、泳装(罗宾)中任意选择一件时装。</t>
  </si>
  <si>
    <t>炎炎夏日已经到来，祝各位船长们能享受到清凉的夏日生活。打开后随机获得一个高品质道具</t>
  </si>
  <si>
    <t>夏日用来抵御炎热享受清凉的道具。打开后随机获得一个高品质道具</t>
  </si>
  <si>
    <t>夏日用来抵御炎热享受清凉的道具。使用后有一定几率获得稀有道具</t>
  </si>
  <si>
    <t>可以从糖糖(泳装)、丽久(礼服)、萨博(黑鸦)几款时装中任选一款</t>
  </si>
  <si>
    <t>7级七彩宝石任选袋</t>
  </si>
  <si>
    <t>打开后可任选一块7级七彩宝石</t>
  </si>
  <si>
    <t>可以从新世界鹰眼(和服)、光月御殿(皇冠)、新世界鲁兹(和服)、凯多(龙形态)、奶昔(泳装)几款时装中任选一款</t>
  </si>
  <si>
    <t>可以从米霍克的船、前进·路飞前辈号、方舟箴言、女王妈妈吟唱者中任意选择一艘战船。</t>
  </si>
  <si>
    <t>炎炎夏日已经到来，祝各位船长们能享受到清凉的夏日生活，可用于兑换特殊道具</t>
  </si>
  <si>
    <t>夏日用来抵御炎热享受清凉的物品，打开后随机获得一个高品质道具</t>
  </si>
  <si>
    <t>夏日用来抵御炎热享受清凉的物品，可用于兑换特殊道具</t>
  </si>
  <si>
    <t>保底任选箱</t>
  </si>
  <si>
    <t>任意选择一个本期限定招募角色</t>
  </si>
  <si>
    <t>SSR假图标</t>
  </si>
  <si>
    <t>随机获得本次招募角色中任意一名SSR角色</t>
  </si>
  <si>
    <t>可以从凯多(龙形态)、夏洛特·玲玲(睡衣)、糖糖（泳装）几款时装中任选一款</t>
  </si>
  <si>
    <t>可以从米霍克的船、前进·路飞前辈号中任意选择一艘战船。</t>
  </si>
  <si>
    <t>红色的气球，使用后有概率获得高级道具。</t>
  </si>
  <si>
    <t>活动期间参与讨伐任务有几率获得，可用于兑换特殊道具。</t>
  </si>
  <si>
    <t>活动期间参与每日任务和剧情回顾有几率获得，可用于兑换特殊道具。</t>
  </si>
  <si>
    <t>海军激战战利品</t>
  </si>
  <si>
    <t>海军激战的战利品箱子，使用后有概率获得高级道具</t>
  </si>
  <si>
    <t>华彩宝石袋</t>
  </si>
  <si>
    <t>装有宝石的小袋子，打开后可以获得高档宝石，有几率开出七彩宝石。</t>
  </si>
  <si>
    <t>七彩宝箱</t>
  </si>
  <si>
    <t>装有七彩原石和七彩宝石的宝箱，打开后可以随机获得七彩原石或七彩宝石。</t>
  </si>
  <si>
    <t>争霸赛霸主</t>
  </si>
  <si>
    <t>使用后获得限定称号：争霸赛霸主</t>
  </si>
  <si>
    <t>超越·三周年</t>
  </si>
  <si>
    <t>使用后获得限定称号：超越·三周年</t>
  </si>
  <si>
    <t>寻梦·三周年</t>
  </si>
  <si>
    <t>使用后获得限定称号：寻梦·三周年</t>
  </si>
  <si>
    <t>燃情·三周年</t>
  </si>
  <si>
    <t>使用后获得限定称号：燃情·三周年</t>
  </si>
  <si>
    <t>携舟与共</t>
  </si>
  <si>
    <t>使用后获得限定称号：携舟与共</t>
  </si>
  <si>
    <t>3周年庆典礼盒</t>
  </si>
  <si>
    <t>庆祝即将到来的三周年活动，祝各位船长玩的愉快。打开后随机获得一个高品质道具</t>
  </si>
  <si>
    <t>3周年庆典气球</t>
  </si>
  <si>
    <t>幸运礼袋</t>
  </si>
  <si>
    <t>幸运转盘抽到的小礼品袋子，使用后有概率获得高级道具。</t>
  </si>
  <si>
    <t>Baby5招募礼盒</t>
  </si>
  <si>
    <t>内含50个Baby5角色碎片</t>
  </si>
  <si>
    <t>可从从以下7种阵型中任选其一（蔑视之阵、远投之阵、抗敌之阵、极伤之阵、群免之阵、幻想之阵、毁灭之阵）</t>
  </si>
  <si>
    <t>可以从以下5种时装中任意选择一件[ 凯罗特（和服）、凯文迪修（法鲁鲁）、光月御殿（皇冠）、新世界米霍克（和服）、新世界鲁兹（和服）]</t>
  </si>
  <si>
    <t>白胡子海贼团任选箱</t>
  </si>
  <si>
    <t>可以从以下4名白胡子海贼团队长中任意选择一名（乔兹、比斯塔、艾斯、马尔高）</t>
  </si>
  <si>
    <t>活动期间限时兑换的道具，使用后有概率获得一个高品质道具</t>
  </si>
  <si>
    <t>节日大餐</t>
  </si>
  <si>
    <t>节日美食</t>
  </si>
  <si>
    <t>究极训练书1级</t>
  </si>
  <si>
    <t>1级究极训练书，可以直接将一个角色的1级训练升至满级</t>
  </si>
  <si>
    <t>究极训练书2级</t>
  </si>
  <si>
    <t>2级究极训练书，可以直接将一个角色的2级训练升至满级</t>
  </si>
  <si>
    <t>究极训练书3级</t>
  </si>
  <si>
    <t>3级究极训练书，可以直接将一个角色的3级训练升至满级</t>
  </si>
  <si>
    <t>究极训练书4级</t>
  </si>
  <si>
    <t>4级究极训练书，可以直接将一个角色的4级训练升至满级</t>
  </si>
  <si>
    <t>究极训练书5级</t>
  </si>
  <si>
    <t>5级究极训练书，可以直接将一个角色的5级训练升至满级</t>
  </si>
  <si>
    <t>究极训练书6级</t>
  </si>
  <si>
    <t>6级究极训练书，可以直接将一个角色的6级训练升至满级</t>
  </si>
  <si>
    <t>究极训练书7级</t>
  </si>
  <si>
    <t>7级究极训练书，可以直接将一个角色的7级训练升至满级</t>
  </si>
  <si>
    <t>究极训练书8级</t>
  </si>
  <si>
    <t>8级究极训练书，可以直接将一个角色的8级训练升至满级</t>
  </si>
  <si>
    <t>究极训练书9级</t>
  </si>
  <si>
    <t>9级究极训练书，可以直接将一个角色的9级训练升至满级</t>
  </si>
  <si>
    <t>究极训练书10级</t>
  </si>
  <si>
    <t>10级究极训练书，可以直接将一个角色的10级训练升至满级</t>
  </si>
  <si>
    <t>究极训练书11级</t>
  </si>
  <si>
    <t>11级究极训练书，可以直接将一个角色的11级训练升至满级</t>
  </si>
  <si>
    <t>究极训练书12级</t>
  </si>
  <si>
    <t>12级究极训练书，可以直接将一个角色的12级训练升至满级</t>
  </si>
  <si>
    <t>究极训练书13级</t>
  </si>
  <si>
    <t>13级究极训练书，可以直接将一个角色的13级训练升至满级</t>
  </si>
  <si>
    <t>究极训练书14级</t>
  </si>
  <si>
    <t>14级究极训练书，可以直接将一个角色的14级训练升至满级</t>
  </si>
  <si>
    <t>究极训练书15级</t>
  </si>
  <si>
    <t>15级究极训练书，可以直接将一个角色的15级训练升至满级</t>
  </si>
  <si>
    <t>海军激战货币袋，使用有概率获得海军激战金币、海军激战银币。</t>
  </si>
  <si>
    <t>藤虎战利品·首通</t>
  </si>
  <si>
    <t>藤虎战利品</t>
  </si>
  <si>
    <t>6级七彩宝石任选袋</t>
  </si>
  <si>
    <t>打开后可任选一块6级七彩宝石</t>
  </si>
  <si>
    <t>打开后可任选一块8级七彩宝石</t>
  </si>
  <si>
    <t>万圣节皮肤任选箱</t>
  </si>
  <si>
    <t>可以从以下6种时装中任意选择一件 [新世界佐罗(万圣节)、新世界山智(万圣节)、新世界奈美(万圣节)、艾斯(万圣节)、萨博(万圣节)、新世界罗(万圣节)]</t>
  </si>
  <si>
    <t>三桅帆船角色任选</t>
  </si>
  <si>
    <t>可以从以下4名恐怖三桅帆船角色团中任意选择一名（龙马、佩罗娜、豪格巴克、阿布萨罗姆）</t>
  </si>
  <si>
    <t>草帽海贼团角色任选</t>
  </si>
  <si>
    <t>可以从以下6名草帽海盗团角色中任意选择一名（新世界路飞、新世界佐罗、新世界山智、新世界奈美、新世界罗宾、新世界撒谎布）</t>
  </si>
  <si>
    <t>旧七武海角色任选</t>
  </si>
  <si>
    <t>可以从以下4名旧七武海角色中任意选择一名（莫利亚，甚平，沙鳄鱼，大熊）</t>
  </si>
  <si>
    <t>万圣节里捣蛋鬼们用大南瓜头制作的吓人灯笼，活动期间内参与讨伐任务有几率获得，可用于兑换特殊道具。</t>
  </si>
  <si>
    <t>草帽海盗团角色任选</t>
  </si>
  <si>
    <t>万圣节里捣蛋鬼们用小南瓜头制作的引路灯笼，活动期间内参与每日任务和剧情回顾有几率获得，可用于兑换特殊道具。</t>
  </si>
  <si>
    <t>一个诡异的玩具熊，捣蛋鬼们在里面藏了什么东西吗，使用后有概率获得一个高品质道具</t>
  </si>
  <si>
    <t>家园建筑任选箱</t>
  </si>
  <si>
    <t>可以从以下3份道具中任意选择一份（巨鲸号角、石料钢材组合、彩钻500）</t>
  </si>
  <si>
    <t>可以从以下5种时装中任意选择一件 [凯文迪修（法鲁鲁）、新世界塔希米（泳装）、阿菊（大铠）、推进城汉库珂（和服）、夏洛特·玲玲（睡衣）]</t>
  </si>
  <si>
    <t>方形风筝</t>
  </si>
  <si>
    <t>羽毛毽子</t>
  </si>
  <si>
    <t>红色气球</t>
  </si>
  <si>
    <t>双11女神任选</t>
  </si>
  <si>
    <t>可以从以下4名SSR角色中任意选择一名（新世界奈美、新世界罗宾、汉库珂、新世界塔希米）</t>
  </si>
  <si>
    <t>巅峰挑战者</t>
  </si>
  <si>
    <t>使用后获得限定称号：巅峰挑战者</t>
  </si>
  <si>
    <t>SSR角色任选</t>
  </si>
  <si>
    <t>可以从以下4名SSR角色中任意选择一名（白胡子、雷利、新世界佐罗、新世界撒谎布）</t>
  </si>
  <si>
    <t>高级突破材料任选</t>
  </si>
  <si>
    <t>超级突破材料任选</t>
  </si>
  <si>
    <t>可以从以下5种时装中任意选择一件[ 年轻白胡子（和服）、凯多（龙形态）、糖糖（泳装）、丽久（礼服）、奶昔（泳装）]</t>
  </si>
  <si>
    <t>感恩节花束</t>
  </si>
  <si>
    <t>寄托着对身边伙伴的感谢之情，使用后有概率获得高级道具。</t>
  </si>
  <si>
    <t>感恩节礼品巧克力</t>
  </si>
  <si>
    <t>感恩节到来之际，感谢一起相伴航海之旅的各位船长，使用后有概率获得高级道具。</t>
  </si>
  <si>
    <t>激斗日常礼包</t>
  </si>
  <si>
    <t>激斗赛每日奖励礼包，使用后有概率获得高级道具。</t>
  </si>
  <si>
    <t>可以从以下7种战船中任意选择一种[ 黑桃海盗船、米霍克的船、幽灵船、风·格拉玛号、莫比迪克号、弗拉门戈号、前进·路飞前辈号 ]</t>
  </si>
  <si>
    <t>可以从以下3种时装中任意选择一件 [凯罗特（和服）、凯文迪修（法鲁鲁）、阿菊（大铠）]</t>
  </si>
  <si>
    <t>美味的圣诞饼干，活动期间内参与讨伐任务有几率获得，使用后有概率获得高级道具。</t>
  </si>
  <si>
    <t>象征平安的苹果，活动期间内参与每日任务和剧情回顾有几率获得，使用后有概率获得高级道具。</t>
  </si>
  <si>
    <t>可以从德雷克（异特龙）、大和（面具）、烬（无齿翼龙）几款时装中任选一款</t>
  </si>
  <si>
    <t>可以从佩吉旺（脊背龙）、润媞（肿头龙）、丽久（礼服）、杰克（猛犸形态）、光月御殿（皇冠）几款时装中任选一款</t>
  </si>
  <si>
    <t>路飞觉醒徽章</t>
  </si>
  <si>
    <t>觉醒功能消耗，可用于新世界路飞觉醒。</t>
  </si>
  <si>
    <t>觉醒挑战券</t>
  </si>
  <si>
    <t>使用后增加觉醒副本次数。</t>
  </si>
  <si>
    <t>强者同行任选箱</t>
  </si>
  <si>
    <t>可以从杰克斯和黑胡子中任选一名</t>
  </si>
  <si>
    <t>会员专享阵法箱</t>
  </si>
  <si>
    <t>新世界路飞觉醒徽章</t>
  </si>
  <si>
    <t>可从以下5种阵型任选其一（防护之阵、冲击之阵、曙光之阵、进击之阵、元素之阵）</t>
  </si>
  <si>
    <t>会员专享战船箱</t>
  </si>
  <si>
    <t>可以从一下4种战船中任选一艘[太阳海盗船、戈普的军舰、风·格拉玛号、幽灵船]</t>
  </si>
  <si>
    <t>一掷千金</t>
  </si>
  <si>
    <t>使用后获得限定称号：一掷千金</t>
  </si>
  <si>
    <t>见证·新航线</t>
  </si>
  <si>
    <t>使用后获得限定称号：见证·新航线</t>
  </si>
  <si>
    <t>可以从以下3种时装中任意选择一件 [丽久（礼服）、年轻白胡子（和服）、大和（面具）]</t>
  </si>
  <si>
    <t>可以从以下时装中任意选择一件[龙人凯多（龙人形态）、凯多（龙形态）、新世界弗兰奇（黑犀牛FR）]</t>
  </si>
  <si>
    <t>可任选一名SR英雄。</t>
  </si>
  <si>
    <t>老区SSR任选箱</t>
  </si>
  <si>
    <t>【角色】周年任选宝箱，使用后可选择获得一个SSR角色。</t>
  </si>
  <si>
    <t>新区SSR任选箱</t>
  </si>
  <si>
    <t>称号：新星统帅</t>
  </si>
  <si>
    <t>使用获得称号：新星统帅</t>
  </si>
  <si>
    <t>称号：巅峰霸者</t>
  </si>
  <si>
    <t>SSR任选宝箱</t>
  </si>
  <si>
    <t>使用获得称号：巅峰霸者</t>
  </si>
  <si>
    <t>称号：航路传说</t>
  </si>
  <si>
    <t>使用获得称号：航路传说</t>
  </si>
  <si>
    <t>称号：王者之巅</t>
  </si>
  <si>
    <t>使用获得称号：王者之巅</t>
  </si>
  <si>
    <t>名字框：竞技场之星</t>
  </si>
  <si>
    <t>使用后获得名字框：竞技场之星</t>
  </si>
  <si>
    <t>名字框：花开伴柳</t>
  </si>
  <si>
    <t>使用后获得名字框：花开伴柳</t>
  </si>
  <si>
    <t>名字框：S1激斗赛之王</t>
  </si>
  <si>
    <t>使用后获得名字框：S1激斗赛之王</t>
  </si>
  <si>
    <t>名字框：出航-25周年</t>
  </si>
  <si>
    <t>竞技场之星</t>
  </si>
  <si>
    <t>使用后获得名字框：出航-25周年</t>
  </si>
  <si>
    <t>名字框：四周年庆</t>
  </si>
  <si>
    <t>花开伴柳</t>
  </si>
  <si>
    <t>使用后获得名字框：四周年庆</t>
  </si>
  <si>
    <t>名字框：万圣节</t>
  </si>
  <si>
    <t>S1激斗赛之王</t>
  </si>
  <si>
    <t>使用后获得名字框：万圣节</t>
  </si>
  <si>
    <t>名字框：梦幻冒险</t>
  </si>
  <si>
    <t>出航-25周年</t>
  </si>
  <si>
    <t>使用后获得名字框：梦幻冒险</t>
  </si>
  <si>
    <t>名字框：圣诞庆典</t>
  </si>
  <si>
    <t>四周年庆</t>
  </si>
  <si>
    <t>使用后获得名字框：圣诞庆典</t>
  </si>
  <si>
    <t>名字框：甜蜜情人节</t>
  </si>
  <si>
    <t>万圣节</t>
  </si>
  <si>
    <t>使用后获得名字框：甜蜜情人节</t>
  </si>
  <si>
    <t>名字框：世界歌姬</t>
  </si>
  <si>
    <t>梦幻冒险</t>
  </si>
  <si>
    <t>使用后获得名字框：世界歌姬</t>
  </si>
  <si>
    <t>名字框：闪亮歌姬</t>
  </si>
  <si>
    <t>圣诞庆典</t>
  </si>
  <si>
    <t>使用后获得名字框：闪亮歌姬</t>
  </si>
  <si>
    <t>跨服争霸赛冠军名字框</t>
  </si>
  <si>
    <t>甜蜜情人节</t>
  </si>
  <si>
    <t>使用后获得名字框：2023跨服争霸赛冠军</t>
  </si>
  <si>
    <t>跨服争霸赛亚军名字框</t>
  </si>
  <si>
    <t>世界歌姬</t>
  </si>
  <si>
    <t>使用后获得名字框：2023跨服争霸赛亚军</t>
  </si>
  <si>
    <t>跨服争霸赛季军名字框</t>
  </si>
  <si>
    <t>闪亮歌姬</t>
  </si>
  <si>
    <t>使用后获得名字框：2023跨服争霸赛季军</t>
  </si>
  <si>
    <t>名字框：五周年庆</t>
  </si>
  <si>
    <t>跨服争霸赛冠军</t>
  </si>
  <si>
    <t>使用后获得名字框：五周年庆</t>
  </si>
  <si>
    <t>名字框：2024春节</t>
  </si>
  <si>
    <t>跨服争霸赛亚军</t>
  </si>
  <si>
    <t>使用后获得名字框：2024春节</t>
  </si>
  <si>
    <t>名字框：六周年庆</t>
  </si>
  <si>
    <t>跨服争霸赛季军</t>
  </si>
  <si>
    <t>使用后获得名字框：六周年庆</t>
  </si>
  <si>
    <t>艾斯觉醒徽章</t>
  </si>
  <si>
    <t>觉醒功能消耗，可用于艾斯觉醒。</t>
  </si>
  <si>
    <t>艾尼路觉醒徽章</t>
  </si>
  <si>
    <t>觉醒功能消耗，可用于艾尼路觉醒。</t>
  </si>
  <si>
    <t>推进城汉库珂觉醒徽章</t>
  </si>
  <si>
    <t>觉醒功能消耗，可用于推进城汉库珂觉醒。</t>
  </si>
  <si>
    <t>沙·鳄鱼觉醒徽章</t>
  </si>
  <si>
    <t>觉醒功能消耗，可用于沙·鳄鱼觉醒。</t>
  </si>
  <si>
    <t>新世界鲁兹觉醒徽章</t>
  </si>
  <si>
    <t>气球</t>
  </si>
  <si>
    <t>觉醒功能消耗，可用于新世界鲁兹觉醒。</t>
  </si>
  <si>
    <t>夏洛特玲玲觉醒徽章</t>
  </si>
  <si>
    <t>春日惊喜宝箱</t>
  </si>
  <si>
    <t>觉醒功能消耗，可用于夏洛特玲玲觉醒。</t>
  </si>
  <si>
    <t>卡塔库栗觉醒徽章</t>
  </si>
  <si>
    <t>周年之约</t>
  </si>
  <si>
    <t>觉醒功能消耗，可用于卡塔库栗觉醒。</t>
  </si>
  <si>
    <t>萨波觉醒徽章</t>
  </si>
  <si>
    <t>觉醒功能消耗，可用于萨波觉醒。</t>
  </si>
  <si>
    <t>黄猿觉醒徽章</t>
  </si>
  <si>
    <t>觉醒功能消耗，可用于黄猿觉醒。</t>
  </si>
  <si>
    <t>大熊觉醒徽章</t>
  </si>
  <si>
    <t>觉醒功能消耗，可用于大熊觉醒。</t>
  </si>
  <si>
    <t>奶昔觉醒徽章</t>
  </si>
  <si>
    <t>觉醒功能消耗，可用于奶昔觉醒。</t>
  </si>
  <si>
    <t>苏打饼觉醒徽章</t>
  </si>
  <si>
    <t>觉醒功能消耗，可用于苏打饼觉醒。</t>
  </si>
  <si>
    <t>布玲觉醒徽章</t>
  </si>
  <si>
    <t>觉醒功能消耗，可用于布玲觉醒。</t>
  </si>
  <si>
    <t>烬觉醒徽章</t>
  </si>
  <si>
    <t>觉醒功能消耗，可用于烬觉醒。</t>
  </si>
  <si>
    <t>青年雷利觉醒徽章</t>
  </si>
  <si>
    <t>觉醒功能消耗，可用于青年雷利觉醒。</t>
  </si>
  <si>
    <t>觉醒徽章礼盒（新世界路飞）</t>
  </si>
  <si>
    <t>开启可获得新世界路飞觉醒徽章</t>
  </si>
  <si>
    <t>打开后随机获得一定数量的随机SR角色碎片。</t>
  </si>
  <si>
    <t>嘉年华活跃度</t>
  </si>
  <si>
    <t>完成嘉年华任务获得的活跃度，用于激活嘉年华大奖</t>
  </si>
  <si>
    <t>梦想永不终结</t>
  </si>
  <si>
    <t>使用后获得限定称号：梦想永不终结</t>
  </si>
  <si>
    <t>SSR任选箱H5活动</t>
  </si>
  <si>
    <t>打开后从新世界塔西米、新世界罗宾、新世界奈美中任选一位角色。</t>
  </si>
  <si>
    <t>船任选箱H5活动</t>
  </si>
  <si>
    <t>打开后从戈普的军舰、太阳海盗船、黑胡子木筏中任选一艘战船。</t>
  </si>
  <si>
    <t>阵法任选箱H5活动</t>
  </si>
  <si>
    <t>打开后从激进之阵、冥想之阵、元素之阵中任选一个阵法。</t>
  </si>
  <si>
    <t>激斗达人</t>
  </si>
  <si>
    <t>杰克觉醒徽章</t>
  </si>
  <si>
    <t>使用后获得激斗赛专属称号：激斗达人</t>
  </si>
  <si>
    <t>见习训练礼包</t>
  </si>
  <si>
    <t>奎因觉醒徽章</t>
  </si>
  <si>
    <t>打开后可获得：1级训练书*15,2级训练书*30,3级训练书*45</t>
  </si>
  <si>
    <t>进阶训练礼包</t>
  </si>
  <si>
    <t>打开后可获得：4级训练书*30,5级训练书*40</t>
  </si>
  <si>
    <t>冲刺训练礼包</t>
  </si>
  <si>
    <t>打开后可获得：冲刺训练书*9,奥义经验卷轴*10</t>
  </si>
  <si>
    <t>活动副本入场次数</t>
  </si>
  <si>
    <t>可以增加活动副本入场次数</t>
  </si>
  <si>
    <t>可以从以下7种战船中任意选择一种[方舟箴言、米霍克的船、幽灵船、风·格拉玛号、莫比迪克号、弗拉门戈号、前进·路飞前辈号]</t>
  </si>
  <si>
    <t>血战奖励宝石袋</t>
  </si>
  <si>
    <t>装有宝石的小袋子，打开后可以获得2级或3级宝石一颗</t>
  </si>
  <si>
    <t>初级突破材料任选</t>
  </si>
  <si>
    <t>战船任选宝箱</t>
  </si>
  <si>
    <t>可以从初级突破材料中任选某一种道具5个</t>
  </si>
  <si>
    <t>中级突破材料任选</t>
  </si>
  <si>
    <t>阵法任选宝箱</t>
  </si>
  <si>
    <t>可以从中级突破材料中任选某一种道具5个</t>
  </si>
  <si>
    <t>可以从高级突破材料中任选某一种道具5个</t>
  </si>
  <si>
    <t>可以从以下4种时装中任意选择一件 [新世界库赞(企鹅)、新世界马尔高(不死鸟)、凯文迪修(法鲁鲁)、萨波(黑鸦)]</t>
  </si>
  <si>
    <t>活动换取的小礼品袋子，使用后有概率获得高级道具。</t>
  </si>
  <si>
    <t>可以从高级突破材料中任选某一种道具7个</t>
  </si>
  <si>
    <t>可以从超级突破材料中任选某一种道具7个</t>
  </si>
  <si>
    <t>汉库珂时装任选箱</t>
  </si>
  <si>
    <t>可以从以下3件时装中任意选择一件 [玫瑰礼服、泳装、紫色旗袍]</t>
  </si>
  <si>
    <t>狩猎者套装箱</t>
  </si>
  <si>
    <t>打开后可以获得一套60级狩猎者套装。</t>
  </si>
  <si>
    <t>开服船任选</t>
  </si>
  <si>
    <t>打开后可以从以下3种战船中任意选择一种：黑桃海盗船、雷德·佛斯号、九蛇海盗船。</t>
  </si>
  <si>
    <t>开服80装备任选</t>
  </si>
  <si>
    <t>打开后可以从以下3种英雄套装中任意选择一套：卫兵套装【护盾、防御】、警卫套装【怒气提升】、决斗者套装【魂玉返还】。</t>
  </si>
  <si>
    <t>卫兵套装</t>
  </si>
  <si>
    <t>打开后可以获得一套80级卫兵套装。</t>
  </si>
  <si>
    <t>警卫套装</t>
  </si>
  <si>
    <t>打开后可以获得一套80级警卫套装。</t>
  </si>
  <si>
    <t>决斗者套装</t>
  </si>
  <si>
    <t>打开后可以获得一套80级决斗者套装。</t>
  </si>
  <si>
    <t>垃圾</t>
  </si>
  <si>
    <t>丢在地上的垃圾，收集后交付任务。</t>
  </si>
  <si>
    <t>丢失的帽子</t>
  </si>
  <si>
    <t>贵妇遗失的帽子，收集后交付任务。</t>
  </si>
  <si>
    <t>传单</t>
  </si>
  <si>
    <t>海盗们写满对方坏话的传单，收集后交付任务。</t>
  </si>
  <si>
    <t>成堆的糖果</t>
  </si>
  <si>
    <t>产自诱惑森林的梦幻糖果，收集后交付任务。</t>
  </si>
  <si>
    <t>巧克力</t>
  </si>
  <si>
    <t>散落在森林里的巧克力，收集后交付任务。</t>
  </si>
  <si>
    <t>食谱碎片</t>
  </si>
  <si>
    <t>英雄套装任选箱</t>
  </si>
  <si>
    <t>甜点师的秘传食谱，收集后交付任务。</t>
  </si>
  <si>
    <t>新鲜的樱桃</t>
  </si>
  <si>
    <t>刚被摘下的新鲜樱桃，收集后交付任务。</t>
  </si>
  <si>
    <t>白色的花朵</t>
  </si>
  <si>
    <t>生长于河边的白色花朵，收集后交付任务。</t>
  </si>
  <si>
    <t>镜子碎片</t>
  </si>
  <si>
    <t>散落在街道的镜子碎片，收集后交付任务。</t>
  </si>
  <si>
    <t>老旧的灯泡</t>
  </si>
  <si>
    <t>蛋糕城内路灯换下的老旧灯泡，收集后交付任务。</t>
  </si>
  <si>
    <t>贵重的香料</t>
  </si>
  <si>
    <t>被海盗抢走的香料，收集后交付任务。</t>
  </si>
  <si>
    <t>饼干招牌</t>
  </si>
  <si>
    <t>被海盗抢走的饼干招牌，收集后交付任务。</t>
  </si>
  <si>
    <t>指令书</t>
  </si>
  <si>
    <t>被海盗偷走的指令书，收集后交付任务。</t>
  </si>
  <si>
    <t>有魔力的菜刀</t>
  </si>
  <si>
    <t>被海盗偷走的有魔力的指令书，收集后交付任务。</t>
  </si>
  <si>
    <t>歌手的钱包</t>
  </si>
  <si>
    <t>歌手被抢走的钱包，收集后交付任务。</t>
  </si>
  <si>
    <t>新年活动时装任选箱</t>
  </si>
  <si>
    <t>可以从以下5件时装中任意选择一件 [新世界佩罗娜时装、小菊大铠、凯罗特和服、推进城女帝和服、新世界鲁兹和服]</t>
  </si>
  <si>
    <t>新年活动战船或阵法任选箱</t>
  </si>
  <si>
    <t>可以从以下14件道具中任意选择一件 [阵法：蔑视之阵，远投之阵，抗敌之阵，极伤之阵，群免之阵，幻想之阵，毁灭之阵，战船：米霍克的船，方舟箴言，幽灵船，风·格拉玛号，莫比迪克号，弗拉门戈号，前进·路飞前辈号]</t>
  </si>
  <si>
    <t>2.8活动时装任选箱</t>
  </si>
  <si>
    <t>可以从以下5件时装中任意选择一件 [光月御殿（皇冠）、推进城女帝和服、糖糖（泳装）、凯罗特（和服）、夏洛特·玲玲（睡衣）]</t>
  </si>
  <si>
    <t>SSR碎片任选箱</t>
  </si>
  <si>
    <t>可以从以下道具任意选择一件 [甚平碎片、罗碎片、鲁兹碎片]</t>
  </si>
  <si>
    <t>20220223时装任选箱老服</t>
  </si>
  <si>
    <t>可以从以下4种时装中任意选择一件[新世界佩罗娜（礼服）、阿菊（大铠）、丽久（礼服）、奶昔（泳装）]</t>
  </si>
  <si>
    <t>20220223时装任选箱新服</t>
  </si>
  <si>
    <t>可以从以下4种时装中任意选择一件[新世界路飞（唐装）、新世界路飞（路西）、新世界佐罗（激战）、新世界佐罗（黑色西服）]</t>
  </si>
  <si>
    <t>时装任选箱新服</t>
  </si>
  <si>
    <t>可以从以下2种时装中任意选择一件[新世界路飞（皇冠时装）、新世界佐罗（唐装）]</t>
  </si>
  <si>
    <t>20220307庆典礼盒</t>
  </si>
  <si>
    <t>幸运儿的奖赏~打开后有机会获得一个高品质道具</t>
  </si>
  <si>
    <t>20220307庆典气球</t>
  </si>
  <si>
    <t>隐隐约约能看见里面的道具，似乎不太值钱~破开后随机获得一个中品质道具</t>
  </si>
  <si>
    <t>幸运气球</t>
  </si>
  <si>
    <t>虎年时装任选箱</t>
  </si>
  <si>
    <t>象征幸运的红色气球，活动期间内参与每日任务和剧情回顾有几率获得，可用于兑换特殊道具。</t>
  </si>
  <si>
    <t>快乐毽子</t>
  </si>
  <si>
    <t>虎年道具任选箱</t>
  </si>
  <si>
    <t>闲暇时间用来放松的毽子，活动期间内参与讨伐任务有几率获得，可用于兑换特殊道具。</t>
  </si>
  <si>
    <t>惊喜礼物箱</t>
  </si>
  <si>
    <t>打开后有机会获得一个高品质道具</t>
  </si>
  <si>
    <t>雷鳞矿</t>
  </si>
  <si>
    <t>绝境之中特有的矿材，经地闪淬炼偶然形成，参与绝境挑战有几率获得，可用于装备升级。</t>
  </si>
  <si>
    <t>可以从女王妈妈吟唱者，极地潜水号和方舟箴言中任意选择一艘战船。</t>
  </si>
  <si>
    <t>春日礼袋</t>
  </si>
  <si>
    <t>和煦春日特有的礼袋，活动期间内参与每日任务和剧情回顾有几率获得，打开后有机会获得高品质道具。</t>
  </si>
  <si>
    <t>春日礼箱</t>
  </si>
  <si>
    <t>透出生机希望的礼箱，活动期间内参与讨伐任务有几率获得，打开后有机会获得高品质道具。</t>
  </si>
  <si>
    <t>20220328时装任选箱新服</t>
  </si>
  <si>
    <t>礼盒</t>
  </si>
  <si>
    <t>可以从以下4种时装中任意选择一件[新世界路飞（唐装）、新世界米霍克（和服）、凯罗特和服、丽久（礼服）]</t>
  </si>
  <si>
    <t>可以从莫比迪克号、米霍克的船、风·格拉玛号和方舟箴言中任意选择一艘战船。</t>
  </si>
  <si>
    <t>可以从方舟箴言、女王妈妈吟唱者、莫比迪克号和弗拉门戈号中任意选择一艘战船。</t>
  </si>
  <si>
    <t>20220426时装任选箱老服</t>
  </si>
  <si>
    <t>可以从以下4种时装中任意选择一件[新世界佩罗娜（礼服）、糖糖（泳装）、新世界塔希米（泳装）、奶昔（泳装）]</t>
  </si>
  <si>
    <t>战船任选箱（老服）</t>
  </si>
  <si>
    <t>可以从莫比迪克号、前进·路飞前辈号、雷德·佛斯号、弗拉门戈号和巴拉蒂中任意选择一艘战船。</t>
  </si>
  <si>
    <t>2级宝石任选袋</t>
  </si>
  <si>
    <t>使用后可任意选择一个2级宝石。</t>
  </si>
  <si>
    <t>3级宝石任选袋</t>
  </si>
  <si>
    <t>使用后可任意选择一个3级宝石。</t>
  </si>
  <si>
    <t>4级宝石任选袋</t>
  </si>
  <si>
    <t>使用后可任意选择一个4级宝石。</t>
  </si>
  <si>
    <t>5级宝石任选袋</t>
  </si>
  <si>
    <t>使用后可任意选择一个5级宝石。</t>
  </si>
  <si>
    <t>觉醒徽章礼盒（艾斯）</t>
  </si>
  <si>
    <t>开启后可获得艾斯觉醒徽章。</t>
  </si>
  <si>
    <t>激斗大师</t>
  </si>
  <si>
    <t>使用后获得激斗赛专属称号：激斗大师</t>
  </si>
  <si>
    <t>激斗霸者</t>
  </si>
  <si>
    <t>使用后获得激斗赛专属称号：激斗霸者</t>
  </si>
  <si>
    <t>激斗至尊</t>
  </si>
  <si>
    <t>新春打火石</t>
  </si>
  <si>
    <t>使用后获得激斗赛专属称号：激斗至尊</t>
  </si>
  <si>
    <t>觉醒徽章礼盒（艾尼路）</t>
  </si>
  <si>
    <t>新春火把</t>
  </si>
  <si>
    <t>开启后可获得艾尼路觉醒徽章。</t>
  </si>
  <si>
    <t>称号：环球航者</t>
  </si>
  <si>
    <t>使用后获得伙伴称号：称号：环球航者（游历四方的大航海家，激活后持续30天）</t>
  </si>
  <si>
    <t>处刑套装宝箱</t>
  </si>
  <si>
    <t>开启后可获得全套100级处刑套装</t>
  </si>
  <si>
    <t>烈酒</t>
  </si>
  <si>
    <t>通过战斗掠夺来的烈酒，活动期间内参与每日任务和剧情回顾有几率获得，可用于兑换特殊道具。</t>
  </si>
  <si>
    <t>神秘制剂</t>
  </si>
  <si>
    <t>各种材料混合在一起的神秘药水，活动期间内参与讨伐任务有几率获得，可用于兑换特殊道具</t>
  </si>
  <si>
    <t>春日琼浆</t>
  </si>
  <si>
    <t>生机盎然的春日已经到来，祝各位船长们能享受到清爽的春日生活。打开后随机获得一个高品质道具</t>
  </si>
  <si>
    <t>觉醒徽章礼盒（推进城汉库珂）</t>
  </si>
  <si>
    <t>开启后可获得推进城汉库珂觉醒徽章。</t>
  </si>
  <si>
    <t>争霸之巅</t>
  </si>
  <si>
    <t>巅峰争霸赛冠军，傲视伟大航道的至高强者</t>
  </si>
  <si>
    <t>争霸王者</t>
  </si>
  <si>
    <t>巅峰争霸赛亚军，冠军之下的第一强者</t>
  </si>
  <si>
    <t>争霸新星</t>
  </si>
  <si>
    <t>在巅峰争霸赛中获得季军的超级强者</t>
  </si>
  <si>
    <t>争霸强者</t>
  </si>
  <si>
    <t>曾经参与角逐争霸巅峰的最强八人之一</t>
  </si>
  <si>
    <t>22.5月VIP战船任选箱</t>
  </si>
  <si>
    <t>可以从以下3种战船中任意选择一种[雷德·佛斯号、九蛇海盗船、黑桃海盗船]</t>
  </si>
  <si>
    <t>22.5月VIP阵法任选箱</t>
  </si>
  <si>
    <t>可从从以下16种阵型中任选其一（精准之阵、会心之阵、平静之阵、疾行之阵、治愈之阵、沉稳之阵、狂怒之阵、激励之阵、战魂之阵、猎手之阵、凛冬之阵、虚无之阵、雷炎之阵、曙光之阵、冲击之阵、守护之阵）</t>
  </si>
  <si>
    <t>22.5月VIPSSR角色任选</t>
  </si>
  <si>
    <t>可以从以下5名SSR角色中任意选择一名（baby5、丽久、汉库珂、阿菊、新世界罗宾）</t>
  </si>
  <si>
    <t>夏日活力</t>
  </si>
  <si>
    <t>从寻梦初夏主题活动的玩法中获得，可用于寻梦助力</t>
  </si>
  <si>
    <t>艾斯招募礼包</t>
  </si>
  <si>
    <t>内含50个艾斯碎片</t>
  </si>
  <si>
    <t>觉醒徽章礼盒（沙·鳄鱼）</t>
  </si>
  <si>
    <t>可以从以下时装中任选一件[+F2605]</t>
  </si>
  <si>
    <t>开启后可获得沙·鳄鱼觉醒徽章。</t>
  </si>
  <si>
    <t>限时宝库钥匙</t>
  </si>
  <si>
    <t>强化训练书任选箱（1~10）</t>
  </si>
  <si>
    <t>可以从1~10级强化训练书任选一种获得。</t>
  </si>
  <si>
    <t>铜质团结奖章</t>
  </si>
  <si>
    <t>提升阵营等级的低级道具</t>
  </si>
  <si>
    <t>银质团结奖章</t>
  </si>
  <si>
    <t>提升阵营等级的中级道具</t>
  </si>
  <si>
    <t>金质团结奖章</t>
  </si>
  <si>
    <t>提升阵营等级的高级道具</t>
  </si>
  <si>
    <t>夜幕套装任选箱</t>
  </si>
  <si>
    <t>可以从夜幕套装4件装备中任选1件获得。</t>
  </si>
  <si>
    <t>糖果套装任选箱</t>
  </si>
  <si>
    <t>可以从糖果套装4件装备中任选1件获得。</t>
  </si>
  <si>
    <t>堡垒套装任选箱</t>
  </si>
  <si>
    <t>可以从堡垒套装4件装备中任选1件获得。</t>
  </si>
  <si>
    <t>处刑套装任选箱</t>
  </si>
  <si>
    <t>可以从处刑套装4件装备中任选1件获得。</t>
  </si>
  <si>
    <t>红骨套装任选箱</t>
  </si>
  <si>
    <t>可以从红骨套装4件装备中任选1件获得。</t>
  </si>
  <si>
    <t>觉醒徽章礼盒（新世界鲁兹）</t>
  </si>
  <si>
    <t>强化训练书任选箱</t>
  </si>
  <si>
    <t>开启后可获得新世界鲁兹觉醒徽章。</t>
  </si>
  <si>
    <t>藏宝地图</t>
  </si>
  <si>
    <t>似乎是隐藏了重要信息的藏宝地图，也许能通过它找到失落的秘宝……</t>
  </si>
  <si>
    <t>地图碎片</t>
  </si>
  <si>
    <t>似乎是地图的碎片，收集起来也许能拼凑出重要的信息……</t>
  </si>
  <si>
    <t>精选任选箱(2022.07.21)</t>
  </si>
  <si>
    <t>庆典挑战恢复剂</t>
  </si>
  <si>
    <t>使用后恢复今日一次庆典挑战次数</t>
  </si>
  <si>
    <t>觉醒徽章自选箱</t>
  </si>
  <si>
    <t>可从路飞觉醒徽章*50和艾斯觉醒徽章*50中自选1项。</t>
  </si>
  <si>
    <t>周年庆SSR自选宝箱</t>
  </si>
  <si>
    <t>可以从以下2名SSR角色中任意选择一名（Baby5/凯撒）</t>
  </si>
  <si>
    <t>觉醒徽章礼盒（夏洛特玲玲）</t>
  </si>
  <si>
    <t>开启后可获得夏洛特玲玲觉醒徽章。</t>
  </si>
  <si>
    <t>100级装备任选箱</t>
  </si>
  <si>
    <t>可以从勇武套装任选箱、游侠套装任选箱、战争套装任选箱中任选1个获得。</t>
  </si>
  <si>
    <t>勇武套装任选箱</t>
  </si>
  <si>
    <t>可以从勇武套装4件装备中任选1件获得。</t>
  </si>
  <si>
    <t>游侠套装任选箱</t>
  </si>
  <si>
    <t>可以从游侠套装4件装备中任选1件获得。</t>
  </si>
  <si>
    <t>战争套装任选箱</t>
  </si>
  <si>
    <t>可以从战争套装4件装备中任选1件获得。</t>
  </si>
  <si>
    <t>80级装备任选箱</t>
  </si>
  <si>
    <t>可以从红骨套装任选箱、龙鳞套装任选箱、繁星套装任选箱中任选1个获得。</t>
  </si>
  <si>
    <t>龙鳞套装任选箱</t>
  </si>
  <si>
    <t>可以从龙鳞套装4件装备中任选1件获得。</t>
  </si>
  <si>
    <t>繁星套装任选箱</t>
  </si>
  <si>
    <t>可以从繁星套装4件装备中任选1件获得。</t>
  </si>
  <si>
    <t>可以从以下SSR角色中任意选择一名（Baby5，艾斯，战桃丸，比斯塔，新世界撒谎布，沙鳄鱼，戈普，莫利亚，大熊，米霍克，基德，战国，麦哲伦，伊娃科夫）</t>
  </si>
  <si>
    <t>可以从以下SSR角色中任意选择一名（凯撒，Baby5，艾斯，战桃丸，比斯塔，新世界撒谎布，沙鳄鱼，戈普，莫利亚，大熊，米霍克，基德，战国，麦哲伦，伊娃科夫）</t>
  </si>
  <si>
    <t>觉醒徽章礼盒（卡塔库栗）</t>
  </si>
  <si>
    <t>开启后可获得卡塔库栗觉醒徽章。</t>
  </si>
  <si>
    <t>龙人庆典宝箱（一期）</t>
  </si>
  <si>
    <t>开启后可获得一个龙人凯多碎片</t>
  </si>
  <si>
    <t>龙人庆典宝箱（二期）</t>
  </si>
  <si>
    <t>觉醒徽章礼盒（萨波）</t>
  </si>
  <si>
    <t>开启后可获得萨波觉醒徽章。</t>
  </si>
  <si>
    <t>11月精选招募自选宝箱</t>
  </si>
  <si>
    <t>可以从以下SSR角色中任意选择一名（新世界乔巴，新世界弗兰奇，新世界山智，新世界烟鬼，新世界塔希米，年轻白胡子，犬岚，猫蝮蛇，新世界赤犬，新世界库赞）</t>
  </si>
  <si>
    <t>道具红包（红包1）</t>
  </si>
  <si>
    <t>新手招募券</t>
  </si>
  <si>
    <t>新手招募券，可以在酒馆进行新手招募。</t>
  </si>
  <si>
    <t>觉醒徽章礼盒（黄猿）</t>
  </si>
  <si>
    <t>开启后可获得黄猿觉醒徽章。</t>
  </si>
  <si>
    <t>卓越套装任选箱</t>
  </si>
  <si>
    <t>可以从卓越套装4件装备中任选1件获得。</t>
  </si>
  <si>
    <t>暴走套装任选箱</t>
  </si>
  <si>
    <t>可以从暴走套装4件装备中任选1件获得。</t>
  </si>
  <si>
    <t>精准套装任选箱</t>
  </si>
  <si>
    <t>可以从精准套装4件装备中任选1件获得。</t>
  </si>
  <si>
    <t>新回流SSR自选宝箱（新服）</t>
  </si>
  <si>
    <t>可以从以下SSR角色中任意选择一名（杰克、萨波、年轻白胡子、昆因）</t>
  </si>
  <si>
    <t>新回流SSR自选宝箱（老服）</t>
  </si>
  <si>
    <t>可以从以下奖励中任意选择一个（沙鳄鱼觉醒徽章*50、萨波觉醒徽章*50、艾尼路觉醒徽章*50、夏洛特玲玲觉醒徽章*50）</t>
  </si>
  <si>
    <t>新回流装备自选宝箱（新服）</t>
  </si>
  <si>
    <t>可以从卓越套装任选箱、暴走套装任选箱、游侠套装任选箱中任选1个获得。</t>
  </si>
  <si>
    <t>新回流装备自选宝箱（老服）</t>
  </si>
  <si>
    <t>可以从卓越套装任选箱、暴走套装任选箱、精准套装任选箱中任选1个获得。</t>
  </si>
  <si>
    <t>圣诞装扮</t>
  </si>
  <si>
    <t>从圣诞庆典主题活动的玩法中获得，可用于圣诞装扮</t>
  </si>
  <si>
    <t>觉醒徽章礼盒（大熊）</t>
  </si>
  <si>
    <t>开启后可获得大熊觉醒徽章。</t>
  </si>
  <si>
    <t>重铸符文石红包</t>
  </si>
  <si>
    <t>精粹石道具红包</t>
  </si>
  <si>
    <t>冲刺训练书道具红包</t>
  </si>
  <si>
    <t>道具红包（大红包袋2）</t>
  </si>
  <si>
    <t>SSR自选宝箱</t>
  </si>
  <si>
    <t>新手手册SSR自选宝箱</t>
  </si>
  <si>
    <t>觉醒徽章自选宝箱</t>
  </si>
  <si>
    <t>可以从以下SSR角色中任意选择一名（猫蝮蛇，乔兹，比斯塔，新世界塔希米，多弗拉门戈）</t>
  </si>
  <si>
    <t>返航训练SSR自选宝箱</t>
  </si>
  <si>
    <t>装备自选宝箱</t>
  </si>
  <si>
    <t>可从返航SSR奖励中任选一个</t>
  </si>
  <si>
    <t>新春SSR自选宝箱（新服）</t>
  </si>
  <si>
    <t>可以从以下SSR角色中任意选择一名（新世界塔西米，猫蝮蛇，乔兹，比斯塔，汉库珂，罗，鹰眼，baby-5）</t>
  </si>
  <si>
    <t>新春SSR自选宝箱（老服）</t>
  </si>
  <si>
    <t>可以从以下SSR角色中任意选择一名（新世界塔西米，猫蝮蛇，乔兹，比斯塔，汉库珂，罗，鹰眼，baby-5，锦卫门，凯撒）</t>
  </si>
  <si>
    <t>一大袋鼓鼓的金块，开启获得30000金块。</t>
  </si>
  <si>
    <t>音符</t>
  </si>
  <si>
    <t>从Red剧场版主题活动的玩法中获得，可用于乌塔应援</t>
  </si>
  <si>
    <t>祈愿券</t>
  </si>
  <si>
    <t>祈愿树专用奖券，用它许下的愿望都能实现哦~</t>
  </si>
  <si>
    <t>毁灭套装任选箱</t>
  </si>
  <si>
    <t>可以从毁灭套装4件装备中任选1件获得。</t>
  </si>
  <si>
    <t>强化训练书任选箱（10、11、12）</t>
  </si>
  <si>
    <t>可以从以下3本强化训练书中任意选择一本[10级强化训练书、11级强化训练书、12级强化训练书]</t>
  </si>
  <si>
    <t>谈判套装任选箱</t>
  </si>
  <si>
    <t>新春SSR自选宝箱</t>
  </si>
  <si>
    <t>可以从谈判套装4件装备中任选1件获得。</t>
  </si>
  <si>
    <t>2023.5.4时装任选箱</t>
  </si>
  <si>
    <t>可以从以下时装中任选一件[新世界鲁兹（豹）、新世界罗宾（万圣节）、布玲（飞毯）、丽久（礼服）、凯罗特（和服）]</t>
  </si>
  <si>
    <t>特制祈愿券</t>
  </si>
  <si>
    <t>冬日暖阳活动中的神树祈愿玩法使用的特制奖券，用它许下的愿望都能实现哦~</t>
  </si>
  <si>
    <t>客服需求宝箱</t>
  </si>
  <si>
    <t>可以从以下4种时装中任意选择一件[沙·鳄鱼（玛丽弗德）、戈普（狗头帽）、鲁兹（船工装）、汉库珂（紫色旗袍）]</t>
  </si>
  <si>
    <t>使用后可任意选择一个实用的6级宝石。</t>
  </si>
  <si>
    <t>公会首领战装备奖励箱</t>
  </si>
  <si>
    <t>打开后随机获得一件套装装备，可获得套装种类有：游侠套装，勇武套装，提督套装，糖果套装，佣兵套装，领主套装。</t>
  </si>
  <si>
    <t>2023.7.20时装任选箱</t>
  </si>
  <si>
    <t>可以从以下时装中任选一件[夏洛特·玲玲（睡衣）、新世界马尔高（青炎）、阿菊（大铠）、新世界米霍克（和服）、霍金斯（狛鹿）、布玲(婚纱)]</t>
  </si>
  <si>
    <t>2023.7.27时装任选箱</t>
  </si>
  <si>
    <t>可以从以下时装中任选一件[龙人凯多（龙人形态）、新世界鲁兹（豹）、德雷克（异特龙）]</t>
  </si>
  <si>
    <t>2023新出角色任选</t>
  </si>
  <si>
    <t>可以从以下SSR角色中任意选择一名（大和、乌塔、润媞、烬、佩吉旺、基拉、新世界基德）</t>
  </si>
  <si>
    <t>2023新出时装任选</t>
  </si>
  <si>
    <t>可以从以下时装中任选一件[大和（面具）、乌塔（铠甲）、润媞（肿头龙）、烬（无齿翼龙）、佩吉旺（脊背龙）、新世界基德（获赋者）]</t>
  </si>
  <si>
    <t>实用6级宝石任选箱</t>
  </si>
  <si>
    <t>炽热爱意的玫瑰，献给最亲爱的你。</t>
  </si>
  <si>
    <t>首领装备箱</t>
  </si>
  <si>
    <t>代表真挚的爱意送给最爱的人。</t>
  </si>
  <si>
    <t>精美花束</t>
  </si>
  <si>
    <t>精美礼物，使用后可随机获得一件道具。</t>
  </si>
  <si>
    <t>张狂套装任选箱</t>
  </si>
  <si>
    <t>可以从张狂套装4件装备中任选1件获得。</t>
  </si>
  <si>
    <t>2023.8.24时装任选箱</t>
  </si>
  <si>
    <t>可以从以下时装中任选一件[佩吉旺（脊背龙）、润媞（肿头龙）、烬（无齿翼龙）、糖糖（泳装）]</t>
  </si>
  <si>
    <t>可以从以下SSR角色中任意选择一名（大和、烬、基拉、新世界基德）</t>
  </si>
  <si>
    <t>2023.9.7时装任选箱</t>
  </si>
  <si>
    <t>可以从以下时装中任选一件[新世界基德（获赋者）、萨波（万圣节时装）、丽久（礼服）、杰克（猛犸形态）、布玲(婚纱)]</t>
  </si>
  <si>
    <t>称号：携手·五周年</t>
  </si>
  <si>
    <t>使用后获得五周年庆称号：携手·五周年</t>
  </si>
  <si>
    <t>2023.9.21战船任选箱</t>
  </si>
  <si>
    <t>可以从以下战船中任意选择一种[巴拉蒂、极地潜水号、幽灵船、黑桃海盗船、莫比迪克号、弗拉门戈号、方舟箴言、女王妈妈吟唱者]</t>
  </si>
  <si>
    <t>5周年庆典礼盒</t>
  </si>
  <si>
    <t>周年庆典气球，活动期间内参与每日任务和剧情回顾获得，可用于兑换特殊道具。</t>
  </si>
  <si>
    <t>5周年庆典气球</t>
  </si>
  <si>
    <t>周年庆典气球束，活动期间内参与讨伐任务有几率获得，可用于兑换特殊道具。</t>
  </si>
  <si>
    <t>5周年庆礼袋</t>
  </si>
  <si>
    <t>周年庆期间获得的幸运宝箱，使用后有概率获得一个高品质道具</t>
  </si>
  <si>
    <t>一筐粽叶</t>
  </si>
  <si>
    <t>采集来的一筐粽叶，活动期间内参与每日任务和剧情回顾有几率获得，可用于兑换特殊道具。</t>
  </si>
  <si>
    <t>一箱粽叶</t>
  </si>
  <si>
    <t>满满一大箱粽叶，活动期间内参与讨伐任务有几率获得，可用于兑换特殊道具</t>
  </si>
  <si>
    <t>红豆粽子</t>
  </si>
  <si>
    <t>端午时节已经到来，请船长们享用美味的粽子。打开后随机获得一个高品质道具</t>
  </si>
  <si>
    <t>5.27时装任选箱</t>
  </si>
  <si>
    <t>可以从以下4种时装中任意选择一件[新世界路飞（皇冠时装）、新世界佐罗（唐装）、新世界路飞（唐装）、推进城汉库珂（和服）]</t>
  </si>
  <si>
    <t>强化训练书任选箱（8、9、10）</t>
  </si>
  <si>
    <t>携手·五周年</t>
  </si>
  <si>
    <t>可以从以下3本强化训练书中任意选择一本[8级强化训练书、9级强化训练书、10级强化训练书]</t>
  </si>
  <si>
    <t>6.6时装任选箱</t>
  </si>
  <si>
    <t>可以从以下4种时装中任意选择一件[丽久（礼服）、新世界米霍克（和服）、年轻白胡子（和服）、霍金斯（狛鹿）]</t>
  </si>
  <si>
    <t>周年庆典气球</t>
  </si>
  <si>
    <t>可以从黑桃海盗船、方舟箴言、米霍克的船和雷德·佛斯号中任意选择一艘战船。</t>
  </si>
  <si>
    <t>6.15时装任选箱</t>
  </si>
  <si>
    <t>周年庆典气球束</t>
  </si>
  <si>
    <t>可以从以下2种时装中任意选择一件[新世界奈美（泳装）、新世界罗宾（泳装）]</t>
  </si>
  <si>
    <t>新鲜大虾</t>
  </si>
  <si>
    <t>周年庆宝箱</t>
  </si>
  <si>
    <t>捕捞的新鲜大虾，肉质鲜美。活动期间内参与每日任务和剧情回顾有几率获得，可用于兑换特殊道具。</t>
  </si>
  <si>
    <t>鲜活章鱼</t>
  </si>
  <si>
    <t>捕获的鲜活章鱼，肉质Q弹。活动期间内参与讨伐任务有几率获得，可用于兑换特殊道具。</t>
  </si>
  <si>
    <t>海鲜浓烩</t>
  </si>
  <si>
    <t>海鲜烧制的浓汤，味道鲜美，鲜味四溢。使用后随机获得一个高品质道具。</t>
  </si>
  <si>
    <t>6.29时装任选箱（老服)</t>
  </si>
  <si>
    <t>可以从以下4种时装中任意选择一件[德雷克（异特龙）、凯罗特（和服）、阿菊（大铠）、新世界库赞（企鹅）]</t>
  </si>
  <si>
    <t>7.13时装任选箱（老服)</t>
  </si>
  <si>
    <t>可以从以下4种时装中任意选择一件[布玲(婚纱)、新世界鲁兹（和服）、新世界佩罗娜(礼服)、糖糖（泳装）]</t>
  </si>
  <si>
    <t>可以从弗拉门戈号、前进·路飞前辈号、女王妈妈吟唱者、九蛇海盗船中任意选择一艘战船。</t>
  </si>
  <si>
    <t>7.20时装任选箱（新服)</t>
  </si>
  <si>
    <t>可以从以下3种时装中任意选择一件[新世界鲁兹（和服）、布玲(婚纱)、新世界罗宾（泳装）]</t>
  </si>
  <si>
    <t>一本神秘的指令书，收集后交付任务。</t>
  </si>
  <si>
    <t>一把有魔力的菜刀，收集后交付任务。</t>
  </si>
  <si>
    <t>一个诡异的玩具熊，使用后有概率获得一个高品质道具</t>
  </si>
  <si>
    <t>8.4时装任选箱（老服)</t>
  </si>
  <si>
    <t>可以从以下4种时装中任意选择一件[新世界布鲁克（唐装）、奶昔（泳装）、夏洛特·玲玲（睡衣）、光月御殿（皇冠）]</t>
  </si>
  <si>
    <t>8.11时装任选箱（新服)</t>
  </si>
  <si>
    <t>可以从以下3种时装中任意选择一件[新世界奈美（泳装）、新世界罗宾（泳装）、新世界塔希米（泳装）]</t>
  </si>
  <si>
    <t>8.18时装任选箱（老服)</t>
  </si>
  <si>
    <t>可以从以下4种时装中任意选择一件[新世界米霍克（和服）、新世界佩罗娜(礼服)、德雷克（异特龙）、新世界鲁兹（和服）]</t>
  </si>
  <si>
    <t>可以从以下道具任意选择一件 [罗碎片*10、鲁兹碎片*10]</t>
  </si>
  <si>
    <t>可以从以下道具任意选择一件 [甚平碎片*10、罗碎片*10、鲁兹碎片*10、犬岚碎片*10、猫蝮蛇碎片*10、新世界罗宾碎片*10]</t>
  </si>
  <si>
    <t>地魄矿</t>
  </si>
  <si>
    <t>绝境之中特有的矿材，深埋地底，经时间洗礼形成，参与绝境挑战有几率获得，可用于专属装备词条增强。</t>
  </si>
  <si>
    <t>可以从以下13名SSR角色中任意选择一名（战桃丸、克洛克达尔、戈普、莫利亚、大熊、米霍克、基德、战国、麦哲伦、伊娃科夫、汉库珂、新世界罗宾、新世界塔希米）</t>
  </si>
  <si>
    <t>9.8时装任选箱（老服)</t>
  </si>
  <si>
    <t>可以从以下4种时装中任意选择一件[布玲(婚纱)、奶昔（泳装）、德雷克（异特龙）、光月御殿（皇冠）]</t>
  </si>
  <si>
    <t>秋日礼袋</t>
  </si>
  <si>
    <t>飒爽秋日特有的礼袋，活动期间内参与每日任务和剧情回顾有几率获得，打开后有机会获得高品质道具。</t>
  </si>
  <si>
    <t>秋日礼箱</t>
  </si>
  <si>
    <t>洋溢丰收喜悦的礼箱，活动期间内参与讨伐任务有几率获得，打开后有机会获得高品质道具。</t>
  </si>
  <si>
    <t>9.15时装任选箱（新服)</t>
  </si>
  <si>
    <t>可以从以下4种时装中任意选择一件[新世界佐罗（唐装）、推进城汉库珂（和服）、新世界鲁兹（和服）、布玲(婚纱)]</t>
  </si>
  <si>
    <t>4周年庆典礼盒</t>
  </si>
  <si>
    <t>四周年庆典礼盒。活动期间内参与每日任务和剧情回顾有几率获得，可用于兑换特殊道具。</t>
  </si>
  <si>
    <t>4周年庆典气球</t>
  </si>
  <si>
    <t>四周年庆典气球，活动期间内参与讨伐任务有几率获得，可用于兑换特殊道具。</t>
  </si>
  <si>
    <t>4周年庆礼袋</t>
  </si>
  <si>
    <t>周年庆期间获得的幸运礼袋，使用后有概率获得一个高品质道具</t>
  </si>
  <si>
    <t>9.29时装任选箱（老服)</t>
  </si>
  <si>
    <t>可以从以下10种时装中任意选择一件[新世界佩罗娜(礼服)、萨波（黑鸦时装）、光月御殿（皇冠）、夏洛特·玲玲（睡衣）、丽久（礼服）、阿菊（大铠）、霍金斯（狛鹿）、新世界罗（万圣节）、新世界奈美（唐装）、新世界罗宾（万圣节）]</t>
  </si>
  <si>
    <t>9.29时装任选箱（新服)</t>
  </si>
  <si>
    <t>可以从以下10种时装中任意选择一件[新世界奈美（唐装）、新世界奈美（泳装）、新世界罗宾（万圣节）、新世界罗宾（泳装）、新世界塔希米（泳装）、新世界布鲁克（唐装）、新世界米霍克（和服）、布玲(婚纱)、新世界鲁兹（和服）、推进城汉库珂（和服）]</t>
  </si>
  <si>
    <t>豪华任选礼箱（老服)</t>
  </si>
  <si>
    <t>从以下3种道具中任选一件{UR招募券*15、强者招募券*10、皮肤任选箱[新世界佩罗娜礼服、萨波黑鸦时装、光月御殿皇冠、夏洛特·玲玲睡衣、丽久礼服、阿菊大铠、霍金斯狛鹿、新世界罗万圣节、新世界奈美唐装、新世界罗宾万圣节]*1}</t>
  </si>
  <si>
    <t>豪华任选礼箱（新服)</t>
  </si>
  <si>
    <t>从以下3种道具中任选一件{UR招募券*15、强者招募券*10、皮肤任选箱[新世界奈美唐装、新世界奈美泳装、新世界罗宾万圣节、新世界罗宾泳装、新世界塔希米泳装、新世界布鲁克唐装、新世界米霍克和服、布玲婚纱、新世界鲁兹和服、推进城汉库珂]*1}</t>
  </si>
  <si>
    <t>普通的木材</t>
  </si>
  <si>
    <t>普通的木材，近期似乎有人在回收这些东西。活动期间内参与每日任务和剧情回顾有几率获得，可用于兑换特殊道具。</t>
  </si>
  <si>
    <t>驯鹿帽子</t>
  </si>
  <si>
    <t>被海盗掠走的驯鹿帽子。活动期间内参与讨伐任务有几率获得，可用于兑换特殊道具。</t>
  </si>
  <si>
    <t>福相礼袋</t>
  </si>
  <si>
    <t>可以从必杀之阵、勇士之阵、抗敌之阵、极伤之阵、群免之阵、幻想之阵和毁灭之阵中任意选择一张阵法图纸。</t>
  </si>
  <si>
    <t>战船任选箱（新服）</t>
  </si>
  <si>
    <t>可以从黑桃海盗船、弗拉门戈号、方舟箴言任意选择一艘战船。</t>
  </si>
  <si>
    <t>万圣节南瓜</t>
  </si>
  <si>
    <t>万圣到，吃南瓜！\n活动期间内参与每日任务和剧情回顾有几率获得，打开后有机会获得高品质道具。</t>
  </si>
  <si>
    <t>万圣节礼盒</t>
  </si>
  <si>
    <t>砰！吓到你了吗？\n活动期间内参与讨伐任务有几率获得，打开后有机会获得高品质道具。</t>
  </si>
  <si>
    <t>镣铐</t>
  </si>
  <si>
    <t>豪华任选礼箱</t>
  </si>
  <si>
    <t>约束了佩戴者，也约束了自己。\n活动期间内参与每日任务和剧情回顾有几率获得，可用于兑换特殊道具。</t>
  </si>
  <si>
    <t>木质啤酒杯</t>
  </si>
  <si>
    <t>有酒吗？再来一杯！\n活动期间内参与讨伐任务有几率获得，可用于兑换特殊道具。</t>
  </si>
  <si>
    <t>短柄斧头</t>
  </si>
  <si>
    <t>杀戮有用吗？\n使用后有概率获得一个高品质道具</t>
  </si>
  <si>
    <t>11.9时装任选箱（新服)</t>
  </si>
  <si>
    <t>可以从以下3种时装中任意选择一件[新世界奈美（万圣节）、新世界罗（万圣节）、新世界罗宾（万圣节）]</t>
  </si>
  <si>
    <t>11.23时装任选箱</t>
  </si>
  <si>
    <t>可以从以下2种时装中任意选择一件[霍金斯（狛鹿）、德雷克（异特龙）]</t>
  </si>
  <si>
    <t>解锁自走棋棋盘</t>
  </si>
  <si>
    <t>使用后解锁海岛争霸新场景-万象更新</t>
  </si>
  <si>
    <t>解锁自走棋地图7</t>
  </si>
  <si>
    <t>测试</t>
  </si>
  <si>
    <t>海岛争霸试玩卡</t>
  </si>
  <si>
    <t>使用后可免费体验海岛角色（夏洛特·玲玲），共计3天</t>
  </si>
  <si>
    <t>使用后可免费体验海岛角色（苏打饼），共计3天</t>
  </si>
  <si>
    <t>使用后可免费体验海岛角色（奶昔），共计3天</t>
  </si>
  <si>
    <t>使用后可免费体验海岛角色（卡塔库栗），共计3天</t>
  </si>
  <si>
    <t>使用后可免费体验海岛角色（白胡子），共计3天</t>
  </si>
  <si>
    <t>使用后可免费体验海岛角色（马尔高），共计3天</t>
  </si>
  <si>
    <t>使用后可免费体验海岛角色（比斯塔），共计3天</t>
  </si>
  <si>
    <t>万象更新</t>
  </si>
  <si>
    <t>使用后可免费体验海岛角色（乔兹），共计3天</t>
  </si>
  <si>
    <t>海岛争霸岛屿卷7</t>
  </si>
  <si>
    <t>使用后可免费体验海岛角色（艾斯），共计3天</t>
  </si>
  <si>
    <t>圣诞手套</t>
  </si>
  <si>
    <t>被海盗掠走的圣诞手套。\n活动期间内参与每日任务和剧情回顾有几率获得，可用于兑换特殊道具。</t>
  </si>
  <si>
    <t>圣诞帽子</t>
  </si>
  <si>
    <t>遗失的圣诞帽。\n活动期间内参与讨伐任务有几率获得，可用于兑换特殊道具。</t>
  </si>
  <si>
    <t>圣诞老头</t>
  </si>
  <si>
    <t>可爱的圣诞老人玩偶。\n使用后有概率获得一个高品质道具</t>
  </si>
  <si>
    <t>圣诞围巾</t>
  </si>
  <si>
    <t>遗失的圣诞围巾。\n活动期间内参与每日任务和剧情回顾有几率获得，打开后有机会获得高品质道具。</t>
  </si>
  <si>
    <t>圣诞雪人</t>
  </si>
  <si>
    <t>精心搭建的圣诞雪人。\n活动期间内参与讨伐任务有几率获得，打开后有机会获得高品质道具。</t>
  </si>
  <si>
    <t>12.28时装任选箱</t>
  </si>
  <si>
    <t>可以从以下4种时装中任意选择一件[新世界马尔高（青炎）、新世界米霍克（和服）、新世界佩罗娜(礼服)、丽久（礼服）]</t>
  </si>
  <si>
    <t>1.4时装任选箱</t>
  </si>
  <si>
    <t>可以从以下5种时装中任意选择一件[布玲(婚纱)、糖糖（泳装）、阿菊（大铠）、霍金斯（狛鹿）、德雷克（异特龙）]</t>
  </si>
  <si>
    <t>1.11时装任选箱</t>
  </si>
  <si>
    <t>可以从以下4种时装中任意选择一件[新世界路飞（唐装）、新世界佐罗（唐装）、新世界奈美（唐装）、新世界布鲁克（唐装）]</t>
  </si>
  <si>
    <t>黄金战魂惊喜礼盒</t>
  </si>
  <si>
    <t>打开后必得20个黄金战魂，有机会额外获得黄金战魂*1~5或黄金战魂*10或黄金战魂*20或黄金战魂*30</t>
  </si>
  <si>
    <t>时装任选（老服春节）</t>
  </si>
  <si>
    <t>可以从以下15种时装中任意选择一件[凯多（龙形态）、布玲(婚纱)、新世界库赞（企鹅）、新世界路飞（唐装）、新世界佐罗（唐装）、新世界奈美（唐装）、新世界撒谎布（唐装）、新世界布鲁克（唐装)、丽久（礼服）、新世界鲁兹（豹）、霍金斯（狛鹿）、德雷克（异特龙）、新世界佩罗娜(礼服)、汉库珂（玫瑰礼服）、新世界弗兰奇（黑犀牛FR）]</t>
  </si>
  <si>
    <t>时装任选（新服春节）</t>
  </si>
  <si>
    <t>可以从以下14种时装中任意选择一件[凯多（龙形态）、布玲(婚纱)、新世界路飞（唐装）、新世界佐罗（唐装）、新世界奈美（唐装）、新世界撒谎布（唐装）、新世界布鲁克（唐装)、新世界鲁兹（豹）、霍金斯（狛鹿）、德雷克（异特龙）、杰克（猛犸形态）、新世界路飞（皇冠时装）、汉库珂（玫瑰礼服）、新世界弗兰奇（黑犀牛FR）]</t>
  </si>
  <si>
    <t>强者惊喜礼盒</t>
  </si>
  <si>
    <t>打开后必得2个强者招募券，有机会额外获得强者招募券*1~9</t>
  </si>
  <si>
    <t>汤圆</t>
  </si>
  <si>
    <t>香糯可口的汤圆。\n活动期间内参与每日任务和剧情回顾有几率获得，使用后有机会获得高品质道具。</t>
  </si>
  <si>
    <t>红色飘带</t>
  </si>
  <si>
    <t>随风飘扬的红色飘带。\n活动期间内参与讨伐任务有几率获得，使用后有机会获得高品质道具。</t>
  </si>
  <si>
    <t>时装任选箱（2.2）</t>
  </si>
  <si>
    <t>可以从以下4种时装中任意选择一件[昆因（腕龙形态）、凯文迪修（法鲁鲁）、奶昔（泳装）、新世界米霍克（和服）]</t>
  </si>
  <si>
    <t>白色的玫瑰花。\n活动期间内参与每日任务和剧情回顾有几率获得，可用于兑换特殊道具。</t>
  </si>
  <si>
    <t>红玫瑰花</t>
  </si>
  <si>
    <t>红色的玫瑰花。\n活动期间内参与讨伐任务有几率获得，可用于兑换特殊道具。</t>
  </si>
  <si>
    <t>爱心</t>
  </si>
  <si>
    <t>黄金战魂礼盒</t>
  </si>
  <si>
    <t>爱是生命的火焰，没有它，一切变成黑夜。\n使用后有概率获得一个高品质道具</t>
  </si>
  <si>
    <t>2023.2.23时装任选箱（老服)</t>
  </si>
  <si>
    <t>可以从以下4种时装中任意选择一件[路飞（战斗服）、杰克（猛犸形态）、年轻白胡子（和服）、新世界罗（万圣节）]</t>
  </si>
  <si>
    <t>2023.2.23时装任选箱（新服)</t>
  </si>
  <si>
    <t>可以从以下4种时装中任意选择一件[路飞（战斗服）、德雷克（异特龙）、年轻白胡子（和服）、奶昔（泳装）]</t>
  </si>
  <si>
    <t>2023.3.2时装任选箱</t>
  </si>
  <si>
    <t>2023.3.9时装任选箱</t>
  </si>
  <si>
    <t>可以从以下时装中任选一件[龙人凯多（龙人形态）、凯多（龙形态）、新世界弗兰奇（黑犀牛FR）]</t>
  </si>
  <si>
    <t>海上秘令</t>
  </si>
  <si>
    <t>一本神秘的海上秘令，收集后交付任务。</t>
  </si>
  <si>
    <t>清凉甘果</t>
  </si>
  <si>
    <t>海上可以采集的果实，收集后交付任务。</t>
  </si>
  <si>
    <t>一个开心的玩具熊，使用后有概率获得一个高品质道具</t>
  </si>
  <si>
    <t>时装任选箱（3.30）</t>
  </si>
  <si>
    <t>可以从以下4种时装中任意选择一件[霍金斯（狛鹿）、光月御殿（皇冠）、杰克（猛犸形态）、糖糖（泳装）]</t>
  </si>
  <si>
    <t>重燃礼包</t>
  </si>
  <si>
    <t>打开后可获得：高级经验卷轴*3，1级强化书*2</t>
  </si>
  <si>
    <t>打开后可获得：冲刺训练书*1，金块*10,000</t>
  </si>
  <si>
    <t>开心玩具熊</t>
  </si>
  <si>
    <t>打开后可获得：精钢石*1，2级随机宝石*1</t>
  </si>
  <si>
    <t>打开后可获得：黄金战魂*1，5级强化书*3</t>
  </si>
  <si>
    <t>打开后可获得：高级经验卷轴*5，2级强化书*2</t>
  </si>
  <si>
    <t>打开后可获得：冲刺训练书*3，金块*20,000</t>
  </si>
  <si>
    <t>肥美大虾</t>
  </si>
  <si>
    <t>打开后可获得：精钢石*2，2级随机宝石*3</t>
  </si>
  <si>
    <t>新鲜章鱼</t>
  </si>
  <si>
    <t>打开后可获得：黄金战魂*2，5级强化书*5</t>
  </si>
  <si>
    <t>打开后可获得：高级经验卷轴*8，2级强化书*5</t>
  </si>
  <si>
    <t>打开后可获得：冲刺训练书*5，金块*30,000</t>
  </si>
  <si>
    <t>打开后可获得：初级精炼石*10，英雄之石*1</t>
  </si>
  <si>
    <t>打开后可获得：精钢石*2，2级随机宝石*5</t>
  </si>
  <si>
    <t>打开后可获得：黄金战魂*2，5级强化书*8</t>
  </si>
  <si>
    <t>打开后可获得：超级经验卷轴*3，高级秘传书*5</t>
  </si>
  <si>
    <t>打开后可获得：冲刺训练书*10，金块*30,000</t>
  </si>
  <si>
    <t>打开后可获得：初级精炼石*20，英雄之石*3</t>
  </si>
  <si>
    <t>打开后可获得：精钢石*3，3级随机宝石*3</t>
  </si>
  <si>
    <t>打开后可获得：黄金战魂*3，5级强化书*10</t>
  </si>
  <si>
    <t>打开后可获得：超级经验卷轴*5，高级秘传书*10</t>
  </si>
  <si>
    <t>打开后可获得：冲刺训练书*15，金块*50,000</t>
  </si>
  <si>
    <t>打开后可获得：中级精炼石*10，英雄之石*5</t>
  </si>
  <si>
    <t>打开后可获得：精钢石*4，3级随机宝石*4</t>
  </si>
  <si>
    <t>打开后可获得：黄金战魂*4，5级强化书*15</t>
  </si>
  <si>
    <t>打开后可获得：超级经验卷轴*10，高级秘传书*20</t>
  </si>
  <si>
    <t>打开后可获得：冲刺训练书*18，金块*80,000</t>
  </si>
  <si>
    <t>打开后可获得：中级精炼石*20，英雄之石*8</t>
  </si>
  <si>
    <t>打开后可获得：海蓝石*3，3级随机宝石*5</t>
  </si>
  <si>
    <t>打开后可获得：黄金战魂*4，6级强化书*10</t>
  </si>
  <si>
    <t>打开后可获得：超级经验卷轴*20，高级秘传书*30</t>
  </si>
  <si>
    <t>打开后可获得：冲刺训练书*20，金块*100,000</t>
  </si>
  <si>
    <t>打开后可获得：中级精炼石*30，英雄之石*15</t>
  </si>
  <si>
    <t>打开后可获得：海蓝石*4，4级随机宝石*4</t>
  </si>
  <si>
    <t>打开后可获得：黄金战魂*5，6级强化书*15</t>
  </si>
  <si>
    <t>重燃SSR碎片任选箱</t>
  </si>
  <si>
    <t>可以从以下道具任意选择一件 [乔兹*50、汉库珂*50]</t>
  </si>
  <si>
    <t>打开后可获得：奥义经验卷轴*10，奥义秘传书*10</t>
  </si>
  <si>
    <t>打开后可获得：冲刺训练书*22，金块*200,000</t>
  </si>
  <si>
    <t>打开后可获得：中级精炼石*50，英雄之石*20</t>
  </si>
  <si>
    <t>打开后可获得：海蓝石*6，4级任选宝石*5</t>
  </si>
  <si>
    <t>打开后可获得：黄金战魂*5，6级强化书*18</t>
  </si>
  <si>
    <t>打开后可获得：奥义经验卷轴*20，奥义秘传书*15</t>
  </si>
  <si>
    <t>打开后可获得：冲刺训练书*25，金块*200,000</t>
  </si>
  <si>
    <t>打开后可获得：中级精炼石*80，英雄之石*30</t>
  </si>
  <si>
    <t>打开后可获得：海蓝石*8，4级任选宝石*6</t>
  </si>
  <si>
    <t>打开后可获得：黄金战魂*5，6级强化书*20</t>
  </si>
  <si>
    <t>可以从以下道具任意选择一件 [乔兹*50、汉库珂*50、比斯塔*50]</t>
  </si>
  <si>
    <t>打开后可获得：奥义经验卷轴*30，奥义秘传书*20</t>
  </si>
  <si>
    <t>打开后可获得：冲刺训练书*30，金块*300,000</t>
  </si>
  <si>
    <t>打开后可获得：中级精炼石*100，英雄之石*50</t>
  </si>
  <si>
    <t>打开后可获得：海蓝石*10，4级任选宝石*8</t>
  </si>
  <si>
    <t>打开后可获得：黄金战魂*5，6级强化书*30</t>
  </si>
  <si>
    <t>玩具毽子</t>
  </si>
  <si>
    <t>使用后随机获得一种道具。</t>
  </si>
  <si>
    <t>白玫瑰</t>
  </si>
  <si>
    <t>时装任选箱（2023.9.21）</t>
  </si>
  <si>
    <t>可以从以下时装中任意选择一件[烬（无齿翼龙)、新世界佩罗娜(礼服)、光月御殿(皇冠)、年轻白胡子（和服)、夏洛特·玲玲(睡衣)、萨波(黑鸦时装)、推进城汉库珂（和服)、布玲(婚纱)、大和(面具)]</t>
  </si>
  <si>
    <t>从以下3种道具中任选一件{UR招募券*15、阵法任选礼包[必杀之阵、勇士之阵、抗敌之阵、极伤之阵、群免之阵、幻想之阵、毁灭之阵]*1、皮肤任选箱[烬（无齿翼龙)、新世界佩罗娜(礼服)、光月御殿(皇冠)、年轻白胡子（和服)、夏洛特·玲玲(睡衣)、萨波(黑鸦时装)、推进城汉库珂（和服)、布玲(婚纱)、大和(面具)]*1}</t>
  </si>
  <si>
    <t>从以下3种道具中任选一件{UR招募券*15、战船任选箱[巴拉蒂、极地潜水号、幽灵船、黑桃海盗船、莫比迪克号、弗拉门戈号、方舟箴言、女王妈妈吟唱者]*1、皮肤任选箱[烬（无齿翼龙)、新世界佩罗娜(礼服)、光月御殿(皇冠)、年轻白胡子（和服)、夏洛特·玲玲(睡衣)、萨波(黑鸦时装)、推进城汉库珂（和服)、布玲(婚纱)、大和(面具)]*1}</t>
  </si>
  <si>
    <t>可以从必杀之阵、勇士之阵、抗敌之阵、极伤之阵、蔑视之阵、幻想之阵和毁灭之阵中任意选择一张阵法图纸。</t>
  </si>
  <si>
    <t>可以从黑桃海盗船、方舟箴言、米霍克的船、雷德·佛斯号和女王妈妈吟唱者中任意选择一艘战船。</t>
  </si>
  <si>
    <t>可以从以下时装中任意选择一件[和之国路飞（路飞太郎）、和之国罗（讨伐鬼岛装）、新世界基德（获赋者）、大和（面具）、乌塔（铠甲）、润媞（肿头龙）、烬（无齿翼龙）、佩吉旺（脊背龙）、萨波（黑鸦时装）、布玲(婚纱)]</t>
  </si>
  <si>
    <t>可从以下10种阵型任选其一（毁灭之阵、勇士之阵、魔力之阵、幻想之阵、群免之阵、极伤之阵、抗敌之阵、远投之阵、蔑视之阵、必杀之阵）</t>
  </si>
  <si>
    <t>装备任选箱</t>
  </si>
  <si>
    <t>可从以下套装中任选其一（致命套装、流浪套装、浪人套装、迅捷套装、诡匿套装）</t>
  </si>
  <si>
    <t>致命套装</t>
  </si>
  <si>
    <t>使用获得一套致命装备。</t>
  </si>
  <si>
    <t>流浪套装</t>
  </si>
  <si>
    <t>使用获得一套流浪装备。</t>
  </si>
  <si>
    <t>浪人套装</t>
  </si>
  <si>
    <t>使用获得一套浪人装备。</t>
  </si>
  <si>
    <t>迅捷套装</t>
  </si>
  <si>
    <t>使用获得一套迅捷装备。</t>
  </si>
  <si>
    <t>诡匿套装</t>
  </si>
  <si>
    <t>使用获得一套诡匿装备。</t>
  </si>
  <si>
    <t>装备任选箱（新区）</t>
  </si>
  <si>
    <t>可从以下套装中任选其一（斗志套装、浪人套装、卓越套装、暴走套装、青龙套装）</t>
  </si>
  <si>
    <t>斗志套装</t>
  </si>
  <si>
    <t>使用获得一套斗志装备。</t>
  </si>
  <si>
    <t>卓越套装</t>
  </si>
  <si>
    <t>使用获得一套卓越装备。</t>
  </si>
  <si>
    <t>暴走套装</t>
  </si>
  <si>
    <t>装备任选礼包</t>
  </si>
  <si>
    <t>使用获得一套暴走装备。</t>
  </si>
  <si>
    <t>青龙套装</t>
  </si>
  <si>
    <t>使用获得一套青龙装备。</t>
  </si>
  <si>
    <t>可以从九蛇海盗船、雷德·佛斯号、巴拉蒂、风·格拉玛号、极地潜水号、幽灵船、黑桃海盗船、莫比迪克号、弗拉门戈号、方舟箴言、女王妈妈吟唱者、前进·路飞前辈号和米霍克的船中任意选择一艘战船。</t>
  </si>
  <si>
    <t>新区阵法任选箱</t>
  </si>
  <si>
    <t>可从以下8种阵型任选其一（进击之阵、元素之阵、专注之阵、激进之阵、冥想之阵、急速之阵、争霸之阵、守护之阵、御敌之阵、勇者之阵）</t>
  </si>
  <si>
    <t>豪华任选礼箱（老服2998)</t>
  </si>
  <si>
    <t>从以下3种道具中任选一件{重铸符文石*200、阵法任选礼包[毁灭之阵、勇士之阵、魔力之阵、幻想之阵、群免之阵、极伤之阵、抗敌之阵、远投之阵、蔑视之阵、必杀之阵以及部分四级阵法]*1、战船任选箱[九蛇海盗船、雷德·佛斯号、巴拉蒂、风·格拉玛号、极地潜水号、幽灵船、黑桃海盗船、莫比迪克号、弗拉门戈号、方舟箴言、女王妈妈吟唱者、前进·路飞前辈号、米霍克的船]*1}</t>
  </si>
  <si>
    <t>豪华任选礼箱（新服2998)</t>
  </si>
  <si>
    <t>从以下3种道具中任选一件{重铸符文石*200、阵法任选礼包[进击之阵、元素之阵、专注之阵、激进之阵、冥想之阵、急速之阵、争霸之阵、守护之阵、御敌之阵、勇者之阵]*1、战船任选箱[九蛇海盗船、雷德·佛斯号、巴拉蒂、风·格拉玛号、极地潜水号、幽灵船、黑桃海盗船、莫比迪克号、弗拉门戈号、方舟箴言、女王妈妈吟唱者、前进·路飞前辈号、米霍克的船]*1}</t>
  </si>
  <si>
    <t>时装任选箱（累消）</t>
  </si>
  <si>
    <t>可以从以下时装中任意选择一件[新世界基德（获赋者）、大和（面具）、德雷克（异特龙）、凯文迪修（法鲁鲁）、夏洛特·玲玲（睡衣）]</t>
  </si>
  <si>
    <t>时装任选箱（全部时装）</t>
  </si>
  <si>
    <t>可以从以下时装中任意选择一件[新世界佐罗-黑色西服、新世界佐罗-激战、新世界撒谎布-德雷斯罗萨、新世界佐罗-唐装、新世界奈美-唐装、新世界撒谎布-唐装、新世界罗宾-唐装、新世界路飞-唐装、新世界山智-唐装、新世界弗兰奇-黑犀牛FR、玫瑰礼服(汉库珂)时装、新世界奈美-泳装、佩罗娜泳装、薇薇泳装、新世界布鲁克-唐装、新世界罗宾-泳装、新世界塔希米-泳装、汉库珂泳装、艾斯-万圣节、黑鸦（萨波）、萨博-万圣节、睡衣（夏洛特·玲玲）、新世界路飞- 万圣节、龙形态（凯多）、新世界罗-万圣节、新世界罗宾-万圣节、新世界山智-万圣节、新世界佐罗-万圣节、新世界奈美-万圣节、奶昔-泳装、新世界奈美-圣诞节、新世界罗宾-圣诞节、新世界乔巴-圣诞节、丽久礼服、新世界路奇和服、推进城汉库珂和服、新世界米霍克和服、凯文迪修时装、糖糖时装、光月御殿时装、凯罗特和服、阿菊（大铠）、年轻白胡子和服、新世界佩罗娜(礼服)、布玲婚纱、布林原皮（飞毯）、霍金斯时装、德雷克时装、新世界鲁兹时装、龙人凯多时装、新世界山智（王子服）、杰克（猛犸形态）、昆因（腕龙形态）、路飞（战斗服）、大和（面具）、润媞（肿头龙）、烬（无齿翼龙）、佩吉旺（脊背龙）、新世界基德时装、和之国罗时装]</t>
  </si>
  <si>
    <t>时装任选箱（累消）23.11.24</t>
  </si>
  <si>
    <t>可以从以下时装中任意选择一件[和之国罗（讨伐鬼岛装）、新世界佩罗娜(礼服)、凯罗特（和服）、烬（无齿翼龙）、夏洛特·玲玲（睡衣）]</t>
  </si>
  <si>
    <t>感恩节期间掉落道具，可用于兑换特殊道具。</t>
  </si>
  <si>
    <t>感恩节礼品</t>
  </si>
  <si>
    <t>打开后随机获得一个高品质道具。</t>
  </si>
  <si>
    <t>从2023圣诞庆典主题活动的玩法中获得，可用于圣诞装扮</t>
  </si>
  <si>
    <t>圣诞节神秘的鹿角头饰，可以用于兑换道具。</t>
  </si>
  <si>
    <t>圣诞节必备的圣诞帽，可以用于兑换道具。</t>
  </si>
  <si>
    <t>时装任选箱（累消）23.12.21</t>
  </si>
  <si>
    <t>豪华时装任选箱</t>
  </si>
  <si>
    <t>可以从以下时装中任意选择一件[和之国路飞（路飞太郎）、阿菊（大铠）、糖糖（泳装）、大和（面具）、烬（无齿翼龙）]</t>
  </si>
  <si>
    <t>海战5-6级宝石随机</t>
  </si>
  <si>
    <t>打开后随机获得一个5-6级宝石。</t>
  </si>
  <si>
    <t>海战80级英雄套装箱</t>
  </si>
  <si>
    <t>打开后随机获得以下80级套装中的一件：威风、决心、斩击者、勇士套装。</t>
  </si>
  <si>
    <t>海战100级英雄套装箱</t>
  </si>
  <si>
    <t>打开后随机获得以下100级套装中的一件：战争、谈判、张狂、起源、暴走套装。</t>
  </si>
  <si>
    <t>觉醒徽章礼盒（奶昔）</t>
  </si>
  <si>
    <t>开启后可获得奶昔觉醒徽章。</t>
  </si>
  <si>
    <t>时装任选箱（累消）2024.1.25</t>
  </si>
  <si>
    <t>可以从以下时装中任意选择一件[和之国罗宾（阿罗宾）、奶昔（泳装）、新世界马尔高（青炎）、大和（面具）]</t>
  </si>
  <si>
    <t>春节SSR任选箱</t>
  </si>
  <si>
    <t>打开后从【润媞，烬，佩吉旺，基拉，新世界基德，和之国罗】中任选一位角色。</t>
  </si>
  <si>
    <t>春节觉醒碎片任选</t>
  </si>
  <si>
    <t>打开后从【奶昔觉醒碎片*50，卡塔库栗觉醒碎片*50】中任选一种道具。</t>
  </si>
  <si>
    <t>新春灯笼</t>
  </si>
  <si>
    <t>圣诞玩偶</t>
  </si>
  <si>
    <t>春节道具，可用于兑换特殊道具。</t>
  </si>
  <si>
    <t>龙年惊喜宝箱</t>
  </si>
  <si>
    <t>打开后随机获得一个道具，有概率获得高品质道具。</t>
  </si>
  <si>
    <t>9级七彩宝石任选袋</t>
  </si>
  <si>
    <t>打开后可任选一块9级七彩宝石</t>
  </si>
  <si>
    <t>红色羽毛</t>
  </si>
  <si>
    <t>活动道具，可用于兑换特殊道具。</t>
  </si>
  <si>
    <t>星星蓝宝石</t>
  </si>
  <si>
    <t>巨大号角</t>
  </si>
  <si>
    <t>春节时装任选箱</t>
  </si>
  <si>
    <t>可以从以下时装或道具中任意选择一件[新世界佐罗（唐装）、新世界奈美（唐装）、新世界撒谎布（唐装）、新世界罗宾（唐装）、新世界路飞（唐装）、新世界山智（唐装）、新世界布鲁克（唐装）、强者招募券*10]</t>
  </si>
  <si>
    <t>2024时装任选箱</t>
  </si>
  <si>
    <t>可以从以下时装中任意选择一件[新世界弗兰奇（黑犀牛FR）、汉库珂（玫瑰礼服）、新世界奈美（泳装）、佩罗娜（泳装）、薇薇（泳装）、新世界罗宾（泳装）、新世界塔希米（泳装）、汉库珂（泳装）、艾斯（万圣节时装）、萨波（黑鸦时装）、萨波（万圣节时装）、夏洛特·玲玲（睡衣）、新世界路飞（万圣节时装）、凯多（龙形态）、新世界罗（万圣节）、新世界罗宾（万圣节）、新世界山智（万圣节）、新世界佐罗（万圣节）、新世界奈美（万圣节）、奶昔（泳装）、新世界奈美（圣诞节）、新世界罗宾（圣诞节）、新世界乔巴（圣诞节）、丽久（礼服）、新世界鲁兹（和服）、推进城汉库珂（和服）、新世界米霍克（和服）、凯文迪修（法鲁鲁）、糖糖（泳装）、光月御殿（皇冠）、凯罗特（和服）、阿菊（大铠）、年轻白胡子（和服）、新世界佩罗娜(礼服)、布玲(婚纱)、布玲（飞毯）、霍金斯（狛鹿）、德雷克（异特龙）、新世界鲁兹（豹）、龙人凯多（龙人形态）、新世界山智（王子服）、杰克（猛犸形态）、昆因（腕龙形态）、路飞（战斗服）、大和（面具）、润媞（肿头龙）、烬（无齿翼龙）、佩吉旺（脊背龙）、新世界基德（获赋者）、和之国罗（讨伐鬼岛装）、花魁阿玲（赫拉）、和之国路飞（路飞太郎）、和之国罗宾（阿罗宾）、和之国山智（山五郎）]</t>
  </si>
  <si>
    <t>食材1</t>
  </si>
  <si>
    <t>制作美食的食材1</t>
  </si>
  <si>
    <t>食材2</t>
  </si>
  <si>
    <t>制作美食的食材2</t>
  </si>
  <si>
    <t>食材3</t>
  </si>
  <si>
    <t>制作美食的食材3</t>
  </si>
  <si>
    <t>食材4</t>
  </si>
  <si>
    <t>制作美食的食材4</t>
  </si>
  <si>
    <t>食材5</t>
  </si>
  <si>
    <t>制作美食的食材5</t>
  </si>
  <si>
    <t>食材6</t>
  </si>
  <si>
    <t>制作美食的食材6</t>
  </si>
  <si>
    <t>食材7</t>
  </si>
  <si>
    <t>制作美食的食材7</t>
  </si>
  <si>
    <t>食材8</t>
  </si>
  <si>
    <t>制作美食的食材8</t>
  </si>
  <si>
    <t>食材9</t>
  </si>
  <si>
    <t>制作美食的食材9</t>
  </si>
  <si>
    <t>食材10</t>
  </si>
  <si>
    <t>制作美食的食材10</t>
  </si>
  <si>
    <t>食材11</t>
  </si>
  <si>
    <t>制作美食的食材11</t>
  </si>
  <si>
    <t>食材12</t>
  </si>
  <si>
    <t>制作美食的食材12</t>
  </si>
  <si>
    <t>食材13</t>
  </si>
  <si>
    <t>制作美食的食材13</t>
  </si>
  <si>
    <t>食材14</t>
  </si>
  <si>
    <t>制作美食的食材14</t>
  </si>
  <si>
    <t>食材15</t>
  </si>
  <si>
    <t>制作美食的食材15</t>
  </si>
  <si>
    <t>食材16</t>
  </si>
  <si>
    <t>制作美食的食材16</t>
  </si>
  <si>
    <t>食材17</t>
  </si>
  <si>
    <t>制作美食的食材17</t>
  </si>
  <si>
    <t>食材18</t>
  </si>
  <si>
    <t>制作美食的食材18</t>
  </si>
  <si>
    <t>食材19</t>
  </si>
  <si>
    <t>制作美食的食材19</t>
  </si>
  <si>
    <t>食材20</t>
  </si>
  <si>
    <t>制作美食的食材20</t>
  </si>
  <si>
    <t>食材21</t>
  </si>
  <si>
    <t>制作美食的食材21</t>
  </si>
  <si>
    <t>美食1</t>
  </si>
  <si>
    <t>美食2</t>
  </si>
  <si>
    <t>美食3</t>
  </si>
  <si>
    <t>美食4</t>
  </si>
  <si>
    <t>美食5</t>
  </si>
  <si>
    <t>食谱1</t>
  </si>
  <si>
    <t>食谱2</t>
  </si>
  <si>
    <t>食谱3</t>
  </si>
  <si>
    <t>食谱4</t>
  </si>
  <si>
    <t>食谱5</t>
  </si>
  <si>
    <t>试玩卡路飞测试</t>
  </si>
  <si>
    <t>试玩卡杰克斯测试</t>
  </si>
  <si>
    <t>杰克斯试玩卡</t>
  </si>
  <si>
    <t>试玩卡只能在主线任务，每日任务，剧情回刷，活动副本，角色传记等玩法中使用，其他PVP和PVE玩法中都不可使用。拥有试玩卡对应的本卡角色时，试玩卡会失效</t>
  </si>
  <si>
    <t>黑胡子试玩卡</t>
  </si>
  <si>
    <t>多弗拉门戈试玩卡</t>
  </si>
  <si>
    <t>浪人套装任选箱(koc专用）</t>
  </si>
  <si>
    <t>可以从浪人套装4件装备中任选1件获得。</t>
  </si>
  <si>
    <t>VIP战船任选箱</t>
  </si>
  <si>
    <t>可以从雷德佛斯号，九蛇海盗船，黑桃海盗船中任选一艘战船。</t>
  </si>
  <si>
    <t>VIP阵法任选箱</t>
  </si>
  <si>
    <t>可以从精准之阵，会心之阵，平静之阵，疾行之阵，治愈之阵，沉稳之阵，狂怒之阵，激励之阵，战魂之阵，猎手之阵，凛冬之阵，曙光之阵，冲击之阵，守护之阵，雷炎之阵，虚无之阵。</t>
  </si>
  <si>
    <t>全服挑战疲劳值恢复药剂</t>
  </si>
  <si>
    <t>使用后恢复疲劳值</t>
  </si>
  <si>
    <t>雷利试玩卡</t>
  </si>
  <si>
    <t>星辰演习典册</t>
  </si>
  <si>
    <t>星辰高阶演习日志</t>
  </si>
  <si>
    <t>用于提升无果实系角色的技能。</t>
  </si>
  <si>
    <t>星辰奥义演习日志</t>
  </si>
  <si>
    <t>星辰秘藏演习日志</t>
  </si>
  <si>
    <t>星辰极意演习日志</t>
  </si>
  <si>
    <t>浪人套装任选箱</t>
  </si>
  <si>
    <t>幻形演习典册</t>
  </si>
  <si>
    <t>用于动物系角色提升技能强度，在一些特殊技能等级时会用到它，非常稀有</t>
  </si>
  <si>
    <t>幻形高阶演习日志</t>
  </si>
  <si>
    <t>用于提升动物系角色的技能。</t>
  </si>
  <si>
    <t>幻形奥义演习日志</t>
  </si>
  <si>
    <t>疲劳恢复药剂</t>
  </si>
  <si>
    <t>幻形秘藏演习日志</t>
  </si>
  <si>
    <t>幻形极意演习日志</t>
  </si>
  <si>
    <t>风暴演习典册</t>
  </si>
  <si>
    <t>用于自然系角色提升技能强度，在一些特殊技能等级时会用到它，非常稀有</t>
  </si>
  <si>
    <t>风暴高阶演习日志</t>
  </si>
  <si>
    <t>用于提升自然系角色的技能。</t>
  </si>
  <si>
    <t>风暴奥义演习日志</t>
  </si>
  <si>
    <t>风暴秘藏演习日志</t>
  </si>
  <si>
    <t>风暴极意演习日志</t>
  </si>
  <si>
    <t>超凡演习典册</t>
  </si>
  <si>
    <t>用于超人系角色提升技能强度，在一些特殊技能等级时会用到它，非常稀有</t>
  </si>
  <si>
    <t>超凡高阶演习日志</t>
  </si>
  <si>
    <t>用于提升超人系角色的技能。</t>
  </si>
  <si>
    <t>超凡奥义演习日志</t>
  </si>
  <si>
    <t>超凡秘藏演习日志</t>
  </si>
  <si>
    <t>超凡极意演习日志</t>
  </si>
  <si>
    <t>觉醒徽章礼盒（苏打饼）</t>
  </si>
  <si>
    <t>开启后可获得苏打饼觉醒徽章。</t>
  </si>
  <si>
    <t>无名新叶</t>
  </si>
  <si>
    <t>可爱苹果</t>
  </si>
  <si>
    <t>皇后鲜花</t>
  </si>
  <si>
    <t>纯爱之心</t>
  </si>
  <si>
    <t>纯爱之晶</t>
  </si>
  <si>
    <t>情人节惊喜宝箱</t>
  </si>
  <si>
    <t>承载着满满爱意的一个惊喜宝箱，听说有概率开出神秘的纯爱之晶</t>
  </si>
  <si>
    <t>白色情人节·SSR任选箱</t>
  </si>
  <si>
    <t>上元节打火石</t>
  </si>
  <si>
    <t>白色情人节·SSR任选箱，使用后可从以下6个SSR角色中任意选择一个(乌塔、杰克斯、新世界米霍克、新世界佩罗娜、大和、艾斯)</t>
  </si>
  <si>
    <t>白色情人节·皮肤任选箱</t>
  </si>
  <si>
    <t>上元节火把</t>
  </si>
  <si>
    <t>白色情人节·皮肤任选箱，使用后可从以下10个皮肤中任意选择一个(乌塔(铠甲)、新世界佩罗娜(礼服)、新世界米霍克(和服)、艾斯(万圣节)、大和(面具)、汉库珂(泳装)、新世界罗宾(泳装)、新世界娜美(泳装)、UR凯多(龙人形态)、新世界鲁兹(豹形态))</t>
  </si>
  <si>
    <t>使用后可从以下4个皮肤中任意选择一个(和之国山智（山五郎）、烬（无齿翼龙）、龙人凯多（龙人形态）、和之国罗宾（阿罗宾）)</t>
  </si>
  <si>
    <t>可从从以下阵型中任选其一(狂怒之阵、壁垒之阵、激励之阵、战魂之阵、突袭之阵、凶恶之阵、极护之阵、对决之阵、精锐之阵、猎手之阵、灵性之阵、虚无之阵、凛冬之阵、雷炎之阵、防护之阵、冲击之阵、曙光之阵)</t>
  </si>
  <si>
    <t>春日好礼任选箱</t>
  </si>
  <si>
    <t>可以从以下道具中任选其一(强者招募券*5、阵法任选箱*1、重铸符文石*20)</t>
  </si>
  <si>
    <t>懵懂新芽</t>
  </si>
  <si>
    <t>魔法蔓藤</t>
  </si>
  <si>
    <t>怒放鲜花</t>
  </si>
  <si>
    <t>使用后有概率获得一个高品质道具</t>
  </si>
  <si>
    <t>使用后可从以下5个皮肤中任意选择一个(和之国乔巴（乔巴卫门）、和之国山智（山五郎）、和之国罗宾（阿罗宾）、佩吉旺变身时装（棘背龙形态）、糖糖泳装)</t>
  </si>
  <si>
    <t>劳动小红旗</t>
  </si>
  <si>
    <t>520宝箱</t>
  </si>
  <si>
    <t>使用后可概率获得一个高品质道具</t>
  </si>
  <si>
    <t>甜蜜时装宝箱</t>
  </si>
  <si>
    <t>使用后可从以下4个时装中任意选择一个（玫瑰礼服(汉库珂)时装、结婚礼服(奈美)时装、新世界佐罗-黑色西服、薇薇泳装）</t>
  </si>
  <si>
    <t>520玫瑰</t>
  </si>
  <si>
    <t>520水晶</t>
  </si>
  <si>
    <t>520气球</t>
  </si>
  <si>
    <t>惊喜宝箱</t>
  </si>
  <si>
    <t>任选宝箱</t>
  </si>
  <si>
    <t>使用后可从以下3个道具中任意选择一个（凯撒整卡、初级炼魂石*50、符文重铸石头*30）</t>
  </si>
  <si>
    <t>使用后可从以下5个时装中任意选择一个（布玲(婚纱)时装、布玲(飞毯)时装、和之国乔巴（乔巴门卫）时装、烬(无齿翼龙）、UR花魁阿玲（赫拉）时装）</t>
  </si>
  <si>
    <t>儿童节糖果</t>
  </si>
  <si>
    <t>儿童节风筝</t>
  </si>
  <si>
    <t>可从以下20种阵型任选其一（毁灭之阵、勇士之阵、魔力之阵、幻想之阵、群免之阵、极伤之阵、抗敌之阵、远投之阵、蔑视之阵、必杀之阵、进击之阵、元素之阵、专注之阵、激进之阵、冥想之阵、急速之阵、争霸之阵、守护之阵、御敌之阵、勇者之阵）</t>
  </si>
  <si>
    <t>生日惊喜宝箱</t>
  </si>
  <si>
    <t>可从以下两种物品中任意选择一个（路飞-夏威夷、强者招募券*2）</t>
  </si>
  <si>
    <t>粽叶飘香宝箱</t>
  </si>
  <si>
    <t>可从以下17种阵型任选其一（狂怒之阵、壁垒之阵、激励之阵、战魂之阵、突袭之阵、凶恶之阵、极护之阵、对决之阵、精锐之阵、猎手之阵、灵性之阵、虚无之阵、凛冬之阵、雷炎之阵、防护之阵、冲击之阵、曙光之阵)</t>
  </si>
  <si>
    <t>全区SSR任选箱</t>
  </si>
  <si>
    <t>任选宝箱，使用后可选择获得一个SSR角色。</t>
  </si>
  <si>
    <t>不法之地-SSR任选箱</t>
  </si>
  <si>
    <t>可任选一个SSR获得。</t>
  </si>
  <si>
    <t>扇子</t>
  </si>
  <si>
    <t>68累充时装任选箱</t>
  </si>
  <si>
    <t>使用后可从以下4个时装中任意选择一个（佩罗娜（泳装）、薇薇（泳装）、薇薇公主时装、结婚礼服(奈美)时装）</t>
  </si>
  <si>
    <t>代币兑换时装任选箱</t>
  </si>
  <si>
    <t>使用后可从以下4个时装中任意选择一个（佩罗娜（泳装）、薇薇（泳装）、新世界塔希米（泳装）、推进城汉库珂（和服））</t>
  </si>
  <si>
    <t>青龙装备任选箱</t>
  </si>
  <si>
    <t>使用可以任选一件青龙装备</t>
  </si>
  <si>
    <t>三级阵法任选箱</t>
  </si>
  <si>
    <t>可以从以下阵型中任选其一（壁垒之阵、突袭之阵、凶恶之阵、极护之阵、对决之阵、精锐之阵、灵性之阵、虚无之阵、雷炎之阵、防护之阵、冲击之阵、曙光之阵）</t>
  </si>
  <si>
    <t>皮肤/UR招募券任选箱</t>
  </si>
  <si>
    <t>使用后可以任意选择以下道具（UR招募券*5、佩罗娜（泳装）、薇薇（泳装）、薇薇公主时装、结婚礼服(奈美)时装）</t>
  </si>
  <si>
    <t>时装兑换币</t>
  </si>
  <si>
    <t>活动道具，可用于兑换活动时装。</t>
  </si>
  <si>
    <t>预热活动宝箱</t>
  </si>
  <si>
    <t>额外惊喜礼包</t>
  </si>
  <si>
    <t>使用后有33%概率获得强者招募券*3、20%概率获得强者招募券*5、10%概率获得强者招募券*8、20.6%概率获得时装兑换券*5、11%概率获得时装兑换券*8、5%概率获得时装兑换券*20、0.3%概率获得6级七彩宝石任选*1、0.1%概率获得7级七彩宝石任选*1</t>
  </si>
  <si>
    <t>惊喜随机好礼</t>
  </si>
  <si>
    <t>打开后必得时装兑换币*5，额外还有33%概率获得强者招募券*3、20%概率获得强者招募券*5、10%概率获得强者招募券*8、20.6%概率获得时装兑换券*5、11%概率获得时装兑换券*8、5%概率获得时装兑换券*20、0.3%概率获得6级七彩宝石任选*1、0.1%概率获得7级七彩宝石任选*1</t>
  </si>
  <si>
    <t>尊贵时装任选箱</t>
  </si>
  <si>
    <t>使用后可从以下所有时装中任选一件</t>
  </si>
  <si>
    <t>稀有时装任选箱</t>
  </si>
  <si>
    <t>使用后可从以下5个时装中任意选择一个（狗头帽(戈普)时装、结婚礼服(奈美)时装、紫色旗袍(汉库珂)时装、玛丽弗德(沙·鳄鱼)时装、阿拉巴斯坦(艾斯)时装）</t>
  </si>
  <si>
    <t>珍贵时装任选箱</t>
  </si>
  <si>
    <t>使用后可从以下6个时装中任意选择一个（新世界罗宾-泳装、新世界路飞-“路西”、玫瑰礼服(汉库珂)时装、新世界米霍克和服、新世界青雉企鹅、新世界路奇和服）</t>
  </si>
  <si>
    <t>惊喜道具任选箱</t>
  </si>
  <si>
    <t>使用后可以任选时装兑换币*150或和之国弗兰奇时装。</t>
  </si>
  <si>
    <t>UR招募券宝箱</t>
  </si>
  <si>
    <t>道具任选箱</t>
  </si>
  <si>
    <t>打开后有10%概率获得UR招募券*10、25%概率获得UR招募券*11、30%概率获得UR招募券*12、20%概率获得UR招募券*13、10%概率获得UR招募券*14、4.8%概率获得UR招募券*15、0.2%概率获得时装兑换币*150和和之国弗兰奇时装任选宝箱。</t>
  </si>
  <si>
    <t>符文重铸石宝箱</t>
  </si>
  <si>
    <t>打开后有45%概率获得符文重铸石*40、35%概率获得符文重铸石*45、19.8%概率获得符文重铸石*50、0.2%概率获得时装兑换币*150和和之国弗兰奇时装任选宝箱。</t>
  </si>
  <si>
    <t>铸造券宝箱</t>
  </si>
  <si>
    <t>打开后有10%概率获得铸造券*10、25%概率获得铸造券*11、30%概率获得铸造券*12、20%概率获得铸造券*13、10%概率获得铸造券*14、4.8%概率获得铸造券*15、0.2%概率获得时装兑换币*150和和之国弗兰奇时装任选宝箱。</t>
  </si>
  <si>
    <t>炼魂石宝箱</t>
  </si>
  <si>
    <t>打开后有45%概率获得炼魂石*40、35%概率获得炼魂石*45、19.8%概率获得炼魂石*50、0.2%概率获得时装兑换币*150和和之国弗兰奇时装任选宝箱。</t>
  </si>
  <si>
    <t>七彩宝石宝箱</t>
  </si>
  <si>
    <t>打开后有60%概率获得7级七彩宝石任选袋、39.8%概率获得8级七彩宝石任选袋、0.2%概率获得时装兑换币*150和和之国弗兰奇时装任选宝箱。</t>
  </si>
  <si>
    <t>新时装惊喜宝箱</t>
  </si>
  <si>
    <t>使用后必得时装兑换币*10，还以任选UR招募券宝箱、重铸符文石宝箱、铸造券宝箱、炼魂石宝箱、七彩宝石宝箱、更有机会获得时装兑换币*150和和之国弗兰奇时装。</t>
  </si>
  <si>
    <t>使用后可以从以下宝箱中任选一个（UR招募券宝箱、重铸符文石宝箱、铸造券宝箱、炼魂石宝箱、七彩宝石宝箱）更有机会获得时装兑换币*150和和之国弗兰奇时装。</t>
  </si>
  <si>
    <t>打开后可以获得强者招募券*1和奥义经验卷轴*5</t>
  </si>
  <si>
    <t>打开后可以获得强者招募券*10和奥义经验卷轴*10</t>
  </si>
  <si>
    <t>打开后可以获得UR招募券*16和奥义经验卷轴*10</t>
  </si>
  <si>
    <t>打开后可以获得限时铸造券*20和奥义经验卷轴*10</t>
  </si>
  <si>
    <t>打开后可从以下2个时装中任意选择一个(和之国路飞（路飞太郎）、和之国撒谎布（撒谎八））</t>
  </si>
  <si>
    <t>打开后可从以下3个时装中任意选择一个(萨波（黑鸦时装）、和之国罗宾（阿罗宾）、阿菊（大铠））</t>
  </si>
  <si>
    <t>打开后可从以下10个SSR中任意选择一个(乌塔、新世界米霍克、大和、布玲、新世界路飞、新世界佩罗娜、艾斯、杰克斯、新世界山智、推进城汉库珂）</t>
  </si>
  <si>
    <t>惊喜道具任选箱子</t>
  </si>
  <si>
    <t>打开后可从以下9个时装中任意选择一个(乌塔（铠甲）、新世界佩罗娜(礼服)、新世界米霍克（和服）、艾斯（万圣节时装）、大和（面具）、新世界罗宾（泳装）、新世界娜美泳装、布玲时装（婚纱）、新世界山智（王子服））</t>
  </si>
  <si>
    <t>打开后可从以下3个时装中任意选择一个(和之国罗（讨伐鬼岛装）、和之国弗兰奇（弗兰介）、新世界基德（获赋者））</t>
  </si>
  <si>
    <t>打开后可从以下6个SSR中任意选择一个(凯撒、锦卫门、阿菊、baby5、基拉、凯多）</t>
  </si>
  <si>
    <t>打开后可从以下4个时装中任意选择一个(和之国布鲁克（骨吉）、烬（无齿翼龙）、和之国佐罗（佐罗十郎）、昆因（腕龙形态））</t>
  </si>
  <si>
    <t>打开后可从以下3个时装中任意选择一个(和之国山智（山五郎）、和之国罗宾（阿罗宾）、新世界佩罗娜(礼服)）</t>
  </si>
  <si>
    <t>经典时装好礼</t>
  </si>
  <si>
    <t>打开后可以获得路飞（西装）</t>
  </si>
  <si>
    <t>豪华时装好礼</t>
  </si>
  <si>
    <t>打开后可以获得（路飞（西装）和黄金战魂*30和强者招募券*10和豪华珍奇矿石*1）</t>
  </si>
  <si>
    <t>典藏时装好礼</t>
  </si>
  <si>
    <t>打开后可以获得（路飞（西装）和黄金战魂*50和强者招募券*20和豪华珍奇矿石*2）</t>
  </si>
  <si>
    <t>屠戮套装任选箱</t>
  </si>
  <si>
    <t>可以从屠戮套装4件装备中任选1件获得。</t>
  </si>
  <si>
    <t>打开后可从以下3个时装中任意选择一个(和之国乔巴（乔巴卫门）、和之国路飞（路飞太郎）、佩吉旺变身时装）</t>
  </si>
  <si>
    <t>周年庆典铜宝箱</t>
  </si>
  <si>
    <t>打开后有概率获得彩钻*6、彩钻*18、彩钻*30或彩钻*66，若不打开宝箱则可用来兑换更高级别宝箱</t>
  </si>
  <si>
    <t>周年庆典银宝箱</t>
  </si>
  <si>
    <t>打开后有概率获得彩钻*88、彩钻*188、彩钻*388或彩钻*688，若不打开宝箱则可用来兑换更高级别宝箱</t>
  </si>
  <si>
    <t>四级阵法任选箱</t>
  </si>
  <si>
    <t>可以从以下阵型中任选其一（进击之阵、元素之阵、专注之阵、激进之阵、冥想之阵、急速之阵、争霸之阵、守护之阵、御敌之阵、勇者之阵）</t>
  </si>
  <si>
    <t>UR任选箱</t>
  </si>
  <si>
    <t>打开宝箱从UR凯多和UR大妈中任选一个</t>
  </si>
  <si>
    <t>打开后可从以下4个时装中任意选择一个(和之国撒谎布（撒谎八）、润媞（肿头龙）、和之国奈美（阿奈美）、阿菊（大铠））</t>
  </si>
  <si>
    <t>打开后可从以下8个SSR中任意选择一个(和之国路飞、和之国罗宾、和之国山治、和之国索隆、和之国乔巴、和之国撒谎布、和之国娜美、和之国甚平）</t>
  </si>
  <si>
    <t>打开后可从以下3个时装中任意选择一个(奈美泳装、罗宾泳装、baby5泳装）</t>
  </si>
  <si>
    <t>打开后可从以下5个战船中任意选择一个(般城丸号、海军战舰、黑胡子木筏、戈普的军舰、太阳海盗船）</t>
  </si>
  <si>
    <t>活动期间内参与每日任务和剧情回顾有几率获得，可用于兑换特殊道具。</t>
  </si>
  <si>
    <t>活动期间内参与讨伐任务有几率获得，可用于兑换特殊道具</t>
  </si>
  <si>
    <t>红飘带</t>
  </si>
  <si>
    <t>活动期间用于兑换新世界黑胡子碎片</t>
  </si>
  <si>
    <t>月桂飘香宝箱</t>
  </si>
  <si>
    <t>活动礼包，打开后有机会获得高品质道具。</t>
  </si>
  <si>
    <t>打开后可从以下2个时装中任意选择一个(霍金斯（狛鹿）、新世界马尔高（青炎））</t>
  </si>
  <si>
    <t>打开后可从以下10个SSR中任意选择一个(和之国路飞、和之国罗宾、和之国山治、和之国索隆、和之国乔巴、和之国撒谎布、和之国娜美、和之国甚平、和之国弗兰奇、和之国布鲁克）</t>
  </si>
  <si>
    <t>打开后可从以下8个时装中任意选择一个(泳装baby5、新世界佐罗-黑色西服、新世界路飞-唐装、新世界山智-唐装、玫瑰礼服(汉库珂)时装、丽久礼服、光月御殿时装、年轻白胡子和服）</t>
  </si>
  <si>
    <t>打开后可从以下10个时装中任意选择一个(奈美（阿拉巴斯坦舞娘装）、薇薇（泳装）、薇薇（公主装）、奈美（泳装）、罗宾（泳装）、路飞（夏威夷服装）、汉库珂（玫瑰礼服）、新世界罗宾（泳装）、新世界塔希米（泳装）、新世界佐罗-黑色西服）</t>
  </si>
  <si>
    <t>打开后可从以下3个SSR中任意选择一个(雷利、光月御殿、杰克斯）</t>
  </si>
  <si>
    <t>10级七彩宝石任选袋</t>
  </si>
  <si>
    <t>打开后可任选一块10级七彩宝石</t>
  </si>
  <si>
    <t>回归奖励SSR任选箱</t>
  </si>
  <si>
    <t>打开后可从以下11个SSR中任意选择一个(和之国罗、和之国路飞、和之国罗宾、和之国山治、和之国索隆、和之国乔巴、和之国撒谎布、和之国娜美、和之国甚平、和之国弗兰奇、和之国布鲁克）</t>
  </si>
  <si>
    <t>金宝箱SSR任选箱</t>
  </si>
  <si>
    <t>打开后可从以下14个SSR中任意选择一个(基拉、大和、沙·鳄鱼、布玲、萨波、新世界奈美、新世界罗宾、新世界撒谎布、新世界弗兰奇、新世界乔巴、和之国罗、和之国山智、和之国路飞、和之国撒谎布）</t>
  </si>
  <si>
    <t>金宝箱时装任选箱</t>
  </si>
  <si>
    <t>打开后可从以下6个时装中任意选择一个(新世界罗宾（泳装）、新世界奈美-泳装、沙·鳄鱼（玛丽弗德）、新世界撒谎布（唐装）、新世界奈美（唐装）、新世界罗宾（唐装））</t>
  </si>
  <si>
    <t>周年庆典金宝箱</t>
  </si>
  <si>
    <t>打开后可从以下3个奖励中任意选择一个（时装任选箱*1、10级七彩宝石任选袋*1、SSR任选箱*1）</t>
  </si>
  <si>
    <t>周年庆红包，会给新的一年带来好运。用于兑换道具。</t>
  </si>
  <si>
    <t>海螺</t>
  </si>
  <si>
    <t>闹钟</t>
  </si>
  <si>
    <t>酒杯</t>
  </si>
  <si>
    <t>时装兑换币宝箱</t>
  </si>
  <si>
    <t>打开后可以获得10-15枚时装兑换币</t>
  </si>
  <si>
    <t>材料任选箱</t>
  </si>
  <si>
    <t>打开后可以任选符文重铸石*15或战船洗练石*15</t>
  </si>
  <si>
    <t>打开后可以获得符文重铸石*15或战船洗练石*15以及时装兑换币10-15枚，有0.5%几率直接获得罗杰海盗王时装</t>
  </si>
  <si>
    <t>庆典SSR任选箱</t>
  </si>
  <si>
    <t>打开后可从以下62个SSR中任意选择一个(战桃丸、沙·鳄鱼、艾尼路、青雉、戈普、莫利亚、大熊、艾斯、米霍克、鲁兹、甚平、汉库珂、罗、基德、雷利、战国、麦哲伦、伊娃科夫、乔兹、白胡子、马尔高、比斯塔、新世界撒谎布、新世界佐罗、黑胡子、新世界奈美、新世界罗宾、新世界路飞、新世界塔希米、新世界布鲁克、新世界山智、新世界乔巴、新世界罗、卡塔库栗、萨波、藤虎、夏洛特·玲玲、苏打饼、奶昔、凯多、凯文迪修、新世界赤犬、丽久、推进城汉库珂、巴尔托洛梅奥、新世界马尔高、新世界米霍克、糖糖、光月御殿、凯罗特、阿菊、Baby5、年轻白胡子、新世界佩罗娜、英雄戈普、新世界黑胡子、犬岚、猫蝮蛇、布玲、霍金斯、德雷克、希流）</t>
  </si>
  <si>
    <t>打开后可从以下4个时装中任意选择一个(奈美（和之国奈美（阿奈美）,和之国罗宾（阿罗宾）,和之国布鲁克（骨吉）,和之国弗兰奇（弗兰介））</t>
  </si>
  <si>
    <t>打开后可从以下3个时装中任意选择一个(萨波（黑鸦时装）、和之国乔巴（乔巴卫门）、佩吉旺（脊背龙））</t>
  </si>
  <si>
    <t>水母</t>
  </si>
  <si>
    <t>大章鱼</t>
  </si>
  <si>
    <t>称号兑换币</t>
  </si>
  <si>
    <t>活动道具，可用于兑换活动称号。</t>
  </si>
  <si>
    <t>称号兑换币宝箱</t>
  </si>
  <si>
    <t>打开后可以获得10-15枚称号兑换币</t>
  </si>
  <si>
    <t>富贵之星礼包</t>
  </si>
  <si>
    <t>打开后可以获得符文重铸石*15或战船洗练石*15以及称号兑换币10-15枚，有0.5%几率直接获得“富贵之星”称号</t>
  </si>
  <si>
    <t>打开后可从以下阵法中任意选择一个(曙光之阵、防护之阵、灵性之阵、极护之阵、凶恶之阵、激励之阵、凛冬之阵、精准之阵、会心之阵、平静之阵、疾行之阵、治愈之阵、沉稳之阵）</t>
  </si>
  <si>
    <t>时装任选箱老服</t>
  </si>
  <si>
    <t>打开后可从以下2个时装中任意选择一个(新世界基德（获赋者）,杰克（猛犸形态））</t>
  </si>
  <si>
    <t>打开后可从以下2个时装中任意选择一个(新世界基德（获赋者）,德雷克（异特龙））</t>
  </si>
  <si>
    <t>时装任选箱10.24</t>
  </si>
  <si>
    <t>打开后可从以下3个时装中任意选择一个(和之国弗兰奇（弗兰介）、奶昔（泳装）、和之国山智（山五郎））</t>
  </si>
  <si>
    <t>时装任选箱10.31</t>
  </si>
  <si>
    <t>打开后可从以下5个时装中任意选择一个(和之国奈美（阿奈美）、烬（无齿翼龙）、和之国罗宾（阿罗宾）、和之国路飞（路飞太郎）、龙人凯多（龙人形态））</t>
  </si>
  <si>
    <t>万圣节时装任选箱</t>
  </si>
  <si>
    <t>打开后可从以下8个时装中任意选择一个(艾斯（万圣节时装）、萨波（万圣节时装）、新世界路飞（万圣节时装）、新世界罗（万圣节）、新世界罗宾（万圣节）、新世界山智（万圣节）、新世界佐罗（万圣节）、新世界奈美（万圣节））</t>
  </si>
  <si>
    <t>万圣节惊喜时装礼包</t>
  </si>
  <si>
    <t>打开后可以获得符文重铸石*15或战船洗练石*15以及时装兑换币10-15枚，有0.5%几率直接获得万圣节时装任选箱（艾斯（万圣节时装）、萨波（万圣节时装）、新世界路飞（万圣节时装）、新世界罗（万圣节）、新世界罗宾（万圣节）、新世界山智（万圣节）、新世界佐罗（万圣节）、新世界奈美（万圣节））</t>
  </si>
  <si>
    <t>万圣节时装兑换币宝箱</t>
  </si>
  <si>
    <t>称号任选箱</t>
  </si>
  <si>
    <t>打开后可从壕气冲天和100称号兑换币中任选其一</t>
  </si>
  <si>
    <t>火石</t>
  </si>
  <si>
    <t>惊喜小丑</t>
  </si>
  <si>
    <t>活动期间内用于兑换道具</t>
  </si>
  <si>
    <t>动物系碎片自选箱</t>
  </si>
  <si>
    <t>打开后可从:鲁兹碎片*1、战国碎片*1、马尔高碎片*1、新世界乔巴碎片*1、凯多碎片*1、新世界鲁兹碎片*1、新世界马尔高碎片*1、德雷克碎片*1、大将战国碎片*1、杰克碎片*1、昆因碎片*1、大和碎片*1、润媞碎片*1、烬碎片*1、佩吉旺碎片*1、基拉碎片*1、和之国乔巴中任意选择一个获得</t>
  </si>
  <si>
    <t>自然系碎片自选箱</t>
  </si>
  <si>
    <t>打开后可从:沙·鳄鱼碎片*1、艾尼路碎片*1、青雉碎片*1、黄猿碎片*1、艾斯碎片*1、赤犬碎片*1、黑胡子碎片*1、新世界烟鬼碎片*1、萨波碎片*1、新世界赤犬碎片*1、新世界黑胡子中任意选择一个获得</t>
  </si>
  <si>
    <t>超人系碎片自选箱</t>
  </si>
  <si>
    <t>打开后可从:莫利亚碎片*1、大熊碎片*1、汉库珂碎片*1、罗碎片*1、基德碎片*1、麦哲伦碎片*1、伊娃科夫碎片*1、乔兹碎片*1、白胡子碎片*1、新世界罗宾碎片*1、多弗拉门戈碎片*1、新世界路飞碎片*1、新世界布鲁克碎片*1、新世界罗碎片*1、卡塔库栗碎片*1、藤虎碎片*1、夏洛特·玲玲碎片*1、苏打饼碎片*1、奶昔碎片*1、推进城汉库珂碎片*1、巴尔托洛梅奥碎片*1、糖糖碎片*1、Baby5碎片*1、年轻白胡子碎片*1、新世界佩罗娜碎片*1、布玲碎片*1、霍金斯碎片*1、希流碎片*1、新世界基德碎片*1、和之国罗碎片*1、和之国路飞碎片*1、和之国罗宾碎片*1、和之国布鲁克中任意选择一个获得</t>
  </si>
  <si>
    <t>格斗系碎片自选箱</t>
  </si>
  <si>
    <t>打开后可从:战桃丸碎片*1、戈普碎片*1、甚平碎片*1、新世界弗兰奇碎片*1、新世界山智碎片*1、丽久碎片*1、凯罗特碎片*1、英雄戈普碎片*1、猫蝮蛇碎片*1、和之国山智碎片*1、和之国弗兰奇碎片*1、和之国甚平中任意选择一个获得</t>
  </si>
  <si>
    <t>剑道系碎片自选箱</t>
  </si>
  <si>
    <t>打开后可从:米霍克碎片*1、雷利碎片*1、比斯塔碎片*1、新世界佐罗碎片*1、新世界塔希米碎片*1、新世界米霍克碎片*1、凯文迪修碎片*1、光月御殿碎片*1、阿菊碎片*1、和之国佐罗中任意选择一个获得</t>
  </si>
  <si>
    <t>射击系碎片自选箱</t>
  </si>
  <si>
    <t>打开后可从:新世界撒谎布碎片*1、新世界奈美碎片*1、和之国撒谎布碎片*1、和之国奈美中任意选择一个获得</t>
  </si>
  <si>
    <t>全系碎片自选箱</t>
  </si>
  <si>
    <t>打开后可从:动物系碎片自选箱、自然系碎片自选箱、超人系碎片自选箱、格斗系碎片自选箱、剑道系碎片自选箱、射击系碎片自选箱中任意选择一个获得（除一些特殊角色外包含截止到和之国甚平之前的所有角色）</t>
  </si>
  <si>
    <t>审判套装自选箱</t>
  </si>
  <si>
    <t>使用后可自行选择获得审判套装中的一个部位</t>
  </si>
  <si>
    <t>英雄·审判手杖</t>
  </si>
  <si>
    <t>使用后获得100级未鉴定的英雄·审判手杖</t>
  </si>
  <si>
    <t>英雄·审判铠甲</t>
  </si>
  <si>
    <t>使用后获得100级未鉴定的英雄·审判铠甲</t>
  </si>
  <si>
    <t>英雄·审判戒指</t>
  </si>
  <si>
    <t>使用后获得100级未鉴定的英雄·审判戒指</t>
  </si>
  <si>
    <t>英雄·审判项链</t>
  </si>
  <si>
    <t>使用后获得100级未鉴定的英雄·审判项链</t>
  </si>
  <si>
    <t>打开后可从以下3个时装中任意选择一个(烬（无齿翼龙形态）,和之国布鲁克（骨吉），罗杰（大海盗））</t>
  </si>
  <si>
    <t>甜蜜时装任选箱</t>
  </si>
  <si>
    <t>打开后可从:新世界山智·王子服*1、布林婚纱飞毯*1、时装兑换币*200中任意选择一个获得</t>
  </si>
  <si>
    <t>至尊礼任选箱</t>
  </si>
  <si>
    <t>打开后可从:速击之阵*1、甜蜜时装任选箱*1中任意选择一个获得</t>
  </si>
  <si>
    <t>流浪套装自选箱</t>
  </si>
  <si>
    <t>使用后可自行选择获得流浪套装中的一个部位</t>
  </si>
  <si>
    <t>英雄·流浪长刀</t>
  </si>
  <si>
    <t>使用后获得100级未鉴定的英雄·流浪长刀</t>
  </si>
  <si>
    <t>英雄·流浪长袍</t>
  </si>
  <si>
    <t>使用后获得100级未鉴定的英雄·流浪长袍</t>
  </si>
  <si>
    <t>英雄·流浪戒指</t>
  </si>
  <si>
    <t>使用后获得100级未鉴定的英雄·流浪戒指</t>
  </si>
  <si>
    <t>英雄·流浪项链</t>
  </si>
  <si>
    <t>使用后获得100级未鉴定的英雄·流浪项链</t>
  </si>
  <si>
    <t>打开后可从以下6个时装中任意选择一个(和之国佐罗（佐罗十郎）,布琳（飞毯），布琳（婚纱），和之国弗兰奇（弗兰介），新世界山智（万圣节）,罗杰（大海盗））</t>
  </si>
  <si>
    <t>烬·惊喜时装礼包</t>
  </si>
  <si>
    <t>打开后可以获得符文重铸石*15或战船洗练石*15以及时装兑换币10-15枚，有0.5%几率直接获得烬时装</t>
  </si>
  <si>
    <t>烬·时装兑换币宝箱</t>
  </si>
  <si>
    <t>无双会员宝箱Lv0</t>
  </si>
  <si>
    <t>打开后可以获得强者招募券*2、蓝钻*200、黄金战魂*10</t>
  </si>
  <si>
    <t>无双会员宝箱Lv1</t>
  </si>
  <si>
    <t>打开后可以获得时装兑换币*30、限时铸造券*5、黄金战魂*20、强者招募券*8</t>
  </si>
  <si>
    <t>无双会员宝箱Lv2</t>
  </si>
  <si>
    <t>打开后可以获得时装兑换币*40、家园装扮-【樱落】7天*1、战船拆解自选物资（洗练材料）*20、限时铸造券*10、战船拆解自选材料（升级材料）*30</t>
  </si>
  <si>
    <t>无双会员宝箱Lv3</t>
  </si>
  <si>
    <t>打开后可以获得时装兑换币*50、家园装扮-【樱落】7天*1、战船拆解自选物资（洗练材料）*30、限时铸造券*15、战船拆解自选材料（升级材料）*50</t>
  </si>
  <si>
    <t>无双会员宝箱Lv4</t>
  </si>
  <si>
    <t>打开后可以获得时装兑换币*60、家园装扮-【樱落】7天*2、战船拆解自选物资（洗练材料）*50、限时铸造券*20、战船拆解自选材料（升级材料）*80</t>
  </si>
  <si>
    <t>打开后可从以下3个时装中任意选择一个(和之国罗宾（阿罗宾），德雷克变身（异特龙形态），新世界基德（获赋者））</t>
  </si>
  <si>
    <t>二级阵法任选箱</t>
  </si>
  <si>
    <t>可以从以下阵型中任选其一（狂怒之阵、激励之阵、战魂之阵、猎手之阵、凛冬之阵）</t>
  </si>
  <si>
    <t>感恩节火鸡</t>
  </si>
  <si>
    <t>双12银宝箱</t>
  </si>
  <si>
    <t>打开后可在：彩钻*12、彩钻*22、彩钻*32、彩钻*42、彩钻*52中随机获得一个（如不开启，可在双12活动中兑换更高级别的奖励哦！）</t>
  </si>
  <si>
    <t>打开后可从以下3个时装中任意选择一个(昆因（腕龙形态）,大和（面具），杰克（猛犸形态））</t>
  </si>
  <si>
    <t>打开后可从以下3个时装中任意选择一个(和之国乔巴（乔巴卫门）,和之国布鲁克（骨吉），新世界佩罗娜（礼服））</t>
  </si>
  <si>
    <t>双12金宝箱</t>
  </si>
  <si>
    <t>打开后可在：彩钻*1212、强者招募券8、限时铸造券*10，中任选一种获得</t>
  </si>
  <si>
    <t>彩钻宝袋</t>
  </si>
  <si>
    <t>打开后可以获得彩钻*1212</t>
  </si>
  <si>
    <t>青年雷利礼盒</t>
  </si>
  <si>
    <t>打开后可在：青年雷利碎片*50、青年雷利觉醒徽章*50，中任选一种获得</t>
  </si>
  <si>
    <t>打开后可从以下3个时装中任意选择一个(和之国罗宾（阿罗宾）,新世界撒谎布（德雷斯罗萨），昆因（腕龙形态））</t>
  </si>
  <si>
    <t>圣诞节时装礼包</t>
  </si>
  <si>
    <t>打开后可以获得符文重铸石*15或战船洗练石*15以及时装兑换币10-15枚，有0.5%几率获得圣诞时装任选箱（新世界乔巴、新世界奈美、新世界罗宾）</t>
  </si>
  <si>
    <t>圣诞时装任选箱</t>
  </si>
  <si>
    <t>打开后可从以下3个时装中任意选择一个(圣诞节奈美、圣诞节罗宾、圣诞节乔巴）</t>
  </si>
  <si>
    <t>圣诞节时装兑换币宝箱</t>
  </si>
  <si>
    <t>圣诞节神秘的鹿角装饰，活动期间内参与每日任务和剧情回顾有几率获得，可用于兑换特殊道具。</t>
  </si>
  <si>
    <t>圣诞节必备的帽子，活动期间内参与讨伐任务有几率获得，可用于兑换特殊道具</t>
  </si>
  <si>
    <t>打开后可从以下4个时装中任意选择一个(和之国佐罗（佐罗十郎）,新世界米霍克（和服），年轻白胡子（和服），新世界鲁兹（和服））</t>
  </si>
  <si>
    <t>战至巅峰SSR任选</t>
  </si>
  <si>
    <t>任选宝箱，使用后可以从：夏洛特·玲玲、布玲、丽久、奶昔、苏打饼、卡塔库栗、光月御殿、锦卫门、阿菊、凯罗特，中选择一个获得。</t>
  </si>
  <si>
    <t>新春庆典神秘礼</t>
  </si>
  <si>
    <t>打开后有概率获得：彩钻*20、彩钻*25、彩钻*66、彩钻*88，极低概率获得彩钻*2025，若不打开礼包则可用来兑换更高级别礼包</t>
  </si>
  <si>
    <t>打开后可从以下2个时装中任意选择一个(罗杰（大海盗）,绿牛（飞行））</t>
  </si>
  <si>
    <t>打开后可从以下6个时装中任意选择一个(布玲（婚纱）,布玲（飞毯），绿牛（飞行），和之国罗宾（阿罗宾），和之国乔巴（乔巴卫门），罗杰（大海盗））</t>
  </si>
  <si>
    <t>王者同行任选箱</t>
  </si>
  <si>
    <t>可以从凯多和夏洛特·玲玲中任选一名</t>
  </si>
  <si>
    <t>经典时装任选箱</t>
  </si>
  <si>
    <t>打开后可从以下道具中任意选择一个(大和（面具）,杰克（猛犸形态），夏洛特·玲玲（睡衣），老时装任选箱*1）</t>
  </si>
  <si>
    <t>老时装任选箱</t>
  </si>
  <si>
    <t>打开后可从以下时装中任意选择一个(路飞（爆炸头）,沙·鳄鱼（玛丽弗德），佐罗（水之都），戈普（狗头帽），汉库珂（紫色旗袍），艾斯（阿拉巴斯坦），撒谎布（长链岛时装），奈美（结婚礼服），山智（空岛时装），巴奇（海军装），薇薇（公主装），鲁兹（船工装），奈美（泳装），罗宾（泳装），奈美（阿拉巴斯坦舞娘），罗宾（巴洛克工作社装），路飞（夏威夷））</t>
  </si>
  <si>
    <t>新春庆典惊喜礼</t>
  </si>
  <si>
    <t>打开后有概率获得：彩钻*188、彩钻*288、彩钻*588、彩钻*888、小概率获得彩钻*1588，极低概率获得彩钻*2025，若不打开礼包则可用来兑换更高级别礼包</t>
  </si>
  <si>
    <t>新春庆典豪华礼</t>
  </si>
  <si>
    <t>打开后可以在：彩钻*2025、时装任选箱*1、8级七彩宝石任选*1、2024SSR任选箱*1、四级阵法任选*1中任选一个获得</t>
  </si>
  <si>
    <t>打开后可从以下时装中任意选择一个(路飞-爆炸头、沙鳄鱼-玛丽弗德、佐罗-水之都、戈普-狗头帽、汉库珂-紫色旗袍、艾斯-阿拉巴斯坦、撒谎布-长链岛、奈美-结婚礼服、山智-空岛、巴奇-海军装、薇薇-公主装、鲁兹-船工装）</t>
  </si>
  <si>
    <t>2024SSR任选箱</t>
  </si>
  <si>
    <t>打开后可以从：和之国山智*50、和之国佐罗*50、和之国乔巴*50、和之国撒谎布*50、和之国奈美*50、和之国弗兰奇*50、和之国布鲁克*50、和之国甚平*50、黑色玛利亚*50、荞麦假面中任选一个获得</t>
  </si>
  <si>
    <t>卫士套装自选箱</t>
  </si>
  <si>
    <t>使用后可自行选择获得卫士套装中的一个部位</t>
  </si>
  <si>
    <t>UR豪礼自选箱</t>
  </si>
  <si>
    <t>打开后可从：龙人凯多碎片*80、UR招募券*6中任选一种奖励获得</t>
  </si>
  <si>
    <t>打开后可从以下3个时装中任意选择一个(绿牛（飞行），和之国布鲁克（骨吉），和之国乔巴（乔巴卫门））</t>
  </si>
  <si>
    <t>元宵节宝箱</t>
  </si>
  <si>
    <t>初级炼魂石</t>
  </si>
  <si>
    <t>含有特殊力量的矿石，可作为超级附魂洗练的材料</t>
  </si>
  <si>
    <t>中级炼魂石</t>
  </si>
  <si>
    <t>高级炼魂石</t>
  </si>
  <si>
    <t>元素淬魂石</t>
  </si>
  <si>
    <t>超级附魂洗练的特殊材料，使用后更容易出现元素类属性</t>
  </si>
  <si>
    <t>进攻淬魂石</t>
  </si>
  <si>
    <t>超级附魂洗练的特殊材料，使用后更容易出现进攻类属性</t>
  </si>
  <si>
    <t>生存淬魂石</t>
  </si>
  <si>
    <t>超级附魂洗练的特殊材料，使用后更容易出现生存类属性</t>
  </si>
  <si>
    <t>增益淬魂石</t>
  </si>
  <si>
    <t>超级附魂洗练的特殊材料，使用后更容易出现机制效果属性</t>
  </si>
  <si>
    <t>稀有淬魂石</t>
  </si>
  <si>
    <t>超级附魂洗练的特殊材料，使用后更容易出现速度等稀有属性</t>
  </si>
  <si>
    <t>擂台赛挑战券</t>
  </si>
  <si>
    <t>进入擂台赛需要持有的券，使用后增加擂台赛挑战次数。</t>
  </si>
  <si>
    <t>巨蜥的蛋</t>
  </si>
  <si>
    <t>情人节宝箱</t>
  </si>
  <si>
    <t>巨蜥所产下的蛋，相当珍贵，采集后用于交付任务。</t>
  </si>
  <si>
    <t>小石子</t>
  </si>
  <si>
    <t>田地里的小石子，采集后用于交付任务。</t>
  </si>
  <si>
    <t>木板碎片</t>
  </si>
  <si>
    <t>旧房子木板的碎片，采集后用于交付任务。</t>
  </si>
  <si>
    <t>漂流的木头</t>
  </si>
  <si>
    <t>漂流到海边的木头，采集后用于交付任务。</t>
  </si>
  <si>
    <t>情人节SSR任选箱</t>
  </si>
  <si>
    <t>九里海滩上的海螺，采集后用于交付任务。</t>
  </si>
  <si>
    <t>毒蘑菇</t>
  </si>
  <si>
    <t>情人节皮肤任选箱</t>
  </si>
  <si>
    <t>致命的毒蘑菇，采集后用于交付任务。</t>
  </si>
  <si>
    <t>假通缉令</t>
  </si>
  <si>
    <t>伪造的假通缉令，采集后用于交付任务。</t>
  </si>
  <si>
    <t>兜裆布</t>
  </si>
  <si>
    <t>王者套装任选箱</t>
  </si>
  <si>
    <t>相扑训练用的兜裆布，采集后用于交付任务。</t>
  </si>
  <si>
    <t>苹果</t>
  </si>
  <si>
    <t>散落的苹果，采集后用于交付任务。</t>
  </si>
  <si>
    <t>路上的石头</t>
  </si>
  <si>
    <t>散落在道路上的石头，采集后用于交付任务。</t>
  </si>
  <si>
    <t>熄火的灯笼</t>
  </si>
  <si>
    <t>已经熄火的灯笼，采集后用于交付任务。</t>
  </si>
  <si>
    <t>竹笼</t>
  </si>
  <si>
    <t>海边老人被抢的竹笼，用于交付任务。</t>
  </si>
  <si>
    <t>大铃铛</t>
  </si>
  <si>
    <t>采竹笋行家被抢的大铃铛，用于交付任务。</t>
  </si>
  <si>
    <t>巨大石磨</t>
  </si>
  <si>
    <t>捡漏镇镇民被抢的巨大石磨，用于交付任务。</t>
  </si>
  <si>
    <t>相扑刺绣围裙</t>
  </si>
  <si>
    <t>相扑手弟弟被抢的刺绣围裙，用于交付任务。</t>
  </si>
  <si>
    <t>账簿</t>
  </si>
  <si>
    <t>吴服店老板娘的账簿，用于交付任务。</t>
  </si>
  <si>
    <t>从平静之阵、勇者之阵、元素之阵、沉稳之阵、疾行之阵、治愈之阵、狂怒之阵中任选一个阵法图纸。</t>
  </si>
  <si>
    <t>60随机装备</t>
  </si>
  <si>
    <t>开启后随机获得1件60级装备。</t>
  </si>
  <si>
    <t>觉醒徽章礼盒（布玲）</t>
  </si>
  <si>
    <t>开启后可获得布玲觉醒徽章。</t>
  </si>
  <si>
    <t>称号：擂台霸主</t>
  </si>
  <si>
    <t>使用获得称号：擂台霸主</t>
  </si>
  <si>
    <t>可爱林檎</t>
  </si>
  <si>
    <t>胖虎的林檎，使用后可以学会技能“雷普”</t>
  </si>
  <si>
    <t>凯旋套装任选箱</t>
  </si>
  <si>
    <t>可以从凯旋套装4件装备中任选1件获得。</t>
  </si>
  <si>
    <t>称号：大师赛新星</t>
  </si>
  <si>
    <t>使用后获得称号：大师赛新星</t>
  </si>
  <si>
    <t>彼岸套装任选箱</t>
  </si>
  <si>
    <t>可以从彼岸套装4件装备中任选1件获得。</t>
  </si>
  <si>
    <t>海域补给</t>
  </si>
  <si>
    <t>活动道具，可在海域争锋中消耗进行出海</t>
  </si>
  <si>
    <t>使用后可开启月卡宝库，开启后可在30天内通过连续登录获得总计 彩钻*4700 蓝钻*1500 快速挑战券*300</t>
  </si>
  <si>
    <t>招募宝库钥匙</t>
  </si>
  <si>
    <t>使用后可开启招募宝库，开启后可在7天内通过连续登录获得总计 UR招募券*35 和之国草帽团角色的任选箱*1（和之国路飞，和之国罗宾，和之国山智，和之国佐罗，和之国撒谎布，和之国奈美，和之国甚平，和之国乔巴，和之国弗兰奇，和之国布鲁克）。</t>
  </si>
  <si>
    <t>使用后可开启金魂宝库，开启后可在15天内通过连续登录获得总计 470个黄金战魂。</t>
  </si>
  <si>
    <t>惊喜宝库钥匙</t>
  </si>
  <si>
    <t>使用后可开启惊喜宝库，开启后可在10天内通过连续登录获得总计 重铸符文石*10 黄金战魂*5 奥义经验卷轴*10 七彩原石*20 强者招募券*1 彩钻*88 初级炼魂石*10 战船洗练石*10 高级精炼石*10  庆典SSR任选箱*1  。</t>
  </si>
  <si>
    <t>七彩宝库钥匙</t>
  </si>
  <si>
    <t>使用后可开启七彩宝库，开启后可在7天内通过连续登录获得总计6个7级七彩宝石自选，1个8级七彩宝石自选和一个七彩炫光！</t>
  </si>
  <si>
    <t>感恩招募宝库钥匙</t>
  </si>
  <si>
    <t>使用后可开启感恩招募宝库，开启后可在7天内通过连续登录获得 15张强者招募券。</t>
  </si>
  <si>
    <t>感恩养成宝库钥匙</t>
  </si>
  <si>
    <t>使用后可开启感恩养成宝库，开启后可在7天内通过连续登录获得总计 重铸符文石*110、冲刺训练书*60。</t>
  </si>
  <si>
    <t>感恩惊喜宝库钥匙</t>
  </si>
  <si>
    <t>使用后可开启感恩惊喜宝库，开启后可在9天内通过连续登录获得总计 强者招募券*3、限时铸造券*3、七彩宝箱*3。</t>
  </si>
  <si>
    <t>用于合成11级七彩宝石</t>
  </si>
  <si>
    <t>技能书：霸海</t>
  </si>
  <si>
    <t>60级随机装备箱</t>
  </si>
  <si>
    <t>用于解锁龙人凯多和花魁阿玲的霸海进阶技能</t>
  </si>
  <si>
    <t>指挥部石料</t>
  </si>
  <si>
    <t>建设指挥部需要的材料</t>
  </si>
  <si>
    <t>港务局石料</t>
  </si>
  <si>
    <t>建设港务局需要的材料</t>
  </si>
  <si>
    <t>码头方木</t>
  </si>
  <si>
    <t>建设货运码头需要的材料</t>
  </si>
  <si>
    <t>灯塔石料</t>
  </si>
  <si>
    <t>建设灯塔需要的材料</t>
  </si>
  <si>
    <t>岸防炮铁料</t>
  </si>
  <si>
    <t>建设岸防炮需要的材料</t>
  </si>
  <si>
    <t>战斗策略图纸</t>
  </si>
  <si>
    <t>在港口防御中实施执行策略所需的图纸</t>
  </si>
  <si>
    <t>海战策略图纸</t>
  </si>
  <si>
    <t>在观测灯塔中实施海战策略所需的图纸</t>
  </si>
  <si>
    <t>称号：坚守·六周年</t>
  </si>
  <si>
    <t>使用后获得称号：坚守·六周年</t>
  </si>
  <si>
    <t>称号：吉星·六周年</t>
  </si>
  <si>
    <t>使用后获得称号：吉星·六周年</t>
  </si>
  <si>
    <t>称号：传奇·六周年</t>
  </si>
  <si>
    <t>使用后获得称号：传奇·六周年</t>
  </si>
  <si>
    <t>称号：不离不弃</t>
  </si>
  <si>
    <t>使用后获得称号：不离不弃</t>
  </si>
  <si>
    <t>称号：抽卡好手</t>
  </si>
  <si>
    <t>使用后获得称号：抽卡好手</t>
  </si>
  <si>
    <t>称号：鸿运当头</t>
  </si>
  <si>
    <t>使用后获得称号：鸿运当头</t>
  </si>
  <si>
    <t>称号：意志不熄</t>
  </si>
  <si>
    <t>使用后获得称号：意志不熄</t>
  </si>
  <si>
    <t>称号：壕气冲天</t>
  </si>
  <si>
    <t>使用后获得称号：壕气冲天</t>
  </si>
  <si>
    <t>称号：富贵之星</t>
  </si>
  <si>
    <t>使用后获得称号：富贵之星</t>
  </si>
  <si>
    <t>称号：盛装集者</t>
  </si>
  <si>
    <t>使用后获得称号：盛装集者</t>
  </si>
  <si>
    <t>称号：同行·六周年</t>
  </si>
  <si>
    <t>使用后获得称号：同行·六周年</t>
  </si>
  <si>
    <t>称号：荣耀新星</t>
  </si>
  <si>
    <t>使用后获得称号：荣耀新星</t>
  </si>
  <si>
    <t>称号：荣耀强者</t>
  </si>
  <si>
    <t>使用后获得称号：荣耀强者</t>
  </si>
  <si>
    <t>称号：荣耀大师</t>
  </si>
  <si>
    <t>使用后获得称号：荣耀大师</t>
  </si>
  <si>
    <t>称号：荣耀之王</t>
  </si>
  <si>
    <t>使用后获得称号：荣耀之王</t>
  </si>
  <si>
    <t>战船拆解自选物资</t>
  </si>
  <si>
    <t>使用后可以在“战斗策略图纸”和“海战策略图纸”中自选一种。</t>
  </si>
  <si>
    <t>惊喜转盘券</t>
  </si>
  <si>
    <t>用于在惊喜转盘活动中抽奖，建议在惊喜转盘活动开启期间购买</t>
  </si>
  <si>
    <t>精进硬币</t>
  </si>
  <si>
    <t>用于提升同心共斗中赛季增益等级</t>
  </si>
  <si>
    <t>称号：共斗之巅</t>
  </si>
  <si>
    <t>使用后获得称号：共斗之巅</t>
  </si>
  <si>
    <t>称号：共斗王者</t>
  </si>
  <si>
    <t>使用后获得称号：共斗王者</t>
  </si>
  <si>
    <t>称号：共斗大师</t>
  </si>
  <si>
    <t>使用后获得称号：共斗大师</t>
  </si>
  <si>
    <t>称号：共斗强者</t>
  </si>
  <si>
    <t>使用后获得称号：共斗强者</t>
  </si>
  <si>
    <t>称号：共斗新星</t>
  </si>
  <si>
    <t>使用后获得称号：共斗新星</t>
  </si>
  <si>
    <t>觉醒徽章礼盒（烬）</t>
  </si>
  <si>
    <t>开启可获得烬觉醒徽章</t>
  </si>
  <si>
    <t>觉醒徽章礼盒（青年雷利）</t>
  </si>
  <si>
    <t>开启可获得青年雷利觉醒徽章</t>
  </si>
  <si>
    <t>战船拆解自选材料</t>
  </si>
  <si>
    <t>使用后可以在“指挥部石料”、“港务局石料”、“码头方木”、“灯塔石料”、“岸防炮铁料”中自选一种。</t>
  </si>
  <si>
    <t>4级阵法任选箱</t>
  </si>
  <si>
    <t>从曙光之阵、防护之阵、冲击之阵、进击之阵、元素之阵、专注之阵、激进之阵、冥想之阵、急速之阵、争霸之阵、守护之阵、御敌之阵、勇者之阵中任选一个阵法图纸</t>
  </si>
  <si>
    <t>布玲觉醒之印</t>
  </si>
  <si>
    <t>让布玲从觉醒临时关闭的情况变为觉醒开启</t>
  </si>
  <si>
    <t>布玲封印之印</t>
  </si>
  <si>
    <t>让布玲从觉醒开启的情况变为临时觉醒关闭</t>
  </si>
  <si>
    <t>测试日期道具</t>
  </si>
  <si>
    <t>战船拆解材料包（小）</t>
  </si>
  <si>
    <t>打开后可获得：战船拆解自选物资包*20，战船拆解自选材料包*30</t>
  </si>
  <si>
    <t>战船拆解材料包（中）</t>
  </si>
  <si>
    <t>打开后可获得：战船拆解自选物资包*30，战船拆解自选材料包*50</t>
  </si>
  <si>
    <t>战船拆解材料包（大）</t>
  </si>
  <si>
    <t>打开后可获得：战船拆解自选物资包*50，战船拆解自选材料包*80</t>
  </si>
  <si>
    <t>罗杰·图录1</t>
  </si>
  <si>
    <t>使用后可以解锁【罗杰·图录1】</t>
  </si>
  <si>
    <t>和之国布鲁克·图录1</t>
  </si>
  <si>
    <t>使用后可以解锁【和之国布鲁克·图录1】</t>
  </si>
  <si>
    <t>和之国路飞·图录1</t>
  </si>
  <si>
    <t>使用后可以解锁【和之国路飞·图录1】</t>
  </si>
  <si>
    <t>花魁阿玲·图录1</t>
  </si>
  <si>
    <t>使用后可以解锁【花魁阿玲·图录1】</t>
  </si>
  <si>
    <t>和之国奈美·图录1</t>
  </si>
  <si>
    <t>使用后可以解锁【和之国奈美·图录1】</t>
  </si>
  <si>
    <t>和之国乔巴·图录1</t>
  </si>
  <si>
    <t>使用后可以解锁【和之国乔巴·图录1】</t>
  </si>
  <si>
    <t>和之国甚平·图录1</t>
  </si>
  <si>
    <t>使用后可以解锁【和之国甚平·图录1】</t>
  </si>
  <si>
    <t>和之国弗兰奇·图录1</t>
  </si>
  <si>
    <t>使用后可以解锁【和之国弗兰奇·图录1】</t>
  </si>
  <si>
    <t>黑色玛利亚·图录1</t>
  </si>
  <si>
    <t>使用后可以解锁【黑色玛利亚·图录1】</t>
  </si>
  <si>
    <t>和之国佐罗·图录1</t>
  </si>
  <si>
    <t>觉醒徽章礼盒（杰克）</t>
  </si>
  <si>
    <t>使用后可以解锁【和之国佐罗·图录1】</t>
  </si>
  <si>
    <t>祈愿任选箱</t>
  </si>
  <si>
    <t>使用后可以在“起源套装任选箱”和“限时铸造券*10”中自选一种。</t>
  </si>
  <si>
    <t>起源套装任选箱</t>
  </si>
  <si>
    <t>可以从起源套装4件装备中任选1件获得。</t>
  </si>
  <si>
    <t>称号：圣诞守护者</t>
  </si>
  <si>
    <t>使用后获得称号：圣诞守护者</t>
  </si>
  <si>
    <t>强者宝库钥匙</t>
  </si>
  <si>
    <t>使用后可开启强者宝库，开启后可在30天内通过连续登录获得总计 强者招募券*30</t>
  </si>
  <si>
    <t>打开后可从以下3个时装中任意选择一个(和之国山智（山五郎）,和之国撒谎布（撒谎八），润媞（肿头龙））</t>
  </si>
  <si>
    <t>航海令</t>
  </si>
  <si>
    <t>纵横天下玩法中使用，向据点宣战时消耗</t>
  </si>
  <si>
    <t>海事日志</t>
  </si>
  <si>
    <t>可在纵横天下玩法中升级个人海事等级</t>
  </si>
  <si>
    <t>海事手册</t>
  </si>
  <si>
    <t>可在纵横天下玩法中升级公会海事等级</t>
  </si>
  <si>
    <t>称号：万象更新</t>
  </si>
  <si>
    <t>使用后获得称号：万象更新</t>
  </si>
  <si>
    <t>称号：一元复始</t>
  </si>
  <si>
    <t>使用后获得称号：一元复始</t>
  </si>
  <si>
    <t>白星</t>
  </si>
  <si>
    <t>称号：春节之星</t>
  </si>
  <si>
    <t>使用后获得称号：春节之星</t>
  </si>
  <si>
    <t>称号：万事胜意</t>
  </si>
  <si>
    <t>使用后获得称号：万事胜意</t>
  </si>
  <si>
    <t>称号：难忘今宵</t>
  </si>
  <si>
    <t>使用后获得称号：难忘今宵</t>
  </si>
  <si>
    <t>称号：神州王者</t>
  </si>
  <si>
    <t>使用后获得称号：神州王者</t>
  </si>
  <si>
    <t>大口真神大和·图录1</t>
  </si>
  <si>
    <t>萨波·图录1</t>
  </si>
  <si>
    <t>黑胡子·图录1</t>
  </si>
  <si>
    <t>多弗拉门戈·图录1</t>
  </si>
  <si>
    <t>卡塔库栗·图录1</t>
  </si>
  <si>
    <t>重铸宝库钥匙</t>
  </si>
  <si>
    <t>称号：破阵摧坚</t>
  </si>
  <si>
    <t>称号：身经百战</t>
  </si>
  <si>
    <t>称号：力挽狂澜</t>
  </si>
  <si>
    <t>称号：万夫莫开</t>
  </si>
  <si>
    <t>称号：瀚海雄师</t>
  </si>
  <si>
    <t>白星之约</t>
  </si>
  <si>
    <t>称号：元宵大使</t>
  </si>
  <si>
    <t>称号：元宵之星</t>
  </si>
  <si>
    <t>称号：祥云瑞气</t>
  </si>
  <si>
    <t>春日风筝</t>
  </si>
  <si>
    <t>称号：春樱绮梦</t>
  </si>
  <si>
    <t>6级阵法任选箱</t>
  </si>
  <si>
    <t>称号：至高之人</t>
  </si>
  <si>
    <t>称号：海岛贵族</t>
  </si>
  <si>
    <t>称号：海岛领主</t>
  </si>
  <si>
    <t>称号：海岛传奇</t>
  </si>
  <si>
    <t>海岛礼盒</t>
  </si>
  <si>
    <t>称号：燕归万物苏</t>
  </si>
  <si>
    <t>称号：好运启程</t>
  </si>
  <si>
    <t>称号：水润成春</t>
  </si>
  <si>
    <t>称号：万木竞秀</t>
  </si>
  <si>
    <t>称号：寒木春华</t>
  </si>
  <si>
    <t>称号：燃意春醒</t>
  </si>
  <si>
    <t>称号：胜日寻芳</t>
  </si>
  <si>
    <t>家园币宝箱</t>
  </si>
  <si>
    <t>残忍套装任选箱</t>
  </si>
  <si>
    <t>落樱套装任选箱</t>
  </si>
  <si>
    <t>利刃套装任选箱</t>
  </si>
  <si>
    <t>大将军套装任选箱</t>
  </si>
  <si>
    <t>白星之礼</t>
  </si>
  <si>
    <t>统治者套装任选箱</t>
  </si>
  <si>
    <t>船团纪念徽章·金</t>
  </si>
  <si>
    <t>船团纪念徽章·银</t>
  </si>
</sst>
</file>

<file path=xl/styles.xml><?xml version="1.0" encoding="utf-8"?>
<styleSheet xmlns="http://schemas.openxmlformats.org/spreadsheetml/2006/main">
  <numFmts count="4">
    <numFmt numFmtId="44" formatCode="_ &quot;￥&quot;* #,##0.00_ ;_ &quot;￥&quot;* \-#,##0.00_ ;_ &quot;￥&quot;* &quot;-&quot;??_ ;_ @_ "/>
    <numFmt numFmtId="43" formatCode="_ * #,##0.00_ ;_ * \-#,##0.00_ ;_ * &quot;-&quot;??_ ;_ @_ "/>
    <numFmt numFmtId="41" formatCode="_ * #,##0_ ;_ * \-#,##0_ ;_ * &quot;-&quot;_ ;_ @_ "/>
    <numFmt numFmtId="42" formatCode="_ &quot;￥&quot;* #,##0_ ;_ &quot;￥&quot;* \-#,##0_ ;_ &quot;￥&quot;* &quot;-&quot;_ ;_ @_ "/>
  </numFmts>
  <fonts count="51">
    <font>
      <sz val="11"/>
      <color theme="1"/>
      <name val="宋体"/>
      <charset val="134"/>
      <scheme val="minor"/>
    </font>
    <font>
      <b/>
      <sz val="11"/>
      <color theme="1"/>
      <name val="宋体"/>
      <charset val="134"/>
      <scheme val="minor"/>
    </font>
    <font>
      <b/>
      <sz val="11"/>
      <name val="宋体"/>
      <charset val="134"/>
      <scheme val="minor"/>
    </font>
    <font>
      <sz val="11"/>
      <color rgb="FFFF0000"/>
      <name val="宋体"/>
      <charset val="134"/>
      <scheme val="minor"/>
    </font>
    <font>
      <b/>
      <sz val="11"/>
      <color rgb="FFFF0000"/>
      <name val="宋体"/>
      <charset val="134"/>
      <scheme val="minor"/>
    </font>
    <font>
      <sz val="11"/>
      <color indexed="8"/>
      <name val="宋体"/>
      <charset val="134"/>
    </font>
    <font>
      <b/>
      <sz val="11"/>
      <color indexed="8"/>
      <name val="宋体"/>
      <charset val="134"/>
    </font>
    <font>
      <sz val="11"/>
      <color theme="1"/>
      <name val="宋体"/>
      <charset val="134"/>
    </font>
    <font>
      <sz val="10"/>
      <color rgb="FF333333"/>
      <name val="宋体"/>
      <charset val="134"/>
    </font>
    <font>
      <sz val="11"/>
      <color theme="1"/>
      <name val="微软雅黑"/>
      <charset val="134"/>
    </font>
    <font>
      <b/>
      <sz val="11"/>
      <name val="宋体"/>
      <charset val="134"/>
    </font>
    <font>
      <sz val="10.5"/>
      <color rgb="FF171A1D"/>
      <name val="Segoe UI"/>
      <charset val="134"/>
    </font>
    <font>
      <sz val="10.5"/>
      <color rgb="FF171A1D"/>
      <name val="宋体"/>
      <charset val="134"/>
    </font>
    <font>
      <sz val="9.75"/>
      <color rgb="FF333333"/>
      <name val="Helvetica"/>
      <charset val="134"/>
    </font>
    <font>
      <sz val="11"/>
      <name val="宋体"/>
      <charset val="134"/>
    </font>
    <font>
      <sz val="11"/>
      <name val="宋体"/>
      <charset val="134"/>
      <scheme val="minor"/>
    </font>
    <font>
      <sz val="10.5"/>
      <color rgb="FF191F25"/>
      <name val="Segoe UI"/>
      <charset val="134"/>
    </font>
    <font>
      <sz val="10.5"/>
      <color rgb="FF191F25"/>
      <name val="宋体"/>
      <charset val="134"/>
    </font>
    <font>
      <sz val="10"/>
      <color theme="1"/>
      <name val="微软雅黑"/>
      <charset val="134"/>
    </font>
    <font>
      <sz val="10"/>
      <color rgb="FF182B50"/>
      <name val="微软雅黑"/>
      <charset val="134"/>
    </font>
    <font>
      <sz val="10"/>
      <color rgb="FF000000"/>
      <name val="微软雅黑"/>
      <charset val="134"/>
    </font>
    <font>
      <sz val="10"/>
      <color theme="1"/>
      <name val="宋体"/>
      <charset val="134"/>
      <scheme val="minor"/>
    </font>
    <font>
      <sz val="10"/>
      <color indexed="8"/>
      <name val="微软雅黑"/>
      <charset val="134"/>
    </font>
    <font>
      <sz val="10"/>
      <color rgb="FFC00000"/>
      <name val="微软雅黑"/>
      <charset val="134"/>
    </font>
    <font>
      <sz val="10"/>
      <color theme="0"/>
      <name val="微软雅黑"/>
      <charset val="134"/>
    </font>
    <font>
      <sz val="10"/>
      <name val="微软雅黑"/>
      <charset val="134"/>
    </font>
    <font>
      <sz val="10.5"/>
      <color rgb="FF182B50"/>
      <name val="Arial"/>
      <charset val="134"/>
    </font>
    <font>
      <sz val="10.95"/>
      <color rgb="FF000000"/>
      <name val="宋体"/>
      <charset val="134"/>
    </font>
    <font>
      <sz val="10"/>
      <color rgb="FFFF0000"/>
      <name val="微软雅黑"/>
      <charset val="134"/>
    </font>
    <font>
      <sz val="11"/>
      <color rgb="FF3F3F76"/>
      <name val="宋体"/>
      <charset val="0"/>
      <scheme val="minor"/>
    </font>
    <font>
      <sz val="11"/>
      <color theme="1"/>
      <name val="宋体"/>
      <charset val="0"/>
      <scheme val="minor"/>
    </font>
    <font>
      <sz val="11"/>
      <color theme="0"/>
      <name val="宋体"/>
      <charset val="0"/>
      <scheme val="minor"/>
    </font>
    <font>
      <sz val="11"/>
      <color rgb="FF9C0006"/>
      <name val="宋体"/>
      <charset val="0"/>
      <scheme val="minor"/>
    </font>
    <font>
      <b/>
      <sz val="15"/>
      <color theme="3"/>
      <name val="宋体"/>
      <charset val="134"/>
      <scheme val="minor"/>
    </font>
    <font>
      <i/>
      <sz val="11"/>
      <color rgb="FF7F7F7F"/>
      <name val="宋体"/>
      <charset val="0"/>
      <scheme val="minor"/>
    </font>
    <font>
      <u/>
      <sz val="11"/>
      <color rgb="FF0000FF"/>
      <name val="宋体"/>
      <charset val="0"/>
      <scheme val="minor"/>
    </font>
    <font>
      <b/>
      <sz val="11"/>
      <color rgb="FFFA7D00"/>
      <name val="宋体"/>
      <charset val="0"/>
      <scheme val="minor"/>
    </font>
    <font>
      <b/>
      <sz val="11"/>
      <color theme="3"/>
      <name val="宋体"/>
      <charset val="134"/>
      <scheme val="minor"/>
    </font>
    <font>
      <u/>
      <sz val="11"/>
      <color rgb="FF800080"/>
      <name val="宋体"/>
      <charset val="0"/>
      <scheme val="minor"/>
    </font>
    <font>
      <b/>
      <sz val="13"/>
      <color theme="3"/>
      <name val="宋体"/>
      <charset val="134"/>
      <scheme val="minor"/>
    </font>
    <font>
      <sz val="11"/>
      <color rgb="FFFF0000"/>
      <name val="宋体"/>
      <charset val="0"/>
      <scheme val="minor"/>
    </font>
    <font>
      <b/>
      <sz val="11"/>
      <color rgb="FFFFFFFF"/>
      <name val="宋体"/>
      <charset val="0"/>
      <scheme val="minor"/>
    </font>
    <font>
      <b/>
      <sz val="11"/>
      <color rgb="FF3F3F3F"/>
      <name val="宋体"/>
      <charset val="0"/>
      <scheme val="minor"/>
    </font>
    <font>
      <b/>
      <sz val="18"/>
      <color theme="3"/>
      <name val="宋体"/>
      <charset val="134"/>
      <scheme val="minor"/>
    </font>
    <font>
      <sz val="11"/>
      <color rgb="FF006100"/>
      <name val="宋体"/>
      <charset val="0"/>
      <scheme val="minor"/>
    </font>
    <font>
      <sz val="11"/>
      <color rgb="FFFA7D00"/>
      <name val="宋体"/>
      <charset val="0"/>
      <scheme val="minor"/>
    </font>
    <font>
      <sz val="11"/>
      <color rgb="FF9C6500"/>
      <name val="宋体"/>
      <charset val="0"/>
      <scheme val="minor"/>
    </font>
    <font>
      <b/>
      <sz val="11"/>
      <color theme="1"/>
      <name val="宋体"/>
      <charset val="0"/>
      <scheme val="minor"/>
    </font>
    <font>
      <sz val="8"/>
      <name val="宋体"/>
      <charset val="134"/>
    </font>
    <font>
      <b/>
      <sz val="9"/>
      <name val="宋体"/>
      <charset val="134"/>
    </font>
    <font>
      <sz val="9"/>
      <name val="宋体"/>
      <charset val="134"/>
    </font>
  </fonts>
  <fills count="77">
    <fill>
      <patternFill patternType="none"/>
    </fill>
    <fill>
      <patternFill patternType="gray125"/>
    </fill>
    <fill>
      <patternFill patternType="solid">
        <fgColor rgb="FFE1A0E8"/>
        <bgColor indexed="64"/>
      </patternFill>
    </fill>
    <fill>
      <patternFill patternType="solid">
        <fgColor theme="9" tint="0.599993896298105"/>
        <bgColor indexed="64"/>
      </patternFill>
    </fill>
    <fill>
      <patternFill patternType="solid">
        <fgColor rgb="FFFF0000"/>
        <bgColor indexed="64"/>
      </patternFill>
    </fill>
    <fill>
      <patternFill patternType="solid">
        <fgColor rgb="FFCAFBBD"/>
        <bgColor indexed="64"/>
      </patternFill>
    </fill>
    <fill>
      <patternFill patternType="solid">
        <fgColor rgb="FFFFFF00"/>
        <bgColor indexed="64"/>
      </patternFill>
    </fill>
    <fill>
      <patternFill patternType="solid">
        <fgColor theme="9" tint="0.799432355723746"/>
        <bgColor indexed="64"/>
      </patternFill>
    </fill>
    <fill>
      <patternFill patternType="solid">
        <fgColor rgb="FFFFC000"/>
        <bgColor indexed="64"/>
      </patternFill>
    </fill>
    <fill>
      <patternFill patternType="solid">
        <fgColor theme="4" tint="0.799340800195319"/>
        <bgColor indexed="64"/>
      </patternFill>
    </fill>
    <fill>
      <patternFill patternType="solid">
        <fgColor theme="6" tint="0.599993896298105"/>
        <bgColor indexed="64"/>
      </patternFill>
    </fill>
    <fill>
      <patternFill patternType="solid">
        <fgColor theme="9"/>
        <bgColor indexed="64"/>
      </patternFill>
    </fill>
    <fill>
      <patternFill patternType="solid">
        <fgColor theme="9" tint="0.799340800195319"/>
        <bgColor indexed="64"/>
      </patternFill>
    </fill>
    <fill>
      <patternFill patternType="solid">
        <fgColor theme="0" tint="-0.5"/>
        <bgColor indexed="64"/>
      </patternFill>
    </fill>
    <fill>
      <patternFill patternType="solid">
        <fgColor rgb="FF92D050"/>
        <bgColor indexed="64"/>
      </patternFill>
    </fill>
    <fill>
      <patternFill patternType="solid">
        <fgColor theme="9" tint="0.4"/>
        <bgColor indexed="64"/>
      </patternFill>
    </fill>
    <fill>
      <patternFill patternType="solid">
        <fgColor theme="9" tint="0.8"/>
        <bgColor indexed="64"/>
      </patternFill>
    </fill>
    <fill>
      <patternFill patternType="solid">
        <fgColor theme="8" tint="0.4"/>
        <bgColor indexed="64"/>
      </patternFill>
    </fill>
    <fill>
      <patternFill patternType="solid">
        <fgColor theme="7" tint="0.4"/>
        <bgColor indexed="64"/>
      </patternFill>
    </fill>
    <fill>
      <patternFill patternType="solid">
        <fgColor rgb="FF00B0F0"/>
        <bgColor indexed="64"/>
      </patternFill>
    </fill>
    <fill>
      <patternFill patternType="solid">
        <fgColor rgb="FFF3FD95"/>
        <bgColor indexed="64"/>
      </patternFill>
    </fill>
    <fill>
      <patternFill patternType="solid">
        <fgColor theme="7" tint="0.8"/>
        <bgColor indexed="64"/>
      </patternFill>
    </fill>
    <fill>
      <patternFill patternType="solid">
        <fgColor rgb="FF93C9FB"/>
        <bgColor indexed="64"/>
      </patternFill>
    </fill>
    <fill>
      <patternFill patternType="solid">
        <fgColor theme="5" tint="0.398480178228095"/>
        <bgColor indexed="64"/>
      </patternFill>
    </fill>
    <fill>
      <patternFill patternType="solid">
        <fgColor theme="5" tint="0.599993896298105"/>
        <bgColor indexed="64"/>
      </patternFill>
    </fill>
    <fill>
      <patternFill patternType="solid">
        <fgColor theme="7" tint="0.398632770775475"/>
        <bgColor indexed="64"/>
      </patternFill>
    </fill>
    <fill>
      <patternFill patternType="solid">
        <fgColor rgb="FFA4B0FB"/>
        <bgColor indexed="64"/>
      </patternFill>
    </fill>
    <fill>
      <patternFill patternType="solid">
        <fgColor theme="3" tint="0.599993896298105"/>
        <bgColor indexed="64"/>
      </patternFill>
    </fill>
    <fill>
      <patternFill patternType="solid">
        <fgColor rgb="FFFCAAEA"/>
        <bgColor indexed="64"/>
      </patternFill>
    </fill>
    <fill>
      <patternFill patternType="solid">
        <fgColor theme="3" tint="0.398449659718619"/>
        <bgColor indexed="64"/>
      </patternFill>
    </fill>
    <fill>
      <patternFill patternType="solid">
        <fgColor theme="6" tint="0.398449659718619"/>
        <bgColor indexed="64"/>
      </patternFill>
    </fill>
    <fill>
      <patternFill patternType="solid">
        <fgColor theme="9" tint="0.398449659718619"/>
        <bgColor indexed="64"/>
      </patternFill>
    </fill>
    <fill>
      <patternFill patternType="solid">
        <fgColor theme="0" tint="-0.148503067110202"/>
        <bgColor indexed="64"/>
      </patternFill>
    </fill>
    <fill>
      <patternFill patternType="solid">
        <fgColor theme="8" tint="0.6"/>
        <bgColor indexed="64"/>
      </patternFill>
    </fill>
    <fill>
      <patternFill patternType="solid">
        <fgColor theme="7" tint="0.599993896298105"/>
        <bgColor indexed="64"/>
      </patternFill>
    </fill>
    <fill>
      <patternFill patternType="solid">
        <fgColor theme="6" tint="0.8"/>
        <bgColor indexed="64"/>
      </patternFill>
    </fill>
    <fill>
      <patternFill patternType="solid">
        <fgColor rgb="FFFFFFFF"/>
        <bgColor indexed="64"/>
      </patternFill>
    </fill>
    <fill>
      <patternFill patternType="solid">
        <fgColor rgb="FFE16734"/>
        <bgColor indexed="64"/>
      </patternFill>
    </fill>
    <fill>
      <patternFill patternType="solid">
        <fgColor theme="3" tint="0.8"/>
        <bgColor indexed="64"/>
      </patternFill>
    </fill>
    <fill>
      <patternFill patternType="solid">
        <fgColor theme="5" tint="0.8"/>
        <bgColor indexed="64"/>
      </patternFill>
    </fill>
    <fill>
      <patternFill patternType="solid">
        <fgColor theme="1" tint="0.25"/>
        <bgColor indexed="64"/>
      </patternFill>
    </fill>
    <fill>
      <patternFill patternType="solid">
        <fgColor theme="4" tint="0.8"/>
        <bgColor indexed="64"/>
      </patternFill>
    </fill>
    <fill>
      <patternFill patternType="solid">
        <fgColor theme="4" tint="0.6"/>
        <bgColor indexed="64"/>
      </patternFill>
    </fill>
    <fill>
      <patternFill patternType="solid">
        <fgColor theme="5" tint="0.4"/>
        <bgColor indexed="64"/>
      </patternFill>
    </fill>
    <fill>
      <patternFill patternType="solid">
        <fgColor theme="6" tint="0.4"/>
        <bgColor indexed="64"/>
      </patternFill>
    </fill>
    <fill>
      <patternFill patternType="solid">
        <fgColor theme="0" tint="-0.149998474074526"/>
        <bgColor indexed="64"/>
      </patternFill>
    </fill>
    <fill>
      <patternFill patternType="solid">
        <fgColor theme="0"/>
        <bgColor indexed="64"/>
      </patternFill>
    </fill>
    <fill>
      <patternFill patternType="solid">
        <fgColor theme="4"/>
        <bgColor indexed="64"/>
      </patternFill>
    </fill>
    <fill>
      <patternFill patternType="solid">
        <fgColor rgb="FFFFD966"/>
        <bgColor indexed="64"/>
      </patternFill>
    </fill>
    <fill>
      <patternFill patternType="solid">
        <fgColor rgb="FF5B9BD5"/>
        <bgColor indexed="64"/>
      </patternFill>
    </fill>
    <fill>
      <patternFill patternType="solid">
        <fgColor theme="7" tint="0.399975585192419"/>
        <bgColor indexed="64"/>
      </patternFill>
    </fill>
    <fill>
      <patternFill patternType="solid">
        <fgColor theme="5"/>
        <bgColor indexed="64"/>
      </patternFill>
    </fill>
    <fill>
      <patternFill patternType="solid">
        <fgColor theme="4" tint="0.4"/>
        <bgColor indexed="64"/>
      </patternFill>
    </fill>
    <fill>
      <patternFill patternType="solid">
        <fgColor theme="7" tint="0.6"/>
        <bgColor indexed="64"/>
      </patternFill>
    </fill>
    <fill>
      <patternFill patternType="solid">
        <fgColor rgb="FFFFCC99"/>
        <bgColor indexed="64"/>
      </patternFill>
    </fill>
    <fill>
      <patternFill patternType="solid">
        <fgColor rgb="FFFFC7CE"/>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rgb="FFF2F2F2"/>
        <bgColor indexed="64"/>
      </patternFill>
    </fill>
    <fill>
      <patternFill patternType="solid">
        <fgColor rgb="FFFFFFCC"/>
        <bgColor indexed="64"/>
      </patternFill>
    </fill>
    <fill>
      <patternFill patternType="solid">
        <fgColor theme="7"/>
        <bgColor indexed="64"/>
      </patternFill>
    </fill>
    <fill>
      <patternFill patternType="solid">
        <fgColor theme="5" tint="0.399975585192419"/>
        <bgColor indexed="64"/>
      </patternFill>
    </fill>
    <fill>
      <patternFill patternType="solid">
        <fgColor rgb="FFA5A5A5"/>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rgb="FFC6EFCE"/>
        <bgColor indexed="64"/>
      </patternFill>
    </fill>
    <fill>
      <patternFill patternType="solid">
        <fgColor theme="6"/>
        <bgColor indexed="64"/>
      </patternFill>
    </fill>
    <fill>
      <patternFill patternType="solid">
        <fgColor rgb="FFFFEB9C"/>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bgColor indexed="64"/>
      </patternFill>
    </fill>
    <fill>
      <patternFill patternType="solid">
        <fgColor theme="7" tint="0.799981688894314"/>
        <bgColor indexed="64"/>
      </patternFill>
    </fill>
    <fill>
      <patternFill patternType="solid">
        <fgColor theme="8" tint="0.399975585192419"/>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medium">
        <color auto="1"/>
      </top>
      <bottom/>
      <diagonal/>
    </border>
    <border>
      <left/>
      <right/>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dashed">
        <color auto="1"/>
      </left>
      <right style="dashed">
        <color auto="1"/>
      </right>
      <top style="dashed">
        <color auto="1"/>
      </top>
      <bottom style="dashed">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2" fontId="0" fillId="0" borderId="0">
      <alignment vertical="center"/>
    </xf>
    <xf numFmtId="0" fontId="30" fillId="57" borderId="0">
      <alignment vertical="center"/>
    </xf>
    <xf numFmtId="0" fontId="29" fillId="54" borderId="12">
      <alignment vertical="center"/>
    </xf>
    <xf numFmtId="44" fontId="0" fillId="0" borderId="0">
      <alignment vertical="center"/>
    </xf>
    <xf numFmtId="41" fontId="0" fillId="0" borderId="0">
      <alignment vertical="center"/>
    </xf>
    <xf numFmtId="0" fontId="30" fillId="10" borderId="0">
      <alignment vertical="center"/>
    </xf>
    <xf numFmtId="0" fontId="32" fillId="55" borderId="0">
      <alignment vertical="center"/>
    </xf>
    <xf numFmtId="43" fontId="0" fillId="0" borderId="0">
      <alignment vertical="center"/>
    </xf>
    <xf numFmtId="0" fontId="31" fillId="56" borderId="0">
      <alignment vertical="center"/>
    </xf>
    <xf numFmtId="0" fontId="35" fillId="0" borderId="0">
      <alignment vertical="center"/>
    </xf>
    <xf numFmtId="9" fontId="0" fillId="0" borderId="0">
      <alignment vertical="center"/>
    </xf>
    <xf numFmtId="0" fontId="38" fillId="0" borderId="0">
      <alignment vertical="center"/>
    </xf>
    <xf numFmtId="0" fontId="0" fillId="59" borderId="15">
      <alignment vertical="center"/>
    </xf>
    <xf numFmtId="0" fontId="31" fillId="61" borderId="0">
      <alignment vertical="center"/>
    </xf>
    <xf numFmtId="0" fontId="37" fillId="0" borderId="0">
      <alignment vertical="center"/>
    </xf>
    <xf numFmtId="0" fontId="40" fillId="0" borderId="0">
      <alignment vertical="center"/>
    </xf>
    <xf numFmtId="0" fontId="43" fillId="0" borderId="0">
      <alignment vertical="center"/>
    </xf>
    <xf numFmtId="0" fontId="34" fillId="0" borderId="0">
      <alignment vertical="center"/>
    </xf>
    <xf numFmtId="0" fontId="33" fillId="0" borderId="13">
      <alignment vertical="center"/>
    </xf>
    <xf numFmtId="0" fontId="39" fillId="0" borderId="13">
      <alignment vertical="center"/>
    </xf>
    <xf numFmtId="0" fontId="31" fillId="65" borderId="0">
      <alignment vertical="center"/>
    </xf>
    <xf numFmtId="0" fontId="37" fillId="0" borderId="14">
      <alignment vertical="center"/>
    </xf>
    <xf numFmtId="0" fontId="31" fillId="50" borderId="0">
      <alignment vertical="center"/>
    </xf>
    <xf numFmtId="0" fontId="42" fillId="58" borderId="17">
      <alignment vertical="center"/>
    </xf>
    <xf numFmtId="0" fontId="36" fillId="58" borderId="12">
      <alignment vertical="center"/>
    </xf>
    <xf numFmtId="0" fontId="41" fillId="62" borderId="16">
      <alignment vertical="center"/>
    </xf>
    <xf numFmtId="0" fontId="30" fillId="66" borderId="0">
      <alignment vertical="center"/>
    </xf>
    <xf numFmtId="0" fontId="31" fillId="51" borderId="0">
      <alignment vertical="center"/>
    </xf>
    <xf numFmtId="0" fontId="45" fillId="0" borderId="18">
      <alignment vertical="center"/>
    </xf>
    <xf numFmtId="0" fontId="47" fillId="0" borderId="19">
      <alignment vertical="center"/>
    </xf>
    <xf numFmtId="0" fontId="44" fillId="67" borderId="0">
      <alignment vertical="center"/>
    </xf>
    <xf numFmtId="0" fontId="46" fillId="69" borderId="0">
      <alignment vertical="center"/>
    </xf>
    <xf numFmtId="0" fontId="30" fillId="71" borderId="0">
      <alignment vertical="center"/>
    </xf>
    <xf numFmtId="0" fontId="31" fillId="47" borderId="0">
      <alignment vertical="center"/>
    </xf>
    <xf numFmtId="0" fontId="30" fillId="70" borderId="0">
      <alignment vertical="center"/>
    </xf>
    <xf numFmtId="0" fontId="30" fillId="64" borderId="0">
      <alignment vertical="center"/>
    </xf>
    <xf numFmtId="0" fontId="30" fillId="63" borderId="0">
      <alignment vertical="center"/>
    </xf>
    <xf numFmtId="0" fontId="30" fillId="24" borderId="0">
      <alignment vertical="center"/>
    </xf>
    <xf numFmtId="0" fontId="31" fillId="68" borderId="0">
      <alignment vertical="center"/>
    </xf>
    <xf numFmtId="0" fontId="31" fillId="60" borderId="0">
      <alignment vertical="center"/>
    </xf>
    <xf numFmtId="0" fontId="30" fillId="74" borderId="0">
      <alignment vertical="center"/>
    </xf>
    <xf numFmtId="0" fontId="30" fillId="34" borderId="0">
      <alignment vertical="center"/>
    </xf>
    <xf numFmtId="0" fontId="31" fillId="73" borderId="0">
      <alignment vertical="center"/>
    </xf>
    <xf numFmtId="0" fontId="30" fillId="72" borderId="0">
      <alignment vertical="center"/>
    </xf>
    <xf numFmtId="0" fontId="31" fillId="75" borderId="0">
      <alignment vertical="center"/>
    </xf>
    <xf numFmtId="0" fontId="31" fillId="11" borderId="0">
      <alignment vertical="center"/>
    </xf>
    <xf numFmtId="0" fontId="30" fillId="3" borderId="0">
      <alignment vertical="center"/>
    </xf>
    <xf numFmtId="0" fontId="31" fillId="76" borderId="0">
      <alignment vertical="center"/>
    </xf>
    <xf numFmtId="0" fontId="0" fillId="0" borderId="0"/>
    <xf numFmtId="0" fontId="0" fillId="0" borderId="0">
      <alignment vertical="center"/>
    </xf>
    <xf numFmtId="0" fontId="5" fillId="0" borderId="0">
      <alignment vertical="center"/>
    </xf>
  </cellStyleXfs>
  <cellXfs count="192">
    <xf numFmtId="0" fontId="0" fillId="0" borderId="0" xfId="0" applyAlignment="1" applyProtection="1">
      <alignment vertical="center"/>
    </xf>
    <xf numFmtId="0" fontId="1" fillId="0" borderId="0" xfId="0" applyFont="1" applyAlignment="1" applyProtection="1">
      <alignment vertical="center"/>
    </xf>
    <xf numFmtId="0" fontId="0" fillId="2" borderId="0" xfId="0" applyFill="1" applyAlignment="1" applyProtection="1">
      <alignment vertical="center"/>
    </xf>
    <xf numFmtId="0" fontId="0" fillId="3" borderId="0" xfId="0" applyFill="1" applyAlignment="1" applyProtection="1">
      <alignment vertical="center"/>
    </xf>
    <xf numFmtId="0" fontId="0" fillId="4" borderId="0" xfId="0" applyFill="1" applyAlignment="1" applyProtection="1">
      <alignment vertical="center"/>
    </xf>
    <xf numFmtId="0" fontId="0" fillId="5" borderId="0" xfId="0" applyFill="1" applyAlignment="1" applyProtection="1">
      <alignment vertical="center"/>
    </xf>
    <xf numFmtId="0" fontId="0" fillId="6" borderId="0" xfId="0" applyFill="1" applyAlignment="1" applyProtection="1">
      <alignment vertical="center"/>
    </xf>
    <xf numFmtId="0" fontId="0" fillId="7" borderId="0" xfId="0" applyFill="1" applyAlignment="1" applyProtection="1">
      <alignment vertical="center"/>
    </xf>
    <xf numFmtId="0" fontId="0" fillId="8" borderId="0" xfId="0" applyFill="1" applyAlignment="1" applyProtection="1">
      <alignment vertical="center"/>
    </xf>
    <xf numFmtId="0" fontId="0" fillId="9" borderId="0" xfId="0" applyFill="1" applyAlignment="1" applyProtection="1">
      <alignment vertical="center"/>
    </xf>
    <xf numFmtId="0" fontId="0" fillId="10" borderId="0" xfId="0" applyFill="1" applyAlignment="1" applyProtection="1">
      <alignment vertical="center"/>
    </xf>
    <xf numFmtId="0" fontId="0" fillId="11" borderId="0" xfId="0" applyFill="1" applyAlignment="1" applyProtection="1">
      <alignment vertical="center"/>
    </xf>
    <xf numFmtId="0" fontId="0" fillId="12" borderId="0" xfId="0" applyFill="1" applyAlignment="1" applyProtection="1">
      <alignment vertical="center"/>
    </xf>
    <xf numFmtId="0" fontId="2" fillId="6" borderId="0" xfId="0" applyFont="1" applyFill="1" applyAlignment="1" applyProtection="1">
      <alignment vertical="center"/>
    </xf>
    <xf numFmtId="0" fontId="0" fillId="13" borderId="0" xfId="0" applyFill="1" applyAlignment="1" applyProtection="1">
      <alignment vertical="center"/>
    </xf>
    <xf numFmtId="0" fontId="0" fillId="14" borderId="0" xfId="0" applyFill="1" applyAlignment="1" applyProtection="1">
      <alignment vertical="center"/>
    </xf>
    <xf numFmtId="0" fontId="3" fillId="0" borderId="0" xfId="0" applyFont="1" applyAlignment="1" applyProtection="1">
      <alignment vertical="center"/>
    </xf>
    <xf numFmtId="0" fontId="4" fillId="0" borderId="0" xfId="0" applyFont="1" applyAlignment="1" applyProtection="1">
      <alignment vertical="center"/>
    </xf>
    <xf numFmtId="0" fontId="0" fillId="15" borderId="0" xfId="0" applyFill="1" applyAlignment="1" applyProtection="1">
      <alignment vertical="center"/>
    </xf>
    <xf numFmtId="0" fontId="0" fillId="16" borderId="0" xfId="0" applyFill="1" applyAlignment="1" applyProtection="1">
      <alignment vertical="center"/>
    </xf>
    <xf numFmtId="0" fontId="0" fillId="17" borderId="0" xfId="0" applyFill="1" applyAlignment="1" applyProtection="1">
      <alignment vertical="center"/>
    </xf>
    <xf numFmtId="0" fontId="0" fillId="18" borderId="0" xfId="0" applyFill="1" applyAlignment="1" applyProtection="1">
      <alignment vertical="center"/>
    </xf>
    <xf numFmtId="0" fontId="0" fillId="19" borderId="0" xfId="0" applyFill="1" applyAlignment="1" applyProtection="1">
      <alignment vertical="center"/>
    </xf>
    <xf numFmtId="0" fontId="0" fillId="20" borderId="0" xfId="0" applyFill="1" applyAlignment="1" applyProtection="1">
      <alignment vertical="center"/>
    </xf>
    <xf numFmtId="0" fontId="0" fillId="21" borderId="0" xfId="0" applyFill="1" applyAlignment="1" applyProtection="1">
      <alignment vertical="center"/>
    </xf>
    <xf numFmtId="0" fontId="5" fillId="0" borderId="0" xfId="51" applyFont="1" applyAlignment="1" applyProtection="1"/>
    <xf numFmtId="0" fontId="6" fillId="0" borderId="0" xfId="51" applyFont="1" applyAlignment="1" applyProtection="1"/>
    <xf numFmtId="0" fontId="5" fillId="0" borderId="0" xfId="51" applyFont="1" applyAlignment="1" applyProtection="1">
      <alignment vertical="center"/>
    </xf>
    <xf numFmtId="0" fontId="5" fillId="2" borderId="0" xfId="51" applyFont="1" applyFill="1" applyAlignment="1" applyProtection="1"/>
    <xf numFmtId="0" fontId="5" fillId="3" borderId="0" xfId="51" applyFont="1" applyFill="1" applyAlignment="1" applyProtection="1"/>
    <xf numFmtId="0" fontId="0" fillId="0" borderId="0" xfId="0" applyAlignment="1" applyProtection="1"/>
    <xf numFmtId="0" fontId="5" fillId="4" borderId="0" xfId="51" applyFont="1" applyFill="1" applyAlignment="1" applyProtection="1"/>
    <xf numFmtId="0" fontId="5" fillId="4" borderId="0" xfId="51" applyFont="1" applyFill="1" applyAlignment="1" applyProtection="1">
      <alignment vertical="center"/>
    </xf>
    <xf numFmtId="0" fontId="5" fillId="5" borderId="0" xfId="51" applyFont="1" applyFill="1" applyAlignment="1" applyProtection="1"/>
    <xf numFmtId="0" fontId="7" fillId="0" borderId="0" xfId="0" applyFont="1" applyAlignment="1" applyProtection="1">
      <alignment vertical="center"/>
    </xf>
    <xf numFmtId="0" fontId="5" fillId="6" borderId="0" xfId="51" applyFont="1" applyFill="1" applyAlignment="1" applyProtection="1"/>
    <xf numFmtId="49" fontId="5" fillId="0" borderId="0" xfId="51" applyNumberFormat="1" applyFont="1" applyAlignment="1" applyProtection="1"/>
    <xf numFmtId="0" fontId="8" fillId="0" borderId="0" xfId="0" applyFont="1" applyAlignment="1" applyProtection="1">
      <alignment vertical="center"/>
    </xf>
    <xf numFmtId="0" fontId="5" fillId="7" borderId="0" xfId="51" applyFont="1" applyFill="1" applyAlignment="1" applyProtection="1"/>
    <xf numFmtId="49" fontId="5" fillId="7" borderId="0" xfId="51" applyNumberFormat="1" applyFont="1" applyFill="1" applyAlignment="1" applyProtection="1"/>
    <xf numFmtId="0" fontId="5" fillId="7" borderId="0" xfId="51" applyFont="1" applyFill="1" applyAlignment="1" applyProtection="1">
      <alignment vertical="center"/>
    </xf>
    <xf numFmtId="0" fontId="5" fillId="8" borderId="0" xfId="51" applyFont="1" applyFill="1" applyAlignment="1" applyProtection="1"/>
    <xf numFmtId="49" fontId="5" fillId="8" borderId="0" xfId="51" applyNumberFormat="1" applyFont="1" applyFill="1" applyAlignment="1" applyProtection="1"/>
    <xf numFmtId="0" fontId="5" fillId="8" borderId="0" xfId="51" applyFont="1" applyFill="1" applyAlignment="1" applyProtection="1">
      <alignment vertical="center"/>
    </xf>
    <xf numFmtId="49" fontId="5" fillId="6" borderId="0" xfId="51" applyNumberFormat="1" applyFont="1" applyFill="1" applyAlignment="1" applyProtection="1"/>
    <xf numFmtId="0" fontId="5" fillId="6" borderId="0" xfId="51" applyFont="1" applyFill="1" applyAlignment="1" applyProtection="1">
      <alignment vertical="center"/>
    </xf>
    <xf numFmtId="0" fontId="0" fillId="22" borderId="0" xfId="0" applyFill="1" applyAlignment="1" applyProtection="1">
      <alignment vertical="center"/>
    </xf>
    <xf numFmtId="0" fontId="5" fillId="9" borderId="0" xfId="51" applyFont="1" applyFill="1" applyAlignment="1" applyProtection="1"/>
    <xf numFmtId="0" fontId="0" fillId="9" borderId="0" xfId="0" applyFill="1" applyAlignment="1" applyProtection="1"/>
    <xf numFmtId="0" fontId="0" fillId="8" borderId="0" xfId="0" applyFill="1" applyAlignment="1" applyProtection="1"/>
    <xf numFmtId="0" fontId="0" fillId="23" borderId="0" xfId="0" applyFill="1" applyAlignment="1" applyProtection="1">
      <alignment vertical="center"/>
    </xf>
    <xf numFmtId="0" fontId="0" fillId="24" borderId="0" xfId="0" applyFill="1" applyAlignment="1" applyProtection="1">
      <alignment vertical="center"/>
    </xf>
    <xf numFmtId="0" fontId="5" fillId="10" borderId="0" xfId="51" applyFont="1" applyFill="1" applyAlignment="1" applyProtection="1"/>
    <xf numFmtId="0" fontId="5" fillId="25" borderId="0" xfId="51" applyFont="1" applyFill="1" applyAlignment="1" applyProtection="1"/>
    <xf numFmtId="0" fontId="5" fillId="26" borderId="0" xfId="51" applyFont="1" applyFill="1" applyAlignment="1" applyProtection="1"/>
    <xf numFmtId="0" fontId="9" fillId="0" borderId="0" xfId="0" applyFont="1" applyAlignment="1" applyProtection="1"/>
    <xf numFmtId="0" fontId="5" fillId="11" borderId="0" xfId="51" applyFont="1" applyFill="1" applyAlignment="1" applyProtection="1"/>
    <xf numFmtId="0" fontId="5" fillId="11" borderId="0" xfId="51" applyFont="1" applyFill="1" applyAlignment="1" applyProtection="1">
      <alignment vertical="center"/>
    </xf>
    <xf numFmtId="0" fontId="5" fillId="12" borderId="0" xfId="51" applyFont="1" applyFill="1" applyAlignment="1" applyProtection="1"/>
    <xf numFmtId="0" fontId="10" fillId="6" borderId="0" xfId="51" applyFont="1" applyFill="1" applyAlignment="1" applyProtection="1"/>
    <xf numFmtId="0" fontId="10" fillId="6" borderId="0" xfId="51" applyFont="1" applyFill="1" applyAlignment="1" applyProtection="1">
      <alignment vertical="center"/>
    </xf>
    <xf numFmtId="0" fontId="0" fillId="27" borderId="0" xfId="0" applyFill="1" applyAlignment="1" applyProtection="1">
      <alignment vertical="center"/>
    </xf>
    <xf numFmtId="0" fontId="0" fillId="28" borderId="0" xfId="0" applyFill="1" applyAlignment="1" applyProtection="1">
      <alignment vertical="center"/>
    </xf>
    <xf numFmtId="0" fontId="0" fillId="29" borderId="0" xfId="0" applyFill="1" applyAlignment="1" applyProtection="1">
      <alignment vertical="center"/>
    </xf>
    <xf numFmtId="0" fontId="0" fillId="30" borderId="0" xfId="0" applyFill="1" applyAlignment="1" applyProtection="1">
      <alignment vertical="center"/>
    </xf>
    <xf numFmtId="0" fontId="0" fillId="31" borderId="0" xfId="0" applyFill="1" applyAlignment="1" applyProtection="1">
      <alignment vertical="center"/>
    </xf>
    <xf numFmtId="0" fontId="5" fillId="13" borderId="0" xfId="51" applyFont="1" applyFill="1" applyAlignment="1" applyProtection="1"/>
    <xf numFmtId="0" fontId="5" fillId="13" borderId="0" xfId="51" applyFont="1" applyFill="1" applyAlignment="1" applyProtection="1">
      <alignment vertical="center"/>
    </xf>
    <xf numFmtId="0" fontId="5" fillId="14" borderId="0" xfId="51" applyFont="1" applyFill="1" applyAlignment="1" applyProtection="1"/>
    <xf numFmtId="0" fontId="0" fillId="14" borderId="0" xfId="0" applyFill="1" applyAlignment="1" applyProtection="1"/>
    <xf numFmtId="0" fontId="11" fillId="0" borderId="0" xfId="0" applyFont="1" applyAlignment="1" applyProtection="1">
      <alignment vertical="center"/>
    </xf>
    <xf numFmtId="0" fontId="12" fillId="0" borderId="0" xfId="0" applyFont="1" applyAlignment="1" applyProtection="1">
      <alignment vertical="center"/>
    </xf>
    <xf numFmtId="0" fontId="13" fillId="0" borderId="0" xfId="0" applyFont="1" applyAlignment="1" applyProtection="1">
      <alignment vertical="center"/>
    </xf>
    <xf numFmtId="0" fontId="0" fillId="32" borderId="0" xfId="0" applyFill="1" applyAlignment="1" applyProtection="1">
      <alignment vertical="center"/>
    </xf>
    <xf numFmtId="0" fontId="5" fillId="24" borderId="0" xfId="51" applyFont="1" applyFill="1" applyAlignment="1" applyProtection="1">
      <alignment vertical="center"/>
    </xf>
    <xf numFmtId="0" fontId="14" fillId="0" borderId="0" xfId="51" applyFont="1" applyAlignment="1" applyProtection="1"/>
    <xf numFmtId="0" fontId="15" fillId="0" borderId="0" xfId="0" applyFont="1" applyAlignment="1" applyProtection="1"/>
    <xf numFmtId="0" fontId="15" fillId="0" borderId="0" xfId="0" applyFont="1" applyAlignment="1" applyProtection="1">
      <alignment vertical="center"/>
    </xf>
    <xf numFmtId="0" fontId="16" fillId="0" borderId="0" xfId="0" applyFont="1" applyAlignment="1" applyProtection="1">
      <alignment vertical="center"/>
    </xf>
    <xf numFmtId="0" fontId="17" fillId="0" borderId="0" xfId="0" applyFont="1" applyAlignment="1" applyProtection="1">
      <alignment vertical="center"/>
    </xf>
    <xf numFmtId="0" fontId="3" fillId="3" borderId="0" xfId="0" applyFont="1" applyFill="1" applyAlignment="1" applyProtection="1">
      <alignment vertical="center"/>
    </xf>
    <xf numFmtId="0" fontId="9" fillId="0" borderId="0" xfId="0" applyFont="1" applyAlignment="1" applyProtection="1">
      <alignment horizontal="left" vertical="center"/>
    </xf>
    <xf numFmtId="0" fontId="0" fillId="33" borderId="0" xfId="0" applyFill="1" applyAlignment="1" applyProtection="1">
      <alignment vertical="center"/>
    </xf>
    <xf numFmtId="0" fontId="17" fillId="15" borderId="0" xfId="0" applyFont="1" applyFill="1" applyAlignment="1" applyProtection="1">
      <alignment vertical="center"/>
    </xf>
    <xf numFmtId="0" fontId="5" fillId="15" borderId="0" xfId="51" applyFont="1" applyFill="1" applyAlignment="1" applyProtection="1"/>
    <xf numFmtId="0" fontId="0" fillId="6" borderId="1" xfId="0" applyFill="1" applyBorder="1" applyAlignment="1" applyProtection="1">
      <alignment vertical="center"/>
    </xf>
    <xf numFmtId="0" fontId="5" fillId="34" borderId="0" xfId="51" applyFont="1" applyFill="1" applyAlignment="1" applyProtection="1">
      <alignment vertical="center"/>
    </xf>
    <xf numFmtId="0" fontId="14" fillId="6" borderId="0" xfId="51" applyFont="1" applyFill="1" applyAlignment="1" applyProtection="1"/>
    <xf numFmtId="0" fontId="14" fillId="21" borderId="0" xfId="51" applyFont="1" applyFill="1" applyAlignment="1" applyProtection="1"/>
    <xf numFmtId="0" fontId="5" fillId="21" borderId="0" xfId="51" applyFont="1" applyFill="1" applyAlignment="1" applyProtection="1"/>
    <xf numFmtId="0" fontId="9" fillId="0" borderId="1" xfId="0" applyFont="1" applyBorder="1" applyAlignment="1" applyProtection="1">
      <alignment horizontal="center" vertical="center"/>
    </xf>
    <xf numFmtId="0" fontId="0" fillId="35" borderId="0" xfId="0" applyFill="1" applyAlignment="1" applyProtection="1">
      <alignment vertical="center"/>
    </xf>
    <xf numFmtId="0" fontId="3" fillId="6" borderId="0" xfId="0" applyFont="1" applyFill="1" applyAlignment="1" applyProtection="1">
      <alignment vertical="center"/>
    </xf>
    <xf numFmtId="0" fontId="18" fillId="0" borderId="0" xfId="0" applyFont="1" applyAlignment="1" applyProtection="1">
      <alignment vertical="center"/>
    </xf>
    <xf numFmtId="0" fontId="18" fillId="0" borderId="0" xfId="0" applyFont="1" applyAlignment="1" applyProtection="1">
      <alignment horizontal="center" vertical="center"/>
    </xf>
    <xf numFmtId="0" fontId="19" fillId="36" borderId="0" xfId="0" applyFont="1" applyFill="1" applyAlignment="1" applyProtection="1">
      <alignment horizontal="left" vertical="center" wrapText="1"/>
    </xf>
    <xf numFmtId="0" fontId="19" fillId="36" borderId="0" xfId="0" applyFont="1" applyFill="1" applyAlignment="1" applyProtection="1">
      <alignment horizontal="center" vertical="center" wrapText="1"/>
    </xf>
    <xf numFmtId="0" fontId="19" fillId="36" borderId="1" xfId="0" applyFont="1" applyFill="1" applyBorder="1" applyAlignment="1" applyProtection="1">
      <alignment horizontal="left" vertical="center" wrapText="1"/>
    </xf>
    <xf numFmtId="0" fontId="20" fillId="0" borderId="0" xfId="0" applyFont="1" applyAlignment="1" applyProtection="1">
      <alignment vertical="center"/>
    </xf>
    <xf numFmtId="0" fontId="20" fillId="0" borderId="0" xfId="0" applyFont="1" applyAlignment="1" applyProtection="1">
      <alignment horizontal="left"/>
    </xf>
    <xf numFmtId="49" fontId="20" fillId="36" borderId="0" xfId="0" applyNumberFormat="1" applyFont="1" applyFill="1" applyAlignment="1" applyProtection="1">
      <alignment horizontal="left"/>
    </xf>
    <xf numFmtId="0" fontId="21" fillId="0" borderId="0" xfId="0" applyFont="1" applyAlignment="1" applyProtection="1"/>
    <xf numFmtId="0" fontId="0" fillId="0" borderId="0" xfId="0" applyAlignment="1" applyProtection="1">
      <alignment horizontal="center" vertical="center"/>
    </xf>
    <xf numFmtId="0" fontId="18" fillId="0" borderId="2" xfId="0" applyFont="1" applyBorder="1" applyAlignment="1" applyProtection="1">
      <alignment horizontal="center" vertical="center"/>
    </xf>
    <xf numFmtId="0" fontId="18" fillId="37" borderId="0" xfId="0" applyFont="1" applyFill="1" applyAlignment="1" applyProtection="1">
      <alignment horizontal="center" vertical="center"/>
    </xf>
    <xf numFmtId="0" fontId="18" fillId="37" borderId="2" xfId="0" applyFont="1" applyFill="1" applyBorder="1" applyAlignment="1" applyProtection="1">
      <alignment horizontal="center" vertical="center"/>
    </xf>
    <xf numFmtId="0" fontId="22" fillId="0" borderId="0" xfId="0" applyFont="1" applyAlignment="1" applyProtection="1">
      <alignment horizontal="center" vertical="center"/>
    </xf>
    <xf numFmtId="0" fontId="18" fillId="38" borderId="0" xfId="0" applyFont="1" applyFill="1" applyAlignment="1" applyProtection="1">
      <alignment horizontal="center" vertical="center"/>
    </xf>
    <xf numFmtId="0" fontId="23" fillId="38" borderId="0" xfId="0" applyFont="1" applyFill="1" applyAlignment="1" applyProtection="1">
      <alignment horizontal="center" vertical="center"/>
    </xf>
    <xf numFmtId="0" fontId="18" fillId="39" borderId="0" xfId="0" applyFont="1" applyFill="1" applyAlignment="1" applyProtection="1">
      <alignment horizontal="center" vertical="center"/>
    </xf>
    <xf numFmtId="0" fontId="23" fillId="39" borderId="0" xfId="0" applyFont="1" applyFill="1" applyAlignment="1" applyProtection="1">
      <alignment horizontal="center" vertical="center"/>
    </xf>
    <xf numFmtId="0" fontId="24" fillId="40" borderId="0" xfId="0" applyFont="1" applyFill="1" applyAlignment="1" applyProtection="1">
      <alignment horizontal="center" vertical="center"/>
    </xf>
    <xf numFmtId="0" fontId="18" fillId="41" borderId="0" xfId="0" applyFont="1" applyFill="1" applyAlignment="1" applyProtection="1">
      <alignment horizontal="center" vertical="center"/>
    </xf>
    <xf numFmtId="0" fontId="18" fillId="14" borderId="0" xfId="0" applyFont="1" applyFill="1" applyAlignment="1" applyProtection="1">
      <alignment horizontal="center" vertical="center"/>
    </xf>
    <xf numFmtId="0" fontId="18" fillId="6" borderId="0" xfId="0" applyFont="1" applyFill="1" applyAlignment="1" applyProtection="1">
      <alignment horizontal="center" vertical="center"/>
    </xf>
    <xf numFmtId="0" fontId="18" fillId="42" borderId="0" xfId="0" applyFont="1" applyFill="1" applyAlignment="1" applyProtection="1">
      <alignment horizontal="center" vertical="center"/>
    </xf>
    <xf numFmtId="0" fontId="18" fillId="8" borderId="0" xfId="0" applyFont="1" applyFill="1" applyAlignment="1" applyProtection="1">
      <alignment horizontal="center" vertical="center"/>
    </xf>
    <xf numFmtId="0" fontId="18" fillId="43" borderId="0" xfId="0" applyFont="1" applyFill="1" applyAlignment="1" applyProtection="1">
      <alignment horizontal="center" vertical="center"/>
    </xf>
    <xf numFmtId="0" fontId="18" fillId="44" borderId="0" xfId="0" applyFont="1" applyFill="1" applyAlignment="1" applyProtection="1">
      <alignment horizontal="center" vertical="center"/>
    </xf>
    <xf numFmtId="0" fontId="18" fillId="0" borderId="0" xfId="0" applyFont="1" applyAlignment="1" applyProtection="1">
      <alignment horizontal="center" vertical="center" wrapText="1"/>
    </xf>
    <xf numFmtId="0" fontId="25" fillId="0" borderId="0" xfId="0" applyFont="1" applyAlignment="1" applyProtection="1">
      <alignment horizontal="center" vertical="center"/>
    </xf>
    <xf numFmtId="0" fontId="18" fillId="45" borderId="0" xfId="0" applyFont="1" applyFill="1" applyAlignment="1" applyProtection="1">
      <alignment horizontal="center" vertical="center"/>
    </xf>
    <xf numFmtId="0" fontId="25" fillId="45" borderId="0" xfId="0" applyFont="1" applyFill="1" applyAlignment="1" applyProtection="1">
      <alignment horizontal="center" vertical="center"/>
    </xf>
    <xf numFmtId="0" fontId="18" fillId="45" borderId="2" xfId="0" applyFont="1" applyFill="1" applyBorder="1" applyAlignment="1" applyProtection="1">
      <alignment horizontal="center" vertical="center"/>
    </xf>
    <xf numFmtId="0" fontId="25" fillId="45" borderId="2" xfId="0" applyFont="1" applyFill="1" applyBorder="1" applyAlignment="1" applyProtection="1">
      <alignment horizontal="center" vertical="center"/>
    </xf>
    <xf numFmtId="49" fontId="18" fillId="0" borderId="0" xfId="0" applyNumberFormat="1" applyFont="1" applyAlignment="1" applyProtection="1">
      <alignment horizontal="center" vertical="center"/>
    </xf>
    <xf numFmtId="49" fontId="18" fillId="0" borderId="2" xfId="0" applyNumberFormat="1" applyFont="1" applyBorder="1" applyAlignment="1" applyProtection="1">
      <alignment horizontal="center" vertical="center"/>
    </xf>
    <xf numFmtId="49" fontId="18" fillId="37" borderId="0" xfId="0" applyNumberFormat="1" applyFont="1" applyFill="1" applyAlignment="1" applyProtection="1">
      <alignment horizontal="center" vertical="center"/>
    </xf>
    <xf numFmtId="0" fontId="18" fillId="6" borderId="1" xfId="0" applyFont="1" applyFill="1" applyBorder="1" applyAlignment="1" applyProtection="1">
      <alignment horizontal="center" vertical="center"/>
    </xf>
    <xf numFmtId="0" fontId="14" fillId="46" borderId="0" xfId="51" applyFont="1" applyFill="1" applyAlignment="1" applyProtection="1">
      <alignment horizontal="center" vertical="center" wrapText="1"/>
    </xf>
    <xf numFmtId="0" fontId="10" fillId="46" borderId="0" xfId="51" applyFont="1" applyFill="1" applyAlignment="1" applyProtection="1">
      <alignment horizontal="center" vertical="center"/>
    </xf>
    <xf numFmtId="0" fontId="18" fillId="47" borderId="0" xfId="0" applyFont="1" applyFill="1" applyAlignment="1" applyProtection="1">
      <alignment horizontal="center" vertical="center"/>
    </xf>
    <xf numFmtId="0" fontId="18" fillId="47" borderId="2" xfId="0" applyFont="1" applyFill="1" applyBorder="1" applyAlignment="1" applyProtection="1">
      <alignment horizontal="center" vertical="center"/>
    </xf>
    <xf numFmtId="0" fontId="25" fillId="47" borderId="0" xfId="0" applyFont="1" applyFill="1" applyAlignment="1" applyProtection="1">
      <alignment horizontal="center" vertical="center"/>
    </xf>
    <xf numFmtId="0" fontId="25" fillId="47" borderId="2" xfId="0" applyFont="1" applyFill="1" applyBorder="1" applyAlignment="1" applyProtection="1">
      <alignment horizontal="center" vertical="center"/>
    </xf>
    <xf numFmtId="0" fontId="25" fillId="48" borderId="0" xfId="0" applyFont="1" applyFill="1" applyAlignment="1" applyProtection="1">
      <alignment horizontal="center" vertical="center"/>
    </xf>
    <xf numFmtId="0" fontId="22" fillId="49" borderId="0" xfId="0" applyFont="1" applyFill="1" applyAlignment="1" applyProtection="1">
      <alignment horizontal="center" vertical="center"/>
    </xf>
    <xf numFmtId="0" fontId="25" fillId="50" borderId="0" xfId="0" applyFont="1" applyFill="1" applyAlignment="1" applyProtection="1">
      <alignment horizontal="center" vertical="center"/>
    </xf>
    <xf numFmtId="0" fontId="18" fillId="51" borderId="0" xfId="0" applyFont="1" applyFill="1" applyAlignment="1" applyProtection="1">
      <alignment horizontal="center" vertical="center"/>
    </xf>
    <xf numFmtId="0" fontId="25" fillId="51" borderId="0" xfId="0" applyFont="1" applyFill="1" applyAlignment="1" applyProtection="1">
      <alignment horizontal="center" vertical="center"/>
    </xf>
    <xf numFmtId="49" fontId="18" fillId="24" borderId="0" xfId="0" applyNumberFormat="1" applyFont="1" applyFill="1" applyAlignment="1" applyProtection="1">
      <alignment horizontal="center" vertical="center"/>
    </xf>
    <xf numFmtId="0" fontId="18" fillId="24" borderId="0" xfId="0" applyFont="1" applyFill="1" applyAlignment="1" applyProtection="1">
      <alignment horizontal="center" vertical="center"/>
    </xf>
    <xf numFmtId="49" fontId="18" fillId="37" borderId="2" xfId="0" applyNumberFormat="1" applyFont="1" applyFill="1" applyBorder="1" applyAlignment="1" applyProtection="1">
      <alignment horizontal="center" vertical="center"/>
    </xf>
    <xf numFmtId="49" fontId="22" fillId="0" borderId="0" xfId="0" applyNumberFormat="1" applyFont="1" applyAlignment="1" applyProtection="1">
      <alignment horizontal="center" vertical="center"/>
    </xf>
    <xf numFmtId="0" fontId="18" fillId="38" borderId="0" xfId="50" applyFont="1" applyFill="1" applyAlignment="1" applyProtection="1">
      <alignment horizontal="center" vertical="center"/>
    </xf>
    <xf numFmtId="49" fontId="18" fillId="38" borderId="0" xfId="0" applyNumberFormat="1" applyFont="1" applyFill="1" applyAlignment="1" applyProtection="1">
      <alignment horizontal="center" vertical="center"/>
    </xf>
    <xf numFmtId="0" fontId="23" fillId="38" borderId="0" xfId="50" applyFont="1" applyFill="1" applyAlignment="1" applyProtection="1">
      <alignment horizontal="center" vertical="center"/>
    </xf>
    <xf numFmtId="49" fontId="23" fillId="38" borderId="0" xfId="0" applyNumberFormat="1" applyFont="1" applyFill="1" applyAlignment="1" applyProtection="1">
      <alignment horizontal="center" vertical="center"/>
    </xf>
    <xf numFmtId="0" fontId="18" fillId="39" borderId="0" xfId="50" applyFont="1" applyFill="1" applyAlignment="1" applyProtection="1">
      <alignment horizontal="center" vertical="center"/>
    </xf>
    <xf numFmtId="49" fontId="18" fillId="39" borderId="0" xfId="0" applyNumberFormat="1" applyFont="1" applyFill="1" applyAlignment="1" applyProtection="1">
      <alignment horizontal="center" vertical="center"/>
    </xf>
    <xf numFmtId="0" fontId="23" fillId="39" borderId="0" xfId="50" applyFont="1" applyFill="1" applyAlignment="1" applyProtection="1">
      <alignment horizontal="center" vertical="center"/>
    </xf>
    <xf numFmtId="49" fontId="23" fillId="39" borderId="0" xfId="0" applyNumberFormat="1" applyFont="1" applyFill="1" applyAlignment="1" applyProtection="1">
      <alignment horizontal="center" vertical="center"/>
    </xf>
    <xf numFmtId="0" fontId="18" fillId="46" borderId="3" xfId="0" applyFont="1" applyFill="1" applyBorder="1" applyAlignment="1" applyProtection="1">
      <alignment horizontal="center" vertical="center"/>
    </xf>
    <xf numFmtId="0" fontId="18" fillId="46" borderId="3" xfId="0" applyFont="1" applyFill="1" applyBorder="1" applyAlignment="1" applyProtection="1">
      <alignment horizontal="center"/>
    </xf>
    <xf numFmtId="0" fontId="18" fillId="46" borderId="0" xfId="0" applyFont="1" applyFill="1" applyAlignment="1" applyProtection="1">
      <alignment horizontal="center" vertical="center"/>
    </xf>
    <xf numFmtId="0" fontId="18" fillId="46" borderId="0" xfId="0" applyFont="1" applyFill="1" applyAlignment="1" applyProtection="1">
      <alignment horizontal="center"/>
    </xf>
    <xf numFmtId="0" fontId="18" fillId="46" borderId="4" xfId="0" applyFont="1" applyFill="1" applyBorder="1" applyAlignment="1" applyProtection="1">
      <alignment horizontal="center" vertical="center"/>
    </xf>
    <xf numFmtId="0" fontId="18" fillId="46" borderId="4" xfId="0" applyFont="1" applyFill="1" applyBorder="1" applyAlignment="1" applyProtection="1">
      <alignment horizontal="center"/>
    </xf>
    <xf numFmtId="0" fontId="26" fillId="0" borderId="0" xfId="0" applyFont="1" applyAlignment="1" applyProtection="1"/>
    <xf numFmtId="0" fontId="23" fillId="46" borderId="5" xfId="50" applyFont="1" applyFill="1" applyBorder="1" applyAlignment="1" applyProtection="1">
      <alignment horizontal="center" vertical="center"/>
    </xf>
    <xf numFmtId="0" fontId="23" fillId="46" borderId="6" xfId="50" applyFont="1" applyFill="1" applyBorder="1" applyAlignment="1" applyProtection="1">
      <alignment horizontal="center" vertical="center"/>
    </xf>
    <xf numFmtId="0" fontId="23" fillId="46" borderId="7" xfId="50" applyFont="1" applyFill="1" applyBorder="1" applyAlignment="1" applyProtection="1">
      <alignment horizontal="center" vertical="center"/>
    </xf>
    <xf numFmtId="0" fontId="27" fillId="0" borderId="0" xfId="0" applyFont="1" applyAlignment="1" applyProtection="1">
      <alignment vertical="center"/>
    </xf>
    <xf numFmtId="0" fontId="23" fillId="14" borderId="6" xfId="50" applyFont="1" applyFill="1" applyBorder="1" applyAlignment="1" applyProtection="1">
      <alignment horizontal="center" vertical="center"/>
    </xf>
    <xf numFmtId="0" fontId="27" fillId="14" borderId="0" xfId="0" applyFont="1" applyFill="1" applyAlignment="1" applyProtection="1">
      <alignment vertical="center"/>
    </xf>
    <xf numFmtId="0" fontId="23" fillId="6" borderId="6" xfId="50" applyFont="1" applyFill="1" applyBorder="1" applyAlignment="1" applyProtection="1">
      <alignment horizontal="center" vertical="center"/>
    </xf>
    <xf numFmtId="0" fontId="27" fillId="6" borderId="0" xfId="0" applyFont="1" applyFill="1" applyAlignment="1" applyProtection="1">
      <alignment vertical="center"/>
    </xf>
    <xf numFmtId="0" fontId="18" fillId="6" borderId="0" xfId="0" applyFont="1" applyFill="1" applyAlignment="1" applyProtection="1">
      <alignment horizontal="center"/>
    </xf>
    <xf numFmtId="0" fontId="23" fillId="42" borderId="6" xfId="50" applyFont="1" applyFill="1" applyBorder="1" applyAlignment="1" applyProtection="1">
      <alignment horizontal="center" vertical="center"/>
    </xf>
    <xf numFmtId="0" fontId="27" fillId="42" borderId="0" xfId="0" applyFont="1" applyFill="1" applyAlignment="1" applyProtection="1">
      <alignment vertical="center"/>
    </xf>
    <xf numFmtId="0" fontId="18" fillId="42" borderId="0" xfId="0" applyFont="1" applyFill="1" applyAlignment="1" applyProtection="1">
      <alignment horizontal="center"/>
    </xf>
    <xf numFmtId="0" fontId="23" fillId="8" borderId="6" xfId="50" applyFont="1" applyFill="1" applyBorder="1" applyAlignment="1" applyProtection="1">
      <alignment horizontal="center" vertical="center"/>
    </xf>
    <xf numFmtId="0" fontId="27" fillId="8" borderId="0" xfId="0" applyFont="1" applyFill="1" applyAlignment="1" applyProtection="1">
      <alignment vertical="center"/>
    </xf>
    <xf numFmtId="0" fontId="18" fillId="8" borderId="0" xfId="0" applyFont="1" applyFill="1" applyAlignment="1" applyProtection="1">
      <alignment horizontal="center"/>
    </xf>
    <xf numFmtId="0" fontId="18" fillId="14" borderId="0" xfId="0" applyFont="1" applyFill="1" applyAlignment="1" applyProtection="1">
      <alignment horizontal="center"/>
    </xf>
    <xf numFmtId="0" fontId="23" fillId="52" borderId="6" xfId="50" applyFont="1" applyFill="1" applyBorder="1" applyAlignment="1" applyProtection="1">
      <alignment horizontal="center" vertical="center"/>
    </xf>
    <xf numFmtId="0" fontId="27" fillId="52" borderId="0" xfId="0" applyFont="1" applyFill="1" applyAlignment="1" applyProtection="1">
      <alignment vertical="center"/>
    </xf>
    <xf numFmtId="0" fontId="18" fillId="52" borderId="0" xfId="0" applyFont="1" applyFill="1" applyAlignment="1" applyProtection="1">
      <alignment horizontal="center"/>
    </xf>
    <xf numFmtId="0" fontId="18" fillId="52" borderId="0" xfId="0" applyFont="1" applyFill="1" applyAlignment="1" applyProtection="1">
      <alignment horizontal="center" vertical="center"/>
    </xf>
    <xf numFmtId="0" fontId="18" fillId="46" borderId="3" xfId="0" applyFont="1" applyFill="1" applyBorder="1" applyAlignment="1" applyProtection="1">
      <alignment horizontal="left"/>
    </xf>
    <xf numFmtId="0" fontId="18" fillId="46" borderId="8" xfId="0" applyFont="1" applyFill="1" applyBorder="1" applyAlignment="1" applyProtection="1">
      <alignment horizontal="center" vertical="center"/>
    </xf>
    <xf numFmtId="0" fontId="18" fillId="46" borderId="0" xfId="0" applyFont="1" applyFill="1" applyAlignment="1" applyProtection="1">
      <alignment horizontal="left"/>
    </xf>
    <xf numFmtId="0" fontId="18" fillId="46" borderId="9" xfId="0" applyFont="1" applyFill="1" applyBorder="1" applyAlignment="1" applyProtection="1">
      <alignment horizontal="center" vertical="center"/>
    </xf>
    <xf numFmtId="0" fontId="18" fillId="46" borderId="4" xfId="0" applyFont="1" applyFill="1" applyBorder="1" applyAlignment="1" applyProtection="1">
      <alignment horizontal="left"/>
    </xf>
    <xf numFmtId="0" fontId="18" fillId="46" borderId="10" xfId="0" applyFont="1" applyFill="1" applyBorder="1" applyAlignment="1" applyProtection="1">
      <alignment horizontal="center" vertical="center"/>
    </xf>
    <xf numFmtId="0" fontId="18" fillId="43" borderId="11" xfId="0" applyFont="1" applyFill="1" applyBorder="1" applyAlignment="1" applyProtection="1">
      <alignment horizontal="center" vertical="center"/>
    </xf>
    <xf numFmtId="0" fontId="18" fillId="44" borderId="11" xfId="0" applyFont="1" applyFill="1" applyBorder="1" applyAlignment="1" applyProtection="1">
      <alignment horizontal="center" vertical="center"/>
    </xf>
    <xf numFmtId="0" fontId="28" fillId="0" borderId="0" xfId="0" applyFont="1" applyAlignment="1" applyProtection="1">
      <alignment horizontal="center" vertical="center"/>
    </xf>
    <xf numFmtId="0" fontId="27" fillId="53" borderId="0" xfId="0" applyFont="1" applyFill="1" applyAlignment="1" applyProtection="1">
      <alignment vertical="center"/>
    </xf>
    <xf numFmtId="0" fontId="18" fillId="53" borderId="0" xfId="0" applyFont="1" applyFill="1" applyAlignment="1" applyProtection="1">
      <alignment horizontal="center" vertical="center"/>
    </xf>
    <xf numFmtId="3" fontId="18" fillId="53" borderId="0" xfId="0" applyNumberFormat="1" applyFont="1" applyFill="1" applyAlignment="1" applyProtection="1">
      <alignment horizontal="center" vertical="center"/>
    </xf>
    <xf numFmtId="49" fontId="18" fillId="43" borderId="0" xfId="0" applyNumberFormat="1" applyFont="1" applyFill="1" applyAlignment="1" applyProtection="1">
      <alignment horizontal="center" vertical="center"/>
    </xf>
  </cellXfs>
  <cellStyles count="52">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3" xfId="50"/>
    <cellStyle name="常规 106" xfId="51"/>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mruColors>
      <color rgb="00DF3621"/>
      <color rgb="00BF604C"/>
      <color rgb="00E1673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07"/>
  <sheetViews>
    <sheetView tabSelected="1" workbookViewId="0">
      <pane ySplit="6" topLeftCell="A273" activePane="bottomLeft" state="frozen"/>
      <selection/>
      <selection pane="bottomLeft" activeCell="K306" sqref="K306"/>
    </sheetView>
  </sheetViews>
  <sheetFormatPr defaultColWidth="9" defaultRowHeight="14.5"/>
  <cols>
    <col min="1" max="1" width="19.3636363636364" style="94" customWidth="1"/>
    <col min="2" max="2" width="15" style="94" customWidth="1"/>
    <col min="3" max="3" width="14.8636363636364" style="94" customWidth="1"/>
    <col min="4" max="4" width="86.0909090909091" style="94" customWidth="1"/>
    <col min="5" max="7" width="8" style="94" customWidth="1"/>
    <col min="8" max="8" width="8.50909090909091" style="94" customWidth="1"/>
    <col min="9" max="9" width="34.9090909090909" style="94" customWidth="1"/>
    <col min="10" max="10" width="8.25454545454545" style="94" customWidth="1"/>
    <col min="11" max="11" width="8.50909090909091" style="94" customWidth="1"/>
    <col min="12" max="12" width="8" style="94" customWidth="1"/>
    <col min="13" max="13" width="8.86363636363636" style="94" customWidth="1"/>
    <col min="14" max="14" width="30.6363636363636" style="94" customWidth="1"/>
    <col min="15" max="16" width="31.8636363636364" style="94" customWidth="1"/>
    <col min="17" max="17" width="22.5454545454545" style="94" customWidth="1"/>
    <col min="18" max="18" width="14.5090909090909" style="94" customWidth="1"/>
    <col min="19" max="19" width="9" style="94" customWidth="1"/>
    <col min="20" max="20" width="26.0909090909091" style="94" customWidth="1"/>
    <col min="21" max="21" width="18.5090909090909" style="94" customWidth="1"/>
    <col min="22" max="22" width="20.7090909090909" style="94" customWidth="1"/>
    <col min="23" max="23" width="15.6636363636364" style="94" customWidth="1"/>
    <col min="24" max="24" width="8" style="94" customWidth="1"/>
    <col min="25" max="25" width="103.627272727273" style="94" customWidth="1"/>
    <col min="26" max="26" width="13.1272727272727" style="94" customWidth="1"/>
    <col min="29" max="16384" width="9" style="94" customWidth="1"/>
  </cols>
  <sheetData>
    <row r="1" spans="1:4">
      <c r="A1" s="94" t="s">
        <v>0</v>
      </c>
      <c r="B1" s="94">
        <v>1</v>
      </c>
      <c r="C1" s="94">
        <v>9999</v>
      </c>
      <c r="D1" s="94">
        <v>31</v>
      </c>
    </row>
    <row r="2" ht="42" spans="1:28">
      <c r="A2" s="94" t="s">
        <v>1</v>
      </c>
      <c r="B2" s="94" t="s">
        <v>2</v>
      </c>
      <c r="C2" s="94" t="s">
        <v>3</v>
      </c>
      <c r="D2" s="94" t="s">
        <v>4</v>
      </c>
      <c r="E2" s="94" t="s">
        <v>5</v>
      </c>
      <c r="F2" s="94" t="s">
        <v>6</v>
      </c>
      <c r="G2" s="94" t="s">
        <v>7</v>
      </c>
      <c r="H2" s="94" t="s">
        <v>8</v>
      </c>
      <c r="I2" s="94" t="s">
        <v>9</v>
      </c>
      <c r="J2" s="94" t="s">
        <v>10</v>
      </c>
      <c r="K2" s="94" t="s">
        <v>11</v>
      </c>
      <c r="L2" s="94" t="s">
        <v>12</v>
      </c>
      <c r="M2" s="94" t="s">
        <v>13</v>
      </c>
      <c r="N2" s="94" t="s">
        <v>14</v>
      </c>
      <c r="O2" s="94" t="s">
        <v>15</v>
      </c>
      <c r="P2" s="94" t="s">
        <v>16</v>
      </c>
      <c r="Q2" s="94" t="s">
        <v>17</v>
      </c>
      <c r="R2" s="94" t="s">
        <v>18</v>
      </c>
      <c r="S2" s="94" t="s">
        <v>19</v>
      </c>
      <c r="T2" s="94" t="s">
        <v>20</v>
      </c>
      <c r="U2" s="94" t="s">
        <v>21</v>
      </c>
      <c r="V2" s="94" t="s">
        <v>22</v>
      </c>
      <c r="W2" s="128" t="s">
        <v>23</v>
      </c>
      <c r="X2" s="114" t="s">
        <v>24</v>
      </c>
      <c r="Y2" s="94" t="s">
        <v>25</v>
      </c>
      <c r="Z2" s="94" t="s">
        <v>26</v>
      </c>
      <c r="AA2" s="129" t="s">
        <v>27</v>
      </c>
      <c r="AB2" t="s">
        <v>28</v>
      </c>
    </row>
    <row r="3" spans="1:27">
      <c r="A3" s="94" t="s">
        <v>29</v>
      </c>
      <c r="C3" s="119"/>
      <c r="D3" s="94" t="s">
        <v>30</v>
      </c>
      <c r="F3" s="94" t="s">
        <v>31</v>
      </c>
      <c r="W3" s="128" t="s">
        <v>32</v>
      </c>
      <c r="X3" s="114"/>
      <c r="Y3" s="94" t="s">
        <v>33</v>
      </c>
      <c r="Z3" s="94" t="s">
        <v>34</v>
      </c>
      <c r="AA3" s="72"/>
    </row>
    <row r="4" spans="1:27">
      <c r="A4" s="94" t="s">
        <v>35</v>
      </c>
      <c r="D4" s="94" t="s">
        <v>36</v>
      </c>
      <c r="F4" s="94" t="s">
        <v>35</v>
      </c>
      <c r="W4" s="128" t="s">
        <v>35</v>
      </c>
      <c r="X4" s="114"/>
      <c r="Y4" s="94" t="s">
        <v>36</v>
      </c>
      <c r="Z4" s="94" t="s">
        <v>35</v>
      </c>
      <c r="AA4" s="130" t="s">
        <v>35</v>
      </c>
    </row>
    <row r="5" spans="1:27">
      <c r="A5" s="94" t="s">
        <v>37</v>
      </c>
      <c r="D5" s="94" t="s">
        <v>37</v>
      </c>
      <c r="F5" s="94" t="s">
        <v>37</v>
      </c>
      <c r="W5" s="128" t="s">
        <v>37</v>
      </c>
      <c r="X5" s="114"/>
      <c r="Y5" s="94" t="s">
        <v>37</v>
      </c>
      <c r="Z5" s="94" t="s">
        <v>37</v>
      </c>
      <c r="AA5" s="130" t="s">
        <v>37</v>
      </c>
    </row>
    <row r="6" spans="1:27">
      <c r="A6" s="94" t="s">
        <v>29</v>
      </c>
      <c r="B6" s="120" t="s">
        <v>38</v>
      </c>
      <c r="C6" s="119" t="s">
        <v>39</v>
      </c>
      <c r="D6" s="94" t="s">
        <v>30</v>
      </c>
      <c r="E6" s="94" t="s">
        <v>40</v>
      </c>
      <c r="F6" s="94" t="s">
        <v>31</v>
      </c>
      <c r="G6" s="94" t="s">
        <v>41</v>
      </c>
      <c r="H6" s="94" t="s">
        <v>42</v>
      </c>
      <c r="I6" s="94" t="s">
        <v>43</v>
      </c>
      <c r="J6" s="94" t="s">
        <v>44</v>
      </c>
      <c r="K6" s="94" t="s">
        <v>45</v>
      </c>
      <c r="L6" s="94" t="s">
        <v>46</v>
      </c>
      <c r="M6" s="94" t="s">
        <v>47</v>
      </c>
      <c r="N6" s="94" t="s">
        <v>48</v>
      </c>
      <c r="O6" s="94" t="s">
        <v>49</v>
      </c>
      <c r="P6" s="94" t="s">
        <v>50</v>
      </c>
      <c r="Q6" s="94" t="s">
        <v>51</v>
      </c>
      <c r="R6" s="94" t="s">
        <v>52</v>
      </c>
      <c r="S6" s="94" t="s">
        <v>53</v>
      </c>
      <c r="T6" s="94" t="s">
        <v>54</v>
      </c>
      <c r="U6" s="94" t="s">
        <v>55</v>
      </c>
      <c r="V6" s="94" t="s">
        <v>56</v>
      </c>
      <c r="W6" s="128"/>
      <c r="X6" s="114" t="s">
        <v>57</v>
      </c>
      <c r="Y6" s="94" t="s">
        <v>33</v>
      </c>
      <c r="Z6" s="94" t="s">
        <v>34</v>
      </c>
      <c r="AA6" s="72" t="s">
        <v>58</v>
      </c>
    </row>
    <row r="7" spans="1:27">
      <c r="A7" s="121">
        <v>680001</v>
      </c>
      <c r="B7" s="122" t="s">
        <v>59</v>
      </c>
      <c r="C7" s="94">
        <v>-1</v>
      </c>
      <c r="D7" s="94" t="s">
        <v>60</v>
      </c>
      <c r="E7" s="94">
        <v>68</v>
      </c>
      <c r="F7" s="94">
        <v>68</v>
      </c>
      <c r="G7" s="94">
        <v>0</v>
      </c>
      <c r="H7" s="94">
        <v>0</v>
      </c>
      <c r="I7" s="94">
        <v>1</v>
      </c>
      <c r="J7" s="94">
        <v>1</v>
      </c>
      <c r="K7" s="94">
        <v>1</v>
      </c>
      <c r="L7" s="94">
        <v>100</v>
      </c>
      <c r="M7" s="94">
        <v>0</v>
      </c>
      <c r="O7" s="125" t="s">
        <v>61</v>
      </c>
      <c r="P7" s="125" t="s">
        <v>62</v>
      </c>
      <c r="Q7" s="94">
        <v>0</v>
      </c>
      <c r="R7" s="94">
        <v>1</v>
      </c>
      <c r="T7" s="94">
        <v>2</v>
      </c>
      <c r="U7" s="94">
        <v>0</v>
      </c>
      <c r="V7" s="94">
        <v>0</v>
      </c>
      <c r="X7" s="94">
        <v>0</v>
      </c>
      <c r="AA7" s="94">
        <v>1</v>
      </c>
    </row>
    <row r="8" spans="1:27">
      <c r="A8" s="121">
        <v>680002</v>
      </c>
      <c r="B8" s="122" t="s">
        <v>63</v>
      </c>
      <c r="C8" s="94">
        <v>-1</v>
      </c>
      <c r="D8" s="94" t="s">
        <v>64</v>
      </c>
      <c r="E8" s="94">
        <v>68</v>
      </c>
      <c r="F8" s="94">
        <v>68</v>
      </c>
      <c r="G8" s="94">
        <v>0</v>
      </c>
      <c r="H8" s="94">
        <v>0</v>
      </c>
      <c r="I8" s="94">
        <v>2</v>
      </c>
      <c r="J8" s="94">
        <v>1</v>
      </c>
      <c r="K8" s="94">
        <v>1</v>
      </c>
      <c r="L8" s="94">
        <v>100</v>
      </c>
      <c r="M8" s="94">
        <v>0</v>
      </c>
      <c r="O8" s="125" t="s">
        <v>65</v>
      </c>
      <c r="P8" s="125" t="s">
        <v>66</v>
      </c>
      <c r="Q8" s="94">
        <v>0</v>
      </c>
      <c r="R8" s="94">
        <v>1</v>
      </c>
      <c r="T8" s="94">
        <v>2</v>
      </c>
      <c r="U8" s="94">
        <v>0</v>
      </c>
      <c r="V8" s="94">
        <v>0</v>
      </c>
      <c r="X8" s="94">
        <v>0</v>
      </c>
      <c r="AA8" s="94">
        <v>1</v>
      </c>
    </row>
    <row r="9" spans="1:27">
      <c r="A9" s="121">
        <v>680003</v>
      </c>
      <c r="B9" s="122" t="s">
        <v>67</v>
      </c>
      <c r="C9" s="94">
        <v>-1</v>
      </c>
      <c r="D9" s="94" t="s">
        <v>68</v>
      </c>
      <c r="E9" s="94">
        <v>68</v>
      </c>
      <c r="F9" s="94">
        <v>68</v>
      </c>
      <c r="G9" s="94">
        <v>0</v>
      </c>
      <c r="H9" s="94">
        <v>0</v>
      </c>
      <c r="I9" s="94">
        <v>2</v>
      </c>
      <c r="J9" s="94">
        <v>1</v>
      </c>
      <c r="K9" s="94">
        <v>3</v>
      </c>
      <c r="L9" s="94">
        <v>100</v>
      </c>
      <c r="M9" s="94">
        <v>0</v>
      </c>
      <c r="O9" s="125" t="s">
        <v>69</v>
      </c>
      <c r="P9" s="125" t="s">
        <v>70</v>
      </c>
      <c r="Q9" s="94">
        <v>0</v>
      </c>
      <c r="R9" s="94">
        <v>1</v>
      </c>
      <c r="T9" s="94">
        <v>4</v>
      </c>
      <c r="U9" s="94">
        <v>0</v>
      </c>
      <c r="V9" s="94">
        <v>0</v>
      </c>
      <c r="X9" s="94">
        <v>0</v>
      </c>
      <c r="AA9" s="94">
        <v>1</v>
      </c>
    </row>
    <row r="10" spans="1:27">
      <c r="A10" s="121">
        <v>1280001</v>
      </c>
      <c r="B10" s="122" t="s">
        <v>71</v>
      </c>
      <c r="C10" s="94">
        <v>-1</v>
      </c>
      <c r="D10" s="94" t="s">
        <v>72</v>
      </c>
      <c r="E10" s="94">
        <v>128</v>
      </c>
      <c r="F10" s="94">
        <v>128</v>
      </c>
      <c r="G10" s="94">
        <v>0</v>
      </c>
      <c r="H10" s="94">
        <v>0</v>
      </c>
      <c r="I10" s="94">
        <v>2</v>
      </c>
      <c r="J10" s="94">
        <v>1</v>
      </c>
      <c r="K10" s="94">
        <v>3</v>
      </c>
      <c r="L10" s="94">
        <v>100</v>
      </c>
      <c r="M10" s="94">
        <v>1</v>
      </c>
      <c r="O10" s="125" t="s">
        <v>73</v>
      </c>
      <c r="P10" s="125" t="s">
        <v>74</v>
      </c>
      <c r="Q10" s="94">
        <v>0</v>
      </c>
      <c r="R10" s="94">
        <v>1</v>
      </c>
      <c r="T10" s="94">
        <v>2</v>
      </c>
      <c r="U10" s="94">
        <v>0</v>
      </c>
      <c r="V10" s="94">
        <v>0</v>
      </c>
      <c r="X10" s="94">
        <v>0</v>
      </c>
      <c r="AA10" s="94">
        <v>1</v>
      </c>
    </row>
    <row r="11" spans="1:27">
      <c r="A11" s="121">
        <v>1280002</v>
      </c>
      <c r="B11" s="122" t="s">
        <v>75</v>
      </c>
      <c r="C11" s="94">
        <v>-1</v>
      </c>
      <c r="D11" s="94" t="s">
        <v>76</v>
      </c>
      <c r="E11" s="94">
        <v>128</v>
      </c>
      <c r="F11" s="94">
        <v>128</v>
      </c>
      <c r="G11" s="94">
        <v>0</v>
      </c>
      <c r="H11" s="94">
        <v>0</v>
      </c>
      <c r="I11" s="94">
        <v>2</v>
      </c>
      <c r="J11" s="94">
        <v>1</v>
      </c>
      <c r="K11" s="94">
        <v>3</v>
      </c>
      <c r="L11" s="94">
        <v>100</v>
      </c>
      <c r="M11" s="94">
        <v>1</v>
      </c>
      <c r="O11" s="125" t="s">
        <v>77</v>
      </c>
      <c r="P11" s="125" t="s">
        <v>78</v>
      </c>
      <c r="Q11" s="94">
        <v>0</v>
      </c>
      <c r="R11" s="94">
        <v>1</v>
      </c>
      <c r="T11" s="94">
        <v>3</v>
      </c>
      <c r="U11" s="94">
        <v>0</v>
      </c>
      <c r="V11" s="94">
        <v>0</v>
      </c>
      <c r="X11" s="94">
        <v>0</v>
      </c>
      <c r="AA11" s="94">
        <v>1</v>
      </c>
    </row>
    <row r="12" spans="1:27">
      <c r="A12" s="121">
        <v>1280003</v>
      </c>
      <c r="B12" s="122" t="s">
        <v>79</v>
      </c>
      <c r="C12" s="94">
        <v>-1</v>
      </c>
      <c r="D12" s="94" t="s">
        <v>80</v>
      </c>
      <c r="E12" s="94">
        <v>128</v>
      </c>
      <c r="F12" s="94">
        <v>128</v>
      </c>
      <c r="G12" s="94">
        <v>0</v>
      </c>
      <c r="H12" s="94">
        <v>0</v>
      </c>
      <c r="I12" s="94">
        <v>0</v>
      </c>
      <c r="J12" s="94">
        <v>1</v>
      </c>
      <c r="K12" s="94">
        <v>2</v>
      </c>
      <c r="L12" s="94">
        <v>100</v>
      </c>
      <c r="M12" s="94">
        <v>1</v>
      </c>
      <c r="O12" s="125" t="s">
        <v>81</v>
      </c>
      <c r="P12" s="125" t="s">
        <v>82</v>
      </c>
      <c r="Q12" s="94">
        <v>0</v>
      </c>
      <c r="R12" s="94">
        <v>1</v>
      </c>
      <c r="T12" s="94">
        <v>2</v>
      </c>
      <c r="U12" s="94">
        <v>0</v>
      </c>
      <c r="V12" s="94">
        <v>0</v>
      </c>
      <c r="X12" s="94">
        <v>0</v>
      </c>
      <c r="AA12" s="94">
        <v>1</v>
      </c>
    </row>
    <row r="13" s="94" customFormat="1" spans="1:27">
      <c r="A13" s="121">
        <v>150</v>
      </c>
      <c r="B13" s="122" t="s">
        <v>83</v>
      </c>
      <c r="C13" s="94">
        <v>-1</v>
      </c>
      <c r="D13" s="94" t="s">
        <v>84</v>
      </c>
      <c r="E13" s="94">
        <v>128</v>
      </c>
      <c r="F13" s="94">
        <v>128</v>
      </c>
      <c r="G13" s="94">
        <v>0</v>
      </c>
      <c r="H13" s="94">
        <v>0</v>
      </c>
      <c r="I13" s="94">
        <v>0</v>
      </c>
      <c r="J13" s="94">
        <v>1</v>
      </c>
      <c r="K13" s="94">
        <v>1</v>
      </c>
      <c r="L13" s="94">
        <v>100</v>
      </c>
      <c r="M13" s="94">
        <v>1</v>
      </c>
      <c r="N13" s="94" t="s">
        <v>85</v>
      </c>
      <c r="O13" s="125" t="s">
        <v>86</v>
      </c>
      <c r="P13" s="125" t="s">
        <v>87</v>
      </c>
      <c r="Q13" s="94">
        <v>0</v>
      </c>
      <c r="R13" s="94">
        <v>1</v>
      </c>
      <c r="T13" s="94">
        <v>2</v>
      </c>
      <c r="U13" s="94">
        <v>0</v>
      </c>
      <c r="V13" s="94">
        <v>0</v>
      </c>
      <c r="X13" s="94">
        <v>0</v>
      </c>
      <c r="AA13" s="94">
        <v>1</v>
      </c>
    </row>
    <row r="14" spans="1:27">
      <c r="A14" s="121">
        <v>3280001</v>
      </c>
      <c r="B14" s="122" t="s">
        <v>88</v>
      </c>
      <c r="C14" s="94">
        <v>-1</v>
      </c>
      <c r="D14" s="94" t="s">
        <v>89</v>
      </c>
      <c r="E14" s="94">
        <v>328</v>
      </c>
      <c r="F14" s="94">
        <v>328</v>
      </c>
      <c r="G14" s="94">
        <v>0</v>
      </c>
      <c r="H14" s="94">
        <v>0</v>
      </c>
      <c r="I14" s="94">
        <v>2</v>
      </c>
      <c r="J14" s="94">
        <v>1</v>
      </c>
      <c r="K14" s="94">
        <v>3</v>
      </c>
      <c r="L14" s="94">
        <v>100</v>
      </c>
      <c r="M14" s="94">
        <v>3</v>
      </c>
      <c r="O14" s="125" t="s">
        <v>90</v>
      </c>
      <c r="P14" s="125" t="s">
        <v>91</v>
      </c>
      <c r="Q14" s="94">
        <v>0</v>
      </c>
      <c r="R14" s="94">
        <v>1</v>
      </c>
      <c r="T14" s="94">
        <v>2</v>
      </c>
      <c r="U14" s="94">
        <v>0</v>
      </c>
      <c r="V14" s="94">
        <v>0</v>
      </c>
      <c r="X14" s="94">
        <v>0</v>
      </c>
      <c r="AA14" s="94">
        <v>1</v>
      </c>
    </row>
    <row r="15" spans="1:27">
      <c r="A15" s="121">
        <v>3280002</v>
      </c>
      <c r="B15" s="122" t="s">
        <v>92</v>
      </c>
      <c r="C15" s="94">
        <v>-1</v>
      </c>
      <c r="D15" s="94" t="s">
        <v>93</v>
      </c>
      <c r="E15" s="94">
        <v>328</v>
      </c>
      <c r="F15" s="94">
        <v>328</v>
      </c>
      <c r="G15" s="94">
        <v>0</v>
      </c>
      <c r="H15" s="94">
        <v>0</v>
      </c>
      <c r="I15" s="94">
        <v>2</v>
      </c>
      <c r="J15" s="94">
        <v>1</v>
      </c>
      <c r="K15" s="94">
        <v>3</v>
      </c>
      <c r="L15" s="94">
        <v>100</v>
      </c>
      <c r="M15" s="94">
        <v>3</v>
      </c>
      <c r="O15" s="125" t="s">
        <v>94</v>
      </c>
      <c r="P15" s="125" t="s">
        <v>95</v>
      </c>
      <c r="Q15" s="94">
        <v>0</v>
      </c>
      <c r="R15" s="94">
        <v>1</v>
      </c>
      <c r="T15" s="94">
        <v>3</v>
      </c>
      <c r="U15" s="94">
        <v>0</v>
      </c>
      <c r="V15" s="94">
        <v>0</v>
      </c>
      <c r="X15" s="94">
        <v>0</v>
      </c>
      <c r="AA15" s="94">
        <v>1</v>
      </c>
    </row>
    <row r="16" spans="1:27">
      <c r="A16" s="121">
        <v>3280003</v>
      </c>
      <c r="B16" s="122" t="s">
        <v>96</v>
      </c>
      <c r="C16" s="94">
        <v>-1</v>
      </c>
      <c r="D16" s="94" t="s">
        <v>97</v>
      </c>
      <c r="E16" s="94">
        <v>328</v>
      </c>
      <c r="F16" s="94">
        <v>328</v>
      </c>
      <c r="G16" s="94">
        <v>0</v>
      </c>
      <c r="H16" s="94">
        <v>0</v>
      </c>
      <c r="I16" s="94">
        <v>0</v>
      </c>
      <c r="J16" s="94">
        <v>1</v>
      </c>
      <c r="K16" s="94">
        <v>1</v>
      </c>
      <c r="L16" s="94">
        <v>100</v>
      </c>
      <c r="M16" s="94">
        <v>3</v>
      </c>
      <c r="O16" s="125" t="s">
        <v>98</v>
      </c>
      <c r="P16" s="125" t="s">
        <v>99</v>
      </c>
      <c r="Q16" s="94">
        <v>0</v>
      </c>
      <c r="R16" s="94">
        <v>1</v>
      </c>
      <c r="T16" s="94">
        <v>2</v>
      </c>
      <c r="U16" s="94">
        <v>0</v>
      </c>
      <c r="V16" s="94">
        <v>0</v>
      </c>
      <c r="X16" s="94">
        <v>0</v>
      </c>
      <c r="AA16" s="94">
        <v>1</v>
      </c>
    </row>
    <row r="17" spans="1:27">
      <c r="A17" s="121">
        <v>6480001</v>
      </c>
      <c r="B17" s="122" t="s">
        <v>100</v>
      </c>
      <c r="C17" s="94">
        <v>-1</v>
      </c>
      <c r="D17" s="94" t="s">
        <v>101</v>
      </c>
      <c r="E17" s="94">
        <v>648</v>
      </c>
      <c r="F17" s="94">
        <v>648</v>
      </c>
      <c r="G17" s="94">
        <v>0</v>
      </c>
      <c r="H17" s="94">
        <v>0</v>
      </c>
      <c r="I17" s="94">
        <v>2</v>
      </c>
      <c r="J17" s="94">
        <v>1</v>
      </c>
      <c r="K17" s="94">
        <v>1</v>
      </c>
      <c r="L17" s="94">
        <v>100</v>
      </c>
      <c r="M17" s="94">
        <v>2</v>
      </c>
      <c r="O17" s="125" t="s">
        <v>102</v>
      </c>
      <c r="P17" s="125" t="s">
        <v>103</v>
      </c>
      <c r="Q17" s="94">
        <v>0</v>
      </c>
      <c r="R17" s="94">
        <v>1</v>
      </c>
      <c r="T17" s="94">
        <v>2</v>
      </c>
      <c r="U17" s="94">
        <v>0</v>
      </c>
      <c r="V17" s="94">
        <v>0</v>
      </c>
      <c r="X17" s="94">
        <v>0</v>
      </c>
      <c r="AA17" s="94">
        <v>1</v>
      </c>
    </row>
    <row r="18" spans="1:27">
      <c r="A18" s="121">
        <v>6480002</v>
      </c>
      <c r="B18" s="122" t="s">
        <v>104</v>
      </c>
      <c r="C18" s="94">
        <v>-1</v>
      </c>
      <c r="D18" s="94" t="s">
        <v>105</v>
      </c>
      <c r="E18" s="94">
        <v>648</v>
      </c>
      <c r="F18" s="94">
        <v>648</v>
      </c>
      <c r="G18" s="94">
        <v>0</v>
      </c>
      <c r="H18" s="94">
        <v>2</v>
      </c>
      <c r="I18" s="94">
        <v>2</v>
      </c>
      <c r="J18" s="94">
        <v>1</v>
      </c>
      <c r="K18" s="94">
        <v>2</v>
      </c>
      <c r="L18" s="94">
        <v>100</v>
      </c>
      <c r="M18" s="94">
        <v>2</v>
      </c>
      <c r="O18" s="125" t="s">
        <v>106</v>
      </c>
      <c r="P18" s="125" t="s">
        <v>107</v>
      </c>
      <c r="Q18" s="94">
        <v>0</v>
      </c>
      <c r="R18" s="94">
        <v>1</v>
      </c>
      <c r="T18" s="94">
        <v>2</v>
      </c>
      <c r="U18" s="94">
        <v>0</v>
      </c>
      <c r="V18" s="94">
        <v>0</v>
      </c>
      <c r="X18" s="94">
        <v>0</v>
      </c>
      <c r="AA18" s="94">
        <v>1</v>
      </c>
    </row>
    <row r="19" spans="1:27">
      <c r="A19" s="121">
        <v>6480003</v>
      </c>
      <c r="B19" s="122" t="s">
        <v>108</v>
      </c>
      <c r="C19" s="94">
        <v>-1</v>
      </c>
      <c r="D19" s="94" t="s">
        <v>109</v>
      </c>
      <c r="E19" s="94">
        <v>648</v>
      </c>
      <c r="F19" s="94">
        <v>648</v>
      </c>
      <c r="G19" s="94">
        <v>0</v>
      </c>
      <c r="H19" s="94">
        <v>0</v>
      </c>
      <c r="I19" s="94">
        <v>2</v>
      </c>
      <c r="J19" s="94">
        <v>1</v>
      </c>
      <c r="K19" s="94">
        <v>2</v>
      </c>
      <c r="L19" s="94">
        <v>100</v>
      </c>
      <c r="M19" s="94">
        <v>2</v>
      </c>
      <c r="O19" s="125" t="s">
        <v>110</v>
      </c>
      <c r="P19" s="125" t="s">
        <v>111</v>
      </c>
      <c r="Q19" s="94">
        <v>0</v>
      </c>
      <c r="R19" s="94">
        <v>1</v>
      </c>
      <c r="T19" s="94">
        <v>3</v>
      </c>
      <c r="U19" s="94">
        <v>0</v>
      </c>
      <c r="V19" s="94">
        <v>0</v>
      </c>
      <c r="X19" s="94">
        <v>0</v>
      </c>
      <c r="AA19" s="94">
        <v>1</v>
      </c>
    </row>
    <row r="20" spans="1:27">
      <c r="A20" s="121">
        <v>6480004</v>
      </c>
      <c r="B20" s="122" t="s">
        <v>112</v>
      </c>
      <c r="C20" s="94">
        <v>-1</v>
      </c>
      <c r="D20" s="94" t="s">
        <v>113</v>
      </c>
      <c r="E20" s="94">
        <v>648</v>
      </c>
      <c r="F20" s="94">
        <v>648</v>
      </c>
      <c r="G20" s="94">
        <v>0</v>
      </c>
      <c r="H20" s="94">
        <v>0</v>
      </c>
      <c r="I20" s="94">
        <v>0</v>
      </c>
      <c r="J20" s="94">
        <v>1</v>
      </c>
      <c r="K20" s="94">
        <v>1</v>
      </c>
      <c r="L20" s="94">
        <v>100</v>
      </c>
      <c r="M20" s="94">
        <v>2</v>
      </c>
      <c r="O20" s="125" t="s">
        <v>114</v>
      </c>
      <c r="P20" s="125" t="s">
        <v>115</v>
      </c>
      <c r="Q20" s="94">
        <v>0</v>
      </c>
      <c r="R20" s="94">
        <v>1</v>
      </c>
      <c r="T20" s="94">
        <v>3</v>
      </c>
      <c r="U20" s="94">
        <v>0</v>
      </c>
      <c r="V20" s="94">
        <v>0</v>
      </c>
      <c r="X20" s="94">
        <v>0</v>
      </c>
      <c r="AA20" s="94">
        <v>1</v>
      </c>
    </row>
    <row r="21" spans="1:27">
      <c r="A21" s="121">
        <v>9990001</v>
      </c>
      <c r="B21" s="122" t="s">
        <v>116</v>
      </c>
      <c r="C21" s="94">
        <v>-1</v>
      </c>
      <c r="D21" s="94" t="s">
        <v>117</v>
      </c>
      <c r="E21" s="94">
        <v>1000</v>
      </c>
      <c r="F21" s="94">
        <v>1000</v>
      </c>
      <c r="G21" s="94">
        <v>1</v>
      </c>
      <c r="H21" s="94">
        <v>0</v>
      </c>
      <c r="I21" s="94">
        <v>3</v>
      </c>
      <c r="J21" s="94">
        <v>1</v>
      </c>
      <c r="K21" s="94">
        <v>5</v>
      </c>
      <c r="L21" s="94">
        <v>100</v>
      </c>
      <c r="M21" s="94">
        <v>9</v>
      </c>
      <c r="O21" s="125" t="s">
        <v>118</v>
      </c>
      <c r="P21" s="125" t="s">
        <v>119</v>
      </c>
      <c r="Q21" s="94">
        <v>0</v>
      </c>
      <c r="R21" s="94">
        <v>1</v>
      </c>
      <c r="T21" s="94">
        <v>4</v>
      </c>
      <c r="U21" s="94">
        <v>0</v>
      </c>
      <c r="V21" s="94">
        <v>0</v>
      </c>
      <c r="X21" s="94">
        <v>0</v>
      </c>
      <c r="AA21" s="94">
        <v>1</v>
      </c>
    </row>
    <row r="22" s="103" customFormat="1" spans="1:27">
      <c r="A22" s="123">
        <v>9990002</v>
      </c>
      <c r="B22" s="124" t="s">
        <v>120</v>
      </c>
      <c r="C22" s="103">
        <v>-1</v>
      </c>
      <c r="D22" s="103" t="s">
        <v>121</v>
      </c>
      <c r="E22" s="103">
        <v>1000</v>
      </c>
      <c r="F22" s="103">
        <v>1000</v>
      </c>
      <c r="G22" s="103">
        <v>1</v>
      </c>
      <c r="H22" s="103">
        <v>0</v>
      </c>
      <c r="I22" s="103">
        <v>3</v>
      </c>
      <c r="J22" s="103">
        <v>1</v>
      </c>
      <c r="K22" s="103">
        <v>5</v>
      </c>
      <c r="L22" s="103">
        <v>100</v>
      </c>
      <c r="M22" s="103">
        <v>16</v>
      </c>
      <c r="O22" s="126" t="s">
        <v>122</v>
      </c>
      <c r="P22" s="126" t="s">
        <v>123</v>
      </c>
      <c r="Q22" s="103">
        <v>0</v>
      </c>
      <c r="R22" s="103">
        <v>1</v>
      </c>
      <c r="T22" s="103">
        <v>4</v>
      </c>
      <c r="U22" s="94">
        <v>0</v>
      </c>
      <c r="V22" s="94">
        <v>0</v>
      </c>
      <c r="X22" s="94">
        <v>0</v>
      </c>
      <c r="AA22" s="94">
        <v>1</v>
      </c>
    </row>
    <row r="23" spans="1:27">
      <c r="A23" s="121">
        <v>16010001</v>
      </c>
      <c r="B23" s="121" t="s">
        <v>124</v>
      </c>
      <c r="C23" s="94">
        <v>-1</v>
      </c>
      <c r="D23" s="94" t="s">
        <v>125</v>
      </c>
      <c r="E23" s="94">
        <v>68</v>
      </c>
      <c r="F23" s="94">
        <v>68</v>
      </c>
      <c r="G23" s="94">
        <v>0</v>
      </c>
      <c r="H23" s="94">
        <v>0</v>
      </c>
      <c r="I23" s="94">
        <v>0</v>
      </c>
      <c r="J23" s="94">
        <v>1</v>
      </c>
      <c r="K23" s="94">
        <v>1</v>
      </c>
      <c r="L23" s="94">
        <v>100</v>
      </c>
      <c r="M23" s="94">
        <v>0</v>
      </c>
      <c r="N23" s="94" t="s">
        <v>126</v>
      </c>
      <c r="O23" s="125" t="s">
        <v>61</v>
      </c>
      <c r="P23" s="125" t="s">
        <v>62</v>
      </c>
      <c r="Q23" s="94">
        <v>0</v>
      </c>
      <c r="R23" s="94">
        <v>0</v>
      </c>
      <c r="T23" s="94">
        <v>1</v>
      </c>
      <c r="U23" s="94">
        <v>0</v>
      </c>
      <c r="V23" s="94">
        <v>0</v>
      </c>
      <c r="X23" s="94">
        <v>0</v>
      </c>
      <c r="AA23" s="94">
        <v>1</v>
      </c>
    </row>
    <row r="24" s="94" customFormat="1" spans="1:27">
      <c r="A24" s="121">
        <v>16010002</v>
      </c>
      <c r="B24" s="121" t="s">
        <v>127</v>
      </c>
      <c r="C24" s="94">
        <v>-1</v>
      </c>
      <c r="D24" s="94" t="s">
        <v>128</v>
      </c>
      <c r="E24" s="94">
        <v>328</v>
      </c>
      <c r="F24" s="94">
        <v>328</v>
      </c>
      <c r="G24" s="94">
        <v>0</v>
      </c>
      <c r="H24" s="94">
        <v>0</v>
      </c>
      <c r="I24" s="94">
        <v>0</v>
      </c>
      <c r="J24" s="94">
        <v>1</v>
      </c>
      <c r="K24" s="94">
        <v>1</v>
      </c>
      <c r="L24" s="94">
        <v>100</v>
      </c>
      <c r="M24" s="94">
        <v>0</v>
      </c>
      <c r="N24" s="94" t="s">
        <v>129</v>
      </c>
      <c r="O24" s="125" t="s">
        <v>61</v>
      </c>
      <c r="P24" s="125" t="s">
        <v>62</v>
      </c>
      <c r="Q24" s="94">
        <v>0</v>
      </c>
      <c r="R24" s="94">
        <v>0</v>
      </c>
      <c r="T24" s="94">
        <v>1</v>
      </c>
      <c r="U24" s="94">
        <v>0</v>
      </c>
      <c r="V24" s="94">
        <v>0</v>
      </c>
      <c r="X24" s="94">
        <v>0</v>
      </c>
      <c r="AA24" s="94">
        <v>1</v>
      </c>
    </row>
    <row r="25" s="94" customFormat="1" spans="1:27">
      <c r="A25" s="121">
        <v>16010003</v>
      </c>
      <c r="B25" s="121" t="s">
        <v>130</v>
      </c>
      <c r="C25" s="94">
        <v>-1</v>
      </c>
      <c r="D25" s="94" t="s">
        <v>131</v>
      </c>
      <c r="E25" s="94">
        <v>128</v>
      </c>
      <c r="F25" s="94">
        <v>128</v>
      </c>
      <c r="G25" s="94">
        <v>0</v>
      </c>
      <c r="H25" s="94">
        <v>0</v>
      </c>
      <c r="I25" s="94">
        <v>0</v>
      </c>
      <c r="J25" s="94">
        <v>1</v>
      </c>
      <c r="K25" s="94">
        <v>1</v>
      </c>
      <c r="L25" s="94">
        <v>100</v>
      </c>
      <c r="M25" s="94">
        <v>0</v>
      </c>
      <c r="N25" s="94" t="s">
        <v>85</v>
      </c>
      <c r="O25" s="125" t="s">
        <v>61</v>
      </c>
      <c r="P25" s="125" t="s">
        <v>62</v>
      </c>
      <c r="Q25" s="94">
        <v>0</v>
      </c>
      <c r="R25" s="94">
        <v>0</v>
      </c>
      <c r="T25" s="94">
        <v>1</v>
      </c>
      <c r="U25" s="94">
        <v>0</v>
      </c>
      <c r="V25" s="94">
        <v>0</v>
      </c>
      <c r="X25" s="94">
        <v>0</v>
      </c>
      <c r="AA25" s="94">
        <v>1</v>
      </c>
    </row>
    <row r="26" s="94" customFormat="1" spans="1:27">
      <c r="A26" s="121">
        <v>16010004</v>
      </c>
      <c r="B26" s="121" t="s">
        <v>132</v>
      </c>
      <c r="C26" s="94">
        <v>-1</v>
      </c>
      <c r="D26" s="94" t="s">
        <v>133</v>
      </c>
      <c r="E26" s="94">
        <v>648</v>
      </c>
      <c r="F26" s="94">
        <v>648</v>
      </c>
      <c r="G26" s="94">
        <v>0</v>
      </c>
      <c r="H26" s="94">
        <v>0</v>
      </c>
      <c r="I26" s="94">
        <v>0</v>
      </c>
      <c r="J26" s="94">
        <v>1</v>
      </c>
      <c r="K26" s="94">
        <v>1</v>
      </c>
      <c r="L26" s="94">
        <v>100</v>
      </c>
      <c r="M26" s="94">
        <v>0</v>
      </c>
      <c r="N26" s="94" t="s">
        <v>134</v>
      </c>
      <c r="O26" s="125" t="s">
        <v>61</v>
      </c>
      <c r="P26" s="125" t="s">
        <v>62</v>
      </c>
      <c r="Q26" s="94">
        <v>0</v>
      </c>
      <c r="R26" s="94">
        <v>0</v>
      </c>
      <c r="T26" s="94">
        <v>1</v>
      </c>
      <c r="U26" s="94">
        <v>0</v>
      </c>
      <c r="V26" s="94">
        <v>0</v>
      </c>
      <c r="X26" s="94">
        <v>0</v>
      </c>
      <c r="AA26" s="94">
        <v>1</v>
      </c>
    </row>
    <row r="27" spans="1:27">
      <c r="A27" s="121">
        <v>20916001</v>
      </c>
      <c r="B27" s="121" t="s">
        <v>135</v>
      </c>
      <c r="C27" s="94">
        <v>-1</v>
      </c>
      <c r="D27" s="94" t="s">
        <v>136</v>
      </c>
      <c r="E27" s="94">
        <v>6</v>
      </c>
      <c r="F27" s="94">
        <v>6</v>
      </c>
      <c r="G27" s="94">
        <v>0</v>
      </c>
      <c r="H27" s="94">
        <v>0</v>
      </c>
      <c r="I27" s="94">
        <v>1</v>
      </c>
      <c r="J27" s="94">
        <v>1</v>
      </c>
      <c r="K27" s="94">
        <v>1</v>
      </c>
      <c r="L27" s="94">
        <v>100</v>
      </c>
      <c r="M27" s="94">
        <v>0</v>
      </c>
      <c r="O27" s="125" t="s">
        <v>137</v>
      </c>
      <c r="P27" s="125" t="s">
        <v>138</v>
      </c>
      <c r="Q27" s="94">
        <v>1</v>
      </c>
      <c r="R27" s="94">
        <v>0</v>
      </c>
      <c r="T27" s="94">
        <v>1</v>
      </c>
      <c r="U27" s="94">
        <v>0</v>
      </c>
      <c r="V27" s="94">
        <v>0</v>
      </c>
      <c r="X27" s="94">
        <v>0</v>
      </c>
      <c r="AA27" s="94">
        <v>1</v>
      </c>
    </row>
    <row r="28" spans="1:27">
      <c r="A28" s="121">
        <v>20916002</v>
      </c>
      <c r="B28" s="121" t="s">
        <v>139</v>
      </c>
      <c r="C28" s="94">
        <v>-1</v>
      </c>
      <c r="D28" s="94" t="s">
        <v>140</v>
      </c>
      <c r="E28" s="94">
        <v>648</v>
      </c>
      <c r="F28" s="94">
        <v>648</v>
      </c>
      <c r="G28" s="94">
        <v>0</v>
      </c>
      <c r="H28" s="94">
        <v>0</v>
      </c>
      <c r="I28" s="94">
        <v>0</v>
      </c>
      <c r="J28" s="94">
        <v>1</v>
      </c>
      <c r="K28" s="94">
        <v>1</v>
      </c>
      <c r="L28" s="94">
        <v>100</v>
      </c>
      <c r="M28" s="94">
        <v>2</v>
      </c>
      <c r="O28" s="125" t="s">
        <v>137</v>
      </c>
      <c r="P28" s="125" t="s">
        <v>138</v>
      </c>
      <c r="Q28" s="94">
        <v>1</v>
      </c>
      <c r="R28" s="94">
        <v>0</v>
      </c>
      <c r="T28" s="94">
        <v>1</v>
      </c>
      <c r="U28" s="94">
        <v>0</v>
      </c>
      <c r="V28" s="94">
        <v>0</v>
      </c>
      <c r="X28" s="94">
        <v>0</v>
      </c>
      <c r="AA28" s="94">
        <v>1</v>
      </c>
    </row>
    <row r="29" spans="1:27">
      <c r="A29" s="121">
        <v>20923001</v>
      </c>
      <c r="B29" s="121" t="s">
        <v>135</v>
      </c>
      <c r="C29" s="94">
        <v>-1</v>
      </c>
      <c r="D29" s="94" t="s">
        <v>136</v>
      </c>
      <c r="E29" s="94">
        <v>6</v>
      </c>
      <c r="F29" s="94">
        <v>6</v>
      </c>
      <c r="G29" s="94">
        <v>0</v>
      </c>
      <c r="H29" s="94">
        <v>0</v>
      </c>
      <c r="I29" s="94">
        <v>1</v>
      </c>
      <c r="J29" s="94">
        <v>1</v>
      </c>
      <c r="K29" s="94">
        <v>1</v>
      </c>
      <c r="L29" s="94">
        <v>100</v>
      </c>
      <c r="M29" s="94">
        <v>0</v>
      </c>
      <c r="O29" s="125" t="s">
        <v>141</v>
      </c>
      <c r="P29" s="125" t="s">
        <v>142</v>
      </c>
      <c r="Q29" s="94">
        <v>1</v>
      </c>
      <c r="R29" s="94">
        <v>0</v>
      </c>
      <c r="T29" s="94">
        <v>1</v>
      </c>
      <c r="U29" s="94">
        <v>0</v>
      </c>
      <c r="V29" s="94">
        <v>0</v>
      </c>
      <c r="X29" s="94">
        <v>0</v>
      </c>
      <c r="AA29" s="94">
        <v>1</v>
      </c>
    </row>
    <row r="30" spans="1:27">
      <c r="A30" s="121">
        <v>20923002</v>
      </c>
      <c r="B30" s="121" t="s">
        <v>139</v>
      </c>
      <c r="C30" s="94">
        <v>-1</v>
      </c>
      <c r="D30" s="94" t="s">
        <v>140</v>
      </c>
      <c r="E30" s="94">
        <v>648</v>
      </c>
      <c r="F30" s="94">
        <v>648</v>
      </c>
      <c r="G30" s="94">
        <v>0</v>
      </c>
      <c r="H30" s="94">
        <v>0</v>
      </c>
      <c r="I30" s="94">
        <v>0</v>
      </c>
      <c r="J30" s="94">
        <v>1</v>
      </c>
      <c r="K30" s="94">
        <v>1</v>
      </c>
      <c r="L30" s="94">
        <v>100</v>
      </c>
      <c r="M30" s="94">
        <v>2</v>
      </c>
      <c r="O30" s="125" t="s">
        <v>141</v>
      </c>
      <c r="P30" s="125" t="s">
        <v>142</v>
      </c>
      <c r="Q30" s="94">
        <v>1</v>
      </c>
      <c r="R30" s="94">
        <v>0</v>
      </c>
      <c r="T30" s="94">
        <v>1</v>
      </c>
      <c r="U30" s="94">
        <v>0</v>
      </c>
      <c r="V30" s="94">
        <v>0</v>
      </c>
      <c r="X30" s="94">
        <v>0</v>
      </c>
      <c r="AA30" s="94">
        <v>1</v>
      </c>
    </row>
    <row r="31" spans="1:27">
      <c r="A31" s="121">
        <v>20929001</v>
      </c>
      <c r="B31" s="121" t="s">
        <v>135</v>
      </c>
      <c r="C31" s="94">
        <v>-1</v>
      </c>
      <c r="D31" s="94" t="s">
        <v>143</v>
      </c>
      <c r="E31" s="94">
        <v>30</v>
      </c>
      <c r="F31" s="94">
        <v>30</v>
      </c>
      <c r="G31" s="94">
        <v>0</v>
      </c>
      <c r="H31" s="94">
        <v>0</v>
      </c>
      <c r="I31" s="94">
        <v>0</v>
      </c>
      <c r="J31" s="94">
        <v>1</v>
      </c>
      <c r="K31" s="94">
        <v>3</v>
      </c>
      <c r="L31" s="94">
        <v>100</v>
      </c>
      <c r="M31" s="94">
        <v>0</v>
      </c>
      <c r="O31" s="125" t="s">
        <v>144</v>
      </c>
      <c r="P31" s="125" t="s">
        <v>145</v>
      </c>
      <c r="Q31" s="94">
        <v>1</v>
      </c>
      <c r="R31" s="94">
        <v>0</v>
      </c>
      <c r="T31" s="94">
        <v>1</v>
      </c>
      <c r="U31" s="94">
        <v>0</v>
      </c>
      <c r="V31" s="94">
        <v>0</v>
      </c>
      <c r="X31" s="94">
        <v>0</v>
      </c>
      <c r="AA31" s="94">
        <v>1</v>
      </c>
    </row>
    <row r="32" spans="1:27">
      <c r="A32" s="121">
        <v>20929002</v>
      </c>
      <c r="B32" s="121" t="s">
        <v>139</v>
      </c>
      <c r="C32" s="94">
        <v>-1</v>
      </c>
      <c r="D32" s="94" t="s">
        <v>146</v>
      </c>
      <c r="E32" s="94">
        <v>128</v>
      </c>
      <c r="F32" s="94">
        <v>128</v>
      </c>
      <c r="G32" s="94">
        <v>0</v>
      </c>
      <c r="H32" s="94">
        <v>0</v>
      </c>
      <c r="I32" s="94">
        <v>0</v>
      </c>
      <c r="J32" s="94">
        <v>1</v>
      </c>
      <c r="K32" s="94">
        <v>3</v>
      </c>
      <c r="L32" s="94">
        <v>100</v>
      </c>
      <c r="M32" s="94">
        <v>2</v>
      </c>
      <c r="O32" s="125" t="s">
        <v>144</v>
      </c>
      <c r="P32" s="125" t="s">
        <v>145</v>
      </c>
      <c r="Q32" s="94">
        <v>1</v>
      </c>
      <c r="R32" s="94">
        <v>0</v>
      </c>
      <c r="T32" s="94">
        <v>1</v>
      </c>
      <c r="U32" s="94">
        <v>0</v>
      </c>
      <c r="V32" s="94">
        <v>0</v>
      </c>
      <c r="X32" s="94">
        <v>0</v>
      </c>
      <c r="AA32" s="94">
        <v>1</v>
      </c>
    </row>
    <row r="33" spans="1:27">
      <c r="A33" s="121">
        <v>20929003</v>
      </c>
      <c r="B33" s="121" t="s">
        <v>147</v>
      </c>
      <c r="C33" s="94">
        <v>-1</v>
      </c>
      <c r="D33" s="94" t="s">
        <v>148</v>
      </c>
      <c r="E33" s="94">
        <v>648</v>
      </c>
      <c r="F33" s="94">
        <v>648</v>
      </c>
      <c r="G33" s="94">
        <v>0</v>
      </c>
      <c r="H33" s="94">
        <v>0</v>
      </c>
      <c r="I33" s="94">
        <v>0</v>
      </c>
      <c r="J33" s="94">
        <v>1</v>
      </c>
      <c r="K33" s="94">
        <v>1</v>
      </c>
      <c r="L33" s="94">
        <v>100</v>
      </c>
      <c r="M33" s="94">
        <v>3</v>
      </c>
      <c r="O33" s="125" t="s">
        <v>144</v>
      </c>
      <c r="P33" s="125" t="s">
        <v>145</v>
      </c>
      <c r="Q33" s="94">
        <v>1</v>
      </c>
      <c r="R33" s="94">
        <v>0</v>
      </c>
      <c r="T33" s="94">
        <v>1</v>
      </c>
      <c r="U33" s="94">
        <v>0</v>
      </c>
      <c r="V33" s="94">
        <v>0</v>
      </c>
      <c r="X33" s="94">
        <v>0</v>
      </c>
      <c r="AA33" s="94">
        <v>1</v>
      </c>
    </row>
    <row r="34" s="94" customFormat="1" spans="1:27">
      <c r="A34" s="121">
        <v>20929004</v>
      </c>
      <c r="B34" s="121" t="s">
        <v>135</v>
      </c>
      <c r="C34" s="94">
        <v>-1</v>
      </c>
      <c r="D34" s="94" t="s">
        <v>143</v>
      </c>
      <c r="E34" s="94">
        <v>30</v>
      </c>
      <c r="F34" s="94">
        <v>30</v>
      </c>
      <c r="G34" s="94">
        <v>0</v>
      </c>
      <c r="H34" s="94">
        <v>0</v>
      </c>
      <c r="I34" s="94">
        <v>0</v>
      </c>
      <c r="J34" s="94">
        <v>1</v>
      </c>
      <c r="K34" s="94">
        <v>3</v>
      </c>
      <c r="L34" s="94">
        <v>100</v>
      </c>
      <c r="M34" s="94">
        <v>0</v>
      </c>
      <c r="O34" s="125" t="s">
        <v>149</v>
      </c>
      <c r="P34" s="125" t="s">
        <v>150</v>
      </c>
      <c r="Q34" s="94">
        <v>1</v>
      </c>
      <c r="R34" s="94">
        <v>0</v>
      </c>
      <c r="T34" s="94">
        <v>1</v>
      </c>
      <c r="U34" s="94">
        <v>0</v>
      </c>
      <c r="V34" s="94">
        <v>0</v>
      </c>
      <c r="X34" s="94">
        <v>0</v>
      </c>
      <c r="AA34" s="94">
        <v>1</v>
      </c>
    </row>
    <row r="35" s="94" customFormat="1" spans="1:27">
      <c r="A35" s="121">
        <v>20929005</v>
      </c>
      <c r="B35" s="121" t="s">
        <v>139</v>
      </c>
      <c r="C35" s="94">
        <v>-1</v>
      </c>
      <c r="D35" s="94" t="s">
        <v>146</v>
      </c>
      <c r="E35" s="94">
        <v>128</v>
      </c>
      <c r="F35" s="94">
        <v>128</v>
      </c>
      <c r="G35" s="94">
        <v>0</v>
      </c>
      <c r="H35" s="94">
        <v>0</v>
      </c>
      <c r="I35" s="94">
        <v>0</v>
      </c>
      <c r="J35" s="94">
        <v>1</v>
      </c>
      <c r="K35" s="94">
        <v>3</v>
      </c>
      <c r="L35" s="94">
        <v>100</v>
      </c>
      <c r="M35" s="94">
        <v>2</v>
      </c>
      <c r="O35" s="125" t="s">
        <v>149</v>
      </c>
      <c r="P35" s="125" t="s">
        <v>150</v>
      </c>
      <c r="Q35" s="94">
        <v>1</v>
      </c>
      <c r="R35" s="94">
        <v>0</v>
      </c>
      <c r="T35" s="94">
        <v>1</v>
      </c>
      <c r="U35" s="94">
        <v>0</v>
      </c>
      <c r="V35" s="94">
        <v>0</v>
      </c>
      <c r="X35" s="94">
        <v>0</v>
      </c>
      <c r="AA35" s="94">
        <v>1</v>
      </c>
    </row>
    <row r="36" s="94" customFormat="1" spans="1:27">
      <c r="A36" s="121">
        <v>20929006</v>
      </c>
      <c r="B36" s="121" t="s">
        <v>147</v>
      </c>
      <c r="C36" s="94">
        <v>-1</v>
      </c>
      <c r="D36" s="94" t="s">
        <v>148</v>
      </c>
      <c r="E36" s="94">
        <v>648</v>
      </c>
      <c r="F36" s="94">
        <v>648</v>
      </c>
      <c r="G36" s="94">
        <v>0</v>
      </c>
      <c r="H36" s="94">
        <v>0</v>
      </c>
      <c r="I36" s="94">
        <v>0</v>
      </c>
      <c r="J36" s="94">
        <v>1</v>
      </c>
      <c r="K36" s="94">
        <v>1</v>
      </c>
      <c r="L36" s="94">
        <v>100</v>
      </c>
      <c r="M36" s="94">
        <v>3</v>
      </c>
      <c r="O36" s="125" t="s">
        <v>149</v>
      </c>
      <c r="P36" s="125" t="s">
        <v>150</v>
      </c>
      <c r="Q36" s="94">
        <v>1</v>
      </c>
      <c r="R36" s="94">
        <v>0</v>
      </c>
      <c r="T36" s="94">
        <v>1</v>
      </c>
      <c r="U36" s="94">
        <v>0</v>
      </c>
      <c r="V36" s="94">
        <v>0</v>
      </c>
      <c r="X36" s="94">
        <v>0</v>
      </c>
      <c r="AA36" s="94">
        <v>1</v>
      </c>
    </row>
    <row r="37" spans="1:27">
      <c r="A37" s="121">
        <v>20102001</v>
      </c>
      <c r="B37" s="121" t="s">
        <v>151</v>
      </c>
      <c r="C37" s="94">
        <v>-1</v>
      </c>
      <c r="D37" s="94" t="s">
        <v>136</v>
      </c>
      <c r="E37" s="94">
        <v>6</v>
      </c>
      <c r="F37" s="94">
        <v>6</v>
      </c>
      <c r="G37" s="94">
        <v>0</v>
      </c>
      <c r="H37" s="94">
        <v>0</v>
      </c>
      <c r="I37" s="94">
        <v>1</v>
      </c>
      <c r="J37" s="94">
        <v>1</v>
      </c>
      <c r="K37" s="94">
        <v>1</v>
      </c>
      <c r="L37" s="94">
        <v>100</v>
      </c>
      <c r="M37" s="94">
        <v>0</v>
      </c>
      <c r="O37" s="125" t="s">
        <v>152</v>
      </c>
      <c r="P37" s="125" t="s">
        <v>153</v>
      </c>
      <c r="Q37" s="94">
        <v>1</v>
      </c>
      <c r="R37" s="94">
        <v>0</v>
      </c>
      <c r="T37" s="94">
        <v>1</v>
      </c>
      <c r="U37" s="94">
        <v>0</v>
      </c>
      <c r="V37" s="94">
        <v>0</v>
      </c>
      <c r="X37" s="94">
        <v>0</v>
      </c>
      <c r="AA37" s="94">
        <v>1</v>
      </c>
    </row>
    <row r="38" spans="1:27">
      <c r="A38" s="121">
        <v>20102002</v>
      </c>
      <c r="B38" s="121" t="s">
        <v>154</v>
      </c>
      <c r="C38" s="94">
        <v>-1</v>
      </c>
      <c r="D38" s="94" t="s">
        <v>146</v>
      </c>
      <c r="E38" s="94">
        <v>128</v>
      </c>
      <c r="F38" s="94">
        <v>128</v>
      </c>
      <c r="G38" s="94">
        <v>0</v>
      </c>
      <c r="H38" s="94">
        <v>0</v>
      </c>
      <c r="I38" s="94">
        <v>0</v>
      </c>
      <c r="J38" s="94">
        <v>1</v>
      </c>
      <c r="K38" s="94">
        <v>3</v>
      </c>
      <c r="L38" s="94">
        <v>100</v>
      </c>
      <c r="M38" s="94">
        <v>2</v>
      </c>
      <c r="O38" s="125" t="s">
        <v>152</v>
      </c>
      <c r="P38" s="125" t="s">
        <v>153</v>
      </c>
      <c r="Q38" s="94">
        <v>1</v>
      </c>
      <c r="R38" s="94">
        <v>0</v>
      </c>
      <c r="T38" s="94">
        <v>1</v>
      </c>
      <c r="U38" s="94">
        <v>0</v>
      </c>
      <c r="V38" s="94">
        <v>0</v>
      </c>
      <c r="X38" s="94">
        <v>0</v>
      </c>
      <c r="AA38" s="94">
        <v>1</v>
      </c>
    </row>
    <row r="39" spans="1:27">
      <c r="A39" s="121">
        <v>20102003</v>
      </c>
      <c r="B39" s="121" t="s">
        <v>155</v>
      </c>
      <c r="C39" s="94">
        <v>-1</v>
      </c>
      <c r="D39" s="94" t="s">
        <v>140</v>
      </c>
      <c r="E39" s="94">
        <v>648</v>
      </c>
      <c r="F39" s="94">
        <v>648</v>
      </c>
      <c r="G39" s="94">
        <v>0</v>
      </c>
      <c r="H39" s="94">
        <v>0</v>
      </c>
      <c r="I39" s="94">
        <v>0</v>
      </c>
      <c r="J39" s="94">
        <v>1</v>
      </c>
      <c r="K39" s="94">
        <v>1</v>
      </c>
      <c r="L39" s="94">
        <v>100</v>
      </c>
      <c r="M39" s="94">
        <v>3</v>
      </c>
      <c r="O39" s="125" t="s">
        <v>152</v>
      </c>
      <c r="P39" s="125" t="s">
        <v>153</v>
      </c>
      <c r="Q39" s="94">
        <v>1</v>
      </c>
      <c r="R39" s="94">
        <v>0</v>
      </c>
      <c r="T39" s="94">
        <v>1</v>
      </c>
      <c r="U39" s="94">
        <v>0</v>
      </c>
      <c r="V39" s="94">
        <v>0</v>
      </c>
      <c r="X39" s="94">
        <v>0</v>
      </c>
      <c r="AA39" s="94">
        <v>1</v>
      </c>
    </row>
    <row r="40" spans="1:27">
      <c r="A40" s="121">
        <v>20102801</v>
      </c>
      <c r="B40" s="121" t="s">
        <v>156</v>
      </c>
      <c r="C40" s="94">
        <v>-1</v>
      </c>
      <c r="D40" s="94" t="s">
        <v>143</v>
      </c>
      <c r="E40" s="94">
        <v>30</v>
      </c>
      <c r="F40" s="94">
        <v>30</v>
      </c>
      <c r="G40" s="94">
        <v>0</v>
      </c>
      <c r="H40" s="94">
        <v>0</v>
      </c>
      <c r="I40" s="94">
        <v>0</v>
      </c>
      <c r="J40" s="94">
        <v>1</v>
      </c>
      <c r="K40" s="94">
        <v>3</v>
      </c>
      <c r="L40" s="94">
        <v>100</v>
      </c>
      <c r="M40" s="94">
        <v>0</v>
      </c>
      <c r="O40" s="125" t="s">
        <v>157</v>
      </c>
      <c r="P40" s="125" t="s">
        <v>158</v>
      </c>
      <c r="Q40" s="94">
        <v>1</v>
      </c>
      <c r="R40" s="94">
        <v>0</v>
      </c>
      <c r="T40" s="94">
        <v>1</v>
      </c>
      <c r="U40" s="94">
        <v>0</v>
      </c>
      <c r="V40" s="94">
        <v>0</v>
      </c>
      <c r="X40" s="94">
        <v>0</v>
      </c>
      <c r="AA40" s="94">
        <v>1</v>
      </c>
    </row>
    <row r="41" spans="1:27">
      <c r="A41" s="121">
        <v>20102802</v>
      </c>
      <c r="B41" s="121" t="s">
        <v>159</v>
      </c>
      <c r="C41" s="94">
        <v>-1</v>
      </c>
      <c r="D41" s="94" t="s">
        <v>148</v>
      </c>
      <c r="E41" s="94">
        <v>648</v>
      </c>
      <c r="F41" s="94">
        <v>648</v>
      </c>
      <c r="G41" s="94">
        <v>0</v>
      </c>
      <c r="H41" s="94">
        <v>0</v>
      </c>
      <c r="I41" s="94">
        <v>0</v>
      </c>
      <c r="J41" s="94">
        <v>1</v>
      </c>
      <c r="K41" s="94">
        <v>1</v>
      </c>
      <c r="L41" s="94">
        <v>100</v>
      </c>
      <c r="M41" s="94">
        <v>3</v>
      </c>
      <c r="O41" s="125" t="s">
        <v>157</v>
      </c>
      <c r="P41" s="125" t="s">
        <v>158</v>
      </c>
      <c r="Q41" s="94">
        <v>1</v>
      </c>
      <c r="R41" s="94">
        <v>0</v>
      </c>
      <c r="T41" s="94">
        <v>1</v>
      </c>
      <c r="U41" s="94">
        <v>0</v>
      </c>
      <c r="V41" s="94">
        <v>0</v>
      </c>
      <c r="X41" s="94">
        <v>0</v>
      </c>
      <c r="AA41" s="94">
        <v>1</v>
      </c>
    </row>
    <row r="42" spans="1:27">
      <c r="A42" s="121">
        <v>20110401</v>
      </c>
      <c r="B42" s="121" t="s">
        <v>151</v>
      </c>
      <c r="C42" s="94">
        <v>-1</v>
      </c>
      <c r="D42" s="94" t="s">
        <v>136</v>
      </c>
      <c r="E42" s="94">
        <v>6</v>
      </c>
      <c r="F42" s="94">
        <v>6</v>
      </c>
      <c r="G42" s="94">
        <v>0</v>
      </c>
      <c r="H42" s="94">
        <v>0</v>
      </c>
      <c r="I42" s="94">
        <v>1</v>
      </c>
      <c r="J42" s="94">
        <v>1</v>
      </c>
      <c r="K42" s="94">
        <v>1</v>
      </c>
      <c r="L42" s="94">
        <v>100</v>
      </c>
      <c r="M42" s="94">
        <v>0</v>
      </c>
      <c r="O42" s="125" t="s">
        <v>160</v>
      </c>
      <c r="P42" s="125" t="s">
        <v>161</v>
      </c>
      <c r="Q42" s="94">
        <v>1</v>
      </c>
      <c r="R42" s="94">
        <v>0</v>
      </c>
      <c r="T42" s="94">
        <v>1</v>
      </c>
      <c r="U42" s="94">
        <v>0</v>
      </c>
      <c r="V42" s="94">
        <v>0</v>
      </c>
      <c r="X42" s="94">
        <v>0</v>
      </c>
      <c r="AA42" s="94">
        <v>1</v>
      </c>
    </row>
    <row r="43" spans="1:27">
      <c r="A43" s="121">
        <v>20110402</v>
      </c>
      <c r="B43" s="121" t="s">
        <v>162</v>
      </c>
      <c r="C43" s="94">
        <v>-1</v>
      </c>
      <c r="D43" s="94" t="s">
        <v>143</v>
      </c>
      <c r="E43" s="94">
        <v>30</v>
      </c>
      <c r="F43" s="94">
        <v>30</v>
      </c>
      <c r="G43" s="94">
        <v>0</v>
      </c>
      <c r="H43" s="94">
        <v>0</v>
      </c>
      <c r="I43" s="94">
        <v>0</v>
      </c>
      <c r="J43" s="94">
        <v>1</v>
      </c>
      <c r="K43" s="94">
        <v>3</v>
      </c>
      <c r="L43" s="94">
        <v>100</v>
      </c>
      <c r="M43" s="94">
        <v>1</v>
      </c>
      <c r="O43" s="125" t="s">
        <v>160</v>
      </c>
      <c r="P43" s="125" t="s">
        <v>161</v>
      </c>
      <c r="Q43" s="94">
        <v>1</v>
      </c>
      <c r="R43" s="94">
        <v>0</v>
      </c>
      <c r="T43" s="94">
        <v>1</v>
      </c>
      <c r="U43" s="94">
        <v>0</v>
      </c>
      <c r="V43" s="94">
        <v>0</v>
      </c>
      <c r="X43" s="94">
        <v>0</v>
      </c>
      <c r="AA43" s="94">
        <v>1</v>
      </c>
    </row>
    <row r="44" spans="1:27">
      <c r="A44" s="121">
        <v>20110403</v>
      </c>
      <c r="B44" s="121" t="s">
        <v>154</v>
      </c>
      <c r="C44" s="94">
        <v>-1</v>
      </c>
      <c r="D44" s="94" t="s">
        <v>146</v>
      </c>
      <c r="E44" s="94">
        <v>128</v>
      </c>
      <c r="F44" s="94">
        <v>128</v>
      </c>
      <c r="G44" s="94">
        <v>0</v>
      </c>
      <c r="H44" s="94">
        <v>0</v>
      </c>
      <c r="I44" s="94">
        <v>0</v>
      </c>
      <c r="J44" s="94">
        <v>1</v>
      </c>
      <c r="K44" s="94">
        <v>3</v>
      </c>
      <c r="L44" s="94">
        <v>100</v>
      </c>
      <c r="M44" s="94">
        <v>2</v>
      </c>
      <c r="O44" s="125" t="s">
        <v>160</v>
      </c>
      <c r="P44" s="125" t="s">
        <v>161</v>
      </c>
      <c r="Q44" s="94">
        <v>1</v>
      </c>
      <c r="R44" s="94">
        <v>0</v>
      </c>
      <c r="T44" s="94">
        <v>1</v>
      </c>
      <c r="U44" s="94">
        <v>0</v>
      </c>
      <c r="V44" s="94">
        <v>0</v>
      </c>
      <c r="X44" s="94">
        <v>0</v>
      </c>
      <c r="AA44" s="94">
        <v>1</v>
      </c>
    </row>
    <row r="45" spans="1:27">
      <c r="A45" s="121">
        <v>20110404</v>
      </c>
      <c r="B45" s="121" t="s">
        <v>155</v>
      </c>
      <c r="C45" s="94">
        <v>-1</v>
      </c>
      <c r="D45" s="94" t="s">
        <v>148</v>
      </c>
      <c r="E45" s="94">
        <v>648</v>
      </c>
      <c r="F45" s="94">
        <v>648</v>
      </c>
      <c r="G45" s="94">
        <v>0</v>
      </c>
      <c r="H45" s="94">
        <v>0</v>
      </c>
      <c r="I45" s="94">
        <v>0</v>
      </c>
      <c r="J45" s="94">
        <v>1</v>
      </c>
      <c r="K45" s="94">
        <v>1</v>
      </c>
      <c r="L45" s="94">
        <v>100</v>
      </c>
      <c r="M45" s="94">
        <v>3</v>
      </c>
      <c r="O45" s="125" t="s">
        <v>160</v>
      </c>
      <c r="P45" s="125" t="s">
        <v>161</v>
      </c>
      <c r="Q45" s="94">
        <v>1</v>
      </c>
      <c r="R45" s="94">
        <v>0</v>
      </c>
      <c r="T45" s="94">
        <v>1</v>
      </c>
      <c r="U45" s="94">
        <v>0</v>
      </c>
      <c r="V45" s="94">
        <v>0</v>
      </c>
      <c r="X45" s="94">
        <v>0</v>
      </c>
      <c r="AA45" s="94">
        <v>1</v>
      </c>
    </row>
    <row r="46" s="94" customFormat="1" spans="1:27">
      <c r="A46" s="121">
        <v>20111101</v>
      </c>
      <c r="B46" s="121" t="s">
        <v>151</v>
      </c>
      <c r="C46" s="94">
        <v>-1</v>
      </c>
      <c r="D46" s="94" t="s">
        <v>136</v>
      </c>
      <c r="E46" s="94">
        <v>6</v>
      </c>
      <c r="F46" s="94">
        <v>6</v>
      </c>
      <c r="G46" s="94">
        <v>0</v>
      </c>
      <c r="H46" s="94">
        <v>0</v>
      </c>
      <c r="I46" s="94">
        <v>1</v>
      </c>
      <c r="J46" s="94">
        <v>1</v>
      </c>
      <c r="K46" s="94">
        <v>1</v>
      </c>
      <c r="L46" s="94">
        <v>100</v>
      </c>
      <c r="M46" s="94">
        <v>0</v>
      </c>
      <c r="O46" s="125" t="s">
        <v>163</v>
      </c>
      <c r="P46" s="125" t="s">
        <v>164</v>
      </c>
      <c r="Q46" s="94">
        <v>1</v>
      </c>
      <c r="R46" s="94">
        <v>0</v>
      </c>
      <c r="T46" s="94">
        <v>1</v>
      </c>
      <c r="U46" s="94">
        <v>0</v>
      </c>
      <c r="V46" s="94">
        <v>0</v>
      </c>
      <c r="X46" s="94">
        <v>0</v>
      </c>
      <c r="AA46" s="94">
        <v>1</v>
      </c>
    </row>
    <row r="47" s="94" customFormat="1" spans="1:27">
      <c r="A47" s="121">
        <v>20111102</v>
      </c>
      <c r="B47" s="121" t="s">
        <v>154</v>
      </c>
      <c r="C47" s="94">
        <v>-1</v>
      </c>
      <c r="D47" s="94" t="s">
        <v>146</v>
      </c>
      <c r="E47" s="94">
        <v>128</v>
      </c>
      <c r="F47" s="94">
        <v>128</v>
      </c>
      <c r="G47" s="94">
        <v>0</v>
      </c>
      <c r="H47" s="94">
        <v>0</v>
      </c>
      <c r="I47" s="94">
        <v>0</v>
      </c>
      <c r="J47" s="94">
        <v>1</v>
      </c>
      <c r="K47" s="94">
        <v>3</v>
      </c>
      <c r="L47" s="94">
        <v>100</v>
      </c>
      <c r="M47" s="94">
        <v>2</v>
      </c>
      <c r="O47" s="125" t="s">
        <v>163</v>
      </c>
      <c r="P47" s="125" t="s">
        <v>164</v>
      </c>
      <c r="Q47" s="94">
        <v>1</v>
      </c>
      <c r="R47" s="94">
        <v>0</v>
      </c>
      <c r="T47" s="94">
        <v>1</v>
      </c>
      <c r="U47" s="94">
        <v>0</v>
      </c>
      <c r="V47" s="94">
        <v>0</v>
      </c>
      <c r="X47" s="94">
        <v>0</v>
      </c>
      <c r="AA47" s="94">
        <v>1</v>
      </c>
    </row>
    <row r="48" spans="1:27">
      <c r="A48" s="121">
        <v>20111801</v>
      </c>
      <c r="B48" s="121" t="s">
        <v>162</v>
      </c>
      <c r="C48" s="94">
        <v>-1</v>
      </c>
      <c r="D48" s="94" t="s">
        <v>143</v>
      </c>
      <c r="E48" s="94">
        <v>30</v>
      </c>
      <c r="F48" s="94">
        <v>30</v>
      </c>
      <c r="G48" s="94">
        <v>0</v>
      </c>
      <c r="H48" s="94">
        <v>0</v>
      </c>
      <c r="I48" s="94">
        <v>0</v>
      </c>
      <c r="J48" s="94">
        <v>1</v>
      </c>
      <c r="K48" s="94">
        <v>3</v>
      </c>
      <c r="L48" s="94">
        <v>100</v>
      </c>
      <c r="M48" s="94">
        <v>1</v>
      </c>
      <c r="O48" s="125" t="s">
        <v>165</v>
      </c>
      <c r="P48" s="125" t="s">
        <v>166</v>
      </c>
      <c r="Q48" s="94">
        <v>1</v>
      </c>
      <c r="R48" s="94">
        <v>0</v>
      </c>
      <c r="T48" s="94">
        <v>1</v>
      </c>
      <c r="U48" s="94">
        <v>0</v>
      </c>
      <c r="V48" s="94">
        <v>0</v>
      </c>
      <c r="X48" s="94">
        <v>0</v>
      </c>
      <c r="AA48" s="94">
        <v>1</v>
      </c>
    </row>
    <row r="49" spans="1:27">
      <c r="A49" s="121">
        <v>20111802</v>
      </c>
      <c r="B49" s="121" t="s">
        <v>154</v>
      </c>
      <c r="C49" s="94">
        <v>-1</v>
      </c>
      <c r="D49" s="94" t="s">
        <v>146</v>
      </c>
      <c r="E49" s="94">
        <v>128</v>
      </c>
      <c r="F49" s="94">
        <v>128</v>
      </c>
      <c r="G49" s="94">
        <v>0</v>
      </c>
      <c r="H49" s="94">
        <v>0</v>
      </c>
      <c r="I49" s="94">
        <v>0</v>
      </c>
      <c r="J49" s="94">
        <v>1</v>
      </c>
      <c r="K49" s="94">
        <v>3</v>
      </c>
      <c r="L49" s="94">
        <v>100</v>
      </c>
      <c r="M49" s="94">
        <v>2</v>
      </c>
      <c r="O49" s="125" t="s">
        <v>165</v>
      </c>
      <c r="P49" s="125" t="s">
        <v>166</v>
      </c>
      <c r="Q49" s="94">
        <v>1</v>
      </c>
      <c r="R49" s="94">
        <v>0</v>
      </c>
      <c r="T49" s="94">
        <v>1</v>
      </c>
      <c r="U49" s="94">
        <v>0</v>
      </c>
      <c r="V49" s="94">
        <v>0</v>
      </c>
      <c r="X49" s="94">
        <v>0</v>
      </c>
      <c r="AA49" s="94">
        <v>1</v>
      </c>
    </row>
    <row r="50" spans="1:27">
      <c r="A50" s="121">
        <v>20111803</v>
      </c>
      <c r="B50" s="121" t="s">
        <v>155</v>
      </c>
      <c r="C50" s="94">
        <v>-1</v>
      </c>
      <c r="D50" s="94" t="s">
        <v>148</v>
      </c>
      <c r="E50" s="94">
        <v>648</v>
      </c>
      <c r="F50" s="94">
        <v>648</v>
      </c>
      <c r="G50" s="94">
        <v>0</v>
      </c>
      <c r="H50" s="94">
        <v>0</v>
      </c>
      <c r="I50" s="94">
        <v>0</v>
      </c>
      <c r="J50" s="94">
        <v>1</v>
      </c>
      <c r="K50" s="94">
        <v>1</v>
      </c>
      <c r="L50" s="94">
        <v>100</v>
      </c>
      <c r="M50" s="94">
        <v>3</v>
      </c>
      <c r="O50" s="125" t="s">
        <v>165</v>
      </c>
      <c r="P50" s="125" t="s">
        <v>166</v>
      </c>
      <c r="Q50" s="94">
        <v>1</v>
      </c>
      <c r="R50" s="94">
        <v>0</v>
      </c>
      <c r="T50" s="94">
        <v>1</v>
      </c>
      <c r="U50" s="94">
        <v>0</v>
      </c>
      <c r="V50" s="94">
        <v>0</v>
      </c>
      <c r="X50" s="94">
        <v>0</v>
      </c>
      <c r="AA50" s="94">
        <v>1</v>
      </c>
    </row>
    <row r="51" spans="1:27">
      <c r="A51" s="121">
        <v>20112501</v>
      </c>
      <c r="B51" s="121" t="s">
        <v>151</v>
      </c>
      <c r="C51" s="94">
        <v>-1</v>
      </c>
      <c r="D51" s="94" t="s">
        <v>136</v>
      </c>
      <c r="E51" s="94">
        <v>6</v>
      </c>
      <c r="F51" s="94">
        <v>6</v>
      </c>
      <c r="G51" s="94">
        <v>0</v>
      </c>
      <c r="H51" s="94">
        <v>0</v>
      </c>
      <c r="I51" s="94">
        <v>1</v>
      </c>
      <c r="J51" s="94">
        <v>1</v>
      </c>
      <c r="K51" s="94">
        <v>1</v>
      </c>
      <c r="L51" s="94">
        <v>100</v>
      </c>
      <c r="M51" s="94">
        <v>0</v>
      </c>
      <c r="N51" s="94" t="s">
        <v>167</v>
      </c>
      <c r="O51" s="125" t="s">
        <v>168</v>
      </c>
      <c r="P51" s="125" t="s">
        <v>169</v>
      </c>
      <c r="Q51" s="94">
        <v>1</v>
      </c>
      <c r="R51" s="94">
        <v>0</v>
      </c>
      <c r="T51" s="94">
        <v>1</v>
      </c>
      <c r="U51" s="94">
        <v>0</v>
      </c>
      <c r="V51" s="94">
        <v>0</v>
      </c>
      <c r="X51" s="94">
        <v>0</v>
      </c>
      <c r="AA51" s="94">
        <v>1</v>
      </c>
    </row>
    <row r="52" spans="1:27">
      <c r="A52" s="121">
        <v>20112502</v>
      </c>
      <c r="B52" s="121" t="s">
        <v>162</v>
      </c>
      <c r="C52" s="94">
        <v>-1</v>
      </c>
      <c r="D52" s="94" t="s">
        <v>143</v>
      </c>
      <c r="E52" s="94">
        <v>30</v>
      </c>
      <c r="F52" s="94">
        <v>30</v>
      </c>
      <c r="G52" s="94">
        <v>0</v>
      </c>
      <c r="H52" s="94">
        <v>0</v>
      </c>
      <c r="I52" s="94">
        <v>0</v>
      </c>
      <c r="J52" s="94">
        <v>1</v>
      </c>
      <c r="K52" s="94">
        <v>3</v>
      </c>
      <c r="L52" s="94">
        <v>100</v>
      </c>
      <c r="M52" s="94">
        <v>1</v>
      </c>
      <c r="O52" s="125" t="s">
        <v>168</v>
      </c>
      <c r="P52" s="125" t="s">
        <v>169</v>
      </c>
      <c r="Q52" s="94">
        <v>1</v>
      </c>
      <c r="R52" s="94">
        <v>0</v>
      </c>
      <c r="T52" s="94">
        <v>1</v>
      </c>
      <c r="U52" s="94">
        <v>0</v>
      </c>
      <c r="V52" s="94">
        <v>0</v>
      </c>
      <c r="X52" s="94">
        <v>0</v>
      </c>
      <c r="AA52" s="94">
        <v>1</v>
      </c>
    </row>
    <row r="53" spans="1:27">
      <c r="A53" s="121">
        <v>20112503</v>
      </c>
      <c r="B53" s="121" t="s">
        <v>154</v>
      </c>
      <c r="C53" s="94">
        <v>-1</v>
      </c>
      <c r="D53" s="94" t="s">
        <v>146</v>
      </c>
      <c r="E53" s="94">
        <v>128</v>
      </c>
      <c r="F53" s="94">
        <v>128</v>
      </c>
      <c r="G53" s="94">
        <v>0</v>
      </c>
      <c r="H53" s="94">
        <v>0</v>
      </c>
      <c r="I53" s="94">
        <v>0</v>
      </c>
      <c r="J53" s="94">
        <v>1</v>
      </c>
      <c r="K53" s="94">
        <v>3</v>
      </c>
      <c r="L53" s="94">
        <v>100</v>
      </c>
      <c r="M53" s="94">
        <v>2</v>
      </c>
      <c r="O53" s="125" t="s">
        <v>168</v>
      </c>
      <c r="P53" s="125" t="s">
        <v>169</v>
      </c>
      <c r="Q53" s="94">
        <v>1</v>
      </c>
      <c r="R53" s="94">
        <v>0</v>
      </c>
      <c r="T53" s="94">
        <v>1</v>
      </c>
      <c r="U53" s="94">
        <v>0</v>
      </c>
      <c r="V53" s="94">
        <v>0</v>
      </c>
      <c r="X53" s="94">
        <v>0</v>
      </c>
      <c r="AA53" s="94">
        <v>1</v>
      </c>
    </row>
    <row r="54" spans="1:27">
      <c r="A54" s="121">
        <v>20112504</v>
      </c>
      <c r="B54" s="121" t="s">
        <v>155</v>
      </c>
      <c r="C54" s="94">
        <v>-1</v>
      </c>
      <c r="D54" s="94" t="s">
        <v>148</v>
      </c>
      <c r="E54" s="94">
        <v>648</v>
      </c>
      <c r="F54" s="94">
        <v>648</v>
      </c>
      <c r="G54" s="94">
        <v>0</v>
      </c>
      <c r="H54" s="94">
        <v>0</v>
      </c>
      <c r="I54" s="94">
        <v>0</v>
      </c>
      <c r="J54" s="94">
        <v>1</v>
      </c>
      <c r="K54" s="94">
        <v>1</v>
      </c>
      <c r="L54" s="94">
        <v>100</v>
      </c>
      <c r="M54" s="94">
        <v>3</v>
      </c>
      <c r="O54" s="125" t="s">
        <v>168</v>
      </c>
      <c r="P54" s="125" t="s">
        <v>169</v>
      </c>
      <c r="Q54" s="94">
        <v>1</v>
      </c>
      <c r="R54" s="94">
        <v>0</v>
      </c>
      <c r="T54" s="94">
        <v>1</v>
      </c>
      <c r="U54" s="94">
        <v>0</v>
      </c>
      <c r="V54" s="94">
        <v>0</v>
      </c>
      <c r="X54" s="94">
        <v>0</v>
      </c>
      <c r="AA54" s="94">
        <v>1</v>
      </c>
    </row>
    <row r="55" spans="1:27">
      <c r="A55" s="121">
        <v>20120801</v>
      </c>
      <c r="B55" s="121" t="s">
        <v>151</v>
      </c>
      <c r="C55" s="94">
        <v>-1</v>
      </c>
      <c r="D55" s="94" t="s">
        <v>136</v>
      </c>
      <c r="E55" s="94">
        <v>6</v>
      </c>
      <c r="F55" s="94">
        <v>6</v>
      </c>
      <c r="G55" s="94">
        <v>0</v>
      </c>
      <c r="H55" s="94">
        <v>0</v>
      </c>
      <c r="I55" s="94">
        <v>1</v>
      </c>
      <c r="J55" s="94">
        <v>1</v>
      </c>
      <c r="K55" s="94">
        <v>1</v>
      </c>
      <c r="L55" s="94">
        <v>100</v>
      </c>
      <c r="M55" s="94">
        <v>0</v>
      </c>
      <c r="O55" s="125" t="s">
        <v>170</v>
      </c>
      <c r="P55" s="125" t="s">
        <v>171</v>
      </c>
      <c r="Q55" s="94">
        <v>1</v>
      </c>
      <c r="R55" s="94">
        <v>0</v>
      </c>
      <c r="T55" s="94">
        <v>1</v>
      </c>
      <c r="U55" s="94">
        <v>0</v>
      </c>
      <c r="V55" s="94">
        <v>0</v>
      </c>
      <c r="X55" s="94">
        <v>0</v>
      </c>
      <c r="AA55" s="94">
        <v>1</v>
      </c>
    </row>
    <row r="56" spans="1:27">
      <c r="A56" s="121">
        <v>20120802</v>
      </c>
      <c r="B56" s="121" t="s">
        <v>162</v>
      </c>
      <c r="C56" s="94">
        <v>-1</v>
      </c>
      <c r="D56" s="94" t="s">
        <v>143</v>
      </c>
      <c r="E56" s="94">
        <v>30</v>
      </c>
      <c r="F56" s="94">
        <v>30</v>
      </c>
      <c r="G56" s="94">
        <v>0</v>
      </c>
      <c r="H56" s="94">
        <v>0</v>
      </c>
      <c r="I56" s="94">
        <v>0</v>
      </c>
      <c r="J56" s="94">
        <v>1</v>
      </c>
      <c r="K56" s="94">
        <v>3</v>
      </c>
      <c r="L56" s="94">
        <v>100</v>
      </c>
      <c r="M56" s="94">
        <v>1</v>
      </c>
      <c r="O56" s="125" t="s">
        <v>170</v>
      </c>
      <c r="P56" s="125" t="s">
        <v>171</v>
      </c>
      <c r="Q56" s="94">
        <v>1</v>
      </c>
      <c r="R56" s="94">
        <v>0</v>
      </c>
      <c r="T56" s="94">
        <v>1</v>
      </c>
      <c r="U56" s="94">
        <v>0</v>
      </c>
      <c r="V56" s="94">
        <v>0</v>
      </c>
      <c r="X56" s="94">
        <v>0</v>
      </c>
      <c r="AA56" s="94">
        <v>1</v>
      </c>
    </row>
    <row r="57" spans="1:27">
      <c r="A57" s="121">
        <v>20120803</v>
      </c>
      <c r="B57" s="121" t="s">
        <v>154</v>
      </c>
      <c r="C57" s="94">
        <v>-1</v>
      </c>
      <c r="D57" s="94" t="s">
        <v>146</v>
      </c>
      <c r="E57" s="94">
        <v>128</v>
      </c>
      <c r="F57" s="94">
        <v>128</v>
      </c>
      <c r="G57" s="94">
        <v>0</v>
      </c>
      <c r="H57" s="94">
        <v>0</v>
      </c>
      <c r="I57" s="94">
        <v>0</v>
      </c>
      <c r="J57" s="94">
        <v>1</v>
      </c>
      <c r="K57" s="94">
        <v>3</v>
      </c>
      <c r="L57" s="94">
        <v>100</v>
      </c>
      <c r="M57" s="94">
        <v>2</v>
      </c>
      <c r="O57" s="125" t="s">
        <v>170</v>
      </c>
      <c r="P57" s="125" t="s">
        <v>171</v>
      </c>
      <c r="Q57" s="94">
        <v>1</v>
      </c>
      <c r="R57" s="94">
        <v>0</v>
      </c>
      <c r="T57" s="94">
        <v>1</v>
      </c>
      <c r="U57" s="94">
        <v>0</v>
      </c>
      <c r="V57" s="94">
        <v>0</v>
      </c>
      <c r="X57" s="94">
        <v>0</v>
      </c>
      <c r="AA57" s="94">
        <v>1</v>
      </c>
    </row>
    <row r="58" spans="1:27">
      <c r="A58" s="121">
        <v>20120804</v>
      </c>
      <c r="B58" s="121" t="s">
        <v>155</v>
      </c>
      <c r="C58" s="94">
        <v>-1</v>
      </c>
      <c r="D58" s="94" t="s">
        <v>148</v>
      </c>
      <c r="E58" s="94">
        <v>648</v>
      </c>
      <c r="F58" s="94">
        <v>648</v>
      </c>
      <c r="G58" s="94">
        <v>0</v>
      </c>
      <c r="H58" s="94">
        <v>0</v>
      </c>
      <c r="I58" s="94">
        <v>0</v>
      </c>
      <c r="J58" s="94">
        <v>1</v>
      </c>
      <c r="K58" s="94">
        <v>1</v>
      </c>
      <c r="L58" s="94">
        <v>100</v>
      </c>
      <c r="M58" s="94">
        <v>3</v>
      </c>
      <c r="O58" s="125" t="s">
        <v>170</v>
      </c>
      <c r="P58" s="125" t="s">
        <v>171</v>
      </c>
      <c r="Q58" s="94">
        <v>1</v>
      </c>
      <c r="R58" s="94">
        <v>0</v>
      </c>
      <c r="T58" s="94">
        <v>1</v>
      </c>
      <c r="U58" s="94">
        <v>0</v>
      </c>
      <c r="V58" s="94">
        <v>0</v>
      </c>
      <c r="X58" s="94">
        <v>0</v>
      </c>
      <c r="AA58" s="94">
        <v>1</v>
      </c>
    </row>
    <row r="59" spans="1:27">
      <c r="A59" s="121">
        <v>20120805</v>
      </c>
      <c r="B59" s="121" t="s">
        <v>172</v>
      </c>
      <c r="C59" s="94">
        <v>-1</v>
      </c>
      <c r="D59" s="94" t="s">
        <v>173</v>
      </c>
      <c r="E59" s="94">
        <v>68</v>
      </c>
      <c r="F59" s="94">
        <v>68</v>
      </c>
      <c r="G59" s="94">
        <v>0</v>
      </c>
      <c r="H59" s="94">
        <v>0</v>
      </c>
      <c r="I59" s="94">
        <v>0</v>
      </c>
      <c r="J59" s="94">
        <v>1</v>
      </c>
      <c r="K59" s="94">
        <v>3</v>
      </c>
      <c r="L59" s="94">
        <v>100</v>
      </c>
      <c r="M59" s="94">
        <v>2</v>
      </c>
      <c r="O59" s="125" t="s">
        <v>170</v>
      </c>
      <c r="P59" s="125" t="s">
        <v>174</v>
      </c>
      <c r="Q59" s="94">
        <v>1</v>
      </c>
      <c r="R59" s="94">
        <v>0</v>
      </c>
      <c r="T59" s="94">
        <v>1</v>
      </c>
      <c r="U59" s="94">
        <v>0</v>
      </c>
      <c r="V59" s="94">
        <v>0</v>
      </c>
      <c r="X59" s="94">
        <v>0</v>
      </c>
      <c r="AA59" s="94">
        <v>1</v>
      </c>
    </row>
    <row r="60" spans="1:27">
      <c r="A60" s="121">
        <v>21050101</v>
      </c>
      <c r="B60" s="121" t="s">
        <v>175</v>
      </c>
      <c r="C60" s="94">
        <v>-1</v>
      </c>
      <c r="D60" s="94" t="s">
        <v>173</v>
      </c>
      <c r="E60" s="94">
        <v>68</v>
      </c>
      <c r="F60" s="94">
        <v>68</v>
      </c>
      <c r="G60" s="94">
        <v>0</v>
      </c>
      <c r="H60" s="94">
        <v>0</v>
      </c>
      <c r="I60" s="94">
        <v>0</v>
      </c>
      <c r="J60" s="94">
        <v>1</v>
      </c>
      <c r="K60" s="94">
        <v>2</v>
      </c>
      <c r="L60" s="94">
        <v>100</v>
      </c>
      <c r="M60" s="94">
        <v>0</v>
      </c>
      <c r="O60" s="125" t="s">
        <v>176</v>
      </c>
      <c r="P60" s="125" t="s">
        <v>177</v>
      </c>
      <c r="Q60" s="94">
        <v>1</v>
      </c>
      <c r="R60" s="94">
        <v>0</v>
      </c>
      <c r="T60" s="94">
        <v>1</v>
      </c>
      <c r="U60" s="94">
        <v>0</v>
      </c>
      <c r="V60" s="94">
        <v>0</v>
      </c>
      <c r="X60" s="94">
        <v>0</v>
      </c>
      <c r="AA60" s="94">
        <v>1</v>
      </c>
    </row>
    <row r="61" spans="1:27">
      <c r="A61" s="121">
        <v>21050102</v>
      </c>
      <c r="B61" s="121" t="s">
        <v>178</v>
      </c>
      <c r="C61" s="94">
        <v>-1</v>
      </c>
      <c r="D61" s="94" t="s">
        <v>179</v>
      </c>
      <c r="E61" s="94">
        <v>328</v>
      </c>
      <c r="F61" s="94">
        <v>328</v>
      </c>
      <c r="G61" s="94">
        <v>0</v>
      </c>
      <c r="H61" s="94">
        <v>0</v>
      </c>
      <c r="I61" s="94">
        <v>0</v>
      </c>
      <c r="J61" s="94">
        <v>1</v>
      </c>
      <c r="K61" s="94">
        <v>2</v>
      </c>
      <c r="L61" s="94">
        <v>100</v>
      </c>
      <c r="M61" s="94">
        <v>3</v>
      </c>
      <c r="O61" s="125" t="s">
        <v>176</v>
      </c>
      <c r="P61" s="125" t="s">
        <v>177</v>
      </c>
      <c r="Q61" s="94">
        <v>1</v>
      </c>
      <c r="R61" s="94">
        <v>0</v>
      </c>
      <c r="T61" s="94">
        <v>1</v>
      </c>
      <c r="U61" s="94">
        <v>0</v>
      </c>
      <c r="V61" s="94">
        <v>0</v>
      </c>
      <c r="X61" s="94">
        <v>0</v>
      </c>
      <c r="AA61" s="94">
        <v>1</v>
      </c>
    </row>
    <row r="62" spans="1:27">
      <c r="A62" s="121">
        <v>21050103</v>
      </c>
      <c r="B62" s="121" t="s">
        <v>180</v>
      </c>
      <c r="C62" s="94">
        <v>-1</v>
      </c>
      <c r="D62" s="94" t="s">
        <v>181</v>
      </c>
      <c r="E62" s="94">
        <v>648</v>
      </c>
      <c r="F62" s="94">
        <v>648</v>
      </c>
      <c r="G62" s="94">
        <v>0</v>
      </c>
      <c r="H62" s="94">
        <v>0</v>
      </c>
      <c r="I62" s="94">
        <v>0</v>
      </c>
      <c r="J62" s="94">
        <v>1</v>
      </c>
      <c r="K62" s="94">
        <v>2</v>
      </c>
      <c r="L62" s="94">
        <v>100</v>
      </c>
      <c r="M62" s="94">
        <v>2</v>
      </c>
      <c r="O62" s="125" t="s">
        <v>176</v>
      </c>
      <c r="P62" s="125" t="s">
        <v>177</v>
      </c>
      <c r="Q62" s="94">
        <v>1</v>
      </c>
      <c r="R62" s="94">
        <v>0</v>
      </c>
      <c r="T62" s="94">
        <v>1</v>
      </c>
      <c r="U62" s="94">
        <v>0</v>
      </c>
      <c r="V62" s="94">
        <v>0</v>
      </c>
      <c r="X62" s="94">
        <v>0</v>
      </c>
      <c r="AA62" s="94">
        <v>1</v>
      </c>
    </row>
    <row r="63" s="103" customFormat="1" spans="1:27">
      <c r="A63" s="123">
        <v>21061201</v>
      </c>
      <c r="B63" s="123" t="s">
        <v>182</v>
      </c>
      <c r="C63" s="103">
        <v>-1</v>
      </c>
      <c r="D63" s="103" t="s">
        <v>183</v>
      </c>
      <c r="E63" s="103">
        <v>328</v>
      </c>
      <c r="F63" s="103">
        <v>328</v>
      </c>
      <c r="G63" s="103">
        <v>0</v>
      </c>
      <c r="H63" s="103">
        <v>0</v>
      </c>
      <c r="I63" s="103">
        <v>0</v>
      </c>
      <c r="J63" s="103">
        <v>1</v>
      </c>
      <c r="K63" s="103">
        <v>2</v>
      </c>
      <c r="L63" s="103">
        <v>100</v>
      </c>
      <c r="M63" s="103">
        <v>3</v>
      </c>
      <c r="O63" s="126" t="s">
        <v>184</v>
      </c>
      <c r="P63" s="126" t="s">
        <v>185</v>
      </c>
      <c r="Q63" s="103">
        <v>1</v>
      </c>
      <c r="R63" s="103">
        <v>0</v>
      </c>
      <c r="T63" s="103">
        <v>1</v>
      </c>
      <c r="U63" s="103">
        <v>0</v>
      </c>
      <c r="V63" s="103">
        <v>0</v>
      </c>
      <c r="X63" s="94">
        <v>0</v>
      </c>
      <c r="AA63" s="94">
        <v>1</v>
      </c>
    </row>
    <row r="64" s="104" customFormat="1" spans="1:27">
      <c r="A64" s="104">
        <v>22012701</v>
      </c>
      <c r="B64" s="104" t="s">
        <v>186</v>
      </c>
      <c r="C64" s="104">
        <v>-1</v>
      </c>
      <c r="D64" s="104" t="s">
        <v>187</v>
      </c>
      <c r="E64" s="104">
        <v>30</v>
      </c>
      <c r="F64" s="104">
        <v>30</v>
      </c>
      <c r="G64" s="104">
        <v>0</v>
      </c>
      <c r="H64" s="104">
        <v>0</v>
      </c>
      <c r="I64" s="104">
        <v>0</v>
      </c>
      <c r="J64" s="104">
        <v>1</v>
      </c>
      <c r="K64" s="104">
        <v>1</v>
      </c>
      <c r="L64" s="104">
        <v>100</v>
      </c>
      <c r="M64" s="104">
        <v>12</v>
      </c>
      <c r="O64" s="127" t="s">
        <v>188</v>
      </c>
      <c r="P64" s="127" t="s">
        <v>189</v>
      </c>
      <c r="Q64" s="104">
        <v>0</v>
      </c>
      <c r="R64" s="104">
        <v>0</v>
      </c>
      <c r="T64" s="104">
        <v>5</v>
      </c>
      <c r="U64" s="104">
        <v>2</v>
      </c>
      <c r="V64" s="104">
        <v>0</v>
      </c>
      <c r="X64" s="94">
        <v>0</v>
      </c>
      <c r="AA64" s="94">
        <v>1</v>
      </c>
    </row>
    <row r="65" s="104" customFormat="1" spans="1:27">
      <c r="A65" s="104">
        <v>22012702</v>
      </c>
      <c r="B65" s="104" t="s">
        <v>162</v>
      </c>
      <c r="C65" s="104">
        <v>-1</v>
      </c>
      <c r="D65" s="104" t="s">
        <v>190</v>
      </c>
      <c r="E65" s="104">
        <v>30</v>
      </c>
      <c r="F65" s="104">
        <v>30</v>
      </c>
      <c r="G65" s="104">
        <v>0</v>
      </c>
      <c r="H65" s="104">
        <v>0</v>
      </c>
      <c r="I65" s="104">
        <v>0</v>
      </c>
      <c r="J65" s="104">
        <v>1</v>
      </c>
      <c r="K65" s="104">
        <v>3</v>
      </c>
      <c r="L65" s="104">
        <v>100</v>
      </c>
      <c r="M65" s="104">
        <v>11</v>
      </c>
      <c r="O65" s="127" t="s">
        <v>188</v>
      </c>
      <c r="P65" s="127" t="s">
        <v>189</v>
      </c>
      <c r="Q65" s="104">
        <v>0</v>
      </c>
      <c r="R65" s="104">
        <v>0</v>
      </c>
      <c r="T65" s="104">
        <v>5</v>
      </c>
      <c r="U65" s="104">
        <v>2</v>
      </c>
      <c r="V65" s="104">
        <v>0</v>
      </c>
      <c r="X65" s="94">
        <v>0</v>
      </c>
      <c r="AA65" s="94">
        <v>1</v>
      </c>
    </row>
    <row r="66" s="104" customFormat="1" spans="1:27">
      <c r="A66" s="104">
        <v>22012703</v>
      </c>
      <c r="B66" s="104" t="s">
        <v>191</v>
      </c>
      <c r="C66" s="104">
        <v>-1</v>
      </c>
      <c r="D66" s="104" t="s">
        <v>192</v>
      </c>
      <c r="E66" s="104">
        <v>128</v>
      </c>
      <c r="F66" s="104">
        <v>128</v>
      </c>
      <c r="G66" s="104">
        <v>0</v>
      </c>
      <c r="H66" s="104">
        <v>0</v>
      </c>
      <c r="I66" s="104">
        <v>0</v>
      </c>
      <c r="J66" s="104">
        <v>1</v>
      </c>
      <c r="K66" s="104">
        <v>2</v>
      </c>
      <c r="L66" s="104">
        <v>100</v>
      </c>
      <c r="M66" s="104">
        <v>1</v>
      </c>
      <c r="O66" s="127" t="s">
        <v>188</v>
      </c>
      <c r="P66" s="127" t="s">
        <v>189</v>
      </c>
      <c r="Q66" s="104">
        <v>0</v>
      </c>
      <c r="R66" s="104">
        <v>0</v>
      </c>
      <c r="T66" s="104">
        <v>5</v>
      </c>
      <c r="U66" s="104">
        <v>2</v>
      </c>
      <c r="V66" s="104">
        <v>0</v>
      </c>
      <c r="X66" s="94">
        <v>0</v>
      </c>
      <c r="AA66" s="94">
        <v>1</v>
      </c>
    </row>
    <row r="67" s="104" customFormat="1" spans="1:27">
      <c r="A67" s="104">
        <v>22012704</v>
      </c>
      <c r="B67" s="104" t="s">
        <v>155</v>
      </c>
      <c r="C67" s="104">
        <v>-1</v>
      </c>
      <c r="D67" s="104" t="s">
        <v>193</v>
      </c>
      <c r="E67" s="104">
        <v>648</v>
      </c>
      <c r="F67" s="104">
        <v>648</v>
      </c>
      <c r="G67" s="104">
        <v>0</v>
      </c>
      <c r="H67" s="104">
        <v>0</v>
      </c>
      <c r="I67" s="104">
        <v>0</v>
      </c>
      <c r="J67" s="104">
        <v>1</v>
      </c>
      <c r="K67" s="104">
        <v>1</v>
      </c>
      <c r="L67" s="104">
        <v>100</v>
      </c>
      <c r="M67" s="104">
        <v>3</v>
      </c>
      <c r="O67" s="127" t="s">
        <v>188</v>
      </c>
      <c r="P67" s="127" t="s">
        <v>189</v>
      </c>
      <c r="Q67" s="104">
        <v>0</v>
      </c>
      <c r="R67" s="104">
        <v>0</v>
      </c>
      <c r="T67" s="104">
        <v>5</v>
      </c>
      <c r="U67" s="104">
        <v>2</v>
      </c>
      <c r="V67" s="104">
        <v>0</v>
      </c>
      <c r="X67" s="94">
        <v>0</v>
      </c>
      <c r="AA67" s="94">
        <v>1</v>
      </c>
    </row>
    <row r="68" s="104" customFormat="1" spans="1:27">
      <c r="A68" s="104">
        <v>22012705</v>
      </c>
      <c r="B68" s="104" t="s">
        <v>194</v>
      </c>
      <c r="C68" s="104">
        <v>-1</v>
      </c>
      <c r="D68" s="104" t="s">
        <v>195</v>
      </c>
      <c r="E68" s="104">
        <v>648</v>
      </c>
      <c r="F68" s="104">
        <v>648</v>
      </c>
      <c r="G68" s="104">
        <v>0</v>
      </c>
      <c r="H68" s="104">
        <v>0</v>
      </c>
      <c r="I68" s="104">
        <v>0</v>
      </c>
      <c r="J68" s="104">
        <v>1</v>
      </c>
      <c r="K68" s="104">
        <v>1</v>
      </c>
      <c r="L68" s="104">
        <v>100</v>
      </c>
      <c r="M68" s="104">
        <v>3</v>
      </c>
      <c r="O68" s="127" t="s">
        <v>188</v>
      </c>
      <c r="P68" s="127" t="s">
        <v>196</v>
      </c>
      <c r="Q68" s="104">
        <v>0</v>
      </c>
      <c r="R68" s="104">
        <v>0</v>
      </c>
      <c r="T68" s="104">
        <v>5</v>
      </c>
      <c r="U68" s="104">
        <v>2</v>
      </c>
      <c r="V68" s="104">
        <v>0</v>
      </c>
      <c r="X68" s="94">
        <v>0</v>
      </c>
      <c r="AA68" s="94">
        <v>1</v>
      </c>
    </row>
    <row r="69" s="105" customFormat="1" spans="1:27">
      <c r="A69" s="105">
        <v>22012706</v>
      </c>
      <c r="B69" s="105" t="s">
        <v>197</v>
      </c>
      <c r="C69" s="105">
        <v>-1</v>
      </c>
      <c r="D69" s="105" t="s">
        <v>198</v>
      </c>
      <c r="E69" s="105">
        <v>328</v>
      </c>
      <c r="F69" s="105">
        <v>328</v>
      </c>
      <c r="G69" s="105">
        <v>0</v>
      </c>
      <c r="H69" s="105">
        <v>0</v>
      </c>
      <c r="I69" s="105">
        <v>0</v>
      </c>
      <c r="J69" s="105">
        <v>1</v>
      </c>
      <c r="K69" s="105">
        <v>2</v>
      </c>
      <c r="L69" s="105">
        <v>100</v>
      </c>
      <c r="M69" s="105">
        <v>2</v>
      </c>
      <c r="O69" s="142" t="s">
        <v>188</v>
      </c>
      <c r="P69" s="142" t="s">
        <v>189</v>
      </c>
      <c r="Q69" s="105">
        <v>0</v>
      </c>
      <c r="R69" s="105">
        <v>0</v>
      </c>
      <c r="T69" s="105">
        <v>5</v>
      </c>
      <c r="U69" s="105">
        <v>2</v>
      </c>
      <c r="V69" s="105">
        <v>0</v>
      </c>
      <c r="X69" s="94">
        <v>0</v>
      </c>
      <c r="AA69" s="94">
        <v>1</v>
      </c>
    </row>
    <row r="70" s="104" customFormat="1" spans="1:27">
      <c r="A70" s="104">
        <v>22020301</v>
      </c>
      <c r="B70" s="104" t="s">
        <v>162</v>
      </c>
      <c r="C70" s="104">
        <v>-1</v>
      </c>
      <c r="D70" s="104" t="s">
        <v>190</v>
      </c>
      <c r="E70" s="104">
        <v>30</v>
      </c>
      <c r="F70" s="104">
        <v>30</v>
      </c>
      <c r="G70" s="104">
        <v>0</v>
      </c>
      <c r="H70" s="104">
        <v>0</v>
      </c>
      <c r="I70" s="104">
        <v>0</v>
      </c>
      <c r="J70" s="104">
        <v>1</v>
      </c>
      <c r="K70" s="104">
        <v>3</v>
      </c>
      <c r="L70" s="104">
        <v>100</v>
      </c>
      <c r="M70" s="104">
        <v>11</v>
      </c>
      <c r="O70" s="127" t="s">
        <v>199</v>
      </c>
      <c r="P70" s="127" t="s">
        <v>196</v>
      </c>
      <c r="Q70" s="104">
        <v>0</v>
      </c>
      <c r="R70" s="104">
        <v>0</v>
      </c>
      <c r="T70" s="104">
        <v>5</v>
      </c>
      <c r="U70" s="104">
        <v>2</v>
      </c>
      <c r="V70" s="104">
        <v>0</v>
      </c>
      <c r="X70" s="94">
        <v>0</v>
      </c>
      <c r="AA70" s="94">
        <v>1</v>
      </c>
    </row>
    <row r="71" s="104" customFormat="1" spans="1:27">
      <c r="A71" s="104">
        <v>22020302</v>
      </c>
      <c r="B71" s="104" t="s">
        <v>200</v>
      </c>
      <c r="C71" s="104">
        <v>-1</v>
      </c>
      <c r="D71" s="104" t="s">
        <v>64</v>
      </c>
      <c r="E71" s="104">
        <v>68</v>
      </c>
      <c r="F71" s="104">
        <v>68</v>
      </c>
      <c r="G71" s="104">
        <v>0</v>
      </c>
      <c r="H71" s="104">
        <v>0</v>
      </c>
      <c r="I71" s="104">
        <v>0</v>
      </c>
      <c r="J71" s="104">
        <v>1</v>
      </c>
      <c r="K71" s="104">
        <v>1</v>
      </c>
      <c r="L71" s="104">
        <v>100</v>
      </c>
      <c r="M71" s="104">
        <v>0</v>
      </c>
      <c r="O71" s="127" t="s">
        <v>199</v>
      </c>
      <c r="P71" s="127" t="s">
        <v>196</v>
      </c>
      <c r="Q71" s="104">
        <v>0</v>
      </c>
      <c r="R71" s="104">
        <v>0</v>
      </c>
      <c r="T71" s="104">
        <v>5</v>
      </c>
      <c r="U71" s="104">
        <v>2</v>
      </c>
      <c r="V71" s="104">
        <v>0</v>
      </c>
      <c r="X71" s="94">
        <v>0</v>
      </c>
      <c r="AA71" s="94">
        <v>1</v>
      </c>
    </row>
    <row r="72" s="104" customFormat="1" spans="1:27">
      <c r="A72" s="104">
        <v>22020303</v>
      </c>
      <c r="B72" s="104" t="s">
        <v>191</v>
      </c>
      <c r="C72" s="104">
        <v>-1</v>
      </c>
      <c r="D72" s="104" t="s">
        <v>192</v>
      </c>
      <c r="E72" s="104">
        <v>128</v>
      </c>
      <c r="F72" s="104">
        <v>128</v>
      </c>
      <c r="G72" s="104">
        <v>0</v>
      </c>
      <c r="H72" s="104">
        <v>0</v>
      </c>
      <c r="I72" s="104">
        <v>0</v>
      </c>
      <c r="J72" s="104">
        <v>1</v>
      </c>
      <c r="K72" s="104">
        <v>2</v>
      </c>
      <c r="L72" s="104">
        <v>100</v>
      </c>
      <c r="M72" s="104">
        <v>1</v>
      </c>
      <c r="O72" s="127" t="s">
        <v>199</v>
      </c>
      <c r="P72" s="127" t="s">
        <v>196</v>
      </c>
      <c r="Q72" s="104">
        <v>0</v>
      </c>
      <c r="R72" s="104">
        <v>0</v>
      </c>
      <c r="T72" s="104">
        <v>5</v>
      </c>
      <c r="U72" s="104">
        <v>2</v>
      </c>
      <c r="V72" s="104">
        <v>0</v>
      </c>
      <c r="X72" s="94">
        <v>0</v>
      </c>
      <c r="AA72" s="94">
        <v>1</v>
      </c>
    </row>
    <row r="73" s="104" customFormat="1" spans="1:27">
      <c r="A73" s="104">
        <v>22020304</v>
      </c>
      <c r="B73" s="104" t="s">
        <v>197</v>
      </c>
      <c r="C73" s="104">
        <v>-1</v>
      </c>
      <c r="D73" s="104" t="s">
        <v>198</v>
      </c>
      <c r="E73" s="104">
        <v>328</v>
      </c>
      <c r="F73" s="104">
        <v>328</v>
      </c>
      <c r="G73" s="104">
        <v>0</v>
      </c>
      <c r="H73" s="104">
        <v>0</v>
      </c>
      <c r="I73" s="104">
        <v>0</v>
      </c>
      <c r="J73" s="104">
        <v>1</v>
      </c>
      <c r="K73" s="104">
        <v>2</v>
      </c>
      <c r="L73" s="104">
        <v>100</v>
      </c>
      <c r="M73" s="104">
        <v>3</v>
      </c>
      <c r="O73" s="127" t="s">
        <v>199</v>
      </c>
      <c r="P73" s="127" t="s">
        <v>196</v>
      </c>
      <c r="Q73" s="104">
        <v>0</v>
      </c>
      <c r="R73" s="104">
        <v>0</v>
      </c>
      <c r="T73" s="104">
        <v>5</v>
      </c>
      <c r="U73" s="104">
        <v>2</v>
      </c>
      <c r="V73" s="104">
        <v>0</v>
      </c>
      <c r="X73" s="94">
        <v>0</v>
      </c>
      <c r="AA73" s="94">
        <v>1</v>
      </c>
    </row>
    <row r="74" s="104" customFormat="1" spans="1:27">
      <c r="A74" s="104">
        <v>22020305</v>
      </c>
      <c r="B74" s="104" t="s">
        <v>201</v>
      </c>
      <c r="C74" s="104">
        <v>-1</v>
      </c>
      <c r="D74" s="104" t="s">
        <v>202</v>
      </c>
      <c r="E74" s="104">
        <v>328</v>
      </c>
      <c r="F74" s="104">
        <v>328</v>
      </c>
      <c r="G74" s="104">
        <v>0</v>
      </c>
      <c r="H74" s="104">
        <v>0</v>
      </c>
      <c r="I74" s="104">
        <v>0</v>
      </c>
      <c r="J74" s="104">
        <v>1</v>
      </c>
      <c r="K74" s="104">
        <v>1</v>
      </c>
      <c r="L74" s="104">
        <v>100</v>
      </c>
      <c r="M74" s="104">
        <v>3</v>
      </c>
      <c r="O74" s="127" t="s">
        <v>199</v>
      </c>
      <c r="P74" s="127" t="s">
        <v>196</v>
      </c>
      <c r="Q74" s="104">
        <v>0</v>
      </c>
      <c r="R74" s="104">
        <v>0</v>
      </c>
      <c r="T74" s="104">
        <v>5</v>
      </c>
      <c r="U74" s="104">
        <v>2</v>
      </c>
      <c r="V74" s="104">
        <v>0</v>
      </c>
      <c r="X74" s="94">
        <v>0</v>
      </c>
      <c r="AA74" s="94">
        <v>1</v>
      </c>
    </row>
    <row r="75" s="104" customFormat="1" ht="17.1" customHeight="1" spans="1:27">
      <c r="A75" s="104">
        <v>22020306</v>
      </c>
      <c r="B75" s="104" t="s">
        <v>155</v>
      </c>
      <c r="C75" s="104">
        <v>-1</v>
      </c>
      <c r="D75" s="104" t="s">
        <v>193</v>
      </c>
      <c r="E75" s="104">
        <v>648</v>
      </c>
      <c r="F75" s="104">
        <v>648</v>
      </c>
      <c r="G75" s="104">
        <v>0</v>
      </c>
      <c r="H75" s="104">
        <v>0</v>
      </c>
      <c r="I75" s="104">
        <v>0</v>
      </c>
      <c r="J75" s="104">
        <v>1</v>
      </c>
      <c r="K75" s="104">
        <v>1</v>
      </c>
      <c r="L75" s="104">
        <v>100</v>
      </c>
      <c r="M75" s="104">
        <v>2</v>
      </c>
      <c r="O75" s="127" t="s">
        <v>199</v>
      </c>
      <c r="P75" s="127" t="s">
        <v>196</v>
      </c>
      <c r="Q75" s="104">
        <v>0</v>
      </c>
      <c r="R75" s="104">
        <v>0</v>
      </c>
      <c r="T75" s="104">
        <v>5</v>
      </c>
      <c r="U75" s="104">
        <v>2</v>
      </c>
      <c r="V75" s="104">
        <v>0</v>
      </c>
      <c r="X75" s="94">
        <v>0</v>
      </c>
      <c r="AA75" s="94">
        <v>1</v>
      </c>
    </row>
    <row r="76" s="105" customFormat="1" ht="17.1" customHeight="1" spans="1:27">
      <c r="A76" s="105">
        <v>22020307</v>
      </c>
      <c r="B76" s="105" t="s">
        <v>203</v>
      </c>
      <c r="C76" s="105">
        <v>-1</v>
      </c>
      <c r="D76" s="105" t="s">
        <v>204</v>
      </c>
      <c r="E76" s="105">
        <v>648</v>
      </c>
      <c r="F76" s="105">
        <v>648</v>
      </c>
      <c r="G76" s="105">
        <v>0</v>
      </c>
      <c r="H76" s="105">
        <v>0</v>
      </c>
      <c r="I76" s="105">
        <v>0</v>
      </c>
      <c r="J76" s="105">
        <v>1</v>
      </c>
      <c r="K76" s="105">
        <v>1</v>
      </c>
      <c r="L76" s="105">
        <v>100</v>
      </c>
      <c r="M76" s="105">
        <v>2</v>
      </c>
      <c r="O76" s="142" t="s">
        <v>199</v>
      </c>
      <c r="P76" s="142" t="s">
        <v>196</v>
      </c>
      <c r="Q76" s="105">
        <v>0</v>
      </c>
      <c r="R76" s="105">
        <v>0</v>
      </c>
      <c r="T76" s="105">
        <v>5</v>
      </c>
      <c r="U76" s="105">
        <v>2</v>
      </c>
      <c r="V76" s="105">
        <v>0</v>
      </c>
      <c r="X76" s="94">
        <v>0</v>
      </c>
      <c r="AA76" s="94">
        <v>1</v>
      </c>
    </row>
    <row r="77" s="94" customFormat="1" spans="1:27">
      <c r="A77" s="131">
        <v>21101401</v>
      </c>
      <c r="B77" s="131" t="s">
        <v>205</v>
      </c>
      <c r="C77" s="94">
        <v>-1</v>
      </c>
      <c r="D77" s="94" t="s">
        <v>206</v>
      </c>
      <c r="E77" s="131">
        <v>6</v>
      </c>
      <c r="F77" s="94">
        <v>6</v>
      </c>
      <c r="G77" s="94">
        <v>0</v>
      </c>
      <c r="H77" s="94">
        <v>0</v>
      </c>
      <c r="I77" s="94">
        <v>2</v>
      </c>
      <c r="J77" s="94">
        <v>1</v>
      </c>
      <c r="K77" s="94">
        <v>2</v>
      </c>
      <c r="L77" s="94">
        <v>100</v>
      </c>
      <c r="M77" s="94">
        <v>12</v>
      </c>
      <c r="Q77" s="94">
        <v>0</v>
      </c>
      <c r="R77" s="94">
        <v>1</v>
      </c>
      <c r="T77" s="94">
        <v>2</v>
      </c>
      <c r="U77" s="94">
        <v>0</v>
      </c>
      <c r="V77" s="94">
        <v>0</v>
      </c>
      <c r="X77" s="94">
        <v>0</v>
      </c>
      <c r="AA77" s="94">
        <v>1</v>
      </c>
    </row>
    <row r="78" s="103" customFormat="1" spans="1:27">
      <c r="A78" s="132">
        <v>21101402</v>
      </c>
      <c r="B78" s="132" t="s">
        <v>207</v>
      </c>
      <c r="C78" s="103">
        <v>-1</v>
      </c>
      <c r="D78" s="103" t="s">
        <v>208</v>
      </c>
      <c r="E78" s="132">
        <v>6</v>
      </c>
      <c r="F78" s="103">
        <v>6</v>
      </c>
      <c r="G78" s="103">
        <v>0</v>
      </c>
      <c r="H78" s="103">
        <v>0</v>
      </c>
      <c r="I78" s="103">
        <v>2</v>
      </c>
      <c r="J78" s="103">
        <v>1</v>
      </c>
      <c r="K78" s="103">
        <v>2</v>
      </c>
      <c r="L78" s="103">
        <v>100</v>
      </c>
      <c r="M78" s="103">
        <v>11</v>
      </c>
      <c r="Q78" s="103">
        <v>0</v>
      </c>
      <c r="R78" s="103">
        <v>1</v>
      </c>
      <c r="T78" s="103">
        <v>2</v>
      </c>
      <c r="U78" s="94">
        <v>0</v>
      </c>
      <c r="V78" s="94">
        <v>0</v>
      </c>
      <c r="X78" s="94">
        <v>0</v>
      </c>
      <c r="AA78" s="94">
        <v>1</v>
      </c>
    </row>
    <row r="79" s="94" customFormat="1" spans="1:27">
      <c r="A79" s="131">
        <v>21101403</v>
      </c>
      <c r="B79" s="131" t="s">
        <v>209</v>
      </c>
      <c r="C79" s="94">
        <v>-1</v>
      </c>
      <c r="D79" s="94" t="s">
        <v>210</v>
      </c>
      <c r="E79" s="131">
        <v>30</v>
      </c>
      <c r="F79" s="94">
        <v>30</v>
      </c>
      <c r="G79" s="94">
        <v>0</v>
      </c>
      <c r="H79" s="94">
        <v>0</v>
      </c>
      <c r="I79" s="94">
        <v>2</v>
      </c>
      <c r="J79" s="94">
        <v>1</v>
      </c>
      <c r="K79" s="94">
        <v>1</v>
      </c>
      <c r="L79" s="94">
        <v>100</v>
      </c>
      <c r="M79" s="94">
        <v>11</v>
      </c>
      <c r="Q79" s="94">
        <v>0</v>
      </c>
      <c r="R79" s="94">
        <v>1</v>
      </c>
      <c r="T79" s="94">
        <v>2</v>
      </c>
      <c r="U79" s="94">
        <v>0</v>
      </c>
      <c r="V79" s="94">
        <v>0</v>
      </c>
      <c r="X79" s="94">
        <v>0</v>
      </c>
      <c r="AA79" s="94">
        <v>1</v>
      </c>
    </row>
    <row r="80" s="103" customFormat="1" spans="1:27">
      <c r="A80" s="132">
        <v>21101404</v>
      </c>
      <c r="B80" s="132" t="s">
        <v>211</v>
      </c>
      <c r="C80" s="103">
        <v>-1</v>
      </c>
      <c r="D80" s="103" t="s">
        <v>212</v>
      </c>
      <c r="E80" s="132">
        <v>30</v>
      </c>
      <c r="F80" s="103">
        <v>30</v>
      </c>
      <c r="G80" s="103">
        <v>0</v>
      </c>
      <c r="H80" s="103">
        <v>0</v>
      </c>
      <c r="I80" s="103">
        <v>2</v>
      </c>
      <c r="J80" s="103">
        <v>1</v>
      </c>
      <c r="K80" s="103">
        <v>2</v>
      </c>
      <c r="L80" s="103">
        <v>100</v>
      </c>
      <c r="M80" s="103">
        <v>0</v>
      </c>
      <c r="Q80" s="103">
        <v>0</v>
      </c>
      <c r="R80" s="103">
        <v>1</v>
      </c>
      <c r="T80" s="103">
        <v>3</v>
      </c>
      <c r="U80" s="94">
        <v>0</v>
      </c>
      <c r="V80" s="94">
        <v>28</v>
      </c>
      <c r="X80" s="94">
        <v>0</v>
      </c>
      <c r="AA80" s="94">
        <v>1</v>
      </c>
    </row>
    <row r="81" s="94" customFormat="1" spans="1:27">
      <c r="A81" s="131">
        <v>21101405</v>
      </c>
      <c r="B81" s="133" t="s">
        <v>59</v>
      </c>
      <c r="C81" s="94">
        <v>-1</v>
      </c>
      <c r="D81" s="94" t="s">
        <v>213</v>
      </c>
      <c r="E81" s="131">
        <v>68</v>
      </c>
      <c r="F81" s="94">
        <v>68</v>
      </c>
      <c r="G81" s="94">
        <v>0</v>
      </c>
      <c r="H81" s="94">
        <v>0</v>
      </c>
      <c r="I81" s="94">
        <v>1</v>
      </c>
      <c r="J81" s="94">
        <v>1</v>
      </c>
      <c r="K81" s="94">
        <v>1</v>
      </c>
      <c r="L81" s="94">
        <v>100</v>
      </c>
      <c r="M81" s="94">
        <v>0</v>
      </c>
      <c r="O81" s="125"/>
      <c r="P81" s="125"/>
      <c r="Q81" s="94">
        <v>0</v>
      </c>
      <c r="R81" s="94">
        <v>1</v>
      </c>
      <c r="T81" s="94">
        <v>2</v>
      </c>
      <c r="U81" s="94">
        <v>0</v>
      </c>
      <c r="V81" s="94">
        <v>0</v>
      </c>
      <c r="X81" s="94">
        <v>0</v>
      </c>
      <c r="AA81" s="94">
        <v>1</v>
      </c>
    </row>
    <row r="82" s="94" customFormat="1" spans="1:27">
      <c r="A82" s="131">
        <v>21101406</v>
      </c>
      <c r="B82" s="133" t="s">
        <v>63</v>
      </c>
      <c r="C82" s="94">
        <v>-1</v>
      </c>
      <c r="D82" s="94" t="s">
        <v>64</v>
      </c>
      <c r="E82" s="131">
        <v>68</v>
      </c>
      <c r="F82" s="94">
        <v>68</v>
      </c>
      <c r="G82" s="94">
        <v>0</v>
      </c>
      <c r="H82" s="94">
        <v>0</v>
      </c>
      <c r="I82" s="94">
        <v>2</v>
      </c>
      <c r="J82" s="94">
        <v>1</v>
      </c>
      <c r="K82" s="94">
        <v>1</v>
      </c>
      <c r="L82" s="94">
        <v>100</v>
      </c>
      <c r="M82" s="94">
        <v>0</v>
      </c>
      <c r="O82" s="125"/>
      <c r="P82" s="125"/>
      <c r="Q82" s="94">
        <v>0</v>
      </c>
      <c r="R82" s="94">
        <v>1</v>
      </c>
      <c r="T82" s="94">
        <v>2</v>
      </c>
      <c r="U82" s="94">
        <v>0</v>
      </c>
      <c r="V82" s="94">
        <v>0</v>
      </c>
      <c r="X82" s="94">
        <v>0</v>
      </c>
      <c r="AA82" s="94">
        <v>1</v>
      </c>
    </row>
    <row r="83" s="103" customFormat="1" spans="1:27">
      <c r="A83" s="132">
        <v>21101407</v>
      </c>
      <c r="B83" s="134" t="s">
        <v>67</v>
      </c>
      <c r="C83" s="103">
        <v>-1</v>
      </c>
      <c r="D83" s="103" t="s">
        <v>68</v>
      </c>
      <c r="E83" s="132">
        <v>68</v>
      </c>
      <c r="F83" s="103">
        <v>68</v>
      </c>
      <c r="G83" s="103">
        <v>0</v>
      </c>
      <c r="H83" s="103">
        <v>0</v>
      </c>
      <c r="I83" s="103">
        <v>2</v>
      </c>
      <c r="J83" s="103">
        <v>1</v>
      </c>
      <c r="K83" s="103">
        <v>3</v>
      </c>
      <c r="L83" s="103">
        <v>100</v>
      </c>
      <c r="M83" s="103">
        <v>0</v>
      </c>
      <c r="O83" s="126"/>
      <c r="P83" s="126"/>
      <c r="Q83" s="103">
        <v>0</v>
      </c>
      <c r="R83" s="103">
        <v>1</v>
      </c>
      <c r="T83" s="103">
        <v>4</v>
      </c>
      <c r="U83" s="94">
        <v>0</v>
      </c>
      <c r="V83" s="94">
        <v>0</v>
      </c>
      <c r="X83" s="94">
        <v>0</v>
      </c>
      <c r="AA83" s="94">
        <v>1</v>
      </c>
    </row>
    <row r="84" s="94" customFormat="1" spans="1:27">
      <c r="A84" s="131">
        <v>21101408</v>
      </c>
      <c r="B84" s="133" t="s">
        <v>71</v>
      </c>
      <c r="C84" s="94">
        <v>-1</v>
      </c>
      <c r="D84" s="94" t="s">
        <v>72</v>
      </c>
      <c r="E84" s="131">
        <v>128</v>
      </c>
      <c r="F84" s="94">
        <v>128</v>
      </c>
      <c r="G84" s="94">
        <v>0</v>
      </c>
      <c r="H84" s="94">
        <v>0</v>
      </c>
      <c r="I84" s="94">
        <v>2</v>
      </c>
      <c r="J84" s="94">
        <v>1</v>
      </c>
      <c r="K84" s="94">
        <v>3</v>
      </c>
      <c r="L84" s="94">
        <v>100</v>
      </c>
      <c r="M84" s="94">
        <v>1</v>
      </c>
      <c r="O84" s="125"/>
      <c r="P84" s="125"/>
      <c r="Q84" s="94">
        <v>0</v>
      </c>
      <c r="R84" s="94">
        <v>1</v>
      </c>
      <c r="T84" s="94">
        <v>2</v>
      </c>
      <c r="U84" s="94">
        <v>0</v>
      </c>
      <c r="V84" s="94">
        <v>0</v>
      </c>
      <c r="X84" s="94">
        <v>0</v>
      </c>
      <c r="AA84" s="94">
        <v>1</v>
      </c>
    </row>
    <row r="85" s="94" customFormat="1" spans="1:27">
      <c r="A85" s="131">
        <v>21101409</v>
      </c>
      <c r="B85" s="133" t="s">
        <v>75</v>
      </c>
      <c r="C85" s="94">
        <v>-1</v>
      </c>
      <c r="D85" s="94" t="s">
        <v>76</v>
      </c>
      <c r="E85" s="131">
        <v>128</v>
      </c>
      <c r="F85" s="94">
        <v>128</v>
      </c>
      <c r="G85" s="94">
        <v>0</v>
      </c>
      <c r="H85" s="94">
        <v>0</v>
      </c>
      <c r="I85" s="94">
        <v>2</v>
      </c>
      <c r="J85" s="94">
        <v>1</v>
      </c>
      <c r="K85" s="94">
        <v>3</v>
      </c>
      <c r="L85" s="94">
        <v>100</v>
      </c>
      <c r="M85" s="94">
        <v>1</v>
      </c>
      <c r="O85" s="125"/>
      <c r="P85" s="125"/>
      <c r="Q85" s="94">
        <v>0</v>
      </c>
      <c r="R85" s="94">
        <v>1</v>
      </c>
      <c r="T85" s="94">
        <v>3</v>
      </c>
      <c r="U85" s="94">
        <v>0</v>
      </c>
      <c r="V85" s="94">
        <v>0</v>
      </c>
      <c r="X85" s="94">
        <v>0</v>
      </c>
      <c r="AA85" s="94">
        <v>1</v>
      </c>
    </row>
    <row r="86" s="94" customFormat="1" spans="1:27">
      <c r="A86" s="131">
        <v>21101410</v>
      </c>
      <c r="B86" s="131" t="s">
        <v>214</v>
      </c>
      <c r="C86" s="94">
        <v>-1</v>
      </c>
      <c r="D86" s="94" t="s">
        <v>215</v>
      </c>
      <c r="E86" s="131">
        <v>128</v>
      </c>
      <c r="F86" s="94">
        <v>128</v>
      </c>
      <c r="G86" s="94">
        <v>0</v>
      </c>
      <c r="H86" s="94">
        <v>0</v>
      </c>
      <c r="I86" s="94">
        <v>2</v>
      </c>
      <c r="J86" s="94">
        <v>1</v>
      </c>
      <c r="K86" s="94">
        <v>5</v>
      </c>
      <c r="L86" s="94">
        <v>100</v>
      </c>
      <c r="M86" s="94">
        <v>1</v>
      </c>
      <c r="Q86" s="94">
        <v>0</v>
      </c>
      <c r="R86" s="94">
        <v>1</v>
      </c>
      <c r="T86" s="94">
        <v>3</v>
      </c>
      <c r="U86" s="94">
        <v>0</v>
      </c>
      <c r="V86" s="94">
        <v>0</v>
      </c>
      <c r="X86" s="94">
        <v>0</v>
      </c>
      <c r="AA86" s="94">
        <v>1</v>
      </c>
    </row>
    <row r="87" s="94" customFormat="1" spans="1:27">
      <c r="A87" s="131">
        <v>21101411</v>
      </c>
      <c r="B87" s="131" t="s">
        <v>216</v>
      </c>
      <c r="C87" s="94">
        <v>-1</v>
      </c>
      <c r="D87" s="94" t="s">
        <v>217</v>
      </c>
      <c r="E87" s="131">
        <v>128</v>
      </c>
      <c r="F87" s="94">
        <v>128</v>
      </c>
      <c r="G87" s="94">
        <v>0</v>
      </c>
      <c r="H87" s="94">
        <v>0</v>
      </c>
      <c r="I87" s="94">
        <v>0</v>
      </c>
      <c r="J87" s="94">
        <v>1</v>
      </c>
      <c r="K87" s="94">
        <v>1</v>
      </c>
      <c r="L87" s="94">
        <v>100</v>
      </c>
      <c r="M87" s="94">
        <v>1</v>
      </c>
      <c r="Q87" s="94">
        <v>0</v>
      </c>
      <c r="R87" s="94">
        <v>1</v>
      </c>
      <c r="T87" s="94">
        <v>2</v>
      </c>
      <c r="U87" s="94">
        <v>0</v>
      </c>
      <c r="V87" s="94">
        <v>0</v>
      </c>
      <c r="X87" s="94">
        <v>0</v>
      </c>
      <c r="AA87" s="94">
        <v>1</v>
      </c>
    </row>
    <row r="88" s="94" customFormat="1" spans="1:27">
      <c r="A88" s="131">
        <v>21120901</v>
      </c>
      <c r="B88" s="131" t="s">
        <v>218</v>
      </c>
      <c r="C88" s="94">
        <v>336</v>
      </c>
      <c r="D88" s="94" t="s">
        <v>219</v>
      </c>
      <c r="E88" s="131">
        <v>198</v>
      </c>
      <c r="F88" s="94">
        <v>198</v>
      </c>
      <c r="G88" s="94">
        <v>0</v>
      </c>
      <c r="H88" s="94">
        <v>0</v>
      </c>
      <c r="I88" s="94">
        <v>0</v>
      </c>
      <c r="J88" s="94">
        <v>1</v>
      </c>
      <c r="K88" s="94">
        <v>1</v>
      </c>
      <c r="L88" s="94">
        <v>100</v>
      </c>
      <c r="M88" s="94">
        <v>3</v>
      </c>
      <c r="Q88" s="94">
        <v>0</v>
      </c>
      <c r="R88" s="94">
        <v>1</v>
      </c>
      <c r="T88" s="94">
        <v>1</v>
      </c>
      <c r="U88" s="94">
        <v>0</v>
      </c>
      <c r="V88" s="94">
        <v>0</v>
      </c>
      <c r="X88" s="94">
        <v>0</v>
      </c>
      <c r="AA88" s="94">
        <v>1</v>
      </c>
    </row>
    <row r="89" spans="1:27">
      <c r="A89" s="131">
        <v>21101412</v>
      </c>
      <c r="B89" s="133" t="s">
        <v>88</v>
      </c>
      <c r="C89" s="94">
        <v>-1</v>
      </c>
      <c r="D89" s="94" t="s">
        <v>89</v>
      </c>
      <c r="E89" s="131">
        <v>328</v>
      </c>
      <c r="F89" s="94">
        <v>328</v>
      </c>
      <c r="G89" s="94">
        <v>0</v>
      </c>
      <c r="H89" s="94">
        <v>0</v>
      </c>
      <c r="I89" s="94">
        <v>2</v>
      </c>
      <c r="J89" s="94">
        <v>1</v>
      </c>
      <c r="K89" s="94">
        <v>3</v>
      </c>
      <c r="L89" s="94">
        <v>100</v>
      </c>
      <c r="M89" s="94">
        <v>3</v>
      </c>
      <c r="O89" s="125"/>
      <c r="P89" s="125"/>
      <c r="Q89" s="94">
        <v>0</v>
      </c>
      <c r="R89" s="94">
        <v>1</v>
      </c>
      <c r="T89" s="94">
        <v>2</v>
      </c>
      <c r="U89" s="94">
        <v>0</v>
      </c>
      <c r="V89" s="94">
        <v>0</v>
      </c>
      <c r="X89" s="94">
        <v>0</v>
      </c>
      <c r="AA89" s="94">
        <v>1</v>
      </c>
    </row>
    <row r="90" spans="1:27">
      <c r="A90" s="131">
        <v>21101413</v>
      </c>
      <c r="B90" s="131" t="s">
        <v>220</v>
      </c>
      <c r="C90" s="94">
        <v>-1</v>
      </c>
      <c r="D90" s="94" t="s">
        <v>221</v>
      </c>
      <c r="E90" s="131">
        <v>328</v>
      </c>
      <c r="F90" s="94">
        <v>328</v>
      </c>
      <c r="G90" s="94">
        <v>0</v>
      </c>
      <c r="H90" s="94">
        <v>0</v>
      </c>
      <c r="I90" s="94">
        <v>2</v>
      </c>
      <c r="J90" s="94">
        <v>1</v>
      </c>
      <c r="K90" s="94">
        <v>3</v>
      </c>
      <c r="L90" s="94">
        <v>100</v>
      </c>
      <c r="M90" s="94">
        <v>3</v>
      </c>
      <c r="Q90" s="94">
        <v>0</v>
      </c>
      <c r="R90" s="94">
        <v>1</v>
      </c>
      <c r="T90" s="94">
        <v>3</v>
      </c>
      <c r="U90" s="94">
        <v>0</v>
      </c>
      <c r="V90" s="94">
        <v>0</v>
      </c>
      <c r="X90" s="94">
        <v>0</v>
      </c>
      <c r="AA90" s="94">
        <v>1</v>
      </c>
    </row>
    <row r="91" spans="1:27">
      <c r="A91" s="131">
        <v>21101414</v>
      </c>
      <c r="B91" s="131" t="s">
        <v>222</v>
      </c>
      <c r="C91" s="94">
        <v>-1</v>
      </c>
      <c r="D91" s="94" t="s">
        <v>223</v>
      </c>
      <c r="E91" s="131">
        <v>328</v>
      </c>
      <c r="F91" s="94">
        <v>328</v>
      </c>
      <c r="G91" s="94">
        <v>0</v>
      </c>
      <c r="H91" s="94">
        <v>0</v>
      </c>
      <c r="I91" s="94">
        <v>3</v>
      </c>
      <c r="J91" s="94">
        <v>1</v>
      </c>
      <c r="K91" s="94">
        <v>1</v>
      </c>
      <c r="L91" s="94">
        <v>100</v>
      </c>
      <c r="M91" s="94">
        <v>3</v>
      </c>
      <c r="Q91" s="94">
        <v>0</v>
      </c>
      <c r="R91" s="94">
        <v>1</v>
      </c>
      <c r="T91" s="94">
        <v>2</v>
      </c>
      <c r="U91" s="94">
        <v>0</v>
      </c>
      <c r="V91" s="94">
        <v>0</v>
      </c>
      <c r="X91" s="94">
        <v>0</v>
      </c>
      <c r="AA91" s="94">
        <v>1</v>
      </c>
    </row>
    <row r="92" s="103" customFormat="1" spans="1:27">
      <c r="A92" s="132">
        <v>21101415</v>
      </c>
      <c r="B92" s="134" t="s">
        <v>96</v>
      </c>
      <c r="C92" s="103">
        <v>-1</v>
      </c>
      <c r="D92" s="103" t="s">
        <v>224</v>
      </c>
      <c r="E92" s="132">
        <v>328</v>
      </c>
      <c r="F92" s="103">
        <v>328</v>
      </c>
      <c r="G92" s="103">
        <v>0</v>
      </c>
      <c r="H92" s="103">
        <v>0</v>
      </c>
      <c r="I92" s="103">
        <v>0</v>
      </c>
      <c r="J92" s="103">
        <v>1</v>
      </c>
      <c r="K92" s="103">
        <v>1</v>
      </c>
      <c r="L92" s="103">
        <v>100</v>
      </c>
      <c r="M92" s="103">
        <v>3</v>
      </c>
      <c r="O92" s="126"/>
      <c r="P92" s="126"/>
      <c r="Q92" s="103">
        <v>0</v>
      </c>
      <c r="R92" s="103">
        <v>1</v>
      </c>
      <c r="T92" s="103">
        <v>2</v>
      </c>
      <c r="U92" s="94">
        <v>0</v>
      </c>
      <c r="V92" s="94">
        <v>0</v>
      </c>
      <c r="X92" s="94">
        <v>0</v>
      </c>
      <c r="AA92" s="94">
        <v>1</v>
      </c>
    </row>
    <row r="93" spans="1:27">
      <c r="A93" s="131">
        <v>21120902</v>
      </c>
      <c r="B93" s="133" t="s">
        <v>225</v>
      </c>
      <c r="C93" s="94">
        <v>336</v>
      </c>
      <c r="D93" s="94" t="s">
        <v>195</v>
      </c>
      <c r="E93" s="131">
        <v>648</v>
      </c>
      <c r="F93" s="94">
        <v>648</v>
      </c>
      <c r="G93" s="94">
        <v>0</v>
      </c>
      <c r="H93" s="94">
        <v>0</v>
      </c>
      <c r="I93" s="94">
        <v>0</v>
      </c>
      <c r="J93" s="94">
        <v>1</v>
      </c>
      <c r="K93" s="94">
        <v>1</v>
      </c>
      <c r="L93" s="94">
        <v>100</v>
      </c>
      <c r="M93" s="94">
        <v>2</v>
      </c>
      <c r="O93" s="125"/>
      <c r="P93" s="125"/>
      <c r="Q93" s="94">
        <v>0</v>
      </c>
      <c r="R93" s="94">
        <v>1</v>
      </c>
      <c r="S93" s="94">
        <v>1</v>
      </c>
      <c r="T93" s="94">
        <v>1</v>
      </c>
      <c r="U93" s="94">
        <v>0</v>
      </c>
      <c r="V93" s="94">
        <v>0</v>
      </c>
      <c r="X93" s="94">
        <v>0</v>
      </c>
      <c r="AA93" s="94">
        <v>1</v>
      </c>
    </row>
    <row r="94" spans="1:27">
      <c r="A94" s="131">
        <v>21120903</v>
      </c>
      <c r="B94" s="133" t="s">
        <v>226</v>
      </c>
      <c r="C94" s="94">
        <v>336</v>
      </c>
      <c r="D94" s="94" t="s">
        <v>227</v>
      </c>
      <c r="E94" s="131">
        <v>648</v>
      </c>
      <c r="F94" s="94">
        <v>648</v>
      </c>
      <c r="G94" s="94">
        <v>0</v>
      </c>
      <c r="H94" s="94">
        <v>0</v>
      </c>
      <c r="I94" s="94">
        <v>0</v>
      </c>
      <c r="J94" s="94">
        <v>1</v>
      </c>
      <c r="K94" s="94">
        <v>1</v>
      </c>
      <c r="L94" s="94">
        <v>100</v>
      </c>
      <c r="M94" s="94">
        <v>2</v>
      </c>
      <c r="O94" s="125"/>
      <c r="P94" s="125"/>
      <c r="Q94" s="94">
        <v>0</v>
      </c>
      <c r="R94" s="94">
        <v>1</v>
      </c>
      <c r="T94" s="94">
        <v>1</v>
      </c>
      <c r="U94" s="94">
        <v>0</v>
      </c>
      <c r="V94" s="94">
        <v>0</v>
      </c>
      <c r="X94" s="94">
        <v>0</v>
      </c>
      <c r="AA94" s="94">
        <v>1</v>
      </c>
    </row>
    <row r="95" spans="1:27">
      <c r="A95" s="131">
        <v>21101416</v>
      </c>
      <c r="B95" s="133" t="s">
        <v>100</v>
      </c>
      <c r="C95" s="94">
        <v>-1</v>
      </c>
      <c r="D95" s="94" t="s">
        <v>228</v>
      </c>
      <c r="E95" s="131">
        <v>648</v>
      </c>
      <c r="F95" s="94">
        <v>648</v>
      </c>
      <c r="G95" s="94">
        <v>0</v>
      </c>
      <c r="H95" s="94">
        <v>0</v>
      </c>
      <c r="I95" s="94">
        <v>2</v>
      </c>
      <c r="J95" s="94">
        <v>1</v>
      </c>
      <c r="K95" s="94">
        <v>1</v>
      </c>
      <c r="L95" s="94">
        <v>100</v>
      </c>
      <c r="M95" s="94">
        <v>2</v>
      </c>
      <c r="O95" s="125"/>
      <c r="P95" s="125"/>
      <c r="Q95" s="94">
        <v>0</v>
      </c>
      <c r="R95" s="94">
        <v>1</v>
      </c>
      <c r="T95" s="94">
        <v>3</v>
      </c>
      <c r="U95" s="94">
        <v>0</v>
      </c>
      <c r="V95" s="94">
        <v>28</v>
      </c>
      <c r="X95" s="94">
        <v>0</v>
      </c>
      <c r="AA95" s="94">
        <v>1</v>
      </c>
    </row>
    <row r="96" spans="1:27">
      <c r="A96" s="131">
        <v>21101417</v>
      </c>
      <c r="B96" s="133" t="s">
        <v>104</v>
      </c>
      <c r="C96" s="94">
        <v>-1</v>
      </c>
      <c r="D96" s="94" t="s">
        <v>229</v>
      </c>
      <c r="E96" s="131">
        <v>648</v>
      </c>
      <c r="F96" s="94">
        <v>648</v>
      </c>
      <c r="G96" s="94">
        <v>0</v>
      </c>
      <c r="H96" s="94">
        <v>0</v>
      </c>
      <c r="I96" s="94">
        <v>2</v>
      </c>
      <c r="J96" s="94">
        <v>1</v>
      </c>
      <c r="K96" s="94">
        <v>2</v>
      </c>
      <c r="L96" s="94">
        <v>100</v>
      </c>
      <c r="M96" s="94">
        <v>2</v>
      </c>
      <c r="O96" s="125"/>
      <c r="P96" s="125"/>
      <c r="Q96" s="94">
        <v>0</v>
      </c>
      <c r="R96" s="94">
        <v>1</v>
      </c>
      <c r="T96" s="94">
        <v>2</v>
      </c>
      <c r="U96" s="94">
        <v>0</v>
      </c>
      <c r="V96" s="94">
        <v>0</v>
      </c>
      <c r="X96" s="94">
        <v>0</v>
      </c>
      <c r="AA96" s="94">
        <v>1</v>
      </c>
    </row>
    <row r="97" spans="1:27">
      <c r="A97" s="131">
        <v>21101418</v>
      </c>
      <c r="B97" s="133" t="s">
        <v>230</v>
      </c>
      <c r="C97" s="94">
        <v>-1</v>
      </c>
      <c r="D97" s="125" t="s">
        <v>231</v>
      </c>
      <c r="E97" s="131">
        <v>648</v>
      </c>
      <c r="F97" s="94">
        <v>648</v>
      </c>
      <c r="G97" s="94">
        <v>0</v>
      </c>
      <c r="H97" s="94">
        <v>0</v>
      </c>
      <c r="I97" s="94">
        <v>3</v>
      </c>
      <c r="J97" s="94">
        <v>1</v>
      </c>
      <c r="K97" s="94">
        <v>1</v>
      </c>
      <c r="L97" s="94">
        <v>100</v>
      </c>
      <c r="M97" s="94">
        <v>2</v>
      </c>
      <c r="O97" s="125"/>
      <c r="P97" s="125"/>
      <c r="Q97" s="94">
        <v>0</v>
      </c>
      <c r="R97" s="94">
        <v>1</v>
      </c>
      <c r="T97" s="94">
        <v>2</v>
      </c>
      <c r="U97" s="94">
        <v>0</v>
      </c>
      <c r="V97" s="94">
        <v>0</v>
      </c>
      <c r="X97" s="94">
        <v>0</v>
      </c>
      <c r="AA97" s="94">
        <v>1</v>
      </c>
    </row>
    <row r="98" spans="1:27">
      <c r="A98" s="131">
        <v>21101419</v>
      </c>
      <c r="B98" s="133" t="s">
        <v>108</v>
      </c>
      <c r="C98" s="94">
        <v>-1</v>
      </c>
      <c r="D98" s="94" t="s">
        <v>109</v>
      </c>
      <c r="E98" s="131">
        <v>648</v>
      </c>
      <c r="F98" s="94">
        <v>648</v>
      </c>
      <c r="G98" s="94">
        <v>0</v>
      </c>
      <c r="H98" s="94">
        <v>0</v>
      </c>
      <c r="I98" s="94">
        <v>2</v>
      </c>
      <c r="J98" s="94">
        <v>1</v>
      </c>
      <c r="K98" s="94">
        <v>2</v>
      </c>
      <c r="L98" s="94">
        <v>100</v>
      </c>
      <c r="M98" s="94">
        <v>2</v>
      </c>
      <c r="O98" s="125"/>
      <c r="P98" s="125"/>
      <c r="Q98" s="94">
        <v>0</v>
      </c>
      <c r="R98" s="94">
        <v>1</v>
      </c>
      <c r="T98" s="94">
        <v>3</v>
      </c>
      <c r="U98" s="94">
        <v>0</v>
      </c>
      <c r="V98" s="94">
        <v>0</v>
      </c>
      <c r="X98" s="94">
        <v>0</v>
      </c>
      <c r="AA98" s="94">
        <v>1</v>
      </c>
    </row>
    <row r="99" s="103" customFormat="1" spans="1:27">
      <c r="A99" s="132">
        <v>21101420</v>
      </c>
      <c r="B99" s="134" t="s">
        <v>112</v>
      </c>
      <c r="C99" s="103">
        <v>-1</v>
      </c>
      <c r="D99" s="103" t="s">
        <v>113</v>
      </c>
      <c r="E99" s="132">
        <v>648</v>
      </c>
      <c r="F99" s="103">
        <v>648</v>
      </c>
      <c r="G99" s="103">
        <v>0</v>
      </c>
      <c r="H99" s="103">
        <v>0</v>
      </c>
      <c r="I99" s="103">
        <v>0</v>
      </c>
      <c r="J99" s="103">
        <v>1</v>
      </c>
      <c r="K99" s="103">
        <v>1</v>
      </c>
      <c r="L99" s="103">
        <v>100</v>
      </c>
      <c r="M99" s="103">
        <v>2</v>
      </c>
      <c r="O99" s="126"/>
      <c r="P99" s="126"/>
      <c r="Q99" s="103">
        <v>0</v>
      </c>
      <c r="R99" s="103">
        <v>1</v>
      </c>
      <c r="T99" s="103">
        <v>2</v>
      </c>
      <c r="U99" s="94">
        <v>0</v>
      </c>
      <c r="V99" s="94">
        <v>0</v>
      </c>
      <c r="X99" s="94">
        <v>0</v>
      </c>
      <c r="AA99" s="94">
        <v>1</v>
      </c>
    </row>
    <row r="100" spans="1:27">
      <c r="A100" s="131">
        <v>21101421</v>
      </c>
      <c r="B100" s="133" t="s">
        <v>116</v>
      </c>
      <c r="C100" s="94">
        <v>-1</v>
      </c>
      <c r="D100" s="94" t="s">
        <v>117</v>
      </c>
      <c r="E100" s="131">
        <v>1000</v>
      </c>
      <c r="F100" s="94">
        <v>1000</v>
      </c>
      <c r="G100" s="94">
        <v>1</v>
      </c>
      <c r="H100" s="94">
        <v>0</v>
      </c>
      <c r="I100" s="94">
        <v>3</v>
      </c>
      <c r="J100" s="94">
        <v>1</v>
      </c>
      <c r="K100" s="94">
        <v>5</v>
      </c>
      <c r="L100" s="94">
        <v>100</v>
      </c>
      <c r="M100" s="94">
        <v>9</v>
      </c>
      <c r="O100" s="125"/>
      <c r="P100" s="125"/>
      <c r="Q100" s="94">
        <v>0</v>
      </c>
      <c r="R100" s="94">
        <v>1</v>
      </c>
      <c r="T100" s="94">
        <v>4</v>
      </c>
      <c r="U100" s="94">
        <v>0</v>
      </c>
      <c r="V100" s="94">
        <v>0</v>
      </c>
      <c r="X100" s="94">
        <v>0</v>
      </c>
      <c r="AA100" s="94">
        <v>1</v>
      </c>
    </row>
    <row r="101" s="103" customFormat="1" spans="1:27">
      <c r="A101" s="132">
        <v>21101422</v>
      </c>
      <c r="B101" s="134" t="s">
        <v>120</v>
      </c>
      <c r="C101" s="103">
        <v>-1</v>
      </c>
      <c r="D101" s="103" t="s">
        <v>121</v>
      </c>
      <c r="E101" s="132">
        <v>1000</v>
      </c>
      <c r="F101" s="103">
        <v>1000</v>
      </c>
      <c r="G101" s="103">
        <v>1</v>
      </c>
      <c r="H101" s="103">
        <v>0</v>
      </c>
      <c r="I101" s="103">
        <v>3</v>
      </c>
      <c r="J101" s="103">
        <v>1</v>
      </c>
      <c r="K101" s="103">
        <v>5</v>
      </c>
      <c r="L101" s="103">
        <v>100</v>
      </c>
      <c r="M101" s="103">
        <v>16</v>
      </c>
      <c r="O101" s="126"/>
      <c r="P101" s="126"/>
      <c r="Q101" s="103">
        <v>0</v>
      </c>
      <c r="R101" s="103">
        <v>1</v>
      </c>
      <c r="T101" s="103">
        <v>4</v>
      </c>
      <c r="U101" s="94">
        <v>0</v>
      </c>
      <c r="V101" s="94">
        <v>0</v>
      </c>
      <c r="X101" s="94">
        <v>0</v>
      </c>
      <c r="AA101" s="94">
        <v>1</v>
      </c>
    </row>
    <row r="102" s="94" customFormat="1" spans="1:27">
      <c r="A102" s="132">
        <v>21101423</v>
      </c>
      <c r="B102" s="131" t="s">
        <v>232</v>
      </c>
      <c r="C102" s="94">
        <v>-1</v>
      </c>
      <c r="D102" s="125" t="s">
        <v>233</v>
      </c>
      <c r="E102" s="131">
        <v>648</v>
      </c>
      <c r="F102" s="94">
        <v>648</v>
      </c>
      <c r="G102" s="94">
        <v>0</v>
      </c>
      <c r="H102" s="94">
        <v>0</v>
      </c>
      <c r="I102" s="94">
        <v>2</v>
      </c>
      <c r="J102" s="94">
        <v>0</v>
      </c>
      <c r="K102" s="94">
        <v>1</v>
      </c>
      <c r="L102" s="94">
        <v>100</v>
      </c>
      <c r="M102" s="103">
        <v>2</v>
      </c>
      <c r="Q102" s="94">
        <v>0</v>
      </c>
      <c r="R102" s="94">
        <v>1</v>
      </c>
      <c r="T102" s="94">
        <v>2</v>
      </c>
      <c r="U102" s="94">
        <v>0</v>
      </c>
      <c r="V102" s="94">
        <v>0</v>
      </c>
      <c r="X102" s="94">
        <v>0</v>
      </c>
      <c r="AA102" s="94">
        <v>1</v>
      </c>
    </row>
    <row r="103" s="106" customFormat="1" spans="1:27">
      <c r="A103" s="106">
        <v>2200111</v>
      </c>
      <c r="B103" s="135" t="s">
        <v>234</v>
      </c>
      <c r="C103" s="106">
        <v>-1</v>
      </c>
      <c r="D103" s="106" t="s">
        <v>109</v>
      </c>
      <c r="E103" s="136">
        <v>648</v>
      </c>
      <c r="F103" s="106">
        <v>648</v>
      </c>
      <c r="G103" s="106">
        <v>0</v>
      </c>
      <c r="H103" s="106">
        <v>0</v>
      </c>
      <c r="I103" s="106">
        <v>2</v>
      </c>
      <c r="J103" s="106">
        <v>1</v>
      </c>
      <c r="K103" s="106">
        <v>2</v>
      </c>
      <c r="L103" s="106">
        <v>100</v>
      </c>
      <c r="M103" s="106">
        <v>2</v>
      </c>
      <c r="O103" s="143"/>
      <c r="P103" s="143"/>
      <c r="Q103" s="106">
        <v>0</v>
      </c>
      <c r="R103" s="106">
        <v>1</v>
      </c>
      <c r="S103" s="106">
        <v>1</v>
      </c>
      <c r="T103" s="106">
        <v>3</v>
      </c>
      <c r="U103" s="106">
        <v>0</v>
      </c>
      <c r="V103" s="106">
        <v>0</v>
      </c>
      <c r="W103" s="94"/>
      <c r="X103" s="94">
        <v>0</v>
      </c>
      <c r="AA103" s="94">
        <v>1</v>
      </c>
    </row>
    <row r="104" spans="1:27">
      <c r="A104" s="94">
        <v>2200112</v>
      </c>
      <c r="B104" s="137" t="s">
        <v>235</v>
      </c>
      <c r="C104" s="94">
        <v>-1</v>
      </c>
      <c r="D104" s="94" t="s">
        <v>113</v>
      </c>
      <c r="E104" s="131">
        <v>648</v>
      </c>
      <c r="F104" s="94">
        <v>648</v>
      </c>
      <c r="G104" s="94">
        <v>0</v>
      </c>
      <c r="H104" s="94">
        <v>0</v>
      </c>
      <c r="I104" s="94">
        <v>0</v>
      </c>
      <c r="J104" s="94">
        <v>1</v>
      </c>
      <c r="K104" s="94">
        <v>1</v>
      </c>
      <c r="L104" s="94">
        <v>100</v>
      </c>
      <c r="M104" s="94">
        <v>2</v>
      </c>
      <c r="O104" s="125"/>
      <c r="P104" s="125"/>
      <c r="Q104" s="94">
        <v>0</v>
      </c>
      <c r="R104" s="94">
        <v>1</v>
      </c>
      <c r="S104" s="94">
        <v>1</v>
      </c>
      <c r="T104" s="94">
        <v>3</v>
      </c>
      <c r="U104" s="94">
        <v>0</v>
      </c>
      <c r="V104" s="94">
        <v>0</v>
      </c>
      <c r="X104" s="94">
        <v>0</v>
      </c>
      <c r="AA104" s="94">
        <v>1</v>
      </c>
    </row>
    <row r="105" spans="1:27">
      <c r="A105" s="94">
        <v>2200113</v>
      </c>
      <c r="B105" s="137" t="s">
        <v>236</v>
      </c>
      <c r="C105" s="94">
        <v>-1</v>
      </c>
      <c r="D105" s="125" t="s">
        <v>117</v>
      </c>
      <c r="E105" s="131">
        <v>1000</v>
      </c>
      <c r="F105" s="94">
        <v>1000</v>
      </c>
      <c r="G105" s="94">
        <v>1</v>
      </c>
      <c r="H105" s="94">
        <v>0</v>
      </c>
      <c r="I105" s="94">
        <v>3</v>
      </c>
      <c r="J105" s="94">
        <v>1</v>
      </c>
      <c r="K105" s="94">
        <v>5</v>
      </c>
      <c r="L105" s="94">
        <v>100</v>
      </c>
      <c r="M105" s="94">
        <v>9</v>
      </c>
      <c r="O105" s="125"/>
      <c r="P105" s="125"/>
      <c r="Q105" s="94">
        <v>0</v>
      </c>
      <c r="R105" s="94">
        <v>1</v>
      </c>
      <c r="S105" s="94">
        <v>1</v>
      </c>
      <c r="T105" s="94">
        <v>3</v>
      </c>
      <c r="U105" s="94">
        <v>0</v>
      </c>
      <c r="V105" s="94">
        <v>0</v>
      </c>
      <c r="X105" s="94">
        <v>0</v>
      </c>
      <c r="AA105" s="94">
        <v>1</v>
      </c>
    </row>
    <row r="106" spans="1:27">
      <c r="A106" s="94">
        <v>2200114</v>
      </c>
      <c r="B106" s="137" t="s">
        <v>237</v>
      </c>
      <c r="C106" s="94">
        <v>-1</v>
      </c>
      <c r="D106" s="94" t="s">
        <v>121</v>
      </c>
      <c r="E106" s="131">
        <v>1000</v>
      </c>
      <c r="F106" s="94">
        <v>1000</v>
      </c>
      <c r="G106" s="94">
        <v>1</v>
      </c>
      <c r="H106" s="94">
        <v>0</v>
      </c>
      <c r="I106" s="94">
        <v>3</v>
      </c>
      <c r="J106" s="94">
        <v>1</v>
      </c>
      <c r="K106" s="94">
        <v>5</v>
      </c>
      <c r="L106" s="94">
        <v>100</v>
      </c>
      <c r="M106" s="94">
        <v>16</v>
      </c>
      <c r="O106" s="125"/>
      <c r="P106" s="125"/>
      <c r="Q106" s="94">
        <v>0</v>
      </c>
      <c r="R106" s="94">
        <v>1</v>
      </c>
      <c r="S106" s="94">
        <v>1</v>
      </c>
      <c r="T106" s="94">
        <v>4</v>
      </c>
      <c r="U106" s="94">
        <v>0</v>
      </c>
      <c r="V106" s="94">
        <v>0</v>
      </c>
      <c r="X106" s="94">
        <v>0</v>
      </c>
      <c r="AA106" s="94">
        <v>1</v>
      </c>
    </row>
    <row r="107" spans="1:27">
      <c r="A107" s="94">
        <v>2200115</v>
      </c>
      <c r="B107" s="137" t="s">
        <v>238</v>
      </c>
      <c r="C107" s="94">
        <v>-1</v>
      </c>
      <c r="D107" s="94" t="s">
        <v>239</v>
      </c>
      <c r="E107" s="131">
        <v>1000</v>
      </c>
      <c r="F107" s="94">
        <v>1000</v>
      </c>
      <c r="G107" s="94">
        <v>1</v>
      </c>
      <c r="H107" s="94">
        <v>0</v>
      </c>
      <c r="I107" s="94">
        <v>3</v>
      </c>
      <c r="J107" s="94">
        <v>1</v>
      </c>
      <c r="K107" s="94">
        <v>5</v>
      </c>
      <c r="L107" s="94">
        <v>100</v>
      </c>
      <c r="M107" s="94">
        <v>16</v>
      </c>
      <c r="O107" s="125"/>
      <c r="P107" s="125"/>
      <c r="Q107" s="94">
        <v>0</v>
      </c>
      <c r="R107" s="94">
        <v>1</v>
      </c>
      <c r="S107" s="94">
        <v>1</v>
      </c>
      <c r="T107" s="94">
        <v>4</v>
      </c>
      <c r="U107" s="94">
        <v>0</v>
      </c>
      <c r="V107" s="94">
        <v>0</v>
      </c>
      <c r="X107" s="94">
        <v>0</v>
      </c>
      <c r="AA107" s="94">
        <v>1</v>
      </c>
    </row>
    <row r="108" spans="1:27">
      <c r="A108" s="138">
        <v>2200116</v>
      </c>
      <c r="B108" s="139" t="s">
        <v>240</v>
      </c>
      <c r="C108" s="94">
        <v>-1</v>
      </c>
      <c r="D108" s="94" t="s">
        <v>187</v>
      </c>
      <c r="E108" s="131">
        <v>30</v>
      </c>
      <c r="F108" s="94">
        <v>30</v>
      </c>
      <c r="G108" s="94">
        <v>0</v>
      </c>
      <c r="H108" s="94">
        <v>0</v>
      </c>
      <c r="I108" s="94">
        <v>0</v>
      </c>
      <c r="J108" s="94">
        <v>0</v>
      </c>
      <c r="K108" s="94">
        <v>1</v>
      </c>
      <c r="L108" s="94">
        <v>100</v>
      </c>
      <c r="M108" s="94">
        <v>2</v>
      </c>
      <c r="O108" s="125"/>
      <c r="P108" s="125"/>
      <c r="Q108" s="94">
        <v>0</v>
      </c>
      <c r="R108" s="94">
        <v>1</v>
      </c>
      <c r="S108" s="94">
        <v>1</v>
      </c>
      <c r="T108" s="94">
        <v>3</v>
      </c>
      <c r="U108" s="94">
        <v>0</v>
      </c>
      <c r="V108" s="94">
        <v>0</v>
      </c>
      <c r="X108" s="94">
        <v>0</v>
      </c>
      <c r="AA108" s="94">
        <v>1</v>
      </c>
    </row>
    <row r="109" s="94" customFormat="1" spans="1:27">
      <c r="A109" s="138">
        <v>2200117</v>
      </c>
      <c r="B109" s="139" t="s">
        <v>241</v>
      </c>
      <c r="C109" s="94">
        <v>-1</v>
      </c>
      <c r="D109" s="94" t="s">
        <v>242</v>
      </c>
      <c r="E109" s="131">
        <v>98</v>
      </c>
      <c r="F109" s="94">
        <v>98</v>
      </c>
      <c r="G109" s="94">
        <v>0</v>
      </c>
      <c r="H109" s="94">
        <v>0</v>
      </c>
      <c r="I109" s="94">
        <v>0</v>
      </c>
      <c r="J109" s="94">
        <v>0</v>
      </c>
      <c r="K109" s="94">
        <v>1</v>
      </c>
      <c r="L109" s="94">
        <v>100</v>
      </c>
      <c r="M109" s="94">
        <v>2</v>
      </c>
      <c r="O109" s="125"/>
      <c r="P109" s="125"/>
      <c r="Q109" s="94">
        <v>0</v>
      </c>
      <c r="R109" s="94">
        <v>1</v>
      </c>
      <c r="S109" s="94">
        <v>1</v>
      </c>
      <c r="T109" s="94">
        <v>3</v>
      </c>
      <c r="U109" s="94">
        <v>0</v>
      </c>
      <c r="V109" s="94">
        <v>0</v>
      </c>
      <c r="X109" s="94">
        <v>0</v>
      </c>
      <c r="AA109" s="94">
        <v>1</v>
      </c>
    </row>
    <row r="110" s="94" customFormat="1" spans="1:27">
      <c r="A110" s="138">
        <v>2200118</v>
      </c>
      <c r="B110" s="139" t="s">
        <v>243</v>
      </c>
      <c r="C110" s="94">
        <v>-1</v>
      </c>
      <c r="D110" s="94" t="s">
        <v>244</v>
      </c>
      <c r="E110" s="131">
        <v>128</v>
      </c>
      <c r="F110" s="94">
        <v>128</v>
      </c>
      <c r="G110" s="94">
        <v>0</v>
      </c>
      <c r="H110" s="94">
        <v>0</v>
      </c>
      <c r="I110" s="94">
        <v>0</v>
      </c>
      <c r="J110" s="94">
        <v>0</v>
      </c>
      <c r="K110" s="94">
        <v>1</v>
      </c>
      <c r="L110" s="94">
        <v>100</v>
      </c>
      <c r="M110" s="94">
        <v>2</v>
      </c>
      <c r="O110" s="125"/>
      <c r="P110" s="125"/>
      <c r="Q110" s="94">
        <v>0</v>
      </c>
      <c r="R110" s="94">
        <v>1</v>
      </c>
      <c r="S110" s="94">
        <v>1</v>
      </c>
      <c r="T110" s="94">
        <v>3</v>
      </c>
      <c r="U110" s="94">
        <v>0</v>
      </c>
      <c r="V110" s="94">
        <v>0</v>
      </c>
      <c r="X110" s="94">
        <v>0</v>
      </c>
      <c r="AA110" s="94">
        <v>1</v>
      </c>
    </row>
    <row r="111" s="94" customFormat="1" spans="1:27">
      <c r="A111" s="140" t="s">
        <v>245</v>
      </c>
      <c r="B111" s="141" t="s">
        <v>246</v>
      </c>
      <c r="C111" s="94">
        <v>-1</v>
      </c>
      <c r="D111" s="94" t="s">
        <v>247</v>
      </c>
      <c r="E111" s="131">
        <v>1</v>
      </c>
      <c r="F111" s="94">
        <v>1</v>
      </c>
      <c r="G111" s="94">
        <v>1</v>
      </c>
      <c r="H111" s="94">
        <v>0</v>
      </c>
      <c r="I111" s="94">
        <v>0</v>
      </c>
      <c r="J111" s="94">
        <v>1</v>
      </c>
      <c r="K111" s="94">
        <v>1</v>
      </c>
      <c r="L111" s="94">
        <v>100</v>
      </c>
      <c r="M111" s="94">
        <v>12</v>
      </c>
      <c r="O111" s="125" t="s">
        <v>248</v>
      </c>
      <c r="P111" s="125" t="s">
        <v>249</v>
      </c>
      <c r="Q111" s="94">
        <v>0</v>
      </c>
      <c r="R111" s="94">
        <v>1</v>
      </c>
      <c r="T111" s="94">
        <v>1</v>
      </c>
      <c r="U111" s="94">
        <v>0</v>
      </c>
      <c r="V111" s="94">
        <v>0</v>
      </c>
      <c r="X111" s="94">
        <v>0</v>
      </c>
      <c r="AA111" s="94">
        <v>1</v>
      </c>
    </row>
    <row r="112" s="94" customFormat="1" spans="1:27">
      <c r="A112" s="140" t="s">
        <v>250</v>
      </c>
      <c r="B112" s="141" t="s">
        <v>251</v>
      </c>
      <c r="C112" s="94">
        <v>-1</v>
      </c>
      <c r="D112" s="94" t="s">
        <v>252</v>
      </c>
      <c r="E112" s="131">
        <v>10</v>
      </c>
      <c r="F112" s="94">
        <v>10</v>
      </c>
      <c r="G112" s="94">
        <v>1</v>
      </c>
      <c r="H112" s="94">
        <v>0</v>
      </c>
      <c r="I112" s="94">
        <v>0</v>
      </c>
      <c r="J112" s="94">
        <v>1</v>
      </c>
      <c r="K112" s="94">
        <v>1</v>
      </c>
      <c r="L112" s="94">
        <v>100</v>
      </c>
      <c r="M112" s="94">
        <v>0</v>
      </c>
      <c r="O112" s="125" t="s">
        <v>253</v>
      </c>
      <c r="P112" s="125" t="s">
        <v>249</v>
      </c>
      <c r="Q112" s="94">
        <v>0</v>
      </c>
      <c r="R112" s="94">
        <v>1</v>
      </c>
      <c r="T112" s="94">
        <v>1</v>
      </c>
      <c r="U112" s="94">
        <v>0</v>
      </c>
      <c r="V112" s="94">
        <v>0</v>
      </c>
      <c r="X112" s="94">
        <v>0</v>
      </c>
      <c r="AA112" s="94">
        <v>1</v>
      </c>
    </row>
    <row r="113" s="94" customFormat="1" spans="1:27">
      <c r="A113" s="140" t="s">
        <v>254</v>
      </c>
      <c r="B113" s="141" t="s">
        <v>251</v>
      </c>
      <c r="C113" s="94">
        <v>-1</v>
      </c>
      <c r="D113" s="94" t="s">
        <v>252</v>
      </c>
      <c r="E113" s="131">
        <v>10</v>
      </c>
      <c r="F113" s="94">
        <v>10</v>
      </c>
      <c r="G113" s="94">
        <v>1</v>
      </c>
      <c r="H113" s="94">
        <v>0</v>
      </c>
      <c r="I113" s="94">
        <v>0</v>
      </c>
      <c r="J113" s="94">
        <v>1</v>
      </c>
      <c r="K113" s="94">
        <v>1</v>
      </c>
      <c r="L113" s="94">
        <v>100</v>
      </c>
      <c r="M113" s="94">
        <v>0</v>
      </c>
      <c r="O113" s="125" t="s">
        <v>255</v>
      </c>
      <c r="P113" s="125" t="s">
        <v>256</v>
      </c>
      <c r="Q113" s="94">
        <v>0</v>
      </c>
      <c r="R113" s="94">
        <v>1</v>
      </c>
      <c r="T113" s="94">
        <v>1</v>
      </c>
      <c r="U113" s="94">
        <v>0</v>
      </c>
      <c r="V113" s="94">
        <v>0</v>
      </c>
      <c r="X113" s="94">
        <v>0</v>
      </c>
      <c r="AA113" s="94">
        <v>1</v>
      </c>
    </row>
    <row r="114" s="94" customFormat="1" spans="1:27">
      <c r="A114" s="140" t="s">
        <v>257</v>
      </c>
      <c r="B114" s="141" t="s">
        <v>251</v>
      </c>
      <c r="C114" s="94">
        <v>-1</v>
      </c>
      <c r="D114" s="94" t="s">
        <v>252</v>
      </c>
      <c r="E114" s="131">
        <v>10</v>
      </c>
      <c r="F114" s="94">
        <v>10</v>
      </c>
      <c r="G114" s="94">
        <v>1</v>
      </c>
      <c r="H114" s="94">
        <v>0</v>
      </c>
      <c r="I114" s="94">
        <v>0</v>
      </c>
      <c r="J114" s="94">
        <v>1</v>
      </c>
      <c r="K114" s="94">
        <v>1</v>
      </c>
      <c r="L114" s="94">
        <v>100</v>
      </c>
      <c r="M114" s="94">
        <v>0</v>
      </c>
      <c r="O114" s="125" t="s">
        <v>258</v>
      </c>
      <c r="P114" s="125" t="s">
        <v>259</v>
      </c>
      <c r="Q114" s="94">
        <v>0</v>
      </c>
      <c r="R114" s="94">
        <v>1</v>
      </c>
      <c r="T114" s="94">
        <v>1</v>
      </c>
      <c r="U114" s="94">
        <v>0</v>
      </c>
      <c r="V114" s="94">
        <v>0</v>
      </c>
      <c r="X114" s="94">
        <v>0</v>
      </c>
      <c r="AA114" s="94">
        <v>1</v>
      </c>
    </row>
    <row r="115" s="94" customFormat="1" spans="1:27">
      <c r="A115" s="140" t="s">
        <v>260</v>
      </c>
      <c r="B115" s="141" t="s">
        <v>251</v>
      </c>
      <c r="C115" s="94">
        <v>-1</v>
      </c>
      <c r="D115" s="94" t="s">
        <v>252</v>
      </c>
      <c r="E115" s="131">
        <v>10</v>
      </c>
      <c r="F115" s="94">
        <v>10</v>
      </c>
      <c r="G115" s="94">
        <v>1</v>
      </c>
      <c r="H115" s="94">
        <v>0</v>
      </c>
      <c r="I115" s="94">
        <v>0</v>
      </c>
      <c r="J115" s="94">
        <v>1</v>
      </c>
      <c r="K115" s="94">
        <v>1</v>
      </c>
      <c r="L115" s="94">
        <v>100</v>
      </c>
      <c r="M115" s="94">
        <v>0</v>
      </c>
      <c r="O115" s="125" t="s">
        <v>261</v>
      </c>
      <c r="P115" s="125" t="s">
        <v>262</v>
      </c>
      <c r="Q115" s="94">
        <v>0</v>
      </c>
      <c r="R115" s="94">
        <v>1</v>
      </c>
      <c r="T115" s="94">
        <v>1</v>
      </c>
      <c r="U115" s="94">
        <v>0</v>
      </c>
      <c r="V115" s="94">
        <v>0</v>
      </c>
      <c r="X115" s="94">
        <v>0</v>
      </c>
      <c r="AA115" s="94">
        <v>1</v>
      </c>
    </row>
    <row r="116" s="94" customFormat="1" spans="1:27">
      <c r="A116" s="140" t="s">
        <v>263</v>
      </c>
      <c r="B116" s="141" t="s">
        <v>251</v>
      </c>
      <c r="C116" s="94">
        <v>-1</v>
      </c>
      <c r="D116" s="94" t="s">
        <v>252</v>
      </c>
      <c r="E116" s="131">
        <v>10</v>
      </c>
      <c r="F116" s="94">
        <v>10</v>
      </c>
      <c r="G116" s="94">
        <v>1</v>
      </c>
      <c r="H116" s="94">
        <v>0</v>
      </c>
      <c r="I116" s="94">
        <v>0</v>
      </c>
      <c r="J116" s="94">
        <v>1</v>
      </c>
      <c r="K116" s="94">
        <v>1</v>
      </c>
      <c r="L116" s="94">
        <v>100</v>
      </c>
      <c r="M116" s="94">
        <v>0</v>
      </c>
      <c r="O116" s="125" t="s">
        <v>264</v>
      </c>
      <c r="P116" s="125" t="s">
        <v>265</v>
      </c>
      <c r="Q116" s="94">
        <v>0</v>
      </c>
      <c r="R116" s="94">
        <v>1</v>
      </c>
      <c r="T116" s="94">
        <v>1</v>
      </c>
      <c r="U116" s="94">
        <v>0</v>
      </c>
      <c r="V116" s="94">
        <v>0</v>
      </c>
      <c r="X116" s="94">
        <v>0</v>
      </c>
      <c r="AA116" s="94">
        <v>1</v>
      </c>
    </row>
    <row r="117" s="94" customFormat="1" spans="1:27">
      <c r="A117" s="140" t="s">
        <v>266</v>
      </c>
      <c r="B117" s="141" t="s">
        <v>251</v>
      </c>
      <c r="C117" s="94">
        <v>-1</v>
      </c>
      <c r="D117" s="94" t="s">
        <v>267</v>
      </c>
      <c r="E117" s="131">
        <v>20</v>
      </c>
      <c r="F117" s="94">
        <v>20</v>
      </c>
      <c r="G117" s="94">
        <v>1</v>
      </c>
      <c r="H117" s="94">
        <v>0</v>
      </c>
      <c r="I117" s="94">
        <v>0</v>
      </c>
      <c r="J117" s="94">
        <v>1</v>
      </c>
      <c r="K117" s="94">
        <v>1</v>
      </c>
      <c r="L117" s="94">
        <v>100</v>
      </c>
      <c r="M117" s="94">
        <v>0</v>
      </c>
      <c r="O117" s="125" t="s">
        <v>268</v>
      </c>
      <c r="P117" s="125" t="s">
        <v>269</v>
      </c>
      <c r="Q117" s="94">
        <v>0</v>
      </c>
      <c r="R117" s="94">
        <v>1</v>
      </c>
      <c r="T117" s="94">
        <v>1</v>
      </c>
      <c r="U117" s="94">
        <v>0</v>
      </c>
      <c r="V117" s="94">
        <v>0</v>
      </c>
      <c r="X117" s="94">
        <v>0</v>
      </c>
      <c r="AA117" s="94">
        <v>1</v>
      </c>
    </row>
    <row r="118" s="94" customFormat="1" spans="1:27">
      <c r="A118" s="113">
        <v>30000001</v>
      </c>
      <c r="B118" s="113" t="s">
        <v>270</v>
      </c>
      <c r="C118" s="94">
        <v>-1</v>
      </c>
      <c r="D118" s="94" t="s">
        <v>271</v>
      </c>
      <c r="E118" s="113">
        <v>1000</v>
      </c>
      <c r="F118" s="94">
        <v>1000</v>
      </c>
      <c r="G118" s="94">
        <v>0</v>
      </c>
      <c r="H118" s="94">
        <v>0</v>
      </c>
      <c r="I118" s="94">
        <v>0</v>
      </c>
      <c r="J118" s="94">
        <v>0</v>
      </c>
      <c r="K118" s="94">
        <v>999</v>
      </c>
      <c r="L118" s="94">
        <v>100</v>
      </c>
      <c r="M118" s="94">
        <v>12</v>
      </c>
      <c r="Q118" s="94">
        <v>0</v>
      </c>
      <c r="R118" s="94">
        <v>1</v>
      </c>
      <c r="S118" s="94">
        <v>2</v>
      </c>
      <c r="T118" s="94">
        <v>2</v>
      </c>
      <c r="U118" s="94">
        <v>0</v>
      </c>
      <c r="V118" s="94">
        <v>0</v>
      </c>
      <c r="X118" s="94">
        <v>0</v>
      </c>
      <c r="AA118" s="94">
        <v>1</v>
      </c>
    </row>
    <row r="119" spans="1:27">
      <c r="A119" s="113">
        <v>30000002</v>
      </c>
      <c r="B119" s="113" t="s">
        <v>272</v>
      </c>
      <c r="C119" s="94">
        <v>-1</v>
      </c>
      <c r="D119" s="94" t="s">
        <v>273</v>
      </c>
      <c r="E119" s="113">
        <v>1000</v>
      </c>
      <c r="F119" s="94">
        <v>1000</v>
      </c>
      <c r="G119" s="94">
        <v>0</v>
      </c>
      <c r="H119" s="94">
        <v>0</v>
      </c>
      <c r="I119" s="94">
        <v>0</v>
      </c>
      <c r="J119" s="94">
        <v>0</v>
      </c>
      <c r="K119" s="94">
        <v>999</v>
      </c>
      <c r="L119" s="94">
        <v>100</v>
      </c>
      <c r="M119" s="94">
        <v>0</v>
      </c>
      <c r="Q119" s="94">
        <v>0</v>
      </c>
      <c r="R119" s="94">
        <v>1</v>
      </c>
      <c r="S119" s="94">
        <v>2</v>
      </c>
      <c r="T119" s="94">
        <v>2</v>
      </c>
      <c r="U119" s="94">
        <v>0</v>
      </c>
      <c r="V119" s="94">
        <v>0</v>
      </c>
      <c r="X119" s="94">
        <v>0</v>
      </c>
      <c r="AA119" s="94">
        <v>1</v>
      </c>
    </row>
    <row r="120" spans="1:27">
      <c r="A120" s="113">
        <v>30000003</v>
      </c>
      <c r="B120" s="113" t="s">
        <v>274</v>
      </c>
      <c r="C120" s="94">
        <v>-1</v>
      </c>
      <c r="D120" s="94" t="s">
        <v>275</v>
      </c>
      <c r="E120" s="113">
        <v>2000</v>
      </c>
      <c r="F120" s="94">
        <v>2000</v>
      </c>
      <c r="G120" s="94">
        <v>0</v>
      </c>
      <c r="H120" s="94">
        <v>0</v>
      </c>
      <c r="I120" s="94">
        <v>0</v>
      </c>
      <c r="J120" s="94">
        <v>0</v>
      </c>
      <c r="K120" s="94">
        <v>999</v>
      </c>
      <c r="L120" s="94">
        <v>100</v>
      </c>
      <c r="M120" s="94">
        <v>12</v>
      </c>
      <c r="Q120" s="94">
        <v>0</v>
      </c>
      <c r="R120" s="94">
        <v>1</v>
      </c>
      <c r="S120" s="94">
        <v>2</v>
      </c>
      <c r="T120" s="94">
        <v>2</v>
      </c>
      <c r="U120" s="94">
        <v>0</v>
      </c>
      <c r="V120" s="94">
        <v>0</v>
      </c>
      <c r="X120" s="94">
        <v>0</v>
      </c>
      <c r="AA120" s="94">
        <v>1</v>
      </c>
    </row>
    <row r="121" spans="1:27">
      <c r="A121" s="113">
        <v>30000004</v>
      </c>
      <c r="B121" s="113" t="s">
        <v>276</v>
      </c>
      <c r="C121" s="94">
        <v>-1</v>
      </c>
      <c r="D121" s="94" t="s">
        <v>277</v>
      </c>
      <c r="E121" s="113">
        <v>3000</v>
      </c>
      <c r="F121" s="94">
        <v>3000</v>
      </c>
      <c r="G121" s="94">
        <v>0</v>
      </c>
      <c r="H121" s="94">
        <v>0</v>
      </c>
      <c r="I121" s="94">
        <v>0</v>
      </c>
      <c r="J121" s="94">
        <v>0</v>
      </c>
      <c r="K121" s="94">
        <v>999</v>
      </c>
      <c r="L121" s="94">
        <v>100</v>
      </c>
      <c r="M121" s="94">
        <v>12</v>
      </c>
      <c r="Q121" s="94">
        <v>0</v>
      </c>
      <c r="R121" s="94">
        <v>1</v>
      </c>
      <c r="S121" s="94">
        <v>2</v>
      </c>
      <c r="T121" s="94">
        <v>2</v>
      </c>
      <c r="U121" s="94">
        <v>0</v>
      </c>
      <c r="V121" s="94">
        <v>0</v>
      </c>
      <c r="X121" s="94">
        <v>0</v>
      </c>
      <c r="AA121" s="94">
        <v>1</v>
      </c>
    </row>
    <row r="122" spans="1:27">
      <c r="A122" s="113">
        <v>30000005</v>
      </c>
      <c r="B122" s="113" t="s">
        <v>278</v>
      </c>
      <c r="C122" s="94">
        <v>-1</v>
      </c>
      <c r="D122" s="94" t="s">
        <v>279</v>
      </c>
      <c r="E122" s="113">
        <v>1000</v>
      </c>
      <c r="F122" s="94">
        <v>1000</v>
      </c>
      <c r="G122" s="94">
        <v>0</v>
      </c>
      <c r="H122" s="94">
        <v>0</v>
      </c>
      <c r="I122" s="94">
        <v>0</v>
      </c>
      <c r="J122" s="94">
        <v>0</v>
      </c>
      <c r="K122" s="94">
        <v>999</v>
      </c>
      <c r="L122" s="94">
        <v>100</v>
      </c>
      <c r="M122" s="94">
        <v>12</v>
      </c>
      <c r="Q122" s="94">
        <v>0</v>
      </c>
      <c r="R122" s="94">
        <v>1</v>
      </c>
      <c r="S122" s="94">
        <v>2</v>
      </c>
      <c r="T122" s="94">
        <v>2</v>
      </c>
      <c r="U122" s="94">
        <v>0</v>
      </c>
      <c r="V122" s="94">
        <v>0</v>
      </c>
      <c r="X122" s="94">
        <v>0</v>
      </c>
      <c r="AA122" s="94">
        <v>1</v>
      </c>
    </row>
    <row r="123" spans="1:27">
      <c r="A123" s="113">
        <v>30000006</v>
      </c>
      <c r="B123" s="113" t="s">
        <v>280</v>
      </c>
      <c r="C123" s="94">
        <v>-1</v>
      </c>
      <c r="D123" s="94" t="s">
        <v>281</v>
      </c>
      <c r="E123" s="113">
        <v>5000</v>
      </c>
      <c r="F123" s="94">
        <v>5000</v>
      </c>
      <c r="G123" s="94">
        <v>0</v>
      </c>
      <c r="H123" s="94">
        <v>0</v>
      </c>
      <c r="I123" s="94">
        <v>0</v>
      </c>
      <c r="J123" s="94">
        <v>0</v>
      </c>
      <c r="K123" s="94">
        <v>999</v>
      </c>
      <c r="L123" s="94">
        <v>100</v>
      </c>
      <c r="M123" s="94">
        <v>12</v>
      </c>
      <c r="Q123" s="94">
        <v>0</v>
      </c>
      <c r="R123" s="94">
        <v>1</v>
      </c>
      <c r="S123" s="94">
        <v>2</v>
      </c>
      <c r="T123" s="94">
        <v>2</v>
      </c>
      <c r="U123" s="94">
        <v>0</v>
      </c>
      <c r="V123" s="94">
        <v>0</v>
      </c>
      <c r="X123" s="94">
        <v>0</v>
      </c>
      <c r="AA123" s="94">
        <v>1</v>
      </c>
    </row>
    <row r="124" spans="1:27">
      <c r="A124" s="113">
        <v>30000007</v>
      </c>
      <c r="B124" s="113" t="s">
        <v>282</v>
      </c>
      <c r="C124" s="94">
        <v>-1</v>
      </c>
      <c r="D124" s="94" t="s">
        <v>283</v>
      </c>
      <c r="E124" s="113">
        <v>5000</v>
      </c>
      <c r="F124" s="94">
        <v>5000</v>
      </c>
      <c r="G124" s="94">
        <v>0</v>
      </c>
      <c r="H124" s="94">
        <v>0</v>
      </c>
      <c r="I124" s="94">
        <v>0</v>
      </c>
      <c r="J124" s="94">
        <v>0</v>
      </c>
      <c r="K124" s="94">
        <v>999</v>
      </c>
      <c r="L124" s="94">
        <v>100</v>
      </c>
      <c r="M124" s="94">
        <v>12</v>
      </c>
      <c r="Q124" s="94">
        <v>0</v>
      </c>
      <c r="R124" s="94">
        <v>1</v>
      </c>
      <c r="S124" s="94">
        <v>2</v>
      </c>
      <c r="T124" s="94">
        <v>2</v>
      </c>
      <c r="U124" s="94">
        <v>0</v>
      </c>
      <c r="V124" s="94">
        <v>0</v>
      </c>
      <c r="X124" s="94">
        <v>0</v>
      </c>
      <c r="AA124" s="94">
        <v>1</v>
      </c>
    </row>
    <row r="125" spans="1:27">
      <c r="A125" s="113">
        <v>30000008</v>
      </c>
      <c r="B125" s="113" t="s">
        <v>284</v>
      </c>
      <c r="C125" s="94">
        <v>-1</v>
      </c>
      <c r="D125" s="94" t="s">
        <v>285</v>
      </c>
      <c r="E125" s="113">
        <v>10000</v>
      </c>
      <c r="F125" s="94">
        <v>10000</v>
      </c>
      <c r="G125" s="94">
        <v>0</v>
      </c>
      <c r="H125" s="94">
        <v>0</v>
      </c>
      <c r="I125" s="94">
        <v>0</v>
      </c>
      <c r="J125" s="94">
        <v>0</v>
      </c>
      <c r="K125" s="94">
        <v>999</v>
      </c>
      <c r="L125" s="94">
        <v>100</v>
      </c>
      <c r="M125" s="94">
        <v>12</v>
      </c>
      <c r="Q125" s="94">
        <v>0</v>
      </c>
      <c r="R125" s="94">
        <v>1</v>
      </c>
      <c r="S125" s="94">
        <v>2</v>
      </c>
      <c r="T125" s="94">
        <v>2</v>
      </c>
      <c r="U125" s="94">
        <v>0</v>
      </c>
      <c r="V125" s="94">
        <v>0</v>
      </c>
      <c r="X125" s="94">
        <v>0</v>
      </c>
      <c r="AA125" s="94">
        <v>1</v>
      </c>
    </row>
    <row r="126" spans="1:27">
      <c r="A126" s="113">
        <v>30000009</v>
      </c>
      <c r="B126" s="113" t="s">
        <v>286</v>
      </c>
      <c r="C126" s="94">
        <v>-1</v>
      </c>
      <c r="D126" s="94" t="s">
        <v>287</v>
      </c>
      <c r="E126" s="113">
        <v>10000</v>
      </c>
      <c r="F126" s="94">
        <v>10000</v>
      </c>
      <c r="G126" s="94">
        <v>0</v>
      </c>
      <c r="H126" s="94">
        <v>0</v>
      </c>
      <c r="I126" s="94">
        <v>0</v>
      </c>
      <c r="J126" s="94">
        <v>0</v>
      </c>
      <c r="K126" s="94">
        <v>999</v>
      </c>
      <c r="L126" s="94">
        <v>100</v>
      </c>
      <c r="M126" s="94">
        <v>12</v>
      </c>
      <c r="Q126" s="94">
        <v>0</v>
      </c>
      <c r="R126" s="94">
        <v>1</v>
      </c>
      <c r="S126" s="94">
        <v>2</v>
      </c>
      <c r="T126" s="94">
        <v>2</v>
      </c>
      <c r="U126" s="94">
        <v>0</v>
      </c>
      <c r="V126" s="94">
        <v>0</v>
      </c>
      <c r="X126" s="94">
        <v>0</v>
      </c>
      <c r="AA126" s="94">
        <v>1</v>
      </c>
    </row>
    <row r="127" spans="1:27">
      <c r="A127" s="113">
        <v>30000010</v>
      </c>
      <c r="B127" s="113" t="s">
        <v>288</v>
      </c>
      <c r="C127" s="94">
        <v>-1</v>
      </c>
      <c r="D127" s="94" t="s">
        <v>289</v>
      </c>
      <c r="E127" s="113">
        <v>10000</v>
      </c>
      <c r="F127" s="94">
        <v>10000</v>
      </c>
      <c r="G127" s="94">
        <v>0</v>
      </c>
      <c r="H127" s="94">
        <v>0</v>
      </c>
      <c r="I127" s="94">
        <v>0</v>
      </c>
      <c r="J127" s="94">
        <v>0</v>
      </c>
      <c r="K127" s="94">
        <v>999</v>
      </c>
      <c r="L127" s="94">
        <v>100</v>
      </c>
      <c r="M127" s="94">
        <v>12</v>
      </c>
      <c r="Q127" s="94">
        <v>0</v>
      </c>
      <c r="R127" s="94">
        <v>1</v>
      </c>
      <c r="S127" s="94">
        <v>2</v>
      </c>
      <c r="T127" s="94">
        <v>2</v>
      </c>
      <c r="U127" s="94">
        <v>0</v>
      </c>
      <c r="V127" s="94">
        <v>0</v>
      </c>
      <c r="X127" s="94">
        <v>0</v>
      </c>
      <c r="AA127" s="94">
        <v>1</v>
      </c>
    </row>
    <row r="128" spans="1:27">
      <c r="A128" s="113">
        <v>30000011</v>
      </c>
      <c r="B128" s="113" t="s">
        <v>290</v>
      </c>
      <c r="C128" s="94">
        <v>-1</v>
      </c>
      <c r="D128" s="94" t="s">
        <v>291</v>
      </c>
      <c r="E128" s="113">
        <v>200000</v>
      </c>
      <c r="F128" s="94">
        <v>200000</v>
      </c>
      <c r="G128" s="94">
        <v>0</v>
      </c>
      <c r="H128" s="94">
        <v>0</v>
      </c>
      <c r="I128" s="94">
        <v>0</v>
      </c>
      <c r="J128" s="94">
        <v>0</v>
      </c>
      <c r="K128" s="94">
        <v>999</v>
      </c>
      <c r="L128" s="94">
        <v>100</v>
      </c>
      <c r="M128" s="94">
        <v>12</v>
      </c>
      <c r="Q128" s="94">
        <v>0</v>
      </c>
      <c r="R128" s="94">
        <v>1</v>
      </c>
      <c r="S128" s="94">
        <v>2</v>
      </c>
      <c r="T128" s="94">
        <v>2</v>
      </c>
      <c r="U128" s="94">
        <v>0</v>
      </c>
      <c r="V128" s="94">
        <v>0</v>
      </c>
      <c r="W128" s="114"/>
      <c r="X128" s="94">
        <v>0</v>
      </c>
      <c r="AA128" s="94">
        <v>1</v>
      </c>
    </row>
    <row r="129" spans="1:27">
      <c r="A129" s="113">
        <v>30000012</v>
      </c>
      <c r="B129" s="113" t="s">
        <v>292</v>
      </c>
      <c r="C129" s="94">
        <v>-1</v>
      </c>
      <c r="D129" s="94" t="s">
        <v>293</v>
      </c>
      <c r="E129" s="113">
        <v>1666</v>
      </c>
      <c r="F129" s="94">
        <v>1666</v>
      </c>
      <c r="G129" s="94">
        <v>0</v>
      </c>
      <c r="H129" s="94">
        <v>0</v>
      </c>
      <c r="I129" s="94">
        <v>0</v>
      </c>
      <c r="J129" s="94">
        <v>0</v>
      </c>
      <c r="K129" s="94">
        <v>999</v>
      </c>
      <c r="L129" s="94">
        <v>100</v>
      </c>
      <c r="M129" s="94">
        <v>12</v>
      </c>
      <c r="Q129" s="94">
        <v>0</v>
      </c>
      <c r="R129" s="94">
        <v>1</v>
      </c>
      <c r="S129" s="94">
        <v>2</v>
      </c>
      <c r="T129" s="94">
        <v>2</v>
      </c>
      <c r="U129" s="94">
        <v>0</v>
      </c>
      <c r="V129" s="94">
        <v>0</v>
      </c>
      <c r="W129" s="114"/>
      <c r="X129" s="94">
        <v>0</v>
      </c>
      <c r="AA129" s="94">
        <v>1</v>
      </c>
    </row>
    <row r="130" spans="1:27">
      <c r="A130" s="113">
        <v>30000013</v>
      </c>
      <c r="B130" s="113" t="s">
        <v>294</v>
      </c>
      <c r="C130" s="94">
        <v>-1</v>
      </c>
      <c r="D130" s="94" t="s">
        <v>295</v>
      </c>
      <c r="E130" s="113">
        <v>7000</v>
      </c>
      <c r="F130" s="94">
        <v>7000</v>
      </c>
      <c r="G130" s="94">
        <v>0</v>
      </c>
      <c r="H130" s="94">
        <v>0</v>
      </c>
      <c r="I130" s="94">
        <v>0</v>
      </c>
      <c r="J130" s="94">
        <v>0</v>
      </c>
      <c r="K130" s="94">
        <v>999</v>
      </c>
      <c r="L130" s="94">
        <v>100</v>
      </c>
      <c r="M130" s="94">
        <v>12</v>
      </c>
      <c r="Q130" s="94">
        <v>0</v>
      </c>
      <c r="R130" s="94">
        <v>1</v>
      </c>
      <c r="S130" s="94">
        <v>2</v>
      </c>
      <c r="T130" s="94">
        <v>2</v>
      </c>
      <c r="U130" s="94">
        <v>0</v>
      </c>
      <c r="V130" s="94">
        <v>0</v>
      </c>
      <c r="W130" s="114"/>
      <c r="X130" s="94">
        <v>0</v>
      </c>
      <c r="AA130" s="94">
        <v>1</v>
      </c>
    </row>
    <row r="131" spans="1:27">
      <c r="A131" s="113">
        <v>30000014</v>
      </c>
      <c r="B131" s="113" t="s">
        <v>296</v>
      </c>
      <c r="C131" s="94">
        <v>-1</v>
      </c>
      <c r="D131" s="94" t="s">
        <v>297</v>
      </c>
      <c r="E131" s="113">
        <v>13666</v>
      </c>
      <c r="F131" s="94">
        <v>13666</v>
      </c>
      <c r="G131" s="94">
        <v>0</v>
      </c>
      <c r="H131" s="94">
        <v>0</v>
      </c>
      <c r="I131" s="94">
        <v>0</v>
      </c>
      <c r="J131" s="94">
        <v>0</v>
      </c>
      <c r="K131" s="94">
        <v>999</v>
      </c>
      <c r="L131" s="94">
        <v>100</v>
      </c>
      <c r="M131" s="94">
        <v>12</v>
      </c>
      <c r="Q131" s="94">
        <v>0</v>
      </c>
      <c r="R131" s="94">
        <v>1</v>
      </c>
      <c r="S131" s="94">
        <v>2</v>
      </c>
      <c r="T131" s="94">
        <v>2</v>
      </c>
      <c r="U131" s="94">
        <v>0</v>
      </c>
      <c r="V131" s="94">
        <v>0</v>
      </c>
      <c r="X131" s="94">
        <v>0</v>
      </c>
      <c r="AA131" s="94">
        <v>1</v>
      </c>
    </row>
    <row r="132" spans="1:27">
      <c r="A132" s="113">
        <v>30000015</v>
      </c>
      <c r="B132" s="113" t="s">
        <v>298</v>
      </c>
      <c r="C132" s="94">
        <v>-1</v>
      </c>
      <c r="D132" s="94" t="s">
        <v>299</v>
      </c>
      <c r="E132" s="113">
        <v>5000</v>
      </c>
      <c r="F132" s="94">
        <v>5000</v>
      </c>
      <c r="G132" s="94">
        <v>0</v>
      </c>
      <c r="H132" s="94">
        <v>0</v>
      </c>
      <c r="I132" s="94">
        <v>0</v>
      </c>
      <c r="J132" s="94">
        <v>0</v>
      </c>
      <c r="K132" s="94">
        <v>999</v>
      </c>
      <c r="L132" s="94">
        <v>100</v>
      </c>
      <c r="M132" s="94">
        <v>12</v>
      </c>
      <c r="Q132" s="94">
        <v>0</v>
      </c>
      <c r="R132" s="94">
        <v>1</v>
      </c>
      <c r="S132" s="94">
        <v>2</v>
      </c>
      <c r="T132" s="94">
        <v>2</v>
      </c>
      <c r="U132" s="94">
        <v>0</v>
      </c>
      <c r="V132" s="94">
        <v>0</v>
      </c>
      <c r="X132" s="94">
        <v>0</v>
      </c>
      <c r="AA132" s="94">
        <v>1</v>
      </c>
    </row>
    <row r="133" spans="1:27">
      <c r="A133" s="113">
        <v>30000016</v>
      </c>
      <c r="B133" s="113" t="s">
        <v>300</v>
      </c>
      <c r="C133" s="94">
        <v>-1</v>
      </c>
      <c r="D133" s="94" t="s">
        <v>301</v>
      </c>
      <c r="E133" s="113">
        <v>11000</v>
      </c>
      <c r="F133" s="94">
        <v>11000</v>
      </c>
      <c r="G133" s="94">
        <v>0</v>
      </c>
      <c r="H133" s="94">
        <v>0</v>
      </c>
      <c r="I133" s="94">
        <v>0</v>
      </c>
      <c r="J133" s="94">
        <v>0</v>
      </c>
      <c r="K133" s="94">
        <v>999</v>
      </c>
      <c r="L133" s="94">
        <v>100</v>
      </c>
      <c r="M133" s="94">
        <v>12</v>
      </c>
      <c r="Q133" s="94">
        <v>0</v>
      </c>
      <c r="R133" s="94">
        <v>1</v>
      </c>
      <c r="S133" s="94">
        <v>2</v>
      </c>
      <c r="T133" s="94">
        <v>2</v>
      </c>
      <c r="U133" s="94">
        <v>0</v>
      </c>
      <c r="V133" s="94">
        <v>0</v>
      </c>
      <c r="X133" s="94">
        <v>0</v>
      </c>
      <c r="AA133" s="94">
        <v>1</v>
      </c>
    </row>
    <row r="134" spans="1:27">
      <c r="A134" s="113">
        <v>30000017</v>
      </c>
      <c r="B134" s="113" t="s">
        <v>302</v>
      </c>
      <c r="C134" s="94">
        <v>-1</v>
      </c>
      <c r="D134" s="94" t="s">
        <v>303</v>
      </c>
      <c r="E134" s="113">
        <v>30</v>
      </c>
      <c r="F134" s="94">
        <v>30</v>
      </c>
      <c r="G134" s="94">
        <v>0</v>
      </c>
      <c r="H134" s="94">
        <v>0</v>
      </c>
      <c r="I134" s="94">
        <v>1</v>
      </c>
      <c r="J134" s="94">
        <v>1</v>
      </c>
      <c r="K134" s="94">
        <v>2</v>
      </c>
      <c r="L134" s="94">
        <v>100</v>
      </c>
      <c r="M134" s="94">
        <v>0</v>
      </c>
      <c r="Q134" s="94">
        <v>0</v>
      </c>
      <c r="R134" s="94">
        <v>1</v>
      </c>
      <c r="S134" s="94">
        <v>1</v>
      </c>
      <c r="T134" s="94">
        <v>4</v>
      </c>
      <c r="U134" s="94">
        <v>0</v>
      </c>
      <c r="V134" s="94">
        <v>0</v>
      </c>
      <c r="X134" s="94">
        <v>0</v>
      </c>
      <c r="AA134" s="94">
        <v>1</v>
      </c>
    </row>
    <row r="135" spans="1:27">
      <c r="A135" s="113">
        <v>30000018</v>
      </c>
      <c r="B135" s="113" t="s">
        <v>304</v>
      </c>
      <c r="C135" s="94">
        <v>-1</v>
      </c>
      <c r="D135" s="94" t="s">
        <v>305</v>
      </c>
      <c r="E135" s="113">
        <v>68</v>
      </c>
      <c r="F135" s="94">
        <v>68</v>
      </c>
      <c r="G135" s="94">
        <v>0</v>
      </c>
      <c r="H135" s="94">
        <v>0</v>
      </c>
      <c r="I135" s="94">
        <v>0</v>
      </c>
      <c r="J135" s="94">
        <v>1</v>
      </c>
      <c r="K135" s="94">
        <v>1</v>
      </c>
      <c r="L135" s="94">
        <v>100</v>
      </c>
      <c r="M135" s="94">
        <v>0</v>
      </c>
      <c r="Q135" s="94">
        <v>0</v>
      </c>
      <c r="R135" s="94">
        <v>1</v>
      </c>
      <c r="S135" s="94">
        <v>1</v>
      </c>
      <c r="T135" s="94">
        <v>4</v>
      </c>
      <c r="U135" s="94">
        <v>0</v>
      </c>
      <c r="V135" s="94">
        <v>0</v>
      </c>
      <c r="X135" s="94">
        <v>0</v>
      </c>
      <c r="AA135" s="94">
        <v>1</v>
      </c>
    </row>
    <row r="136" spans="1:27">
      <c r="A136" s="113">
        <v>30000019</v>
      </c>
      <c r="B136" s="113" t="s">
        <v>306</v>
      </c>
      <c r="C136" s="94">
        <v>-1</v>
      </c>
      <c r="D136" s="94" t="s">
        <v>307</v>
      </c>
      <c r="E136" s="113">
        <v>30</v>
      </c>
      <c r="F136" s="94">
        <v>30</v>
      </c>
      <c r="G136" s="94">
        <v>0</v>
      </c>
      <c r="H136" s="94">
        <v>0</v>
      </c>
      <c r="I136" s="94">
        <v>0</v>
      </c>
      <c r="J136" s="94">
        <v>1</v>
      </c>
      <c r="K136" s="94">
        <v>1</v>
      </c>
      <c r="L136" s="94">
        <v>100</v>
      </c>
      <c r="M136" s="94">
        <v>0</v>
      </c>
      <c r="Q136" s="94">
        <v>0</v>
      </c>
      <c r="R136" s="94">
        <v>1</v>
      </c>
      <c r="S136" s="94">
        <v>1</v>
      </c>
      <c r="T136" s="94">
        <v>4</v>
      </c>
      <c r="U136" s="94">
        <v>0</v>
      </c>
      <c r="V136" s="94">
        <v>0</v>
      </c>
      <c r="X136" s="94">
        <v>0</v>
      </c>
      <c r="AA136" s="94">
        <v>1</v>
      </c>
    </row>
    <row r="137" spans="1:27">
      <c r="A137" s="113">
        <v>30000020</v>
      </c>
      <c r="B137" s="113" t="s">
        <v>308</v>
      </c>
      <c r="C137" s="94">
        <v>-1</v>
      </c>
      <c r="D137" s="94" t="s">
        <v>309</v>
      </c>
      <c r="E137" s="113">
        <v>648</v>
      </c>
      <c r="F137" s="94">
        <v>648</v>
      </c>
      <c r="G137" s="94">
        <v>0</v>
      </c>
      <c r="H137" s="94">
        <v>0</v>
      </c>
      <c r="I137" s="94">
        <v>0</v>
      </c>
      <c r="J137" s="94">
        <v>1</v>
      </c>
      <c r="K137" s="94">
        <v>2</v>
      </c>
      <c r="L137" s="94">
        <v>100</v>
      </c>
      <c r="M137" s="94">
        <v>2</v>
      </c>
      <c r="Q137" s="94">
        <v>0</v>
      </c>
      <c r="R137" s="94">
        <v>1</v>
      </c>
      <c r="T137" s="94">
        <v>3</v>
      </c>
      <c r="U137" s="94">
        <v>0</v>
      </c>
      <c r="V137" s="94">
        <v>0</v>
      </c>
      <c r="X137" s="94">
        <v>0</v>
      </c>
      <c r="AA137" s="94">
        <v>1</v>
      </c>
    </row>
    <row r="138" spans="1:27">
      <c r="A138" s="113">
        <v>30000021</v>
      </c>
      <c r="B138" s="113" t="s">
        <v>310</v>
      </c>
      <c r="C138" s="94">
        <v>-1</v>
      </c>
      <c r="D138" s="94" t="s">
        <v>311</v>
      </c>
      <c r="E138" s="113">
        <v>648</v>
      </c>
      <c r="F138" s="94">
        <v>648</v>
      </c>
      <c r="G138" s="94">
        <v>0</v>
      </c>
      <c r="H138" s="94">
        <v>0</v>
      </c>
      <c r="I138" s="94">
        <v>0</v>
      </c>
      <c r="J138" s="94">
        <v>1</v>
      </c>
      <c r="K138" s="94">
        <v>2</v>
      </c>
      <c r="L138" s="94">
        <v>100</v>
      </c>
      <c r="M138" s="94">
        <v>2</v>
      </c>
      <c r="Q138" s="94">
        <v>0</v>
      </c>
      <c r="R138" s="94">
        <v>1</v>
      </c>
      <c r="T138" s="94">
        <v>3</v>
      </c>
      <c r="U138" s="94">
        <v>0</v>
      </c>
      <c r="V138" s="94">
        <v>0</v>
      </c>
      <c r="X138" s="94">
        <v>0</v>
      </c>
      <c r="AA138" s="94">
        <v>1</v>
      </c>
    </row>
    <row r="139" spans="1:27">
      <c r="A139" s="113">
        <v>30000022</v>
      </c>
      <c r="B139" s="113" t="s">
        <v>312</v>
      </c>
      <c r="C139" s="94">
        <v>-1</v>
      </c>
      <c r="D139" s="94" t="s">
        <v>313</v>
      </c>
      <c r="E139" s="113">
        <v>328</v>
      </c>
      <c r="F139" s="94">
        <v>328</v>
      </c>
      <c r="G139" s="94">
        <v>0</v>
      </c>
      <c r="H139" s="94">
        <v>0</v>
      </c>
      <c r="I139" s="94">
        <v>0</v>
      </c>
      <c r="J139" s="94">
        <v>1</v>
      </c>
      <c r="K139" s="94">
        <v>2</v>
      </c>
      <c r="L139" s="94">
        <v>100</v>
      </c>
      <c r="M139" s="94">
        <v>3</v>
      </c>
      <c r="Q139" s="94">
        <v>0</v>
      </c>
      <c r="R139" s="94">
        <v>1</v>
      </c>
      <c r="T139" s="94">
        <v>3</v>
      </c>
      <c r="U139" s="94">
        <v>0</v>
      </c>
      <c r="V139" s="94">
        <v>0</v>
      </c>
      <c r="X139" s="94">
        <v>0</v>
      </c>
      <c r="AA139" s="94">
        <v>1</v>
      </c>
    </row>
    <row r="140" spans="1:27">
      <c r="A140" s="113">
        <v>30000023</v>
      </c>
      <c r="B140" s="113" t="s">
        <v>302</v>
      </c>
      <c r="C140" s="94">
        <v>-1</v>
      </c>
      <c r="D140" s="94" t="s">
        <v>303</v>
      </c>
      <c r="E140" s="113">
        <v>30</v>
      </c>
      <c r="F140" s="94">
        <v>30</v>
      </c>
      <c r="G140" s="94">
        <v>0</v>
      </c>
      <c r="H140" s="94">
        <v>0</v>
      </c>
      <c r="I140" s="94">
        <v>1</v>
      </c>
      <c r="J140" s="94">
        <v>1</v>
      </c>
      <c r="K140" s="94">
        <v>2</v>
      </c>
      <c r="L140" s="94">
        <v>100</v>
      </c>
      <c r="M140" s="94">
        <v>0</v>
      </c>
      <c r="Q140" s="94">
        <v>0</v>
      </c>
      <c r="R140" s="94">
        <v>1</v>
      </c>
      <c r="T140" s="94">
        <v>4</v>
      </c>
      <c r="U140" s="94">
        <v>0</v>
      </c>
      <c r="V140" s="94">
        <v>0</v>
      </c>
      <c r="X140" s="94">
        <v>0</v>
      </c>
      <c r="AA140" s="94">
        <v>1</v>
      </c>
    </row>
    <row r="141" spans="1:27">
      <c r="A141" s="113">
        <v>30000024</v>
      </c>
      <c r="B141" s="113" t="s">
        <v>304</v>
      </c>
      <c r="C141" s="94">
        <v>-1</v>
      </c>
      <c r="D141" s="94" t="s">
        <v>305</v>
      </c>
      <c r="E141" s="113">
        <v>68</v>
      </c>
      <c r="F141" s="94">
        <v>68</v>
      </c>
      <c r="G141" s="94">
        <v>0</v>
      </c>
      <c r="H141" s="94">
        <v>0</v>
      </c>
      <c r="I141" s="94">
        <v>0</v>
      </c>
      <c r="J141" s="94">
        <v>1</v>
      </c>
      <c r="K141" s="94">
        <v>1</v>
      </c>
      <c r="L141" s="94">
        <v>100</v>
      </c>
      <c r="M141" s="94">
        <v>0</v>
      </c>
      <c r="Q141" s="94">
        <v>0</v>
      </c>
      <c r="R141" s="94">
        <v>1</v>
      </c>
      <c r="T141" s="94">
        <v>4</v>
      </c>
      <c r="U141" s="94">
        <v>0</v>
      </c>
      <c r="V141" s="94">
        <v>0</v>
      </c>
      <c r="X141" s="94">
        <v>0</v>
      </c>
      <c r="AA141" s="94">
        <v>1</v>
      </c>
    </row>
    <row r="142" spans="1:27">
      <c r="A142" s="113">
        <v>30000025</v>
      </c>
      <c r="B142" s="113" t="s">
        <v>306</v>
      </c>
      <c r="C142" s="94">
        <v>-1</v>
      </c>
      <c r="D142" s="94" t="s">
        <v>307</v>
      </c>
      <c r="E142" s="113">
        <v>30</v>
      </c>
      <c r="F142" s="94">
        <v>30</v>
      </c>
      <c r="G142" s="94">
        <v>0</v>
      </c>
      <c r="H142" s="94">
        <v>0</v>
      </c>
      <c r="I142" s="94">
        <v>0</v>
      </c>
      <c r="J142" s="94">
        <v>1</v>
      </c>
      <c r="K142" s="94">
        <v>1</v>
      </c>
      <c r="L142" s="94">
        <v>100</v>
      </c>
      <c r="M142" s="94">
        <v>0</v>
      </c>
      <c r="Q142" s="94">
        <v>0</v>
      </c>
      <c r="R142" s="94">
        <v>1</v>
      </c>
      <c r="T142" s="94">
        <v>4</v>
      </c>
      <c r="U142" s="94">
        <v>0</v>
      </c>
      <c r="V142" s="94">
        <v>0</v>
      </c>
      <c r="X142" s="94">
        <v>0</v>
      </c>
      <c r="AA142" s="94">
        <v>1</v>
      </c>
    </row>
    <row r="143" s="107" customFormat="1" spans="1:28">
      <c r="A143" s="144">
        <v>40000001</v>
      </c>
      <c r="B143" s="144" t="s">
        <v>186</v>
      </c>
      <c r="C143" s="144">
        <v>-1</v>
      </c>
      <c r="D143" s="144" t="s">
        <v>314</v>
      </c>
      <c r="E143" s="144">
        <v>68</v>
      </c>
      <c r="F143" s="144">
        <v>68</v>
      </c>
      <c r="G143" s="144">
        <v>0</v>
      </c>
      <c r="H143" s="144">
        <v>0</v>
      </c>
      <c r="I143" s="144">
        <v>2</v>
      </c>
      <c r="J143" s="144">
        <v>1</v>
      </c>
      <c r="K143" s="144">
        <v>2</v>
      </c>
      <c r="L143" s="144">
        <v>100</v>
      </c>
      <c r="M143" s="144">
        <v>1</v>
      </c>
      <c r="N143" s="144"/>
      <c r="O143" s="144"/>
      <c r="P143" s="144"/>
      <c r="Q143" s="144">
        <v>0</v>
      </c>
      <c r="R143" s="144">
        <v>1</v>
      </c>
      <c r="S143" s="144">
        <v>2</v>
      </c>
      <c r="T143" s="144">
        <v>3</v>
      </c>
      <c r="U143" s="144">
        <v>0</v>
      </c>
      <c r="V143" s="144">
        <v>0</v>
      </c>
      <c r="X143" s="107">
        <v>0</v>
      </c>
      <c r="AA143" s="94">
        <v>1</v>
      </c>
      <c r="AB143" s="107" t="s">
        <v>315</v>
      </c>
    </row>
    <row r="144" s="107" customFormat="1" spans="1:28">
      <c r="A144" s="144">
        <v>40000002</v>
      </c>
      <c r="B144" s="144" t="s">
        <v>316</v>
      </c>
      <c r="C144" s="144">
        <v>-1</v>
      </c>
      <c r="D144" s="144" t="s">
        <v>317</v>
      </c>
      <c r="E144" s="144">
        <v>328</v>
      </c>
      <c r="F144" s="144">
        <v>328</v>
      </c>
      <c r="G144" s="144">
        <v>0</v>
      </c>
      <c r="H144" s="144">
        <v>0</v>
      </c>
      <c r="I144" s="144">
        <v>2</v>
      </c>
      <c r="J144" s="144">
        <v>1</v>
      </c>
      <c r="K144" s="144">
        <v>2</v>
      </c>
      <c r="L144" s="144">
        <v>100</v>
      </c>
      <c r="M144" s="144">
        <v>1</v>
      </c>
      <c r="N144" s="144"/>
      <c r="O144" s="144"/>
      <c r="P144" s="144"/>
      <c r="Q144" s="144">
        <v>0</v>
      </c>
      <c r="R144" s="144">
        <v>1</v>
      </c>
      <c r="S144" s="144">
        <v>2</v>
      </c>
      <c r="T144" s="144">
        <v>3</v>
      </c>
      <c r="U144" s="144">
        <v>0</v>
      </c>
      <c r="V144" s="144">
        <v>0</v>
      </c>
      <c r="X144" s="107">
        <v>0</v>
      </c>
      <c r="AA144" s="94">
        <v>1</v>
      </c>
      <c r="AB144" s="107" t="s">
        <v>315</v>
      </c>
    </row>
    <row r="145" s="107" customFormat="1" spans="1:28">
      <c r="A145" s="144">
        <v>40000003</v>
      </c>
      <c r="B145" s="144" t="s">
        <v>222</v>
      </c>
      <c r="C145" s="144">
        <v>-1</v>
      </c>
      <c r="D145" s="144" t="s">
        <v>318</v>
      </c>
      <c r="E145" s="144">
        <v>648</v>
      </c>
      <c r="F145" s="144">
        <v>648</v>
      </c>
      <c r="G145" s="144">
        <v>0</v>
      </c>
      <c r="H145" s="144">
        <v>0</v>
      </c>
      <c r="I145" s="144">
        <v>2</v>
      </c>
      <c r="J145" s="144">
        <v>1</v>
      </c>
      <c r="K145" s="144">
        <v>2</v>
      </c>
      <c r="L145" s="144">
        <v>100</v>
      </c>
      <c r="M145" s="144">
        <v>1</v>
      </c>
      <c r="N145" s="144"/>
      <c r="O145" s="144"/>
      <c r="P145" s="144"/>
      <c r="Q145" s="144">
        <v>0</v>
      </c>
      <c r="R145" s="144">
        <v>1</v>
      </c>
      <c r="S145" s="144">
        <v>2</v>
      </c>
      <c r="T145" s="144">
        <v>3</v>
      </c>
      <c r="U145" s="144">
        <v>0</v>
      </c>
      <c r="V145" s="144">
        <v>0</v>
      </c>
      <c r="X145" s="107">
        <v>0</v>
      </c>
      <c r="AA145" s="94">
        <v>1</v>
      </c>
      <c r="AB145" s="107" t="s">
        <v>315</v>
      </c>
    </row>
    <row r="146" s="107" customFormat="1" spans="1:28">
      <c r="A146" s="144">
        <v>40000004</v>
      </c>
      <c r="B146" s="144" t="s">
        <v>172</v>
      </c>
      <c r="C146" s="144">
        <v>-1</v>
      </c>
      <c r="D146" s="144" t="s">
        <v>319</v>
      </c>
      <c r="E146" s="144">
        <v>30</v>
      </c>
      <c r="F146" s="144">
        <v>30</v>
      </c>
      <c r="G146" s="144">
        <v>0</v>
      </c>
      <c r="H146" s="144">
        <v>0</v>
      </c>
      <c r="I146" s="144">
        <v>2</v>
      </c>
      <c r="J146" s="144">
        <v>1</v>
      </c>
      <c r="K146" s="144">
        <v>2</v>
      </c>
      <c r="L146" s="144">
        <v>100</v>
      </c>
      <c r="M146" s="144">
        <v>1</v>
      </c>
      <c r="N146" s="144"/>
      <c r="O146" s="144"/>
      <c r="P146" s="144"/>
      <c r="Q146" s="144">
        <v>0</v>
      </c>
      <c r="R146" s="144">
        <v>1</v>
      </c>
      <c r="S146" s="144">
        <v>2</v>
      </c>
      <c r="T146" s="144">
        <v>3</v>
      </c>
      <c r="U146" s="144">
        <v>0</v>
      </c>
      <c r="V146" s="144">
        <v>0</v>
      </c>
      <c r="X146" s="107">
        <v>0</v>
      </c>
      <c r="AA146" s="94">
        <v>1</v>
      </c>
      <c r="AB146" s="107" t="s">
        <v>315</v>
      </c>
    </row>
    <row r="147" s="107" customFormat="1" spans="1:28">
      <c r="A147" s="144">
        <v>40000005</v>
      </c>
      <c r="B147" s="144" t="s">
        <v>162</v>
      </c>
      <c r="C147" s="144">
        <v>-1</v>
      </c>
      <c r="D147" s="144" t="s">
        <v>320</v>
      </c>
      <c r="E147" s="144">
        <v>98</v>
      </c>
      <c r="F147" s="144">
        <v>98</v>
      </c>
      <c r="G147" s="144">
        <v>0</v>
      </c>
      <c r="H147" s="144">
        <v>0</v>
      </c>
      <c r="I147" s="144">
        <v>2</v>
      </c>
      <c r="J147" s="144">
        <v>1</v>
      </c>
      <c r="K147" s="144">
        <v>2</v>
      </c>
      <c r="L147" s="144">
        <v>100</v>
      </c>
      <c r="M147" s="144">
        <v>1</v>
      </c>
      <c r="N147" s="144"/>
      <c r="O147" s="144"/>
      <c r="P147" s="144"/>
      <c r="Q147" s="144">
        <v>0</v>
      </c>
      <c r="R147" s="144">
        <v>1</v>
      </c>
      <c r="S147" s="144">
        <v>2</v>
      </c>
      <c r="T147" s="144">
        <v>3</v>
      </c>
      <c r="U147" s="144">
        <v>0</v>
      </c>
      <c r="V147" s="144">
        <v>0</v>
      </c>
      <c r="X147" s="107">
        <v>0</v>
      </c>
      <c r="AA147" s="94">
        <v>1</v>
      </c>
      <c r="AB147" s="107" t="s">
        <v>315</v>
      </c>
    </row>
    <row r="148" s="107" customFormat="1" spans="1:28">
      <c r="A148" s="144">
        <v>40000006</v>
      </c>
      <c r="B148" s="144" t="s">
        <v>203</v>
      </c>
      <c r="C148" s="144">
        <v>-1</v>
      </c>
      <c r="D148" s="144" t="s">
        <v>321</v>
      </c>
      <c r="E148" s="144">
        <v>648</v>
      </c>
      <c r="F148" s="144">
        <v>648</v>
      </c>
      <c r="G148" s="144">
        <v>0</v>
      </c>
      <c r="H148" s="144">
        <v>0</v>
      </c>
      <c r="I148" s="144">
        <v>2</v>
      </c>
      <c r="J148" s="144">
        <v>1</v>
      </c>
      <c r="K148" s="144">
        <v>2</v>
      </c>
      <c r="L148" s="144">
        <v>100</v>
      </c>
      <c r="M148" s="144">
        <v>1</v>
      </c>
      <c r="N148" s="144"/>
      <c r="O148" s="144"/>
      <c r="P148" s="144"/>
      <c r="Q148" s="144">
        <v>0</v>
      </c>
      <c r="R148" s="144">
        <v>1</v>
      </c>
      <c r="S148" s="144">
        <v>2</v>
      </c>
      <c r="T148" s="144">
        <v>3</v>
      </c>
      <c r="U148" s="144">
        <v>0</v>
      </c>
      <c r="V148" s="144">
        <v>0</v>
      </c>
      <c r="X148" s="107">
        <v>0</v>
      </c>
      <c r="AA148" s="94">
        <v>1</v>
      </c>
      <c r="AB148" s="107" t="s">
        <v>315</v>
      </c>
    </row>
    <row r="149" s="107" customFormat="1" spans="1:28">
      <c r="A149" s="144">
        <v>40000007</v>
      </c>
      <c r="B149" s="144" t="s">
        <v>322</v>
      </c>
      <c r="C149" s="144">
        <v>-1</v>
      </c>
      <c r="D149" s="145" t="s">
        <v>323</v>
      </c>
      <c r="E149" s="144">
        <v>648</v>
      </c>
      <c r="F149" s="144">
        <v>648</v>
      </c>
      <c r="G149" s="144">
        <v>0</v>
      </c>
      <c r="H149" s="144">
        <v>0</v>
      </c>
      <c r="I149" s="144">
        <v>0</v>
      </c>
      <c r="J149" s="144">
        <v>0</v>
      </c>
      <c r="K149" s="144">
        <v>999</v>
      </c>
      <c r="L149" s="144">
        <v>100</v>
      </c>
      <c r="M149" s="144">
        <v>1</v>
      </c>
      <c r="N149" s="144"/>
      <c r="O149" s="144"/>
      <c r="P149" s="144"/>
      <c r="Q149" s="144">
        <v>0</v>
      </c>
      <c r="R149" s="144">
        <v>1</v>
      </c>
      <c r="S149" s="144">
        <v>2</v>
      </c>
      <c r="T149" s="144">
        <v>2</v>
      </c>
      <c r="U149" s="144">
        <v>0</v>
      </c>
      <c r="V149" s="144">
        <v>0</v>
      </c>
      <c r="X149" s="107">
        <v>0</v>
      </c>
      <c r="AA149" s="94">
        <v>1</v>
      </c>
      <c r="AB149" s="107" t="s">
        <v>315</v>
      </c>
    </row>
    <row r="150" s="107" customFormat="1" spans="1:28">
      <c r="A150" s="144">
        <v>40000009</v>
      </c>
      <c r="B150" s="144" t="s">
        <v>324</v>
      </c>
      <c r="C150" s="144">
        <v>-1</v>
      </c>
      <c r="D150" s="145" t="s">
        <v>325</v>
      </c>
      <c r="E150" s="144">
        <v>648</v>
      </c>
      <c r="F150" s="144">
        <v>648</v>
      </c>
      <c r="G150" s="144">
        <v>0</v>
      </c>
      <c r="H150" s="144">
        <v>0</v>
      </c>
      <c r="I150" s="144">
        <v>0</v>
      </c>
      <c r="J150" s="144">
        <v>0</v>
      </c>
      <c r="K150" s="144">
        <v>999</v>
      </c>
      <c r="L150" s="144">
        <v>100</v>
      </c>
      <c r="M150" s="144">
        <v>1</v>
      </c>
      <c r="N150" s="144"/>
      <c r="O150" s="144"/>
      <c r="P150" s="144"/>
      <c r="Q150" s="144">
        <v>0</v>
      </c>
      <c r="R150" s="144">
        <v>1</v>
      </c>
      <c r="S150" s="144">
        <v>2</v>
      </c>
      <c r="T150" s="144">
        <v>2</v>
      </c>
      <c r="U150" s="144">
        <v>0</v>
      </c>
      <c r="V150" s="144">
        <v>0</v>
      </c>
      <c r="X150" s="107">
        <v>0</v>
      </c>
      <c r="AA150" s="94">
        <v>1</v>
      </c>
      <c r="AB150" s="107" t="s">
        <v>315</v>
      </c>
    </row>
    <row r="151" s="107" customFormat="1" spans="1:28">
      <c r="A151" s="107">
        <v>40000008</v>
      </c>
      <c r="B151" s="107" t="s">
        <v>326</v>
      </c>
      <c r="C151" s="107">
        <v>-1</v>
      </c>
      <c r="D151" s="107" t="s">
        <v>327</v>
      </c>
      <c r="E151" s="107">
        <v>6</v>
      </c>
      <c r="F151" s="107">
        <v>6</v>
      </c>
      <c r="G151" s="107">
        <v>0</v>
      </c>
      <c r="H151" s="107">
        <v>0</v>
      </c>
      <c r="I151" s="107">
        <v>1</v>
      </c>
      <c r="J151" s="107">
        <v>1</v>
      </c>
      <c r="K151" s="107">
        <v>2</v>
      </c>
      <c r="L151" s="107">
        <v>100</v>
      </c>
      <c r="M151" s="107">
        <v>1</v>
      </c>
      <c r="Q151" s="107">
        <v>0</v>
      </c>
      <c r="R151" s="107">
        <v>1</v>
      </c>
      <c r="S151" s="107">
        <v>2</v>
      </c>
      <c r="T151" s="107">
        <v>1</v>
      </c>
      <c r="U151" s="107">
        <v>0</v>
      </c>
      <c r="V151" s="107">
        <v>0</v>
      </c>
      <c r="X151" s="107">
        <v>0</v>
      </c>
      <c r="AA151" s="94">
        <v>1</v>
      </c>
      <c r="AB151" s="107" t="s">
        <v>315</v>
      </c>
    </row>
    <row r="152" s="107" customFormat="1" spans="1:28">
      <c r="A152" s="144">
        <v>40000010</v>
      </c>
      <c r="B152" s="144" t="s">
        <v>328</v>
      </c>
      <c r="C152" s="144">
        <v>-1</v>
      </c>
      <c r="D152" s="145" t="s">
        <v>329</v>
      </c>
      <c r="E152" s="144">
        <v>328</v>
      </c>
      <c r="F152" s="144">
        <v>328</v>
      </c>
      <c r="G152" s="144">
        <v>0</v>
      </c>
      <c r="H152" s="144">
        <v>0</v>
      </c>
      <c r="I152" s="144">
        <v>0</v>
      </c>
      <c r="J152" s="144">
        <v>0</v>
      </c>
      <c r="K152" s="144">
        <v>999</v>
      </c>
      <c r="L152" s="144">
        <v>100</v>
      </c>
      <c r="M152" s="144">
        <v>1</v>
      </c>
      <c r="N152" s="144"/>
      <c r="O152" s="144"/>
      <c r="P152" s="144"/>
      <c r="Q152" s="144">
        <v>0</v>
      </c>
      <c r="R152" s="144">
        <v>1</v>
      </c>
      <c r="S152" s="144">
        <v>2</v>
      </c>
      <c r="T152" s="144">
        <v>2</v>
      </c>
      <c r="U152" s="144">
        <v>0</v>
      </c>
      <c r="V152" s="144">
        <v>0</v>
      </c>
      <c r="X152" s="107">
        <v>0</v>
      </c>
      <c r="AA152" s="94">
        <v>1</v>
      </c>
      <c r="AB152" s="107" t="s">
        <v>315</v>
      </c>
    </row>
    <row r="153" s="107" customFormat="1" spans="1:28">
      <c r="A153" s="144">
        <v>40000011</v>
      </c>
      <c r="B153" s="144" t="s">
        <v>330</v>
      </c>
      <c r="C153" s="144">
        <v>-1</v>
      </c>
      <c r="D153" s="145" t="s">
        <v>331</v>
      </c>
      <c r="E153" s="144">
        <v>648</v>
      </c>
      <c r="F153" s="144">
        <v>648</v>
      </c>
      <c r="G153" s="144">
        <v>0</v>
      </c>
      <c r="H153" s="144">
        <v>0</v>
      </c>
      <c r="I153" s="144">
        <v>2</v>
      </c>
      <c r="J153" s="144">
        <v>1</v>
      </c>
      <c r="K153" s="144">
        <v>4</v>
      </c>
      <c r="L153" s="144">
        <v>100</v>
      </c>
      <c r="M153" s="144">
        <v>1</v>
      </c>
      <c r="N153" s="144"/>
      <c r="O153" s="144"/>
      <c r="P153" s="144"/>
      <c r="Q153" s="144">
        <v>0</v>
      </c>
      <c r="R153" s="144">
        <v>1</v>
      </c>
      <c r="S153" s="144">
        <v>2</v>
      </c>
      <c r="T153" s="144">
        <v>3</v>
      </c>
      <c r="U153" s="144">
        <v>0</v>
      </c>
      <c r="V153" s="144">
        <v>0</v>
      </c>
      <c r="X153" s="107">
        <v>0</v>
      </c>
      <c r="AA153" s="94">
        <v>1</v>
      </c>
      <c r="AB153" s="107" t="s">
        <v>315</v>
      </c>
    </row>
    <row r="154" s="108" customFormat="1" spans="1:28">
      <c r="A154" s="146">
        <v>40000012</v>
      </c>
      <c r="B154" s="146" t="s">
        <v>332</v>
      </c>
      <c r="C154" s="146">
        <v>-1</v>
      </c>
      <c r="D154" s="147" t="s">
        <v>333</v>
      </c>
      <c r="E154" s="146">
        <v>6</v>
      </c>
      <c r="F154" s="146">
        <v>6</v>
      </c>
      <c r="G154" s="146">
        <v>0</v>
      </c>
      <c r="H154" s="146">
        <v>0</v>
      </c>
      <c r="I154" s="146">
        <v>2</v>
      </c>
      <c r="J154" s="146">
        <v>1</v>
      </c>
      <c r="K154" s="146">
        <v>3</v>
      </c>
      <c r="L154" s="146">
        <v>100</v>
      </c>
      <c r="M154" s="146">
        <v>1</v>
      </c>
      <c r="N154" s="146"/>
      <c r="O154" s="146"/>
      <c r="P154" s="146"/>
      <c r="Q154" s="146">
        <v>0</v>
      </c>
      <c r="R154" s="146">
        <v>1</v>
      </c>
      <c r="S154" s="146">
        <v>2</v>
      </c>
      <c r="T154" s="146">
        <v>3</v>
      </c>
      <c r="U154" s="146">
        <v>0</v>
      </c>
      <c r="V154" s="146">
        <v>0</v>
      </c>
      <c r="X154" s="108">
        <v>0</v>
      </c>
      <c r="AA154" s="94">
        <v>1</v>
      </c>
      <c r="AB154" s="108" t="s">
        <v>315</v>
      </c>
    </row>
    <row r="155" s="108" customFormat="1" spans="1:28">
      <c r="A155" s="146">
        <v>40000013</v>
      </c>
      <c r="B155" s="146" t="s">
        <v>334</v>
      </c>
      <c r="C155" s="146">
        <v>-1</v>
      </c>
      <c r="D155" s="147" t="s">
        <v>335</v>
      </c>
      <c r="E155" s="146">
        <v>128</v>
      </c>
      <c r="F155" s="146">
        <v>128</v>
      </c>
      <c r="G155" s="146">
        <v>0</v>
      </c>
      <c r="H155" s="146">
        <v>0</v>
      </c>
      <c r="I155" s="146">
        <v>0</v>
      </c>
      <c r="J155" s="146">
        <v>0</v>
      </c>
      <c r="K155" s="146">
        <v>999</v>
      </c>
      <c r="L155" s="146">
        <v>100</v>
      </c>
      <c r="M155" s="146">
        <v>1</v>
      </c>
      <c r="N155" s="146"/>
      <c r="O155" s="146"/>
      <c r="P155" s="146"/>
      <c r="Q155" s="146">
        <v>0</v>
      </c>
      <c r="R155" s="146">
        <v>1</v>
      </c>
      <c r="S155" s="146">
        <v>2</v>
      </c>
      <c r="T155" s="146">
        <v>2</v>
      </c>
      <c r="U155" s="146">
        <v>0</v>
      </c>
      <c r="V155" s="146">
        <v>0</v>
      </c>
      <c r="X155" s="108">
        <v>0</v>
      </c>
      <c r="AA155" s="94">
        <v>1</v>
      </c>
      <c r="AB155" s="108" t="s">
        <v>315</v>
      </c>
    </row>
    <row r="156" s="108" customFormat="1" spans="1:28">
      <c r="A156" s="146">
        <v>40000014</v>
      </c>
      <c r="B156" s="146" t="s">
        <v>336</v>
      </c>
      <c r="C156" s="146">
        <v>-1</v>
      </c>
      <c r="D156" s="147" t="s">
        <v>337</v>
      </c>
      <c r="E156" s="146">
        <v>328</v>
      </c>
      <c r="F156" s="146">
        <v>328</v>
      </c>
      <c r="G156" s="146">
        <v>0</v>
      </c>
      <c r="H156" s="146">
        <v>0</v>
      </c>
      <c r="I156" s="146">
        <v>0</v>
      </c>
      <c r="J156" s="146">
        <v>0</v>
      </c>
      <c r="K156" s="146">
        <v>999</v>
      </c>
      <c r="L156" s="146">
        <v>100</v>
      </c>
      <c r="M156" s="146">
        <v>1</v>
      </c>
      <c r="N156" s="146"/>
      <c r="O156" s="146"/>
      <c r="P156" s="146"/>
      <c r="Q156" s="146">
        <v>0</v>
      </c>
      <c r="R156" s="146">
        <v>1</v>
      </c>
      <c r="S156" s="146">
        <v>2</v>
      </c>
      <c r="T156" s="146">
        <v>2</v>
      </c>
      <c r="U156" s="146">
        <v>0</v>
      </c>
      <c r="V156" s="146">
        <v>0</v>
      </c>
      <c r="X156" s="108">
        <v>0</v>
      </c>
      <c r="AA156" s="94">
        <v>1</v>
      </c>
      <c r="AB156" s="108" t="s">
        <v>315</v>
      </c>
    </row>
    <row r="157" s="108" customFormat="1" spans="1:28">
      <c r="A157" s="146">
        <v>40000015</v>
      </c>
      <c r="B157" s="146" t="s">
        <v>338</v>
      </c>
      <c r="C157" s="146">
        <v>-1</v>
      </c>
      <c r="D157" s="147" t="s">
        <v>339</v>
      </c>
      <c r="E157" s="146">
        <v>328</v>
      </c>
      <c r="F157" s="146">
        <v>328</v>
      </c>
      <c r="G157" s="146">
        <v>0</v>
      </c>
      <c r="H157" s="146">
        <v>0</v>
      </c>
      <c r="I157" s="146">
        <v>2</v>
      </c>
      <c r="J157" s="146">
        <v>1</v>
      </c>
      <c r="K157" s="146">
        <v>2</v>
      </c>
      <c r="L157" s="146">
        <v>100</v>
      </c>
      <c r="M157" s="146">
        <v>1</v>
      </c>
      <c r="N157" s="146"/>
      <c r="O157" s="146"/>
      <c r="P157" s="146"/>
      <c r="Q157" s="146">
        <v>0</v>
      </c>
      <c r="R157" s="146">
        <v>1</v>
      </c>
      <c r="S157" s="146">
        <v>2</v>
      </c>
      <c r="T157" s="146">
        <v>2</v>
      </c>
      <c r="U157" s="146">
        <v>0</v>
      </c>
      <c r="V157" s="146">
        <v>0</v>
      </c>
      <c r="X157" s="108">
        <v>0</v>
      </c>
      <c r="AA157" s="94">
        <v>1</v>
      </c>
      <c r="AB157" s="108" t="s">
        <v>315</v>
      </c>
    </row>
    <row r="158" s="108" customFormat="1" spans="1:28">
      <c r="A158" s="146">
        <v>40000016</v>
      </c>
      <c r="B158" s="146" t="s">
        <v>340</v>
      </c>
      <c r="C158" s="146">
        <v>-1</v>
      </c>
      <c r="D158" s="147" t="s">
        <v>341</v>
      </c>
      <c r="E158" s="146">
        <v>648</v>
      </c>
      <c r="F158" s="146">
        <v>648</v>
      </c>
      <c r="G158" s="146">
        <v>0</v>
      </c>
      <c r="H158" s="146">
        <v>0</v>
      </c>
      <c r="I158" s="146">
        <v>2</v>
      </c>
      <c r="J158" s="146">
        <v>1</v>
      </c>
      <c r="K158" s="146">
        <v>2</v>
      </c>
      <c r="L158" s="146">
        <v>100</v>
      </c>
      <c r="M158" s="146">
        <v>1</v>
      </c>
      <c r="N158" s="146"/>
      <c r="O158" s="146"/>
      <c r="P158" s="146"/>
      <c r="Q158" s="146">
        <v>0</v>
      </c>
      <c r="R158" s="146">
        <v>1</v>
      </c>
      <c r="S158" s="146">
        <v>2</v>
      </c>
      <c r="T158" s="146">
        <v>3</v>
      </c>
      <c r="U158" s="146">
        <v>0</v>
      </c>
      <c r="V158" s="146">
        <v>0</v>
      </c>
      <c r="X158" s="108">
        <v>0</v>
      </c>
      <c r="AA158" s="94">
        <v>1</v>
      </c>
      <c r="AB158" s="108" t="s">
        <v>315</v>
      </c>
    </row>
    <row r="159" s="108" customFormat="1" spans="1:28">
      <c r="A159" s="146">
        <v>40000017</v>
      </c>
      <c r="B159" s="146" t="s">
        <v>342</v>
      </c>
      <c r="C159" s="146">
        <v>-1</v>
      </c>
      <c r="D159" s="147" t="s">
        <v>343</v>
      </c>
      <c r="E159" s="146">
        <v>98</v>
      </c>
      <c r="F159" s="146">
        <v>98</v>
      </c>
      <c r="G159" s="146">
        <v>0</v>
      </c>
      <c r="H159" s="146">
        <v>0</v>
      </c>
      <c r="I159" s="146">
        <v>2</v>
      </c>
      <c r="J159" s="146">
        <v>1</v>
      </c>
      <c r="K159" s="146">
        <v>3</v>
      </c>
      <c r="L159" s="146">
        <v>100</v>
      </c>
      <c r="M159" s="146">
        <v>1</v>
      </c>
      <c r="N159" s="146"/>
      <c r="O159" s="146"/>
      <c r="P159" s="146"/>
      <c r="Q159" s="146">
        <v>0</v>
      </c>
      <c r="R159" s="146">
        <v>1</v>
      </c>
      <c r="S159" s="146">
        <v>2</v>
      </c>
      <c r="T159" s="146">
        <v>3</v>
      </c>
      <c r="U159" s="146">
        <v>0</v>
      </c>
      <c r="V159" s="146">
        <v>0</v>
      </c>
      <c r="X159" s="108">
        <v>0</v>
      </c>
      <c r="AA159" s="94">
        <v>1</v>
      </c>
      <c r="AB159" s="108" t="s">
        <v>315</v>
      </c>
    </row>
    <row r="160" s="108" customFormat="1" spans="1:28">
      <c r="A160" s="146">
        <v>40000018</v>
      </c>
      <c r="B160" s="146" t="s">
        <v>344</v>
      </c>
      <c r="C160" s="146">
        <v>-1</v>
      </c>
      <c r="D160" s="147" t="s">
        <v>345</v>
      </c>
      <c r="E160" s="146">
        <v>98</v>
      </c>
      <c r="F160" s="146">
        <v>98</v>
      </c>
      <c r="G160" s="146">
        <v>0</v>
      </c>
      <c r="H160" s="146">
        <v>0</v>
      </c>
      <c r="I160" s="146">
        <v>2</v>
      </c>
      <c r="J160" s="146">
        <v>1</v>
      </c>
      <c r="K160" s="146">
        <v>3</v>
      </c>
      <c r="L160" s="146">
        <v>100</v>
      </c>
      <c r="M160" s="146">
        <v>1</v>
      </c>
      <c r="N160" s="146"/>
      <c r="O160" s="146"/>
      <c r="P160" s="146"/>
      <c r="Q160" s="146">
        <v>0</v>
      </c>
      <c r="R160" s="146">
        <v>1</v>
      </c>
      <c r="S160" s="146">
        <v>2</v>
      </c>
      <c r="T160" s="146">
        <v>2</v>
      </c>
      <c r="U160" s="146">
        <v>0</v>
      </c>
      <c r="V160" s="146">
        <v>0</v>
      </c>
      <c r="X160" s="108">
        <v>0</v>
      </c>
      <c r="AA160" s="94">
        <v>1</v>
      </c>
      <c r="AB160" s="108" t="s">
        <v>315</v>
      </c>
    </row>
    <row r="161" s="109" customFormat="1" spans="1:28">
      <c r="A161" s="148">
        <v>50000001</v>
      </c>
      <c r="B161" s="148" t="s">
        <v>186</v>
      </c>
      <c r="C161" s="148">
        <v>-1</v>
      </c>
      <c r="D161" s="148" t="s">
        <v>314</v>
      </c>
      <c r="E161" s="148">
        <v>68</v>
      </c>
      <c r="F161" s="148">
        <v>68</v>
      </c>
      <c r="G161" s="148">
        <v>0</v>
      </c>
      <c r="H161" s="148">
        <v>0</v>
      </c>
      <c r="I161" s="148">
        <v>2</v>
      </c>
      <c r="J161" s="148">
        <v>1</v>
      </c>
      <c r="K161" s="148">
        <v>2</v>
      </c>
      <c r="L161" s="148">
        <v>100</v>
      </c>
      <c r="M161" s="148">
        <v>1</v>
      </c>
      <c r="N161" s="148"/>
      <c r="O161" s="148"/>
      <c r="P161" s="148"/>
      <c r="Q161" s="148">
        <v>0</v>
      </c>
      <c r="R161" s="148">
        <v>1</v>
      </c>
      <c r="S161" s="148">
        <v>2</v>
      </c>
      <c r="T161" s="148">
        <v>3</v>
      </c>
      <c r="U161" s="148">
        <v>0</v>
      </c>
      <c r="V161" s="148">
        <v>0</v>
      </c>
      <c r="X161" s="109">
        <v>0</v>
      </c>
      <c r="AA161" s="94">
        <v>1</v>
      </c>
      <c r="AB161" s="109" t="s">
        <v>346</v>
      </c>
    </row>
    <row r="162" s="109" customFormat="1" spans="1:28">
      <c r="A162" s="148">
        <v>50000002</v>
      </c>
      <c r="B162" s="148" t="s">
        <v>316</v>
      </c>
      <c r="C162" s="148">
        <v>-1</v>
      </c>
      <c r="D162" s="148" t="s">
        <v>317</v>
      </c>
      <c r="E162" s="148">
        <v>328</v>
      </c>
      <c r="F162" s="148">
        <v>328</v>
      </c>
      <c r="G162" s="148">
        <v>0</v>
      </c>
      <c r="H162" s="148">
        <v>0</v>
      </c>
      <c r="I162" s="148">
        <v>2</v>
      </c>
      <c r="J162" s="148">
        <v>1</v>
      </c>
      <c r="K162" s="148">
        <v>2</v>
      </c>
      <c r="L162" s="148">
        <v>100</v>
      </c>
      <c r="M162" s="148">
        <v>1</v>
      </c>
      <c r="N162" s="148"/>
      <c r="O162" s="148"/>
      <c r="P162" s="148"/>
      <c r="Q162" s="148">
        <v>0</v>
      </c>
      <c r="R162" s="148">
        <v>1</v>
      </c>
      <c r="S162" s="148">
        <v>2</v>
      </c>
      <c r="T162" s="148">
        <v>3</v>
      </c>
      <c r="U162" s="148">
        <v>0</v>
      </c>
      <c r="V162" s="148">
        <v>0</v>
      </c>
      <c r="X162" s="109">
        <v>0</v>
      </c>
      <c r="AA162" s="94">
        <v>1</v>
      </c>
      <c r="AB162" s="109" t="s">
        <v>346</v>
      </c>
    </row>
    <row r="163" s="109" customFormat="1" spans="1:28">
      <c r="A163" s="148">
        <v>50000003</v>
      </c>
      <c r="B163" s="148" t="s">
        <v>222</v>
      </c>
      <c r="C163" s="148">
        <v>-1</v>
      </c>
      <c r="D163" s="148" t="s">
        <v>318</v>
      </c>
      <c r="E163" s="148">
        <v>648</v>
      </c>
      <c r="F163" s="148">
        <v>648</v>
      </c>
      <c r="G163" s="148">
        <v>0</v>
      </c>
      <c r="H163" s="148">
        <v>0</v>
      </c>
      <c r="I163" s="148">
        <v>2</v>
      </c>
      <c r="J163" s="148">
        <v>1</v>
      </c>
      <c r="K163" s="148">
        <v>2</v>
      </c>
      <c r="L163" s="148">
        <v>100</v>
      </c>
      <c r="M163" s="148">
        <v>1</v>
      </c>
      <c r="N163" s="148"/>
      <c r="O163" s="148"/>
      <c r="P163" s="148"/>
      <c r="Q163" s="148">
        <v>0</v>
      </c>
      <c r="R163" s="148">
        <v>1</v>
      </c>
      <c r="S163" s="148">
        <v>2</v>
      </c>
      <c r="T163" s="148">
        <v>3</v>
      </c>
      <c r="U163" s="148">
        <v>0</v>
      </c>
      <c r="V163" s="148">
        <v>0</v>
      </c>
      <c r="X163" s="109">
        <v>0</v>
      </c>
      <c r="AA163" s="94">
        <v>1</v>
      </c>
      <c r="AB163" s="109" t="s">
        <v>346</v>
      </c>
    </row>
    <row r="164" s="109" customFormat="1" spans="1:28">
      <c r="A164" s="148">
        <v>50000004</v>
      </c>
      <c r="B164" s="148" t="s">
        <v>172</v>
      </c>
      <c r="C164" s="148">
        <v>-1</v>
      </c>
      <c r="D164" s="148" t="s">
        <v>319</v>
      </c>
      <c r="E164" s="148">
        <v>30</v>
      </c>
      <c r="F164" s="148">
        <v>30</v>
      </c>
      <c r="G164" s="148">
        <v>0</v>
      </c>
      <c r="H164" s="148">
        <v>0</v>
      </c>
      <c r="I164" s="148">
        <v>2</v>
      </c>
      <c r="J164" s="148">
        <v>1</v>
      </c>
      <c r="K164" s="148">
        <v>2</v>
      </c>
      <c r="L164" s="148">
        <v>100</v>
      </c>
      <c r="M164" s="148">
        <v>1</v>
      </c>
      <c r="N164" s="148"/>
      <c r="O164" s="148"/>
      <c r="P164" s="148"/>
      <c r="Q164" s="148">
        <v>0</v>
      </c>
      <c r="R164" s="148">
        <v>1</v>
      </c>
      <c r="S164" s="148">
        <v>2</v>
      </c>
      <c r="T164" s="148">
        <v>3</v>
      </c>
      <c r="U164" s="148">
        <v>0</v>
      </c>
      <c r="V164" s="148">
        <v>0</v>
      </c>
      <c r="X164" s="109">
        <v>0</v>
      </c>
      <c r="AA164" s="94">
        <v>1</v>
      </c>
      <c r="AB164" s="109" t="s">
        <v>346</v>
      </c>
    </row>
    <row r="165" s="109" customFormat="1" spans="1:28">
      <c r="A165" s="148">
        <v>50000005</v>
      </c>
      <c r="B165" s="148" t="s">
        <v>162</v>
      </c>
      <c r="C165" s="148">
        <v>-1</v>
      </c>
      <c r="D165" s="148" t="s">
        <v>320</v>
      </c>
      <c r="E165" s="148">
        <v>98</v>
      </c>
      <c r="F165" s="148">
        <v>98</v>
      </c>
      <c r="G165" s="148">
        <v>0</v>
      </c>
      <c r="H165" s="148">
        <v>0</v>
      </c>
      <c r="I165" s="148">
        <v>2</v>
      </c>
      <c r="J165" s="148">
        <v>1</v>
      </c>
      <c r="K165" s="148">
        <v>2</v>
      </c>
      <c r="L165" s="148">
        <v>100</v>
      </c>
      <c r="M165" s="148">
        <v>1</v>
      </c>
      <c r="N165" s="148"/>
      <c r="O165" s="148"/>
      <c r="P165" s="148"/>
      <c r="Q165" s="148">
        <v>0</v>
      </c>
      <c r="R165" s="148">
        <v>1</v>
      </c>
      <c r="S165" s="148">
        <v>2</v>
      </c>
      <c r="T165" s="148">
        <v>3</v>
      </c>
      <c r="U165" s="148">
        <v>0</v>
      </c>
      <c r="V165" s="148">
        <v>0</v>
      </c>
      <c r="X165" s="109">
        <v>0</v>
      </c>
      <c r="AA165" s="94">
        <v>1</v>
      </c>
      <c r="AB165" s="109" t="s">
        <v>346</v>
      </c>
    </row>
    <row r="166" s="109" customFormat="1" spans="1:28">
      <c r="A166" s="148">
        <v>50000006</v>
      </c>
      <c r="B166" s="148" t="s">
        <v>203</v>
      </c>
      <c r="C166" s="148">
        <v>-1</v>
      </c>
      <c r="D166" s="148" t="s">
        <v>321</v>
      </c>
      <c r="E166" s="148">
        <v>648</v>
      </c>
      <c r="F166" s="148">
        <v>648</v>
      </c>
      <c r="G166" s="148">
        <v>0</v>
      </c>
      <c r="H166" s="148">
        <v>0</v>
      </c>
      <c r="I166" s="148">
        <v>2</v>
      </c>
      <c r="J166" s="148">
        <v>1</v>
      </c>
      <c r="K166" s="148">
        <v>2</v>
      </c>
      <c r="L166" s="148">
        <v>100</v>
      </c>
      <c r="M166" s="148">
        <v>1</v>
      </c>
      <c r="N166" s="148"/>
      <c r="O166" s="148"/>
      <c r="P166" s="148"/>
      <c r="Q166" s="148">
        <v>0</v>
      </c>
      <c r="R166" s="148">
        <v>1</v>
      </c>
      <c r="S166" s="148">
        <v>2</v>
      </c>
      <c r="T166" s="148">
        <v>3</v>
      </c>
      <c r="U166" s="148">
        <v>0</v>
      </c>
      <c r="V166" s="148">
        <v>0</v>
      </c>
      <c r="X166" s="109">
        <v>0</v>
      </c>
      <c r="AA166" s="94">
        <v>1</v>
      </c>
      <c r="AB166" s="109" t="s">
        <v>346</v>
      </c>
    </row>
    <row r="167" s="109" customFormat="1" spans="1:28">
      <c r="A167" s="148">
        <v>50000007</v>
      </c>
      <c r="B167" s="148" t="s">
        <v>322</v>
      </c>
      <c r="C167" s="148">
        <v>-1</v>
      </c>
      <c r="D167" s="149" t="s">
        <v>323</v>
      </c>
      <c r="E167" s="148">
        <v>648</v>
      </c>
      <c r="F167" s="148">
        <v>648</v>
      </c>
      <c r="G167" s="148">
        <v>0</v>
      </c>
      <c r="H167" s="148">
        <v>0</v>
      </c>
      <c r="I167" s="148">
        <v>0</v>
      </c>
      <c r="J167" s="148">
        <v>0</v>
      </c>
      <c r="K167" s="148">
        <v>999</v>
      </c>
      <c r="L167" s="148">
        <v>100</v>
      </c>
      <c r="M167" s="148">
        <v>1</v>
      </c>
      <c r="N167" s="148"/>
      <c r="O167" s="148"/>
      <c r="P167" s="148"/>
      <c r="Q167" s="148">
        <v>0</v>
      </c>
      <c r="R167" s="148">
        <v>1</v>
      </c>
      <c r="S167" s="148">
        <v>2</v>
      </c>
      <c r="T167" s="148">
        <v>2</v>
      </c>
      <c r="U167" s="148">
        <v>0</v>
      </c>
      <c r="V167" s="148">
        <v>0</v>
      </c>
      <c r="X167" s="109">
        <v>0</v>
      </c>
      <c r="AA167" s="94">
        <v>1</v>
      </c>
      <c r="AB167" s="109" t="s">
        <v>346</v>
      </c>
    </row>
    <row r="168" s="109" customFormat="1" spans="1:28">
      <c r="A168" s="109">
        <v>50000008</v>
      </c>
      <c r="B168" s="109" t="s">
        <v>326</v>
      </c>
      <c r="C168" s="109">
        <v>-1</v>
      </c>
      <c r="D168" s="109" t="s">
        <v>327</v>
      </c>
      <c r="E168" s="109">
        <v>6</v>
      </c>
      <c r="F168" s="109">
        <v>6</v>
      </c>
      <c r="G168" s="109">
        <v>0</v>
      </c>
      <c r="H168" s="109">
        <v>0</v>
      </c>
      <c r="I168" s="109">
        <v>1</v>
      </c>
      <c r="J168" s="109">
        <v>1</v>
      </c>
      <c r="K168" s="109">
        <v>2</v>
      </c>
      <c r="L168" s="109">
        <v>100</v>
      </c>
      <c r="M168" s="109">
        <v>1</v>
      </c>
      <c r="Q168" s="109">
        <v>0</v>
      </c>
      <c r="R168" s="109">
        <v>1</v>
      </c>
      <c r="S168" s="109">
        <v>2</v>
      </c>
      <c r="T168" s="109">
        <v>1</v>
      </c>
      <c r="U168" s="109">
        <v>0</v>
      </c>
      <c r="V168" s="109">
        <v>0</v>
      </c>
      <c r="X168" s="109">
        <v>0</v>
      </c>
      <c r="AA168" s="94">
        <v>1</v>
      </c>
      <c r="AB168" s="109" t="s">
        <v>346</v>
      </c>
    </row>
    <row r="169" s="109" customFormat="1" spans="1:28">
      <c r="A169" s="109">
        <v>50000009</v>
      </c>
      <c r="B169" s="109" t="s">
        <v>324</v>
      </c>
      <c r="C169" s="148">
        <v>-1</v>
      </c>
      <c r="D169" s="149" t="s">
        <v>325</v>
      </c>
      <c r="E169" s="148">
        <v>648</v>
      </c>
      <c r="F169" s="148">
        <v>648</v>
      </c>
      <c r="G169" s="148">
        <v>0</v>
      </c>
      <c r="H169" s="148">
        <v>0</v>
      </c>
      <c r="I169" s="148">
        <v>0</v>
      </c>
      <c r="J169" s="148">
        <v>0</v>
      </c>
      <c r="K169" s="148">
        <v>999</v>
      </c>
      <c r="L169" s="148">
        <v>100</v>
      </c>
      <c r="M169" s="148">
        <v>2</v>
      </c>
      <c r="N169" s="148"/>
      <c r="O169" s="148"/>
      <c r="P169" s="148"/>
      <c r="Q169" s="148">
        <v>0</v>
      </c>
      <c r="R169" s="148">
        <v>1</v>
      </c>
      <c r="S169" s="148">
        <v>2</v>
      </c>
      <c r="T169" s="148">
        <v>3</v>
      </c>
      <c r="U169" s="148">
        <v>0</v>
      </c>
      <c r="V169" s="148">
        <v>0</v>
      </c>
      <c r="X169" s="109">
        <v>0</v>
      </c>
      <c r="AA169" s="94">
        <v>1</v>
      </c>
      <c r="AB169" s="109" t="s">
        <v>347</v>
      </c>
    </row>
    <row r="170" s="109" customFormat="1" spans="1:28">
      <c r="A170" s="109">
        <v>50000010</v>
      </c>
      <c r="B170" s="109" t="s">
        <v>328</v>
      </c>
      <c r="C170" s="148">
        <v>-1</v>
      </c>
      <c r="D170" s="149" t="s">
        <v>329</v>
      </c>
      <c r="E170" s="148">
        <v>328</v>
      </c>
      <c r="F170" s="148">
        <v>328</v>
      </c>
      <c r="G170" s="148">
        <v>0</v>
      </c>
      <c r="H170" s="148">
        <v>0</v>
      </c>
      <c r="I170" s="148">
        <v>0</v>
      </c>
      <c r="J170" s="148">
        <v>0</v>
      </c>
      <c r="K170" s="148">
        <v>999</v>
      </c>
      <c r="L170" s="148">
        <v>100</v>
      </c>
      <c r="M170" s="148">
        <v>2</v>
      </c>
      <c r="N170" s="148"/>
      <c r="O170" s="148"/>
      <c r="P170" s="148"/>
      <c r="Q170" s="148">
        <v>0</v>
      </c>
      <c r="R170" s="148">
        <v>1</v>
      </c>
      <c r="S170" s="148">
        <v>2</v>
      </c>
      <c r="T170" s="148">
        <v>3</v>
      </c>
      <c r="U170" s="148">
        <v>0</v>
      </c>
      <c r="V170" s="148">
        <v>0</v>
      </c>
      <c r="X170" s="109">
        <v>0</v>
      </c>
      <c r="AA170" s="94">
        <v>1</v>
      </c>
      <c r="AB170" s="109" t="s">
        <v>347</v>
      </c>
    </row>
    <row r="171" s="109" customFormat="1" spans="1:28">
      <c r="A171" s="109">
        <v>50000011</v>
      </c>
      <c r="B171" s="109" t="s">
        <v>332</v>
      </c>
      <c r="C171" s="148">
        <v>-1</v>
      </c>
      <c r="D171" s="149" t="s">
        <v>333</v>
      </c>
      <c r="E171" s="148">
        <v>6</v>
      </c>
      <c r="F171" s="148">
        <v>6</v>
      </c>
      <c r="G171" s="148">
        <v>0</v>
      </c>
      <c r="H171" s="148">
        <v>0</v>
      </c>
      <c r="I171" s="148">
        <v>2</v>
      </c>
      <c r="J171" s="148">
        <v>1</v>
      </c>
      <c r="K171" s="148">
        <v>3</v>
      </c>
      <c r="L171" s="148">
        <v>100</v>
      </c>
      <c r="M171" s="148">
        <v>1</v>
      </c>
      <c r="N171" s="148"/>
      <c r="O171" s="148"/>
      <c r="P171" s="148"/>
      <c r="Q171" s="148">
        <v>0</v>
      </c>
      <c r="R171" s="148">
        <v>1</v>
      </c>
      <c r="S171" s="148">
        <v>2</v>
      </c>
      <c r="T171" s="148">
        <v>3</v>
      </c>
      <c r="U171" s="148">
        <v>0</v>
      </c>
      <c r="V171" s="148">
        <v>0</v>
      </c>
      <c r="X171" s="109">
        <v>0</v>
      </c>
      <c r="AA171" s="94">
        <v>1</v>
      </c>
      <c r="AB171" s="109" t="s">
        <v>347</v>
      </c>
    </row>
    <row r="172" s="109" customFormat="1" spans="1:28">
      <c r="A172" s="109">
        <v>50000012</v>
      </c>
      <c r="B172" s="109" t="s">
        <v>334</v>
      </c>
      <c r="C172" s="148">
        <v>-1</v>
      </c>
      <c r="D172" s="149" t="s">
        <v>335</v>
      </c>
      <c r="E172" s="148">
        <v>128</v>
      </c>
      <c r="F172" s="148">
        <v>128</v>
      </c>
      <c r="G172" s="148">
        <v>0</v>
      </c>
      <c r="H172" s="148">
        <v>0</v>
      </c>
      <c r="I172" s="148">
        <v>0</v>
      </c>
      <c r="J172" s="148">
        <v>0</v>
      </c>
      <c r="K172" s="148">
        <v>999</v>
      </c>
      <c r="L172" s="148">
        <v>100</v>
      </c>
      <c r="M172" s="148">
        <v>1</v>
      </c>
      <c r="N172" s="148"/>
      <c r="O172" s="148"/>
      <c r="P172" s="148"/>
      <c r="Q172" s="148">
        <v>0</v>
      </c>
      <c r="R172" s="148">
        <v>1</v>
      </c>
      <c r="S172" s="148">
        <v>2</v>
      </c>
      <c r="T172" s="148">
        <v>2</v>
      </c>
      <c r="U172" s="148">
        <v>0</v>
      </c>
      <c r="V172" s="148">
        <v>0</v>
      </c>
      <c r="X172" s="109">
        <v>0</v>
      </c>
      <c r="AA172" s="94">
        <v>1</v>
      </c>
      <c r="AB172" s="109" t="s">
        <v>347</v>
      </c>
    </row>
    <row r="173" s="109" customFormat="1" spans="1:28">
      <c r="A173" s="109">
        <v>50000013</v>
      </c>
      <c r="B173" s="109" t="s">
        <v>336</v>
      </c>
      <c r="C173" s="148">
        <v>-1</v>
      </c>
      <c r="D173" s="149" t="s">
        <v>337</v>
      </c>
      <c r="E173" s="148">
        <v>328</v>
      </c>
      <c r="F173" s="148">
        <v>328</v>
      </c>
      <c r="G173" s="148">
        <v>0</v>
      </c>
      <c r="H173" s="148">
        <v>0</v>
      </c>
      <c r="I173" s="148">
        <v>0</v>
      </c>
      <c r="J173" s="148">
        <v>0</v>
      </c>
      <c r="K173" s="148">
        <v>999</v>
      </c>
      <c r="L173" s="148">
        <v>100</v>
      </c>
      <c r="M173" s="148">
        <v>1</v>
      </c>
      <c r="N173" s="148"/>
      <c r="O173" s="148"/>
      <c r="P173" s="148"/>
      <c r="Q173" s="148">
        <v>0</v>
      </c>
      <c r="R173" s="148">
        <v>1</v>
      </c>
      <c r="S173" s="148">
        <v>2</v>
      </c>
      <c r="T173" s="148">
        <v>2</v>
      </c>
      <c r="U173" s="148">
        <v>0</v>
      </c>
      <c r="V173" s="148">
        <v>0</v>
      </c>
      <c r="X173" s="109">
        <v>0</v>
      </c>
      <c r="AA173" s="94">
        <v>1</v>
      </c>
      <c r="AB173" s="109" t="s">
        <v>347</v>
      </c>
    </row>
    <row r="174" s="109" customFormat="1" spans="1:28">
      <c r="A174" s="109">
        <v>50000014</v>
      </c>
      <c r="B174" s="109" t="s">
        <v>338</v>
      </c>
      <c r="C174" s="148">
        <v>-1</v>
      </c>
      <c r="D174" s="149" t="s">
        <v>339</v>
      </c>
      <c r="E174" s="148">
        <v>328</v>
      </c>
      <c r="F174" s="148">
        <v>328</v>
      </c>
      <c r="G174" s="148">
        <v>0</v>
      </c>
      <c r="H174" s="148">
        <v>0</v>
      </c>
      <c r="I174" s="148">
        <v>2</v>
      </c>
      <c r="J174" s="148">
        <v>1</v>
      </c>
      <c r="K174" s="148">
        <v>2</v>
      </c>
      <c r="L174" s="148">
        <v>100</v>
      </c>
      <c r="M174" s="148">
        <v>1</v>
      </c>
      <c r="N174" s="148"/>
      <c r="O174" s="148"/>
      <c r="P174" s="148"/>
      <c r="Q174" s="148">
        <v>0</v>
      </c>
      <c r="R174" s="148">
        <v>1</v>
      </c>
      <c r="S174" s="148">
        <v>2</v>
      </c>
      <c r="T174" s="148">
        <v>2</v>
      </c>
      <c r="U174" s="148">
        <v>0</v>
      </c>
      <c r="V174" s="148">
        <v>0</v>
      </c>
      <c r="X174" s="109">
        <v>0</v>
      </c>
      <c r="AA174" s="94">
        <v>1</v>
      </c>
      <c r="AB174" s="109" t="s">
        <v>347</v>
      </c>
    </row>
    <row r="175" s="109" customFormat="1" spans="1:28">
      <c r="A175" s="109">
        <v>50000015</v>
      </c>
      <c r="B175" s="109" t="s">
        <v>340</v>
      </c>
      <c r="C175" s="148">
        <v>-1</v>
      </c>
      <c r="D175" s="149" t="s">
        <v>341</v>
      </c>
      <c r="E175" s="148">
        <v>648</v>
      </c>
      <c r="F175" s="148">
        <v>648</v>
      </c>
      <c r="G175" s="148">
        <v>0</v>
      </c>
      <c r="H175" s="148">
        <v>0</v>
      </c>
      <c r="I175" s="148">
        <v>2</v>
      </c>
      <c r="J175" s="148">
        <v>1</v>
      </c>
      <c r="K175" s="148">
        <v>2</v>
      </c>
      <c r="L175" s="148">
        <v>100</v>
      </c>
      <c r="M175" s="148">
        <v>1</v>
      </c>
      <c r="N175" s="148"/>
      <c r="O175" s="148"/>
      <c r="P175" s="148"/>
      <c r="Q175" s="148">
        <v>0</v>
      </c>
      <c r="R175" s="148">
        <v>1</v>
      </c>
      <c r="S175" s="148">
        <v>2</v>
      </c>
      <c r="T175" s="148">
        <v>3</v>
      </c>
      <c r="U175" s="148">
        <v>0</v>
      </c>
      <c r="V175" s="148">
        <v>0</v>
      </c>
      <c r="X175" s="109">
        <v>0</v>
      </c>
      <c r="AA175" s="94">
        <v>1</v>
      </c>
      <c r="AB175" s="109" t="s">
        <v>347</v>
      </c>
    </row>
    <row r="176" s="109" customFormat="1" spans="1:28">
      <c r="A176" s="109">
        <v>50000016</v>
      </c>
      <c r="B176" s="109" t="s">
        <v>330</v>
      </c>
      <c r="C176" s="148">
        <v>-1</v>
      </c>
      <c r="D176" s="149" t="s">
        <v>331</v>
      </c>
      <c r="E176" s="148">
        <v>648</v>
      </c>
      <c r="F176" s="148">
        <v>648</v>
      </c>
      <c r="G176" s="148">
        <v>0</v>
      </c>
      <c r="H176" s="148">
        <v>0</v>
      </c>
      <c r="I176" s="148">
        <v>2</v>
      </c>
      <c r="J176" s="148">
        <v>1</v>
      </c>
      <c r="K176" s="148">
        <v>4</v>
      </c>
      <c r="L176" s="148">
        <v>100</v>
      </c>
      <c r="M176" s="148">
        <v>1</v>
      </c>
      <c r="N176" s="148"/>
      <c r="O176" s="148"/>
      <c r="P176" s="148"/>
      <c r="Q176" s="148">
        <v>0</v>
      </c>
      <c r="R176" s="148">
        <v>1</v>
      </c>
      <c r="S176" s="148">
        <v>2</v>
      </c>
      <c r="T176" s="148">
        <v>3</v>
      </c>
      <c r="U176" s="148">
        <v>0</v>
      </c>
      <c r="V176" s="148">
        <v>0</v>
      </c>
      <c r="X176" s="109">
        <v>0</v>
      </c>
      <c r="AA176" s="94">
        <v>1</v>
      </c>
      <c r="AB176" s="109" t="s">
        <v>347</v>
      </c>
    </row>
    <row r="177" s="109" customFormat="1" spans="1:28">
      <c r="A177" s="109">
        <v>50000017</v>
      </c>
      <c r="B177" s="109" t="s">
        <v>342</v>
      </c>
      <c r="C177" s="148">
        <v>-1</v>
      </c>
      <c r="D177" s="149" t="s">
        <v>343</v>
      </c>
      <c r="E177" s="148">
        <v>98</v>
      </c>
      <c r="F177" s="148">
        <v>98</v>
      </c>
      <c r="G177" s="148">
        <v>0</v>
      </c>
      <c r="H177" s="148">
        <v>0</v>
      </c>
      <c r="I177" s="148">
        <v>2</v>
      </c>
      <c r="J177" s="148">
        <v>1</v>
      </c>
      <c r="K177" s="148">
        <v>3</v>
      </c>
      <c r="L177" s="148">
        <v>100</v>
      </c>
      <c r="M177" s="148">
        <v>1</v>
      </c>
      <c r="N177" s="148"/>
      <c r="O177" s="148"/>
      <c r="P177" s="148"/>
      <c r="Q177" s="148">
        <v>0</v>
      </c>
      <c r="R177" s="148">
        <v>1</v>
      </c>
      <c r="S177" s="148">
        <v>2</v>
      </c>
      <c r="T177" s="148">
        <v>3</v>
      </c>
      <c r="U177" s="148">
        <v>0</v>
      </c>
      <c r="V177" s="148">
        <v>0</v>
      </c>
      <c r="X177" s="109">
        <v>0</v>
      </c>
      <c r="AA177" s="94">
        <v>1</v>
      </c>
      <c r="AB177" s="109" t="s">
        <v>347</v>
      </c>
    </row>
    <row r="178" s="107" customFormat="1" spans="1:28">
      <c r="A178" s="109">
        <v>50000018</v>
      </c>
      <c r="B178" s="109" t="s">
        <v>344</v>
      </c>
      <c r="C178" s="148">
        <v>-1</v>
      </c>
      <c r="D178" s="149" t="s">
        <v>345</v>
      </c>
      <c r="E178" s="144">
        <v>98</v>
      </c>
      <c r="F178" s="144">
        <v>98</v>
      </c>
      <c r="G178" s="144">
        <v>0</v>
      </c>
      <c r="H178" s="144">
        <v>0</v>
      </c>
      <c r="I178" s="144">
        <v>2</v>
      </c>
      <c r="J178" s="144">
        <v>1</v>
      </c>
      <c r="K178" s="144">
        <v>3</v>
      </c>
      <c r="L178" s="144">
        <v>100</v>
      </c>
      <c r="M178" s="144">
        <v>1</v>
      </c>
      <c r="N178" s="144"/>
      <c r="O178" s="144"/>
      <c r="P178" s="144"/>
      <c r="Q178" s="144">
        <v>0</v>
      </c>
      <c r="R178" s="144">
        <v>1</v>
      </c>
      <c r="S178" s="144">
        <v>2</v>
      </c>
      <c r="T178" s="144">
        <v>2</v>
      </c>
      <c r="U178" s="144">
        <v>0</v>
      </c>
      <c r="V178" s="144">
        <v>0</v>
      </c>
      <c r="X178" s="107">
        <v>0</v>
      </c>
      <c r="AA178" s="94">
        <v>1</v>
      </c>
      <c r="AB178" s="109" t="s">
        <v>347</v>
      </c>
    </row>
    <row r="179" s="107" customFormat="1" spans="1:28">
      <c r="A179" s="109">
        <v>50000019</v>
      </c>
      <c r="B179" s="109" t="s">
        <v>348</v>
      </c>
      <c r="C179" s="148">
        <v>-1</v>
      </c>
      <c r="D179" s="149" t="s">
        <v>349</v>
      </c>
      <c r="E179" s="144">
        <v>12</v>
      </c>
      <c r="F179" s="144">
        <v>12</v>
      </c>
      <c r="G179" s="144">
        <v>0</v>
      </c>
      <c r="H179" s="144">
        <v>0</v>
      </c>
      <c r="I179" s="144">
        <v>0</v>
      </c>
      <c r="J179" s="144">
        <v>1</v>
      </c>
      <c r="K179" s="144">
        <v>1</v>
      </c>
      <c r="L179" s="144">
        <v>100</v>
      </c>
      <c r="M179" s="144">
        <v>1</v>
      </c>
      <c r="N179" s="144"/>
      <c r="O179" s="144"/>
      <c r="P179" s="144"/>
      <c r="Q179" s="144">
        <v>0</v>
      </c>
      <c r="R179" s="144">
        <v>1</v>
      </c>
      <c r="S179" s="144">
        <v>2</v>
      </c>
      <c r="T179" s="144">
        <v>1</v>
      </c>
      <c r="U179" s="144">
        <v>0</v>
      </c>
      <c r="V179" s="144">
        <v>0</v>
      </c>
      <c r="X179" s="107">
        <v>0</v>
      </c>
      <c r="AA179" s="94">
        <v>1</v>
      </c>
      <c r="AB179" s="109" t="s">
        <v>347</v>
      </c>
    </row>
    <row r="180" s="107" customFormat="1" spans="1:28">
      <c r="A180" s="109">
        <v>50000020</v>
      </c>
      <c r="B180" s="109" t="s">
        <v>350</v>
      </c>
      <c r="C180" s="148">
        <v>-1</v>
      </c>
      <c r="D180" s="149" t="s">
        <v>351</v>
      </c>
      <c r="E180" s="144">
        <v>98</v>
      </c>
      <c r="F180" s="144">
        <v>98</v>
      </c>
      <c r="G180" s="144">
        <v>0</v>
      </c>
      <c r="H180" s="144">
        <v>0</v>
      </c>
      <c r="I180" s="144">
        <v>0</v>
      </c>
      <c r="J180" s="144">
        <v>1</v>
      </c>
      <c r="K180" s="144">
        <v>1</v>
      </c>
      <c r="L180" s="144">
        <v>100</v>
      </c>
      <c r="M180" s="144">
        <v>1</v>
      </c>
      <c r="N180" s="144"/>
      <c r="O180" s="144"/>
      <c r="P180" s="144"/>
      <c r="Q180" s="144">
        <v>0</v>
      </c>
      <c r="R180" s="144">
        <v>1</v>
      </c>
      <c r="S180" s="144">
        <v>2</v>
      </c>
      <c r="T180" s="144">
        <v>1</v>
      </c>
      <c r="U180" s="144">
        <v>0</v>
      </c>
      <c r="V180" s="144">
        <v>0</v>
      </c>
      <c r="X180" s="107">
        <v>0</v>
      </c>
      <c r="AA180" s="94">
        <v>1</v>
      </c>
      <c r="AB180" s="109" t="s">
        <v>347</v>
      </c>
    </row>
    <row r="181" s="109" customFormat="1" spans="1:28">
      <c r="A181" s="148">
        <v>50000021</v>
      </c>
      <c r="B181" s="109" t="s">
        <v>352</v>
      </c>
      <c r="C181" s="148">
        <v>-1</v>
      </c>
      <c r="D181" s="149" t="s">
        <v>353</v>
      </c>
      <c r="E181" s="148">
        <v>1</v>
      </c>
      <c r="F181" s="148">
        <v>1</v>
      </c>
      <c r="G181" s="148">
        <v>0</v>
      </c>
      <c r="H181" s="148">
        <v>0</v>
      </c>
      <c r="I181" s="148">
        <v>1</v>
      </c>
      <c r="J181" s="148">
        <v>1</v>
      </c>
      <c r="K181" s="148">
        <v>1</v>
      </c>
      <c r="L181" s="148">
        <v>100</v>
      </c>
      <c r="M181" s="148">
        <v>1</v>
      </c>
      <c r="N181" s="148"/>
      <c r="O181" s="148"/>
      <c r="P181" s="148"/>
      <c r="Q181" s="148">
        <v>0</v>
      </c>
      <c r="R181" s="148">
        <v>1</v>
      </c>
      <c r="S181" s="148">
        <v>2</v>
      </c>
      <c r="T181" s="148">
        <v>1</v>
      </c>
      <c r="U181" s="148">
        <v>0</v>
      </c>
      <c r="V181" s="148">
        <v>0</v>
      </c>
      <c r="X181" s="109">
        <v>0</v>
      </c>
      <c r="AA181" s="94">
        <v>1</v>
      </c>
      <c r="AB181" s="109" t="s">
        <v>354</v>
      </c>
    </row>
    <row r="182" s="109" customFormat="1" spans="1:28">
      <c r="A182" s="148">
        <v>50000022</v>
      </c>
      <c r="B182" s="109" t="s">
        <v>355</v>
      </c>
      <c r="C182" s="148">
        <v>-1</v>
      </c>
      <c r="D182" s="149" t="s">
        <v>356</v>
      </c>
      <c r="E182" s="148">
        <v>30</v>
      </c>
      <c r="F182" s="148">
        <v>30</v>
      </c>
      <c r="G182" s="148">
        <v>0</v>
      </c>
      <c r="H182" s="148">
        <v>0</v>
      </c>
      <c r="I182" s="148">
        <v>0</v>
      </c>
      <c r="J182" s="148">
        <v>1</v>
      </c>
      <c r="K182" s="148">
        <v>1</v>
      </c>
      <c r="L182" s="148">
        <v>100</v>
      </c>
      <c r="M182" s="148">
        <v>1</v>
      </c>
      <c r="N182" s="148"/>
      <c r="O182" s="148"/>
      <c r="P182" s="148"/>
      <c r="Q182" s="148">
        <v>0</v>
      </c>
      <c r="R182" s="148">
        <v>1</v>
      </c>
      <c r="S182" s="148">
        <v>2</v>
      </c>
      <c r="T182" s="148">
        <v>1</v>
      </c>
      <c r="U182" s="148">
        <v>0</v>
      </c>
      <c r="V182" s="148">
        <v>0</v>
      </c>
      <c r="X182" s="109">
        <v>0</v>
      </c>
      <c r="AA182" s="94">
        <v>1</v>
      </c>
      <c r="AB182" s="109" t="s">
        <v>354</v>
      </c>
    </row>
    <row r="183" s="109" customFormat="1" spans="1:28">
      <c r="A183" s="148">
        <v>50000023</v>
      </c>
      <c r="B183" s="109" t="s">
        <v>357</v>
      </c>
      <c r="C183" s="148">
        <v>-1</v>
      </c>
      <c r="D183" s="149" t="s">
        <v>358</v>
      </c>
      <c r="E183" s="148">
        <v>98</v>
      </c>
      <c r="F183" s="148">
        <v>98</v>
      </c>
      <c r="G183" s="148">
        <v>0</v>
      </c>
      <c r="H183" s="148">
        <v>0</v>
      </c>
      <c r="I183" s="148">
        <v>0</v>
      </c>
      <c r="J183" s="148">
        <v>1</v>
      </c>
      <c r="K183" s="148">
        <v>1</v>
      </c>
      <c r="L183" s="148">
        <v>100</v>
      </c>
      <c r="M183" s="148">
        <v>1</v>
      </c>
      <c r="N183" s="148"/>
      <c r="O183" s="148"/>
      <c r="P183" s="148"/>
      <c r="Q183" s="148">
        <v>0</v>
      </c>
      <c r="R183" s="148">
        <v>1</v>
      </c>
      <c r="S183" s="148">
        <v>2</v>
      </c>
      <c r="T183" s="148">
        <v>1</v>
      </c>
      <c r="U183" s="148">
        <v>0</v>
      </c>
      <c r="V183" s="148">
        <v>0</v>
      </c>
      <c r="X183" s="109">
        <v>0</v>
      </c>
      <c r="AA183" s="94">
        <v>1</v>
      </c>
      <c r="AB183" s="109" t="s">
        <v>354</v>
      </c>
    </row>
    <row r="184" s="109" customFormat="1" spans="1:28">
      <c r="A184" s="148">
        <v>50000024</v>
      </c>
      <c r="B184" s="109" t="s">
        <v>359</v>
      </c>
      <c r="C184" s="148">
        <v>-1</v>
      </c>
      <c r="D184" s="149" t="s">
        <v>360</v>
      </c>
      <c r="E184" s="148">
        <v>328</v>
      </c>
      <c r="F184" s="148">
        <v>328</v>
      </c>
      <c r="G184" s="148">
        <v>0</v>
      </c>
      <c r="H184" s="148">
        <v>0</v>
      </c>
      <c r="I184" s="148">
        <v>0</v>
      </c>
      <c r="J184" s="148">
        <v>1</v>
      </c>
      <c r="K184" s="148">
        <v>1</v>
      </c>
      <c r="L184" s="148">
        <v>100</v>
      </c>
      <c r="M184" s="148">
        <v>1</v>
      </c>
      <c r="N184" s="148"/>
      <c r="O184" s="148"/>
      <c r="P184" s="148"/>
      <c r="Q184" s="148">
        <v>0</v>
      </c>
      <c r="R184" s="148">
        <v>1</v>
      </c>
      <c r="S184" s="148">
        <v>2</v>
      </c>
      <c r="T184" s="148">
        <v>1</v>
      </c>
      <c r="U184" s="148">
        <v>0</v>
      </c>
      <c r="V184" s="148">
        <v>0</v>
      </c>
      <c r="X184" s="109">
        <v>0</v>
      </c>
      <c r="AA184" s="94">
        <v>1</v>
      </c>
      <c r="AB184" s="109" t="s">
        <v>354</v>
      </c>
    </row>
    <row r="185" s="109" customFormat="1" spans="1:28">
      <c r="A185" s="148">
        <v>50000025</v>
      </c>
      <c r="B185" s="148" t="s">
        <v>361</v>
      </c>
      <c r="C185" s="148">
        <v>-1</v>
      </c>
      <c r="D185" s="149" t="s">
        <v>362</v>
      </c>
      <c r="E185" s="148">
        <v>1000</v>
      </c>
      <c r="F185" s="148">
        <v>1000</v>
      </c>
      <c r="G185" s="148">
        <v>0</v>
      </c>
      <c r="H185" s="148">
        <v>0</v>
      </c>
      <c r="I185" s="148">
        <v>0</v>
      </c>
      <c r="J185" s="148">
        <v>1</v>
      </c>
      <c r="K185" s="148">
        <v>1</v>
      </c>
      <c r="L185" s="148">
        <v>100</v>
      </c>
      <c r="M185" s="148">
        <v>1</v>
      </c>
      <c r="N185" s="148"/>
      <c r="O185" s="148"/>
      <c r="P185" s="148"/>
      <c r="Q185" s="148">
        <v>0</v>
      </c>
      <c r="R185" s="148">
        <v>1</v>
      </c>
      <c r="S185" s="148">
        <v>2</v>
      </c>
      <c r="T185" s="148">
        <v>1</v>
      </c>
      <c r="U185" s="148">
        <v>0</v>
      </c>
      <c r="V185" s="148">
        <v>0</v>
      </c>
      <c r="X185" s="109">
        <v>0</v>
      </c>
      <c r="AA185" s="94">
        <v>1</v>
      </c>
      <c r="AB185" s="109" t="s">
        <v>354</v>
      </c>
    </row>
    <row r="186" s="109" customFormat="1" spans="1:28">
      <c r="A186" s="148">
        <v>50000026</v>
      </c>
      <c r="B186" s="148" t="s">
        <v>363</v>
      </c>
      <c r="C186" s="148">
        <v>-1</v>
      </c>
      <c r="D186" s="149" t="s">
        <v>364</v>
      </c>
      <c r="E186" s="148">
        <v>328</v>
      </c>
      <c r="F186" s="148">
        <v>328</v>
      </c>
      <c r="G186" s="148">
        <v>0</v>
      </c>
      <c r="H186" s="148">
        <v>0</v>
      </c>
      <c r="I186" s="148">
        <v>0</v>
      </c>
      <c r="J186" s="148">
        <v>1</v>
      </c>
      <c r="K186" s="148">
        <v>4</v>
      </c>
      <c r="L186" s="148">
        <v>100</v>
      </c>
      <c r="M186" s="148">
        <v>1</v>
      </c>
      <c r="N186" s="148"/>
      <c r="O186" s="148"/>
      <c r="P186" s="148"/>
      <c r="Q186" s="148">
        <v>0</v>
      </c>
      <c r="R186" s="148">
        <v>1</v>
      </c>
      <c r="S186" s="148">
        <v>2</v>
      </c>
      <c r="T186" s="148">
        <v>2</v>
      </c>
      <c r="U186" s="148">
        <v>0</v>
      </c>
      <c r="V186" s="148">
        <v>0</v>
      </c>
      <c r="X186" s="109">
        <v>0</v>
      </c>
      <c r="AA186" s="94">
        <v>1</v>
      </c>
      <c r="AB186" s="109" t="s">
        <v>347</v>
      </c>
    </row>
    <row r="187" s="109" customFormat="1" spans="1:28">
      <c r="A187" s="148">
        <v>50000027</v>
      </c>
      <c r="B187" s="148" t="s">
        <v>365</v>
      </c>
      <c r="C187" s="148">
        <v>-1</v>
      </c>
      <c r="D187" s="149" t="s">
        <v>366</v>
      </c>
      <c r="E187" s="148">
        <v>1000</v>
      </c>
      <c r="F187" s="148">
        <v>1000</v>
      </c>
      <c r="G187" s="148">
        <v>0</v>
      </c>
      <c r="H187" s="148">
        <v>0</v>
      </c>
      <c r="I187" s="148">
        <v>0</v>
      </c>
      <c r="J187" s="148">
        <v>1</v>
      </c>
      <c r="K187" s="148">
        <v>2</v>
      </c>
      <c r="L187" s="148">
        <v>100</v>
      </c>
      <c r="M187" s="148">
        <v>1</v>
      </c>
      <c r="N187" s="148"/>
      <c r="O187" s="148"/>
      <c r="P187" s="148"/>
      <c r="Q187" s="148">
        <v>0</v>
      </c>
      <c r="R187" s="148">
        <v>1</v>
      </c>
      <c r="S187" s="148">
        <v>2</v>
      </c>
      <c r="T187" s="148">
        <v>2</v>
      </c>
      <c r="U187" s="148">
        <v>0</v>
      </c>
      <c r="V187" s="148">
        <v>0</v>
      </c>
      <c r="X187" s="109">
        <v>0</v>
      </c>
      <c r="AA187" s="94">
        <v>1</v>
      </c>
      <c r="AB187" s="109" t="s">
        <v>347</v>
      </c>
    </row>
    <row r="188" s="109" customFormat="1" spans="1:28">
      <c r="A188" s="148">
        <v>50000028</v>
      </c>
      <c r="B188" s="148" t="s">
        <v>336</v>
      </c>
      <c r="C188" s="148">
        <v>-1</v>
      </c>
      <c r="D188" s="149" t="s">
        <v>367</v>
      </c>
      <c r="E188" s="148">
        <v>98</v>
      </c>
      <c r="F188" s="148">
        <v>98</v>
      </c>
      <c r="G188" s="148">
        <v>0</v>
      </c>
      <c r="H188" s="148">
        <v>0</v>
      </c>
      <c r="I188" s="148">
        <v>3</v>
      </c>
      <c r="J188" s="148">
        <v>1</v>
      </c>
      <c r="K188" s="148">
        <v>2</v>
      </c>
      <c r="L188" s="148">
        <v>100</v>
      </c>
      <c r="M188" s="148">
        <v>1</v>
      </c>
      <c r="N188" s="148"/>
      <c r="O188" s="148"/>
      <c r="P188" s="148"/>
      <c r="Q188" s="148">
        <v>0</v>
      </c>
      <c r="R188" s="148">
        <v>1</v>
      </c>
      <c r="S188" s="148">
        <v>2</v>
      </c>
      <c r="T188" s="148">
        <v>2</v>
      </c>
      <c r="U188" s="148">
        <v>0</v>
      </c>
      <c r="V188" s="148">
        <v>0</v>
      </c>
      <c r="X188" s="109">
        <v>0</v>
      </c>
      <c r="AA188" s="94">
        <v>1</v>
      </c>
      <c r="AB188" s="109" t="s">
        <v>347</v>
      </c>
    </row>
    <row r="189" s="109" customFormat="1" spans="1:28">
      <c r="A189" s="148">
        <v>50000029</v>
      </c>
      <c r="B189" s="148" t="s">
        <v>368</v>
      </c>
      <c r="C189" s="148">
        <v>-1</v>
      </c>
      <c r="D189" s="149" t="s">
        <v>369</v>
      </c>
      <c r="E189" s="148">
        <v>648</v>
      </c>
      <c r="F189" s="148">
        <v>648</v>
      </c>
      <c r="G189" s="148">
        <v>0</v>
      </c>
      <c r="H189" s="148">
        <v>0</v>
      </c>
      <c r="I189" s="148">
        <v>3</v>
      </c>
      <c r="J189" s="148">
        <v>1</v>
      </c>
      <c r="K189" s="148">
        <v>2</v>
      </c>
      <c r="L189" s="148">
        <v>100</v>
      </c>
      <c r="M189" s="148">
        <v>1</v>
      </c>
      <c r="N189" s="148"/>
      <c r="O189" s="148"/>
      <c r="P189" s="148"/>
      <c r="Q189" s="148">
        <v>0</v>
      </c>
      <c r="R189" s="148">
        <v>1</v>
      </c>
      <c r="S189" s="148">
        <v>2</v>
      </c>
      <c r="T189" s="148">
        <v>2</v>
      </c>
      <c r="U189" s="148">
        <v>0</v>
      </c>
      <c r="V189" s="148">
        <v>0</v>
      </c>
      <c r="X189" s="109">
        <v>0</v>
      </c>
      <c r="AA189" s="94">
        <v>1</v>
      </c>
      <c r="AB189" s="109" t="s">
        <v>347</v>
      </c>
    </row>
    <row r="190" s="109" customFormat="1" spans="1:28">
      <c r="A190" s="148">
        <v>50000030</v>
      </c>
      <c r="B190" s="148" t="s">
        <v>370</v>
      </c>
      <c r="C190" s="148">
        <v>-1</v>
      </c>
      <c r="D190" s="149" t="s">
        <v>371</v>
      </c>
      <c r="E190" s="148">
        <v>98</v>
      </c>
      <c r="F190" s="148">
        <v>98</v>
      </c>
      <c r="G190" s="148">
        <v>0</v>
      </c>
      <c r="H190" s="148">
        <v>0</v>
      </c>
      <c r="I190" s="148">
        <v>3</v>
      </c>
      <c r="J190" s="148">
        <v>1</v>
      </c>
      <c r="K190" s="148">
        <v>3</v>
      </c>
      <c r="L190" s="148">
        <v>100</v>
      </c>
      <c r="M190" s="148">
        <v>1</v>
      </c>
      <c r="N190" s="148"/>
      <c r="O190" s="148"/>
      <c r="P190" s="148"/>
      <c r="Q190" s="148">
        <v>0</v>
      </c>
      <c r="R190" s="148">
        <v>1</v>
      </c>
      <c r="S190" s="148">
        <v>2</v>
      </c>
      <c r="T190" s="148">
        <v>2</v>
      </c>
      <c r="U190" s="148">
        <v>0</v>
      </c>
      <c r="V190" s="148">
        <v>0</v>
      </c>
      <c r="X190" s="109">
        <v>0</v>
      </c>
      <c r="AA190" s="94">
        <v>1</v>
      </c>
      <c r="AB190" s="109" t="s">
        <v>347</v>
      </c>
    </row>
    <row r="191" s="109" customFormat="1" spans="1:28">
      <c r="A191" s="148">
        <v>50000031</v>
      </c>
      <c r="B191" s="148" t="s">
        <v>372</v>
      </c>
      <c r="C191" s="148">
        <v>-1</v>
      </c>
      <c r="D191" s="149" t="s">
        <v>373</v>
      </c>
      <c r="E191" s="148">
        <v>128</v>
      </c>
      <c r="F191" s="148">
        <v>128</v>
      </c>
      <c r="G191" s="148">
        <v>0</v>
      </c>
      <c r="H191" s="148">
        <v>0</v>
      </c>
      <c r="I191" s="148">
        <v>0</v>
      </c>
      <c r="J191" s="148">
        <v>1</v>
      </c>
      <c r="K191" s="148">
        <v>1</v>
      </c>
      <c r="L191" s="148">
        <v>100</v>
      </c>
      <c r="M191" s="148">
        <v>1</v>
      </c>
      <c r="N191" s="148"/>
      <c r="O191" s="148"/>
      <c r="P191" s="148"/>
      <c r="Q191" s="148">
        <v>0</v>
      </c>
      <c r="R191" s="148">
        <v>1</v>
      </c>
      <c r="S191" s="148">
        <v>2</v>
      </c>
      <c r="T191" s="148">
        <v>2</v>
      </c>
      <c r="U191" s="148">
        <v>0</v>
      </c>
      <c r="V191" s="148">
        <v>0</v>
      </c>
      <c r="X191" s="109">
        <v>0</v>
      </c>
      <c r="AA191" s="94">
        <v>1</v>
      </c>
      <c r="AB191" s="109" t="s">
        <v>347</v>
      </c>
    </row>
    <row r="192" s="110" customFormat="1" ht="15.25" spans="1:28">
      <c r="A192" s="150">
        <v>50000032</v>
      </c>
      <c r="B192" s="150" t="s">
        <v>374</v>
      </c>
      <c r="C192" s="148">
        <v>-1</v>
      </c>
      <c r="D192" s="151" t="s">
        <v>375</v>
      </c>
      <c r="E192" s="150">
        <v>30</v>
      </c>
      <c r="F192" s="150">
        <v>30</v>
      </c>
      <c r="G192" s="150">
        <v>0</v>
      </c>
      <c r="H192" s="150">
        <v>0</v>
      </c>
      <c r="I192" s="150">
        <v>0</v>
      </c>
      <c r="J192" s="150">
        <v>1</v>
      </c>
      <c r="K192" s="150">
        <v>1</v>
      </c>
      <c r="L192" s="150">
        <v>100</v>
      </c>
      <c r="M192" s="150">
        <v>1</v>
      </c>
      <c r="N192" s="150"/>
      <c r="O192" s="150"/>
      <c r="P192" s="150"/>
      <c r="Q192" s="150">
        <v>0</v>
      </c>
      <c r="R192" s="150">
        <v>1</v>
      </c>
      <c r="S192" s="150">
        <v>2</v>
      </c>
      <c r="T192" s="150">
        <v>1</v>
      </c>
      <c r="U192" s="150">
        <v>0</v>
      </c>
      <c r="V192" s="150">
        <v>0</v>
      </c>
      <c r="X192" s="110">
        <v>0</v>
      </c>
      <c r="AA192" s="94">
        <v>1</v>
      </c>
      <c r="AB192" s="110" t="s">
        <v>347</v>
      </c>
    </row>
    <row r="193" s="111" customFormat="1" ht="15.25" spans="1:28">
      <c r="A193" s="150">
        <v>50000033</v>
      </c>
      <c r="B193" s="152" t="s">
        <v>376</v>
      </c>
      <c r="C193" s="153">
        <v>-1</v>
      </c>
      <c r="D193" s="152" t="s">
        <v>377</v>
      </c>
      <c r="E193" s="152">
        <v>648</v>
      </c>
      <c r="F193" s="152">
        <v>648</v>
      </c>
      <c r="G193" s="152">
        <v>0</v>
      </c>
      <c r="H193" s="152">
        <v>0</v>
      </c>
      <c r="I193" s="152">
        <v>0</v>
      </c>
      <c r="J193" s="152">
        <v>0</v>
      </c>
      <c r="K193" s="152">
        <v>999</v>
      </c>
      <c r="L193" s="152">
        <v>100</v>
      </c>
      <c r="M193" s="152">
        <v>1</v>
      </c>
      <c r="N193" s="152"/>
      <c r="O193" s="152"/>
      <c r="P193" s="152"/>
      <c r="Q193" s="152">
        <v>0</v>
      </c>
      <c r="R193" s="152">
        <v>0</v>
      </c>
      <c r="S193" s="152">
        <v>2</v>
      </c>
      <c r="T193" s="152">
        <v>1</v>
      </c>
      <c r="U193" s="152">
        <v>0</v>
      </c>
      <c r="V193" s="152">
        <v>0</v>
      </c>
      <c r="W193" s="152"/>
      <c r="X193" s="152">
        <v>0</v>
      </c>
      <c r="Y193" s="179"/>
      <c r="Z193" s="152"/>
      <c r="AA193" s="94">
        <v>1</v>
      </c>
      <c r="AB193" s="180" t="s">
        <v>376</v>
      </c>
    </row>
    <row r="194" s="111" customFormat="1" ht="15.25" spans="1:28">
      <c r="A194" s="150">
        <v>50000034</v>
      </c>
      <c r="B194" s="154" t="s">
        <v>378</v>
      </c>
      <c r="C194" s="155">
        <v>-1</v>
      </c>
      <c r="D194" s="154" t="s">
        <v>379</v>
      </c>
      <c r="E194" s="154">
        <v>328</v>
      </c>
      <c r="F194" s="154">
        <v>328</v>
      </c>
      <c r="G194" s="154">
        <v>0</v>
      </c>
      <c r="H194" s="154">
        <v>0</v>
      </c>
      <c r="I194" s="154">
        <v>0</v>
      </c>
      <c r="J194" s="154">
        <v>0</v>
      </c>
      <c r="K194" s="154">
        <v>999</v>
      </c>
      <c r="L194" s="154">
        <v>100</v>
      </c>
      <c r="M194" s="154">
        <v>0</v>
      </c>
      <c r="N194" s="154"/>
      <c r="O194" s="154"/>
      <c r="P194" s="154"/>
      <c r="Q194" s="152">
        <v>0</v>
      </c>
      <c r="R194" s="154">
        <v>0</v>
      </c>
      <c r="S194" s="154">
        <v>2</v>
      </c>
      <c r="T194" s="154">
        <v>1</v>
      </c>
      <c r="U194" s="154">
        <v>0</v>
      </c>
      <c r="V194" s="154">
        <v>0</v>
      </c>
      <c r="W194" s="154"/>
      <c r="X194" s="154">
        <v>0</v>
      </c>
      <c r="Y194" s="181"/>
      <c r="Z194" s="154"/>
      <c r="AA194" s="94">
        <v>1</v>
      </c>
      <c r="AB194" s="182" t="s">
        <v>378</v>
      </c>
    </row>
    <row r="195" s="111" customFormat="1" ht="15.25" spans="1:28">
      <c r="A195" s="150">
        <v>50000035</v>
      </c>
      <c r="B195" s="154" t="s">
        <v>380</v>
      </c>
      <c r="C195" s="155">
        <v>-1</v>
      </c>
      <c r="D195" s="154" t="s">
        <v>381</v>
      </c>
      <c r="E195" s="154">
        <v>128</v>
      </c>
      <c r="F195" s="154">
        <v>128</v>
      </c>
      <c r="G195" s="154">
        <v>0</v>
      </c>
      <c r="H195" s="154">
        <v>0</v>
      </c>
      <c r="I195" s="154">
        <v>0</v>
      </c>
      <c r="J195" s="154">
        <v>0</v>
      </c>
      <c r="K195" s="154">
        <v>999</v>
      </c>
      <c r="L195" s="154">
        <v>100</v>
      </c>
      <c r="M195" s="154">
        <v>2</v>
      </c>
      <c r="N195" s="154"/>
      <c r="O195" s="154"/>
      <c r="P195" s="154"/>
      <c r="Q195" s="152">
        <v>0</v>
      </c>
      <c r="R195" s="154">
        <v>0</v>
      </c>
      <c r="S195" s="154">
        <v>2</v>
      </c>
      <c r="T195" s="154">
        <v>1</v>
      </c>
      <c r="U195" s="154">
        <v>0</v>
      </c>
      <c r="V195" s="154">
        <v>0</v>
      </c>
      <c r="W195" s="154"/>
      <c r="X195" s="154">
        <v>0</v>
      </c>
      <c r="Y195" s="181"/>
      <c r="Z195" s="154"/>
      <c r="AA195" s="94">
        <v>1</v>
      </c>
      <c r="AB195" s="182" t="s">
        <v>380</v>
      </c>
    </row>
    <row r="196" s="111" customFormat="1" ht="15.25" spans="1:28">
      <c r="A196" s="150">
        <v>50000036</v>
      </c>
      <c r="B196" s="154" t="s">
        <v>382</v>
      </c>
      <c r="C196" s="155">
        <v>-1</v>
      </c>
      <c r="D196" s="154" t="s">
        <v>383</v>
      </c>
      <c r="E196" s="154">
        <v>68</v>
      </c>
      <c r="F196" s="154">
        <v>68</v>
      </c>
      <c r="G196" s="154">
        <v>0</v>
      </c>
      <c r="H196" s="154">
        <v>0</v>
      </c>
      <c r="I196" s="154">
        <v>0</v>
      </c>
      <c r="J196" s="154">
        <v>0</v>
      </c>
      <c r="K196" s="154">
        <v>999</v>
      </c>
      <c r="L196" s="154">
        <v>100</v>
      </c>
      <c r="M196" s="154">
        <v>3</v>
      </c>
      <c r="N196" s="154"/>
      <c r="O196" s="154"/>
      <c r="P196" s="154"/>
      <c r="Q196" s="152">
        <v>0</v>
      </c>
      <c r="R196" s="154">
        <v>0</v>
      </c>
      <c r="S196" s="154">
        <v>2</v>
      </c>
      <c r="T196" s="154">
        <v>1</v>
      </c>
      <c r="U196" s="154">
        <v>0</v>
      </c>
      <c r="V196" s="154">
        <v>0</v>
      </c>
      <c r="W196" s="154"/>
      <c r="X196" s="154">
        <v>0</v>
      </c>
      <c r="Y196" s="181"/>
      <c r="Z196" s="154"/>
      <c r="AA196" s="94">
        <v>1</v>
      </c>
      <c r="AB196" s="182" t="s">
        <v>382</v>
      </c>
    </row>
    <row r="197" s="111" customFormat="1" ht="15.25" spans="1:28">
      <c r="A197" s="150">
        <v>50000037</v>
      </c>
      <c r="B197" s="156" t="s">
        <v>384</v>
      </c>
      <c r="C197" s="157">
        <v>-1</v>
      </c>
      <c r="D197" s="156" t="s">
        <v>385</v>
      </c>
      <c r="E197" s="156">
        <v>30</v>
      </c>
      <c r="F197" s="156">
        <v>30</v>
      </c>
      <c r="G197" s="156">
        <v>0</v>
      </c>
      <c r="H197" s="156">
        <v>0</v>
      </c>
      <c r="I197" s="156">
        <v>0</v>
      </c>
      <c r="J197" s="156">
        <v>0</v>
      </c>
      <c r="K197" s="156">
        <v>999</v>
      </c>
      <c r="L197" s="156">
        <v>100</v>
      </c>
      <c r="M197" s="156">
        <v>3</v>
      </c>
      <c r="N197" s="156"/>
      <c r="O197" s="156"/>
      <c r="P197" s="156"/>
      <c r="Q197" s="152">
        <v>0</v>
      </c>
      <c r="R197" s="156">
        <v>0</v>
      </c>
      <c r="S197" s="156">
        <v>2</v>
      </c>
      <c r="T197" s="156">
        <v>1</v>
      </c>
      <c r="U197" s="156">
        <v>0</v>
      </c>
      <c r="V197" s="156">
        <v>0</v>
      </c>
      <c r="W197" s="156"/>
      <c r="X197" s="156">
        <v>0</v>
      </c>
      <c r="Y197" s="183"/>
      <c r="Z197" s="156"/>
      <c r="AA197" s="94">
        <v>1</v>
      </c>
      <c r="AB197" s="184" t="s">
        <v>384</v>
      </c>
    </row>
    <row r="198" s="112" customFormat="1" ht="15.25" spans="1:28">
      <c r="A198" s="150">
        <v>50000038</v>
      </c>
      <c r="B198" s="158" t="s">
        <v>386</v>
      </c>
      <c r="C198" s="157">
        <v>-1</v>
      </c>
      <c r="D198" s="112" t="s">
        <v>387</v>
      </c>
      <c r="E198" s="152">
        <v>648</v>
      </c>
      <c r="F198" s="152">
        <v>648</v>
      </c>
      <c r="G198" s="152">
        <v>0</v>
      </c>
      <c r="H198" s="152">
        <v>0</v>
      </c>
      <c r="I198" s="152">
        <v>0</v>
      </c>
      <c r="J198" s="152">
        <v>1</v>
      </c>
      <c r="K198" s="152">
        <v>2</v>
      </c>
      <c r="L198" s="152">
        <v>100</v>
      </c>
      <c r="M198" s="152">
        <v>3</v>
      </c>
      <c r="Q198" s="112">
        <v>0</v>
      </c>
      <c r="R198" s="112">
        <v>0</v>
      </c>
      <c r="S198" s="112">
        <v>2</v>
      </c>
      <c r="T198" s="112">
        <v>1</v>
      </c>
      <c r="U198" s="112">
        <v>0</v>
      </c>
      <c r="V198" s="112">
        <v>0</v>
      </c>
      <c r="W198" s="94"/>
      <c r="X198" s="94">
        <v>0</v>
      </c>
      <c r="AA198" s="94">
        <v>1</v>
      </c>
      <c r="AB198" s="158" t="s">
        <v>386</v>
      </c>
    </row>
    <row r="199" s="112" customFormat="1" ht="15.25" spans="1:28">
      <c r="A199" s="150">
        <v>50000039</v>
      </c>
      <c r="B199" s="158" t="s">
        <v>388</v>
      </c>
      <c r="C199" s="155">
        <v>-1</v>
      </c>
      <c r="D199" s="112" t="s">
        <v>389</v>
      </c>
      <c r="E199" s="154">
        <v>328</v>
      </c>
      <c r="F199" s="154">
        <v>328</v>
      </c>
      <c r="G199" s="154">
        <v>0</v>
      </c>
      <c r="H199" s="154">
        <v>0</v>
      </c>
      <c r="I199" s="154">
        <v>0</v>
      </c>
      <c r="J199" s="154">
        <v>1</v>
      </c>
      <c r="K199" s="154">
        <v>2</v>
      </c>
      <c r="L199" s="154">
        <v>100</v>
      </c>
      <c r="M199" s="154">
        <v>3</v>
      </c>
      <c r="Q199" s="112">
        <v>0</v>
      </c>
      <c r="R199" s="112">
        <v>0</v>
      </c>
      <c r="S199" s="112">
        <v>2</v>
      </c>
      <c r="T199" s="112">
        <v>1</v>
      </c>
      <c r="U199" s="112">
        <v>0</v>
      </c>
      <c r="V199" s="112">
        <v>0</v>
      </c>
      <c r="W199" s="94"/>
      <c r="X199" s="94">
        <v>0</v>
      </c>
      <c r="AA199" s="94">
        <v>1</v>
      </c>
      <c r="AB199" s="158" t="s">
        <v>388</v>
      </c>
    </row>
    <row r="200" s="112" customFormat="1" spans="1:28">
      <c r="A200" s="159">
        <v>50000040</v>
      </c>
      <c r="B200" s="152" t="s">
        <v>390</v>
      </c>
      <c r="C200" s="153">
        <v>-1</v>
      </c>
      <c r="D200" s="152" t="s">
        <v>391</v>
      </c>
      <c r="E200" s="152">
        <v>5000</v>
      </c>
      <c r="F200" s="152">
        <v>5000</v>
      </c>
      <c r="G200" s="152">
        <v>0</v>
      </c>
      <c r="H200" s="152">
        <v>0</v>
      </c>
      <c r="I200" s="152">
        <v>0</v>
      </c>
      <c r="J200" s="152">
        <v>0</v>
      </c>
      <c r="K200" s="152">
        <v>999</v>
      </c>
      <c r="L200" s="152">
        <v>100</v>
      </c>
      <c r="M200" s="152">
        <v>3</v>
      </c>
      <c r="N200" s="152"/>
      <c r="O200" s="152"/>
      <c r="P200" s="152"/>
      <c r="Q200" s="152">
        <v>0</v>
      </c>
      <c r="R200" s="152">
        <v>0</v>
      </c>
      <c r="S200" s="152">
        <v>2</v>
      </c>
      <c r="T200" s="152">
        <v>1</v>
      </c>
      <c r="U200" s="152">
        <v>0</v>
      </c>
      <c r="V200" s="152">
        <v>0</v>
      </c>
      <c r="W200" s="152"/>
      <c r="X200" s="152">
        <v>0</v>
      </c>
      <c r="Y200" s="152"/>
      <c r="Z200" s="152"/>
      <c r="AA200" s="152">
        <v>1</v>
      </c>
      <c r="AB200" s="152" t="s">
        <v>390</v>
      </c>
    </row>
    <row r="201" s="112" customFormat="1" spans="1:28">
      <c r="A201" s="160">
        <v>50000041</v>
      </c>
      <c r="B201" s="154" t="s">
        <v>392</v>
      </c>
      <c r="C201" s="155">
        <v>-1</v>
      </c>
      <c r="D201" s="154" t="s">
        <v>393</v>
      </c>
      <c r="E201" s="154">
        <v>10000</v>
      </c>
      <c r="F201" s="154">
        <v>10000</v>
      </c>
      <c r="G201" s="154">
        <v>0</v>
      </c>
      <c r="H201" s="154">
        <v>0</v>
      </c>
      <c r="I201" s="154">
        <v>0</v>
      </c>
      <c r="J201" s="154">
        <v>0</v>
      </c>
      <c r="K201" s="154">
        <v>999</v>
      </c>
      <c r="L201" s="154">
        <v>100</v>
      </c>
      <c r="M201" s="154">
        <v>3</v>
      </c>
      <c r="N201" s="154"/>
      <c r="O201" s="154"/>
      <c r="P201" s="154"/>
      <c r="Q201" s="154">
        <v>0</v>
      </c>
      <c r="R201" s="154">
        <v>0</v>
      </c>
      <c r="S201" s="154">
        <v>2</v>
      </c>
      <c r="T201" s="154">
        <v>1</v>
      </c>
      <c r="U201" s="154">
        <v>0</v>
      </c>
      <c r="V201" s="154">
        <v>0</v>
      </c>
      <c r="W201" s="154"/>
      <c r="X201" s="154">
        <v>0</v>
      </c>
      <c r="Y201" s="154"/>
      <c r="Z201" s="154"/>
      <c r="AA201" s="154">
        <v>1</v>
      </c>
      <c r="AB201" s="154" t="s">
        <v>392</v>
      </c>
    </row>
    <row r="202" s="112" customFormat="1" spans="1:28">
      <c r="A202" s="160">
        <v>50000042</v>
      </c>
      <c r="B202" s="154" t="s">
        <v>394</v>
      </c>
      <c r="C202" s="155">
        <v>-1</v>
      </c>
      <c r="D202" s="154" t="s">
        <v>395</v>
      </c>
      <c r="E202" s="154">
        <v>198</v>
      </c>
      <c r="F202" s="154">
        <v>198</v>
      </c>
      <c r="G202" s="154">
        <v>0</v>
      </c>
      <c r="H202" s="154">
        <v>0</v>
      </c>
      <c r="I202" s="154">
        <v>0</v>
      </c>
      <c r="J202" s="154">
        <v>1</v>
      </c>
      <c r="K202" s="154">
        <v>3</v>
      </c>
      <c r="L202" s="154">
        <v>100</v>
      </c>
      <c r="M202" s="154">
        <v>3</v>
      </c>
      <c r="N202" s="154"/>
      <c r="O202" s="154"/>
      <c r="P202" s="154"/>
      <c r="Q202" s="154">
        <v>0</v>
      </c>
      <c r="R202" s="154">
        <v>0</v>
      </c>
      <c r="S202" s="154">
        <v>2</v>
      </c>
      <c r="T202" s="154">
        <v>1</v>
      </c>
      <c r="U202" s="154">
        <v>0</v>
      </c>
      <c r="V202" s="154">
        <v>0</v>
      </c>
      <c r="W202" s="154"/>
      <c r="X202" s="154">
        <v>0</v>
      </c>
      <c r="Y202" s="154"/>
      <c r="Z202" s="154"/>
      <c r="AA202" s="154">
        <v>1</v>
      </c>
      <c r="AB202" s="154" t="s">
        <v>394</v>
      </c>
    </row>
    <row r="203" s="112" customFormat="1" spans="1:28">
      <c r="A203" s="160">
        <v>50000043</v>
      </c>
      <c r="B203" s="154" t="s">
        <v>396</v>
      </c>
      <c r="C203" s="155">
        <v>-1</v>
      </c>
      <c r="D203" s="154" t="s">
        <v>397</v>
      </c>
      <c r="E203" s="154">
        <v>98</v>
      </c>
      <c r="F203" s="154">
        <v>98</v>
      </c>
      <c r="G203" s="154">
        <v>0</v>
      </c>
      <c r="H203" s="154">
        <v>0</v>
      </c>
      <c r="I203" s="154">
        <v>0</v>
      </c>
      <c r="J203" s="154">
        <v>1</v>
      </c>
      <c r="K203" s="154">
        <v>5</v>
      </c>
      <c r="L203" s="154">
        <v>100</v>
      </c>
      <c r="M203" s="154">
        <v>3</v>
      </c>
      <c r="N203" s="154"/>
      <c r="O203" s="154"/>
      <c r="P203" s="154"/>
      <c r="Q203" s="154">
        <v>0</v>
      </c>
      <c r="R203" s="154">
        <v>0</v>
      </c>
      <c r="S203" s="154">
        <v>2</v>
      </c>
      <c r="T203" s="154">
        <v>1</v>
      </c>
      <c r="U203" s="154">
        <v>0</v>
      </c>
      <c r="V203" s="154">
        <v>0</v>
      </c>
      <c r="W203" s="154"/>
      <c r="X203" s="154">
        <v>0</v>
      </c>
      <c r="Y203" s="154"/>
      <c r="Z203" s="154"/>
      <c r="AA203" s="154">
        <v>1</v>
      </c>
      <c r="AB203" s="154" t="s">
        <v>396</v>
      </c>
    </row>
    <row r="204" s="112" customFormat="1" ht="15.25" spans="1:28">
      <c r="A204" s="161">
        <v>50000044</v>
      </c>
      <c r="B204" s="156" t="s">
        <v>398</v>
      </c>
      <c r="C204" s="157">
        <v>-1</v>
      </c>
      <c r="D204" s="156" t="s">
        <v>399</v>
      </c>
      <c r="E204" s="156">
        <v>648</v>
      </c>
      <c r="F204" s="156">
        <v>648</v>
      </c>
      <c r="G204" s="156">
        <v>0</v>
      </c>
      <c r="H204" s="156">
        <v>0</v>
      </c>
      <c r="I204" s="156">
        <v>0</v>
      </c>
      <c r="J204" s="156">
        <v>0</v>
      </c>
      <c r="K204" s="156">
        <v>999</v>
      </c>
      <c r="L204" s="156">
        <v>100</v>
      </c>
      <c r="M204" s="156">
        <v>3</v>
      </c>
      <c r="N204" s="156"/>
      <c r="O204" s="156"/>
      <c r="P204" s="156"/>
      <c r="Q204" s="156">
        <v>0</v>
      </c>
      <c r="R204" s="156">
        <v>0</v>
      </c>
      <c r="S204" s="156">
        <v>2</v>
      </c>
      <c r="T204" s="156">
        <v>1</v>
      </c>
      <c r="U204" s="156">
        <v>0</v>
      </c>
      <c r="V204" s="156">
        <v>0</v>
      </c>
      <c r="W204" s="156"/>
      <c r="X204" s="156">
        <v>0</v>
      </c>
      <c r="Y204" s="156"/>
      <c r="Z204" s="156"/>
      <c r="AA204" s="156">
        <v>1</v>
      </c>
      <c r="AB204" s="156" t="s">
        <v>398</v>
      </c>
    </row>
    <row r="205" s="112" customFormat="1" ht="15.25" spans="1:28">
      <c r="A205" s="161">
        <v>50000045</v>
      </c>
      <c r="B205" s="162" t="s">
        <v>400</v>
      </c>
      <c r="C205" s="157">
        <v>-1</v>
      </c>
      <c r="D205" s="154" t="s">
        <v>401</v>
      </c>
      <c r="E205" s="154">
        <v>328</v>
      </c>
      <c r="F205" s="154">
        <v>328</v>
      </c>
      <c r="G205" s="154">
        <v>0</v>
      </c>
      <c r="H205" s="154">
        <v>0</v>
      </c>
      <c r="I205" s="154">
        <v>0</v>
      </c>
      <c r="J205" s="154">
        <v>1</v>
      </c>
      <c r="K205" s="154">
        <v>1</v>
      </c>
      <c r="L205" s="154">
        <v>100</v>
      </c>
      <c r="M205" s="154">
        <v>3</v>
      </c>
      <c r="N205" s="154"/>
      <c r="O205" s="154"/>
      <c r="P205" s="154"/>
      <c r="Q205" s="154">
        <v>0</v>
      </c>
      <c r="R205" s="154">
        <v>0</v>
      </c>
      <c r="S205" s="154">
        <v>2</v>
      </c>
      <c r="T205" s="154">
        <v>1</v>
      </c>
      <c r="U205" s="154">
        <v>0</v>
      </c>
      <c r="V205" s="154">
        <v>0</v>
      </c>
      <c r="W205" s="154"/>
      <c r="X205" s="154">
        <v>0</v>
      </c>
      <c r="Y205" s="154"/>
      <c r="Z205" s="154"/>
      <c r="AA205" s="154">
        <v>1</v>
      </c>
      <c r="AB205" s="162" t="s">
        <v>400</v>
      </c>
    </row>
    <row r="206" s="112" customFormat="1" spans="1:28">
      <c r="A206" s="160">
        <v>50000046</v>
      </c>
      <c r="B206" s="162" t="s">
        <v>402</v>
      </c>
      <c r="C206" s="155">
        <v>-1</v>
      </c>
      <c r="D206" s="154" t="s">
        <v>403</v>
      </c>
      <c r="E206" s="154">
        <v>1</v>
      </c>
      <c r="F206" s="154">
        <v>1</v>
      </c>
      <c r="G206" s="154">
        <v>0</v>
      </c>
      <c r="H206" s="154">
        <v>0</v>
      </c>
      <c r="I206" s="154">
        <v>0</v>
      </c>
      <c r="J206" s="154">
        <v>1</v>
      </c>
      <c r="K206" s="154">
        <v>1</v>
      </c>
      <c r="L206" s="154">
        <v>100</v>
      </c>
      <c r="M206" s="154">
        <v>3</v>
      </c>
      <c r="N206" s="154"/>
      <c r="O206" s="154"/>
      <c r="P206" s="154"/>
      <c r="Q206" s="154">
        <v>0</v>
      </c>
      <c r="R206" s="154">
        <v>0</v>
      </c>
      <c r="S206" s="154">
        <v>2</v>
      </c>
      <c r="T206" s="154">
        <v>1</v>
      </c>
      <c r="U206" s="154">
        <v>0</v>
      </c>
      <c r="V206" s="154">
        <v>0</v>
      </c>
      <c r="W206" s="154"/>
      <c r="X206" s="154">
        <v>0</v>
      </c>
      <c r="Y206" s="154"/>
      <c r="Z206" s="154"/>
      <c r="AA206" s="154">
        <v>1</v>
      </c>
      <c r="AB206" s="162" t="s">
        <v>404</v>
      </c>
    </row>
    <row r="207" s="112" customFormat="1" ht="15.25" spans="1:28">
      <c r="A207" s="161">
        <v>50000047</v>
      </c>
      <c r="B207" s="162" t="s">
        <v>405</v>
      </c>
      <c r="C207" s="155">
        <v>-1</v>
      </c>
      <c r="D207" s="154" t="s">
        <v>406</v>
      </c>
      <c r="E207" s="154">
        <v>98</v>
      </c>
      <c r="F207" s="154">
        <v>98</v>
      </c>
      <c r="G207" s="154">
        <v>0</v>
      </c>
      <c r="H207" s="154">
        <v>0</v>
      </c>
      <c r="I207" s="154">
        <v>0</v>
      </c>
      <c r="J207" s="154">
        <v>1</v>
      </c>
      <c r="K207" s="154">
        <v>1</v>
      </c>
      <c r="L207" s="154">
        <v>100</v>
      </c>
      <c r="M207" s="154">
        <v>3</v>
      </c>
      <c r="N207" s="154"/>
      <c r="O207" s="154"/>
      <c r="P207" s="154"/>
      <c r="Q207" s="154">
        <v>0</v>
      </c>
      <c r="R207" s="154">
        <v>0</v>
      </c>
      <c r="S207" s="154">
        <v>2</v>
      </c>
      <c r="T207" s="154">
        <v>1</v>
      </c>
      <c r="U207" s="154">
        <v>0</v>
      </c>
      <c r="V207" s="154">
        <v>0</v>
      </c>
      <c r="W207" s="154"/>
      <c r="X207" s="154">
        <v>0</v>
      </c>
      <c r="Y207" s="154"/>
      <c r="Z207" s="154"/>
      <c r="AA207" s="154">
        <v>1</v>
      </c>
      <c r="AB207" s="162" t="s">
        <v>404</v>
      </c>
    </row>
    <row r="208" s="112" customFormat="1" ht="15.25" spans="1:28">
      <c r="A208" s="161">
        <v>50000048</v>
      </c>
      <c r="B208" s="162" t="s">
        <v>407</v>
      </c>
      <c r="C208" s="155">
        <v>-1</v>
      </c>
      <c r="D208" s="154" t="s">
        <v>408</v>
      </c>
      <c r="E208" s="154">
        <v>168</v>
      </c>
      <c r="F208" s="154">
        <v>168</v>
      </c>
      <c r="G208" s="154">
        <v>0</v>
      </c>
      <c r="H208" s="154">
        <v>0</v>
      </c>
      <c r="I208" s="154">
        <v>0</v>
      </c>
      <c r="J208" s="154">
        <v>1</v>
      </c>
      <c r="K208" s="154">
        <v>1</v>
      </c>
      <c r="L208" s="154">
        <v>100</v>
      </c>
      <c r="M208" s="154">
        <v>3</v>
      </c>
      <c r="N208" s="154"/>
      <c r="O208" s="154"/>
      <c r="P208" s="154"/>
      <c r="Q208" s="154">
        <v>0</v>
      </c>
      <c r="R208" s="154">
        <v>0</v>
      </c>
      <c r="S208" s="154">
        <v>2</v>
      </c>
      <c r="T208" s="154">
        <v>1</v>
      </c>
      <c r="U208" s="154">
        <v>0</v>
      </c>
      <c r="V208" s="154">
        <v>0</v>
      </c>
      <c r="W208" s="154"/>
      <c r="X208" s="154">
        <v>0</v>
      </c>
      <c r="Y208" s="154"/>
      <c r="Z208" s="154"/>
      <c r="AA208" s="154">
        <v>1</v>
      </c>
      <c r="AB208" s="162" t="s">
        <v>404</v>
      </c>
    </row>
    <row r="209" s="112" customFormat="1" spans="1:28">
      <c r="A209" s="160">
        <v>50000049</v>
      </c>
      <c r="B209" s="162" t="s">
        <v>409</v>
      </c>
      <c r="C209" s="155">
        <v>-1</v>
      </c>
      <c r="D209" s="154" t="s">
        <v>410</v>
      </c>
      <c r="E209" s="154">
        <v>328</v>
      </c>
      <c r="F209" s="154">
        <v>328</v>
      </c>
      <c r="G209" s="154">
        <v>0</v>
      </c>
      <c r="H209" s="154">
        <v>0</v>
      </c>
      <c r="I209" s="154">
        <v>0</v>
      </c>
      <c r="J209" s="154">
        <v>1</v>
      </c>
      <c r="K209" s="154">
        <v>2</v>
      </c>
      <c r="L209" s="154">
        <v>100</v>
      </c>
      <c r="M209" s="154">
        <v>3</v>
      </c>
      <c r="N209" s="154"/>
      <c r="O209" s="154"/>
      <c r="P209" s="154"/>
      <c r="Q209" s="154">
        <v>0</v>
      </c>
      <c r="R209" s="154">
        <v>0</v>
      </c>
      <c r="S209" s="154">
        <v>2</v>
      </c>
      <c r="T209" s="154">
        <v>1</v>
      </c>
      <c r="U209" s="154">
        <v>0</v>
      </c>
      <c r="V209" s="154">
        <v>0</v>
      </c>
      <c r="W209" s="154"/>
      <c r="X209" s="154">
        <v>0</v>
      </c>
      <c r="Y209" s="154"/>
      <c r="Z209" s="154"/>
      <c r="AA209" s="154">
        <v>1</v>
      </c>
      <c r="AB209" s="162" t="s">
        <v>404</v>
      </c>
    </row>
    <row r="210" s="112" customFormat="1" ht="15.25" spans="1:28">
      <c r="A210" s="161">
        <v>50000050</v>
      </c>
      <c r="B210" s="162" t="s">
        <v>411</v>
      </c>
      <c r="C210" s="155">
        <v>-1</v>
      </c>
      <c r="D210" s="154" t="s">
        <v>412</v>
      </c>
      <c r="E210" s="154">
        <v>998</v>
      </c>
      <c r="F210" s="154">
        <v>998</v>
      </c>
      <c r="G210" s="154">
        <v>0</v>
      </c>
      <c r="H210" s="154">
        <v>0</v>
      </c>
      <c r="I210" s="154">
        <v>0</v>
      </c>
      <c r="J210" s="154">
        <v>1</v>
      </c>
      <c r="K210" s="154">
        <v>2</v>
      </c>
      <c r="L210" s="154">
        <v>100</v>
      </c>
      <c r="M210" s="154">
        <v>3</v>
      </c>
      <c r="N210" s="154"/>
      <c r="O210" s="154"/>
      <c r="P210" s="154"/>
      <c r="Q210" s="154">
        <v>0</v>
      </c>
      <c r="R210" s="154">
        <v>0</v>
      </c>
      <c r="S210" s="154">
        <v>2</v>
      </c>
      <c r="T210" s="154">
        <v>1</v>
      </c>
      <c r="U210" s="154">
        <v>0</v>
      </c>
      <c r="V210" s="154">
        <v>0</v>
      </c>
      <c r="W210" s="154"/>
      <c r="X210" s="154">
        <v>0</v>
      </c>
      <c r="Y210" s="154"/>
      <c r="Z210" s="154"/>
      <c r="AA210" s="154">
        <v>1</v>
      </c>
      <c r="AB210" s="162" t="s">
        <v>404</v>
      </c>
    </row>
    <row r="211" s="112" customFormat="1" ht="15.25" spans="1:28">
      <c r="A211" s="161">
        <v>50000051</v>
      </c>
      <c r="B211" s="162" t="s">
        <v>413</v>
      </c>
      <c r="C211" s="155">
        <v>-1</v>
      </c>
      <c r="D211" s="154" t="s">
        <v>414</v>
      </c>
      <c r="E211" s="154">
        <v>648</v>
      </c>
      <c r="F211" s="154">
        <v>648</v>
      </c>
      <c r="G211" s="154">
        <v>0</v>
      </c>
      <c r="H211" s="154">
        <v>0</v>
      </c>
      <c r="I211" s="154">
        <v>0</v>
      </c>
      <c r="J211" s="154">
        <v>1</v>
      </c>
      <c r="K211" s="154">
        <v>10</v>
      </c>
      <c r="L211" s="154">
        <v>100</v>
      </c>
      <c r="M211" s="154">
        <v>3</v>
      </c>
      <c r="N211" s="154"/>
      <c r="O211" s="154"/>
      <c r="P211" s="154"/>
      <c r="Q211" s="154">
        <v>0</v>
      </c>
      <c r="R211" s="154">
        <v>0</v>
      </c>
      <c r="S211" s="154">
        <v>2</v>
      </c>
      <c r="T211" s="154">
        <v>1</v>
      </c>
      <c r="U211" s="154">
        <v>0</v>
      </c>
      <c r="V211" s="154">
        <v>0</v>
      </c>
      <c r="W211" s="154"/>
      <c r="X211" s="154">
        <v>0</v>
      </c>
      <c r="Y211" s="154"/>
      <c r="Z211" s="154"/>
      <c r="AA211" s="154">
        <v>1</v>
      </c>
      <c r="AB211" s="162" t="s">
        <v>404</v>
      </c>
    </row>
    <row r="212" s="112" customFormat="1" spans="1:28">
      <c r="A212" s="160">
        <v>50000052</v>
      </c>
      <c r="B212" s="162" t="s">
        <v>415</v>
      </c>
      <c r="C212" s="155">
        <v>-1</v>
      </c>
      <c r="D212" s="154" t="s">
        <v>416</v>
      </c>
      <c r="E212" s="154">
        <v>328</v>
      </c>
      <c r="F212" s="154">
        <v>328</v>
      </c>
      <c r="G212" s="154">
        <v>0</v>
      </c>
      <c r="H212" s="154">
        <v>0</v>
      </c>
      <c r="I212" s="154">
        <v>0</v>
      </c>
      <c r="J212" s="154">
        <v>1</v>
      </c>
      <c r="K212" s="154">
        <v>1</v>
      </c>
      <c r="L212" s="154">
        <v>100</v>
      </c>
      <c r="M212" s="154">
        <v>3</v>
      </c>
      <c r="N212" s="154"/>
      <c r="O212" s="154"/>
      <c r="P212" s="154"/>
      <c r="Q212" s="154">
        <v>0</v>
      </c>
      <c r="R212" s="154">
        <v>0</v>
      </c>
      <c r="S212" s="154">
        <v>2</v>
      </c>
      <c r="T212" s="154">
        <v>1</v>
      </c>
      <c r="U212" s="154">
        <v>0</v>
      </c>
      <c r="V212" s="154">
        <v>0</v>
      </c>
      <c r="W212" s="154"/>
      <c r="X212" s="154">
        <v>0</v>
      </c>
      <c r="Y212" s="154"/>
      <c r="Z212" s="154"/>
      <c r="AA212" s="154">
        <v>1</v>
      </c>
      <c r="AB212" s="162" t="s">
        <v>404</v>
      </c>
    </row>
    <row r="213" s="112" customFormat="1" spans="1:28">
      <c r="A213" s="160">
        <v>50000053</v>
      </c>
      <c r="B213" s="162" t="s">
        <v>417</v>
      </c>
      <c r="C213" s="155">
        <v>-1</v>
      </c>
      <c r="D213" s="154" t="s">
        <v>418</v>
      </c>
      <c r="E213" s="154">
        <v>68</v>
      </c>
      <c r="F213" s="154">
        <v>68</v>
      </c>
      <c r="G213" s="154">
        <v>0</v>
      </c>
      <c r="H213" s="154">
        <v>0</v>
      </c>
      <c r="I213" s="154">
        <v>0</v>
      </c>
      <c r="J213" s="154">
        <v>1</v>
      </c>
      <c r="K213" s="154">
        <v>1</v>
      </c>
      <c r="L213" s="154">
        <v>100</v>
      </c>
      <c r="M213" s="154">
        <v>3</v>
      </c>
      <c r="N213" s="154"/>
      <c r="O213" s="154"/>
      <c r="P213" s="154"/>
      <c r="Q213" s="154">
        <v>0</v>
      </c>
      <c r="R213" s="154">
        <v>0</v>
      </c>
      <c r="S213" s="154">
        <v>2</v>
      </c>
      <c r="T213" s="154">
        <v>1</v>
      </c>
      <c r="U213" s="154">
        <v>0</v>
      </c>
      <c r="V213" s="154">
        <v>0</v>
      </c>
      <c r="W213" s="154"/>
      <c r="X213" s="154">
        <v>0</v>
      </c>
      <c r="Y213" s="154"/>
      <c r="Z213" s="154"/>
      <c r="AA213" s="154">
        <v>1</v>
      </c>
      <c r="AB213" s="162" t="s">
        <v>419</v>
      </c>
    </row>
    <row r="214" s="112" customFormat="1" spans="1:28">
      <c r="A214" s="160">
        <v>50000054</v>
      </c>
      <c r="B214" s="162" t="s">
        <v>420</v>
      </c>
      <c r="C214" s="155">
        <v>-1</v>
      </c>
      <c r="D214" s="154" t="s">
        <v>421</v>
      </c>
      <c r="E214" s="154">
        <v>1</v>
      </c>
      <c r="F214" s="154">
        <v>1</v>
      </c>
      <c r="G214" s="154">
        <v>0</v>
      </c>
      <c r="H214" s="154">
        <v>0</v>
      </c>
      <c r="I214" s="154">
        <v>1</v>
      </c>
      <c r="J214" s="154">
        <v>1</v>
      </c>
      <c r="K214" s="154">
        <v>1</v>
      </c>
      <c r="L214" s="154">
        <v>100</v>
      </c>
      <c r="M214" s="154">
        <v>3</v>
      </c>
      <c r="N214" s="154"/>
      <c r="O214" s="154"/>
      <c r="P214" s="154"/>
      <c r="Q214" s="154">
        <v>0</v>
      </c>
      <c r="R214" s="154">
        <v>0</v>
      </c>
      <c r="S214" s="154">
        <v>2</v>
      </c>
      <c r="T214" s="154">
        <v>1</v>
      </c>
      <c r="U214" s="154">
        <v>0</v>
      </c>
      <c r="V214" s="154">
        <v>0</v>
      </c>
      <c r="W214" s="154"/>
      <c r="X214" s="154">
        <v>0</v>
      </c>
      <c r="Y214" s="154"/>
      <c r="Z214" s="154"/>
      <c r="AA214" s="154">
        <v>1</v>
      </c>
      <c r="AB214" s="162" t="s">
        <v>422</v>
      </c>
    </row>
    <row r="215" s="112" customFormat="1" spans="1:28">
      <c r="A215" s="160">
        <v>50000055</v>
      </c>
      <c r="B215" s="162" t="s">
        <v>423</v>
      </c>
      <c r="C215" s="155">
        <v>-1</v>
      </c>
      <c r="D215" s="154" t="s">
        <v>424</v>
      </c>
      <c r="E215" s="154">
        <v>98</v>
      </c>
      <c r="F215" s="154">
        <v>98</v>
      </c>
      <c r="G215" s="154">
        <v>0</v>
      </c>
      <c r="H215" s="154">
        <v>0</v>
      </c>
      <c r="I215" s="154">
        <v>0</v>
      </c>
      <c r="J215" s="154">
        <v>1</v>
      </c>
      <c r="K215" s="154">
        <v>1</v>
      </c>
      <c r="L215" s="154">
        <v>100</v>
      </c>
      <c r="M215" s="154">
        <v>3</v>
      </c>
      <c r="N215" s="154"/>
      <c r="O215" s="154"/>
      <c r="P215" s="154"/>
      <c r="Q215" s="154">
        <v>0</v>
      </c>
      <c r="R215" s="154">
        <v>0</v>
      </c>
      <c r="S215" s="154">
        <v>2</v>
      </c>
      <c r="T215" s="154">
        <v>1</v>
      </c>
      <c r="U215" s="154">
        <v>0</v>
      </c>
      <c r="V215" s="154">
        <v>0</v>
      </c>
      <c r="W215" s="154"/>
      <c r="X215" s="154">
        <v>0</v>
      </c>
      <c r="Y215" s="154"/>
      <c r="Z215" s="154"/>
      <c r="AA215" s="154">
        <v>1</v>
      </c>
      <c r="AB215" s="162" t="s">
        <v>422</v>
      </c>
    </row>
    <row r="216" s="112" customFormat="1" spans="1:28">
      <c r="A216" s="160">
        <v>50000056</v>
      </c>
      <c r="B216" s="162" t="s">
        <v>425</v>
      </c>
      <c r="C216" s="155">
        <v>-1</v>
      </c>
      <c r="D216" s="154" t="s">
        <v>426</v>
      </c>
      <c r="E216" s="154">
        <v>168</v>
      </c>
      <c r="F216" s="154">
        <v>168</v>
      </c>
      <c r="G216" s="154">
        <v>0</v>
      </c>
      <c r="H216" s="154">
        <v>0</v>
      </c>
      <c r="I216" s="154">
        <v>0</v>
      </c>
      <c r="J216" s="154">
        <v>1</v>
      </c>
      <c r="K216" s="154">
        <v>2</v>
      </c>
      <c r="L216" s="154">
        <v>100</v>
      </c>
      <c r="M216" s="154">
        <v>3</v>
      </c>
      <c r="N216" s="154"/>
      <c r="O216" s="154"/>
      <c r="P216" s="154"/>
      <c r="Q216" s="154">
        <v>0</v>
      </c>
      <c r="R216" s="154">
        <v>0</v>
      </c>
      <c r="S216" s="154">
        <v>2</v>
      </c>
      <c r="T216" s="154">
        <v>1</v>
      </c>
      <c r="U216" s="154">
        <v>0</v>
      </c>
      <c r="V216" s="154">
        <v>0</v>
      </c>
      <c r="W216" s="154"/>
      <c r="X216" s="154">
        <v>0</v>
      </c>
      <c r="Y216" s="154"/>
      <c r="Z216" s="154"/>
      <c r="AA216" s="154">
        <v>1</v>
      </c>
      <c r="AB216" s="162" t="s">
        <v>422</v>
      </c>
    </row>
    <row r="217" s="112" customFormat="1" spans="1:28">
      <c r="A217" s="160">
        <v>50000057</v>
      </c>
      <c r="B217" s="162" t="s">
        <v>427</v>
      </c>
      <c r="C217" s="155">
        <v>-1</v>
      </c>
      <c r="D217" s="154" t="s">
        <v>428</v>
      </c>
      <c r="E217" s="154">
        <v>328</v>
      </c>
      <c r="F217" s="154">
        <v>328</v>
      </c>
      <c r="G217" s="154">
        <v>0</v>
      </c>
      <c r="H217" s="154">
        <v>0</v>
      </c>
      <c r="I217" s="154">
        <v>0</v>
      </c>
      <c r="J217" s="154">
        <v>1</v>
      </c>
      <c r="K217" s="154">
        <v>5</v>
      </c>
      <c r="L217" s="154">
        <v>100</v>
      </c>
      <c r="M217" s="154">
        <v>3</v>
      </c>
      <c r="N217" s="154"/>
      <c r="O217" s="154"/>
      <c r="P217" s="154"/>
      <c r="Q217" s="154">
        <v>0</v>
      </c>
      <c r="R217" s="154">
        <v>0</v>
      </c>
      <c r="S217" s="154">
        <v>2</v>
      </c>
      <c r="T217" s="154">
        <v>1</v>
      </c>
      <c r="U217" s="154">
        <v>0</v>
      </c>
      <c r="V217" s="154">
        <v>0</v>
      </c>
      <c r="W217" s="154"/>
      <c r="X217" s="154">
        <v>0</v>
      </c>
      <c r="Y217" s="154"/>
      <c r="Z217" s="154"/>
      <c r="AA217" s="154">
        <v>1</v>
      </c>
      <c r="AB217" s="162" t="s">
        <v>422</v>
      </c>
    </row>
    <row r="218" s="113" customFormat="1" spans="1:28">
      <c r="A218" s="163">
        <v>50000058</v>
      </c>
      <c r="B218" s="164" t="s">
        <v>429</v>
      </c>
      <c r="C218" s="155">
        <v>-1</v>
      </c>
      <c r="D218" s="113" t="s">
        <v>430</v>
      </c>
      <c r="E218" s="113">
        <v>30</v>
      </c>
      <c r="F218" s="113">
        <v>30</v>
      </c>
      <c r="G218" s="113">
        <v>0</v>
      </c>
      <c r="H218" s="113">
        <v>0</v>
      </c>
      <c r="I218" s="113">
        <v>0</v>
      </c>
      <c r="J218" s="113">
        <v>1</v>
      </c>
      <c r="K218" s="113">
        <v>1</v>
      </c>
      <c r="L218" s="113">
        <v>100</v>
      </c>
      <c r="M218" s="113">
        <v>3</v>
      </c>
      <c r="Q218" s="113">
        <v>0</v>
      </c>
      <c r="R218" s="113">
        <v>0</v>
      </c>
      <c r="S218" s="113">
        <v>2</v>
      </c>
      <c r="T218" s="113">
        <v>1</v>
      </c>
      <c r="U218" s="113">
        <v>0</v>
      </c>
      <c r="V218" s="113">
        <v>0</v>
      </c>
      <c r="X218" s="113">
        <v>0</v>
      </c>
      <c r="AA218" s="113">
        <v>1</v>
      </c>
      <c r="AB218" s="164" t="s">
        <v>431</v>
      </c>
    </row>
    <row r="219" s="113" customFormat="1" spans="1:28">
      <c r="A219" s="163">
        <v>50000059</v>
      </c>
      <c r="B219" s="164" t="s">
        <v>432</v>
      </c>
      <c r="C219" s="155">
        <v>-1</v>
      </c>
      <c r="D219" s="113" t="s">
        <v>433</v>
      </c>
      <c r="E219" s="113">
        <v>98</v>
      </c>
      <c r="F219" s="113">
        <v>98</v>
      </c>
      <c r="G219" s="113">
        <v>0</v>
      </c>
      <c r="H219" s="113">
        <v>0</v>
      </c>
      <c r="I219" s="113">
        <v>0</v>
      </c>
      <c r="J219" s="113">
        <v>1</v>
      </c>
      <c r="K219" s="113">
        <v>1</v>
      </c>
      <c r="L219" s="113">
        <v>100</v>
      </c>
      <c r="M219" s="113">
        <v>3</v>
      </c>
      <c r="Q219" s="113">
        <v>0</v>
      </c>
      <c r="R219" s="113">
        <v>0</v>
      </c>
      <c r="S219" s="113">
        <v>2</v>
      </c>
      <c r="T219" s="113">
        <v>1</v>
      </c>
      <c r="U219" s="113">
        <v>0</v>
      </c>
      <c r="V219" s="113">
        <v>0</v>
      </c>
      <c r="X219" s="113">
        <v>0</v>
      </c>
      <c r="AA219" s="113">
        <v>1</v>
      </c>
      <c r="AB219" s="164" t="s">
        <v>431</v>
      </c>
    </row>
    <row r="220" s="113" customFormat="1" spans="1:28">
      <c r="A220" s="163">
        <v>50000060</v>
      </c>
      <c r="B220" s="164" t="s">
        <v>434</v>
      </c>
      <c r="C220" s="155">
        <v>-1</v>
      </c>
      <c r="D220" s="113" t="s">
        <v>435</v>
      </c>
      <c r="E220" s="113">
        <v>328</v>
      </c>
      <c r="F220" s="113">
        <v>328</v>
      </c>
      <c r="G220" s="113">
        <v>0</v>
      </c>
      <c r="H220" s="113">
        <v>0</v>
      </c>
      <c r="I220" s="113">
        <v>0</v>
      </c>
      <c r="J220" s="113">
        <v>1</v>
      </c>
      <c r="K220" s="113">
        <v>1</v>
      </c>
      <c r="L220" s="113">
        <v>100</v>
      </c>
      <c r="M220" s="113">
        <v>3</v>
      </c>
      <c r="Q220" s="113">
        <v>0</v>
      </c>
      <c r="R220" s="113">
        <v>0</v>
      </c>
      <c r="S220" s="113">
        <v>2</v>
      </c>
      <c r="T220" s="113">
        <v>1</v>
      </c>
      <c r="U220" s="113">
        <v>0</v>
      </c>
      <c r="V220" s="113">
        <v>0</v>
      </c>
      <c r="X220" s="113">
        <v>0</v>
      </c>
      <c r="AA220" s="113">
        <v>1</v>
      </c>
      <c r="AB220" s="164" t="s">
        <v>431</v>
      </c>
    </row>
    <row r="221" s="113" customFormat="1" spans="1:28">
      <c r="A221" s="163">
        <v>50000061</v>
      </c>
      <c r="B221" s="164" t="s">
        <v>436</v>
      </c>
      <c r="C221" s="155">
        <v>-1</v>
      </c>
      <c r="D221" s="113" t="s">
        <v>437</v>
      </c>
      <c r="E221" s="113">
        <v>1000</v>
      </c>
      <c r="F221" s="113">
        <v>1000</v>
      </c>
      <c r="G221" s="113">
        <v>0</v>
      </c>
      <c r="H221" s="113">
        <v>0</v>
      </c>
      <c r="I221" s="113">
        <v>0</v>
      </c>
      <c r="J221" s="113">
        <v>1</v>
      </c>
      <c r="K221" s="113">
        <v>1</v>
      </c>
      <c r="L221" s="113">
        <v>100</v>
      </c>
      <c r="M221" s="113">
        <v>3</v>
      </c>
      <c r="Q221" s="113">
        <v>0</v>
      </c>
      <c r="R221" s="113">
        <v>0</v>
      </c>
      <c r="S221" s="113">
        <v>2</v>
      </c>
      <c r="T221" s="113">
        <v>1</v>
      </c>
      <c r="U221" s="113">
        <v>0</v>
      </c>
      <c r="V221" s="113">
        <v>0</v>
      </c>
      <c r="X221" s="113">
        <v>0</v>
      </c>
      <c r="AA221" s="113">
        <v>1</v>
      </c>
      <c r="AB221" s="164" t="s">
        <v>431</v>
      </c>
    </row>
    <row r="222" s="114" customFormat="1" spans="1:28">
      <c r="A222" s="165">
        <v>50000062</v>
      </c>
      <c r="B222" s="166" t="s">
        <v>438</v>
      </c>
      <c r="C222" s="167">
        <v>-1</v>
      </c>
      <c r="D222" s="114" t="s">
        <v>439</v>
      </c>
      <c r="E222" s="114">
        <v>6</v>
      </c>
      <c r="F222" s="114">
        <v>6</v>
      </c>
      <c r="G222" s="114">
        <v>0</v>
      </c>
      <c r="H222" s="114">
        <v>0</v>
      </c>
      <c r="I222" s="114">
        <v>0</v>
      </c>
      <c r="J222" s="114">
        <v>1</v>
      </c>
      <c r="K222" s="114">
        <v>1</v>
      </c>
      <c r="L222" s="114">
        <v>100</v>
      </c>
      <c r="M222" s="114">
        <v>3</v>
      </c>
      <c r="Q222" s="114">
        <v>0</v>
      </c>
      <c r="R222" s="114">
        <v>0</v>
      </c>
      <c r="S222" s="114">
        <v>2</v>
      </c>
      <c r="T222" s="114">
        <v>1</v>
      </c>
      <c r="U222" s="114">
        <v>0</v>
      </c>
      <c r="V222" s="114">
        <v>0</v>
      </c>
      <c r="X222" s="114">
        <v>0</v>
      </c>
      <c r="AA222" s="114">
        <v>1</v>
      </c>
      <c r="AB222" s="166" t="s">
        <v>440</v>
      </c>
    </row>
    <row r="223" s="114" customFormat="1" spans="1:28">
      <c r="A223" s="165">
        <v>50000063</v>
      </c>
      <c r="B223" s="166" t="s">
        <v>441</v>
      </c>
      <c r="C223" s="167">
        <v>-1</v>
      </c>
      <c r="D223" s="114" t="s">
        <v>442</v>
      </c>
      <c r="E223" s="114">
        <v>30</v>
      </c>
      <c r="F223" s="114">
        <v>30</v>
      </c>
      <c r="G223" s="114">
        <v>0</v>
      </c>
      <c r="H223" s="114">
        <v>0</v>
      </c>
      <c r="I223" s="114">
        <v>0</v>
      </c>
      <c r="J223" s="114">
        <v>1</v>
      </c>
      <c r="K223" s="114">
        <v>1</v>
      </c>
      <c r="L223" s="114">
        <v>100</v>
      </c>
      <c r="M223" s="114">
        <v>3</v>
      </c>
      <c r="Q223" s="114">
        <v>0</v>
      </c>
      <c r="R223" s="114">
        <v>0</v>
      </c>
      <c r="S223" s="114">
        <v>2</v>
      </c>
      <c r="T223" s="114">
        <v>1</v>
      </c>
      <c r="U223" s="114">
        <v>0</v>
      </c>
      <c r="V223" s="114">
        <v>0</v>
      </c>
      <c r="X223" s="114">
        <v>0</v>
      </c>
      <c r="AA223" s="114">
        <v>1</v>
      </c>
      <c r="AB223" s="166" t="s">
        <v>440</v>
      </c>
    </row>
    <row r="224" s="114" customFormat="1" spans="1:28">
      <c r="A224" s="165">
        <v>50000064</v>
      </c>
      <c r="B224" s="166" t="s">
        <v>443</v>
      </c>
      <c r="C224" s="167">
        <v>-1</v>
      </c>
      <c r="D224" s="114" t="s">
        <v>444</v>
      </c>
      <c r="E224" s="114">
        <v>128</v>
      </c>
      <c r="F224" s="114">
        <v>128</v>
      </c>
      <c r="G224" s="114">
        <v>0</v>
      </c>
      <c r="H224" s="114">
        <v>0</v>
      </c>
      <c r="I224" s="114">
        <v>0</v>
      </c>
      <c r="J224" s="114">
        <v>1</v>
      </c>
      <c r="K224" s="114">
        <v>1</v>
      </c>
      <c r="L224" s="114">
        <v>100</v>
      </c>
      <c r="M224" s="114">
        <v>3</v>
      </c>
      <c r="Q224" s="114">
        <v>0</v>
      </c>
      <c r="R224" s="114">
        <v>0</v>
      </c>
      <c r="S224" s="114">
        <v>2</v>
      </c>
      <c r="T224" s="114">
        <v>1</v>
      </c>
      <c r="U224" s="114">
        <v>0</v>
      </c>
      <c r="V224" s="114">
        <v>0</v>
      </c>
      <c r="X224" s="114">
        <v>0</v>
      </c>
      <c r="AA224" s="114">
        <v>1</v>
      </c>
      <c r="AB224" s="166" t="s">
        <v>440</v>
      </c>
    </row>
    <row r="225" s="114" customFormat="1" spans="1:28">
      <c r="A225" s="165">
        <v>50000065</v>
      </c>
      <c r="B225" s="166" t="s">
        <v>445</v>
      </c>
      <c r="C225" s="167">
        <v>-1</v>
      </c>
      <c r="D225" s="114" t="s">
        <v>446</v>
      </c>
      <c r="E225" s="114">
        <v>198</v>
      </c>
      <c r="F225" s="114">
        <v>198</v>
      </c>
      <c r="G225" s="114">
        <v>0</v>
      </c>
      <c r="H225" s="114">
        <v>0</v>
      </c>
      <c r="I225" s="114">
        <v>0</v>
      </c>
      <c r="J225" s="114">
        <v>1</v>
      </c>
      <c r="K225" s="114">
        <v>1</v>
      </c>
      <c r="L225" s="114">
        <v>100</v>
      </c>
      <c r="M225" s="114">
        <v>3</v>
      </c>
      <c r="Q225" s="114">
        <v>0</v>
      </c>
      <c r="R225" s="114">
        <v>0</v>
      </c>
      <c r="S225" s="114">
        <v>2</v>
      </c>
      <c r="T225" s="114">
        <v>1</v>
      </c>
      <c r="U225" s="114">
        <v>0</v>
      </c>
      <c r="V225" s="114">
        <v>0</v>
      </c>
      <c r="X225" s="114">
        <v>0</v>
      </c>
      <c r="AA225" s="114">
        <v>1</v>
      </c>
      <c r="AB225" s="166" t="s">
        <v>440</v>
      </c>
    </row>
    <row r="226" s="115" customFormat="1" spans="1:28">
      <c r="A226" s="168">
        <v>50000066</v>
      </c>
      <c r="B226" s="169" t="s">
        <v>447</v>
      </c>
      <c r="C226" s="170">
        <v>-1</v>
      </c>
      <c r="D226" s="115" t="s">
        <v>448</v>
      </c>
      <c r="E226" s="115">
        <v>128</v>
      </c>
      <c r="F226" s="115">
        <v>128</v>
      </c>
      <c r="G226" s="115">
        <v>0</v>
      </c>
      <c r="H226" s="115">
        <v>0</v>
      </c>
      <c r="I226" s="115">
        <v>0</v>
      </c>
      <c r="J226" s="115">
        <v>1</v>
      </c>
      <c r="K226" s="115">
        <v>2</v>
      </c>
      <c r="L226" s="115">
        <v>100</v>
      </c>
      <c r="M226" s="115">
        <v>3</v>
      </c>
      <c r="Q226" s="115">
        <v>0</v>
      </c>
      <c r="R226" s="115">
        <v>0</v>
      </c>
      <c r="S226" s="115">
        <v>2</v>
      </c>
      <c r="T226" s="115">
        <v>1</v>
      </c>
      <c r="U226" s="115">
        <v>0</v>
      </c>
      <c r="V226" s="115">
        <v>0</v>
      </c>
      <c r="X226" s="115">
        <v>0</v>
      </c>
      <c r="AA226" s="115">
        <v>1</v>
      </c>
      <c r="AB226" s="169" t="s">
        <v>449</v>
      </c>
    </row>
    <row r="227" s="115" customFormat="1" spans="1:28">
      <c r="A227" s="168">
        <v>50000067</v>
      </c>
      <c r="B227" s="169" t="s">
        <v>450</v>
      </c>
      <c r="C227" s="170">
        <v>-1</v>
      </c>
      <c r="D227" s="115" t="s">
        <v>451</v>
      </c>
      <c r="E227" s="115">
        <v>128</v>
      </c>
      <c r="F227" s="115">
        <v>128</v>
      </c>
      <c r="G227" s="115">
        <v>0</v>
      </c>
      <c r="H227" s="115">
        <v>0</v>
      </c>
      <c r="I227" s="115">
        <v>0</v>
      </c>
      <c r="J227" s="115">
        <v>1</v>
      </c>
      <c r="K227" s="115">
        <v>2</v>
      </c>
      <c r="L227" s="115">
        <v>100</v>
      </c>
      <c r="M227" s="115">
        <v>3</v>
      </c>
      <c r="Q227" s="115">
        <v>0</v>
      </c>
      <c r="R227" s="115">
        <v>0</v>
      </c>
      <c r="S227" s="115">
        <v>2</v>
      </c>
      <c r="T227" s="115">
        <v>1</v>
      </c>
      <c r="U227" s="115">
        <v>0</v>
      </c>
      <c r="V227" s="115">
        <v>0</v>
      </c>
      <c r="X227" s="115">
        <v>0</v>
      </c>
      <c r="AA227" s="115">
        <v>1</v>
      </c>
      <c r="AB227" s="169" t="s">
        <v>449</v>
      </c>
    </row>
    <row r="228" s="115" customFormat="1" spans="1:28">
      <c r="A228" s="168">
        <v>50000068</v>
      </c>
      <c r="B228" s="169" t="s">
        <v>452</v>
      </c>
      <c r="C228" s="170">
        <v>-1</v>
      </c>
      <c r="D228" s="115" t="s">
        <v>453</v>
      </c>
      <c r="E228" s="115">
        <v>198</v>
      </c>
      <c r="F228" s="115">
        <v>198</v>
      </c>
      <c r="G228" s="115">
        <v>0</v>
      </c>
      <c r="H228" s="115">
        <v>0</v>
      </c>
      <c r="I228" s="115">
        <v>0</v>
      </c>
      <c r="J228" s="115">
        <v>1</v>
      </c>
      <c r="K228" s="115">
        <v>2</v>
      </c>
      <c r="L228" s="115">
        <v>100</v>
      </c>
      <c r="M228" s="115">
        <v>3</v>
      </c>
      <c r="Q228" s="115">
        <v>0</v>
      </c>
      <c r="R228" s="115">
        <v>0</v>
      </c>
      <c r="S228" s="115">
        <v>2</v>
      </c>
      <c r="T228" s="115">
        <v>1</v>
      </c>
      <c r="U228" s="115">
        <v>0</v>
      </c>
      <c r="V228" s="115">
        <v>0</v>
      </c>
      <c r="X228" s="115">
        <v>0</v>
      </c>
      <c r="AA228" s="115">
        <v>1</v>
      </c>
      <c r="AB228" s="169" t="s">
        <v>449</v>
      </c>
    </row>
    <row r="229" s="116" customFormat="1" spans="1:28">
      <c r="A229" s="171">
        <v>50000069</v>
      </c>
      <c r="B229" s="172" t="s">
        <v>454</v>
      </c>
      <c r="C229" s="173">
        <v>-1</v>
      </c>
      <c r="D229" s="116" t="s">
        <v>455</v>
      </c>
      <c r="E229" s="116">
        <v>6</v>
      </c>
      <c r="F229" s="116">
        <v>6</v>
      </c>
      <c r="G229" s="116">
        <v>0</v>
      </c>
      <c r="H229" s="116">
        <v>0</v>
      </c>
      <c r="I229" s="116">
        <v>1</v>
      </c>
      <c r="J229" s="116">
        <v>1</v>
      </c>
      <c r="K229" s="116">
        <v>1</v>
      </c>
      <c r="L229" s="116">
        <v>100</v>
      </c>
      <c r="M229" s="116">
        <v>3</v>
      </c>
      <c r="Q229" s="116">
        <v>0</v>
      </c>
      <c r="R229" s="116">
        <v>0</v>
      </c>
      <c r="S229" s="116">
        <v>2</v>
      </c>
      <c r="T229" s="116">
        <v>1</v>
      </c>
      <c r="U229" s="116">
        <v>0</v>
      </c>
      <c r="V229" s="116">
        <v>0</v>
      </c>
      <c r="X229" s="116">
        <v>0</v>
      </c>
      <c r="AA229" s="116">
        <v>1</v>
      </c>
      <c r="AB229" s="172" t="s">
        <v>456</v>
      </c>
    </row>
    <row r="230" s="116" customFormat="1" spans="1:28">
      <c r="A230" s="171">
        <v>50000070</v>
      </c>
      <c r="B230" s="172" t="s">
        <v>457</v>
      </c>
      <c r="C230" s="173">
        <v>-1</v>
      </c>
      <c r="D230" s="116" t="s">
        <v>458</v>
      </c>
      <c r="E230" s="116">
        <v>68</v>
      </c>
      <c r="F230" s="116">
        <v>68</v>
      </c>
      <c r="G230" s="116">
        <v>0</v>
      </c>
      <c r="H230" s="116">
        <v>0</v>
      </c>
      <c r="I230" s="116">
        <v>0</v>
      </c>
      <c r="J230" s="116">
        <v>1</v>
      </c>
      <c r="K230" s="116">
        <v>5</v>
      </c>
      <c r="L230" s="116">
        <v>100</v>
      </c>
      <c r="M230" s="116">
        <v>3</v>
      </c>
      <c r="Q230" s="116">
        <v>0</v>
      </c>
      <c r="R230" s="116">
        <v>0</v>
      </c>
      <c r="S230" s="116">
        <v>2</v>
      </c>
      <c r="T230" s="116">
        <v>1</v>
      </c>
      <c r="U230" s="116">
        <v>0</v>
      </c>
      <c r="V230" s="116">
        <v>0</v>
      </c>
      <c r="X230" s="116">
        <v>0</v>
      </c>
      <c r="AA230" s="116">
        <v>1</v>
      </c>
      <c r="AB230" s="172" t="s">
        <v>456</v>
      </c>
    </row>
    <row r="231" s="116" customFormat="1" spans="1:28">
      <c r="A231" s="171">
        <v>50000071</v>
      </c>
      <c r="B231" s="172" t="s">
        <v>459</v>
      </c>
      <c r="C231" s="173">
        <v>-1</v>
      </c>
      <c r="D231" s="116" t="s">
        <v>460</v>
      </c>
      <c r="E231" s="116">
        <v>648</v>
      </c>
      <c r="F231" s="116">
        <v>648</v>
      </c>
      <c r="G231" s="116">
        <v>0</v>
      </c>
      <c r="H231" s="116">
        <v>0</v>
      </c>
      <c r="I231" s="116">
        <v>0</v>
      </c>
      <c r="J231" s="116">
        <v>1</v>
      </c>
      <c r="K231" s="116">
        <v>5</v>
      </c>
      <c r="L231" s="116">
        <v>100</v>
      </c>
      <c r="M231" s="116">
        <v>3</v>
      </c>
      <c r="Q231" s="116">
        <v>0</v>
      </c>
      <c r="R231" s="116">
        <v>0</v>
      </c>
      <c r="S231" s="116">
        <v>2</v>
      </c>
      <c r="T231" s="116">
        <v>1</v>
      </c>
      <c r="U231" s="116">
        <v>0</v>
      </c>
      <c r="V231" s="116">
        <v>0</v>
      </c>
      <c r="X231" s="116">
        <v>0</v>
      </c>
      <c r="AA231" s="116">
        <v>1</v>
      </c>
      <c r="AB231" s="172" t="s">
        <v>456</v>
      </c>
    </row>
    <row r="232" s="113" customFormat="1" spans="1:28">
      <c r="A232" s="163">
        <v>50000072</v>
      </c>
      <c r="B232" s="164" t="s">
        <v>461</v>
      </c>
      <c r="C232" s="174">
        <v>-1</v>
      </c>
      <c r="D232" s="113" t="s">
        <v>462</v>
      </c>
      <c r="E232" s="113">
        <v>6</v>
      </c>
      <c r="F232" s="113">
        <v>6</v>
      </c>
      <c r="G232" s="113">
        <v>0</v>
      </c>
      <c r="H232" s="113">
        <v>0</v>
      </c>
      <c r="I232" s="113">
        <v>0</v>
      </c>
      <c r="J232" s="113">
        <v>1</v>
      </c>
      <c r="K232" s="113">
        <v>1</v>
      </c>
      <c r="L232" s="113">
        <v>100</v>
      </c>
      <c r="M232" s="113">
        <v>3</v>
      </c>
      <c r="Q232" s="113">
        <v>0</v>
      </c>
      <c r="R232" s="113">
        <v>0</v>
      </c>
      <c r="S232" s="113">
        <v>2</v>
      </c>
      <c r="T232" s="113">
        <v>1</v>
      </c>
      <c r="U232" s="113">
        <v>0</v>
      </c>
      <c r="V232" s="113">
        <v>0</v>
      </c>
      <c r="X232" s="113">
        <v>0</v>
      </c>
      <c r="AA232" s="113">
        <v>1</v>
      </c>
      <c r="AB232" s="164" t="s">
        <v>463</v>
      </c>
    </row>
    <row r="233" s="113" customFormat="1" spans="1:28">
      <c r="A233" s="163">
        <v>50000073</v>
      </c>
      <c r="B233" s="164" t="s">
        <v>464</v>
      </c>
      <c r="C233" s="174">
        <v>-1</v>
      </c>
      <c r="D233" s="113" t="s">
        <v>465</v>
      </c>
      <c r="E233" s="113">
        <v>98</v>
      </c>
      <c r="F233" s="113">
        <v>98</v>
      </c>
      <c r="G233" s="113">
        <v>0</v>
      </c>
      <c r="H233" s="113">
        <v>0</v>
      </c>
      <c r="I233" s="113">
        <v>0</v>
      </c>
      <c r="J233" s="113">
        <v>1</v>
      </c>
      <c r="K233" s="113">
        <v>2</v>
      </c>
      <c r="L233" s="113">
        <v>100</v>
      </c>
      <c r="M233" s="113">
        <v>3</v>
      </c>
      <c r="Q233" s="113">
        <v>0</v>
      </c>
      <c r="R233" s="113">
        <v>0</v>
      </c>
      <c r="S233" s="113">
        <v>2</v>
      </c>
      <c r="T233" s="113">
        <v>1</v>
      </c>
      <c r="U233" s="113">
        <v>0</v>
      </c>
      <c r="V233" s="113">
        <v>0</v>
      </c>
      <c r="X233" s="113">
        <v>0</v>
      </c>
      <c r="AA233" s="113">
        <v>1</v>
      </c>
      <c r="AB233" s="164" t="s">
        <v>463</v>
      </c>
    </row>
    <row r="234" s="113" customFormat="1" spans="1:28">
      <c r="A234" s="163">
        <v>50000074</v>
      </c>
      <c r="B234" s="164" t="s">
        <v>466</v>
      </c>
      <c r="C234" s="174">
        <v>-1</v>
      </c>
      <c r="D234" s="113" t="s">
        <v>467</v>
      </c>
      <c r="E234" s="113">
        <v>98</v>
      </c>
      <c r="F234" s="113">
        <v>98</v>
      </c>
      <c r="G234" s="113">
        <v>0</v>
      </c>
      <c r="H234" s="113">
        <v>0</v>
      </c>
      <c r="I234" s="113">
        <v>0</v>
      </c>
      <c r="J234" s="113">
        <v>1</v>
      </c>
      <c r="K234" s="113">
        <v>4</v>
      </c>
      <c r="L234" s="113">
        <v>100</v>
      </c>
      <c r="M234" s="113">
        <v>3</v>
      </c>
      <c r="Q234" s="113">
        <v>0</v>
      </c>
      <c r="R234" s="113">
        <v>0</v>
      </c>
      <c r="S234" s="113">
        <v>2</v>
      </c>
      <c r="T234" s="113">
        <v>1</v>
      </c>
      <c r="U234" s="113">
        <v>0</v>
      </c>
      <c r="V234" s="113">
        <v>0</v>
      </c>
      <c r="X234" s="113">
        <v>0</v>
      </c>
      <c r="AA234" s="113">
        <v>1</v>
      </c>
      <c r="AB234" s="164" t="s">
        <v>463</v>
      </c>
    </row>
    <row r="235" s="113" customFormat="1" spans="1:28">
      <c r="A235" s="163">
        <v>50000075</v>
      </c>
      <c r="B235" s="164" t="s">
        <v>468</v>
      </c>
      <c r="C235" s="174">
        <v>-1</v>
      </c>
      <c r="D235" s="113" t="s">
        <v>469</v>
      </c>
      <c r="E235" s="113">
        <v>328</v>
      </c>
      <c r="F235" s="113">
        <v>328</v>
      </c>
      <c r="G235" s="113">
        <v>0</v>
      </c>
      <c r="H235" s="113">
        <v>0</v>
      </c>
      <c r="I235" s="113">
        <v>0</v>
      </c>
      <c r="J235" s="113">
        <v>1</v>
      </c>
      <c r="K235" s="113">
        <v>4</v>
      </c>
      <c r="L235" s="113">
        <v>100</v>
      </c>
      <c r="M235" s="113">
        <v>3</v>
      </c>
      <c r="Q235" s="113">
        <v>0</v>
      </c>
      <c r="R235" s="113">
        <v>0</v>
      </c>
      <c r="S235" s="113">
        <v>2</v>
      </c>
      <c r="T235" s="113">
        <v>1</v>
      </c>
      <c r="U235" s="113">
        <v>0</v>
      </c>
      <c r="V235" s="113">
        <v>0</v>
      </c>
      <c r="X235" s="113">
        <v>0</v>
      </c>
      <c r="AA235" s="113">
        <v>1</v>
      </c>
      <c r="AB235" s="164" t="s">
        <v>463</v>
      </c>
    </row>
    <row r="236" s="113" customFormat="1" spans="1:28">
      <c r="A236" s="163">
        <v>50000076</v>
      </c>
      <c r="B236" s="164" t="s">
        <v>470</v>
      </c>
      <c r="C236" s="174">
        <v>-1</v>
      </c>
      <c r="D236" s="113" t="s">
        <v>471</v>
      </c>
      <c r="E236" s="113">
        <v>328</v>
      </c>
      <c r="F236" s="113">
        <v>328</v>
      </c>
      <c r="G236" s="113">
        <v>0</v>
      </c>
      <c r="H236" s="113">
        <v>0</v>
      </c>
      <c r="I236" s="113">
        <v>0</v>
      </c>
      <c r="J236" s="113">
        <v>1</v>
      </c>
      <c r="K236" s="113">
        <v>2</v>
      </c>
      <c r="L236" s="113">
        <v>100</v>
      </c>
      <c r="M236" s="113">
        <v>3</v>
      </c>
      <c r="Q236" s="113">
        <v>0</v>
      </c>
      <c r="R236" s="113">
        <v>0</v>
      </c>
      <c r="S236" s="113">
        <v>2</v>
      </c>
      <c r="T236" s="113">
        <v>1</v>
      </c>
      <c r="U236" s="113">
        <v>0</v>
      </c>
      <c r="V236" s="113">
        <v>0</v>
      </c>
      <c r="X236" s="113">
        <v>0</v>
      </c>
      <c r="AA236" s="113">
        <v>1</v>
      </c>
      <c r="AB236" s="164" t="s">
        <v>463</v>
      </c>
    </row>
    <row r="237" s="113" customFormat="1" spans="1:28">
      <c r="A237" s="175">
        <v>50000077</v>
      </c>
      <c r="B237" s="176" t="s">
        <v>472</v>
      </c>
      <c r="C237" s="177">
        <v>-1</v>
      </c>
      <c r="D237" s="178" t="s">
        <v>473</v>
      </c>
      <c r="E237" s="178">
        <v>328</v>
      </c>
      <c r="F237" s="178">
        <v>328</v>
      </c>
      <c r="G237" s="178">
        <v>0</v>
      </c>
      <c r="H237" s="178">
        <v>0</v>
      </c>
      <c r="I237" s="178">
        <v>0</v>
      </c>
      <c r="J237" s="178">
        <v>1</v>
      </c>
      <c r="K237" s="178">
        <v>5</v>
      </c>
      <c r="L237" s="178">
        <v>100</v>
      </c>
      <c r="M237" s="178">
        <v>3</v>
      </c>
      <c r="N237" s="178"/>
      <c r="O237" s="178"/>
      <c r="P237" s="178"/>
      <c r="Q237" s="178">
        <v>0</v>
      </c>
      <c r="R237" s="178">
        <v>0</v>
      </c>
      <c r="S237" s="178">
        <v>2</v>
      </c>
      <c r="T237" s="178">
        <v>1</v>
      </c>
      <c r="U237" s="178">
        <v>0</v>
      </c>
      <c r="V237" s="178">
        <v>0</v>
      </c>
      <c r="W237" s="178"/>
      <c r="X237" s="178">
        <v>0</v>
      </c>
      <c r="Y237" s="178"/>
      <c r="Z237" s="178"/>
      <c r="AA237" s="178">
        <v>1</v>
      </c>
      <c r="AB237" s="176" t="s">
        <v>463</v>
      </c>
    </row>
    <row r="238" s="113" customFormat="1" spans="1:28">
      <c r="A238" s="175">
        <v>50000078</v>
      </c>
      <c r="B238" s="176" t="s">
        <v>474</v>
      </c>
      <c r="C238" s="177">
        <v>-1</v>
      </c>
      <c r="D238" s="178" t="s">
        <v>475</v>
      </c>
      <c r="E238" s="178">
        <v>198</v>
      </c>
      <c r="F238" s="178">
        <v>198</v>
      </c>
      <c r="G238" s="178">
        <v>0</v>
      </c>
      <c r="H238" s="178">
        <v>0</v>
      </c>
      <c r="I238" s="178">
        <v>0</v>
      </c>
      <c r="J238" s="178">
        <v>1</v>
      </c>
      <c r="K238" s="178">
        <v>10</v>
      </c>
      <c r="L238" s="178">
        <v>100</v>
      </c>
      <c r="M238" s="178">
        <v>3</v>
      </c>
      <c r="N238" s="178"/>
      <c r="O238" s="178"/>
      <c r="P238" s="178"/>
      <c r="Q238" s="178">
        <v>0</v>
      </c>
      <c r="R238" s="178">
        <v>0</v>
      </c>
      <c r="S238" s="178">
        <v>2</v>
      </c>
      <c r="T238" s="178">
        <v>1</v>
      </c>
      <c r="U238" s="178">
        <v>0</v>
      </c>
      <c r="V238" s="178">
        <v>0</v>
      </c>
      <c r="W238" s="178"/>
      <c r="X238" s="178">
        <v>0</v>
      </c>
      <c r="Y238" s="178"/>
      <c r="Z238" s="178"/>
      <c r="AA238" s="178">
        <v>1</v>
      </c>
      <c r="AB238" s="176" t="s">
        <v>463</v>
      </c>
    </row>
    <row r="239" s="113" customFormat="1" spans="1:28">
      <c r="A239" s="175">
        <v>50000079</v>
      </c>
      <c r="B239" s="176" t="s">
        <v>476</v>
      </c>
      <c r="C239" s="177">
        <v>-1</v>
      </c>
      <c r="D239" s="178" t="s">
        <v>477</v>
      </c>
      <c r="E239" s="178">
        <v>648</v>
      </c>
      <c r="F239" s="178">
        <v>648</v>
      </c>
      <c r="G239" s="178">
        <v>0</v>
      </c>
      <c r="H239" s="178">
        <v>0</v>
      </c>
      <c r="I239" s="178">
        <v>0</v>
      </c>
      <c r="J239" s="178">
        <v>1</v>
      </c>
      <c r="K239" s="178">
        <v>10</v>
      </c>
      <c r="L239" s="178">
        <v>100</v>
      </c>
      <c r="M239" s="178">
        <v>3</v>
      </c>
      <c r="N239" s="178"/>
      <c r="O239" s="178"/>
      <c r="P239" s="178"/>
      <c r="Q239" s="178">
        <v>0</v>
      </c>
      <c r="R239" s="178">
        <v>0</v>
      </c>
      <c r="S239" s="178">
        <v>2</v>
      </c>
      <c r="T239" s="178">
        <v>1</v>
      </c>
      <c r="U239" s="178">
        <v>0</v>
      </c>
      <c r="V239" s="178">
        <v>0</v>
      </c>
      <c r="W239" s="178"/>
      <c r="X239" s="178">
        <v>0</v>
      </c>
      <c r="Y239" s="178"/>
      <c r="Z239" s="178"/>
      <c r="AA239" s="178">
        <v>1</v>
      </c>
      <c r="AB239" s="176" t="s">
        <v>463</v>
      </c>
    </row>
    <row r="240" s="113" customFormat="1" spans="1:28">
      <c r="A240" s="175">
        <v>50000080</v>
      </c>
      <c r="B240" s="176" t="s">
        <v>478</v>
      </c>
      <c r="C240" s="177">
        <v>-1</v>
      </c>
      <c r="D240" s="178" t="s">
        <v>479</v>
      </c>
      <c r="E240" s="178">
        <v>328</v>
      </c>
      <c r="F240" s="178">
        <v>328</v>
      </c>
      <c r="G240" s="178">
        <v>0</v>
      </c>
      <c r="H240" s="178">
        <v>0</v>
      </c>
      <c r="I240" s="178">
        <v>0</v>
      </c>
      <c r="J240" s="178">
        <v>1</v>
      </c>
      <c r="K240" s="178">
        <v>10</v>
      </c>
      <c r="L240" s="178">
        <v>100</v>
      </c>
      <c r="M240" s="178">
        <v>3</v>
      </c>
      <c r="N240" s="178"/>
      <c r="O240" s="178"/>
      <c r="P240" s="178"/>
      <c r="Q240" s="178">
        <v>0</v>
      </c>
      <c r="R240" s="178">
        <v>0</v>
      </c>
      <c r="S240" s="178">
        <v>2</v>
      </c>
      <c r="T240" s="178">
        <v>1</v>
      </c>
      <c r="U240" s="178">
        <v>0</v>
      </c>
      <c r="V240" s="178">
        <v>0</v>
      </c>
      <c r="W240" s="178"/>
      <c r="X240" s="178">
        <v>0</v>
      </c>
      <c r="Y240" s="178"/>
      <c r="Z240" s="178"/>
      <c r="AA240" s="178">
        <v>1</v>
      </c>
      <c r="AB240" s="176" t="s">
        <v>463</v>
      </c>
    </row>
    <row r="241" s="113" customFormat="1" spans="1:28">
      <c r="A241" s="175">
        <v>50000081</v>
      </c>
      <c r="B241" s="176" t="s">
        <v>480</v>
      </c>
      <c r="C241" s="177">
        <v>-1</v>
      </c>
      <c r="D241" s="178" t="s">
        <v>481</v>
      </c>
      <c r="E241" s="178">
        <v>328</v>
      </c>
      <c r="F241" s="178">
        <v>328</v>
      </c>
      <c r="G241" s="178">
        <v>0</v>
      </c>
      <c r="H241" s="178">
        <v>0</v>
      </c>
      <c r="I241" s="178">
        <v>0</v>
      </c>
      <c r="J241" s="178">
        <v>1</v>
      </c>
      <c r="K241" s="178">
        <v>5</v>
      </c>
      <c r="L241" s="178">
        <v>100</v>
      </c>
      <c r="M241" s="178">
        <v>3</v>
      </c>
      <c r="N241" s="178"/>
      <c r="O241" s="178"/>
      <c r="P241" s="178"/>
      <c r="Q241" s="178">
        <v>0</v>
      </c>
      <c r="R241" s="178">
        <v>0</v>
      </c>
      <c r="S241" s="178">
        <v>2</v>
      </c>
      <c r="T241" s="178">
        <v>1</v>
      </c>
      <c r="U241" s="178">
        <v>0</v>
      </c>
      <c r="V241" s="178">
        <v>0</v>
      </c>
      <c r="W241" s="178"/>
      <c r="X241" s="178">
        <v>0</v>
      </c>
      <c r="Y241" s="178"/>
      <c r="Z241" s="178"/>
      <c r="AA241" s="178">
        <v>1</v>
      </c>
      <c r="AB241" s="176" t="s">
        <v>463</v>
      </c>
    </row>
    <row r="242" s="112" customFormat="1" spans="1:28">
      <c r="A242" s="112">
        <v>9900001</v>
      </c>
      <c r="B242" s="112" t="s">
        <v>482</v>
      </c>
      <c r="C242" s="112">
        <v>-1</v>
      </c>
      <c r="D242" s="112" t="s">
        <v>483</v>
      </c>
      <c r="E242" s="112">
        <v>0</v>
      </c>
      <c r="F242" s="112">
        <v>0</v>
      </c>
      <c r="G242" s="112">
        <v>1</v>
      </c>
      <c r="H242" s="112">
        <v>0</v>
      </c>
      <c r="I242" s="112">
        <v>0</v>
      </c>
      <c r="J242" s="112">
        <v>1</v>
      </c>
      <c r="K242" s="112">
        <v>1</v>
      </c>
      <c r="L242" s="112">
        <v>100</v>
      </c>
      <c r="M242" s="112">
        <v>2</v>
      </c>
      <c r="Q242" s="112">
        <v>0</v>
      </c>
      <c r="R242" s="112">
        <v>0</v>
      </c>
      <c r="T242" s="112">
        <v>6</v>
      </c>
      <c r="U242" s="112">
        <v>0</v>
      </c>
      <c r="V242" s="112">
        <v>0</v>
      </c>
      <c r="W242" s="94"/>
      <c r="X242" s="94">
        <v>1</v>
      </c>
      <c r="AA242" s="94">
        <v>1</v>
      </c>
      <c r="AB242" s="112" t="s">
        <v>482</v>
      </c>
    </row>
    <row r="243" s="112" customFormat="1" spans="1:28">
      <c r="A243" s="112">
        <v>9900002</v>
      </c>
      <c r="B243" s="112" t="s">
        <v>484</v>
      </c>
      <c r="C243" s="112">
        <v>-1</v>
      </c>
      <c r="D243" s="112" t="s">
        <v>485</v>
      </c>
      <c r="E243" s="112">
        <v>12</v>
      </c>
      <c r="F243" s="112">
        <v>12</v>
      </c>
      <c r="G243" s="112">
        <v>0</v>
      </c>
      <c r="H243" s="112">
        <v>0</v>
      </c>
      <c r="I243" s="112">
        <v>0</v>
      </c>
      <c r="J243" s="112">
        <v>1</v>
      </c>
      <c r="K243" s="112">
        <v>1</v>
      </c>
      <c r="L243" s="112">
        <v>100</v>
      </c>
      <c r="M243" s="112">
        <v>2</v>
      </c>
      <c r="Q243" s="112">
        <v>0</v>
      </c>
      <c r="R243" s="112">
        <v>0</v>
      </c>
      <c r="T243" s="112">
        <v>6</v>
      </c>
      <c r="U243" s="112">
        <v>0</v>
      </c>
      <c r="V243" s="112">
        <v>0</v>
      </c>
      <c r="W243" s="94"/>
      <c r="X243" s="94">
        <v>1</v>
      </c>
      <c r="AA243" s="94">
        <v>1</v>
      </c>
      <c r="AB243" s="112" t="s">
        <v>484</v>
      </c>
    </row>
    <row r="244" s="112" customFormat="1" spans="1:28">
      <c r="A244" s="112">
        <v>9900003</v>
      </c>
      <c r="B244" s="112" t="s">
        <v>486</v>
      </c>
      <c r="C244" s="112">
        <v>-1</v>
      </c>
      <c r="D244" s="112" t="s">
        <v>487</v>
      </c>
      <c r="E244" s="112">
        <v>30</v>
      </c>
      <c r="F244" s="112">
        <v>30</v>
      </c>
      <c r="G244" s="112">
        <v>0</v>
      </c>
      <c r="H244" s="112">
        <v>0</v>
      </c>
      <c r="I244" s="112">
        <v>0</v>
      </c>
      <c r="J244" s="112">
        <v>1</v>
      </c>
      <c r="K244" s="112">
        <v>1</v>
      </c>
      <c r="L244" s="112">
        <v>100</v>
      </c>
      <c r="M244" s="112">
        <v>2</v>
      </c>
      <c r="Q244" s="112">
        <v>0</v>
      </c>
      <c r="R244" s="112">
        <v>0</v>
      </c>
      <c r="T244" s="112">
        <v>6</v>
      </c>
      <c r="U244" s="112">
        <v>0</v>
      </c>
      <c r="V244" s="112">
        <v>0</v>
      </c>
      <c r="W244" s="94"/>
      <c r="X244" s="94">
        <v>1</v>
      </c>
      <c r="AA244" s="94">
        <v>1</v>
      </c>
      <c r="AB244" s="112" t="s">
        <v>486</v>
      </c>
    </row>
    <row r="245" s="112" customFormat="1" spans="1:28">
      <c r="A245" s="112">
        <v>9900004</v>
      </c>
      <c r="B245" s="112" t="s">
        <v>488</v>
      </c>
      <c r="C245" s="112">
        <v>-1</v>
      </c>
      <c r="D245" s="112" t="s">
        <v>489</v>
      </c>
      <c r="E245" s="112">
        <v>50</v>
      </c>
      <c r="F245" s="112">
        <v>50</v>
      </c>
      <c r="G245" s="112">
        <v>0</v>
      </c>
      <c r="H245" s="112">
        <v>0</v>
      </c>
      <c r="I245" s="112">
        <v>0</v>
      </c>
      <c r="J245" s="112">
        <v>1</v>
      </c>
      <c r="K245" s="112">
        <v>1</v>
      </c>
      <c r="L245" s="112">
        <v>100</v>
      </c>
      <c r="M245" s="112">
        <v>2</v>
      </c>
      <c r="Q245" s="112">
        <v>0</v>
      </c>
      <c r="R245" s="112">
        <v>0</v>
      </c>
      <c r="T245" s="112">
        <v>6</v>
      </c>
      <c r="U245" s="112">
        <v>0</v>
      </c>
      <c r="V245" s="112">
        <v>0</v>
      </c>
      <c r="W245" s="94"/>
      <c r="X245" s="94">
        <v>1</v>
      </c>
      <c r="AA245" s="94">
        <v>1</v>
      </c>
      <c r="AB245" s="112" t="s">
        <v>488</v>
      </c>
    </row>
    <row r="246" spans="1:28">
      <c r="A246" s="112">
        <v>9900101</v>
      </c>
      <c r="B246" s="94" t="s">
        <v>490</v>
      </c>
      <c r="C246" s="94">
        <v>-1</v>
      </c>
      <c r="D246" s="94" t="s">
        <v>491</v>
      </c>
      <c r="E246" s="94">
        <v>0</v>
      </c>
      <c r="F246" s="94">
        <v>0</v>
      </c>
      <c r="G246" s="94">
        <v>1</v>
      </c>
      <c r="H246" s="94">
        <v>0</v>
      </c>
      <c r="I246" s="94">
        <v>0</v>
      </c>
      <c r="J246" s="94">
        <v>1</v>
      </c>
      <c r="K246" s="94">
        <v>1</v>
      </c>
      <c r="L246" s="94">
        <v>100</v>
      </c>
      <c r="M246" s="94">
        <v>2</v>
      </c>
      <c r="Q246" s="94">
        <v>0</v>
      </c>
      <c r="R246" s="94">
        <v>0</v>
      </c>
      <c r="S246" s="94">
        <v>2</v>
      </c>
      <c r="T246" s="94">
        <v>7</v>
      </c>
      <c r="U246" s="94">
        <v>0</v>
      </c>
      <c r="V246" s="94">
        <v>0</v>
      </c>
      <c r="X246" s="94">
        <v>2</v>
      </c>
      <c r="AA246" s="94">
        <v>1</v>
      </c>
      <c r="AB246" s="94" t="s">
        <v>492</v>
      </c>
    </row>
    <row r="247" spans="1:28">
      <c r="A247" s="112">
        <v>9900102</v>
      </c>
      <c r="B247" s="94" t="s">
        <v>493</v>
      </c>
      <c r="C247" s="94">
        <v>-1</v>
      </c>
      <c r="D247" s="94" t="s">
        <v>494</v>
      </c>
      <c r="E247" s="94">
        <v>66</v>
      </c>
      <c r="F247" s="94">
        <v>66</v>
      </c>
      <c r="G247" s="94">
        <v>1</v>
      </c>
      <c r="H247" s="94">
        <v>0</v>
      </c>
      <c r="I247" s="94">
        <v>0</v>
      </c>
      <c r="J247" s="94">
        <v>1</v>
      </c>
      <c r="K247" s="94">
        <v>1</v>
      </c>
      <c r="L247" s="94">
        <v>100</v>
      </c>
      <c r="M247" s="94">
        <v>2</v>
      </c>
      <c r="Q247" s="94">
        <v>0</v>
      </c>
      <c r="R247" s="94">
        <v>0</v>
      </c>
      <c r="S247" s="94">
        <v>2</v>
      </c>
      <c r="T247" s="94">
        <v>7</v>
      </c>
      <c r="U247" s="94">
        <v>0</v>
      </c>
      <c r="V247" s="94">
        <v>0</v>
      </c>
      <c r="X247" s="94">
        <v>2</v>
      </c>
      <c r="AA247" s="94">
        <v>1</v>
      </c>
      <c r="AB247" s="94" t="s">
        <v>495</v>
      </c>
    </row>
    <row r="248" spans="1:28">
      <c r="A248" s="112">
        <v>9900103</v>
      </c>
      <c r="B248" s="94" t="s">
        <v>496</v>
      </c>
      <c r="C248" s="94">
        <v>-1</v>
      </c>
      <c r="D248" s="94" t="s">
        <v>497</v>
      </c>
      <c r="E248" s="94">
        <v>666</v>
      </c>
      <c r="F248" s="94">
        <v>666</v>
      </c>
      <c r="G248" s="94">
        <v>1</v>
      </c>
      <c r="H248" s="94">
        <v>0</v>
      </c>
      <c r="I248" s="94">
        <v>0</v>
      </c>
      <c r="J248" s="94">
        <v>1</v>
      </c>
      <c r="K248" s="94">
        <v>1</v>
      </c>
      <c r="L248" s="94">
        <v>100</v>
      </c>
      <c r="M248" s="94">
        <v>2</v>
      </c>
      <c r="Q248" s="94">
        <v>0</v>
      </c>
      <c r="R248" s="94">
        <v>0</v>
      </c>
      <c r="S248" s="94">
        <v>2</v>
      </c>
      <c r="T248" s="94">
        <v>7</v>
      </c>
      <c r="U248" s="94">
        <v>0</v>
      </c>
      <c r="V248" s="94">
        <v>0</v>
      </c>
      <c r="X248" s="94">
        <v>2</v>
      </c>
      <c r="AA248" s="94">
        <v>1</v>
      </c>
      <c r="AB248" s="94" t="s">
        <v>498</v>
      </c>
    </row>
    <row r="249" spans="1:28">
      <c r="A249" s="112">
        <v>9900104</v>
      </c>
      <c r="B249" s="94" t="s">
        <v>499</v>
      </c>
      <c r="C249" s="94">
        <v>-1</v>
      </c>
      <c r="D249" s="94" t="s">
        <v>500</v>
      </c>
      <c r="E249" s="94">
        <v>6666</v>
      </c>
      <c r="F249" s="94">
        <v>6666</v>
      </c>
      <c r="G249" s="94">
        <v>1</v>
      </c>
      <c r="H249" s="94">
        <v>0</v>
      </c>
      <c r="I249" s="94">
        <v>0</v>
      </c>
      <c r="J249" s="94">
        <v>1</v>
      </c>
      <c r="K249" s="94">
        <v>1</v>
      </c>
      <c r="L249" s="94">
        <v>100</v>
      </c>
      <c r="M249" s="94">
        <v>2</v>
      </c>
      <c r="Q249" s="94">
        <v>0</v>
      </c>
      <c r="R249" s="94">
        <v>0</v>
      </c>
      <c r="S249" s="94">
        <v>2</v>
      </c>
      <c r="T249" s="94">
        <v>7</v>
      </c>
      <c r="U249" s="94">
        <v>0</v>
      </c>
      <c r="V249" s="94">
        <v>0</v>
      </c>
      <c r="X249" s="94">
        <v>2</v>
      </c>
      <c r="AA249" s="94">
        <v>1</v>
      </c>
      <c r="AB249" s="94" t="s">
        <v>501</v>
      </c>
    </row>
    <row r="250" spans="1:28">
      <c r="A250" s="112">
        <v>9900105</v>
      </c>
      <c r="B250" s="94" t="s">
        <v>502</v>
      </c>
      <c r="C250" s="94">
        <v>-1</v>
      </c>
      <c r="D250" s="94" t="s">
        <v>503</v>
      </c>
      <c r="E250" s="94">
        <v>6</v>
      </c>
      <c r="F250" s="94">
        <v>6</v>
      </c>
      <c r="G250" s="94">
        <v>0</v>
      </c>
      <c r="H250" s="94">
        <v>0</v>
      </c>
      <c r="I250" s="94">
        <v>0</v>
      </c>
      <c r="J250" s="94">
        <v>1</v>
      </c>
      <c r="K250" s="94">
        <v>1</v>
      </c>
      <c r="L250" s="94">
        <v>100</v>
      </c>
      <c r="M250" s="94">
        <v>2</v>
      </c>
      <c r="Q250" s="94">
        <v>0</v>
      </c>
      <c r="R250" s="94">
        <v>0</v>
      </c>
      <c r="S250" s="94">
        <v>2</v>
      </c>
      <c r="T250" s="94">
        <v>7</v>
      </c>
      <c r="U250" s="94">
        <v>0</v>
      </c>
      <c r="V250" s="94">
        <v>0</v>
      </c>
      <c r="X250" s="94">
        <v>2</v>
      </c>
      <c r="AA250" s="94">
        <v>1</v>
      </c>
      <c r="AB250" s="94" t="s">
        <v>504</v>
      </c>
    </row>
    <row r="251" spans="1:28">
      <c r="A251" s="112">
        <v>9900106</v>
      </c>
      <c r="B251" s="94" t="s">
        <v>505</v>
      </c>
      <c r="C251" s="94">
        <v>-1</v>
      </c>
      <c r="D251" s="94" t="s">
        <v>506</v>
      </c>
      <c r="E251" s="94">
        <v>30</v>
      </c>
      <c r="F251" s="94">
        <v>30</v>
      </c>
      <c r="G251" s="94">
        <v>0</v>
      </c>
      <c r="H251" s="94">
        <v>0</v>
      </c>
      <c r="I251" s="94">
        <v>0</v>
      </c>
      <c r="J251" s="94">
        <v>1</v>
      </c>
      <c r="K251" s="94">
        <v>1</v>
      </c>
      <c r="L251" s="94">
        <v>100</v>
      </c>
      <c r="M251" s="94">
        <v>2</v>
      </c>
      <c r="Q251" s="94">
        <v>0</v>
      </c>
      <c r="R251" s="94">
        <v>0</v>
      </c>
      <c r="S251" s="94">
        <v>2</v>
      </c>
      <c r="T251" s="94">
        <v>7</v>
      </c>
      <c r="U251" s="94">
        <v>0</v>
      </c>
      <c r="V251" s="94">
        <v>0</v>
      </c>
      <c r="X251" s="94">
        <v>2</v>
      </c>
      <c r="AA251" s="94">
        <v>1</v>
      </c>
      <c r="AB251" s="94" t="s">
        <v>507</v>
      </c>
    </row>
    <row r="252" spans="1:28">
      <c r="A252" s="112">
        <v>9900107</v>
      </c>
      <c r="B252" s="94" t="s">
        <v>508</v>
      </c>
      <c r="C252" s="94">
        <v>-1</v>
      </c>
      <c r="D252" s="94" t="s">
        <v>509</v>
      </c>
      <c r="E252" s="94">
        <v>98</v>
      </c>
      <c r="F252" s="94">
        <v>98</v>
      </c>
      <c r="G252" s="94">
        <v>0</v>
      </c>
      <c r="H252" s="94">
        <v>0</v>
      </c>
      <c r="I252" s="94">
        <v>0</v>
      </c>
      <c r="J252" s="94">
        <v>1</v>
      </c>
      <c r="K252" s="94">
        <v>1</v>
      </c>
      <c r="L252" s="94">
        <v>100</v>
      </c>
      <c r="M252" s="94">
        <v>2</v>
      </c>
      <c r="Q252" s="94">
        <v>0</v>
      </c>
      <c r="R252" s="94">
        <v>0</v>
      </c>
      <c r="S252" s="94">
        <v>2</v>
      </c>
      <c r="T252" s="94">
        <v>7</v>
      </c>
      <c r="U252" s="94">
        <v>0</v>
      </c>
      <c r="V252" s="94">
        <v>0</v>
      </c>
      <c r="X252" s="94">
        <v>2</v>
      </c>
      <c r="AA252" s="94">
        <v>1</v>
      </c>
      <c r="AB252" s="94" t="s">
        <v>510</v>
      </c>
    </row>
    <row r="253" spans="1:28">
      <c r="A253" s="112">
        <v>9900108</v>
      </c>
      <c r="B253" s="94" t="s">
        <v>511</v>
      </c>
      <c r="C253" s="94">
        <v>-1</v>
      </c>
      <c r="D253" s="94" t="s">
        <v>512</v>
      </c>
      <c r="E253" s="94">
        <v>198</v>
      </c>
      <c r="F253" s="94">
        <v>198</v>
      </c>
      <c r="G253" s="94">
        <v>0</v>
      </c>
      <c r="H253" s="94">
        <v>0</v>
      </c>
      <c r="I253" s="94">
        <v>0</v>
      </c>
      <c r="J253" s="94">
        <v>1</v>
      </c>
      <c r="K253" s="94">
        <v>1</v>
      </c>
      <c r="L253" s="94">
        <v>100</v>
      </c>
      <c r="M253" s="94">
        <v>2</v>
      </c>
      <c r="Q253" s="94">
        <v>0</v>
      </c>
      <c r="R253" s="94">
        <v>0</v>
      </c>
      <c r="S253" s="94">
        <v>2</v>
      </c>
      <c r="T253" s="94">
        <v>7</v>
      </c>
      <c r="U253" s="94">
        <v>0</v>
      </c>
      <c r="V253" s="94">
        <v>0</v>
      </c>
      <c r="X253" s="94">
        <v>2</v>
      </c>
      <c r="AA253" s="94">
        <v>1</v>
      </c>
      <c r="AB253" s="94" t="s">
        <v>513</v>
      </c>
    </row>
    <row r="254" spans="1:28">
      <c r="A254" s="112">
        <v>9900109</v>
      </c>
      <c r="B254" s="94" t="s">
        <v>514</v>
      </c>
      <c r="C254" s="94">
        <v>-1</v>
      </c>
      <c r="D254" s="94" t="s">
        <v>515</v>
      </c>
      <c r="E254" s="94">
        <v>328</v>
      </c>
      <c r="F254" s="94">
        <v>328</v>
      </c>
      <c r="G254" s="94">
        <v>0</v>
      </c>
      <c r="H254" s="94">
        <v>0</v>
      </c>
      <c r="I254" s="94">
        <v>0</v>
      </c>
      <c r="J254" s="94">
        <v>1</v>
      </c>
      <c r="K254" s="94">
        <v>1</v>
      </c>
      <c r="L254" s="94">
        <v>100</v>
      </c>
      <c r="M254" s="94">
        <v>2</v>
      </c>
      <c r="Q254" s="94">
        <v>0</v>
      </c>
      <c r="R254" s="94">
        <v>0</v>
      </c>
      <c r="S254" s="94">
        <v>2</v>
      </c>
      <c r="T254" s="94">
        <v>7</v>
      </c>
      <c r="U254" s="94">
        <v>0</v>
      </c>
      <c r="V254" s="94">
        <v>0</v>
      </c>
      <c r="X254" s="94">
        <v>2</v>
      </c>
      <c r="AA254" s="94">
        <v>1</v>
      </c>
      <c r="AB254" s="94" t="s">
        <v>516</v>
      </c>
    </row>
    <row r="255" spans="1:28">
      <c r="A255" s="112">
        <v>9900110</v>
      </c>
      <c r="B255" s="94" t="s">
        <v>517</v>
      </c>
      <c r="C255" s="94">
        <v>-1</v>
      </c>
      <c r="D255" s="94" t="s">
        <v>351</v>
      </c>
      <c r="E255" s="94">
        <v>128</v>
      </c>
      <c r="F255" s="94">
        <v>128</v>
      </c>
      <c r="G255" s="94">
        <v>0</v>
      </c>
      <c r="H255" s="94">
        <v>0</v>
      </c>
      <c r="I255" s="94">
        <v>0</v>
      </c>
      <c r="J255" s="94">
        <v>1</v>
      </c>
      <c r="K255" s="94">
        <v>1</v>
      </c>
      <c r="L255" s="94">
        <v>100</v>
      </c>
      <c r="M255" s="94">
        <v>2</v>
      </c>
      <c r="Q255" s="94">
        <v>0</v>
      </c>
      <c r="R255" s="94">
        <v>0</v>
      </c>
      <c r="S255" s="94">
        <v>2</v>
      </c>
      <c r="T255" s="94">
        <v>7</v>
      </c>
      <c r="U255" s="94">
        <v>0</v>
      </c>
      <c r="V255" s="94">
        <v>0</v>
      </c>
      <c r="X255" s="94">
        <v>2</v>
      </c>
      <c r="AA255" s="94">
        <v>1</v>
      </c>
      <c r="AB255" s="94" t="s">
        <v>518</v>
      </c>
    </row>
    <row r="256" spans="1:28">
      <c r="A256" s="112">
        <v>9900111</v>
      </c>
      <c r="B256" s="94" t="s">
        <v>519</v>
      </c>
      <c r="C256" s="94">
        <v>-1</v>
      </c>
      <c r="D256" s="94" t="s">
        <v>520</v>
      </c>
      <c r="E256" s="94">
        <v>68</v>
      </c>
      <c r="F256" s="94">
        <v>68</v>
      </c>
      <c r="G256" s="94">
        <v>0</v>
      </c>
      <c r="H256" s="94">
        <v>0</v>
      </c>
      <c r="I256" s="94">
        <v>0</v>
      </c>
      <c r="J256" s="94">
        <v>0</v>
      </c>
      <c r="K256" s="94">
        <v>999</v>
      </c>
      <c r="L256" s="94">
        <v>100</v>
      </c>
      <c r="M256" s="94">
        <v>2</v>
      </c>
      <c r="Q256" s="94">
        <v>0</v>
      </c>
      <c r="R256" s="94">
        <v>0</v>
      </c>
      <c r="S256" s="94">
        <v>2</v>
      </c>
      <c r="T256" s="94">
        <v>7</v>
      </c>
      <c r="U256" s="94">
        <v>0</v>
      </c>
      <c r="V256" s="94">
        <v>0</v>
      </c>
      <c r="X256" s="94">
        <v>2</v>
      </c>
      <c r="AA256" s="94">
        <v>1</v>
      </c>
      <c r="AB256" s="94" t="s">
        <v>521</v>
      </c>
    </row>
    <row r="257" spans="1:28">
      <c r="A257" s="112">
        <v>9900112</v>
      </c>
      <c r="B257" s="94" t="s">
        <v>522</v>
      </c>
      <c r="C257" s="94">
        <v>-1</v>
      </c>
      <c r="D257" s="94" t="s">
        <v>523</v>
      </c>
      <c r="E257" s="94">
        <v>648</v>
      </c>
      <c r="F257" s="94">
        <v>648</v>
      </c>
      <c r="G257" s="94">
        <v>0</v>
      </c>
      <c r="H257" s="94">
        <v>0</v>
      </c>
      <c r="I257" s="94">
        <v>0</v>
      </c>
      <c r="J257" s="94">
        <v>0</v>
      </c>
      <c r="K257" s="94">
        <v>999</v>
      </c>
      <c r="L257" s="94">
        <v>100</v>
      </c>
      <c r="M257" s="94">
        <v>2</v>
      </c>
      <c r="Q257" s="94">
        <v>0</v>
      </c>
      <c r="R257" s="94">
        <v>0</v>
      </c>
      <c r="S257" s="94">
        <v>2</v>
      </c>
      <c r="T257" s="94">
        <v>7</v>
      </c>
      <c r="U257" s="94">
        <v>0</v>
      </c>
      <c r="V257" s="94">
        <v>0</v>
      </c>
      <c r="X257" s="94">
        <v>2</v>
      </c>
      <c r="AA257" s="94">
        <v>1</v>
      </c>
      <c r="AB257" s="94" t="s">
        <v>524</v>
      </c>
    </row>
    <row r="258" s="94" customFormat="1" spans="1:28">
      <c r="A258" s="112">
        <v>9900113</v>
      </c>
      <c r="B258" s="94" t="s">
        <v>519</v>
      </c>
      <c r="C258" s="94">
        <v>-1</v>
      </c>
      <c r="D258" s="94" t="s">
        <v>520</v>
      </c>
      <c r="E258" s="94">
        <v>68</v>
      </c>
      <c r="F258" s="94">
        <v>68</v>
      </c>
      <c r="G258" s="94">
        <v>0</v>
      </c>
      <c r="H258" s="94">
        <v>0</v>
      </c>
      <c r="I258" s="94">
        <v>0</v>
      </c>
      <c r="J258" s="94">
        <v>0</v>
      </c>
      <c r="K258" s="94">
        <v>999</v>
      </c>
      <c r="L258" s="94">
        <v>100</v>
      </c>
      <c r="M258" s="94">
        <v>2</v>
      </c>
      <c r="Q258" s="94">
        <v>0</v>
      </c>
      <c r="R258" s="94">
        <v>0</v>
      </c>
      <c r="S258" s="94">
        <v>2</v>
      </c>
      <c r="T258" s="94">
        <v>7</v>
      </c>
      <c r="U258" s="94">
        <v>0</v>
      </c>
      <c r="V258" s="94">
        <v>0</v>
      </c>
      <c r="X258" s="94">
        <v>0</v>
      </c>
      <c r="AA258" s="94">
        <v>1</v>
      </c>
      <c r="AB258" s="94" t="s">
        <v>525</v>
      </c>
    </row>
    <row r="259" s="94" customFormat="1" spans="1:28">
      <c r="A259" s="112">
        <v>9900114</v>
      </c>
      <c r="B259" s="94" t="s">
        <v>522</v>
      </c>
      <c r="C259" s="94">
        <v>-1</v>
      </c>
      <c r="D259" s="94" t="s">
        <v>523</v>
      </c>
      <c r="E259" s="94">
        <v>648</v>
      </c>
      <c r="F259" s="94">
        <v>648</v>
      </c>
      <c r="G259" s="94">
        <v>0</v>
      </c>
      <c r="H259" s="94">
        <v>0</v>
      </c>
      <c r="I259" s="94">
        <v>0</v>
      </c>
      <c r="J259" s="94">
        <v>0</v>
      </c>
      <c r="K259" s="94">
        <v>999</v>
      </c>
      <c r="L259" s="94">
        <v>100</v>
      </c>
      <c r="M259" s="94">
        <v>2</v>
      </c>
      <c r="Q259" s="94">
        <v>0</v>
      </c>
      <c r="R259" s="94">
        <v>0</v>
      </c>
      <c r="S259" s="94">
        <v>2</v>
      </c>
      <c r="T259" s="94">
        <v>7</v>
      </c>
      <c r="U259" s="94">
        <v>0</v>
      </c>
      <c r="V259" s="94">
        <v>0</v>
      </c>
      <c r="X259" s="94">
        <v>0</v>
      </c>
      <c r="AA259" s="94">
        <v>1</v>
      </c>
      <c r="AB259" s="94" t="s">
        <v>525</v>
      </c>
    </row>
    <row r="260" s="94" customFormat="1" spans="1:28">
      <c r="A260" s="112">
        <v>9900115</v>
      </c>
      <c r="B260" s="94" t="s">
        <v>490</v>
      </c>
      <c r="C260" s="94">
        <v>-1</v>
      </c>
      <c r="D260" s="94" t="s">
        <v>526</v>
      </c>
      <c r="E260" s="94">
        <v>0</v>
      </c>
      <c r="F260" s="94">
        <v>0</v>
      </c>
      <c r="G260" s="94">
        <v>1</v>
      </c>
      <c r="H260" s="94">
        <v>0</v>
      </c>
      <c r="I260" s="94">
        <v>0</v>
      </c>
      <c r="J260" s="94">
        <v>1</v>
      </c>
      <c r="K260" s="94">
        <v>1</v>
      </c>
      <c r="L260" s="94">
        <v>100</v>
      </c>
      <c r="M260" s="94">
        <v>2</v>
      </c>
      <c r="Q260" s="94">
        <v>0</v>
      </c>
      <c r="R260" s="94">
        <v>0</v>
      </c>
      <c r="S260" s="94">
        <v>1</v>
      </c>
      <c r="T260" s="94">
        <v>7</v>
      </c>
      <c r="U260" s="94">
        <v>0</v>
      </c>
      <c r="V260" s="94">
        <v>0</v>
      </c>
      <c r="X260" s="94">
        <v>0</v>
      </c>
      <c r="AA260" s="94">
        <v>1</v>
      </c>
      <c r="AB260" s="94" t="s">
        <v>527</v>
      </c>
    </row>
    <row r="261" s="94" customFormat="1" spans="1:28">
      <c r="A261" s="112">
        <v>9900116</v>
      </c>
      <c r="B261" s="94" t="s">
        <v>528</v>
      </c>
      <c r="C261" s="94">
        <v>-1</v>
      </c>
      <c r="D261" s="94" t="s">
        <v>494</v>
      </c>
      <c r="E261" s="94">
        <v>66</v>
      </c>
      <c r="F261" s="94">
        <v>66</v>
      </c>
      <c r="G261" s="94">
        <v>1</v>
      </c>
      <c r="H261" s="94">
        <v>0</v>
      </c>
      <c r="I261" s="94">
        <v>0</v>
      </c>
      <c r="J261" s="94">
        <v>1</v>
      </c>
      <c r="K261" s="94">
        <v>1</v>
      </c>
      <c r="L261" s="94">
        <v>100</v>
      </c>
      <c r="M261" s="94">
        <v>2</v>
      </c>
      <c r="Q261" s="94">
        <v>0</v>
      </c>
      <c r="R261" s="94">
        <v>0</v>
      </c>
      <c r="S261" s="94">
        <v>1</v>
      </c>
      <c r="T261" s="94">
        <v>7</v>
      </c>
      <c r="U261" s="94">
        <v>0</v>
      </c>
      <c r="V261" s="94">
        <v>0</v>
      </c>
      <c r="X261" s="94">
        <v>0</v>
      </c>
      <c r="AA261" s="94">
        <v>1</v>
      </c>
      <c r="AB261" s="94" t="s">
        <v>527</v>
      </c>
    </row>
    <row r="262" s="94" customFormat="1" spans="1:28">
      <c r="A262" s="112">
        <v>9900117</v>
      </c>
      <c r="B262" s="94" t="s">
        <v>529</v>
      </c>
      <c r="C262" s="94">
        <v>-1</v>
      </c>
      <c r="D262" s="94" t="s">
        <v>530</v>
      </c>
      <c r="E262" s="94">
        <v>666</v>
      </c>
      <c r="F262" s="94">
        <v>666</v>
      </c>
      <c r="G262" s="94">
        <v>1</v>
      </c>
      <c r="H262" s="94">
        <v>0</v>
      </c>
      <c r="I262" s="94">
        <v>0</v>
      </c>
      <c r="J262" s="94">
        <v>1</v>
      </c>
      <c r="K262" s="94">
        <v>1</v>
      </c>
      <c r="L262" s="94">
        <v>100</v>
      </c>
      <c r="M262" s="94">
        <v>2</v>
      </c>
      <c r="Q262" s="94">
        <v>0</v>
      </c>
      <c r="R262" s="94">
        <v>0</v>
      </c>
      <c r="S262" s="94">
        <v>1</v>
      </c>
      <c r="T262" s="94">
        <v>7</v>
      </c>
      <c r="U262" s="94">
        <v>0</v>
      </c>
      <c r="V262" s="94">
        <v>0</v>
      </c>
      <c r="X262" s="94">
        <v>0</v>
      </c>
      <c r="AA262" s="94">
        <v>1</v>
      </c>
      <c r="AB262" s="94" t="s">
        <v>527</v>
      </c>
    </row>
    <row r="263" s="94" customFormat="1" spans="1:28">
      <c r="A263" s="112">
        <v>9900118</v>
      </c>
      <c r="B263" s="94" t="s">
        <v>531</v>
      </c>
      <c r="C263" s="94">
        <v>-1</v>
      </c>
      <c r="D263" s="94" t="s">
        <v>532</v>
      </c>
      <c r="E263" s="94">
        <v>6666</v>
      </c>
      <c r="F263" s="94">
        <v>6666</v>
      </c>
      <c r="G263" s="94">
        <v>1</v>
      </c>
      <c r="H263" s="94">
        <v>0</v>
      </c>
      <c r="I263" s="94">
        <v>0</v>
      </c>
      <c r="J263" s="94">
        <v>1</v>
      </c>
      <c r="K263" s="94">
        <v>1</v>
      </c>
      <c r="L263" s="94">
        <v>100</v>
      </c>
      <c r="M263" s="94">
        <v>2</v>
      </c>
      <c r="Q263" s="94">
        <v>0</v>
      </c>
      <c r="R263" s="94">
        <v>0</v>
      </c>
      <c r="S263" s="94">
        <v>1</v>
      </c>
      <c r="T263" s="94">
        <v>7</v>
      </c>
      <c r="U263" s="94">
        <v>0</v>
      </c>
      <c r="V263" s="94">
        <v>0</v>
      </c>
      <c r="X263" s="94">
        <v>0</v>
      </c>
      <c r="AA263" s="94">
        <v>1</v>
      </c>
      <c r="AB263" s="94" t="s">
        <v>527</v>
      </c>
    </row>
    <row r="264" s="94" customFormat="1" spans="1:28">
      <c r="A264" s="112">
        <v>9900119</v>
      </c>
      <c r="B264" s="94" t="s">
        <v>533</v>
      </c>
      <c r="C264" s="94">
        <v>-1</v>
      </c>
      <c r="D264" s="94" t="s">
        <v>534</v>
      </c>
      <c r="E264" s="94">
        <v>6</v>
      </c>
      <c r="F264" s="94">
        <v>6</v>
      </c>
      <c r="G264" s="94">
        <v>0</v>
      </c>
      <c r="H264" s="94">
        <v>0</v>
      </c>
      <c r="I264" s="94">
        <v>0</v>
      </c>
      <c r="J264" s="94">
        <v>1</v>
      </c>
      <c r="K264" s="94">
        <v>1</v>
      </c>
      <c r="L264" s="94">
        <v>100</v>
      </c>
      <c r="M264" s="94">
        <v>2</v>
      </c>
      <c r="Q264" s="94">
        <v>0</v>
      </c>
      <c r="R264" s="94">
        <v>0</v>
      </c>
      <c r="S264" s="94">
        <v>1</v>
      </c>
      <c r="T264" s="94">
        <v>7</v>
      </c>
      <c r="U264" s="94">
        <v>0</v>
      </c>
      <c r="V264" s="94">
        <v>0</v>
      </c>
      <c r="X264" s="94">
        <v>0</v>
      </c>
      <c r="AA264" s="94">
        <v>1</v>
      </c>
      <c r="AB264" s="94" t="s">
        <v>527</v>
      </c>
    </row>
    <row r="265" s="94" customFormat="1" spans="1:28">
      <c r="A265" s="112">
        <v>9900120</v>
      </c>
      <c r="B265" s="94" t="s">
        <v>535</v>
      </c>
      <c r="C265" s="94">
        <v>-1</v>
      </c>
      <c r="D265" s="94" t="s">
        <v>536</v>
      </c>
      <c r="E265" s="94">
        <v>30</v>
      </c>
      <c r="F265" s="94">
        <v>30</v>
      </c>
      <c r="G265" s="94">
        <v>0</v>
      </c>
      <c r="H265" s="94">
        <v>0</v>
      </c>
      <c r="I265" s="94">
        <v>0</v>
      </c>
      <c r="J265" s="94">
        <v>1</v>
      </c>
      <c r="K265" s="94">
        <v>1</v>
      </c>
      <c r="L265" s="94">
        <v>100</v>
      </c>
      <c r="M265" s="94">
        <v>2</v>
      </c>
      <c r="Q265" s="94">
        <v>0</v>
      </c>
      <c r="R265" s="94">
        <v>0</v>
      </c>
      <c r="S265" s="94">
        <v>1</v>
      </c>
      <c r="T265" s="94">
        <v>7</v>
      </c>
      <c r="U265" s="94">
        <v>0</v>
      </c>
      <c r="V265" s="94">
        <v>0</v>
      </c>
      <c r="X265" s="94">
        <v>0</v>
      </c>
      <c r="AA265" s="94">
        <v>1</v>
      </c>
      <c r="AB265" s="94" t="s">
        <v>527</v>
      </c>
    </row>
    <row r="266" s="94" customFormat="1" spans="1:28">
      <c r="A266" s="112">
        <v>9900121</v>
      </c>
      <c r="B266" s="94" t="s">
        <v>537</v>
      </c>
      <c r="C266" s="94">
        <v>-1</v>
      </c>
      <c r="D266" s="94" t="s">
        <v>538</v>
      </c>
      <c r="E266" s="94">
        <v>98</v>
      </c>
      <c r="F266" s="94">
        <v>98</v>
      </c>
      <c r="G266" s="94">
        <v>0</v>
      </c>
      <c r="H266" s="94">
        <v>0</v>
      </c>
      <c r="I266" s="94">
        <v>0</v>
      </c>
      <c r="J266" s="94">
        <v>1</v>
      </c>
      <c r="K266" s="94">
        <v>1</v>
      </c>
      <c r="L266" s="94">
        <v>100</v>
      </c>
      <c r="M266" s="94">
        <v>2</v>
      </c>
      <c r="Q266" s="94">
        <v>0</v>
      </c>
      <c r="R266" s="94">
        <v>0</v>
      </c>
      <c r="S266" s="94">
        <v>1</v>
      </c>
      <c r="T266" s="94">
        <v>7</v>
      </c>
      <c r="U266" s="94">
        <v>0</v>
      </c>
      <c r="V266" s="94">
        <v>0</v>
      </c>
      <c r="X266" s="94">
        <v>0</v>
      </c>
      <c r="AA266" s="94">
        <v>1</v>
      </c>
      <c r="AB266" s="94" t="s">
        <v>527</v>
      </c>
    </row>
    <row r="267" s="94" customFormat="1" spans="1:28">
      <c r="A267" s="112">
        <v>9900122</v>
      </c>
      <c r="B267" s="94" t="s">
        <v>539</v>
      </c>
      <c r="C267" s="94">
        <v>-1</v>
      </c>
      <c r="D267" s="94" t="s">
        <v>540</v>
      </c>
      <c r="E267" s="94">
        <v>198</v>
      </c>
      <c r="F267" s="94">
        <v>198</v>
      </c>
      <c r="G267" s="94">
        <v>0</v>
      </c>
      <c r="H267" s="94">
        <v>0</v>
      </c>
      <c r="I267" s="94">
        <v>0</v>
      </c>
      <c r="J267" s="94">
        <v>1</v>
      </c>
      <c r="K267" s="94">
        <v>1</v>
      </c>
      <c r="L267" s="94">
        <v>100</v>
      </c>
      <c r="M267" s="94">
        <v>2</v>
      </c>
      <c r="Q267" s="94">
        <v>0</v>
      </c>
      <c r="R267" s="94">
        <v>0</v>
      </c>
      <c r="S267" s="94">
        <v>1</v>
      </c>
      <c r="T267" s="94">
        <v>7</v>
      </c>
      <c r="U267" s="94">
        <v>0</v>
      </c>
      <c r="V267" s="94">
        <v>0</v>
      </c>
      <c r="X267" s="94">
        <v>0</v>
      </c>
      <c r="AA267" s="94">
        <v>1</v>
      </c>
      <c r="AB267" s="94" t="s">
        <v>527</v>
      </c>
    </row>
    <row r="268" s="94" customFormat="1" spans="1:28">
      <c r="A268" s="112">
        <v>9900123</v>
      </c>
      <c r="B268" s="94" t="s">
        <v>541</v>
      </c>
      <c r="C268" s="94">
        <v>-1</v>
      </c>
      <c r="D268" s="94" t="s">
        <v>542</v>
      </c>
      <c r="E268" s="94">
        <v>328</v>
      </c>
      <c r="F268" s="94">
        <v>328</v>
      </c>
      <c r="G268" s="94">
        <v>0</v>
      </c>
      <c r="H268" s="94">
        <v>0</v>
      </c>
      <c r="I268" s="94">
        <v>0</v>
      </c>
      <c r="J268" s="94">
        <v>1</v>
      </c>
      <c r="K268" s="94">
        <v>1</v>
      </c>
      <c r="L268" s="94">
        <v>100</v>
      </c>
      <c r="M268" s="94">
        <v>2</v>
      </c>
      <c r="Q268" s="94">
        <v>0</v>
      </c>
      <c r="R268" s="94">
        <v>0</v>
      </c>
      <c r="S268" s="94">
        <v>1</v>
      </c>
      <c r="T268" s="94">
        <v>7</v>
      </c>
      <c r="U268" s="94">
        <v>0</v>
      </c>
      <c r="V268" s="94">
        <v>0</v>
      </c>
      <c r="X268" s="94">
        <v>0</v>
      </c>
      <c r="AA268" s="94">
        <v>1</v>
      </c>
      <c r="AB268" s="94" t="s">
        <v>527</v>
      </c>
    </row>
    <row r="269" s="94" customFormat="1" spans="1:28">
      <c r="A269" s="112">
        <v>9900124</v>
      </c>
      <c r="B269" s="94" t="s">
        <v>543</v>
      </c>
      <c r="C269" s="94">
        <v>-1</v>
      </c>
      <c r="D269" s="94" t="s">
        <v>544</v>
      </c>
      <c r="E269" s="94">
        <v>328</v>
      </c>
      <c r="F269" s="94">
        <v>328</v>
      </c>
      <c r="G269" s="94">
        <v>0</v>
      </c>
      <c r="H269" s="94">
        <v>0</v>
      </c>
      <c r="I269" s="94">
        <v>0</v>
      </c>
      <c r="J269" s="94">
        <v>1</v>
      </c>
      <c r="K269" s="94">
        <v>1</v>
      </c>
      <c r="L269" s="94">
        <v>100</v>
      </c>
      <c r="M269" s="94">
        <v>2</v>
      </c>
      <c r="Q269" s="94">
        <v>0</v>
      </c>
      <c r="R269" s="94">
        <v>0</v>
      </c>
      <c r="S269" s="94">
        <v>1</v>
      </c>
      <c r="T269" s="94">
        <v>7</v>
      </c>
      <c r="U269" s="94">
        <v>0</v>
      </c>
      <c r="V269" s="94">
        <v>0</v>
      </c>
      <c r="X269" s="94">
        <v>0</v>
      </c>
      <c r="AA269" s="94">
        <v>1</v>
      </c>
      <c r="AB269" s="94" t="s">
        <v>527</v>
      </c>
    </row>
    <row r="270" s="117" customFormat="1" spans="1:28">
      <c r="A270" s="117">
        <v>80000001</v>
      </c>
      <c r="B270" s="185" t="s">
        <v>545</v>
      </c>
      <c r="C270" s="185">
        <v>-1</v>
      </c>
      <c r="D270" s="117" t="s">
        <v>546</v>
      </c>
      <c r="E270" s="117">
        <v>0</v>
      </c>
      <c r="F270" s="117">
        <v>0</v>
      </c>
      <c r="G270" s="117">
        <v>1</v>
      </c>
      <c r="H270" s="117">
        <v>9</v>
      </c>
      <c r="I270" s="117">
        <v>0</v>
      </c>
      <c r="J270" s="117">
        <v>1</v>
      </c>
      <c r="K270" s="117">
        <v>1</v>
      </c>
      <c r="L270" s="117">
        <v>100</v>
      </c>
      <c r="M270" s="117">
        <v>2</v>
      </c>
      <c r="O270" s="191" t="s">
        <v>547</v>
      </c>
      <c r="P270" s="191" t="s">
        <v>548</v>
      </c>
      <c r="Q270" s="185">
        <v>0</v>
      </c>
      <c r="R270" s="185">
        <v>0</v>
      </c>
      <c r="S270" s="185">
        <v>2</v>
      </c>
      <c r="T270" s="185">
        <v>2</v>
      </c>
      <c r="U270" s="185">
        <v>0</v>
      </c>
      <c r="V270" s="185">
        <v>0</v>
      </c>
      <c r="W270" s="117">
        <v>1</v>
      </c>
      <c r="X270" s="185">
        <v>2</v>
      </c>
      <c r="Y270" s="117" t="s">
        <v>549</v>
      </c>
      <c r="Z270" s="117">
        <v>1</v>
      </c>
      <c r="AA270" s="94">
        <v>1</v>
      </c>
      <c r="AB270" s="117" t="s">
        <v>550</v>
      </c>
    </row>
    <row r="271" s="117" customFormat="1" spans="1:28">
      <c r="A271" s="117">
        <v>80000002</v>
      </c>
      <c r="B271" s="185" t="s">
        <v>551</v>
      </c>
      <c r="C271" s="185">
        <v>-1</v>
      </c>
      <c r="D271" s="117" t="s">
        <v>552</v>
      </c>
      <c r="E271" s="117">
        <v>6</v>
      </c>
      <c r="F271" s="117">
        <v>6</v>
      </c>
      <c r="G271" s="117">
        <v>0</v>
      </c>
      <c r="H271" s="117">
        <v>9</v>
      </c>
      <c r="I271" s="117">
        <v>0</v>
      </c>
      <c r="J271" s="117">
        <v>1</v>
      </c>
      <c r="K271" s="117">
        <v>1</v>
      </c>
      <c r="L271" s="117">
        <v>100</v>
      </c>
      <c r="M271" s="117">
        <v>2</v>
      </c>
      <c r="N271" s="117" t="s">
        <v>553</v>
      </c>
      <c r="O271" s="191" t="s">
        <v>547</v>
      </c>
      <c r="P271" s="191" t="s">
        <v>548</v>
      </c>
      <c r="Q271" s="185">
        <v>0</v>
      </c>
      <c r="R271" s="185">
        <v>0</v>
      </c>
      <c r="S271" s="185">
        <v>2</v>
      </c>
      <c r="T271" s="185">
        <v>2</v>
      </c>
      <c r="U271" s="185">
        <v>0</v>
      </c>
      <c r="V271" s="185">
        <v>0</v>
      </c>
      <c r="W271" s="117">
        <v>2</v>
      </c>
      <c r="X271" s="185">
        <v>2</v>
      </c>
      <c r="Y271" s="117" t="s">
        <v>554</v>
      </c>
      <c r="Z271" s="117">
        <v>1</v>
      </c>
      <c r="AA271" s="94">
        <v>1</v>
      </c>
      <c r="AB271" s="117" t="s">
        <v>550</v>
      </c>
    </row>
    <row r="272" s="117" customFormat="1" spans="1:28">
      <c r="A272" s="117">
        <v>80000003</v>
      </c>
      <c r="B272" s="185" t="s">
        <v>555</v>
      </c>
      <c r="C272" s="185">
        <v>-1</v>
      </c>
      <c r="D272" s="117" t="s">
        <v>556</v>
      </c>
      <c r="E272" s="117">
        <v>30</v>
      </c>
      <c r="F272" s="117">
        <v>30</v>
      </c>
      <c r="G272" s="117">
        <v>0</v>
      </c>
      <c r="H272" s="117">
        <v>9</v>
      </c>
      <c r="I272" s="117">
        <v>0</v>
      </c>
      <c r="J272" s="117">
        <v>1</v>
      </c>
      <c r="K272" s="117">
        <v>2</v>
      </c>
      <c r="L272" s="117">
        <v>100</v>
      </c>
      <c r="M272" s="117">
        <v>2</v>
      </c>
      <c r="N272" s="117" t="s">
        <v>557</v>
      </c>
      <c r="O272" s="191" t="s">
        <v>547</v>
      </c>
      <c r="P272" s="191" t="s">
        <v>548</v>
      </c>
      <c r="Q272" s="185">
        <v>0</v>
      </c>
      <c r="R272" s="185">
        <v>0</v>
      </c>
      <c r="S272" s="185">
        <v>2</v>
      </c>
      <c r="T272" s="185">
        <v>2</v>
      </c>
      <c r="U272" s="185">
        <v>0</v>
      </c>
      <c r="V272" s="185">
        <v>0</v>
      </c>
      <c r="W272" s="117">
        <v>3</v>
      </c>
      <c r="X272" s="185">
        <v>2</v>
      </c>
      <c r="Y272" s="117" t="s">
        <v>558</v>
      </c>
      <c r="Z272" s="117">
        <v>2</v>
      </c>
      <c r="AA272" s="94">
        <v>1</v>
      </c>
      <c r="AB272" s="117" t="s">
        <v>550</v>
      </c>
    </row>
    <row r="273" s="117" customFormat="1" spans="1:28">
      <c r="A273" s="117">
        <v>80000004</v>
      </c>
      <c r="B273" s="185" t="s">
        <v>559</v>
      </c>
      <c r="C273" s="185">
        <v>-1</v>
      </c>
      <c r="D273" s="117" t="s">
        <v>560</v>
      </c>
      <c r="E273" s="117">
        <v>168</v>
      </c>
      <c r="F273" s="117">
        <v>168</v>
      </c>
      <c r="G273" s="117">
        <v>0</v>
      </c>
      <c r="H273" s="117">
        <v>9</v>
      </c>
      <c r="I273" s="117">
        <v>0</v>
      </c>
      <c r="J273" s="117">
        <v>1</v>
      </c>
      <c r="K273" s="117">
        <v>2</v>
      </c>
      <c r="L273" s="117">
        <v>100</v>
      </c>
      <c r="M273" s="117">
        <v>2</v>
      </c>
      <c r="N273" s="117" t="s">
        <v>561</v>
      </c>
      <c r="O273" s="191" t="s">
        <v>547</v>
      </c>
      <c r="P273" s="191" t="s">
        <v>548</v>
      </c>
      <c r="Q273" s="185">
        <v>0</v>
      </c>
      <c r="R273" s="185">
        <v>0</v>
      </c>
      <c r="S273" s="185">
        <v>2</v>
      </c>
      <c r="T273" s="185">
        <v>2</v>
      </c>
      <c r="U273" s="185">
        <v>0</v>
      </c>
      <c r="V273" s="185">
        <v>0</v>
      </c>
      <c r="W273" s="117">
        <v>4</v>
      </c>
      <c r="X273" s="185">
        <v>2</v>
      </c>
      <c r="Y273" s="117" t="s">
        <v>562</v>
      </c>
      <c r="Z273" s="117">
        <v>2</v>
      </c>
      <c r="AA273" s="94">
        <v>1</v>
      </c>
      <c r="AB273" s="117" t="s">
        <v>550</v>
      </c>
    </row>
    <row r="274" s="117" customFormat="1" spans="1:28">
      <c r="A274" s="117">
        <v>80000005</v>
      </c>
      <c r="B274" s="185" t="s">
        <v>563</v>
      </c>
      <c r="C274" s="185">
        <v>-1</v>
      </c>
      <c r="D274" s="117" t="s">
        <v>564</v>
      </c>
      <c r="E274" s="117">
        <v>328</v>
      </c>
      <c r="F274" s="117">
        <v>328</v>
      </c>
      <c r="G274" s="117">
        <v>0</v>
      </c>
      <c r="H274" s="117">
        <v>9</v>
      </c>
      <c r="I274" s="117">
        <v>0</v>
      </c>
      <c r="J274" s="117">
        <v>1</v>
      </c>
      <c r="K274" s="117">
        <v>2</v>
      </c>
      <c r="L274" s="117">
        <v>100</v>
      </c>
      <c r="M274" s="117">
        <v>2</v>
      </c>
      <c r="N274" s="117" t="s">
        <v>565</v>
      </c>
      <c r="O274" s="191" t="s">
        <v>547</v>
      </c>
      <c r="P274" s="191" t="s">
        <v>548</v>
      </c>
      <c r="Q274" s="185">
        <v>0</v>
      </c>
      <c r="R274" s="185">
        <v>0</v>
      </c>
      <c r="S274" s="185">
        <v>2</v>
      </c>
      <c r="T274" s="185">
        <v>2</v>
      </c>
      <c r="U274" s="185">
        <v>0</v>
      </c>
      <c r="V274" s="185">
        <v>0</v>
      </c>
      <c r="W274" s="117">
        <v>5</v>
      </c>
      <c r="X274" s="185">
        <v>2</v>
      </c>
      <c r="Y274" s="117" t="s">
        <v>566</v>
      </c>
      <c r="Z274" s="117">
        <v>1</v>
      </c>
      <c r="AA274" s="94">
        <v>1</v>
      </c>
      <c r="AB274" s="117" t="s">
        <v>550</v>
      </c>
    </row>
    <row r="275" s="117" customFormat="1" spans="1:28">
      <c r="A275" s="117">
        <v>80000006</v>
      </c>
      <c r="B275" s="185" t="s">
        <v>567</v>
      </c>
      <c r="C275" s="185">
        <v>-1</v>
      </c>
      <c r="D275" s="117" t="s">
        <v>568</v>
      </c>
      <c r="E275" s="117">
        <v>648</v>
      </c>
      <c r="F275" s="117">
        <v>648</v>
      </c>
      <c r="G275" s="117">
        <v>0</v>
      </c>
      <c r="H275" s="117">
        <v>9</v>
      </c>
      <c r="I275" s="117">
        <v>0</v>
      </c>
      <c r="J275" s="117">
        <v>1</v>
      </c>
      <c r="K275" s="117">
        <v>2</v>
      </c>
      <c r="L275" s="117">
        <v>100</v>
      </c>
      <c r="M275" s="117">
        <v>2</v>
      </c>
      <c r="N275" s="117" t="s">
        <v>569</v>
      </c>
      <c r="O275" s="191" t="s">
        <v>547</v>
      </c>
      <c r="P275" s="191" t="s">
        <v>548</v>
      </c>
      <c r="Q275" s="185">
        <v>0</v>
      </c>
      <c r="R275" s="185">
        <v>0</v>
      </c>
      <c r="S275" s="185">
        <v>2</v>
      </c>
      <c r="T275" s="185">
        <v>2</v>
      </c>
      <c r="U275" s="185">
        <v>0</v>
      </c>
      <c r="V275" s="185">
        <v>0</v>
      </c>
      <c r="W275" s="117">
        <v>6</v>
      </c>
      <c r="X275" s="185">
        <v>2</v>
      </c>
      <c r="Y275" s="117" t="s">
        <v>570</v>
      </c>
      <c r="Z275" s="117">
        <v>1</v>
      </c>
      <c r="AA275" s="94">
        <v>1</v>
      </c>
      <c r="AB275" s="117" t="s">
        <v>550</v>
      </c>
    </row>
    <row r="276" s="117" customFormat="1" spans="1:28">
      <c r="A276" s="117">
        <v>80000007</v>
      </c>
      <c r="B276" s="185" t="s">
        <v>571</v>
      </c>
      <c r="C276" s="185">
        <v>-1</v>
      </c>
      <c r="D276" s="117" t="s">
        <v>546</v>
      </c>
      <c r="E276" s="117">
        <v>0</v>
      </c>
      <c r="F276" s="117">
        <v>0</v>
      </c>
      <c r="G276" s="117">
        <v>1</v>
      </c>
      <c r="H276" s="117">
        <v>9</v>
      </c>
      <c r="I276" s="117">
        <v>0</v>
      </c>
      <c r="J276" s="117">
        <v>1</v>
      </c>
      <c r="K276" s="117">
        <v>1</v>
      </c>
      <c r="L276" s="117">
        <v>100</v>
      </c>
      <c r="M276" s="117">
        <v>2</v>
      </c>
      <c r="O276" s="191" t="s">
        <v>572</v>
      </c>
      <c r="P276" s="191" t="s">
        <v>573</v>
      </c>
      <c r="Q276" s="185">
        <v>0</v>
      </c>
      <c r="R276" s="185">
        <v>0</v>
      </c>
      <c r="S276" s="185">
        <v>2</v>
      </c>
      <c r="T276" s="185">
        <v>2</v>
      </c>
      <c r="U276" s="185">
        <v>0</v>
      </c>
      <c r="V276" s="185">
        <v>0</v>
      </c>
      <c r="W276" s="117">
        <v>1</v>
      </c>
      <c r="X276" s="185">
        <v>2</v>
      </c>
      <c r="Y276" s="117" t="s">
        <v>574</v>
      </c>
      <c r="Z276" s="117">
        <v>1</v>
      </c>
      <c r="AA276" s="94">
        <v>1</v>
      </c>
      <c r="AB276" s="117" t="s">
        <v>575</v>
      </c>
    </row>
    <row r="277" s="117" customFormat="1" spans="1:28">
      <c r="A277" s="117">
        <v>80000008</v>
      </c>
      <c r="B277" s="185" t="s">
        <v>551</v>
      </c>
      <c r="C277" s="185">
        <v>-1</v>
      </c>
      <c r="D277" s="117" t="s">
        <v>552</v>
      </c>
      <c r="E277" s="117">
        <v>6</v>
      </c>
      <c r="F277" s="117">
        <v>6</v>
      </c>
      <c r="G277" s="117">
        <v>0</v>
      </c>
      <c r="H277" s="117">
        <v>9</v>
      </c>
      <c r="I277" s="117">
        <v>0</v>
      </c>
      <c r="J277" s="117">
        <v>1</v>
      </c>
      <c r="K277" s="117">
        <v>1</v>
      </c>
      <c r="L277" s="117">
        <v>100</v>
      </c>
      <c r="M277" s="117">
        <v>2</v>
      </c>
      <c r="N277" s="117" t="s">
        <v>576</v>
      </c>
      <c r="O277" s="191" t="s">
        <v>572</v>
      </c>
      <c r="P277" s="191" t="s">
        <v>573</v>
      </c>
      <c r="Q277" s="185">
        <v>0</v>
      </c>
      <c r="R277" s="185">
        <v>0</v>
      </c>
      <c r="S277" s="185">
        <v>2</v>
      </c>
      <c r="T277" s="185">
        <v>2</v>
      </c>
      <c r="U277" s="185">
        <v>0</v>
      </c>
      <c r="V277" s="185">
        <v>0</v>
      </c>
      <c r="W277" s="117">
        <v>2</v>
      </c>
      <c r="X277" s="185">
        <v>2</v>
      </c>
      <c r="Y277" s="117" t="s">
        <v>577</v>
      </c>
      <c r="Z277" s="117">
        <v>1</v>
      </c>
      <c r="AA277" s="94">
        <v>1</v>
      </c>
      <c r="AB277" s="117" t="s">
        <v>575</v>
      </c>
    </row>
    <row r="278" s="117" customFormat="1" spans="1:28">
      <c r="A278" s="117">
        <v>80000009</v>
      </c>
      <c r="B278" s="185" t="s">
        <v>555</v>
      </c>
      <c r="C278" s="185">
        <v>-1</v>
      </c>
      <c r="D278" s="117" t="s">
        <v>556</v>
      </c>
      <c r="E278" s="117">
        <v>30</v>
      </c>
      <c r="F278" s="117">
        <v>30</v>
      </c>
      <c r="G278" s="117">
        <v>0</v>
      </c>
      <c r="H278" s="117">
        <v>9</v>
      </c>
      <c r="I278" s="117">
        <v>0</v>
      </c>
      <c r="J278" s="117">
        <v>1</v>
      </c>
      <c r="K278" s="117">
        <v>2</v>
      </c>
      <c r="L278" s="117">
        <v>100</v>
      </c>
      <c r="M278" s="117">
        <v>2</v>
      </c>
      <c r="N278" s="117" t="s">
        <v>578</v>
      </c>
      <c r="O278" s="191" t="s">
        <v>572</v>
      </c>
      <c r="P278" s="191" t="s">
        <v>573</v>
      </c>
      <c r="Q278" s="185">
        <v>0</v>
      </c>
      <c r="R278" s="185">
        <v>0</v>
      </c>
      <c r="S278" s="185">
        <v>2</v>
      </c>
      <c r="T278" s="185">
        <v>2</v>
      </c>
      <c r="U278" s="185">
        <v>0</v>
      </c>
      <c r="V278" s="185">
        <v>0</v>
      </c>
      <c r="W278" s="117">
        <v>3</v>
      </c>
      <c r="X278" s="185">
        <v>2</v>
      </c>
      <c r="Y278" s="117" t="s">
        <v>558</v>
      </c>
      <c r="Z278" s="117">
        <v>2</v>
      </c>
      <c r="AA278" s="94">
        <v>1</v>
      </c>
      <c r="AB278" s="117" t="s">
        <v>575</v>
      </c>
    </row>
    <row r="279" s="117" customFormat="1" spans="1:28">
      <c r="A279" s="117">
        <v>80000010</v>
      </c>
      <c r="B279" s="185" t="s">
        <v>559</v>
      </c>
      <c r="C279" s="185">
        <v>-1</v>
      </c>
      <c r="D279" s="117" t="s">
        <v>560</v>
      </c>
      <c r="E279" s="117">
        <v>168</v>
      </c>
      <c r="F279" s="117">
        <v>168</v>
      </c>
      <c r="G279" s="117">
        <v>0</v>
      </c>
      <c r="H279" s="117">
        <v>9</v>
      </c>
      <c r="I279" s="117">
        <v>0</v>
      </c>
      <c r="J279" s="117">
        <v>1</v>
      </c>
      <c r="K279" s="117">
        <v>2</v>
      </c>
      <c r="L279" s="117">
        <v>100</v>
      </c>
      <c r="M279" s="117">
        <v>2</v>
      </c>
      <c r="N279" s="117" t="s">
        <v>579</v>
      </c>
      <c r="O279" s="191" t="s">
        <v>572</v>
      </c>
      <c r="P279" s="191" t="s">
        <v>573</v>
      </c>
      <c r="Q279" s="185">
        <v>0</v>
      </c>
      <c r="R279" s="185">
        <v>0</v>
      </c>
      <c r="S279" s="185">
        <v>2</v>
      </c>
      <c r="T279" s="185">
        <v>2</v>
      </c>
      <c r="U279" s="185">
        <v>0</v>
      </c>
      <c r="V279" s="185">
        <v>0</v>
      </c>
      <c r="W279" s="117">
        <v>4</v>
      </c>
      <c r="X279" s="185">
        <v>2</v>
      </c>
      <c r="Y279" s="117" t="s">
        <v>562</v>
      </c>
      <c r="Z279" s="117">
        <v>2</v>
      </c>
      <c r="AA279" s="94">
        <v>1</v>
      </c>
      <c r="AB279" s="117" t="s">
        <v>575</v>
      </c>
    </row>
    <row r="280" s="117" customFormat="1" spans="1:28">
      <c r="A280" s="117">
        <v>80000011</v>
      </c>
      <c r="B280" s="185" t="s">
        <v>571</v>
      </c>
      <c r="C280" s="185">
        <v>-1</v>
      </c>
      <c r="D280" s="117" t="s">
        <v>564</v>
      </c>
      <c r="E280" s="117">
        <v>328</v>
      </c>
      <c r="F280" s="117">
        <v>328</v>
      </c>
      <c r="G280" s="117">
        <v>0</v>
      </c>
      <c r="H280" s="117">
        <v>9</v>
      </c>
      <c r="I280" s="117">
        <v>0</v>
      </c>
      <c r="J280" s="117">
        <v>1</v>
      </c>
      <c r="K280" s="117">
        <v>3</v>
      </c>
      <c r="L280" s="117">
        <v>100</v>
      </c>
      <c r="M280" s="117">
        <v>2</v>
      </c>
      <c r="N280" s="117" t="s">
        <v>580</v>
      </c>
      <c r="O280" s="191" t="s">
        <v>572</v>
      </c>
      <c r="P280" s="191" t="s">
        <v>573</v>
      </c>
      <c r="Q280" s="185">
        <v>0</v>
      </c>
      <c r="R280" s="185">
        <v>0</v>
      </c>
      <c r="S280" s="185">
        <v>2</v>
      </c>
      <c r="T280" s="185">
        <v>2</v>
      </c>
      <c r="U280" s="185">
        <v>0</v>
      </c>
      <c r="V280" s="185">
        <v>0</v>
      </c>
      <c r="W280" s="117">
        <v>5</v>
      </c>
      <c r="X280" s="185">
        <v>2</v>
      </c>
      <c r="Y280" s="117" t="s">
        <v>581</v>
      </c>
      <c r="Z280" s="117">
        <v>1</v>
      </c>
      <c r="AA280" s="94">
        <v>1</v>
      </c>
      <c r="AB280" s="117" t="s">
        <v>575</v>
      </c>
    </row>
    <row r="281" s="117" customFormat="1" spans="1:28">
      <c r="A281" s="117">
        <v>80000012</v>
      </c>
      <c r="B281" s="185" t="s">
        <v>571</v>
      </c>
      <c r="C281" s="185">
        <v>-1</v>
      </c>
      <c r="D281" s="117" t="s">
        <v>568</v>
      </c>
      <c r="E281" s="117">
        <v>648</v>
      </c>
      <c r="F281" s="117">
        <v>648</v>
      </c>
      <c r="G281" s="117">
        <v>0</v>
      </c>
      <c r="H281" s="117">
        <v>9</v>
      </c>
      <c r="I281" s="117">
        <v>0</v>
      </c>
      <c r="J281" s="117">
        <v>1</v>
      </c>
      <c r="K281" s="117">
        <v>3</v>
      </c>
      <c r="L281" s="117">
        <v>100</v>
      </c>
      <c r="M281" s="117">
        <v>2</v>
      </c>
      <c r="N281" s="117" t="s">
        <v>582</v>
      </c>
      <c r="O281" s="191" t="s">
        <v>572</v>
      </c>
      <c r="P281" s="191" t="s">
        <v>573</v>
      </c>
      <c r="Q281" s="185">
        <v>0</v>
      </c>
      <c r="R281" s="185">
        <v>0</v>
      </c>
      <c r="S281" s="185">
        <v>2</v>
      </c>
      <c r="T281" s="185">
        <v>2</v>
      </c>
      <c r="U281" s="185">
        <v>0</v>
      </c>
      <c r="V281" s="185">
        <v>0</v>
      </c>
      <c r="W281" s="117">
        <v>6</v>
      </c>
      <c r="X281" s="185">
        <v>2</v>
      </c>
      <c r="Y281" s="117" t="s">
        <v>583</v>
      </c>
      <c r="Z281" s="117">
        <v>1</v>
      </c>
      <c r="AA281" s="94">
        <v>1</v>
      </c>
      <c r="AB281" s="117" t="s">
        <v>575</v>
      </c>
    </row>
    <row r="282" s="117" customFormat="1" spans="1:28">
      <c r="A282" s="117">
        <v>80000013</v>
      </c>
      <c r="B282" s="185" t="s">
        <v>545</v>
      </c>
      <c r="C282" s="185">
        <v>-1</v>
      </c>
      <c r="D282" s="117" t="s">
        <v>546</v>
      </c>
      <c r="E282" s="117">
        <v>0</v>
      </c>
      <c r="F282" s="117">
        <v>0</v>
      </c>
      <c r="G282" s="117">
        <v>1</v>
      </c>
      <c r="H282" s="117">
        <v>9</v>
      </c>
      <c r="I282" s="117">
        <v>0</v>
      </c>
      <c r="J282" s="117">
        <v>1</v>
      </c>
      <c r="K282" s="117">
        <v>1</v>
      </c>
      <c r="L282" s="117">
        <v>100</v>
      </c>
      <c r="M282" s="117">
        <v>2</v>
      </c>
      <c r="O282" s="191" t="s">
        <v>584</v>
      </c>
      <c r="P282" s="191" t="s">
        <v>585</v>
      </c>
      <c r="Q282" s="185">
        <v>0</v>
      </c>
      <c r="R282" s="185">
        <v>0</v>
      </c>
      <c r="S282" s="185">
        <v>2</v>
      </c>
      <c r="T282" s="185">
        <v>2</v>
      </c>
      <c r="U282" s="185">
        <v>0</v>
      </c>
      <c r="V282" s="185">
        <v>0</v>
      </c>
      <c r="W282" s="117">
        <v>1</v>
      </c>
      <c r="X282" s="185">
        <v>2</v>
      </c>
      <c r="Y282" s="117" t="s">
        <v>574</v>
      </c>
      <c r="Z282" s="117">
        <v>1</v>
      </c>
      <c r="AA282" s="94">
        <v>1</v>
      </c>
      <c r="AB282" s="117" t="s">
        <v>586</v>
      </c>
    </row>
    <row r="283" s="117" customFormat="1" spans="1:28">
      <c r="A283" s="117">
        <v>80000014</v>
      </c>
      <c r="B283" s="185" t="s">
        <v>551</v>
      </c>
      <c r="C283" s="185">
        <v>-1</v>
      </c>
      <c r="D283" s="117" t="s">
        <v>552</v>
      </c>
      <c r="E283" s="117">
        <v>6</v>
      </c>
      <c r="F283" s="117">
        <v>6</v>
      </c>
      <c r="G283" s="117">
        <v>0</v>
      </c>
      <c r="H283" s="117">
        <v>9</v>
      </c>
      <c r="I283" s="117">
        <v>0</v>
      </c>
      <c r="J283" s="117">
        <v>1</v>
      </c>
      <c r="K283" s="117">
        <v>1</v>
      </c>
      <c r="L283" s="117">
        <v>100</v>
      </c>
      <c r="M283" s="117">
        <v>2</v>
      </c>
      <c r="N283" s="117" t="s">
        <v>587</v>
      </c>
      <c r="O283" s="191" t="s">
        <v>584</v>
      </c>
      <c r="P283" s="191" t="s">
        <v>585</v>
      </c>
      <c r="Q283" s="185">
        <v>0</v>
      </c>
      <c r="R283" s="185">
        <v>0</v>
      </c>
      <c r="S283" s="185">
        <v>2</v>
      </c>
      <c r="T283" s="185">
        <v>2</v>
      </c>
      <c r="U283" s="185">
        <v>0</v>
      </c>
      <c r="V283" s="185">
        <v>0</v>
      </c>
      <c r="W283" s="117">
        <v>2</v>
      </c>
      <c r="X283" s="185">
        <v>2</v>
      </c>
      <c r="Y283" s="117" t="s">
        <v>577</v>
      </c>
      <c r="Z283" s="117">
        <v>1</v>
      </c>
      <c r="AA283" s="94">
        <v>1</v>
      </c>
      <c r="AB283" s="117" t="s">
        <v>586</v>
      </c>
    </row>
    <row r="284" s="117" customFormat="1" spans="1:28">
      <c r="A284" s="117">
        <v>80000015</v>
      </c>
      <c r="B284" s="185" t="s">
        <v>555</v>
      </c>
      <c r="C284" s="185">
        <v>-1</v>
      </c>
      <c r="D284" s="117" t="s">
        <v>556</v>
      </c>
      <c r="E284" s="117">
        <v>30</v>
      </c>
      <c r="F284" s="117">
        <v>30</v>
      </c>
      <c r="G284" s="117">
        <v>0</v>
      </c>
      <c r="H284" s="117">
        <v>9</v>
      </c>
      <c r="I284" s="117">
        <v>0</v>
      </c>
      <c r="J284" s="117">
        <v>1</v>
      </c>
      <c r="K284" s="117">
        <v>2</v>
      </c>
      <c r="L284" s="117">
        <v>100</v>
      </c>
      <c r="M284" s="117">
        <v>2</v>
      </c>
      <c r="N284" s="117" t="s">
        <v>588</v>
      </c>
      <c r="O284" s="191" t="s">
        <v>584</v>
      </c>
      <c r="P284" s="191" t="s">
        <v>585</v>
      </c>
      <c r="Q284" s="185">
        <v>0</v>
      </c>
      <c r="R284" s="185">
        <v>0</v>
      </c>
      <c r="S284" s="185">
        <v>2</v>
      </c>
      <c r="T284" s="185">
        <v>2</v>
      </c>
      <c r="U284" s="185">
        <v>0</v>
      </c>
      <c r="V284" s="185">
        <v>0</v>
      </c>
      <c r="W284" s="117">
        <v>3</v>
      </c>
      <c r="X284" s="185">
        <v>2</v>
      </c>
      <c r="Y284" s="117" t="s">
        <v>558</v>
      </c>
      <c r="Z284" s="117">
        <v>2</v>
      </c>
      <c r="AA284" s="94">
        <v>1</v>
      </c>
      <c r="AB284" s="117" t="s">
        <v>586</v>
      </c>
    </row>
    <row r="285" s="117" customFormat="1" spans="1:28">
      <c r="A285" s="117">
        <v>80000016</v>
      </c>
      <c r="B285" s="185" t="s">
        <v>559</v>
      </c>
      <c r="C285" s="185">
        <v>-1</v>
      </c>
      <c r="D285" s="117" t="s">
        <v>560</v>
      </c>
      <c r="E285" s="117">
        <v>168</v>
      </c>
      <c r="F285" s="117">
        <v>168</v>
      </c>
      <c r="G285" s="117">
        <v>0</v>
      </c>
      <c r="H285" s="117">
        <v>9</v>
      </c>
      <c r="I285" s="117">
        <v>0</v>
      </c>
      <c r="J285" s="117">
        <v>1</v>
      </c>
      <c r="K285" s="117">
        <v>2</v>
      </c>
      <c r="L285" s="117">
        <v>100</v>
      </c>
      <c r="M285" s="117">
        <v>2</v>
      </c>
      <c r="N285" s="117" t="s">
        <v>589</v>
      </c>
      <c r="O285" s="191" t="s">
        <v>584</v>
      </c>
      <c r="P285" s="191" t="s">
        <v>585</v>
      </c>
      <c r="Q285" s="185">
        <v>0</v>
      </c>
      <c r="R285" s="185">
        <v>0</v>
      </c>
      <c r="S285" s="185">
        <v>2</v>
      </c>
      <c r="T285" s="185">
        <v>2</v>
      </c>
      <c r="U285" s="185">
        <v>0</v>
      </c>
      <c r="V285" s="185">
        <v>0</v>
      </c>
      <c r="W285" s="117">
        <v>4</v>
      </c>
      <c r="X285" s="185">
        <v>2</v>
      </c>
      <c r="Y285" s="117" t="s">
        <v>562</v>
      </c>
      <c r="Z285" s="117">
        <v>2</v>
      </c>
      <c r="AA285" s="94">
        <v>1</v>
      </c>
      <c r="AB285" s="117" t="s">
        <v>586</v>
      </c>
    </row>
    <row r="286" s="117" customFormat="1" spans="1:28">
      <c r="A286" s="117">
        <v>80000017</v>
      </c>
      <c r="B286" s="185" t="s">
        <v>563</v>
      </c>
      <c r="C286" s="185">
        <v>-1</v>
      </c>
      <c r="D286" s="117" t="s">
        <v>564</v>
      </c>
      <c r="E286" s="117">
        <v>328</v>
      </c>
      <c r="F286" s="117">
        <v>328</v>
      </c>
      <c r="G286" s="117">
        <v>0</v>
      </c>
      <c r="H286" s="117">
        <v>9</v>
      </c>
      <c r="I286" s="117">
        <v>0</v>
      </c>
      <c r="J286" s="117">
        <v>1</v>
      </c>
      <c r="K286" s="117">
        <v>3</v>
      </c>
      <c r="L286" s="117">
        <v>100</v>
      </c>
      <c r="M286" s="117">
        <v>2</v>
      </c>
      <c r="N286" s="117" t="s">
        <v>590</v>
      </c>
      <c r="O286" s="191" t="s">
        <v>584</v>
      </c>
      <c r="P286" s="191" t="s">
        <v>585</v>
      </c>
      <c r="Q286" s="185">
        <v>0</v>
      </c>
      <c r="R286" s="185">
        <v>0</v>
      </c>
      <c r="S286" s="185">
        <v>2</v>
      </c>
      <c r="T286" s="185">
        <v>2</v>
      </c>
      <c r="U286" s="185">
        <v>0</v>
      </c>
      <c r="V286" s="185">
        <v>0</v>
      </c>
      <c r="W286" s="117">
        <v>5</v>
      </c>
      <c r="X286" s="185">
        <v>2</v>
      </c>
      <c r="Y286" s="117" t="s">
        <v>581</v>
      </c>
      <c r="Z286" s="117">
        <v>1</v>
      </c>
      <c r="AA286" s="94">
        <v>1</v>
      </c>
      <c r="AB286" s="117" t="s">
        <v>586</v>
      </c>
    </row>
    <row r="287" s="117" customFormat="1" spans="1:28">
      <c r="A287" s="117">
        <v>80000018</v>
      </c>
      <c r="B287" s="185" t="s">
        <v>567</v>
      </c>
      <c r="C287" s="185">
        <v>-1</v>
      </c>
      <c r="D287" s="117" t="s">
        <v>568</v>
      </c>
      <c r="E287" s="117">
        <v>648</v>
      </c>
      <c r="F287" s="117">
        <v>648</v>
      </c>
      <c r="G287" s="117">
        <v>0</v>
      </c>
      <c r="H287" s="117">
        <v>9</v>
      </c>
      <c r="I287" s="117">
        <v>0</v>
      </c>
      <c r="J287" s="117">
        <v>1</v>
      </c>
      <c r="K287" s="117">
        <v>3</v>
      </c>
      <c r="L287" s="117">
        <v>100</v>
      </c>
      <c r="M287" s="117">
        <v>2</v>
      </c>
      <c r="N287" s="117" t="s">
        <v>591</v>
      </c>
      <c r="O287" s="191" t="s">
        <v>584</v>
      </c>
      <c r="P287" s="191" t="s">
        <v>585</v>
      </c>
      <c r="Q287" s="185">
        <v>0</v>
      </c>
      <c r="R287" s="185">
        <v>0</v>
      </c>
      <c r="S287" s="185">
        <v>2</v>
      </c>
      <c r="T287" s="185">
        <v>2</v>
      </c>
      <c r="U287" s="185">
        <v>0</v>
      </c>
      <c r="V287" s="185">
        <v>0</v>
      </c>
      <c r="W287" s="117">
        <v>6</v>
      </c>
      <c r="X287" s="185">
        <v>2</v>
      </c>
      <c r="Y287" s="117" t="s">
        <v>583</v>
      </c>
      <c r="Z287" s="117">
        <v>1</v>
      </c>
      <c r="AA287" s="94">
        <v>1</v>
      </c>
      <c r="AB287" s="117" t="s">
        <v>586</v>
      </c>
    </row>
    <row r="288" s="118" customFormat="1" spans="1:28">
      <c r="A288" s="118">
        <v>81000001</v>
      </c>
      <c r="B288" s="186" t="s">
        <v>592</v>
      </c>
      <c r="C288" s="186">
        <v>-1</v>
      </c>
      <c r="D288" s="118" t="s">
        <v>593</v>
      </c>
      <c r="E288" s="118">
        <v>1</v>
      </c>
      <c r="F288" s="118">
        <v>1</v>
      </c>
      <c r="G288" s="118">
        <v>0</v>
      </c>
      <c r="H288" s="118">
        <v>0</v>
      </c>
      <c r="I288" s="118">
        <v>1</v>
      </c>
      <c r="J288" s="118">
        <v>0</v>
      </c>
      <c r="K288" s="118">
        <v>999</v>
      </c>
      <c r="L288" s="118">
        <v>100</v>
      </c>
      <c r="M288" s="118">
        <v>2</v>
      </c>
      <c r="Q288" s="186">
        <v>0</v>
      </c>
      <c r="R288" s="186">
        <v>0</v>
      </c>
      <c r="S288" s="186">
        <v>2</v>
      </c>
      <c r="T288" s="186">
        <v>2</v>
      </c>
      <c r="U288" s="186">
        <v>0</v>
      </c>
      <c r="V288" s="186">
        <v>0</v>
      </c>
      <c r="X288" s="186">
        <v>0</v>
      </c>
      <c r="AA288" s="94">
        <v>1</v>
      </c>
      <c r="AB288" s="118" t="s">
        <v>594</v>
      </c>
    </row>
    <row r="289" s="118" customFormat="1" spans="1:28">
      <c r="A289" s="118">
        <v>81000002</v>
      </c>
      <c r="B289" s="118" t="s">
        <v>595</v>
      </c>
      <c r="C289" s="118">
        <v>-1</v>
      </c>
      <c r="D289" s="118" t="s">
        <v>593</v>
      </c>
      <c r="E289" s="118">
        <v>12</v>
      </c>
      <c r="F289" s="118">
        <v>12</v>
      </c>
      <c r="G289" s="118">
        <v>0</v>
      </c>
      <c r="H289" s="118">
        <v>0</v>
      </c>
      <c r="I289" s="118">
        <v>1</v>
      </c>
      <c r="J289" s="118">
        <v>0</v>
      </c>
      <c r="K289" s="118">
        <v>999</v>
      </c>
      <c r="L289" s="118">
        <v>100</v>
      </c>
      <c r="M289" s="118">
        <v>2</v>
      </c>
      <c r="Q289" s="118">
        <v>0</v>
      </c>
      <c r="R289" s="118">
        <v>0</v>
      </c>
      <c r="S289" s="118">
        <v>2</v>
      </c>
      <c r="T289" s="118">
        <v>2</v>
      </c>
      <c r="U289" s="118">
        <v>0</v>
      </c>
      <c r="V289" s="118">
        <v>0</v>
      </c>
      <c r="X289" s="118">
        <v>0</v>
      </c>
      <c r="AA289" s="94">
        <v>1</v>
      </c>
      <c r="AB289" s="118" t="s">
        <v>595</v>
      </c>
    </row>
    <row r="290" s="118" customFormat="1" spans="1:28">
      <c r="A290" s="118">
        <v>81000003</v>
      </c>
      <c r="B290" s="118" t="s">
        <v>596</v>
      </c>
      <c r="C290" s="118">
        <v>-1</v>
      </c>
      <c r="D290" s="118" t="s">
        <v>593</v>
      </c>
      <c r="E290" s="118">
        <v>648</v>
      </c>
      <c r="F290" s="118">
        <v>648</v>
      </c>
      <c r="G290" s="118">
        <v>0</v>
      </c>
      <c r="H290" s="118">
        <v>0</v>
      </c>
      <c r="I290" s="118">
        <v>1</v>
      </c>
      <c r="J290" s="118">
        <v>0</v>
      </c>
      <c r="K290" s="118">
        <v>999</v>
      </c>
      <c r="L290" s="118">
        <v>100</v>
      </c>
      <c r="M290" s="118">
        <v>2</v>
      </c>
      <c r="Q290" s="118">
        <v>0</v>
      </c>
      <c r="R290" s="118">
        <v>0</v>
      </c>
      <c r="S290" s="118">
        <v>2</v>
      </c>
      <c r="T290" s="118">
        <v>2</v>
      </c>
      <c r="U290" s="118">
        <v>0</v>
      </c>
      <c r="V290" s="118">
        <v>0</v>
      </c>
      <c r="X290" s="118">
        <v>0</v>
      </c>
      <c r="AA290" s="94">
        <v>1</v>
      </c>
      <c r="AB290" s="118" t="s">
        <v>596</v>
      </c>
    </row>
    <row r="291" s="118" customFormat="1" spans="1:28">
      <c r="A291" s="118">
        <v>81000004</v>
      </c>
      <c r="B291" s="118" t="s">
        <v>597</v>
      </c>
      <c r="C291" s="118">
        <v>-1</v>
      </c>
      <c r="D291" s="118" t="s">
        <v>593</v>
      </c>
      <c r="E291" s="118">
        <v>1000</v>
      </c>
      <c r="F291" s="118">
        <v>1000</v>
      </c>
      <c r="G291" s="118">
        <v>0</v>
      </c>
      <c r="H291" s="118">
        <v>0</v>
      </c>
      <c r="I291" s="118">
        <v>1</v>
      </c>
      <c r="J291" s="118">
        <v>0</v>
      </c>
      <c r="K291" s="118">
        <v>999</v>
      </c>
      <c r="L291" s="118">
        <v>100</v>
      </c>
      <c r="M291" s="118">
        <v>2</v>
      </c>
      <c r="Q291" s="118">
        <v>0</v>
      </c>
      <c r="R291" s="118">
        <v>0</v>
      </c>
      <c r="S291" s="118">
        <v>2</v>
      </c>
      <c r="T291" s="118">
        <v>2</v>
      </c>
      <c r="U291" s="118">
        <v>0</v>
      </c>
      <c r="V291" s="118">
        <v>0</v>
      </c>
      <c r="X291" s="118">
        <v>0</v>
      </c>
      <c r="AA291" s="94">
        <v>1</v>
      </c>
      <c r="AB291" s="118" t="s">
        <v>597</v>
      </c>
    </row>
    <row r="292" s="118" customFormat="1" spans="1:28">
      <c r="A292" s="118">
        <v>81000005</v>
      </c>
      <c r="B292" s="118" t="s">
        <v>598</v>
      </c>
      <c r="C292" s="118">
        <v>-1</v>
      </c>
      <c r="D292" s="118" t="s">
        <v>593</v>
      </c>
      <c r="E292" s="118">
        <v>5000</v>
      </c>
      <c r="F292" s="118">
        <v>5000</v>
      </c>
      <c r="G292" s="118">
        <v>0</v>
      </c>
      <c r="H292" s="118">
        <v>0</v>
      </c>
      <c r="I292" s="118">
        <v>1</v>
      </c>
      <c r="J292" s="118">
        <v>0</v>
      </c>
      <c r="K292" s="118">
        <v>999</v>
      </c>
      <c r="L292" s="118">
        <v>100</v>
      </c>
      <c r="M292" s="118">
        <v>2</v>
      </c>
      <c r="Q292" s="118">
        <v>0</v>
      </c>
      <c r="R292" s="118">
        <v>0</v>
      </c>
      <c r="S292" s="118">
        <v>2</v>
      </c>
      <c r="T292" s="118">
        <v>2</v>
      </c>
      <c r="U292" s="118">
        <v>0</v>
      </c>
      <c r="V292" s="118">
        <v>0</v>
      </c>
      <c r="X292" s="118">
        <v>0</v>
      </c>
      <c r="AA292" s="94">
        <v>1</v>
      </c>
      <c r="AB292" s="118" t="s">
        <v>598</v>
      </c>
    </row>
    <row r="293" s="94" customFormat="1" spans="1:28">
      <c r="A293" s="112">
        <v>9900125</v>
      </c>
      <c r="B293" s="94" t="s">
        <v>599</v>
      </c>
      <c r="C293" s="94">
        <v>-1</v>
      </c>
      <c r="D293" s="94" t="s">
        <v>600</v>
      </c>
      <c r="E293" s="94">
        <v>0</v>
      </c>
      <c r="F293" s="94">
        <v>0</v>
      </c>
      <c r="G293" s="94">
        <v>1</v>
      </c>
      <c r="H293" s="94">
        <v>0</v>
      </c>
      <c r="I293" s="94">
        <v>0</v>
      </c>
      <c r="J293" s="94">
        <v>1</v>
      </c>
      <c r="K293" s="94">
        <v>1</v>
      </c>
      <c r="L293" s="94">
        <v>100</v>
      </c>
      <c r="M293" s="94">
        <v>2</v>
      </c>
      <c r="Q293" s="94">
        <v>0</v>
      </c>
      <c r="R293" s="94">
        <v>0</v>
      </c>
      <c r="S293" s="94">
        <v>0</v>
      </c>
      <c r="T293" s="94">
        <v>7</v>
      </c>
      <c r="U293" s="94">
        <v>0</v>
      </c>
      <c r="V293" s="94">
        <v>0</v>
      </c>
      <c r="X293" s="94">
        <v>3</v>
      </c>
      <c r="AA293" s="94">
        <v>1</v>
      </c>
      <c r="AB293" s="94" t="s">
        <v>527</v>
      </c>
    </row>
    <row r="294" s="94" customFormat="1" spans="1:28">
      <c r="A294" s="112">
        <v>9900126</v>
      </c>
      <c r="B294" s="94" t="s">
        <v>601</v>
      </c>
      <c r="C294" s="94">
        <v>-1</v>
      </c>
      <c r="D294" s="94" t="s">
        <v>602</v>
      </c>
      <c r="E294" s="94">
        <v>6</v>
      </c>
      <c r="F294" s="94">
        <v>6</v>
      </c>
      <c r="G294" s="94">
        <v>0</v>
      </c>
      <c r="H294" s="94">
        <v>0</v>
      </c>
      <c r="I294" s="94">
        <v>0</v>
      </c>
      <c r="J294" s="94">
        <v>1</v>
      </c>
      <c r="K294" s="94">
        <v>1</v>
      </c>
      <c r="L294" s="94">
        <v>100</v>
      </c>
      <c r="M294" s="94">
        <v>2</v>
      </c>
      <c r="Q294" s="94">
        <v>0</v>
      </c>
      <c r="R294" s="94">
        <v>0</v>
      </c>
      <c r="S294" s="94">
        <v>0</v>
      </c>
      <c r="T294" s="94">
        <v>7</v>
      </c>
      <c r="U294" s="94">
        <v>0</v>
      </c>
      <c r="V294" s="94">
        <v>0</v>
      </c>
      <c r="X294" s="94">
        <v>3</v>
      </c>
      <c r="AA294" s="94">
        <v>1</v>
      </c>
      <c r="AB294" s="94" t="s">
        <v>527</v>
      </c>
    </row>
    <row r="295" s="94" customFormat="1" spans="1:28">
      <c r="A295" s="112">
        <v>9900127</v>
      </c>
      <c r="B295" s="94" t="s">
        <v>603</v>
      </c>
      <c r="C295" s="94">
        <v>-1</v>
      </c>
      <c r="D295" s="94" t="s">
        <v>604</v>
      </c>
      <c r="E295" s="94">
        <v>30</v>
      </c>
      <c r="F295" s="94">
        <v>30</v>
      </c>
      <c r="G295" s="94">
        <v>0</v>
      </c>
      <c r="H295" s="94">
        <v>0</v>
      </c>
      <c r="I295" s="94">
        <v>0</v>
      </c>
      <c r="J295" s="94">
        <v>1</v>
      </c>
      <c r="K295" s="94">
        <v>1</v>
      </c>
      <c r="L295" s="94">
        <v>100</v>
      </c>
      <c r="M295" s="94">
        <v>2</v>
      </c>
      <c r="Q295" s="94">
        <v>0</v>
      </c>
      <c r="R295" s="94">
        <v>0</v>
      </c>
      <c r="S295" s="94">
        <v>0</v>
      </c>
      <c r="T295" s="94">
        <v>7</v>
      </c>
      <c r="U295" s="94">
        <v>0</v>
      </c>
      <c r="V295" s="94">
        <v>0</v>
      </c>
      <c r="X295" s="94">
        <v>3</v>
      </c>
      <c r="AA295" s="94">
        <v>1</v>
      </c>
      <c r="AB295" s="94" t="s">
        <v>527</v>
      </c>
    </row>
    <row r="296" s="94" customFormat="1" spans="1:28">
      <c r="A296" s="112">
        <v>9900128</v>
      </c>
      <c r="B296" s="94" t="s">
        <v>605</v>
      </c>
      <c r="C296" s="94">
        <v>-1</v>
      </c>
      <c r="D296" s="94" t="s">
        <v>606</v>
      </c>
      <c r="E296" s="94">
        <v>68</v>
      </c>
      <c r="F296" s="94">
        <v>68</v>
      </c>
      <c r="G296" s="94">
        <v>0</v>
      </c>
      <c r="H296" s="94">
        <v>0</v>
      </c>
      <c r="I296" s="94">
        <v>0</v>
      </c>
      <c r="J296" s="94">
        <v>1</v>
      </c>
      <c r="K296" s="94">
        <v>1</v>
      </c>
      <c r="L296" s="94">
        <v>100</v>
      </c>
      <c r="M296" s="94">
        <v>2</v>
      </c>
      <c r="Q296" s="94">
        <v>0</v>
      </c>
      <c r="R296" s="94">
        <v>0</v>
      </c>
      <c r="S296" s="94">
        <v>0</v>
      </c>
      <c r="T296" s="94">
        <v>7</v>
      </c>
      <c r="U296" s="94">
        <v>0</v>
      </c>
      <c r="V296" s="94">
        <v>0</v>
      </c>
      <c r="X296" s="94">
        <v>3</v>
      </c>
      <c r="AA296" s="94">
        <v>1</v>
      </c>
      <c r="AB296" s="94" t="s">
        <v>527</v>
      </c>
    </row>
    <row r="297" s="94" customFormat="1" spans="1:28">
      <c r="A297" s="112">
        <v>9900129</v>
      </c>
      <c r="B297" s="94" t="s">
        <v>607</v>
      </c>
      <c r="C297" s="94">
        <v>-1</v>
      </c>
      <c r="D297" s="187" t="s">
        <v>608</v>
      </c>
      <c r="E297" s="94">
        <v>128</v>
      </c>
      <c r="F297" s="94">
        <v>128</v>
      </c>
      <c r="G297" s="94">
        <v>0</v>
      </c>
      <c r="H297" s="94">
        <v>0</v>
      </c>
      <c r="I297" s="94">
        <v>0</v>
      </c>
      <c r="J297" s="94">
        <v>1</v>
      </c>
      <c r="K297" s="94">
        <v>2</v>
      </c>
      <c r="L297" s="94">
        <v>100</v>
      </c>
      <c r="M297" s="94">
        <v>2</v>
      </c>
      <c r="Q297" s="94">
        <v>0</v>
      </c>
      <c r="R297" s="94">
        <v>0</v>
      </c>
      <c r="S297" s="94">
        <v>0</v>
      </c>
      <c r="T297" s="94">
        <v>7</v>
      </c>
      <c r="U297" s="94">
        <v>0</v>
      </c>
      <c r="V297" s="94">
        <v>0</v>
      </c>
      <c r="X297" s="94">
        <v>3</v>
      </c>
      <c r="AA297" s="94">
        <v>1</v>
      </c>
      <c r="AB297" s="94" t="s">
        <v>527</v>
      </c>
    </row>
    <row r="298" s="94" customFormat="1" spans="1:28">
      <c r="A298" s="112">
        <v>9900130</v>
      </c>
      <c r="B298" s="94" t="s">
        <v>609</v>
      </c>
      <c r="C298" s="94">
        <v>-1</v>
      </c>
      <c r="D298" s="94" t="s">
        <v>610</v>
      </c>
      <c r="E298" s="94">
        <v>328</v>
      </c>
      <c r="F298" s="94">
        <v>328</v>
      </c>
      <c r="G298" s="94">
        <v>0</v>
      </c>
      <c r="H298" s="94">
        <v>0</v>
      </c>
      <c r="I298" s="94">
        <v>0</v>
      </c>
      <c r="J298" s="94">
        <v>1</v>
      </c>
      <c r="K298" s="94">
        <v>2</v>
      </c>
      <c r="L298" s="94">
        <v>100</v>
      </c>
      <c r="M298" s="94">
        <v>2</v>
      </c>
      <c r="Q298" s="94">
        <v>0</v>
      </c>
      <c r="R298" s="94">
        <v>0</v>
      </c>
      <c r="S298" s="94">
        <v>0</v>
      </c>
      <c r="T298" s="94">
        <v>7</v>
      </c>
      <c r="U298" s="94">
        <v>0</v>
      </c>
      <c r="V298" s="94">
        <v>0</v>
      </c>
      <c r="X298" s="94">
        <v>3</v>
      </c>
      <c r="AA298" s="94">
        <v>1</v>
      </c>
      <c r="AB298" s="94" t="s">
        <v>527</v>
      </c>
    </row>
    <row r="299" spans="1:28">
      <c r="A299" s="175">
        <v>50000082</v>
      </c>
      <c r="B299" s="188" t="s">
        <v>611</v>
      </c>
      <c r="C299" s="177">
        <v>-1</v>
      </c>
      <c r="D299" s="189" t="s">
        <v>612</v>
      </c>
      <c r="E299" s="189">
        <v>328</v>
      </c>
      <c r="F299" s="189">
        <v>328</v>
      </c>
      <c r="G299" s="189">
        <v>0</v>
      </c>
      <c r="H299" s="189">
        <v>0</v>
      </c>
      <c r="I299" s="189">
        <v>0</v>
      </c>
      <c r="J299" s="189">
        <v>1</v>
      </c>
      <c r="K299" s="189">
        <v>1</v>
      </c>
      <c r="L299" s="189">
        <v>100</v>
      </c>
      <c r="M299" s="189">
        <v>3</v>
      </c>
      <c r="N299" s="189"/>
      <c r="O299" s="189"/>
      <c r="P299" s="189"/>
      <c r="Q299" s="178">
        <v>0</v>
      </c>
      <c r="R299" s="178">
        <v>0</v>
      </c>
      <c r="S299" s="178">
        <v>2</v>
      </c>
      <c r="T299" s="178">
        <v>1</v>
      </c>
      <c r="U299" s="178">
        <v>0</v>
      </c>
      <c r="V299" s="178">
        <v>0</v>
      </c>
      <c r="W299" s="178"/>
      <c r="X299" s="178">
        <v>0</v>
      </c>
      <c r="Y299" s="178"/>
      <c r="Z299" s="178"/>
      <c r="AA299" s="178">
        <v>1</v>
      </c>
      <c r="AB299" s="176" t="s">
        <v>613</v>
      </c>
    </row>
    <row r="300" spans="1:28">
      <c r="A300" s="175">
        <v>50000083</v>
      </c>
      <c r="B300" s="188" t="s">
        <v>614</v>
      </c>
      <c r="C300" s="177">
        <v>-1</v>
      </c>
      <c r="D300" s="189" t="s">
        <v>615</v>
      </c>
      <c r="E300" s="189">
        <v>30</v>
      </c>
      <c r="F300" s="189">
        <v>30</v>
      </c>
      <c r="G300" s="189">
        <v>0</v>
      </c>
      <c r="H300" s="189">
        <v>0</v>
      </c>
      <c r="I300" s="189">
        <v>0</v>
      </c>
      <c r="J300" s="189">
        <v>1</v>
      </c>
      <c r="K300" s="189">
        <v>1</v>
      </c>
      <c r="L300" s="189">
        <v>100</v>
      </c>
      <c r="M300" s="189">
        <v>3</v>
      </c>
      <c r="N300" s="189"/>
      <c r="O300" s="189"/>
      <c r="P300" s="189"/>
      <c r="Q300" s="178">
        <v>0</v>
      </c>
      <c r="R300" s="178">
        <v>0</v>
      </c>
      <c r="S300" s="178">
        <v>2</v>
      </c>
      <c r="T300" s="178">
        <v>1</v>
      </c>
      <c r="U300" s="178">
        <v>0</v>
      </c>
      <c r="V300" s="178">
        <v>0</v>
      </c>
      <c r="W300" s="178"/>
      <c r="X300" s="178">
        <v>0</v>
      </c>
      <c r="Y300" s="178"/>
      <c r="Z300" s="178"/>
      <c r="AA300" s="178">
        <v>1</v>
      </c>
      <c r="AB300" s="176" t="s">
        <v>613</v>
      </c>
    </row>
    <row r="301" spans="1:28">
      <c r="A301" s="175">
        <v>50000084</v>
      </c>
      <c r="B301" s="188" t="s">
        <v>616</v>
      </c>
      <c r="C301" s="177">
        <v>-1</v>
      </c>
      <c r="D301" s="189" t="s">
        <v>617</v>
      </c>
      <c r="E301" s="189">
        <v>98</v>
      </c>
      <c r="F301" s="189">
        <v>98</v>
      </c>
      <c r="G301" s="189">
        <v>0</v>
      </c>
      <c r="H301" s="189">
        <v>0</v>
      </c>
      <c r="I301" s="189">
        <v>0</v>
      </c>
      <c r="J301" s="189">
        <v>1</v>
      </c>
      <c r="K301" s="189">
        <v>1</v>
      </c>
      <c r="L301" s="189">
        <v>100</v>
      </c>
      <c r="M301" s="189">
        <v>3</v>
      </c>
      <c r="N301" s="189"/>
      <c r="O301" s="189"/>
      <c r="P301" s="189"/>
      <c r="Q301" s="178">
        <v>0</v>
      </c>
      <c r="R301" s="178">
        <v>0</v>
      </c>
      <c r="S301" s="178">
        <v>2</v>
      </c>
      <c r="T301" s="178">
        <v>1</v>
      </c>
      <c r="U301" s="178">
        <v>0</v>
      </c>
      <c r="V301" s="178">
        <v>0</v>
      </c>
      <c r="W301" s="178"/>
      <c r="X301" s="178">
        <v>0</v>
      </c>
      <c r="Y301" s="178"/>
      <c r="Z301" s="178"/>
      <c r="AA301" s="178">
        <v>1</v>
      </c>
      <c r="AB301" s="176" t="s">
        <v>613</v>
      </c>
    </row>
    <row r="302" spans="1:28">
      <c r="A302" s="175">
        <v>50000085</v>
      </c>
      <c r="B302" s="188" t="s">
        <v>618</v>
      </c>
      <c r="C302" s="177">
        <v>-1</v>
      </c>
      <c r="D302" s="189" t="s">
        <v>619</v>
      </c>
      <c r="E302" s="189">
        <v>328</v>
      </c>
      <c r="F302" s="189">
        <v>328</v>
      </c>
      <c r="G302" s="189">
        <v>0</v>
      </c>
      <c r="H302" s="189">
        <v>0</v>
      </c>
      <c r="I302" s="189">
        <v>0</v>
      </c>
      <c r="J302" s="189">
        <v>1</v>
      </c>
      <c r="K302" s="189">
        <v>1</v>
      </c>
      <c r="L302" s="189">
        <v>100</v>
      </c>
      <c r="M302" s="189">
        <v>3</v>
      </c>
      <c r="N302" s="189"/>
      <c r="O302" s="189"/>
      <c r="P302" s="189"/>
      <c r="Q302" s="178">
        <v>0</v>
      </c>
      <c r="R302" s="178">
        <v>0</v>
      </c>
      <c r="S302" s="178">
        <v>2</v>
      </c>
      <c r="T302" s="178">
        <v>1</v>
      </c>
      <c r="U302" s="178">
        <v>0</v>
      </c>
      <c r="V302" s="178">
        <v>0</v>
      </c>
      <c r="W302" s="178"/>
      <c r="X302" s="178">
        <v>0</v>
      </c>
      <c r="Y302" s="178"/>
      <c r="Z302" s="178"/>
      <c r="AA302" s="178">
        <v>1</v>
      </c>
      <c r="AB302" s="176" t="s">
        <v>613</v>
      </c>
    </row>
    <row r="303" spans="1:28">
      <c r="A303" s="175">
        <v>50000086</v>
      </c>
      <c r="B303" s="188" t="s">
        <v>620</v>
      </c>
      <c r="C303" s="177">
        <v>-1</v>
      </c>
      <c r="D303" s="189" t="s">
        <v>621</v>
      </c>
      <c r="E303" s="189">
        <v>198</v>
      </c>
      <c r="F303" s="189">
        <v>198</v>
      </c>
      <c r="G303" s="189">
        <v>0</v>
      </c>
      <c r="H303" s="189">
        <v>0</v>
      </c>
      <c r="I303" s="189">
        <v>0</v>
      </c>
      <c r="J303" s="189">
        <v>1</v>
      </c>
      <c r="K303" s="189">
        <v>2</v>
      </c>
      <c r="L303" s="189">
        <v>100</v>
      </c>
      <c r="M303" s="189">
        <v>3</v>
      </c>
      <c r="N303" s="189"/>
      <c r="O303" s="189"/>
      <c r="P303" s="189"/>
      <c r="Q303" s="178">
        <v>0</v>
      </c>
      <c r="R303" s="178">
        <v>0</v>
      </c>
      <c r="S303" s="178">
        <v>2</v>
      </c>
      <c r="T303" s="178">
        <v>1</v>
      </c>
      <c r="U303" s="178">
        <v>0</v>
      </c>
      <c r="V303" s="178">
        <v>0</v>
      </c>
      <c r="W303" s="178"/>
      <c r="X303" s="178">
        <v>0</v>
      </c>
      <c r="Y303" s="178"/>
      <c r="Z303" s="178"/>
      <c r="AA303" s="178">
        <v>1</v>
      </c>
      <c r="AB303" s="176" t="s">
        <v>613</v>
      </c>
    </row>
    <row r="304" spans="1:28">
      <c r="A304" s="175">
        <v>50000087</v>
      </c>
      <c r="B304" s="188" t="s">
        <v>622</v>
      </c>
      <c r="C304" s="177">
        <v>-1</v>
      </c>
      <c r="D304" s="189" t="s">
        <v>623</v>
      </c>
      <c r="E304" s="189">
        <v>10000</v>
      </c>
      <c r="F304" s="189">
        <v>10000</v>
      </c>
      <c r="G304" s="189">
        <v>0</v>
      </c>
      <c r="H304" s="189">
        <v>0</v>
      </c>
      <c r="I304" s="189">
        <v>0</v>
      </c>
      <c r="J304" s="189">
        <v>1</v>
      </c>
      <c r="K304" s="189">
        <v>2</v>
      </c>
      <c r="L304" s="189">
        <v>100</v>
      </c>
      <c r="M304" s="189">
        <v>3</v>
      </c>
      <c r="N304" s="189"/>
      <c r="O304" s="189"/>
      <c r="P304" s="189"/>
      <c r="Q304" s="178">
        <v>0</v>
      </c>
      <c r="R304" s="178">
        <v>0</v>
      </c>
      <c r="S304" s="178">
        <v>2</v>
      </c>
      <c r="T304" s="178">
        <v>1</v>
      </c>
      <c r="U304" s="178">
        <v>0</v>
      </c>
      <c r="V304" s="178">
        <v>0</v>
      </c>
      <c r="W304" s="178"/>
      <c r="X304" s="178">
        <v>0</v>
      </c>
      <c r="Y304" s="178"/>
      <c r="Z304" s="178"/>
      <c r="AA304" s="178">
        <v>1</v>
      </c>
      <c r="AB304" s="176" t="s">
        <v>613</v>
      </c>
    </row>
    <row r="305" spans="1:28">
      <c r="A305" s="175">
        <v>50000088</v>
      </c>
      <c r="B305" s="188" t="s">
        <v>624</v>
      </c>
      <c r="C305" s="177">
        <v>-1</v>
      </c>
      <c r="D305" s="190" t="s">
        <v>625</v>
      </c>
      <c r="E305" s="189">
        <v>5000</v>
      </c>
      <c r="F305" s="189">
        <v>5000</v>
      </c>
      <c r="G305" s="189">
        <v>0</v>
      </c>
      <c r="H305" s="189">
        <v>0</v>
      </c>
      <c r="I305" s="189">
        <v>0</v>
      </c>
      <c r="J305" s="189">
        <v>1</v>
      </c>
      <c r="K305" s="189">
        <v>4</v>
      </c>
      <c r="L305" s="189">
        <v>100</v>
      </c>
      <c r="M305" s="189">
        <v>3</v>
      </c>
      <c r="N305" s="189"/>
      <c r="O305" s="189"/>
      <c r="P305" s="189"/>
      <c r="Q305" s="178">
        <v>0</v>
      </c>
      <c r="R305" s="178">
        <v>0</v>
      </c>
      <c r="S305" s="178">
        <v>2</v>
      </c>
      <c r="T305" s="178">
        <v>1</v>
      </c>
      <c r="U305" s="178">
        <v>0</v>
      </c>
      <c r="V305" s="178">
        <v>0</v>
      </c>
      <c r="W305" s="178"/>
      <c r="X305" s="178">
        <v>0</v>
      </c>
      <c r="Y305" s="178"/>
      <c r="Z305" s="178"/>
      <c r="AA305" s="178">
        <v>1</v>
      </c>
      <c r="AB305" s="176" t="s">
        <v>613</v>
      </c>
    </row>
    <row r="306" spans="1:28">
      <c r="A306" s="175">
        <v>50000089</v>
      </c>
      <c r="B306" s="188" t="s">
        <v>626</v>
      </c>
      <c r="C306" s="177">
        <v>-1</v>
      </c>
      <c r="D306" s="189" t="s">
        <v>627</v>
      </c>
      <c r="E306" s="189">
        <v>6888</v>
      </c>
      <c r="F306" s="189">
        <v>6888</v>
      </c>
      <c r="G306" s="189">
        <v>0</v>
      </c>
      <c r="H306" s="189">
        <v>0</v>
      </c>
      <c r="I306" s="189">
        <v>0</v>
      </c>
      <c r="J306" s="189">
        <v>1</v>
      </c>
      <c r="K306" s="189">
        <v>4</v>
      </c>
      <c r="L306" s="189">
        <v>100</v>
      </c>
      <c r="M306" s="189">
        <v>3</v>
      </c>
      <c r="N306" s="189"/>
      <c r="O306" s="189"/>
      <c r="P306" s="189"/>
      <c r="Q306" s="178">
        <v>0</v>
      </c>
      <c r="R306" s="178">
        <v>0</v>
      </c>
      <c r="S306" s="178">
        <v>2</v>
      </c>
      <c r="T306" s="178">
        <v>1</v>
      </c>
      <c r="U306" s="178">
        <v>0</v>
      </c>
      <c r="V306" s="178">
        <v>0</v>
      </c>
      <c r="W306" s="178"/>
      <c r="X306" s="178">
        <v>0</v>
      </c>
      <c r="Y306" s="178"/>
      <c r="Z306" s="178"/>
      <c r="AA306" s="178">
        <v>1</v>
      </c>
      <c r="AB306" s="176" t="s">
        <v>613</v>
      </c>
    </row>
    <row r="307" spans="1:28">
      <c r="A307" s="94">
        <v>50000091</v>
      </c>
      <c r="B307" s="94" t="s">
        <v>628</v>
      </c>
      <c r="C307" s="94">
        <v>-1</v>
      </c>
      <c r="D307" s="94" t="s">
        <v>629</v>
      </c>
      <c r="E307" s="94">
        <v>98</v>
      </c>
      <c r="F307" s="94">
        <v>98</v>
      </c>
      <c r="G307" s="94">
        <v>0</v>
      </c>
      <c r="H307" s="94">
        <v>0</v>
      </c>
      <c r="I307" s="94">
        <v>0</v>
      </c>
      <c r="J307" s="94">
        <v>0</v>
      </c>
      <c r="K307" s="94">
        <v>999</v>
      </c>
      <c r="L307" s="94">
        <v>100</v>
      </c>
      <c r="M307" s="94">
        <v>3</v>
      </c>
      <c r="Q307" s="94">
        <v>0</v>
      </c>
      <c r="R307" s="94">
        <v>0</v>
      </c>
      <c r="S307" s="94">
        <v>2</v>
      </c>
      <c r="T307" s="94">
        <v>1</v>
      </c>
      <c r="U307" s="94">
        <v>0</v>
      </c>
      <c r="V307" s="178">
        <v>0</v>
      </c>
      <c r="W307" s="178"/>
      <c r="X307" s="178">
        <v>0</v>
      </c>
      <c r="Y307" s="178"/>
      <c r="Z307" s="178"/>
      <c r="AA307" s="178">
        <v>1</v>
      </c>
      <c r="AB307" s="176" t="s">
        <v>613</v>
      </c>
    </row>
  </sheetData>
  <conditionalFormatting sqref="A94">
    <cfRule type="duplicateValues" dxfId="0" priority="9"/>
  </conditionalFormatting>
  <conditionalFormatting sqref="A159">
    <cfRule type="duplicateValues" dxfId="0" priority="15"/>
  </conditionalFormatting>
  <conditionalFormatting sqref="A160">
    <cfRule type="duplicateValues" dxfId="0" priority="14"/>
  </conditionalFormatting>
  <conditionalFormatting sqref="A288">
    <cfRule type="duplicateValues" dxfId="0" priority="6"/>
  </conditionalFormatting>
  <conditionalFormatting sqref="A109:A110">
    <cfRule type="duplicateValues" dxfId="0" priority="26"/>
  </conditionalFormatting>
  <conditionalFormatting sqref="A161:A167">
    <cfRule type="duplicateValues" dxfId="0" priority="28"/>
  </conditionalFormatting>
  <conditionalFormatting sqref="A178:A180">
    <cfRule type="duplicateValues" dxfId="0" priority="7"/>
  </conditionalFormatting>
  <conditionalFormatting sqref="A1:A93 A95:A102 A104:A108 A111:A148 A151 A168:A177 A242:A287 A289:A298 A307:A1048576">
    <cfRule type="duplicateValues" dxfId="0" priority="32"/>
  </conditionalFormatting>
  <conditionalFormatting sqref="A149:A150 A152:A158">
    <cfRule type="duplicateValues" dxfId="0" priority="29"/>
  </conditionalFormatting>
  <pageMargins left="0.699305555555556" right="0.699305555555556" top="0.75" bottom="0.75" header="0.3" footer="0.3"/>
  <pageSetup paperSize="9" orientation="portrait"/>
  <headerFooter/>
  <ignoredErrors>
    <ignoredError sqref="D149 A111:A117" numberStoredAsText="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Q26"/>
  <sheetViews>
    <sheetView workbookViewId="0">
      <selection activeCell="C33" sqref="C33"/>
    </sheetView>
  </sheetViews>
  <sheetFormatPr defaultColWidth="9" defaultRowHeight="14"/>
  <cols>
    <col min="11" max="11" width="15.1363636363636" customWidth="1"/>
    <col min="14" max="14" width="15.1363636363636" customWidth="1"/>
    <col min="16" max="16" width="11" customWidth="1"/>
    <col min="17" max="17" width="13" customWidth="1"/>
  </cols>
  <sheetData>
    <row r="4" spans="11:17">
      <c r="K4" s="102" t="s">
        <v>630</v>
      </c>
      <c r="L4" s="102" t="s">
        <v>631</v>
      </c>
      <c r="M4" s="102" t="s">
        <v>632</v>
      </c>
      <c r="N4" s="102" t="s">
        <v>633</v>
      </c>
      <c r="O4" s="102" t="s">
        <v>634</v>
      </c>
      <c r="P4" s="102" t="s">
        <v>635</v>
      </c>
      <c r="Q4" s="102" t="s">
        <v>636</v>
      </c>
    </row>
    <row r="5" spans="11:17">
      <c r="K5" t="s">
        <v>637</v>
      </c>
      <c r="L5" t="s">
        <v>638</v>
      </c>
      <c r="M5" t="s">
        <v>639</v>
      </c>
      <c r="N5" t="s">
        <v>640</v>
      </c>
      <c r="P5" t="s">
        <v>641</v>
      </c>
      <c r="Q5" t="s">
        <v>642</v>
      </c>
    </row>
    <row r="6" spans="2:17">
      <c r="B6" t="s">
        <v>643</v>
      </c>
      <c r="E6" t="s">
        <v>644</v>
      </c>
      <c r="F6" t="s">
        <v>645</v>
      </c>
      <c r="K6" t="s">
        <v>646</v>
      </c>
      <c r="N6" t="s">
        <v>647</v>
      </c>
      <c r="P6" t="s">
        <v>648</v>
      </c>
      <c r="Q6" t="s">
        <v>649</v>
      </c>
    </row>
    <row r="7" spans="2:14">
      <c r="B7">
        <v>1</v>
      </c>
      <c r="C7" t="s">
        <v>630</v>
      </c>
      <c r="E7">
        <v>1</v>
      </c>
      <c r="F7" t="s">
        <v>650</v>
      </c>
      <c r="N7" t="s">
        <v>651</v>
      </c>
    </row>
    <row r="8" spans="2:6">
      <c r="B8">
        <v>2</v>
      </c>
      <c r="C8" t="s">
        <v>631</v>
      </c>
      <c r="E8">
        <v>2</v>
      </c>
      <c r="F8" t="s">
        <v>652</v>
      </c>
    </row>
    <row r="9" spans="2:8">
      <c r="B9">
        <v>3</v>
      </c>
      <c r="C9" t="s">
        <v>632</v>
      </c>
      <c r="E9">
        <v>3</v>
      </c>
      <c r="F9" t="s">
        <v>653</v>
      </c>
      <c r="H9" t="s">
        <v>654</v>
      </c>
    </row>
    <row r="10" spans="2:6">
      <c r="B10">
        <v>4</v>
      </c>
      <c r="C10" t="s">
        <v>633</v>
      </c>
      <c r="E10">
        <v>4</v>
      </c>
      <c r="F10" t="s">
        <v>655</v>
      </c>
    </row>
    <row r="11" spans="2:3">
      <c r="B11">
        <v>5</v>
      </c>
      <c r="C11" t="s">
        <v>634</v>
      </c>
    </row>
    <row r="12" spans="2:3">
      <c r="B12">
        <v>6</v>
      </c>
      <c r="C12" t="s">
        <v>635</v>
      </c>
    </row>
    <row r="13" spans="2:3">
      <c r="B13">
        <v>7</v>
      </c>
      <c r="C13" t="s">
        <v>636</v>
      </c>
    </row>
    <row r="22" spans="1:6">
      <c r="A22" s="101">
        <v>138</v>
      </c>
      <c r="B22" s="101">
        <v>138</v>
      </c>
      <c r="C22" s="101">
        <v>31</v>
      </c>
      <c r="D22" s="101">
        <v>5</v>
      </c>
      <c r="F22" s="101" t="s">
        <v>656</v>
      </c>
    </row>
    <row r="23" spans="1:6">
      <c r="A23" s="101">
        <v>139</v>
      </c>
      <c r="B23" s="101">
        <v>139</v>
      </c>
      <c r="C23" s="101">
        <v>31</v>
      </c>
      <c r="D23" s="101">
        <v>10</v>
      </c>
      <c r="F23" s="101" t="s">
        <v>657</v>
      </c>
    </row>
    <row r="24" spans="1:6">
      <c r="A24" s="101">
        <v>140</v>
      </c>
      <c r="B24" s="101">
        <v>140</v>
      </c>
      <c r="C24" s="101">
        <v>31</v>
      </c>
      <c r="D24" s="101">
        <v>20</v>
      </c>
      <c r="F24" s="101" t="s">
        <v>658</v>
      </c>
    </row>
    <row r="25" spans="1:6">
      <c r="A25" s="101">
        <v>141</v>
      </c>
      <c r="B25" s="101">
        <v>141</v>
      </c>
      <c r="C25" s="101">
        <v>31</v>
      </c>
      <c r="D25" s="101">
        <v>30</v>
      </c>
      <c r="F25" s="101" t="s">
        <v>659</v>
      </c>
    </row>
    <row r="26" spans="1:6">
      <c r="A26" s="101">
        <v>142</v>
      </c>
      <c r="B26" s="101">
        <v>142</v>
      </c>
      <c r="C26" s="101">
        <v>31</v>
      </c>
      <c r="D26" s="101">
        <v>50</v>
      </c>
      <c r="F26" s="101" t="s">
        <v>660</v>
      </c>
    </row>
  </sheetData>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2"/>
  <sheetViews>
    <sheetView workbookViewId="0">
      <selection activeCell="P7" sqref="P7:P12"/>
    </sheetView>
  </sheetViews>
  <sheetFormatPr defaultColWidth="9" defaultRowHeight="14"/>
  <cols>
    <col min="2" max="2" width="9.37272727272727" customWidth="1"/>
    <col min="3" max="3" width="8.62727272727273" customWidth="1"/>
    <col min="4" max="4" width="80.3727272727273" customWidth="1"/>
    <col min="5" max="5" width="5.12727272727273" customWidth="1"/>
    <col min="6" max="6" width="7.87272727272727" customWidth="1"/>
    <col min="7" max="7" width="8.25454545454545" customWidth="1"/>
    <col min="8" max="8" width="8.5" customWidth="1"/>
    <col min="9" max="9" width="10.3727272727273" customWidth="1"/>
    <col min="10" max="10" width="8.25454545454545" customWidth="1"/>
    <col min="11" max="11" width="8.5" customWidth="1"/>
    <col min="12" max="12" width="9.62727272727273" customWidth="1"/>
    <col min="13" max="14" width="31.8727272727273" customWidth="1"/>
    <col min="15" max="15" width="5.25454545454545" customWidth="1"/>
    <col min="16" max="16" width="94.3727272727273" customWidth="1"/>
    <col min="17" max="17" width="13.1272727272727" customWidth="1"/>
  </cols>
  <sheetData>
    <row r="1" ht="14.5" spans="1:17">
      <c r="A1" s="98"/>
      <c r="B1" s="98"/>
      <c r="C1" s="98"/>
      <c r="D1" s="98"/>
      <c r="E1" s="98"/>
      <c r="F1" s="98"/>
      <c r="G1" s="98"/>
      <c r="H1" s="98"/>
      <c r="I1" s="98"/>
      <c r="J1" s="98"/>
      <c r="K1" s="98"/>
      <c r="L1" s="98"/>
      <c r="M1" s="98"/>
      <c r="N1" s="98"/>
      <c r="O1" s="98"/>
      <c r="P1" s="98"/>
      <c r="Q1" s="98"/>
    </row>
    <row r="2" ht="14.5" spans="1:17">
      <c r="A2" s="98"/>
      <c r="B2" s="98" t="s">
        <v>1</v>
      </c>
      <c r="C2" s="98" t="s">
        <v>2</v>
      </c>
      <c r="D2" s="98" t="s">
        <v>4</v>
      </c>
      <c r="E2" s="98" t="s">
        <v>5</v>
      </c>
      <c r="F2" s="98" t="s">
        <v>6</v>
      </c>
      <c r="G2" s="99" t="s">
        <v>7</v>
      </c>
      <c r="H2" s="99" t="s">
        <v>8</v>
      </c>
      <c r="I2" s="99" t="s">
        <v>9</v>
      </c>
      <c r="J2" s="99" t="s">
        <v>10</v>
      </c>
      <c r="K2" s="99" t="s">
        <v>11</v>
      </c>
      <c r="L2" s="98" t="s">
        <v>14</v>
      </c>
      <c r="M2" s="98" t="s">
        <v>15</v>
      </c>
      <c r="N2" s="98" t="s">
        <v>16</v>
      </c>
      <c r="O2" s="98" t="s">
        <v>23</v>
      </c>
      <c r="P2" s="98" t="s">
        <v>25</v>
      </c>
      <c r="Q2" s="98" t="s">
        <v>26</v>
      </c>
    </row>
    <row r="3" ht="14.5" spans="1:17">
      <c r="A3" s="98"/>
      <c r="B3" s="98" t="s">
        <v>29</v>
      </c>
      <c r="C3" s="98"/>
      <c r="D3" s="98" t="s">
        <v>30</v>
      </c>
      <c r="E3" s="98"/>
      <c r="F3" s="98" t="s">
        <v>31</v>
      </c>
      <c r="G3" s="98"/>
      <c r="H3" s="98"/>
      <c r="I3" s="98"/>
      <c r="J3" s="98"/>
      <c r="K3" s="98"/>
      <c r="L3" s="98"/>
      <c r="M3" s="98"/>
      <c r="N3" s="98"/>
      <c r="O3" s="98" t="s">
        <v>32</v>
      </c>
      <c r="P3" s="98" t="s">
        <v>33</v>
      </c>
      <c r="Q3" s="98" t="s">
        <v>34</v>
      </c>
    </row>
    <row r="4" ht="14.5" spans="1:17">
      <c r="A4" s="98"/>
      <c r="B4" s="98" t="s">
        <v>35</v>
      </c>
      <c r="C4" s="98"/>
      <c r="D4" s="98" t="s">
        <v>36</v>
      </c>
      <c r="E4" s="98"/>
      <c r="F4" s="98" t="s">
        <v>35</v>
      </c>
      <c r="G4" s="98"/>
      <c r="H4" s="98"/>
      <c r="I4" s="98"/>
      <c r="J4" s="98"/>
      <c r="K4" s="98"/>
      <c r="L4" s="98"/>
      <c r="M4" s="98"/>
      <c r="N4" s="98"/>
      <c r="O4" s="98" t="s">
        <v>35</v>
      </c>
      <c r="P4" s="98" t="s">
        <v>36</v>
      </c>
      <c r="Q4" s="98" t="s">
        <v>35</v>
      </c>
    </row>
    <row r="5" ht="14.5" spans="1:17">
      <c r="A5" s="98"/>
      <c r="B5" s="98" t="s">
        <v>37</v>
      </c>
      <c r="C5" s="98"/>
      <c r="D5" s="98" t="s">
        <v>37</v>
      </c>
      <c r="E5" s="98"/>
      <c r="F5" s="98" t="s">
        <v>37</v>
      </c>
      <c r="G5" s="98"/>
      <c r="H5" s="98"/>
      <c r="I5" s="98"/>
      <c r="J5" s="98"/>
      <c r="K5" s="98"/>
      <c r="L5" s="98"/>
      <c r="M5" s="98"/>
      <c r="N5" s="98"/>
      <c r="O5" s="98" t="s">
        <v>37</v>
      </c>
      <c r="P5" s="98" t="s">
        <v>37</v>
      </c>
      <c r="Q5" s="98" t="s">
        <v>37</v>
      </c>
    </row>
    <row r="6" ht="14.5" spans="1:17">
      <c r="A6" s="98"/>
      <c r="B6" s="98" t="s">
        <v>29</v>
      </c>
      <c r="C6" s="98" t="s">
        <v>38</v>
      </c>
      <c r="D6" s="98" t="s">
        <v>30</v>
      </c>
      <c r="E6" s="98" t="s">
        <v>40</v>
      </c>
      <c r="F6" s="98" t="s">
        <v>31</v>
      </c>
      <c r="G6" s="98" t="s">
        <v>41</v>
      </c>
      <c r="H6" s="98" t="s">
        <v>42</v>
      </c>
      <c r="I6" s="98" t="s">
        <v>43</v>
      </c>
      <c r="J6" s="98" t="s">
        <v>44</v>
      </c>
      <c r="K6" s="98" t="s">
        <v>45</v>
      </c>
      <c r="L6" s="98" t="s">
        <v>48</v>
      </c>
      <c r="M6" s="98" t="s">
        <v>49</v>
      </c>
      <c r="N6" s="98" t="s">
        <v>50</v>
      </c>
      <c r="O6" s="98"/>
      <c r="P6" s="98" t="s">
        <v>33</v>
      </c>
      <c r="Q6" s="98" t="s">
        <v>34</v>
      </c>
    </row>
    <row r="7" ht="14.5" spans="1:17">
      <c r="A7" s="98"/>
      <c r="B7" s="98">
        <v>80000001</v>
      </c>
      <c r="C7" s="98" t="s">
        <v>545</v>
      </c>
      <c r="D7" s="98" t="str">
        <f>VLOOKUP(B7,Sheet4!T:Y,4,FALSE)</f>
        <v>1001,619424,1;1001,214001,5;1001,214007,5;5,0,100000</v>
      </c>
      <c r="E7" s="98">
        <f>VLOOKUP(B7,Sheet4!T:Y,2,FALSE)</f>
        <v>0</v>
      </c>
      <c r="F7" s="98">
        <f>VLOOKUP(B7,Sheet4!T:Y,2,FALSE)</f>
        <v>0</v>
      </c>
      <c r="G7" s="98">
        <v>1</v>
      </c>
      <c r="H7" s="98">
        <v>9</v>
      </c>
      <c r="I7" s="98">
        <v>0</v>
      </c>
      <c r="J7" s="98">
        <v>1</v>
      </c>
      <c r="K7" s="98">
        <f>VLOOKUP(B7,Sheet4!T:Y,3,FALSE)</f>
        <v>1</v>
      </c>
      <c r="L7" s="98"/>
      <c r="M7" s="100" t="s">
        <v>547</v>
      </c>
      <c r="N7" s="100" t="s">
        <v>548</v>
      </c>
      <c r="O7" s="98">
        <v>1</v>
      </c>
      <c r="P7" s="98" t="str">
        <f>VLOOKUP(B7,Sheet4!T:Y,5,FALSE)</f>
        <v>1001,619425,1;1001,216002,5;1001,800002,2;1001,215011,1;1001,221011,1;</v>
      </c>
      <c r="Q7" s="98">
        <f>VLOOKUP(B7,Sheet4!T:Y,6,FALSE)</f>
        <v>1</v>
      </c>
    </row>
    <row r="8" ht="14.5" spans="1:17">
      <c r="A8" s="98"/>
      <c r="B8" s="98">
        <v>80000002</v>
      </c>
      <c r="C8" s="98" t="s">
        <v>551</v>
      </c>
      <c r="D8" s="98" t="str">
        <f>VLOOKUP(B8,Sheet4!T:Y,4,FALSE)</f>
        <v>1001,215011,1;1001,216001,5;1001,215007,5;5,0,180000</v>
      </c>
      <c r="E8" s="98">
        <f>VLOOKUP(B8,Sheet4!T:Y,2,FALSE)</f>
        <v>6</v>
      </c>
      <c r="F8" s="98">
        <f>VLOOKUP(B8,Sheet4!T:Y,2,FALSE)</f>
        <v>6</v>
      </c>
      <c r="G8" s="98">
        <v>0</v>
      </c>
      <c r="H8" s="98">
        <v>9</v>
      </c>
      <c r="I8" s="98">
        <v>0</v>
      </c>
      <c r="J8" s="98">
        <v>1</v>
      </c>
      <c r="K8" s="98">
        <f>VLOOKUP(B8,Sheet4!T:Y,3,FALSE)</f>
        <v>1</v>
      </c>
      <c r="L8" s="98"/>
      <c r="M8" s="100" t="s">
        <v>547</v>
      </c>
      <c r="N8" s="100" t="s">
        <v>548</v>
      </c>
      <c r="O8" s="98">
        <v>2</v>
      </c>
      <c r="P8" s="98" t="str">
        <f>VLOOKUP(B8,Sheet4!T:Y,5,FALSE)</f>
        <v>1001,221011,1;1001,216002,5;1001,511168,1;1001,619425,1;</v>
      </c>
      <c r="Q8" s="98">
        <f>VLOOKUP(B8,Sheet4!T:Y,6,FALSE)</f>
        <v>1</v>
      </c>
    </row>
    <row r="9" ht="14.5" spans="1:17">
      <c r="A9" s="98"/>
      <c r="B9" s="98">
        <v>80000003</v>
      </c>
      <c r="C9" s="98" t="s">
        <v>555</v>
      </c>
      <c r="D9" s="98" t="str">
        <f>VLOOKUP(B9,Sheet4!T:Y,4,FALSE)</f>
        <v>1001,910001,1;1001,210121,3;1001,216001,5;1001,215007,5;5,0,180000;1001,800005,3;</v>
      </c>
      <c r="E9" s="98">
        <f>VLOOKUP(B9,Sheet4!T:Y,2,FALSE)</f>
        <v>30</v>
      </c>
      <c r="F9" s="98">
        <f>VLOOKUP(B9,Sheet4!T:Y,2,FALSE)</f>
        <v>30</v>
      </c>
      <c r="G9" s="98">
        <v>0</v>
      </c>
      <c r="H9" s="98">
        <v>9</v>
      </c>
      <c r="I9" s="98">
        <v>0</v>
      </c>
      <c r="J9" s="98">
        <v>1</v>
      </c>
      <c r="K9" s="98">
        <f>VLOOKUP(B9,Sheet4!T:Y,3,FALSE)</f>
        <v>2</v>
      </c>
      <c r="L9" s="98"/>
      <c r="M9" s="100" t="s">
        <v>547</v>
      </c>
      <c r="N9" s="100" t="s">
        <v>548</v>
      </c>
      <c r="O9" s="98">
        <v>3</v>
      </c>
      <c r="P9" s="98" t="str">
        <f>VLOOKUP(B9,Sheet4!T:Y,5,FALSE)</f>
        <v>1001,619424,2;1001,216002,20;1001,511168,1;1001,215015,3;1001,215011,3;</v>
      </c>
      <c r="Q9" s="98">
        <f>VLOOKUP(B9,Sheet4!T:Y,6,FALSE)</f>
        <v>2</v>
      </c>
    </row>
    <row r="10" ht="14.5" spans="1:17">
      <c r="A10" s="98"/>
      <c r="B10" s="98">
        <v>80000004</v>
      </c>
      <c r="C10" s="98" t="s">
        <v>559</v>
      </c>
      <c r="D10" s="98" t="str">
        <f>VLOOKUP(B10,Sheet4!T:Y,4,FALSE)</f>
        <v>1001,910003,1;1001,210121,3;1001,216001,5;1001,215007,5;5,0,180000;1001,800005,3;</v>
      </c>
      <c r="E10" s="98">
        <f>VLOOKUP(B10,Sheet4!T:Y,2,FALSE)</f>
        <v>168</v>
      </c>
      <c r="F10" s="98">
        <f>VLOOKUP(B10,Sheet4!T:Y,2,FALSE)</f>
        <v>168</v>
      </c>
      <c r="G10" s="98">
        <v>0</v>
      </c>
      <c r="H10" s="98">
        <v>9</v>
      </c>
      <c r="I10" s="98">
        <v>0</v>
      </c>
      <c r="J10" s="98">
        <v>1</v>
      </c>
      <c r="K10" s="98">
        <f>VLOOKUP(B10,Sheet4!T:Y,3,FALSE)</f>
        <v>2</v>
      </c>
      <c r="L10" s="98"/>
      <c r="M10" s="100" t="s">
        <v>547</v>
      </c>
      <c r="N10" s="100" t="s">
        <v>548</v>
      </c>
      <c r="O10" s="98">
        <v>4</v>
      </c>
      <c r="P10" s="98" t="str">
        <f>VLOOKUP(B10,Sheet4!T:Y,5,FALSE)</f>
        <v>1001,619424,6;1001,216002,50;1001,511170,1;1001,215015,6;1001,215011,6;1,0,1888</v>
      </c>
      <c r="Q10" s="98">
        <f>VLOOKUP(B10,Sheet4!T:Y,6,FALSE)</f>
        <v>2</v>
      </c>
    </row>
    <row r="11" ht="14.5" spans="1:17">
      <c r="A11" s="98"/>
      <c r="B11" s="98">
        <v>80000005</v>
      </c>
      <c r="C11" s="98" t="s">
        <v>563</v>
      </c>
      <c r="D11" s="98" t="str">
        <f>VLOOKUP(B11,Sheet4!T:Y,4,FALSE)</f>
        <v>1001,619424,15;1001,216001,20;1001,215007,20;1001,210121,20;1001,720001,20;1010,0,20</v>
      </c>
      <c r="E11" s="98">
        <f>VLOOKUP(B11,Sheet4!T:Y,2,FALSE)</f>
        <v>328</v>
      </c>
      <c r="F11" s="98">
        <f>VLOOKUP(B11,Sheet4!T:Y,2,FALSE)</f>
        <v>328</v>
      </c>
      <c r="G11" s="98">
        <v>0</v>
      </c>
      <c r="H11" s="98">
        <v>9</v>
      </c>
      <c r="I11" s="98">
        <v>0</v>
      </c>
      <c r="J11" s="98">
        <v>1</v>
      </c>
      <c r="K11" s="98">
        <f>VLOOKUP(B11,Sheet4!T:Y,3,FALSE)</f>
        <v>2</v>
      </c>
      <c r="L11" s="98"/>
      <c r="M11" s="100" t="s">
        <v>547</v>
      </c>
      <c r="N11" s="100" t="s">
        <v>548</v>
      </c>
      <c r="O11" s="98">
        <v>5</v>
      </c>
      <c r="P11" s="98" t="str">
        <f>VLOOKUP(B11,Sheet4!T:Y,5,FALSE)</f>
        <v>1001,1200001,1;1001,514032,180;1001,216002,180;1001,511588,2;1001,215015,30;1001,215011,30;1001,221011,30;</v>
      </c>
      <c r="Q11" s="98">
        <f>VLOOKUP(B11,Sheet4!T:Y,6,FALSE)</f>
        <v>1</v>
      </c>
    </row>
    <row r="12" ht="14.5" spans="1:17">
      <c r="A12" s="98"/>
      <c r="B12" s="98">
        <v>80000006</v>
      </c>
      <c r="C12" s="98" t="s">
        <v>567</v>
      </c>
      <c r="D12" s="98" t="str">
        <f>VLOOKUP(B12,Sheet4!T:Y,4,FALSE)</f>
        <v>1001,619424,25;1001,216001,20;1001,215007,20;1001,210121,20;1001,720001,20;1010,0,20</v>
      </c>
      <c r="E12" s="98">
        <f>VLOOKUP(B12,Sheet4!T:Y,2,FALSE)</f>
        <v>648</v>
      </c>
      <c r="F12" s="98">
        <f>VLOOKUP(B12,Sheet4!T:Y,2,FALSE)</f>
        <v>648</v>
      </c>
      <c r="G12" s="98">
        <v>0</v>
      </c>
      <c r="H12" s="98">
        <v>9</v>
      </c>
      <c r="I12" s="98">
        <v>0</v>
      </c>
      <c r="J12" s="98">
        <v>1</v>
      </c>
      <c r="K12" s="98">
        <f>VLOOKUP(B12,Sheet4!T:Y,3,FALSE)</f>
        <v>2</v>
      </c>
      <c r="L12" s="98"/>
      <c r="M12" s="100" t="s">
        <v>547</v>
      </c>
      <c r="N12" s="100" t="s">
        <v>548</v>
      </c>
      <c r="O12" s="98">
        <v>6</v>
      </c>
      <c r="P12" s="98" t="str">
        <f>VLOOKUP(B12,Sheet4!T:Y,5,FALSE)</f>
        <v>1001,1200001,2;1001,511588,5;1001,216002,380;1001,215015,68;1001,215011,68;1001,221011,68;1001,514032,400;</v>
      </c>
      <c r="Q12" s="98">
        <f>VLOOKUP(B12,Sheet4!T:Y,6,FALSE)</f>
        <v>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6384"/>
  <sheetViews>
    <sheetView workbookViewId="0">
      <selection activeCell="D18" sqref="D18"/>
    </sheetView>
  </sheetViews>
  <sheetFormatPr defaultColWidth="9" defaultRowHeight="14.5"/>
  <cols>
    <col min="1" max="1" width="5.12727272727273" style="93" customWidth="1"/>
    <col min="2" max="2" width="11.1272727272727" style="93" customWidth="1"/>
    <col min="3" max="3" width="3.12727272727273" style="94" customWidth="1"/>
    <col min="4" max="4" width="16" style="93" customWidth="1"/>
    <col min="5" max="5" width="4.37272727272727" style="94" customWidth="1"/>
    <col min="6" max="6" width="12" style="93" customWidth="1"/>
    <col min="7" max="7" width="4.37272727272727" style="94" customWidth="1"/>
    <col min="8" max="8" width="15" style="93" customWidth="1"/>
    <col min="9" max="9" width="7.37272727272727" style="94" customWidth="1"/>
    <col min="10" max="10" width="10.8727272727273" style="93" customWidth="1"/>
    <col min="11" max="11" width="7.37272727272727" style="94" customWidth="1"/>
    <col min="12" max="12" width="12.8727272727273" style="93" customWidth="1"/>
    <col min="13" max="13" width="5.37272727272727" style="94" customWidth="1"/>
    <col min="14" max="14" width="10.8727272727273" style="93" customWidth="1"/>
    <col min="15" max="15" width="4.37272727272727" style="93" customWidth="1"/>
    <col min="16" max="16" width="79.6272727272727" style="93" customWidth="1"/>
    <col min="17" max="17" width="6.37272727272727" style="93" customWidth="1"/>
    <col min="18" max="19" width="2.37272727272727" style="93" customWidth="1"/>
    <col min="20" max="20" width="9.37272727272727" style="93" customWidth="1"/>
    <col min="21" max="16384" width="9" style="93" customWidth="1"/>
  </cols>
  <sheetData>
    <row r="1" s="93" customFormat="1" ht="29" spans="1:25">
      <c r="A1" s="95" t="s">
        <v>661</v>
      </c>
      <c r="B1" s="95" t="s">
        <v>662</v>
      </c>
      <c r="C1" s="96">
        <v>1</v>
      </c>
      <c r="D1" s="93" t="s">
        <v>663</v>
      </c>
      <c r="E1" s="94">
        <v>5</v>
      </c>
      <c r="F1" s="95" t="s">
        <v>664</v>
      </c>
      <c r="G1" s="96">
        <v>5</v>
      </c>
      <c r="H1" s="93" t="s">
        <v>665</v>
      </c>
      <c r="I1" s="94">
        <v>100000</v>
      </c>
      <c r="K1" s="94"/>
      <c r="M1" s="94"/>
      <c r="P1" s="93" t="str">
        <f>Q1&amp;VLOOKUP(B1,Sheet5!E:F,2,FALSE)&amp;R1&amp;C1&amp;S1&amp;Q1&amp;VLOOKUP(D1,Sheet5!E:F,2,FALSE)&amp;R1&amp;E1&amp;S1&amp;Q1&amp;VLOOKUP(F1,Sheet5!E:F,2,FALSE)&amp;R1&amp;G1&amp;S1&amp;"5,0,100000"</f>
        <v>1001,619055,1;1001,214001,5;1001,214007,5;5,0,100000</v>
      </c>
      <c r="Q1" s="93" t="s">
        <v>666</v>
      </c>
      <c r="R1" s="93" t="s">
        <v>667</v>
      </c>
      <c r="S1" s="93" t="s">
        <v>668</v>
      </c>
      <c r="V1" s="93" t="s">
        <v>669</v>
      </c>
      <c r="W1" s="93" t="s">
        <v>670</v>
      </c>
      <c r="X1" s="93" t="s">
        <v>671</v>
      </c>
      <c r="Y1" s="93" t="s">
        <v>672</v>
      </c>
    </row>
    <row r="2" s="93" customFormat="1" spans="1:25">
      <c r="A2" s="95" t="s">
        <v>673</v>
      </c>
      <c r="B2" s="95" t="s">
        <v>674</v>
      </c>
      <c r="C2" s="96">
        <v>1</v>
      </c>
      <c r="D2" s="93" t="s">
        <v>675</v>
      </c>
      <c r="E2" s="94">
        <v>5</v>
      </c>
      <c r="F2" s="95" t="s">
        <v>676</v>
      </c>
      <c r="G2" s="96">
        <v>5</v>
      </c>
      <c r="H2" s="93" t="s">
        <v>665</v>
      </c>
      <c r="I2" s="94">
        <v>180000</v>
      </c>
      <c r="K2" s="94"/>
      <c r="M2" s="94"/>
      <c r="P2" s="93" t="str">
        <f>Q2&amp;VLOOKUP(B2,Sheet5!E:F,2,FALSE)&amp;R2&amp;C2&amp;S2&amp;Q2&amp;VLOOKUP(D2,Sheet5!E:F,2,FALSE)&amp;R2&amp;E2&amp;S2&amp;Q2&amp;VLOOKUP(F2,Sheet5!E:F,2,FALSE)&amp;R2&amp;G2&amp;S2&amp;"5,0,180000"</f>
        <v>1001,215011,1;1001,216001,5;1001,215007,5;5,0,180000</v>
      </c>
      <c r="Q2" s="93" t="s">
        <v>666</v>
      </c>
      <c r="R2" s="93" t="s">
        <v>667</v>
      </c>
      <c r="S2" s="93" t="s">
        <v>668</v>
      </c>
      <c r="T2" s="93">
        <v>80000001</v>
      </c>
      <c r="U2" s="93">
        <v>0</v>
      </c>
      <c r="V2" s="93">
        <v>1</v>
      </c>
      <c r="W2" s="93" t="s">
        <v>546</v>
      </c>
      <c r="X2" s="93" t="s">
        <v>549</v>
      </c>
      <c r="Y2" s="93">
        <v>1</v>
      </c>
    </row>
    <row r="3" s="93" customFormat="1" ht="29" spans="1:25">
      <c r="A3" s="95" t="s">
        <v>677</v>
      </c>
      <c r="B3" s="95" t="s">
        <v>678</v>
      </c>
      <c r="C3" s="96">
        <v>1</v>
      </c>
      <c r="D3" s="93" t="s">
        <v>679</v>
      </c>
      <c r="E3" s="94">
        <v>3</v>
      </c>
      <c r="F3" s="95" t="s">
        <v>675</v>
      </c>
      <c r="G3" s="96">
        <v>5</v>
      </c>
      <c r="H3" s="93" t="s">
        <v>676</v>
      </c>
      <c r="I3" s="94">
        <v>5</v>
      </c>
      <c r="J3" s="93" t="s">
        <v>665</v>
      </c>
      <c r="K3" s="94">
        <v>180000</v>
      </c>
      <c r="L3" s="93" t="s">
        <v>680</v>
      </c>
      <c r="M3" s="94">
        <v>3</v>
      </c>
      <c r="P3" s="93" t="str">
        <f>Q3&amp;VLOOKUP(B3,Sheet5!E:F,2,FALSE)&amp;R3&amp;C3&amp;S3&amp;Q3&amp;VLOOKUP(D3,Sheet5!E:F,2,FALSE)&amp;R3&amp;E3&amp;S3&amp;Q3&amp;VLOOKUP(F3,Sheet5!E:F,2,FALSE)&amp;R3&amp;G3&amp;S3&amp;Q3&amp;VLOOKUP(H3,Sheet5!E:F,2,FALSE)&amp;R3&amp;I3&amp;S3&amp;"5,0,180000"&amp;S1&amp;Q3&amp;VLOOKUP(L3,Sheet5!E:F,2,FALSE)&amp;R3&amp;M3&amp;S3</f>
        <v>1001,910001,1;1001,210121,3;1001,216001,5;1001,215007,5;5,0,180000;1001,800005,3;</v>
      </c>
      <c r="Q3" s="93" t="s">
        <v>666</v>
      </c>
      <c r="R3" s="93" t="s">
        <v>667</v>
      </c>
      <c r="S3" s="93" t="s">
        <v>668</v>
      </c>
      <c r="T3" s="93">
        <v>80000002</v>
      </c>
      <c r="U3" s="93">
        <v>6</v>
      </c>
      <c r="V3" s="93">
        <v>1</v>
      </c>
      <c r="W3" s="93" t="s">
        <v>552</v>
      </c>
      <c r="X3" s="93" t="s">
        <v>554</v>
      </c>
      <c r="Y3" s="93">
        <v>1</v>
      </c>
    </row>
    <row r="4" s="93" customFormat="1" ht="29" spans="1:25">
      <c r="A4" s="95" t="s">
        <v>681</v>
      </c>
      <c r="B4" s="95" t="s">
        <v>682</v>
      </c>
      <c r="C4" s="96">
        <v>1</v>
      </c>
      <c r="D4" s="93" t="s">
        <v>679</v>
      </c>
      <c r="E4" s="94">
        <v>3</v>
      </c>
      <c r="F4" s="95" t="s">
        <v>675</v>
      </c>
      <c r="G4" s="96">
        <v>5</v>
      </c>
      <c r="H4" s="93" t="s">
        <v>676</v>
      </c>
      <c r="I4" s="94">
        <v>5</v>
      </c>
      <c r="J4" s="93" t="s">
        <v>665</v>
      </c>
      <c r="K4" s="94">
        <v>180000</v>
      </c>
      <c r="L4" s="93" t="s">
        <v>680</v>
      </c>
      <c r="M4" s="94">
        <v>3</v>
      </c>
      <c r="P4" s="93" t="str">
        <f>Q4&amp;VLOOKUP(B4,Sheet5!E:F,2,FALSE)&amp;R4&amp;C4&amp;S4&amp;Q4&amp;VLOOKUP(D4,Sheet5!E:F,2,FALSE)&amp;R4&amp;E4&amp;S4&amp;Q4&amp;VLOOKUP(F4,Sheet5!E:F,2,FALSE)&amp;R4&amp;G4&amp;S4&amp;Q4&amp;VLOOKUP(H4,Sheet5!E:F,2,FALSE)&amp;R4&amp;I4&amp;S4&amp;"5,0,180000"&amp;S2&amp;Q4&amp;VLOOKUP(L4,Sheet5!E:F,2,FALSE)&amp;R4&amp;M4&amp;S4</f>
        <v>1001,910003,1;1001,210121,3;1001,216001,5;1001,215007,5;5,0,180000;1001,800005,3;</v>
      </c>
      <c r="Q4" s="93" t="s">
        <v>666</v>
      </c>
      <c r="R4" s="93" t="s">
        <v>667</v>
      </c>
      <c r="S4" s="93" t="s">
        <v>668</v>
      </c>
      <c r="T4" s="93">
        <v>80000003</v>
      </c>
      <c r="U4" s="93">
        <v>30</v>
      </c>
      <c r="V4" s="93">
        <v>2</v>
      </c>
      <c r="W4" s="93" t="s">
        <v>556</v>
      </c>
      <c r="X4" s="93" t="s">
        <v>558</v>
      </c>
      <c r="Y4" s="93">
        <v>2</v>
      </c>
    </row>
    <row r="5" s="93" customFormat="1" spans="1:25">
      <c r="A5" s="95" t="s">
        <v>683</v>
      </c>
      <c r="B5" s="95" t="s">
        <v>662</v>
      </c>
      <c r="C5" s="96">
        <v>15</v>
      </c>
      <c r="D5" s="93" t="s">
        <v>675</v>
      </c>
      <c r="E5" s="94">
        <v>20</v>
      </c>
      <c r="F5" s="95" t="s">
        <v>676</v>
      </c>
      <c r="G5" s="96">
        <v>20</v>
      </c>
      <c r="H5" s="93" t="s">
        <v>679</v>
      </c>
      <c r="I5" s="94">
        <v>20</v>
      </c>
      <c r="J5" s="93" t="s">
        <v>684</v>
      </c>
      <c r="K5" s="94">
        <v>20</v>
      </c>
      <c r="L5" s="93" t="s">
        <v>685</v>
      </c>
      <c r="M5" s="94">
        <v>20</v>
      </c>
      <c r="P5" s="93" t="str">
        <f>Q5&amp;VLOOKUP(B5,Sheet5!E:F,2,FALSE)&amp;R5&amp;C5&amp;S5&amp;Q5&amp;VLOOKUP(D5,Sheet5!E:F,2,FALSE)&amp;R5&amp;E5&amp;S5&amp;Q5&amp;VLOOKUP(F5,Sheet5!E:F,2,FALSE)&amp;R5&amp;G5&amp;S5&amp;Q5&amp;VLOOKUP(H5,Sheet5!E:F,2,FALSE)&amp;R5&amp;I5&amp;S5&amp;Q5&amp;VLOOKUP(J5,Sheet5!E:F,2,FALSE)&amp;R5&amp;K5&amp;S5&amp;"1010,0,20"</f>
        <v>1001,619055,15;1001,216001,20;1001,215007,20;1001,210121,20;1001,720001,20;1010,0,20</v>
      </c>
      <c r="Q5" s="93" t="s">
        <v>666</v>
      </c>
      <c r="R5" s="93" t="s">
        <v>667</v>
      </c>
      <c r="S5" s="93" t="s">
        <v>668</v>
      </c>
      <c r="T5" s="93">
        <v>80000004</v>
      </c>
      <c r="U5" s="93">
        <v>168</v>
      </c>
      <c r="V5" s="93">
        <v>2</v>
      </c>
      <c r="W5" s="93" t="s">
        <v>560</v>
      </c>
      <c r="X5" s="93" t="s">
        <v>562</v>
      </c>
      <c r="Y5" s="93">
        <v>2</v>
      </c>
    </row>
    <row r="6" s="93" customFormat="1" spans="1:25">
      <c r="A6" s="95" t="s">
        <v>686</v>
      </c>
      <c r="B6" s="95" t="s">
        <v>662</v>
      </c>
      <c r="C6" s="96">
        <v>25</v>
      </c>
      <c r="D6" s="93" t="s">
        <v>675</v>
      </c>
      <c r="E6" s="94">
        <v>20</v>
      </c>
      <c r="F6" s="95" t="s">
        <v>676</v>
      </c>
      <c r="G6" s="96">
        <v>20</v>
      </c>
      <c r="H6" s="93" t="s">
        <v>679</v>
      </c>
      <c r="I6" s="94">
        <v>20</v>
      </c>
      <c r="J6" s="93" t="s">
        <v>684</v>
      </c>
      <c r="K6" s="94">
        <v>20</v>
      </c>
      <c r="L6" s="93" t="s">
        <v>685</v>
      </c>
      <c r="M6" s="94">
        <v>20</v>
      </c>
      <c r="P6" s="93" t="str">
        <f>Q6&amp;VLOOKUP(B6,Sheet5!E:F,2,FALSE)&amp;R6&amp;C6&amp;S6&amp;Q6&amp;VLOOKUP(D6,Sheet5!E:F,2,FALSE)&amp;R6&amp;E6&amp;S6&amp;Q6&amp;VLOOKUP(F6,Sheet5!E:F,2,FALSE)&amp;R6&amp;G6&amp;S6&amp;Q6&amp;VLOOKUP(H6,Sheet5!E:F,2,FALSE)&amp;R6&amp;I6&amp;S6&amp;Q6&amp;VLOOKUP(J6,Sheet5!E:F,2,FALSE)&amp;R6&amp;K6&amp;S6&amp;"1010,0,20"</f>
        <v>1001,619055,25;1001,216001,20;1001,215007,20;1001,210121,20;1001,720001,20;1010,0,20</v>
      </c>
      <c r="Q6" s="93" t="s">
        <v>666</v>
      </c>
      <c r="R6" s="93" t="s">
        <v>667</v>
      </c>
      <c r="S6" s="93" t="s">
        <v>668</v>
      </c>
      <c r="T6" s="93">
        <v>80000005</v>
      </c>
      <c r="U6" s="93">
        <v>328</v>
      </c>
      <c r="V6" s="93">
        <v>2</v>
      </c>
      <c r="W6" s="93" t="s">
        <v>564</v>
      </c>
      <c r="X6" s="93" t="s">
        <v>566</v>
      </c>
      <c r="Y6" s="93">
        <v>1</v>
      </c>
    </row>
    <row r="7" s="93" customFormat="1" spans="1:25">
      <c r="A7" s="95"/>
      <c r="B7" s="95"/>
      <c r="C7" s="96"/>
      <c r="D7" s="95"/>
      <c r="E7" s="96"/>
      <c r="F7" s="95"/>
      <c r="G7" s="96"/>
      <c r="I7" s="94"/>
      <c r="K7" s="94"/>
      <c r="M7" s="94"/>
      <c r="T7" s="93">
        <v>80000006</v>
      </c>
      <c r="U7" s="93">
        <v>648</v>
      </c>
      <c r="V7" s="93">
        <v>2</v>
      </c>
      <c r="W7" s="93" t="s">
        <v>568</v>
      </c>
      <c r="X7" s="93" t="s">
        <v>570</v>
      </c>
      <c r="Y7" s="93">
        <v>1</v>
      </c>
    </row>
    <row r="8" s="93" customFormat="1" spans="3:13">
      <c r="C8" s="94"/>
      <c r="E8" s="94"/>
      <c r="G8" s="94"/>
      <c r="I8" s="94"/>
      <c r="K8" s="94"/>
      <c r="M8" s="94"/>
    </row>
    <row r="9" s="93" customFormat="1" spans="1:19">
      <c r="A9" s="95"/>
      <c r="B9" s="95" t="s">
        <v>687</v>
      </c>
      <c r="C9" s="96">
        <v>1</v>
      </c>
      <c r="D9" s="95" t="s">
        <v>688</v>
      </c>
      <c r="E9" s="96">
        <v>5</v>
      </c>
      <c r="F9" s="95" t="s">
        <v>689</v>
      </c>
      <c r="G9" s="96">
        <v>2</v>
      </c>
      <c r="H9" s="93" t="s">
        <v>674</v>
      </c>
      <c r="I9" s="94">
        <v>1</v>
      </c>
      <c r="J9" s="93" t="s">
        <v>690</v>
      </c>
      <c r="K9" s="94">
        <v>1</v>
      </c>
      <c r="M9" s="94"/>
      <c r="P9" s="93" t="str">
        <f>Q9&amp;VLOOKUP(B9,Sheet5!E:F,2,FALSE)&amp;R9&amp;C9&amp;S9&amp;Q9&amp;VLOOKUP(D9,Sheet5!E:F,2,FALSE)&amp;R9&amp;E9&amp;S9&amp;Q9&amp;VLOOKUP(F9,Sheet5!E:F,2,FALSE)&amp;R9&amp;G9&amp;S9&amp;Q9&amp;VLOOKUP(H9,Sheet5!E:F,2,FALSE)&amp;R9&amp;I9&amp;S9&amp;Q9&amp;VLOOKUP(J9,Sheet5!E:F,2,FALSE)&amp;R9&amp;K9&amp;S9</f>
        <v>1001,619056,1;1001,216002,5;1001,800002,2;1001,215011,1;1001,221011,1;</v>
      </c>
      <c r="Q9" s="93" t="s">
        <v>666</v>
      </c>
      <c r="R9" s="93" t="s">
        <v>667</v>
      </c>
      <c r="S9" s="93" t="s">
        <v>668</v>
      </c>
    </row>
    <row r="10" s="93" customFormat="1" spans="2:19">
      <c r="B10" s="95" t="s">
        <v>690</v>
      </c>
      <c r="C10" s="96">
        <v>1</v>
      </c>
      <c r="D10" s="93" t="s">
        <v>688</v>
      </c>
      <c r="E10" s="94">
        <v>5</v>
      </c>
      <c r="F10" s="93" t="s">
        <v>691</v>
      </c>
      <c r="G10" s="94">
        <v>1</v>
      </c>
      <c r="H10" s="93" t="s">
        <v>687</v>
      </c>
      <c r="I10" s="94">
        <v>1</v>
      </c>
      <c r="K10" s="94"/>
      <c r="M10" s="94"/>
      <c r="P10" s="93" t="str">
        <f>Q10&amp;VLOOKUP(B10,Sheet5!E:F,2,FALSE)&amp;R10&amp;C10&amp;S10&amp;Q10&amp;VLOOKUP(D10,Sheet5!E:F,2,FALSE)&amp;R10&amp;E10&amp;S10&amp;Q10&amp;VLOOKUP(F10,Sheet5!E:F,2,FALSE)&amp;R10&amp;G10&amp;S10&amp;Q10&amp;VLOOKUP(H10,Sheet5!E:F,2,FALSE)&amp;R10&amp;I10&amp;S10</f>
        <v>1001,221011,1;1001,216002,5;1001,511168,1;1001,619056,1;</v>
      </c>
      <c r="Q10" s="93" t="s">
        <v>666</v>
      </c>
      <c r="R10" s="93" t="s">
        <v>667</v>
      </c>
      <c r="S10" s="93" t="s">
        <v>668</v>
      </c>
    </row>
    <row r="11" s="93" customFormat="1" spans="1:19">
      <c r="A11" s="95"/>
      <c r="B11" s="95" t="s">
        <v>662</v>
      </c>
      <c r="C11" s="96">
        <v>2</v>
      </c>
      <c r="D11" s="95" t="s">
        <v>688</v>
      </c>
      <c r="E11" s="96">
        <v>20</v>
      </c>
      <c r="F11" s="93" t="s">
        <v>691</v>
      </c>
      <c r="G11" s="96">
        <v>1</v>
      </c>
      <c r="H11" s="93" t="s">
        <v>692</v>
      </c>
      <c r="I11" s="94">
        <v>3</v>
      </c>
      <c r="J11" s="93" t="s">
        <v>674</v>
      </c>
      <c r="K11" s="94">
        <v>3</v>
      </c>
      <c r="M11" s="94"/>
      <c r="P11" s="93" t="str">
        <f>Q11&amp;VLOOKUP(B11,Sheet5!E:F,2,FALSE)&amp;R11&amp;C11&amp;S11&amp;Q11&amp;VLOOKUP(D11,Sheet5!E:F,2,FALSE)&amp;R11&amp;E11&amp;S11&amp;Q11&amp;VLOOKUP(F11,Sheet5!E:F,2,FALSE)&amp;R11&amp;G11&amp;S11&amp;Q11&amp;VLOOKUP(H11,Sheet5!E:F,2,FALSE)&amp;R11&amp;I11&amp;S11&amp;Q11&amp;VLOOKUP(J11,Sheet5!E:F,2,FALSE)&amp;R11&amp;K11&amp;S11</f>
        <v>1001,619055,2;1001,216002,20;1001,511168,1;1001,215015,3;1001,215011,3;</v>
      </c>
      <c r="Q11" s="93" t="s">
        <v>666</v>
      </c>
      <c r="R11" s="93" t="s">
        <v>667</v>
      </c>
      <c r="S11" s="93" t="s">
        <v>668</v>
      </c>
    </row>
    <row r="12" s="93" customFormat="1" spans="2:19">
      <c r="B12" s="95" t="s">
        <v>662</v>
      </c>
      <c r="C12" s="96">
        <v>6</v>
      </c>
      <c r="D12" s="93" t="s">
        <v>688</v>
      </c>
      <c r="E12" s="94">
        <v>50</v>
      </c>
      <c r="F12" s="93" t="s">
        <v>693</v>
      </c>
      <c r="G12" s="94">
        <v>1</v>
      </c>
      <c r="H12" s="93" t="s">
        <v>692</v>
      </c>
      <c r="I12" s="94">
        <v>6</v>
      </c>
      <c r="J12" s="93" t="s">
        <v>674</v>
      </c>
      <c r="K12" s="94">
        <v>6</v>
      </c>
      <c r="L12" s="93" t="s">
        <v>694</v>
      </c>
      <c r="M12" s="94">
        <v>1888</v>
      </c>
      <c r="P12" s="93" t="str">
        <f>Q12&amp;VLOOKUP(B12,Sheet5!E:F,2,FALSE)&amp;R12&amp;C12&amp;S12&amp;Q12&amp;VLOOKUP(D12,Sheet5!E:F,2,FALSE)&amp;R12&amp;E12&amp;S12&amp;Q12&amp;VLOOKUP(F12,Sheet5!E:F,2,FALSE)&amp;R12&amp;G12&amp;S12&amp;Q12&amp;VLOOKUP(H12,Sheet5!E:F,2,FALSE)&amp;R12&amp;I12&amp;S12&amp;Q12&amp;VLOOKUP(J12,Sheet5!E:F,2,FALSE)&amp;R12&amp;K12&amp;S12&amp;"1,0,1888"</f>
        <v>1001,619055,6;1001,216002,50;1001,511170,1;1001,215015,6;1001,215011,6;1,0,1888</v>
      </c>
      <c r="Q12" s="93" t="s">
        <v>666</v>
      </c>
      <c r="R12" s="93" t="s">
        <v>667</v>
      </c>
      <c r="S12" s="93" t="s">
        <v>668</v>
      </c>
    </row>
    <row r="13" s="93" customFormat="1" ht="29" spans="1:19">
      <c r="A13" s="95"/>
      <c r="B13" s="95" t="s">
        <v>695</v>
      </c>
      <c r="C13" s="96">
        <v>1</v>
      </c>
      <c r="D13" s="93" t="s">
        <v>696</v>
      </c>
      <c r="E13" s="94">
        <v>180</v>
      </c>
      <c r="F13" s="95" t="s">
        <v>688</v>
      </c>
      <c r="G13" s="96">
        <v>180</v>
      </c>
      <c r="H13" s="95" t="s">
        <v>697</v>
      </c>
      <c r="I13" s="96">
        <v>2</v>
      </c>
      <c r="J13" s="93" t="s">
        <v>692</v>
      </c>
      <c r="K13" s="94">
        <v>30</v>
      </c>
      <c r="L13" s="93" t="s">
        <v>674</v>
      </c>
      <c r="M13" s="94">
        <v>30</v>
      </c>
      <c r="N13" s="93" t="s">
        <v>690</v>
      </c>
      <c r="O13" s="93">
        <v>30</v>
      </c>
      <c r="P13" s="93" t="str">
        <f>Q13&amp;VLOOKUP(B13,Sheet5!E:F,2,FALSE)&amp;R13&amp;C13&amp;S13&amp;Q13&amp;VLOOKUP(D13,Sheet5!E:F,2,FALSE)&amp;R13&amp;E13&amp;S13&amp;Q13&amp;VLOOKUP(F13,Sheet5!E:F,2,FALSE)&amp;R13&amp;G13&amp;S13&amp;Q13&amp;VLOOKUP(H13,Sheet5!E:F,2,FALSE)&amp;R13&amp;I13&amp;S13&amp;Q13&amp;VLOOKUP(J13,Sheet5!E:F,2,FALSE)&amp;R13&amp;K13&amp;S13&amp;Q13&amp;VLOOKUP(L13,Sheet5!E:F,2,FALSE)&amp;R13&amp;M13&amp;S13&amp;Q13&amp;VLOOKUP(N13,Sheet5!E:F,2,FALSE)&amp;R13&amp;O13&amp;S13</f>
        <v>1001,1200001,1;1001,514032,180;1001,216002,180;1001,511588,2;1001,215015,30;1001,215011,30;1001,221011,30;</v>
      </c>
      <c r="Q13" s="93" t="s">
        <v>666</v>
      </c>
      <c r="R13" s="93" t="s">
        <v>667</v>
      </c>
      <c r="S13" s="93" t="s">
        <v>668</v>
      </c>
    </row>
    <row r="14" s="93" customFormat="1" spans="2:19">
      <c r="B14" s="95" t="s">
        <v>695</v>
      </c>
      <c r="C14" s="96">
        <v>2</v>
      </c>
      <c r="D14" s="93" t="s">
        <v>697</v>
      </c>
      <c r="E14" s="94">
        <v>5</v>
      </c>
      <c r="F14" s="93" t="s">
        <v>688</v>
      </c>
      <c r="G14" s="94">
        <v>380</v>
      </c>
      <c r="H14" s="93" t="s">
        <v>692</v>
      </c>
      <c r="I14" s="94">
        <v>68</v>
      </c>
      <c r="J14" s="93" t="s">
        <v>674</v>
      </c>
      <c r="K14" s="94">
        <v>68</v>
      </c>
      <c r="L14" s="93" t="s">
        <v>690</v>
      </c>
      <c r="M14" s="94">
        <v>68</v>
      </c>
      <c r="N14" s="93" t="s">
        <v>696</v>
      </c>
      <c r="O14" s="93">
        <v>400</v>
      </c>
      <c r="P14" s="93" t="str">
        <f>Q14&amp;VLOOKUP(B14,Sheet5!E:F,2,FALSE)&amp;R14&amp;C14&amp;S14&amp;Q14&amp;VLOOKUP(D14,Sheet5!E:F,2,FALSE)&amp;R14&amp;E14&amp;S14&amp;Q14&amp;VLOOKUP(F14,Sheet5!E:F,2,FALSE)&amp;R14&amp;G14&amp;S14&amp;Q14&amp;VLOOKUP(H14,Sheet5!E:F,2,FALSE)&amp;R14&amp;I14&amp;S14&amp;Q14&amp;VLOOKUP(J14,Sheet5!E:F,2,FALSE)&amp;R14&amp;K14&amp;S14&amp;Q14&amp;VLOOKUP(L14,Sheet5!E:F,2,FALSE)&amp;R14&amp;M14&amp;S14&amp;Q14&amp;VLOOKUP(N14,Sheet5!E:F,2,FALSE)&amp;R14&amp;O14&amp;S14</f>
        <v>1001,1200001,2;1001,511588,5;1001,216002,380;1001,215015,68;1001,215011,68;1001,221011,68;1001,514032,400;</v>
      </c>
      <c r="Q14" s="93" t="s">
        <v>666</v>
      </c>
      <c r="R14" s="93" t="s">
        <v>667</v>
      </c>
      <c r="S14" s="93" t="s">
        <v>668</v>
      </c>
    </row>
    <row r="15" s="93" customFormat="1" spans="3:13">
      <c r="C15" s="94"/>
      <c r="E15" s="94"/>
      <c r="G15" s="94"/>
      <c r="I15" s="94"/>
      <c r="K15" s="94"/>
      <c r="M15" s="94"/>
    </row>
    <row r="16" s="93" customFormat="1" spans="3:13">
      <c r="C16" s="94"/>
      <c r="E16" s="94"/>
      <c r="G16" s="94"/>
      <c r="I16" s="94"/>
      <c r="K16" s="94"/>
      <c r="M16" s="94"/>
    </row>
    <row r="17" s="93" customFormat="1" spans="3:13">
      <c r="C17" s="94"/>
      <c r="E17" s="94"/>
      <c r="G17" s="94"/>
      <c r="I17" s="94"/>
      <c r="K17" s="94"/>
      <c r="M17" s="94"/>
    </row>
    <row r="18" s="93" customFormat="1" spans="3:14">
      <c r="C18" s="94"/>
      <c r="E18" s="94"/>
      <c r="G18" s="94"/>
      <c r="I18" s="94"/>
      <c r="K18" s="94"/>
      <c r="M18" s="94"/>
      <c r="N18" s="97"/>
    </row>
    <row r="19" s="93" customFormat="1" spans="3:13">
      <c r="C19" s="94"/>
      <c r="E19" s="94"/>
      <c r="G19" s="94"/>
      <c r="I19" s="94"/>
      <c r="K19" s="94"/>
      <c r="M19" s="94"/>
    </row>
    <row r="20" s="93" customFormat="1" spans="3:11">
      <c r="C20" s="94"/>
      <c r="E20" s="94"/>
      <c r="G20" s="94"/>
      <c r="I20" s="94"/>
      <c r="K20" s="94"/>
    </row>
    <row r="21" s="93" customFormat="1" spans="3:11">
      <c r="C21" s="94"/>
      <c r="E21" s="94"/>
      <c r="G21" s="94"/>
      <c r="I21" s="94"/>
      <c r="K21" s="94"/>
    </row>
    <row r="22" s="93" customFormat="1" spans="3:11">
      <c r="C22" s="94"/>
      <c r="E22" s="94"/>
      <c r="G22" s="94"/>
      <c r="I22" s="94"/>
      <c r="K22" s="94"/>
    </row>
    <row r="23" s="93" customFormat="1" spans="3:11">
      <c r="C23" s="94"/>
      <c r="E23" s="94"/>
      <c r="G23" s="94"/>
      <c r="I23" s="94"/>
      <c r="K23" s="94"/>
    </row>
    <row r="24" s="93" customFormat="1" spans="3:11">
      <c r="C24" s="94"/>
      <c r="E24" s="94"/>
      <c r="G24" s="94"/>
      <c r="I24" s="94"/>
      <c r="K24" s="94"/>
    </row>
    <row r="25" s="93" customFormat="1" spans="3:11">
      <c r="C25" s="94"/>
      <c r="E25" s="94"/>
      <c r="G25" s="94"/>
      <c r="I25" s="94"/>
      <c r="K25" s="94"/>
    </row>
    <row r="26" s="93" customFormat="1" spans="3:11">
      <c r="C26" s="94"/>
      <c r="E26" s="94"/>
      <c r="G26" s="94"/>
      <c r="I26" s="94"/>
      <c r="K26" s="94"/>
    </row>
    <row r="27" s="93" customFormat="1" spans="3:13">
      <c r="C27" s="94"/>
      <c r="E27" s="94"/>
      <c r="G27" s="94"/>
      <c r="I27" s="94"/>
      <c r="K27" s="94"/>
      <c r="M27" s="94"/>
    </row>
    <row r="28" s="93" customFormat="1" spans="3:13">
      <c r="C28" s="94"/>
      <c r="E28" s="94"/>
      <c r="G28" s="94"/>
      <c r="I28" s="94"/>
      <c r="K28" s="94"/>
      <c r="M28" s="94"/>
    </row>
    <row r="29" s="93" customFormat="1" spans="3:13">
      <c r="C29" s="94"/>
      <c r="E29" s="94"/>
      <c r="G29" s="94"/>
      <c r="I29" s="94"/>
      <c r="K29" s="94"/>
      <c r="M29" s="94"/>
    </row>
    <row r="30" s="93" customFormat="1" spans="3:13">
      <c r="C30" s="94"/>
      <c r="E30" s="94"/>
      <c r="G30" s="94"/>
      <c r="I30" s="94"/>
      <c r="K30" s="94"/>
      <c r="M30" s="94"/>
    </row>
    <row r="31" s="93" customFormat="1" spans="3:13">
      <c r="C31" s="94"/>
      <c r="E31" s="94"/>
      <c r="G31" s="94"/>
      <c r="I31" s="94"/>
      <c r="K31" s="94"/>
      <c r="M31" s="94"/>
    </row>
    <row r="32" s="93" customFormat="1" spans="3:13">
      <c r="C32" s="94"/>
      <c r="E32" s="94"/>
      <c r="G32" s="94"/>
      <c r="I32" s="94"/>
      <c r="K32" s="94"/>
      <c r="M32" s="94"/>
    </row>
    <row r="33" s="93" customFormat="1" spans="3:13">
      <c r="C33" s="94"/>
      <c r="E33" s="94"/>
      <c r="G33" s="94"/>
      <c r="I33" s="94"/>
      <c r="K33" s="94"/>
      <c r="M33" s="94"/>
    </row>
    <row r="34" s="93" customFormat="1" spans="3:13">
      <c r="C34" s="94"/>
      <c r="E34" s="94"/>
      <c r="G34" s="94"/>
      <c r="I34" s="94"/>
      <c r="K34" s="94"/>
      <c r="M34" s="94"/>
    </row>
    <row r="35" s="93" customFormat="1" spans="3:13">
      <c r="C35" s="94"/>
      <c r="E35" s="94"/>
      <c r="G35" s="94"/>
      <c r="I35" s="94"/>
      <c r="K35" s="94"/>
      <c r="M35" s="94"/>
    </row>
    <row r="36" s="93" customFormat="1" spans="3:13">
      <c r="C36" s="94"/>
      <c r="E36" s="94"/>
      <c r="G36" s="94"/>
      <c r="I36" s="94"/>
      <c r="K36" s="94"/>
      <c r="M36" s="94"/>
    </row>
    <row r="37" s="93" customFormat="1" spans="3:13">
      <c r="C37" s="94"/>
      <c r="E37" s="94"/>
      <c r="G37" s="94"/>
      <c r="I37" s="94"/>
      <c r="K37" s="94"/>
      <c r="M37" s="94"/>
    </row>
    <row r="38" s="93" customFormat="1" spans="3:13">
      <c r="C38" s="94"/>
      <c r="E38" s="94"/>
      <c r="G38" s="94"/>
      <c r="I38" s="94"/>
      <c r="K38" s="94"/>
      <c r="M38" s="94"/>
    </row>
    <row r="39" s="93" customFormat="1" spans="3:13">
      <c r="C39" s="94"/>
      <c r="E39" s="94"/>
      <c r="G39" s="94"/>
      <c r="I39" s="94"/>
      <c r="K39" s="94"/>
      <c r="M39" s="94"/>
    </row>
    <row r="40" s="93" customFormat="1" spans="3:13">
      <c r="C40" s="94"/>
      <c r="E40" s="94"/>
      <c r="G40" s="94"/>
      <c r="I40" s="94"/>
      <c r="K40" s="94"/>
      <c r="M40" s="94"/>
    </row>
    <row r="41" s="93" customFormat="1" spans="3:13">
      <c r="C41" s="94"/>
      <c r="E41" s="94"/>
      <c r="G41" s="94"/>
      <c r="I41" s="94"/>
      <c r="K41" s="94"/>
      <c r="M41" s="94"/>
    </row>
    <row r="42" s="93" customFormat="1" spans="3:13">
      <c r="C42" s="94"/>
      <c r="E42" s="94"/>
      <c r="G42" s="94"/>
      <c r="I42" s="94"/>
      <c r="K42" s="94"/>
      <c r="M42" s="94"/>
    </row>
    <row r="43" s="93" customFormat="1" spans="3:13">
      <c r="C43" s="94"/>
      <c r="E43" s="94"/>
      <c r="G43" s="94"/>
      <c r="I43" s="94"/>
      <c r="K43" s="94"/>
      <c r="M43" s="94"/>
    </row>
    <row r="44" s="93" customFormat="1" spans="3:13">
      <c r="C44" s="94"/>
      <c r="E44" s="94"/>
      <c r="G44" s="94"/>
      <c r="I44" s="94"/>
      <c r="K44" s="94"/>
      <c r="M44" s="94"/>
    </row>
    <row r="45" s="93" customFormat="1" spans="3:13">
      <c r="C45" s="94"/>
      <c r="E45" s="94"/>
      <c r="G45" s="94"/>
      <c r="I45" s="94"/>
      <c r="K45" s="94"/>
      <c r="M45" s="94"/>
    </row>
    <row r="46" s="93" customFormat="1" spans="3:13">
      <c r="C46" s="94"/>
      <c r="E46" s="94"/>
      <c r="G46" s="94"/>
      <c r="I46" s="94"/>
      <c r="K46" s="94"/>
      <c r="M46" s="94"/>
    </row>
    <row r="47" s="93" customFormat="1" spans="3:13">
      <c r="C47" s="94"/>
      <c r="E47" s="94"/>
      <c r="G47" s="94"/>
      <c r="I47" s="94"/>
      <c r="K47" s="94"/>
      <c r="M47" s="94"/>
    </row>
    <row r="48" s="93" customFormat="1" spans="3:13">
      <c r="C48" s="94"/>
      <c r="E48" s="94"/>
      <c r="G48" s="94"/>
      <c r="I48" s="94"/>
      <c r="K48" s="94"/>
      <c r="M48" s="94"/>
    </row>
    <row r="49" s="93" customFormat="1" spans="3:13">
      <c r="C49" s="94"/>
      <c r="E49" s="94"/>
      <c r="G49" s="94"/>
      <c r="I49" s="94"/>
      <c r="K49" s="94"/>
      <c r="M49" s="94"/>
    </row>
    <row r="50" s="93" customFormat="1" spans="3:13">
      <c r="C50" s="94"/>
      <c r="E50" s="94"/>
      <c r="G50" s="94"/>
      <c r="I50" s="94"/>
      <c r="K50" s="94"/>
      <c r="M50" s="94"/>
    </row>
    <row r="51" s="93" customFormat="1" spans="3:13">
      <c r="C51" s="94"/>
      <c r="E51" s="94"/>
      <c r="G51" s="94"/>
      <c r="I51" s="94"/>
      <c r="K51" s="94"/>
      <c r="M51" s="94"/>
    </row>
    <row r="52" s="93" customFormat="1" spans="3:13">
      <c r="C52" s="94"/>
      <c r="E52" s="94"/>
      <c r="G52" s="94"/>
      <c r="I52" s="94"/>
      <c r="K52" s="94"/>
      <c r="M52" s="94"/>
    </row>
    <row r="53" s="93" customFormat="1" spans="3:13">
      <c r="C53" s="94"/>
      <c r="E53" s="94"/>
      <c r="G53" s="94"/>
      <c r="I53" s="94"/>
      <c r="K53" s="94"/>
      <c r="M53" s="94"/>
    </row>
    <row r="54" s="93" customFormat="1" spans="3:13">
      <c r="C54" s="94"/>
      <c r="E54" s="94"/>
      <c r="G54" s="94"/>
      <c r="I54" s="94"/>
      <c r="K54" s="94"/>
      <c r="M54" s="94"/>
    </row>
    <row r="55" s="93" customFormat="1" spans="3:13">
      <c r="C55" s="94"/>
      <c r="E55" s="94"/>
      <c r="G55" s="94"/>
      <c r="I55" s="94"/>
      <c r="K55" s="94"/>
      <c r="M55" s="94"/>
    </row>
    <row r="56" s="93" customFormat="1" spans="3:13">
      <c r="C56" s="94"/>
      <c r="E56" s="94"/>
      <c r="G56" s="94"/>
      <c r="I56" s="94"/>
      <c r="K56" s="94"/>
      <c r="M56" s="94"/>
    </row>
    <row r="57" s="93" customFormat="1" spans="3:13">
      <c r="C57" s="94"/>
      <c r="E57" s="94"/>
      <c r="G57" s="94"/>
      <c r="I57" s="94"/>
      <c r="K57" s="94"/>
      <c r="M57" s="94"/>
    </row>
    <row r="58" s="93" customFormat="1" spans="3:13">
      <c r="C58" s="94"/>
      <c r="E58" s="94"/>
      <c r="G58" s="94"/>
      <c r="I58" s="94"/>
      <c r="K58" s="94"/>
      <c r="M58" s="94"/>
    </row>
    <row r="59" s="93" customFormat="1" spans="3:13">
      <c r="C59" s="94"/>
      <c r="E59" s="94"/>
      <c r="G59" s="94"/>
      <c r="I59" s="94"/>
      <c r="K59" s="94"/>
      <c r="M59" s="94"/>
    </row>
    <row r="60" s="93" customFormat="1" spans="3:13">
      <c r="C60" s="94"/>
      <c r="E60" s="94"/>
      <c r="G60" s="94"/>
      <c r="I60" s="94"/>
      <c r="K60" s="94"/>
      <c r="M60" s="94"/>
    </row>
    <row r="61" s="93" customFormat="1" spans="3:13">
      <c r="C61" s="94"/>
      <c r="E61" s="94"/>
      <c r="G61" s="94"/>
      <c r="I61" s="94"/>
      <c r="K61" s="94"/>
      <c r="M61" s="94"/>
    </row>
    <row r="62" s="93" customFormat="1" spans="3:13">
      <c r="C62" s="94"/>
      <c r="E62" s="94"/>
      <c r="G62" s="94"/>
      <c r="I62" s="94"/>
      <c r="K62" s="94"/>
      <c r="M62" s="94"/>
    </row>
    <row r="63" s="93" customFormat="1" spans="3:13">
      <c r="C63" s="94"/>
      <c r="E63" s="94"/>
      <c r="G63" s="94"/>
      <c r="I63" s="94"/>
      <c r="K63" s="94"/>
      <c r="M63" s="94"/>
    </row>
    <row r="64" s="93" customFormat="1" spans="3:13">
      <c r="C64" s="94"/>
      <c r="E64" s="94"/>
      <c r="G64" s="94"/>
      <c r="I64" s="94"/>
      <c r="K64" s="94"/>
      <c r="M64" s="94"/>
    </row>
    <row r="65" s="93" customFormat="1" spans="3:13">
      <c r="C65" s="94"/>
      <c r="E65" s="94"/>
      <c r="G65" s="94"/>
      <c r="I65" s="94"/>
      <c r="K65" s="94"/>
      <c r="M65" s="94"/>
    </row>
    <row r="66" s="93" customFormat="1" spans="3:13">
      <c r="C66" s="94"/>
      <c r="E66" s="94"/>
      <c r="G66" s="94"/>
      <c r="I66" s="94"/>
      <c r="K66" s="94"/>
      <c r="M66" s="94"/>
    </row>
    <row r="67" s="93" customFormat="1" spans="3:13">
      <c r="C67" s="94"/>
      <c r="E67" s="94"/>
      <c r="G67" s="94"/>
      <c r="I67" s="94"/>
      <c r="K67" s="94"/>
      <c r="M67" s="94"/>
    </row>
    <row r="68" s="93" customFormat="1" spans="3:13">
      <c r="C68" s="94"/>
      <c r="E68" s="94"/>
      <c r="G68" s="94"/>
      <c r="I68" s="94"/>
      <c r="K68" s="94"/>
      <c r="M68" s="94"/>
    </row>
    <row r="69" s="93" customFormat="1" spans="3:13">
      <c r="C69" s="94"/>
      <c r="E69" s="94"/>
      <c r="G69" s="94"/>
      <c r="I69" s="94"/>
      <c r="K69" s="94"/>
      <c r="M69" s="94"/>
    </row>
    <row r="70" s="93" customFormat="1" spans="3:13">
      <c r="C70" s="94"/>
      <c r="E70" s="94"/>
      <c r="G70" s="94"/>
      <c r="I70" s="94"/>
      <c r="K70" s="94"/>
      <c r="M70" s="94"/>
    </row>
    <row r="71" s="93" customFormat="1" spans="3:13">
      <c r="C71" s="94"/>
      <c r="E71" s="94"/>
      <c r="G71" s="94"/>
      <c r="I71" s="94"/>
      <c r="K71" s="94"/>
      <c r="M71" s="94"/>
    </row>
    <row r="72" s="93" customFormat="1" spans="3:13">
      <c r="C72" s="94"/>
      <c r="E72" s="94"/>
      <c r="G72" s="94"/>
      <c r="I72" s="94"/>
      <c r="K72" s="94"/>
      <c r="M72" s="94"/>
    </row>
    <row r="73" s="93" customFormat="1" spans="3:13">
      <c r="C73" s="94"/>
      <c r="E73" s="94"/>
      <c r="G73" s="94"/>
      <c r="I73" s="94"/>
      <c r="K73" s="94"/>
      <c r="M73" s="94"/>
    </row>
    <row r="74" s="93" customFormat="1" spans="3:13">
      <c r="C74" s="94"/>
      <c r="E74" s="94"/>
      <c r="G74" s="94"/>
      <c r="I74" s="94"/>
      <c r="K74" s="94"/>
      <c r="M74" s="94"/>
    </row>
    <row r="75" s="93" customFormat="1" spans="3:13">
      <c r="C75" s="94"/>
      <c r="E75" s="94"/>
      <c r="G75" s="94"/>
      <c r="I75" s="94"/>
      <c r="K75" s="94"/>
      <c r="M75" s="94"/>
    </row>
    <row r="76" s="93" customFormat="1" spans="3:13">
      <c r="C76" s="94"/>
      <c r="E76" s="94"/>
      <c r="G76" s="94"/>
      <c r="I76" s="94"/>
      <c r="K76" s="94"/>
      <c r="M76" s="94"/>
    </row>
    <row r="77" s="93" customFormat="1" spans="3:13">
      <c r="C77" s="94"/>
      <c r="E77" s="94"/>
      <c r="G77" s="94"/>
      <c r="I77" s="94"/>
      <c r="K77" s="94"/>
      <c r="M77" s="94"/>
    </row>
    <row r="78" s="93" customFormat="1" spans="3:13">
      <c r="C78" s="94"/>
      <c r="E78" s="94"/>
      <c r="G78" s="94"/>
      <c r="I78" s="94"/>
      <c r="K78" s="94"/>
      <c r="M78" s="94"/>
    </row>
    <row r="79" s="93" customFormat="1" spans="3:13">
      <c r="C79" s="94"/>
      <c r="E79" s="94"/>
      <c r="G79" s="94"/>
      <c r="I79" s="94"/>
      <c r="K79" s="94"/>
      <c r="M79" s="94"/>
    </row>
    <row r="80" s="93" customFormat="1" spans="3:13">
      <c r="C80" s="94"/>
      <c r="E80" s="94"/>
      <c r="G80" s="94"/>
      <c r="I80" s="94"/>
      <c r="K80" s="94"/>
      <c r="M80" s="94"/>
    </row>
    <row r="81" s="93" customFormat="1" spans="3:13">
      <c r="C81" s="94"/>
      <c r="E81" s="94"/>
      <c r="G81" s="94"/>
      <c r="I81" s="94"/>
      <c r="K81" s="94"/>
      <c r="M81" s="94"/>
    </row>
    <row r="82" s="93" customFormat="1" spans="3:13">
      <c r="C82" s="94"/>
      <c r="E82" s="94"/>
      <c r="G82" s="94"/>
      <c r="I82" s="94"/>
      <c r="K82" s="94"/>
      <c r="M82" s="94"/>
    </row>
    <row r="83" s="93" customFormat="1" spans="3:13">
      <c r="C83" s="94"/>
      <c r="E83" s="94"/>
      <c r="G83" s="94"/>
      <c r="I83" s="94"/>
      <c r="K83" s="94"/>
      <c r="M83" s="94"/>
    </row>
    <row r="84" s="93" customFormat="1" spans="3:13">
      <c r="C84" s="94"/>
      <c r="E84" s="94"/>
      <c r="G84" s="94"/>
      <c r="I84" s="94"/>
      <c r="K84" s="94"/>
      <c r="M84" s="94"/>
    </row>
    <row r="85" s="93" customFormat="1" spans="3:13">
      <c r="C85" s="94"/>
      <c r="E85" s="94"/>
      <c r="G85" s="94"/>
      <c r="I85" s="94"/>
      <c r="K85" s="94"/>
      <c r="M85" s="94"/>
    </row>
    <row r="86" s="93" customFormat="1" spans="3:13">
      <c r="C86" s="94"/>
      <c r="E86" s="94"/>
      <c r="G86" s="94"/>
      <c r="I86" s="94"/>
      <c r="K86" s="94"/>
      <c r="M86" s="94"/>
    </row>
    <row r="87" s="93" customFormat="1" spans="3:13">
      <c r="C87" s="94"/>
      <c r="E87" s="94"/>
      <c r="G87" s="94"/>
      <c r="I87" s="94"/>
      <c r="K87" s="94"/>
      <c r="M87" s="94"/>
    </row>
    <row r="88" s="93" customFormat="1" spans="3:13">
      <c r="C88" s="94"/>
      <c r="E88" s="94"/>
      <c r="G88" s="94"/>
      <c r="I88" s="94"/>
      <c r="K88" s="94"/>
      <c r="M88" s="94"/>
    </row>
    <row r="89" s="93" customFormat="1" spans="3:13">
      <c r="C89" s="94"/>
      <c r="E89" s="94"/>
      <c r="G89" s="94"/>
      <c r="I89" s="94"/>
      <c r="K89" s="94"/>
      <c r="M89" s="94"/>
    </row>
    <row r="90" s="93" customFormat="1" spans="3:13">
      <c r="C90" s="94"/>
      <c r="E90" s="94"/>
      <c r="G90" s="94"/>
      <c r="I90" s="94"/>
      <c r="K90" s="94"/>
      <c r="M90" s="94"/>
    </row>
    <row r="91" s="93" customFormat="1" spans="3:13">
      <c r="C91" s="94"/>
      <c r="E91" s="94"/>
      <c r="G91" s="94"/>
      <c r="I91" s="94"/>
      <c r="K91" s="94"/>
      <c r="M91" s="94"/>
    </row>
    <row r="92" s="93" customFormat="1" spans="3:13">
      <c r="C92" s="94"/>
      <c r="E92" s="94"/>
      <c r="G92" s="94"/>
      <c r="I92" s="94"/>
      <c r="K92" s="94"/>
      <c r="M92" s="94"/>
    </row>
    <row r="93" s="93" customFormat="1" spans="3:13">
      <c r="C93" s="94"/>
      <c r="E93" s="94"/>
      <c r="G93" s="94"/>
      <c r="I93" s="94"/>
      <c r="K93" s="94"/>
      <c r="M93" s="94"/>
    </row>
    <row r="94" s="93" customFormat="1" spans="3:13">
      <c r="C94" s="94"/>
      <c r="E94" s="94"/>
      <c r="G94" s="94"/>
      <c r="I94" s="94"/>
      <c r="K94" s="94"/>
      <c r="M94" s="94"/>
    </row>
    <row r="95" s="93" customFormat="1" spans="3:13">
      <c r="C95" s="94"/>
      <c r="E95" s="94"/>
      <c r="G95" s="94"/>
      <c r="I95" s="94"/>
      <c r="K95" s="94"/>
      <c r="M95" s="94"/>
    </row>
    <row r="96" s="93" customFormat="1" spans="3:13">
      <c r="C96" s="94"/>
      <c r="E96" s="94"/>
      <c r="G96" s="94"/>
      <c r="I96" s="94"/>
      <c r="K96" s="94"/>
      <c r="M96" s="94"/>
    </row>
    <row r="97" s="93" customFormat="1" spans="3:13">
      <c r="C97" s="94"/>
      <c r="E97" s="94"/>
      <c r="G97" s="94"/>
      <c r="I97" s="94"/>
      <c r="K97" s="94"/>
      <c r="M97" s="94"/>
    </row>
    <row r="98" s="93" customFormat="1" spans="3:13">
      <c r="C98" s="94"/>
      <c r="E98" s="94"/>
      <c r="G98" s="94"/>
      <c r="I98" s="94"/>
      <c r="K98" s="94"/>
      <c r="M98" s="94"/>
    </row>
    <row r="99" s="93" customFormat="1" spans="3:13">
      <c r="C99" s="94"/>
      <c r="E99" s="94"/>
      <c r="G99" s="94"/>
      <c r="I99" s="94"/>
      <c r="K99" s="94"/>
      <c r="M99" s="94"/>
    </row>
    <row r="100" s="93" customFormat="1" spans="3:13">
      <c r="C100" s="94"/>
      <c r="E100" s="94"/>
      <c r="G100" s="94"/>
      <c r="I100" s="94"/>
      <c r="K100" s="94"/>
      <c r="M100" s="94"/>
    </row>
    <row r="101" s="93" customFormat="1" spans="3:13">
      <c r="C101" s="94"/>
      <c r="E101" s="94"/>
      <c r="G101" s="94"/>
      <c r="I101" s="94"/>
      <c r="K101" s="94"/>
      <c r="M101" s="94"/>
    </row>
    <row r="102" s="93" customFormat="1" spans="3:13">
      <c r="C102" s="94"/>
      <c r="E102" s="94"/>
      <c r="G102" s="94"/>
      <c r="I102" s="94"/>
      <c r="K102" s="94"/>
      <c r="M102" s="94"/>
    </row>
    <row r="103" s="93" customFormat="1" spans="3:13">
      <c r="C103" s="94"/>
      <c r="E103" s="94"/>
      <c r="G103" s="94"/>
      <c r="I103" s="94"/>
      <c r="K103" s="94"/>
      <c r="M103" s="94"/>
    </row>
    <row r="104" s="93" customFormat="1" spans="3:13">
      <c r="C104" s="94"/>
      <c r="E104" s="94"/>
      <c r="G104" s="94"/>
      <c r="I104" s="94"/>
      <c r="K104" s="94"/>
      <c r="M104" s="94"/>
    </row>
    <row r="105" s="93" customFormat="1" spans="3:13">
      <c r="C105" s="94"/>
      <c r="E105" s="94"/>
      <c r="G105" s="94"/>
      <c r="I105" s="94"/>
      <c r="K105" s="94"/>
      <c r="M105" s="94"/>
    </row>
    <row r="106" s="93" customFormat="1" spans="3:13">
      <c r="C106" s="94"/>
      <c r="E106" s="94"/>
      <c r="G106" s="94"/>
      <c r="I106" s="94"/>
      <c r="K106" s="94"/>
      <c r="M106" s="94"/>
    </row>
    <row r="107" s="93" customFormat="1" spans="3:13">
      <c r="C107" s="94"/>
      <c r="E107" s="94"/>
      <c r="G107" s="94"/>
      <c r="I107" s="94"/>
      <c r="K107" s="94"/>
      <c r="M107" s="94"/>
    </row>
    <row r="108" s="93" customFormat="1" spans="3:13">
      <c r="C108" s="94"/>
      <c r="E108" s="94"/>
      <c r="G108" s="94"/>
      <c r="I108" s="94"/>
      <c r="K108" s="94"/>
      <c r="M108" s="94"/>
    </row>
    <row r="109" s="93" customFormat="1" spans="3:13">
      <c r="C109" s="94"/>
      <c r="E109" s="94"/>
      <c r="G109" s="94"/>
      <c r="I109" s="94"/>
      <c r="K109" s="94"/>
      <c r="M109" s="94"/>
    </row>
    <row r="110" s="93" customFormat="1" spans="3:13">
      <c r="C110" s="94"/>
      <c r="E110" s="94"/>
      <c r="G110" s="94"/>
      <c r="I110" s="94"/>
      <c r="K110" s="94"/>
      <c r="M110" s="94"/>
    </row>
    <row r="111" s="93" customFormat="1" spans="3:13">
      <c r="C111" s="94"/>
      <c r="E111" s="94"/>
      <c r="G111" s="94"/>
      <c r="I111" s="94"/>
      <c r="K111" s="94"/>
      <c r="M111" s="94"/>
    </row>
    <row r="112" s="93" customFormat="1" spans="3:13">
      <c r="C112" s="94"/>
      <c r="E112" s="94"/>
      <c r="G112" s="94"/>
      <c r="I112" s="94"/>
      <c r="K112" s="94"/>
      <c r="M112" s="94"/>
    </row>
    <row r="113" s="93" customFormat="1" spans="3:13">
      <c r="C113" s="94"/>
      <c r="E113" s="94"/>
      <c r="G113" s="94"/>
      <c r="I113" s="94"/>
      <c r="K113" s="94"/>
      <c r="M113" s="94"/>
    </row>
    <row r="114" s="93" customFormat="1" spans="3:13">
      <c r="C114" s="94"/>
      <c r="E114" s="94"/>
      <c r="G114" s="94"/>
      <c r="I114" s="94"/>
      <c r="K114" s="94"/>
      <c r="M114" s="94"/>
    </row>
    <row r="115" s="93" customFormat="1" spans="3:13">
      <c r="C115" s="94"/>
      <c r="E115" s="94"/>
      <c r="G115" s="94"/>
      <c r="I115" s="94"/>
      <c r="K115" s="94"/>
      <c r="M115" s="94"/>
    </row>
    <row r="116" s="93" customFormat="1" spans="3:13">
      <c r="C116" s="94"/>
      <c r="E116" s="94"/>
      <c r="G116" s="94"/>
      <c r="I116" s="94"/>
      <c r="K116" s="94"/>
      <c r="M116" s="94"/>
    </row>
    <row r="117" s="93" customFormat="1" spans="3:13">
      <c r="C117" s="94"/>
      <c r="E117" s="94"/>
      <c r="G117" s="94"/>
      <c r="I117" s="94"/>
      <c r="K117" s="94"/>
      <c r="M117" s="94"/>
    </row>
    <row r="118" s="93" customFormat="1" spans="3:13">
      <c r="C118" s="94"/>
      <c r="E118" s="94"/>
      <c r="G118" s="94"/>
      <c r="I118" s="94"/>
      <c r="K118" s="94"/>
      <c r="M118" s="94"/>
    </row>
    <row r="119" s="93" customFormat="1" spans="3:13">
      <c r="C119" s="94"/>
      <c r="E119" s="94"/>
      <c r="G119" s="94"/>
      <c r="I119" s="94"/>
      <c r="K119" s="94"/>
      <c r="M119" s="94"/>
    </row>
    <row r="120" s="93" customFormat="1" spans="3:13">
      <c r="C120" s="94"/>
      <c r="E120" s="94"/>
      <c r="G120" s="94"/>
      <c r="I120" s="94"/>
      <c r="K120" s="94"/>
      <c r="M120" s="94"/>
    </row>
    <row r="121" s="93" customFormat="1" spans="3:13">
      <c r="C121" s="94"/>
      <c r="E121" s="94"/>
      <c r="G121" s="94"/>
      <c r="I121" s="94"/>
      <c r="K121" s="94"/>
      <c r="M121" s="94"/>
    </row>
    <row r="122" s="93" customFormat="1" spans="3:13">
      <c r="C122" s="94"/>
      <c r="E122" s="94"/>
      <c r="G122" s="94"/>
      <c r="I122" s="94"/>
      <c r="K122" s="94"/>
      <c r="M122" s="94"/>
    </row>
    <row r="123" s="93" customFormat="1" spans="3:13">
      <c r="C123" s="94"/>
      <c r="E123" s="94"/>
      <c r="G123" s="94"/>
      <c r="I123" s="94"/>
      <c r="K123" s="94"/>
      <c r="M123" s="94"/>
    </row>
    <row r="124" s="93" customFormat="1" spans="3:13">
      <c r="C124" s="94"/>
      <c r="E124" s="94"/>
      <c r="G124" s="94"/>
      <c r="I124" s="94"/>
      <c r="K124" s="94"/>
      <c r="M124" s="94"/>
    </row>
    <row r="125" s="93" customFormat="1" spans="3:13">
      <c r="C125" s="94"/>
      <c r="E125" s="94"/>
      <c r="G125" s="94"/>
      <c r="I125" s="94"/>
      <c r="K125" s="94"/>
      <c r="M125" s="94"/>
    </row>
    <row r="126" s="93" customFormat="1" spans="3:13">
      <c r="C126" s="94"/>
      <c r="E126" s="94"/>
      <c r="G126" s="94"/>
      <c r="I126" s="94"/>
      <c r="K126" s="94"/>
      <c r="M126" s="94"/>
    </row>
    <row r="127" s="93" customFormat="1" spans="3:13">
      <c r="C127" s="94"/>
      <c r="E127" s="94"/>
      <c r="G127" s="94"/>
      <c r="I127" s="94"/>
      <c r="K127" s="94"/>
      <c r="M127" s="94"/>
    </row>
    <row r="128" s="93" customFormat="1" spans="3:13">
      <c r="C128" s="94"/>
      <c r="E128" s="94"/>
      <c r="G128" s="94"/>
      <c r="I128" s="94"/>
      <c r="K128" s="94"/>
      <c r="M128" s="94"/>
    </row>
    <row r="129" s="93" customFormat="1" spans="3:13">
      <c r="C129" s="94"/>
      <c r="E129" s="94"/>
      <c r="G129" s="94"/>
      <c r="I129" s="94"/>
      <c r="K129" s="94"/>
      <c r="M129" s="94"/>
    </row>
    <row r="130" s="93" customFormat="1" spans="3:13">
      <c r="C130" s="94"/>
      <c r="E130" s="94"/>
      <c r="G130" s="94"/>
      <c r="I130" s="94"/>
      <c r="K130" s="94"/>
      <c r="M130" s="94"/>
    </row>
    <row r="131" s="93" customFormat="1" spans="3:13">
      <c r="C131" s="94"/>
      <c r="E131" s="94"/>
      <c r="G131" s="94"/>
      <c r="I131" s="94"/>
      <c r="K131" s="94"/>
      <c r="M131" s="94"/>
    </row>
    <row r="132" s="93" customFormat="1" spans="3:13">
      <c r="C132" s="94"/>
      <c r="E132" s="94"/>
      <c r="G132" s="94"/>
      <c r="I132" s="94"/>
      <c r="K132" s="94"/>
      <c r="M132" s="94"/>
    </row>
    <row r="133" s="93" customFormat="1" spans="3:13">
      <c r="C133" s="94"/>
      <c r="E133" s="94"/>
      <c r="G133" s="94"/>
      <c r="I133" s="94"/>
      <c r="K133" s="94"/>
      <c r="M133" s="94"/>
    </row>
    <row r="134" s="93" customFormat="1" spans="3:13">
      <c r="C134" s="94"/>
      <c r="E134" s="94"/>
      <c r="G134" s="94"/>
      <c r="I134" s="94"/>
      <c r="K134" s="94"/>
      <c r="M134" s="94"/>
    </row>
    <row r="135" s="93" customFormat="1" spans="3:13">
      <c r="C135" s="94"/>
      <c r="E135" s="94"/>
      <c r="G135" s="94"/>
      <c r="I135" s="94"/>
      <c r="K135" s="94"/>
      <c r="M135" s="94"/>
    </row>
    <row r="136" s="93" customFormat="1" spans="3:13">
      <c r="C136" s="94"/>
      <c r="E136" s="94"/>
      <c r="G136" s="94"/>
      <c r="I136" s="94"/>
      <c r="K136" s="94"/>
      <c r="M136" s="94"/>
    </row>
    <row r="137" s="93" customFormat="1" spans="3:13">
      <c r="C137" s="94"/>
      <c r="E137" s="94"/>
      <c r="G137" s="94"/>
      <c r="I137" s="94"/>
      <c r="K137" s="94"/>
      <c r="M137" s="94"/>
    </row>
    <row r="138" s="93" customFormat="1" spans="3:13">
      <c r="C138" s="94"/>
      <c r="E138" s="94"/>
      <c r="G138" s="94"/>
      <c r="I138" s="94"/>
      <c r="K138" s="94"/>
      <c r="M138" s="94"/>
    </row>
    <row r="139" s="93" customFormat="1" spans="3:13">
      <c r="C139" s="94"/>
      <c r="E139" s="94"/>
      <c r="G139" s="94"/>
      <c r="I139" s="94"/>
      <c r="K139" s="94"/>
      <c r="M139" s="94"/>
    </row>
    <row r="140" s="93" customFormat="1" spans="3:13">
      <c r="C140" s="94"/>
      <c r="E140" s="94"/>
      <c r="G140" s="94"/>
      <c r="I140" s="94"/>
      <c r="K140" s="94"/>
      <c r="M140" s="94"/>
    </row>
    <row r="141" s="93" customFormat="1" spans="3:13">
      <c r="C141" s="94"/>
      <c r="E141" s="94"/>
      <c r="G141" s="94"/>
      <c r="I141" s="94"/>
      <c r="K141" s="94"/>
      <c r="M141" s="94"/>
    </row>
    <row r="142" s="93" customFormat="1" spans="3:13">
      <c r="C142" s="94"/>
      <c r="E142" s="94"/>
      <c r="G142" s="94"/>
      <c r="I142" s="94"/>
      <c r="K142" s="94"/>
      <c r="M142" s="94"/>
    </row>
    <row r="143" s="93" customFormat="1" spans="3:13">
      <c r="C143" s="94"/>
      <c r="E143" s="94"/>
      <c r="G143" s="94"/>
      <c r="I143" s="94"/>
      <c r="K143" s="94"/>
      <c r="M143" s="94"/>
    </row>
    <row r="144" s="93" customFormat="1" spans="3:13">
      <c r="C144" s="94"/>
      <c r="E144" s="94"/>
      <c r="G144" s="94"/>
      <c r="I144" s="94"/>
      <c r="K144" s="94"/>
      <c r="M144" s="94"/>
    </row>
    <row r="145" s="93" customFormat="1" spans="3:13">
      <c r="C145" s="94"/>
      <c r="E145" s="94"/>
      <c r="G145" s="94"/>
      <c r="I145" s="94"/>
      <c r="K145" s="94"/>
      <c r="M145" s="94"/>
    </row>
    <row r="146" s="93" customFormat="1" spans="3:13">
      <c r="C146" s="94"/>
      <c r="E146" s="94"/>
      <c r="G146" s="94"/>
      <c r="I146" s="94"/>
      <c r="K146" s="94"/>
      <c r="M146" s="94"/>
    </row>
    <row r="147" s="93" customFormat="1" spans="3:13">
      <c r="C147" s="94"/>
      <c r="E147" s="94"/>
      <c r="G147" s="94"/>
      <c r="I147" s="94"/>
      <c r="K147" s="94"/>
      <c r="M147" s="94"/>
    </row>
    <row r="148" s="93" customFormat="1" spans="3:13">
      <c r="C148" s="94"/>
      <c r="E148" s="94"/>
      <c r="G148" s="94"/>
      <c r="I148" s="94"/>
      <c r="K148" s="94"/>
      <c r="M148" s="94"/>
    </row>
    <row r="149" s="93" customFormat="1" spans="3:13">
      <c r="C149" s="94"/>
      <c r="E149" s="94"/>
      <c r="G149" s="94"/>
      <c r="I149" s="94"/>
      <c r="K149" s="94"/>
      <c r="M149" s="94"/>
    </row>
    <row r="150" s="93" customFormat="1" spans="3:13">
      <c r="C150" s="94"/>
      <c r="E150" s="94"/>
      <c r="G150" s="94"/>
      <c r="I150" s="94"/>
      <c r="K150" s="94"/>
      <c r="M150" s="94"/>
    </row>
    <row r="151" s="93" customFormat="1" spans="3:13">
      <c r="C151" s="94"/>
      <c r="E151" s="94"/>
      <c r="G151" s="94"/>
      <c r="I151" s="94"/>
      <c r="K151" s="94"/>
      <c r="M151" s="94"/>
    </row>
    <row r="152" s="93" customFormat="1" spans="3:13">
      <c r="C152" s="94"/>
      <c r="E152" s="94"/>
      <c r="G152" s="94"/>
      <c r="I152" s="94"/>
      <c r="K152" s="94"/>
      <c r="M152" s="94"/>
    </row>
    <row r="153" s="93" customFormat="1" spans="3:13">
      <c r="C153" s="94"/>
      <c r="E153" s="94"/>
      <c r="G153" s="94"/>
      <c r="I153" s="94"/>
      <c r="K153" s="94"/>
      <c r="M153" s="94"/>
    </row>
    <row r="154" s="93" customFormat="1" spans="3:13">
      <c r="C154" s="94"/>
      <c r="E154" s="94"/>
      <c r="G154" s="94"/>
      <c r="I154" s="94"/>
      <c r="K154" s="94"/>
      <c r="M154" s="94"/>
    </row>
    <row r="155" s="93" customFormat="1" spans="3:13">
      <c r="C155" s="94"/>
      <c r="E155" s="94"/>
      <c r="G155" s="94"/>
      <c r="I155" s="94"/>
      <c r="K155" s="94"/>
      <c r="M155" s="94"/>
    </row>
    <row r="156" s="93" customFormat="1" spans="3:13">
      <c r="C156" s="94"/>
      <c r="E156" s="94"/>
      <c r="G156" s="94"/>
      <c r="I156" s="94"/>
      <c r="K156" s="94"/>
      <c r="M156" s="94"/>
    </row>
    <row r="157" s="93" customFormat="1" spans="3:13">
      <c r="C157" s="94"/>
      <c r="E157" s="94"/>
      <c r="G157" s="94"/>
      <c r="I157" s="94"/>
      <c r="K157" s="94"/>
      <c r="M157" s="94"/>
    </row>
    <row r="158" s="93" customFormat="1" spans="3:13">
      <c r="C158" s="94"/>
      <c r="E158" s="94"/>
      <c r="G158" s="94"/>
      <c r="I158" s="94"/>
      <c r="K158" s="94"/>
      <c r="M158" s="94"/>
    </row>
    <row r="159" s="93" customFormat="1" spans="3:13">
      <c r="C159" s="94"/>
      <c r="E159" s="94"/>
      <c r="G159" s="94"/>
      <c r="I159" s="94"/>
      <c r="K159" s="94"/>
      <c r="M159" s="94"/>
    </row>
    <row r="160" s="93" customFormat="1" spans="3:13">
      <c r="C160" s="94"/>
      <c r="E160" s="94"/>
      <c r="G160" s="94"/>
      <c r="I160" s="94"/>
      <c r="K160" s="94"/>
      <c r="M160" s="94"/>
    </row>
    <row r="161" s="93" customFormat="1" spans="3:13">
      <c r="C161" s="94"/>
      <c r="E161" s="94"/>
      <c r="G161" s="94"/>
      <c r="I161" s="94"/>
      <c r="K161" s="94"/>
      <c r="M161" s="94"/>
    </row>
    <row r="162" s="93" customFormat="1" spans="3:13">
      <c r="C162" s="94"/>
      <c r="E162" s="94"/>
      <c r="G162" s="94"/>
      <c r="I162" s="94"/>
      <c r="K162" s="94"/>
      <c r="M162" s="94"/>
    </row>
    <row r="163" s="93" customFormat="1" spans="3:13">
      <c r="C163" s="94"/>
      <c r="E163" s="94"/>
      <c r="G163" s="94"/>
      <c r="I163" s="94"/>
      <c r="K163" s="94"/>
      <c r="M163" s="94"/>
    </row>
    <row r="164" s="93" customFormat="1" spans="3:13">
      <c r="C164" s="94"/>
      <c r="E164" s="94"/>
      <c r="G164" s="94"/>
      <c r="I164" s="94"/>
      <c r="K164" s="94"/>
      <c r="M164" s="94"/>
    </row>
    <row r="165" s="93" customFormat="1" spans="3:13">
      <c r="C165" s="94"/>
      <c r="E165" s="94"/>
      <c r="G165" s="94"/>
      <c r="I165" s="94"/>
      <c r="K165" s="94"/>
      <c r="M165" s="94"/>
    </row>
    <row r="166" s="93" customFormat="1" spans="3:13">
      <c r="C166" s="94"/>
      <c r="E166" s="94"/>
      <c r="G166" s="94"/>
      <c r="I166" s="94"/>
      <c r="K166" s="94"/>
      <c r="M166" s="94"/>
    </row>
    <row r="167" s="93" customFormat="1" spans="3:13">
      <c r="C167" s="94"/>
      <c r="E167" s="94"/>
      <c r="G167" s="94"/>
      <c r="I167" s="94"/>
      <c r="K167" s="94"/>
      <c r="M167" s="94"/>
    </row>
    <row r="168" s="93" customFormat="1" spans="3:13">
      <c r="C168" s="94"/>
      <c r="E168" s="94"/>
      <c r="G168" s="94"/>
      <c r="I168" s="94"/>
      <c r="K168" s="94"/>
      <c r="M168" s="94"/>
    </row>
    <row r="169" s="93" customFormat="1" spans="3:13">
      <c r="C169" s="94"/>
      <c r="E169" s="94"/>
      <c r="G169" s="94"/>
      <c r="I169" s="94"/>
      <c r="K169" s="94"/>
      <c r="M169" s="94"/>
    </row>
    <row r="170" s="93" customFormat="1" spans="3:13">
      <c r="C170" s="94"/>
      <c r="E170" s="94"/>
      <c r="G170" s="94"/>
      <c r="I170" s="94"/>
      <c r="K170" s="94"/>
      <c r="M170" s="94"/>
    </row>
    <row r="171" s="93" customFormat="1" spans="3:13">
      <c r="C171" s="94"/>
      <c r="E171" s="94"/>
      <c r="G171" s="94"/>
      <c r="I171" s="94"/>
      <c r="K171" s="94"/>
      <c r="M171" s="94"/>
    </row>
    <row r="172" s="93" customFormat="1" spans="3:13">
      <c r="C172" s="94"/>
      <c r="E172" s="94"/>
      <c r="G172" s="94"/>
      <c r="I172" s="94"/>
      <c r="K172" s="94"/>
      <c r="M172" s="94"/>
    </row>
    <row r="173" s="93" customFormat="1" spans="3:13">
      <c r="C173" s="94"/>
      <c r="E173" s="94"/>
      <c r="G173" s="94"/>
      <c r="I173" s="94"/>
      <c r="K173" s="94"/>
      <c r="M173" s="94"/>
    </row>
    <row r="174" s="93" customFormat="1" spans="3:13">
      <c r="C174" s="94"/>
      <c r="E174" s="94"/>
      <c r="G174" s="94"/>
      <c r="I174" s="94"/>
      <c r="K174" s="94"/>
      <c r="M174" s="94"/>
    </row>
    <row r="175" s="93" customFormat="1" spans="3:13">
      <c r="C175" s="94"/>
      <c r="E175" s="94"/>
      <c r="G175" s="94"/>
      <c r="I175" s="94"/>
      <c r="K175" s="94"/>
      <c r="M175" s="94"/>
    </row>
    <row r="176" s="93" customFormat="1" spans="3:13">
      <c r="C176" s="94"/>
      <c r="E176" s="94"/>
      <c r="G176" s="94"/>
      <c r="I176" s="94"/>
      <c r="K176" s="94"/>
      <c r="M176" s="94"/>
    </row>
    <row r="177" s="93" customFormat="1" spans="3:13">
      <c r="C177" s="94"/>
      <c r="E177" s="94"/>
      <c r="G177" s="94"/>
      <c r="I177" s="94"/>
      <c r="K177" s="94"/>
      <c r="M177" s="94"/>
    </row>
    <row r="178" s="93" customFormat="1" spans="3:13">
      <c r="C178" s="94"/>
      <c r="E178" s="94"/>
      <c r="G178" s="94"/>
      <c r="I178" s="94"/>
      <c r="K178" s="94"/>
      <c r="M178" s="94"/>
    </row>
    <row r="179" s="93" customFormat="1" spans="3:13">
      <c r="C179" s="94"/>
      <c r="E179" s="94"/>
      <c r="G179" s="94"/>
      <c r="I179" s="94"/>
      <c r="K179" s="94"/>
      <c r="M179" s="94"/>
    </row>
    <row r="180" s="93" customFormat="1" spans="3:13">
      <c r="C180" s="94"/>
      <c r="E180" s="94"/>
      <c r="G180" s="94"/>
      <c r="I180" s="94"/>
      <c r="K180" s="94"/>
      <c r="M180" s="94"/>
    </row>
    <row r="181" s="93" customFormat="1" spans="3:13">
      <c r="C181" s="94"/>
      <c r="E181" s="94"/>
      <c r="G181" s="94"/>
      <c r="I181" s="94"/>
      <c r="K181" s="94"/>
      <c r="M181" s="94"/>
    </row>
    <row r="182" s="93" customFormat="1" spans="3:13">
      <c r="C182" s="94"/>
      <c r="E182" s="94"/>
      <c r="G182" s="94"/>
      <c r="I182" s="94"/>
      <c r="K182" s="94"/>
      <c r="M182" s="94"/>
    </row>
    <row r="183" s="93" customFormat="1" spans="3:13">
      <c r="C183" s="94"/>
      <c r="E183" s="94"/>
      <c r="G183" s="94"/>
      <c r="I183" s="94"/>
      <c r="K183" s="94"/>
      <c r="M183" s="94"/>
    </row>
    <row r="184" s="93" customFormat="1" spans="3:13">
      <c r="C184" s="94"/>
      <c r="E184" s="94"/>
      <c r="G184" s="94"/>
      <c r="I184" s="94"/>
      <c r="K184" s="94"/>
      <c r="M184" s="94"/>
    </row>
    <row r="185" s="93" customFormat="1" spans="3:13">
      <c r="C185" s="94"/>
      <c r="E185" s="94"/>
      <c r="G185" s="94"/>
      <c r="I185" s="94"/>
      <c r="K185" s="94"/>
      <c r="M185" s="94"/>
    </row>
    <row r="186" s="93" customFormat="1" spans="3:13">
      <c r="C186" s="94"/>
      <c r="E186" s="94"/>
      <c r="G186" s="94"/>
      <c r="I186" s="94"/>
      <c r="K186" s="94"/>
      <c r="M186" s="94"/>
    </row>
    <row r="187" s="93" customFormat="1" spans="3:13">
      <c r="C187" s="94"/>
      <c r="E187" s="94"/>
      <c r="G187" s="94"/>
      <c r="I187" s="94"/>
      <c r="K187" s="94"/>
      <c r="M187" s="94"/>
    </row>
    <row r="188" s="93" customFormat="1" spans="3:13">
      <c r="C188" s="94"/>
      <c r="E188" s="94"/>
      <c r="G188" s="94"/>
      <c r="I188" s="94"/>
      <c r="K188" s="94"/>
      <c r="M188" s="94"/>
    </row>
    <row r="189" s="93" customFormat="1" spans="3:13">
      <c r="C189" s="94"/>
      <c r="E189" s="94"/>
      <c r="G189" s="94"/>
      <c r="I189" s="94"/>
      <c r="K189" s="94"/>
      <c r="M189" s="94"/>
    </row>
    <row r="190" s="93" customFormat="1" spans="3:13">
      <c r="C190" s="94"/>
      <c r="E190" s="94"/>
      <c r="G190" s="94"/>
      <c r="I190" s="94"/>
      <c r="K190" s="94"/>
      <c r="M190" s="94"/>
    </row>
    <row r="191" s="93" customFormat="1" spans="3:13">
      <c r="C191" s="94"/>
      <c r="E191" s="94"/>
      <c r="G191" s="94"/>
      <c r="I191" s="94"/>
      <c r="K191" s="94"/>
      <c r="M191" s="94"/>
    </row>
    <row r="192" s="93" customFormat="1" spans="3:13">
      <c r="C192" s="94"/>
      <c r="E192" s="94"/>
      <c r="G192" s="94"/>
      <c r="I192" s="94"/>
      <c r="K192" s="94"/>
      <c r="M192" s="94"/>
    </row>
    <row r="193" s="93" customFormat="1" spans="3:13">
      <c r="C193" s="94"/>
      <c r="E193" s="94"/>
      <c r="G193" s="94"/>
      <c r="I193" s="94"/>
      <c r="K193" s="94"/>
      <c r="M193" s="94"/>
    </row>
    <row r="194" s="93" customFormat="1" spans="3:13">
      <c r="C194" s="94"/>
      <c r="E194" s="94"/>
      <c r="G194" s="94"/>
      <c r="I194" s="94"/>
      <c r="K194" s="94"/>
      <c r="M194" s="94"/>
    </row>
    <row r="195" s="93" customFormat="1" spans="3:13">
      <c r="C195" s="94"/>
      <c r="E195" s="94"/>
      <c r="G195" s="94"/>
      <c r="I195" s="94"/>
      <c r="K195" s="94"/>
      <c r="M195" s="94"/>
    </row>
    <row r="196" s="93" customFormat="1" spans="3:13">
      <c r="C196" s="94"/>
      <c r="E196" s="94"/>
      <c r="G196" s="94"/>
      <c r="I196" s="94"/>
      <c r="K196" s="94"/>
      <c r="M196" s="94"/>
    </row>
    <row r="197" s="93" customFormat="1" spans="3:13">
      <c r="C197" s="94"/>
      <c r="E197" s="94"/>
      <c r="G197" s="94"/>
      <c r="I197" s="94"/>
      <c r="K197" s="94"/>
      <c r="M197" s="94"/>
    </row>
    <row r="198" s="93" customFormat="1" spans="3:13">
      <c r="C198" s="94"/>
      <c r="E198" s="94"/>
      <c r="G198" s="94"/>
      <c r="I198" s="94"/>
      <c r="K198" s="94"/>
      <c r="M198" s="94"/>
    </row>
    <row r="199" s="93" customFormat="1" spans="3:13">
      <c r="C199" s="94"/>
      <c r="E199" s="94"/>
      <c r="G199" s="94"/>
      <c r="I199" s="94"/>
      <c r="K199" s="94"/>
      <c r="M199" s="94"/>
    </row>
    <row r="200" s="93" customFormat="1" spans="3:13">
      <c r="C200" s="94"/>
      <c r="E200" s="94"/>
      <c r="G200" s="94"/>
      <c r="I200" s="94"/>
      <c r="K200" s="94"/>
      <c r="M200" s="94"/>
    </row>
    <row r="201" s="93" customFormat="1" spans="3:13">
      <c r="C201" s="94"/>
      <c r="E201" s="94"/>
      <c r="G201" s="94"/>
      <c r="I201" s="94"/>
      <c r="K201" s="94"/>
      <c r="M201" s="94"/>
    </row>
    <row r="202" s="93" customFormat="1" spans="3:13">
      <c r="C202" s="94"/>
      <c r="E202" s="94"/>
      <c r="G202" s="94"/>
      <c r="I202" s="94"/>
      <c r="K202" s="94"/>
      <c r="M202" s="94"/>
    </row>
    <row r="203" s="93" customFormat="1" spans="3:13">
      <c r="C203" s="94"/>
      <c r="E203" s="94"/>
      <c r="G203" s="94"/>
      <c r="I203" s="94"/>
      <c r="K203" s="94"/>
      <c r="M203" s="94"/>
    </row>
    <row r="204" s="93" customFormat="1" spans="3:13">
      <c r="C204" s="94"/>
      <c r="E204" s="94"/>
      <c r="G204" s="94"/>
      <c r="I204" s="94"/>
      <c r="K204" s="94"/>
      <c r="M204" s="94"/>
    </row>
    <row r="205" s="93" customFormat="1" spans="3:13">
      <c r="C205" s="94"/>
      <c r="E205" s="94"/>
      <c r="G205" s="94"/>
      <c r="I205" s="94"/>
      <c r="K205" s="94"/>
      <c r="M205" s="94"/>
    </row>
    <row r="206" s="93" customFormat="1" spans="3:13">
      <c r="C206" s="94"/>
      <c r="E206" s="94"/>
      <c r="G206" s="94"/>
      <c r="I206" s="94"/>
      <c r="K206" s="94"/>
      <c r="M206" s="94"/>
    </row>
    <row r="207" s="93" customFormat="1" spans="3:13">
      <c r="C207" s="94"/>
      <c r="E207" s="94"/>
      <c r="G207" s="94"/>
      <c r="I207" s="94"/>
      <c r="K207" s="94"/>
      <c r="M207" s="94"/>
    </row>
    <row r="208" s="93" customFormat="1" spans="3:13">
      <c r="C208" s="94"/>
      <c r="E208" s="94"/>
      <c r="G208" s="94"/>
      <c r="I208" s="94"/>
      <c r="K208" s="94"/>
      <c r="M208" s="94"/>
    </row>
    <row r="209" s="93" customFormat="1" spans="3:13">
      <c r="C209" s="94"/>
      <c r="E209" s="94"/>
      <c r="G209" s="94"/>
      <c r="I209" s="94"/>
      <c r="K209" s="94"/>
      <c r="M209" s="94"/>
    </row>
    <row r="210" s="93" customFormat="1" spans="3:13">
      <c r="C210" s="94"/>
      <c r="E210" s="94"/>
      <c r="G210" s="94"/>
      <c r="I210" s="94"/>
      <c r="K210" s="94"/>
      <c r="M210" s="94"/>
    </row>
    <row r="211" s="93" customFormat="1" spans="3:13">
      <c r="C211" s="94"/>
      <c r="E211" s="94"/>
      <c r="G211" s="94"/>
      <c r="I211" s="94"/>
      <c r="K211" s="94"/>
      <c r="M211" s="94"/>
    </row>
    <row r="212" s="93" customFormat="1" spans="3:13">
      <c r="C212" s="94"/>
      <c r="E212" s="94"/>
      <c r="G212" s="94"/>
      <c r="I212" s="94"/>
      <c r="K212" s="94"/>
      <c r="M212" s="94"/>
    </row>
    <row r="213" s="93" customFormat="1" spans="3:13">
      <c r="C213" s="94"/>
      <c r="E213" s="94"/>
      <c r="G213" s="94"/>
      <c r="I213" s="94"/>
      <c r="K213" s="94"/>
      <c r="M213" s="94"/>
    </row>
    <row r="214" s="93" customFormat="1" spans="3:13">
      <c r="C214" s="94"/>
      <c r="E214" s="94"/>
      <c r="G214" s="94"/>
      <c r="I214" s="94"/>
      <c r="K214" s="94"/>
      <c r="M214" s="94"/>
    </row>
    <row r="215" s="93" customFormat="1" spans="3:13">
      <c r="C215" s="94"/>
      <c r="E215" s="94"/>
      <c r="G215" s="94"/>
      <c r="I215" s="94"/>
      <c r="K215" s="94"/>
      <c r="M215" s="94"/>
    </row>
    <row r="216" s="93" customFormat="1" spans="3:13">
      <c r="C216" s="94"/>
      <c r="E216" s="94"/>
      <c r="G216" s="94"/>
      <c r="I216" s="94"/>
      <c r="K216" s="94"/>
      <c r="M216" s="94"/>
    </row>
    <row r="217" s="93" customFormat="1" spans="3:13">
      <c r="C217" s="94"/>
      <c r="E217" s="94"/>
      <c r="G217" s="94"/>
      <c r="I217" s="94"/>
      <c r="K217" s="94"/>
      <c r="M217" s="94"/>
    </row>
    <row r="218" s="93" customFormat="1" spans="3:13">
      <c r="C218" s="94"/>
      <c r="E218" s="94"/>
      <c r="G218" s="94"/>
      <c r="I218" s="94"/>
      <c r="K218" s="94"/>
      <c r="M218" s="94"/>
    </row>
    <row r="219" s="93" customFormat="1" spans="3:13">
      <c r="C219" s="94"/>
      <c r="E219" s="94"/>
      <c r="G219" s="94"/>
      <c r="I219" s="94"/>
      <c r="K219" s="94"/>
      <c r="M219" s="94"/>
    </row>
    <row r="220" s="93" customFormat="1" spans="3:13">
      <c r="C220" s="94"/>
      <c r="E220" s="94"/>
      <c r="G220" s="94"/>
      <c r="I220" s="94"/>
      <c r="K220" s="94"/>
      <c r="M220" s="94"/>
    </row>
    <row r="221" s="93" customFormat="1" spans="3:13">
      <c r="C221" s="94"/>
      <c r="E221" s="94"/>
      <c r="G221" s="94"/>
      <c r="I221" s="94"/>
      <c r="K221" s="94"/>
      <c r="M221" s="94"/>
    </row>
    <row r="222" s="93" customFormat="1" spans="3:13">
      <c r="C222" s="94"/>
      <c r="E222" s="94"/>
      <c r="G222" s="94"/>
      <c r="I222" s="94"/>
      <c r="K222" s="94"/>
      <c r="M222" s="94"/>
    </row>
    <row r="223" s="93" customFormat="1" spans="3:13">
      <c r="C223" s="94"/>
      <c r="E223" s="94"/>
      <c r="G223" s="94"/>
      <c r="I223" s="94"/>
      <c r="K223" s="94"/>
      <c r="M223" s="94"/>
    </row>
    <row r="224" s="93" customFormat="1" spans="3:13">
      <c r="C224" s="94"/>
      <c r="E224" s="94"/>
      <c r="G224" s="94"/>
      <c r="I224" s="94"/>
      <c r="K224" s="94"/>
      <c r="M224" s="94"/>
    </row>
    <row r="225" s="93" customFormat="1" spans="3:13">
      <c r="C225" s="94"/>
      <c r="E225" s="94"/>
      <c r="G225" s="94"/>
      <c r="I225" s="94"/>
      <c r="K225" s="94"/>
      <c r="M225" s="94"/>
    </row>
    <row r="226" s="93" customFormat="1" spans="3:13">
      <c r="C226" s="94"/>
      <c r="E226" s="94"/>
      <c r="G226" s="94"/>
      <c r="I226" s="94"/>
      <c r="K226" s="94"/>
      <c r="M226" s="94"/>
    </row>
    <row r="227" s="93" customFormat="1" spans="3:13">
      <c r="C227" s="94"/>
      <c r="E227" s="94"/>
      <c r="G227" s="94"/>
      <c r="I227" s="94"/>
      <c r="K227" s="94"/>
      <c r="M227" s="94"/>
    </row>
    <row r="228" s="93" customFormat="1" spans="3:13">
      <c r="C228" s="94"/>
      <c r="E228" s="94"/>
      <c r="G228" s="94"/>
      <c r="I228" s="94"/>
      <c r="K228" s="94"/>
      <c r="M228" s="94"/>
    </row>
    <row r="229" s="93" customFormat="1" spans="3:13">
      <c r="C229" s="94"/>
      <c r="E229" s="94"/>
      <c r="G229" s="94"/>
      <c r="I229" s="94"/>
      <c r="K229" s="94"/>
      <c r="M229" s="94"/>
    </row>
    <row r="230" s="93" customFormat="1" spans="3:13">
      <c r="C230" s="94"/>
      <c r="E230" s="94"/>
      <c r="G230" s="94"/>
      <c r="I230" s="94"/>
      <c r="K230" s="94"/>
      <c r="M230" s="94"/>
    </row>
    <row r="231" s="93" customFormat="1" spans="3:13">
      <c r="C231" s="94"/>
      <c r="E231" s="94"/>
      <c r="G231" s="94"/>
      <c r="I231" s="94"/>
      <c r="K231" s="94"/>
      <c r="M231" s="94"/>
    </row>
    <row r="232" s="93" customFormat="1" spans="3:13">
      <c r="C232" s="94"/>
      <c r="E232" s="94"/>
      <c r="G232" s="94"/>
      <c r="I232" s="94"/>
      <c r="K232" s="94"/>
      <c r="M232" s="94"/>
    </row>
    <row r="233" s="93" customFormat="1" spans="3:13">
      <c r="C233" s="94"/>
      <c r="E233" s="94"/>
      <c r="G233" s="94"/>
      <c r="I233" s="94"/>
      <c r="K233" s="94"/>
      <c r="M233" s="94"/>
    </row>
    <row r="234" s="93" customFormat="1" spans="3:13">
      <c r="C234" s="94"/>
      <c r="E234" s="94"/>
      <c r="G234" s="94"/>
      <c r="I234" s="94"/>
      <c r="K234" s="94"/>
      <c r="M234" s="94"/>
    </row>
    <row r="235" s="93" customFormat="1" spans="3:13">
      <c r="C235" s="94"/>
      <c r="E235" s="94"/>
      <c r="G235" s="94"/>
      <c r="I235" s="94"/>
      <c r="K235" s="94"/>
      <c r="M235" s="94"/>
    </row>
    <row r="236" s="93" customFormat="1" spans="3:13">
      <c r="C236" s="94"/>
      <c r="E236" s="94"/>
      <c r="G236" s="94"/>
      <c r="I236" s="94"/>
      <c r="K236" s="94"/>
      <c r="M236" s="94"/>
    </row>
    <row r="237" s="93" customFormat="1" spans="3:13">
      <c r="C237" s="94"/>
      <c r="E237" s="94"/>
      <c r="G237" s="94"/>
      <c r="I237" s="94"/>
      <c r="K237" s="94"/>
      <c r="M237" s="94"/>
    </row>
    <row r="238" s="93" customFormat="1" spans="3:13">
      <c r="C238" s="94"/>
      <c r="E238" s="94"/>
      <c r="G238" s="94"/>
      <c r="I238" s="94"/>
      <c r="K238" s="94"/>
      <c r="M238" s="94"/>
    </row>
    <row r="239" s="93" customFormat="1" spans="3:13">
      <c r="C239" s="94"/>
      <c r="E239" s="94"/>
      <c r="G239" s="94"/>
      <c r="I239" s="94"/>
      <c r="K239" s="94"/>
      <c r="M239" s="94"/>
    </row>
    <row r="240" s="93" customFormat="1" spans="3:13">
      <c r="C240" s="94"/>
      <c r="E240" s="94"/>
      <c r="G240" s="94"/>
      <c r="I240" s="94"/>
      <c r="K240" s="94"/>
      <c r="M240" s="94"/>
    </row>
    <row r="241" s="93" customFormat="1" spans="3:13">
      <c r="C241" s="94"/>
      <c r="E241" s="94"/>
      <c r="G241" s="94"/>
      <c r="I241" s="94"/>
      <c r="K241" s="94"/>
      <c r="M241" s="94"/>
    </row>
    <row r="242" s="93" customFormat="1" spans="3:13">
      <c r="C242" s="94"/>
      <c r="E242" s="94"/>
      <c r="G242" s="94"/>
      <c r="I242" s="94"/>
      <c r="K242" s="94"/>
      <c r="M242" s="94"/>
    </row>
    <row r="243" s="93" customFormat="1" spans="3:13">
      <c r="C243" s="94"/>
      <c r="E243" s="94"/>
      <c r="G243" s="94"/>
      <c r="I243" s="94"/>
      <c r="K243" s="94"/>
      <c r="M243" s="94"/>
    </row>
    <row r="244" s="93" customFormat="1" spans="3:13">
      <c r="C244" s="94"/>
      <c r="E244" s="94"/>
      <c r="G244" s="94"/>
      <c r="I244" s="94"/>
      <c r="K244" s="94"/>
      <c r="M244" s="94"/>
    </row>
    <row r="245" s="93" customFormat="1" spans="3:13">
      <c r="C245" s="94"/>
      <c r="E245" s="94"/>
      <c r="G245" s="94"/>
      <c r="I245" s="94"/>
      <c r="K245" s="94"/>
      <c r="M245" s="94"/>
    </row>
    <row r="246" s="93" customFormat="1" spans="3:13">
      <c r="C246" s="94"/>
      <c r="E246" s="94"/>
      <c r="G246" s="94"/>
      <c r="I246" s="94"/>
      <c r="K246" s="94"/>
      <c r="M246" s="94"/>
    </row>
    <row r="247" s="93" customFormat="1" spans="3:13">
      <c r="C247" s="94"/>
      <c r="E247" s="94"/>
      <c r="G247" s="94"/>
      <c r="I247" s="94"/>
      <c r="K247" s="94"/>
      <c r="M247" s="94"/>
    </row>
    <row r="248" s="93" customFormat="1" spans="3:13">
      <c r="C248" s="94"/>
      <c r="E248" s="94"/>
      <c r="G248" s="94"/>
      <c r="I248" s="94"/>
      <c r="K248" s="94"/>
      <c r="M248" s="94"/>
    </row>
    <row r="249" s="93" customFormat="1" spans="3:13">
      <c r="C249" s="94"/>
      <c r="E249" s="94"/>
      <c r="G249" s="94"/>
      <c r="I249" s="94"/>
      <c r="K249" s="94"/>
      <c r="M249" s="94"/>
    </row>
    <row r="250" s="93" customFormat="1" spans="3:13">
      <c r="C250" s="94"/>
      <c r="E250" s="94"/>
      <c r="G250" s="94"/>
      <c r="I250" s="94"/>
      <c r="K250" s="94"/>
      <c r="M250" s="94"/>
    </row>
    <row r="251" s="93" customFormat="1" spans="3:13">
      <c r="C251" s="94"/>
      <c r="E251" s="94"/>
      <c r="G251" s="94"/>
      <c r="I251" s="94"/>
      <c r="K251" s="94"/>
      <c r="M251" s="94"/>
    </row>
    <row r="252" s="93" customFormat="1" spans="3:13">
      <c r="C252" s="94"/>
      <c r="E252" s="94"/>
      <c r="G252" s="94"/>
      <c r="I252" s="94"/>
      <c r="K252" s="94"/>
      <c r="M252" s="94"/>
    </row>
    <row r="253" s="93" customFormat="1" spans="3:13">
      <c r="C253" s="94"/>
      <c r="E253" s="94"/>
      <c r="G253" s="94"/>
      <c r="I253" s="94"/>
      <c r="K253" s="94"/>
      <c r="M253" s="94"/>
    </row>
    <row r="254" s="93" customFormat="1" spans="3:13">
      <c r="C254" s="94"/>
      <c r="E254" s="94"/>
      <c r="G254" s="94"/>
      <c r="I254" s="94"/>
      <c r="K254" s="94"/>
      <c r="M254" s="94"/>
    </row>
    <row r="255" s="93" customFormat="1" spans="3:13">
      <c r="C255" s="94"/>
      <c r="E255" s="94"/>
      <c r="G255" s="94"/>
      <c r="I255" s="94"/>
      <c r="K255" s="94"/>
      <c r="M255" s="94"/>
    </row>
    <row r="256" s="93" customFormat="1" spans="3:13">
      <c r="C256" s="94"/>
      <c r="E256" s="94"/>
      <c r="G256" s="94"/>
      <c r="I256" s="94"/>
      <c r="K256" s="94"/>
      <c r="M256" s="94"/>
    </row>
    <row r="257" s="93" customFormat="1" spans="3:13">
      <c r="C257" s="94"/>
      <c r="E257" s="94"/>
      <c r="G257" s="94"/>
      <c r="I257" s="94"/>
      <c r="K257" s="94"/>
      <c r="M257" s="94"/>
    </row>
    <row r="258" s="93" customFormat="1" spans="3:13">
      <c r="C258" s="94"/>
      <c r="E258" s="94"/>
      <c r="G258" s="94"/>
      <c r="I258" s="94"/>
      <c r="K258" s="94"/>
      <c r="M258" s="94"/>
    </row>
    <row r="259" s="93" customFormat="1" spans="3:13">
      <c r="C259" s="94"/>
      <c r="E259" s="94"/>
      <c r="G259" s="94"/>
      <c r="I259" s="94"/>
      <c r="K259" s="94"/>
      <c r="M259" s="94"/>
    </row>
    <row r="260" s="93" customFormat="1" spans="3:13">
      <c r="C260" s="94"/>
      <c r="E260" s="94"/>
      <c r="G260" s="94"/>
      <c r="I260" s="94"/>
      <c r="K260" s="94"/>
      <c r="M260" s="94"/>
    </row>
    <row r="261" s="93" customFormat="1" spans="3:13">
      <c r="C261" s="94"/>
      <c r="E261" s="94"/>
      <c r="G261" s="94"/>
      <c r="I261" s="94"/>
      <c r="K261" s="94"/>
      <c r="M261" s="94"/>
    </row>
    <row r="262" s="93" customFormat="1" spans="3:13">
      <c r="C262" s="94"/>
      <c r="E262" s="94"/>
      <c r="G262" s="94"/>
      <c r="I262" s="94"/>
      <c r="K262" s="94"/>
      <c r="M262" s="94"/>
    </row>
    <row r="263" s="93" customFormat="1" spans="3:13">
      <c r="C263" s="94"/>
      <c r="E263" s="94"/>
      <c r="G263" s="94"/>
      <c r="I263" s="94"/>
      <c r="K263" s="94"/>
      <c r="M263" s="94"/>
    </row>
    <row r="264" s="93" customFormat="1" spans="3:13">
      <c r="C264" s="94"/>
      <c r="E264" s="94"/>
      <c r="G264" s="94"/>
      <c r="I264" s="94"/>
      <c r="K264" s="94"/>
      <c r="M264" s="94"/>
    </row>
    <row r="265" s="93" customFormat="1" spans="3:13">
      <c r="C265" s="94"/>
      <c r="E265" s="94"/>
      <c r="G265" s="94"/>
      <c r="I265" s="94"/>
      <c r="K265" s="94"/>
      <c r="M265" s="94"/>
    </row>
    <row r="266" s="93" customFormat="1" spans="3:13">
      <c r="C266" s="94"/>
      <c r="E266" s="94"/>
      <c r="G266" s="94"/>
      <c r="I266" s="94"/>
      <c r="K266" s="94"/>
      <c r="M266" s="94"/>
    </row>
    <row r="267" s="93" customFormat="1" spans="3:13">
      <c r="C267" s="94"/>
      <c r="E267" s="94"/>
      <c r="G267" s="94"/>
      <c r="I267" s="94"/>
      <c r="K267" s="94"/>
      <c r="M267" s="94"/>
    </row>
    <row r="268" s="93" customFormat="1" spans="3:13">
      <c r="C268" s="94"/>
      <c r="E268" s="94"/>
      <c r="G268" s="94"/>
      <c r="I268" s="94"/>
      <c r="K268" s="94"/>
      <c r="M268" s="94"/>
    </row>
    <row r="269" s="93" customFormat="1" spans="3:13">
      <c r="C269" s="94"/>
      <c r="E269" s="94"/>
      <c r="G269" s="94"/>
      <c r="I269" s="94"/>
      <c r="K269" s="94"/>
      <c r="M269" s="94"/>
    </row>
    <row r="270" s="93" customFormat="1" spans="3:13">
      <c r="C270" s="94"/>
      <c r="E270" s="94"/>
      <c r="G270" s="94"/>
      <c r="I270" s="94"/>
      <c r="K270" s="94"/>
      <c r="M270" s="94"/>
    </row>
    <row r="271" s="93" customFormat="1" spans="3:13">
      <c r="C271" s="94"/>
      <c r="E271" s="94"/>
      <c r="G271" s="94"/>
      <c r="I271" s="94"/>
      <c r="K271" s="94"/>
      <c r="M271" s="94"/>
    </row>
    <row r="272" s="93" customFormat="1" spans="3:13">
      <c r="C272" s="94"/>
      <c r="E272" s="94"/>
      <c r="G272" s="94"/>
      <c r="I272" s="94"/>
      <c r="K272" s="94"/>
      <c r="M272" s="94"/>
    </row>
    <row r="273" s="93" customFormat="1" spans="3:13">
      <c r="C273" s="94"/>
      <c r="E273" s="94"/>
      <c r="G273" s="94"/>
      <c r="I273" s="94"/>
      <c r="K273" s="94"/>
      <c r="M273" s="94"/>
    </row>
    <row r="274" s="93" customFormat="1" spans="3:13">
      <c r="C274" s="94"/>
      <c r="E274" s="94"/>
      <c r="G274" s="94"/>
      <c r="I274" s="94"/>
      <c r="K274" s="94"/>
      <c r="M274" s="94"/>
    </row>
    <row r="275" s="93" customFormat="1" spans="3:13">
      <c r="C275" s="94"/>
      <c r="E275" s="94"/>
      <c r="G275" s="94"/>
      <c r="I275" s="94"/>
      <c r="K275" s="94"/>
      <c r="M275" s="94"/>
    </row>
    <row r="276" s="93" customFormat="1" spans="3:13">
      <c r="C276" s="94"/>
      <c r="E276" s="94"/>
      <c r="G276" s="94"/>
      <c r="I276" s="94"/>
      <c r="K276" s="94"/>
      <c r="M276" s="94"/>
    </row>
    <row r="277" s="93" customFormat="1" spans="3:13">
      <c r="C277" s="94"/>
      <c r="E277" s="94"/>
      <c r="G277" s="94"/>
      <c r="I277" s="94"/>
      <c r="K277" s="94"/>
      <c r="M277" s="94"/>
    </row>
    <row r="278" s="93" customFormat="1" spans="3:13">
      <c r="C278" s="94"/>
      <c r="E278" s="94"/>
      <c r="G278" s="94"/>
      <c r="I278" s="94"/>
      <c r="K278" s="94"/>
      <c r="M278" s="94"/>
    </row>
    <row r="279" s="93" customFormat="1" spans="3:13">
      <c r="C279" s="94"/>
      <c r="E279" s="94"/>
      <c r="G279" s="94"/>
      <c r="I279" s="94"/>
      <c r="K279" s="94"/>
      <c r="M279" s="94"/>
    </row>
    <row r="280" s="93" customFormat="1" spans="3:13">
      <c r="C280" s="94"/>
      <c r="E280" s="94"/>
      <c r="G280" s="94"/>
      <c r="I280" s="94"/>
      <c r="K280" s="94"/>
      <c r="M280" s="94"/>
    </row>
    <row r="281" s="93" customFormat="1" spans="3:13">
      <c r="C281" s="94"/>
      <c r="E281" s="94"/>
      <c r="G281" s="94"/>
      <c r="I281" s="94"/>
      <c r="K281" s="94"/>
      <c r="M281" s="94"/>
    </row>
    <row r="282" s="93" customFormat="1" spans="3:13">
      <c r="C282" s="94"/>
      <c r="E282" s="94"/>
      <c r="G282" s="94"/>
      <c r="I282" s="94"/>
      <c r="K282" s="94"/>
      <c r="M282" s="94"/>
    </row>
    <row r="283" s="93" customFormat="1" spans="3:13">
      <c r="C283" s="94"/>
      <c r="E283" s="94"/>
      <c r="G283" s="94"/>
      <c r="I283" s="94"/>
      <c r="K283" s="94"/>
      <c r="M283" s="94"/>
    </row>
    <row r="284" s="93" customFormat="1" spans="3:13">
      <c r="C284" s="94"/>
      <c r="E284" s="94"/>
      <c r="G284" s="94"/>
      <c r="I284" s="94"/>
      <c r="K284" s="94"/>
      <c r="M284" s="94"/>
    </row>
    <row r="285" s="93" customFormat="1" spans="3:13">
      <c r="C285" s="94"/>
      <c r="E285" s="94"/>
      <c r="G285" s="94"/>
      <c r="I285" s="94"/>
      <c r="K285" s="94"/>
      <c r="M285" s="94"/>
    </row>
    <row r="286" s="93" customFormat="1" spans="3:13">
      <c r="C286" s="94"/>
      <c r="E286" s="94"/>
      <c r="G286" s="94"/>
      <c r="I286" s="94"/>
      <c r="K286" s="94"/>
      <c r="M286" s="94"/>
    </row>
    <row r="287" s="93" customFormat="1" spans="3:13">
      <c r="C287" s="94"/>
      <c r="E287" s="94"/>
      <c r="G287" s="94"/>
      <c r="I287" s="94"/>
      <c r="K287" s="94"/>
      <c r="M287" s="94"/>
    </row>
    <row r="288" s="93" customFormat="1" spans="3:13">
      <c r="C288" s="94"/>
      <c r="E288" s="94"/>
      <c r="G288" s="94"/>
      <c r="I288" s="94"/>
      <c r="K288" s="94"/>
      <c r="M288" s="94"/>
    </row>
    <row r="289" s="93" customFormat="1" spans="3:13">
      <c r="C289" s="94"/>
      <c r="E289" s="94"/>
      <c r="G289" s="94"/>
      <c r="I289" s="94"/>
      <c r="K289" s="94"/>
      <c r="M289" s="94"/>
    </row>
    <row r="290" s="93" customFormat="1" spans="3:13">
      <c r="C290" s="94"/>
      <c r="E290" s="94"/>
      <c r="G290" s="94"/>
      <c r="I290" s="94"/>
      <c r="K290" s="94"/>
      <c r="M290" s="94"/>
    </row>
    <row r="291" s="93" customFormat="1" spans="3:13">
      <c r="C291" s="94"/>
      <c r="E291" s="94"/>
      <c r="G291" s="94"/>
      <c r="I291" s="94"/>
      <c r="K291" s="94"/>
      <c r="M291" s="94"/>
    </row>
    <row r="292" s="93" customFormat="1" spans="3:13">
      <c r="C292" s="94"/>
      <c r="E292" s="94"/>
      <c r="G292" s="94"/>
      <c r="I292" s="94"/>
      <c r="K292" s="94"/>
      <c r="M292" s="94"/>
    </row>
    <row r="293" s="93" customFormat="1" spans="3:13">
      <c r="C293" s="94"/>
      <c r="E293" s="94"/>
      <c r="G293" s="94"/>
      <c r="I293" s="94"/>
      <c r="K293" s="94"/>
      <c r="M293" s="94"/>
    </row>
    <row r="294" s="93" customFormat="1" spans="3:13">
      <c r="C294" s="94"/>
      <c r="E294" s="94"/>
      <c r="G294" s="94"/>
      <c r="I294" s="94"/>
      <c r="K294" s="94"/>
      <c r="M294" s="94"/>
    </row>
    <row r="295" s="93" customFormat="1" spans="3:13">
      <c r="C295" s="94"/>
      <c r="E295" s="94"/>
      <c r="G295" s="94"/>
      <c r="I295" s="94"/>
      <c r="K295" s="94"/>
      <c r="M295" s="94"/>
    </row>
    <row r="296" s="93" customFormat="1" spans="3:13">
      <c r="C296" s="94"/>
      <c r="E296" s="94"/>
      <c r="G296" s="94"/>
      <c r="I296" s="94"/>
      <c r="K296" s="94"/>
      <c r="M296" s="94"/>
    </row>
    <row r="297" s="93" customFormat="1" spans="3:13">
      <c r="C297" s="94"/>
      <c r="E297" s="94"/>
      <c r="G297" s="94"/>
      <c r="I297" s="94"/>
      <c r="K297" s="94"/>
      <c r="M297" s="94"/>
    </row>
    <row r="298" s="93" customFormat="1" spans="3:13">
      <c r="C298" s="94"/>
      <c r="E298" s="94"/>
      <c r="G298" s="94"/>
      <c r="I298" s="94"/>
      <c r="K298" s="94"/>
      <c r="M298" s="94"/>
    </row>
    <row r="299" s="93" customFormat="1" spans="3:13">
      <c r="C299" s="94"/>
      <c r="E299" s="94"/>
      <c r="G299" s="94"/>
      <c r="I299" s="94"/>
      <c r="K299" s="94"/>
      <c r="M299" s="94"/>
    </row>
    <row r="300" s="93" customFormat="1" spans="3:13">
      <c r="C300" s="94"/>
      <c r="E300" s="94"/>
      <c r="G300" s="94"/>
      <c r="I300" s="94"/>
      <c r="K300" s="94"/>
      <c r="M300" s="94"/>
    </row>
    <row r="301" s="93" customFormat="1" spans="3:13">
      <c r="C301" s="94"/>
      <c r="E301" s="94"/>
      <c r="G301" s="94"/>
      <c r="I301" s="94"/>
      <c r="K301" s="94"/>
      <c r="M301" s="94"/>
    </row>
    <row r="302" s="93" customFormat="1" spans="3:13">
      <c r="C302" s="94"/>
      <c r="E302" s="94"/>
      <c r="G302" s="94"/>
      <c r="I302" s="94"/>
      <c r="K302" s="94"/>
      <c r="M302" s="94"/>
    </row>
    <row r="303" s="93" customFormat="1" spans="3:13">
      <c r="C303" s="94"/>
      <c r="E303" s="94"/>
      <c r="G303" s="94"/>
      <c r="I303" s="94"/>
      <c r="K303" s="94"/>
      <c r="M303" s="94"/>
    </row>
    <row r="304" s="93" customFormat="1" spans="3:13">
      <c r="C304" s="94"/>
      <c r="E304" s="94"/>
      <c r="G304" s="94"/>
      <c r="I304" s="94"/>
      <c r="K304" s="94"/>
      <c r="M304" s="94"/>
    </row>
    <row r="305" s="93" customFormat="1" spans="3:13">
      <c r="C305" s="94"/>
      <c r="E305" s="94"/>
      <c r="G305" s="94"/>
      <c r="I305" s="94"/>
      <c r="K305" s="94"/>
      <c r="M305" s="94"/>
    </row>
    <row r="306" s="93" customFormat="1" spans="3:13">
      <c r="C306" s="94"/>
      <c r="E306" s="94"/>
      <c r="G306" s="94"/>
      <c r="I306" s="94"/>
      <c r="K306" s="94"/>
      <c r="M306" s="94"/>
    </row>
    <row r="307" s="93" customFormat="1" spans="3:13">
      <c r="C307" s="94"/>
      <c r="E307" s="94"/>
      <c r="G307" s="94"/>
      <c r="I307" s="94"/>
      <c r="K307" s="94"/>
      <c r="M307" s="94"/>
    </row>
    <row r="308" s="93" customFormat="1" spans="3:13">
      <c r="C308" s="94"/>
      <c r="E308" s="94"/>
      <c r="G308" s="94"/>
      <c r="I308" s="94"/>
      <c r="K308" s="94"/>
      <c r="M308" s="94"/>
    </row>
    <row r="309" s="93" customFormat="1" spans="3:13">
      <c r="C309" s="94"/>
      <c r="E309" s="94"/>
      <c r="G309" s="94"/>
      <c r="I309" s="94"/>
      <c r="K309" s="94"/>
      <c r="M309" s="94"/>
    </row>
    <row r="310" s="93" customFormat="1" spans="3:13">
      <c r="C310" s="94"/>
      <c r="E310" s="94"/>
      <c r="G310" s="94"/>
      <c r="I310" s="94"/>
      <c r="K310" s="94"/>
      <c r="M310" s="94"/>
    </row>
    <row r="311" s="93" customFormat="1" spans="3:13">
      <c r="C311" s="94"/>
      <c r="E311" s="94"/>
      <c r="G311" s="94"/>
      <c r="I311" s="94"/>
      <c r="K311" s="94"/>
      <c r="M311" s="94"/>
    </row>
    <row r="312" s="93" customFormat="1" spans="3:13">
      <c r="C312" s="94"/>
      <c r="E312" s="94"/>
      <c r="G312" s="94"/>
      <c r="I312" s="94"/>
      <c r="K312" s="94"/>
      <c r="M312" s="94"/>
    </row>
    <row r="313" s="93" customFormat="1" spans="3:13">
      <c r="C313" s="94"/>
      <c r="E313" s="94"/>
      <c r="G313" s="94"/>
      <c r="I313" s="94"/>
      <c r="K313" s="94"/>
      <c r="M313" s="94"/>
    </row>
    <row r="314" s="93" customFormat="1" spans="3:13">
      <c r="C314" s="94"/>
      <c r="E314" s="94"/>
      <c r="G314" s="94"/>
      <c r="I314" s="94"/>
      <c r="K314" s="94"/>
      <c r="M314" s="94"/>
    </row>
    <row r="315" s="93" customFormat="1" spans="3:13">
      <c r="C315" s="94"/>
      <c r="E315" s="94"/>
      <c r="G315" s="94"/>
      <c r="I315" s="94"/>
      <c r="K315" s="94"/>
      <c r="M315" s="94"/>
    </row>
    <row r="316" s="93" customFormat="1" spans="3:13">
      <c r="C316" s="94"/>
      <c r="E316" s="94"/>
      <c r="G316" s="94"/>
      <c r="I316" s="94"/>
      <c r="K316" s="94"/>
      <c r="M316" s="94"/>
    </row>
    <row r="317" s="93" customFormat="1" spans="3:13">
      <c r="C317" s="94"/>
      <c r="E317" s="94"/>
      <c r="G317" s="94"/>
      <c r="I317" s="94"/>
      <c r="K317" s="94"/>
      <c r="M317" s="94"/>
    </row>
    <row r="318" s="93" customFormat="1" spans="3:13">
      <c r="C318" s="94"/>
      <c r="E318" s="94"/>
      <c r="G318" s="94"/>
      <c r="I318" s="94"/>
      <c r="K318" s="94"/>
      <c r="M318" s="94"/>
    </row>
    <row r="319" s="93" customFormat="1" spans="3:13">
      <c r="C319" s="94"/>
      <c r="E319" s="94"/>
      <c r="G319" s="94"/>
      <c r="I319" s="94"/>
      <c r="K319" s="94"/>
      <c r="M319" s="94"/>
    </row>
    <row r="320" s="93" customFormat="1" spans="3:13">
      <c r="C320" s="94"/>
      <c r="E320" s="94"/>
      <c r="G320" s="94"/>
      <c r="I320" s="94"/>
      <c r="K320" s="94"/>
      <c r="M320" s="94"/>
    </row>
    <row r="321" s="93" customFormat="1" spans="3:13">
      <c r="C321" s="94"/>
      <c r="E321" s="94"/>
      <c r="G321" s="94"/>
      <c r="I321" s="94"/>
      <c r="K321" s="94"/>
      <c r="M321" s="94"/>
    </row>
    <row r="322" s="93" customFormat="1" spans="3:13">
      <c r="C322" s="94"/>
      <c r="E322" s="94"/>
      <c r="G322" s="94"/>
      <c r="I322" s="94"/>
      <c r="K322" s="94"/>
      <c r="M322" s="94"/>
    </row>
    <row r="323" s="93" customFormat="1" spans="3:13">
      <c r="C323" s="94"/>
      <c r="E323" s="94"/>
      <c r="G323" s="94"/>
      <c r="I323" s="94"/>
      <c r="K323" s="94"/>
      <c r="M323" s="94"/>
    </row>
    <row r="324" s="93" customFormat="1" spans="3:13">
      <c r="C324" s="94"/>
      <c r="E324" s="94"/>
      <c r="G324" s="94"/>
      <c r="I324" s="94"/>
      <c r="K324" s="94"/>
      <c r="M324" s="94"/>
    </row>
    <row r="325" s="93" customFormat="1" spans="3:13">
      <c r="C325" s="94"/>
      <c r="E325" s="94"/>
      <c r="G325" s="94"/>
      <c r="I325" s="94"/>
      <c r="K325" s="94"/>
      <c r="M325" s="94"/>
    </row>
    <row r="326" s="93" customFormat="1" spans="3:13">
      <c r="C326" s="94"/>
      <c r="E326" s="94"/>
      <c r="G326" s="94"/>
      <c r="I326" s="94"/>
      <c r="K326" s="94"/>
      <c r="M326" s="94"/>
    </row>
    <row r="327" s="93" customFormat="1" spans="3:13">
      <c r="C327" s="94"/>
      <c r="E327" s="94"/>
      <c r="G327" s="94"/>
      <c r="I327" s="94"/>
      <c r="K327" s="94"/>
      <c r="M327" s="94"/>
    </row>
    <row r="328" s="93" customFormat="1" spans="3:13">
      <c r="C328" s="94"/>
      <c r="E328" s="94"/>
      <c r="G328" s="94"/>
      <c r="I328" s="94"/>
      <c r="K328" s="94"/>
      <c r="M328" s="94"/>
    </row>
    <row r="329" s="93" customFormat="1" spans="3:13">
      <c r="C329" s="94"/>
      <c r="E329" s="94"/>
      <c r="G329" s="94"/>
      <c r="I329" s="94"/>
      <c r="K329" s="94"/>
      <c r="M329" s="94"/>
    </row>
    <row r="330" s="93" customFormat="1" spans="3:13">
      <c r="C330" s="94"/>
      <c r="E330" s="94"/>
      <c r="G330" s="94"/>
      <c r="I330" s="94"/>
      <c r="K330" s="94"/>
      <c r="M330" s="94"/>
    </row>
    <row r="331" s="93" customFormat="1" spans="3:13">
      <c r="C331" s="94"/>
      <c r="E331" s="94"/>
      <c r="G331" s="94"/>
      <c r="I331" s="94"/>
      <c r="K331" s="94"/>
      <c r="M331" s="94"/>
    </row>
    <row r="332" s="93" customFormat="1" spans="3:13">
      <c r="C332" s="94"/>
      <c r="E332" s="94"/>
      <c r="G332" s="94"/>
      <c r="I332" s="94"/>
      <c r="K332" s="94"/>
      <c r="M332" s="94"/>
    </row>
    <row r="333" s="93" customFormat="1" spans="3:13">
      <c r="C333" s="94"/>
      <c r="E333" s="94"/>
      <c r="G333" s="94"/>
      <c r="I333" s="94"/>
      <c r="K333" s="94"/>
      <c r="M333" s="94"/>
    </row>
    <row r="334" s="93" customFormat="1" spans="3:13">
      <c r="C334" s="94"/>
      <c r="E334" s="94"/>
      <c r="G334" s="94"/>
      <c r="I334" s="94"/>
      <c r="K334" s="94"/>
      <c r="M334" s="94"/>
    </row>
    <row r="335" s="93" customFormat="1" spans="3:13">
      <c r="C335" s="94"/>
      <c r="E335" s="94"/>
      <c r="G335" s="94"/>
      <c r="I335" s="94"/>
      <c r="K335" s="94"/>
      <c r="M335" s="94"/>
    </row>
    <row r="336" s="93" customFormat="1" spans="3:13">
      <c r="C336" s="94"/>
      <c r="E336" s="94"/>
      <c r="G336" s="94"/>
      <c r="I336" s="94"/>
      <c r="K336" s="94"/>
      <c r="M336" s="94"/>
    </row>
    <row r="337" s="93" customFormat="1" spans="3:13">
      <c r="C337" s="94"/>
      <c r="E337" s="94"/>
      <c r="G337" s="94"/>
      <c r="I337" s="94"/>
      <c r="K337" s="94"/>
      <c r="M337" s="94"/>
    </row>
    <row r="338" s="93" customFormat="1" spans="3:13">
      <c r="C338" s="94"/>
      <c r="E338" s="94"/>
      <c r="G338" s="94"/>
      <c r="I338" s="94"/>
      <c r="K338" s="94"/>
      <c r="M338" s="94"/>
    </row>
    <row r="339" s="93" customFormat="1" spans="3:13">
      <c r="C339" s="94"/>
      <c r="E339" s="94"/>
      <c r="G339" s="94"/>
      <c r="I339" s="94"/>
      <c r="K339" s="94"/>
      <c r="M339" s="94"/>
    </row>
    <row r="340" s="93" customFormat="1" spans="3:13">
      <c r="C340" s="94"/>
      <c r="E340" s="94"/>
      <c r="G340" s="94"/>
      <c r="I340" s="94"/>
      <c r="K340" s="94"/>
      <c r="M340" s="94"/>
    </row>
    <row r="341" s="93" customFormat="1" spans="3:13">
      <c r="C341" s="94"/>
      <c r="E341" s="94"/>
      <c r="G341" s="94"/>
      <c r="I341" s="94"/>
      <c r="K341" s="94"/>
      <c r="M341" s="94"/>
    </row>
    <row r="342" s="93" customFormat="1" spans="3:13">
      <c r="C342" s="94"/>
      <c r="E342" s="94"/>
      <c r="G342" s="94"/>
      <c r="I342" s="94"/>
      <c r="K342" s="94"/>
      <c r="M342" s="94"/>
    </row>
    <row r="343" s="93" customFormat="1" spans="3:13">
      <c r="C343" s="94"/>
      <c r="E343" s="94"/>
      <c r="G343" s="94"/>
      <c r="I343" s="94"/>
      <c r="K343" s="94"/>
      <c r="M343" s="94"/>
    </row>
    <row r="344" s="93" customFormat="1" spans="3:13">
      <c r="C344" s="94"/>
      <c r="E344" s="94"/>
      <c r="G344" s="94"/>
      <c r="I344" s="94"/>
      <c r="K344" s="94"/>
      <c r="M344" s="94"/>
    </row>
    <row r="345" s="93" customFormat="1" spans="3:13">
      <c r="C345" s="94"/>
      <c r="E345" s="94"/>
      <c r="G345" s="94"/>
      <c r="I345" s="94"/>
      <c r="K345" s="94"/>
      <c r="M345" s="94"/>
    </row>
    <row r="346" s="93" customFormat="1" spans="3:13">
      <c r="C346" s="94"/>
      <c r="E346" s="94"/>
      <c r="G346" s="94"/>
      <c r="I346" s="94"/>
      <c r="K346" s="94"/>
      <c r="M346" s="94"/>
    </row>
    <row r="347" s="93" customFormat="1" spans="3:13">
      <c r="C347" s="94"/>
      <c r="E347" s="94"/>
      <c r="G347" s="94"/>
      <c r="I347" s="94"/>
      <c r="K347" s="94"/>
      <c r="M347" s="94"/>
    </row>
    <row r="348" s="93" customFormat="1" spans="3:13">
      <c r="C348" s="94"/>
      <c r="E348" s="94"/>
      <c r="G348" s="94"/>
      <c r="I348" s="94"/>
      <c r="K348" s="94"/>
      <c r="M348" s="94"/>
    </row>
    <row r="349" s="93" customFormat="1" spans="3:13">
      <c r="C349" s="94"/>
      <c r="E349" s="94"/>
      <c r="G349" s="94"/>
      <c r="I349" s="94"/>
      <c r="K349" s="94"/>
      <c r="M349" s="94"/>
    </row>
    <row r="350" s="93" customFormat="1" spans="3:13">
      <c r="C350" s="94"/>
      <c r="E350" s="94"/>
      <c r="G350" s="94"/>
      <c r="I350" s="94"/>
      <c r="K350" s="94"/>
      <c r="M350" s="94"/>
    </row>
    <row r="351" s="93" customFormat="1" spans="3:13">
      <c r="C351" s="94"/>
      <c r="E351" s="94"/>
      <c r="G351" s="94"/>
      <c r="I351" s="94"/>
      <c r="K351" s="94"/>
      <c r="M351" s="94"/>
    </row>
    <row r="352" s="93" customFormat="1" spans="3:13">
      <c r="C352" s="94"/>
      <c r="E352" s="94"/>
      <c r="G352" s="94"/>
      <c r="I352" s="94"/>
      <c r="K352" s="94"/>
      <c r="M352" s="94"/>
    </row>
    <row r="353" s="93" customFormat="1" spans="3:13">
      <c r="C353" s="94"/>
      <c r="E353" s="94"/>
      <c r="G353" s="94"/>
      <c r="I353" s="94"/>
      <c r="K353" s="94"/>
      <c r="M353" s="94"/>
    </row>
    <row r="354" s="93" customFormat="1" spans="3:13">
      <c r="C354" s="94"/>
      <c r="E354" s="94"/>
      <c r="G354" s="94"/>
      <c r="I354" s="94"/>
      <c r="K354" s="94"/>
      <c r="M354" s="94"/>
    </row>
    <row r="355" s="93" customFormat="1" spans="3:13">
      <c r="C355" s="94"/>
      <c r="E355" s="94"/>
      <c r="G355" s="94"/>
      <c r="I355" s="94"/>
      <c r="K355" s="94"/>
      <c r="M355" s="94"/>
    </row>
    <row r="356" s="93" customFormat="1" spans="3:13">
      <c r="C356" s="94"/>
      <c r="E356" s="94"/>
      <c r="G356" s="94"/>
      <c r="I356" s="94"/>
      <c r="K356" s="94"/>
      <c r="M356" s="94"/>
    </row>
    <row r="357" s="93" customFormat="1" spans="3:13">
      <c r="C357" s="94"/>
      <c r="E357" s="94"/>
      <c r="G357" s="94"/>
      <c r="I357" s="94"/>
      <c r="K357" s="94"/>
      <c r="M357" s="94"/>
    </row>
    <row r="358" s="93" customFormat="1" spans="3:13">
      <c r="C358" s="94"/>
      <c r="E358" s="94"/>
      <c r="G358" s="94"/>
      <c r="I358" s="94"/>
      <c r="K358" s="94"/>
      <c r="M358" s="94"/>
    </row>
    <row r="359" s="93" customFormat="1" spans="3:13">
      <c r="C359" s="94"/>
      <c r="E359" s="94"/>
      <c r="G359" s="94"/>
      <c r="I359" s="94"/>
      <c r="K359" s="94"/>
      <c r="M359" s="94"/>
    </row>
    <row r="360" s="93" customFormat="1" spans="3:13">
      <c r="C360" s="94"/>
      <c r="E360" s="94"/>
      <c r="G360" s="94"/>
      <c r="I360" s="94"/>
      <c r="K360" s="94"/>
      <c r="M360" s="94"/>
    </row>
    <row r="361" s="93" customFormat="1" spans="3:13">
      <c r="C361" s="94"/>
      <c r="E361" s="94"/>
      <c r="G361" s="94"/>
      <c r="I361" s="94"/>
      <c r="K361" s="94"/>
      <c r="M361" s="94"/>
    </row>
    <row r="362" s="93" customFormat="1" spans="3:13">
      <c r="C362" s="94"/>
      <c r="E362" s="94"/>
      <c r="G362" s="94"/>
      <c r="I362" s="94"/>
      <c r="K362" s="94"/>
      <c r="M362" s="94"/>
    </row>
    <row r="363" s="93" customFormat="1" spans="3:13">
      <c r="C363" s="94"/>
      <c r="E363" s="94"/>
      <c r="G363" s="94"/>
      <c r="I363" s="94"/>
      <c r="K363" s="94"/>
      <c r="M363" s="94"/>
    </row>
    <row r="364" s="93" customFormat="1" spans="3:13">
      <c r="C364" s="94"/>
      <c r="E364" s="94"/>
      <c r="G364" s="94"/>
      <c r="I364" s="94"/>
      <c r="K364" s="94"/>
      <c r="M364" s="94"/>
    </row>
    <row r="365" s="93" customFormat="1" spans="3:13">
      <c r="C365" s="94"/>
      <c r="E365" s="94"/>
      <c r="G365" s="94"/>
      <c r="I365" s="94"/>
      <c r="K365" s="94"/>
      <c r="M365" s="94"/>
    </row>
    <row r="366" s="93" customFormat="1" spans="3:13">
      <c r="C366" s="94"/>
      <c r="E366" s="94"/>
      <c r="G366" s="94"/>
      <c r="I366" s="94"/>
      <c r="K366" s="94"/>
      <c r="M366" s="94"/>
    </row>
    <row r="367" s="93" customFormat="1" spans="3:13">
      <c r="C367" s="94"/>
      <c r="E367" s="94"/>
      <c r="G367" s="94"/>
      <c r="I367" s="94"/>
      <c r="K367" s="94"/>
      <c r="M367" s="94"/>
    </row>
    <row r="368" s="93" customFormat="1" spans="3:13">
      <c r="C368" s="94"/>
      <c r="E368" s="94"/>
      <c r="G368" s="94"/>
      <c r="I368" s="94"/>
      <c r="K368" s="94"/>
      <c r="M368" s="94"/>
    </row>
    <row r="369" s="93" customFormat="1" spans="3:13">
      <c r="C369" s="94"/>
      <c r="E369" s="94"/>
      <c r="G369" s="94"/>
      <c r="I369" s="94"/>
      <c r="K369" s="94"/>
      <c r="M369" s="94"/>
    </row>
    <row r="370" s="93" customFormat="1" spans="3:13">
      <c r="C370" s="94"/>
      <c r="E370" s="94"/>
      <c r="G370" s="94"/>
      <c r="I370" s="94"/>
      <c r="K370" s="94"/>
      <c r="M370" s="94"/>
    </row>
    <row r="371" s="93" customFormat="1" spans="3:13">
      <c r="C371" s="94"/>
      <c r="E371" s="94"/>
      <c r="G371" s="94"/>
      <c r="I371" s="94"/>
      <c r="K371" s="94"/>
      <c r="M371" s="94"/>
    </row>
    <row r="372" s="93" customFormat="1" spans="3:13">
      <c r="C372" s="94"/>
      <c r="E372" s="94"/>
      <c r="G372" s="94"/>
      <c r="I372" s="94"/>
      <c r="K372" s="94"/>
      <c r="M372" s="94"/>
    </row>
    <row r="373" s="93" customFormat="1" spans="3:13">
      <c r="C373" s="94"/>
      <c r="E373" s="94"/>
      <c r="G373" s="94"/>
      <c r="I373" s="94"/>
      <c r="K373" s="94"/>
      <c r="M373" s="94"/>
    </row>
    <row r="374" s="93" customFormat="1" spans="3:13">
      <c r="C374" s="94"/>
      <c r="E374" s="94"/>
      <c r="G374" s="94"/>
      <c r="I374" s="94"/>
      <c r="K374" s="94"/>
      <c r="M374" s="94"/>
    </row>
    <row r="375" s="93" customFormat="1" spans="3:13">
      <c r="C375" s="94"/>
      <c r="E375" s="94"/>
      <c r="G375" s="94"/>
      <c r="I375" s="94"/>
      <c r="K375" s="94"/>
      <c r="M375" s="94"/>
    </row>
    <row r="376" s="93" customFormat="1" spans="3:13">
      <c r="C376" s="94"/>
      <c r="E376" s="94"/>
      <c r="G376" s="94"/>
      <c r="I376" s="94"/>
      <c r="K376" s="94"/>
      <c r="M376" s="94"/>
    </row>
    <row r="377" s="93" customFormat="1" spans="3:13">
      <c r="C377" s="94"/>
      <c r="E377" s="94"/>
      <c r="G377" s="94"/>
      <c r="I377" s="94"/>
      <c r="K377" s="94"/>
      <c r="M377" s="94"/>
    </row>
    <row r="378" s="93" customFormat="1" spans="3:13">
      <c r="C378" s="94"/>
      <c r="E378" s="94"/>
      <c r="G378" s="94"/>
      <c r="I378" s="94"/>
      <c r="K378" s="94"/>
      <c r="M378" s="94"/>
    </row>
    <row r="379" s="93" customFormat="1" spans="3:13">
      <c r="C379" s="94"/>
      <c r="E379" s="94"/>
      <c r="G379" s="94"/>
      <c r="I379" s="94"/>
      <c r="K379" s="94"/>
      <c r="M379" s="94"/>
    </row>
    <row r="380" s="93" customFormat="1" spans="3:13">
      <c r="C380" s="94"/>
      <c r="E380" s="94"/>
      <c r="G380" s="94"/>
      <c r="I380" s="94"/>
      <c r="K380" s="94"/>
      <c r="M380" s="94"/>
    </row>
    <row r="381" s="93" customFormat="1" spans="3:13">
      <c r="C381" s="94"/>
      <c r="E381" s="94"/>
      <c r="G381" s="94"/>
      <c r="I381" s="94"/>
      <c r="K381" s="94"/>
      <c r="M381" s="94"/>
    </row>
    <row r="382" s="93" customFormat="1" spans="3:13">
      <c r="C382" s="94"/>
      <c r="E382" s="94"/>
      <c r="G382" s="94"/>
      <c r="I382" s="94"/>
      <c r="K382" s="94"/>
      <c r="M382" s="94"/>
    </row>
    <row r="383" s="93" customFormat="1" spans="3:13">
      <c r="C383" s="94"/>
      <c r="E383" s="94"/>
      <c r="G383" s="94"/>
      <c r="I383" s="94"/>
      <c r="K383" s="94"/>
      <c r="M383" s="94"/>
    </row>
    <row r="384" s="93" customFormat="1" spans="3:13">
      <c r="C384" s="94"/>
      <c r="E384" s="94"/>
      <c r="G384" s="94"/>
      <c r="I384" s="94"/>
      <c r="K384" s="94"/>
      <c r="M384" s="94"/>
    </row>
    <row r="385" s="93" customFormat="1" spans="3:13">
      <c r="C385" s="94"/>
      <c r="E385" s="94"/>
      <c r="G385" s="94"/>
      <c r="I385" s="94"/>
      <c r="K385" s="94"/>
      <c r="M385" s="94"/>
    </row>
    <row r="386" s="93" customFormat="1" spans="3:13">
      <c r="C386" s="94"/>
      <c r="E386" s="94"/>
      <c r="G386" s="94"/>
      <c r="I386" s="94"/>
      <c r="K386" s="94"/>
      <c r="M386" s="94"/>
    </row>
    <row r="387" s="93" customFormat="1" spans="3:13">
      <c r="C387" s="94"/>
      <c r="E387" s="94"/>
      <c r="G387" s="94"/>
      <c r="I387" s="94"/>
      <c r="K387" s="94"/>
      <c r="M387" s="94"/>
    </row>
    <row r="388" s="93" customFormat="1" spans="3:13">
      <c r="C388" s="94"/>
      <c r="E388" s="94"/>
      <c r="G388" s="94"/>
      <c r="I388" s="94"/>
      <c r="K388" s="94"/>
      <c r="M388" s="94"/>
    </row>
    <row r="389" s="93" customFormat="1" spans="3:13">
      <c r="C389" s="94"/>
      <c r="E389" s="94"/>
      <c r="G389" s="94"/>
      <c r="I389" s="94"/>
      <c r="K389" s="94"/>
      <c r="M389" s="94"/>
    </row>
    <row r="390" s="93" customFormat="1" spans="3:13">
      <c r="C390" s="94"/>
      <c r="E390" s="94"/>
      <c r="G390" s="94"/>
      <c r="I390" s="94"/>
      <c r="K390" s="94"/>
      <c r="M390" s="94"/>
    </row>
    <row r="391" s="93" customFormat="1" spans="3:13">
      <c r="C391" s="94"/>
      <c r="E391" s="94"/>
      <c r="G391" s="94"/>
      <c r="I391" s="94"/>
      <c r="K391" s="94"/>
      <c r="M391" s="94"/>
    </row>
    <row r="392" s="93" customFormat="1" spans="3:13">
      <c r="C392" s="94"/>
      <c r="E392" s="94"/>
      <c r="G392" s="94"/>
      <c r="I392" s="94"/>
      <c r="K392" s="94"/>
      <c r="M392" s="94"/>
    </row>
    <row r="393" s="93" customFormat="1" spans="3:13">
      <c r="C393" s="94"/>
      <c r="E393" s="94"/>
      <c r="G393" s="94"/>
      <c r="I393" s="94"/>
      <c r="K393" s="94"/>
      <c r="M393" s="94"/>
    </row>
    <row r="394" s="93" customFormat="1" spans="3:13">
      <c r="C394" s="94"/>
      <c r="E394" s="94"/>
      <c r="G394" s="94"/>
      <c r="I394" s="94"/>
      <c r="K394" s="94"/>
      <c r="M394" s="94"/>
    </row>
    <row r="395" s="93" customFormat="1" spans="3:13">
      <c r="C395" s="94"/>
      <c r="E395" s="94"/>
      <c r="G395" s="94"/>
      <c r="I395" s="94"/>
      <c r="K395" s="94"/>
      <c r="M395" s="94"/>
    </row>
    <row r="396" s="93" customFormat="1" spans="3:13">
      <c r="C396" s="94"/>
      <c r="E396" s="94"/>
      <c r="G396" s="94"/>
      <c r="I396" s="94"/>
      <c r="K396" s="94"/>
      <c r="M396" s="94"/>
    </row>
    <row r="397" s="93" customFormat="1" spans="3:13">
      <c r="C397" s="94"/>
      <c r="E397" s="94"/>
      <c r="G397" s="94"/>
      <c r="I397" s="94"/>
      <c r="K397" s="94"/>
      <c r="M397" s="94"/>
    </row>
    <row r="398" s="93" customFormat="1" spans="3:13">
      <c r="C398" s="94"/>
      <c r="E398" s="94"/>
      <c r="G398" s="94"/>
      <c r="I398" s="94"/>
      <c r="K398" s="94"/>
      <c r="M398" s="94"/>
    </row>
    <row r="399" s="93" customFormat="1" spans="3:13">
      <c r="C399" s="94"/>
      <c r="E399" s="94"/>
      <c r="G399" s="94"/>
      <c r="I399" s="94"/>
      <c r="K399" s="94"/>
      <c r="M399" s="94"/>
    </row>
    <row r="400" s="93" customFormat="1" spans="3:13">
      <c r="C400" s="94"/>
      <c r="E400" s="94"/>
      <c r="G400" s="94"/>
      <c r="I400" s="94"/>
      <c r="K400" s="94"/>
      <c r="M400" s="94"/>
    </row>
    <row r="401" s="93" customFormat="1" spans="3:13">
      <c r="C401" s="94"/>
      <c r="E401" s="94"/>
      <c r="G401" s="94"/>
      <c r="I401" s="94"/>
      <c r="K401" s="94"/>
      <c r="M401" s="94"/>
    </row>
    <row r="402" s="93" customFormat="1" spans="3:13">
      <c r="C402" s="94"/>
      <c r="E402" s="94"/>
      <c r="G402" s="94"/>
      <c r="I402" s="94"/>
      <c r="K402" s="94"/>
      <c r="M402" s="94"/>
    </row>
    <row r="403" s="93" customFormat="1" spans="3:13">
      <c r="C403" s="94"/>
      <c r="E403" s="94"/>
      <c r="G403" s="94"/>
      <c r="I403" s="94"/>
      <c r="K403" s="94"/>
      <c r="M403" s="94"/>
    </row>
    <row r="404" s="93" customFormat="1" spans="3:13">
      <c r="C404" s="94"/>
      <c r="E404" s="94"/>
      <c r="G404" s="94"/>
      <c r="I404" s="94"/>
      <c r="K404" s="94"/>
      <c r="M404" s="94"/>
    </row>
    <row r="405" s="93" customFormat="1" spans="3:13">
      <c r="C405" s="94"/>
      <c r="E405" s="94"/>
      <c r="G405" s="94"/>
      <c r="I405" s="94"/>
      <c r="K405" s="94"/>
      <c r="M405" s="94"/>
    </row>
    <row r="406" s="93" customFormat="1" spans="3:13">
      <c r="C406" s="94"/>
      <c r="E406" s="94"/>
      <c r="G406" s="94"/>
      <c r="I406" s="94"/>
      <c r="K406" s="94"/>
      <c r="M406" s="94"/>
    </row>
    <row r="407" s="93" customFormat="1" spans="3:13">
      <c r="C407" s="94"/>
      <c r="E407" s="94"/>
      <c r="G407" s="94"/>
      <c r="I407" s="94"/>
      <c r="K407" s="94"/>
      <c r="M407" s="94"/>
    </row>
    <row r="408" s="93" customFormat="1" spans="3:13">
      <c r="C408" s="94"/>
      <c r="E408" s="94"/>
      <c r="G408" s="94"/>
      <c r="I408" s="94"/>
      <c r="K408" s="94"/>
      <c r="M408" s="94"/>
    </row>
    <row r="409" s="93" customFormat="1" spans="3:13">
      <c r="C409" s="94"/>
      <c r="E409" s="94"/>
      <c r="G409" s="94"/>
      <c r="I409" s="94"/>
      <c r="K409" s="94"/>
      <c r="M409" s="94"/>
    </row>
    <row r="410" s="93" customFormat="1" spans="3:13">
      <c r="C410" s="94"/>
      <c r="E410" s="94"/>
      <c r="G410" s="94"/>
      <c r="I410" s="94"/>
      <c r="K410" s="94"/>
      <c r="M410" s="94"/>
    </row>
    <row r="411" s="93" customFormat="1" spans="3:13">
      <c r="C411" s="94"/>
      <c r="E411" s="94"/>
      <c r="G411" s="94"/>
      <c r="I411" s="94"/>
      <c r="K411" s="94"/>
      <c r="M411" s="94"/>
    </row>
    <row r="412" s="93" customFormat="1" spans="3:13">
      <c r="C412" s="94"/>
      <c r="E412" s="94"/>
      <c r="G412" s="94"/>
      <c r="I412" s="94"/>
      <c r="K412" s="94"/>
      <c r="M412" s="94"/>
    </row>
    <row r="413" s="93" customFormat="1" spans="3:13">
      <c r="C413" s="94"/>
      <c r="E413" s="94"/>
      <c r="G413" s="94"/>
      <c r="I413" s="94"/>
      <c r="K413" s="94"/>
      <c r="M413" s="94"/>
    </row>
    <row r="414" s="93" customFormat="1" spans="3:13">
      <c r="C414" s="94"/>
      <c r="E414" s="94"/>
      <c r="G414" s="94"/>
      <c r="I414" s="94"/>
      <c r="K414" s="94"/>
      <c r="M414" s="94"/>
    </row>
    <row r="415" s="93" customFormat="1" spans="3:13">
      <c r="C415" s="94"/>
      <c r="E415" s="94"/>
      <c r="G415" s="94"/>
      <c r="I415" s="94"/>
      <c r="K415" s="94"/>
      <c r="M415" s="94"/>
    </row>
    <row r="416" s="93" customFormat="1" spans="3:13">
      <c r="C416" s="94"/>
      <c r="E416" s="94"/>
      <c r="G416" s="94"/>
      <c r="I416" s="94"/>
      <c r="K416" s="94"/>
      <c r="M416" s="94"/>
    </row>
    <row r="417" s="93" customFormat="1" spans="3:13">
      <c r="C417" s="94"/>
      <c r="E417" s="94"/>
      <c r="G417" s="94"/>
      <c r="I417" s="94"/>
      <c r="K417" s="94"/>
      <c r="M417" s="94"/>
    </row>
    <row r="418" s="93" customFormat="1" spans="3:13">
      <c r="C418" s="94"/>
      <c r="E418" s="94"/>
      <c r="G418" s="94"/>
      <c r="I418" s="94"/>
      <c r="K418" s="94"/>
      <c r="M418" s="94"/>
    </row>
    <row r="419" s="93" customFormat="1" spans="3:13">
      <c r="C419" s="94"/>
      <c r="E419" s="94"/>
      <c r="G419" s="94"/>
      <c r="I419" s="94"/>
      <c r="K419" s="94"/>
      <c r="M419" s="94"/>
    </row>
    <row r="420" s="93" customFormat="1" spans="3:13">
      <c r="C420" s="94"/>
      <c r="E420" s="94"/>
      <c r="G420" s="94"/>
      <c r="I420" s="94"/>
      <c r="K420" s="94"/>
      <c r="M420" s="94"/>
    </row>
    <row r="421" s="93" customFormat="1" spans="3:13">
      <c r="C421" s="94"/>
      <c r="E421" s="94"/>
      <c r="G421" s="94"/>
      <c r="I421" s="94"/>
      <c r="K421" s="94"/>
      <c r="M421" s="94"/>
    </row>
    <row r="422" s="93" customFormat="1" spans="3:13">
      <c r="C422" s="94"/>
      <c r="E422" s="94"/>
      <c r="G422" s="94"/>
      <c r="I422" s="94"/>
      <c r="K422" s="94"/>
      <c r="M422" s="94"/>
    </row>
    <row r="423" s="93" customFormat="1" spans="3:13">
      <c r="C423" s="94"/>
      <c r="E423" s="94"/>
      <c r="G423" s="94"/>
      <c r="I423" s="94"/>
      <c r="K423" s="94"/>
      <c r="M423" s="94"/>
    </row>
    <row r="424" s="93" customFormat="1" spans="3:13">
      <c r="C424" s="94"/>
      <c r="E424" s="94"/>
      <c r="G424" s="94"/>
      <c r="I424" s="94"/>
      <c r="K424" s="94"/>
      <c r="M424" s="94"/>
    </row>
    <row r="425" s="93" customFormat="1" spans="3:13">
      <c r="C425" s="94"/>
      <c r="E425" s="94"/>
      <c r="G425" s="94"/>
      <c r="I425" s="94"/>
      <c r="K425" s="94"/>
      <c r="M425" s="94"/>
    </row>
    <row r="426" s="93" customFormat="1" spans="3:13">
      <c r="C426" s="94"/>
      <c r="E426" s="94"/>
      <c r="G426" s="94"/>
      <c r="I426" s="94"/>
      <c r="K426" s="94"/>
      <c r="M426" s="94"/>
    </row>
    <row r="427" s="93" customFormat="1" spans="3:13">
      <c r="C427" s="94"/>
      <c r="E427" s="94"/>
      <c r="G427" s="94"/>
      <c r="I427" s="94"/>
      <c r="K427" s="94"/>
      <c r="M427" s="94"/>
    </row>
    <row r="428" s="93" customFormat="1" spans="3:13">
      <c r="C428" s="94"/>
      <c r="E428" s="94"/>
      <c r="G428" s="94"/>
      <c r="I428" s="94"/>
      <c r="K428" s="94"/>
      <c r="M428" s="94"/>
    </row>
    <row r="429" s="93" customFormat="1" spans="3:13">
      <c r="C429" s="94"/>
      <c r="E429" s="94"/>
      <c r="G429" s="94"/>
      <c r="I429" s="94"/>
      <c r="K429" s="94"/>
      <c r="M429" s="94"/>
    </row>
    <row r="430" s="93" customFormat="1" spans="3:13">
      <c r="C430" s="94"/>
      <c r="E430" s="94"/>
      <c r="G430" s="94"/>
      <c r="I430" s="94"/>
      <c r="K430" s="94"/>
      <c r="M430" s="94"/>
    </row>
    <row r="431" s="93" customFormat="1" spans="3:13">
      <c r="C431" s="94"/>
      <c r="E431" s="94"/>
      <c r="G431" s="94"/>
      <c r="I431" s="94"/>
      <c r="K431" s="94"/>
      <c r="M431" s="94"/>
    </row>
    <row r="432" s="93" customFormat="1" spans="3:13">
      <c r="C432" s="94"/>
      <c r="E432" s="94"/>
      <c r="G432" s="94"/>
      <c r="I432" s="94"/>
      <c r="K432" s="94"/>
      <c r="M432" s="94"/>
    </row>
    <row r="433" s="93" customFormat="1" spans="3:13">
      <c r="C433" s="94"/>
      <c r="E433" s="94"/>
      <c r="G433" s="94"/>
      <c r="I433" s="94"/>
      <c r="K433" s="94"/>
      <c r="M433" s="94"/>
    </row>
    <row r="434" s="93" customFormat="1" spans="3:13">
      <c r="C434" s="94"/>
      <c r="E434" s="94"/>
      <c r="G434" s="94"/>
      <c r="I434" s="94"/>
      <c r="K434" s="94"/>
      <c r="M434" s="94"/>
    </row>
    <row r="435" s="93" customFormat="1" spans="3:13">
      <c r="C435" s="94"/>
      <c r="E435" s="94"/>
      <c r="G435" s="94"/>
      <c r="I435" s="94"/>
      <c r="K435" s="94"/>
      <c r="M435" s="94"/>
    </row>
    <row r="436" s="93" customFormat="1" spans="3:13">
      <c r="C436" s="94"/>
      <c r="E436" s="94"/>
      <c r="G436" s="94"/>
      <c r="I436" s="94"/>
      <c r="K436" s="94"/>
      <c r="M436" s="94"/>
    </row>
    <row r="437" s="93" customFormat="1" spans="3:13">
      <c r="C437" s="94"/>
      <c r="E437" s="94"/>
      <c r="G437" s="94"/>
      <c r="I437" s="94"/>
      <c r="K437" s="94"/>
      <c r="M437" s="94"/>
    </row>
    <row r="438" s="93" customFormat="1" spans="3:13">
      <c r="C438" s="94"/>
      <c r="E438" s="94"/>
      <c r="G438" s="94"/>
      <c r="I438" s="94"/>
      <c r="K438" s="94"/>
      <c r="M438" s="94"/>
    </row>
    <row r="439" s="93" customFormat="1" spans="3:13">
      <c r="C439" s="94"/>
      <c r="E439" s="94"/>
      <c r="G439" s="94"/>
      <c r="I439" s="94"/>
      <c r="K439" s="94"/>
      <c r="M439" s="94"/>
    </row>
    <row r="440" s="93" customFormat="1" spans="3:13">
      <c r="C440" s="94"/>
      <c r="E440" s="94"/>
      <c r="G440" s="94"/>
      <c r="I440" s="94"/>
      <c r="K440" s="94"/>
      <c r="M440" s="94"/>
    </row>
    <row r="441" s="93" customFormat="1" spans="3:13">
      <c r="C441" s="94"/>
      <c r="E441" s="94"/>
      <c r="G441" s="94"/>
      <c r="I441" s="94"/>
      <c r="K441" s="94"/>
      <c r="M441" s="94"/>
    </row>
    <row r="442" s="93" customFormat="1" spans="3:13">
      <c r="C442" s="94"/>
      <c r="E442" s="94"/>
      <c r="G442" s="94"/>
      <c r="I442" s="94"/>
      <c r="K442" s="94"/>
      <c r="M442" s="94"/>
    </row>
    <row r="443" s="93" customFormat="1" spans="3:13">
      <c r="C443" s="94"/>
      <c r="E443" s="94"/>
      <c r="G443" s="94"/>
      <c r="I443" s="94"/>
      <c r="K443" s="94"/>
      <c r="M443" s="94"/>
    </row>
    <row r="444" s="93" customFormat="1" spans="3:13">
      <c r="C444" s="94"/>
      <c r="E444" s="94"/>
      <c r="G444" s="94"/>
      <c r="I444" s="94"/>
      <c r="K444" s="94"/>
      <c r="M444" s="94"/>
    </row>
    <row r="445" s="93" customFormat="1" spans="3:13">
      <c r="C445" s="94"/>
      <c r="E445" s="94"/>
      <c r="G445" s="94"/>
      <c r="I445" s="94"/>
      <c r="K445" s="94"/>
      <c r="M445" s="94"/>
    </row>
    <row r="446" s="93" customFormat="1" spans="3:13">
      <c r="C446" s="94"/>
      <c r="E446" s="94"/>
      <c r="G446" s="94"/>
      <c r="I446" s="94"/>
      <c r="K446" s="94"/>
      <c r="M446" s="94"/>
    </row>
    <row r="447" s="93" customFormat="1" spans="3:13">
      <c r="C447" s="94"/>
      <c r="E447" s="94"/>
      <c r="G447" s="94"/>
      <c r="I447" s="94"/>
      <c r="K447" s="94"/>
      <c r="M447" s="94"/>
    </row>
    <row r="448" s="93" customFormat="1" spans="3:13">
      <c r="C448" s="94"/>
      <c r="E448" s="94"/>
      <c r="G448" s="94"/>
      <c r="I448" s="94"/>
      <c r="K448" s="94"/>
      <c r="M448" s="94"/>
    </row>
    <row r="449" s="93" customFormat="1" spans="3:13">
      <c r="C449" s="94"/>
      <c r="E449" s="94"/>
      <c r="G449" s="94"/>
      <c r="I449" s="94"/>
      <c r="K449" s="94"/>
      <c r="M449" s="94"/>
    </row>
    <row r="450" s="93" customFormat="1" spans="3:13">
      <c r="C450" s="94"/>
      <c r="E450" s="94"/>
      <c r="G450" s="94"/>
      <c r="I450" s="94"/>
      <c r="K450" s="94"/>
      <c r="M450" s="94"/>
    </row>
    <row r="451" s="93" customFormat="1" spans="3:13">
      <c r="C451" s="94"/>
      <c r="E451" s="94"/>
      <c r="G451" s="94"/>
      <c r="I451" s="94"/>
      <c r="K451" s="94"/>
      <c r="M451" s="94"/>
    </row>
    <row r="452" s="93" customFormat="1" spans="3:13">
      <c r="C452" s="94"/>
      <c r="E452" s="94"/>
      <c r="G452" s="94"/>
      <c r="I452" s="94"/>
      <c r="K452" s="94"/>
      <c r="M452" s="94"/>
    </row>
    <row r="453" s="93" customFormat="1" spans="3:13">
      <c r="C453" s="94"/>
      <c r="E453" s="94"/>
      <c r="G453" s="94"/>
      <c r="I453" s="94"/>
      <c r="K453" s="94"/>
      <c r="M453" s="94"/>
    </row>
    <row r="454" s="93" customFormat="1" spans="3:13">
      <c r="C454" s="94"/>
      <c r="E454" s="94"/>
      <c r="G454" s="94"/>
      <c r="I454" s="94"/>
      <c r="K454" s="94"/>
      <c r="M454" s="94"/>
    </row>
    <row r="455" s="93" customFormat="1" spans="3:13">
      <c r="C455" s="94"/>
      <c r="E455" s="94"/>
      <c r="G455" s="94"/>
      <c r="I455" s="94"/>
      <c r="K455" s="94"/>
      <c r="M455" s="94"/>
    </row>
    <row r="456" s="93" customFormat="1" spans="3:13">
      <c r="C456" s="94"/>
      <c r="E456" s="94"/>
      <c r="G456" s="94"/>
      <c r="I456" s="94"/>
      <c r="K456" s="94"/>
      <c r="M456" s="94"/>
    </row>
    <row r="457" s="93" customFormat="1" spans="3:13">
      <c r="C457" s="94"/>
      <c r="E457" s="94"/>
      <c r="G457" s="94"/>
      <c r="I457" s="94"/>
      <c r="K457" s="94"/>
      <c r="M457" s="94"/>
    </row>
    <row r="458" s="93" customFormat="1" spans="3:13">
      <c r="C458" s="94"/>
      <c r="E458" s="94"/>
      <c r="G458" s="94"/>
      <c r="I458" s="94"/>
      <c r="K458" s="94"/>
      <c r="M458" s="94"/>
    </row>
    <row r="459" s="93" customFormat="1" spans="3:13">
      <c r="C459" s="94"/>
      <c r="E459" s="94"/>
      <c r="G459" s="94"/>
      <c r="I459" s="94"/>
      <c r="K459" s="94"/>
      <c r="M459" s="94"/>
    </row>
    <row r="460" s="93" customFormat="1" spans="3:13">
      <c r="C460" s="94"/>
      <c r="E460" s="94"/>
      <c r="G460" s="94"/>
      <c r="I460" s="94"/>
      <c r="K460" s="94"/>
      <c r="M460" s="94"/>
    </row>
    <row r="461" s="93" customFormat="1" spans="3:13">
      <c r="C461" s="94"/>
      <c r="E461" s="94"/>
      <c r="G461" s="94"/>
      <c r="I461" s="94"/>
      <c r="K461" s="94"/>
      <c r="M461" s="94"/>
    </row>
    <row r="462" s="93" customFormat="1" spans="3:13">
      <c r="C462" s="94"/>
      <c r="E462" s="94"/>
      <c r="G462" s="94"/>
      <c r="I462" s="94"/>
      <c r="K462" s="94"/>
      <c r="M462" s="94"/>
    </row>
    <row r="463" s="93" customFormat="1" spans="3:13">
      <c r="C463" s="94"/>
      <c r="E463" s="94"/>
      <c r="G463" s="94"/>
      <c r="I463" s="94"/>
      <c r="K463" s="94"/>
      <c r="M463" s="94"/>
    </row>
    <row r="464" s="93" customFormat="1" spans="3:13">
      <c r="C464" s="94"/>
      <c r="E464" s="94"/>
      <c r="G464" s="94"/>
      <c r="I464" s="94"/>
      <c r="K464" s="94"/>
      <c r="M464" s="94"/>
    </row>
    <row r="465" s="93" customFormat="1" spans="3:13">
      <c r="C465" s="94"/>
      <c r="E465" s="94"/>
      <c r="G465" s="94"/>
      <c r="I465" s="94"/>
      <c r="K465" s="94"/>
      <c r="M465" s="94"/>
    </row>
    <row r="466" s="93" customFormat="1" spans="3:13">
      <c r="C466" s="94"/>
      <c r="E466" s="94"/>
      <c r="G466" s="94"/>
      <c r="I466" s="94"/>
      <c r="K466" s="94"/>
      <c r="M466" s="94"/>
    </row>
    <row r="467" s="93" customFormat="1" spans="3:13">
      <c r="C467" s="94"/>
      <c r="E467" s="94"/>
      <c r="G467" s="94"/>
      <c r="I467" s="94"/>
      <c r="K467" s="94"/>
      <c r="M467" s="94"/>
    </row>
    <row r="468" s="93" customFormat="1" spans="3:13">
      <c r="C468" s="94"/>
      <c r="E468" s="94"/>
      <c r="G468" s="94"/>
      <c r="I468" s="94"/>
      <c r="K468" s="94"/>
      <c r="M468" s="94"/>
    </row>
    <row r="469" s="93" customFormat="1" spans="3:13">
      <c r="C469" s="94"/>
      <c r="E469" s="94"/>
      <c r="G469" s="94"/>
      <c r="I469" s="94"/>
      <c r="K469" s="94"/>
      <c r="M469" s="94"/>
    </row>
    <row r="470" s="93" customFormat="1" spans="3:13">
      <c r="C470" s="94"/>
      <c r="E470" s="94"/>
      <c r="G470" s="94"/>
      <c r="I470" s="94"/>
      <c r="K470" s="94"/>
      <c r="M470" s="94"/>
    </row>
    <row r="471" s="93" customFormat="1" spans="3:13">
      <c r="C471" s="94"/>
      <c r="E471" s="94"/>
      <c r="G471" s="94"/>
      <c r="I471" s="94"/>
      <c r="K471" s="94"/>
      <c r="M471" s="94"/>
    </row>
    <row r="472" s="93" customFormat="1" spans="3:13">
      <c r="C472" s="94"/>
      <c r="E472" s="94"/>
      <c r="G472" s="94"/>
      <c r="I472" s="94"/>
      <c r="K472" s="94"/>
      <c r="M472" s="94"/>
    </row>
    <row r="473" s="93" customFormat="1" spans="3:13">
      <c r="C473" s="94"/>
      <c r="E473" s="94"/>
      <c r="G473" s="94"/>
      <c r="I473" s="94"/>
      <c r="K473" s="94"/>
      <c r="M473" s="94"/>
    </row>
    <row r="474" s="93" customFormat="1" spans="3:13">
      <c r="C474" s="94"/>
      <c r="E474" s="94"/>
      <c r="G474" s="94"/>
      <c r="I474" s="94"/>
      <c r="K474" s="94"/>
      <c r="M474" s="94"/>
    </row>
    <row r="475" s="93" customFormat="1" spans="3:13">
      <c r="C475" s="94"/>
      <c r="E475" s="94"/>
      <c r="G475" s="94"/>
      <c r="I475" s="94"/>
      <c r="K475" s="94"/>
      <c r="M475" s="94"/>
    </row>
    <row r="476" s="93" customFormat="1" spans="3:13">
      <c r="C476" s="94"/>
      <c r="E476" s="94"/>
      <c r="G476" s="94"/>
      <c r="I476" s="94"/>
      <c r="K476" s="94"/>
      <c r="M476" s="94"/>
    </row>
    <row r="477" s="93" customFormat="1" spans="3:13">
      <c r="C477" s="94"/>
      <c r="E477" s="94"/>
      <c r="G477" s="94"/>
      <c r="I477" s="94"/>
      <c r="K477" s="94"/>
      <c r="M477" s="94"/>
    </row>
    <row r="478" s="93" customFormat="1" spans="3:13">
      <c r="C478" s="94"/>
      <c r="E478" s="94"/>
      <c r="G478" s="94"/>
      <c r="I478" s="94"/>
      <c r="K478" s="94"/>
      <c r="M478" s="94"/>
    </row>
    <row r="479" s="93" customFormat="1" spans="3:13">
      <c r="C479" s="94"/>
      <c r="E479" s="94"/>
      <c r="G479" s="94"/>
      <c r="I479" s="94"/>
      <c r="K479" s="94"/>
      <c r="M479" s="94"/>
    </row>
    <row r="480" s="93" customFormat="1" spans="3:13">
      <c r="C480" s="94"/>
      <c r="E480" s="94"/>
      <c r="G480" s="94"/>
      <c r="I480" s="94"/>
      <c r="K480" s="94"/>
      <c r="M480" s="94"/>
    </row>
    <row r="481" s="93" customFormat="1" spans="3:13">
      <c r="C481" s="94"/>
      <c r="E481" s="94"/>
      <c r="G481" s="94"/>
      <c r="I481" s="94"/>
      <c r="K481" s="94"/>
      <c r="M481" s="94"/>
    </row>
    <row r="482" s="93" customFormat="1" spans="3:13">
      <c r="C482" s="94"/>
      <c r="E482" s="94"/>
      <c r="G482" s="94"/>
      <c r="I482" s="94"/>
      <c r="K482" s="94"/>
      <c r="M482" s="94"/>
    </row>
    <row r="483" s="93" customFormat="1" spans="3:13">
      <c r="C483" s="94"/>
      <c r="E483" s="94"/>
      <c r="G483" s="94"/>
      <c r="I483" s="94"/>
      <c r="K483" s="94"/>
      <c r="M483" s="94"/>
    </row>
    <row r="484" s="93" customFormat="1" spans="3:13">
      <c r="C484" s="94"/>
      <c r="E484" s="94"/>
      <c r="G484" s="94"/>
      <c r="I484" s="94"/>
      <c r="K484" s="94"/>
      <c r="M484" s="94"/>
    </row>
    <row r="485" s="93" customFormat="1" spans="3:13">
      <c r="C485" s="94"/>
      <c r="E485" s="94"/>
      <c r="G485" s="94"/>
      <c r="I485" s="94"/>
      <c r="K485" s="94"/>
      <c r="M485" s="94"/>
    </row>
    <row r="486" s="93" customFormat="1" spans="3:13">
      <c r="C486" s="94"/>
      <c r="E486" s="94"/>
      <c r="G486" s="94"/>
      <c r="I486" s="94"/>
      <c r="K486" s="94"/>
      <c r="M486" s="94"/>
    </row>
    <row r="487" s="93" customFormat="1" spans="3:13">
      <c r="C487" s="94"/>
      <c r="E487" s="94"/>
      <c r="G487" s="94"/>
      <c r="I487" s="94"/>
      <c r="K487" s="94"/>
      <c r="M487" s="94"/>
    </row>
    <row r="488" s="93" customFormat="1" spans="3:13">
      <c r="C488" s="94"/>
      <c r="E488" s="94"/>
      <c r="G488" s="94"/>
      <c r="I488" s="94"/>
      <c r="K488" s="94"/>
      <c r="M488" s="94"/>
    </row>
    <row r="489" s="93" customFormat="1" spans="3:13">
      <c r="C489" s="94"/>
      <c r="E489" s="94"/>
      <c r="G489" s="94"/>
      <c r="I489" s="94"/>
      <c r="K489" s="94"/>
      <c r="M489" s="94"/>
    </row>
    <row r="490" s="93" customFormat="1" spans="3:13">
      <c r="C490" s="94"/>
      <c r="E490" s="94"/>
      <c r="G490" s="94"/>
      <c r="I490" s="94"/>
      <c r="K490" s="94"/>
      <c r="M490" s="94"/>
    </row>
    <row r="491" s="93" customFormat="1" spans="3:13">
      <c r="C491" s="94"/>
      <c r="E491" s="94"/>
      <c r="G491" s="94"/>
      <c r="I491" s="94"/>
      <c r="K491" s="94"/>
      <c r="M491" s="94"/>
    </row>
    <row r="492" s="93" customFormat="1" spans="3:13">
      <c r="C492" s="94"/>
      <c r="E492" s="94"/>
      <c r="G492" s="94"/>
      <c r="I492" s="94"/>
      <c r="K492" s="94"/>
      <c r="M492" s="94"/>
    </row>
    <row r="493" s="93" customFormat="1" spans="3:13">
      <c r="C493" s="94"/>
      <c r="E493" s="94"/>
      <c r="G493" s="94"/>
      <c r="I493" s="94"/>
      <c r="K493" s="94"/>
      <c r="M493" s="94"/>
    </row>
    <row r="494" s="93" customFormat="1" spans="3:13">
      <c r="C494" s="94"/>
      <c r="E494" s="94"/>
      <c r="G494" s="94"/>
      <c r="I494" s="94"/>
      <c r="K494" s="94"/>
      <c r="M494" s="94"/>
    </row>
    <row r="495" s="93" customFormat="1" spans="3:13">
      <c r="C495" s="94"/>
      <c r="E495" s="94"/>
      <c r="G495" s="94"/>
      <c r="I495" s="94"/>
      <c r="K495" s="94"/>
      <c r="M495" s="94"/>
    </row>
    <row r="496" s="93" customFormat="1" spans="3:13">
      <c r="C496" s="94"/>
      <c r="E496" s="94"/>
      <c r="G496" s="94"/>
      <c r="I496" s="94"/>
      <c r="K496" s="94"/>
      <c r="M496" s="94"/>
    </row>
    <row r="497" s="93" customFormat="1" spans="3:13">
      <c r="C497" s="94"/>
      <c r="E497" s="94"/>
      <c r="G497" s="94"/>
      <c r="I497" s="94"/>
      <c r="K497" s="94"/>
      <c r="M497" s="94"/>
    </row>
    <row r="498" s="93" customFormat="1" spans="3:13">
      <c r="C498" s="94"/>
      <c r="E498" s="94"/>
      <c r="G498" s="94"/>
      <c r="I498" s="94"/>
      <c r="K498" s="94"/>
      <c r="M498" s="94"/>
    </row>
    <row r="499" s="93" customFormat="1" spans="3:13">
      <c r="C499" s="94"/>
      <c r="E499" s="94"/>
      <c r="G499" s="94"/>
      <c r="I499" s="94"/>
      <c r="K499" s="94"/>
      <c r="M499" s="94"/>
    </row>
    <row r="500" s="93" customFormat="1" spans="3:13">
      <c r="C500" s="94"/>
      <c r="E500" s="94"/>
      <c r="G500" s="94"/>
      <c r="I500" s="94"/>
      <c r="K500" s="94"/>
      <c r="M500" s="94"/>
    </row>
    <row r="501" s="93" customFormat="1" spans="3:13">
      <c r="C501" s="94"/>
      <c r="E501" s="94"/>
      <c r="G501" s="94"/>
      <c r="I501" s="94"/>
      <c r="K501" s="94"/>
      <c r="M501" s="94"/>
    </row>
    <row r="502" s="93" customFormat="1" spans="3:13">
      <c r="C502" s="94"/>
      <c r="E502" s="94"/>
      <c r="G502" s="94"/>
      <c r="I502" s="94"/>
      <c r="K502" s="94"/>
      <c r="M502" s="94"/>
    </row>
    <row r="503" s="93" customFormat="1" spans="3:13">
      <c r="C503" s="94"/>
      <c r="E503" s="94"/>
      <c r="G503" s="94"/>
      <c r="I503" s="94"/>
      <c r="K503" s="94"/>
      <c r="M503" s="94"/>
    </row>
    <row r="504" s="93" customFormat="1" spans="3:13">
      <c r="C504" s="94"/>
      <c r="E504" s="94"/>
      <c r="G504" s="94"/>
      <c r="I504" s="94"/>
      <c r="K504" s="94"/>
      <c r="M504" s="94"/>
    </row>
    <row r="505" s="93" customFormat="1" spans="3:13">
      <c r="C505" s="94"/>
      <c r="E505" s="94"/>
      <c r="G505" s="94"/>
      <c r="I505" s="94"/>
      <c r="K505" s="94"/>
      <c r="M505" s="94"/>
    </row>
    <row r="506" s="93" customFormat="1" spans="3:13">
      <c r="C506" s="94"/>
      <c r="E506" s="94"/>
      <c r="G506" s="94"/>
      <c r="I506" s="94"/>
      <c r="K506" s="94"/>
      <c r="M506" s="94"/>
    </row>
    <row r="507" s="93" customFormat="1" spans="3:13">
      <c r="C507" s="94"/>
      <c r="E507" s="94"/>
      <c r="G507" s="94"/>
      <c r="I507" s="94"/>
      <c r="K507" s="94"/>
      <c r="M507" s="94"/>
    </row>
    <row r="508" s="93" customFormat="1" spans="3:13">
      <c r="C508" s="94"/>
      <c r="E508" s="94"/>
      <c r="G508" s="94"/>
      <c r="I508" s="94"/>
      <c r="K508" s="94"/>
      <c r="M508" s="94"/>
    </row>
    <row r="509" s="93" customFormat="1" spans="3:13">
      <c r="C509" s="94"/>
      <c r="E509" s="94"/>
      <c r="G509" s="94"/>
      <c r="I509" s="94"/>
      <c r="K509" s="94"/>
      <c r="M509" s="94"/>
    </row>
    <row r="510" s="93" customFormat="1" spans="3:13">
      <c r="C510" s="94"/>
      <c r="E510" s="94"/>
      <c r="G510" s="94"/>
      <c r="I510" s="94"/>
      <c r="K510" s="94"/>
      <c r="M510" s="94"/>
    </row>
    <row r="511" s="93" customFormat="1" spans="3:13">
      <c r="C511" s="94"/>
      <c r="E511" s="94"/>
      <c r="G511" s="94"/>
      <c r="I511" s="94"/>
      <c r="K511" s="94"/>
      <c r="M511" s="94"/>
    </row>
    <row r="512" s="93" customFormat="1" spans="3:13">
      <c r="C512" s="94"/>
      <c r="E512" s="94"/>
      <c r="G512" s="94"/>
      <c r="I512" s="94"/>
      <c r="K512" s="94"/>
      <c r="M512" s="94"/>
    </row>
    <row r="513" s="93" customFormat="1" spans="3:13">
      <c r="C513" s="94"/>
      <c r="E513" s="94"/>
      <c r="G513" s="94"/>
      <c r="I513" s="94"/>
      <c r="K513" s="94"/>
      <c r="M513" s="94"/>
    </row>
    <row r="514" s="93" customFormat="1" spans="3:13">
      <c r="C514" s="94"/>
      <c r="E514" s="94"/>
      <c r="G514" s="94"/>
      <c r="I514" s="94"/>
      <c r="K514" s="94"/>
      <c r="M514" s="94"/>
    </row>
    <row r="515" s="93" customFormat="1" spans="3:13">
      <c r="C515" s="94"/>
      <c r="E515" s="94"/>
      <c r="G515" s="94"/>
      <c r="I515" s="94"/>
      <c r="K515" s="94"/>
      <c r="M515" s="94"/>
    </row>
    <row r="516" s="93" customFormat="1" spans="3:13">
      <c r="C516" s="94"/>
      <c r="E516" s="94"/>
      <c r="G516" s="94"/>
      <c r="I516" s="94"/>
      <c r="K516" s="94"/>
      <c r="M516" s="94"/>
    </row>
    <row r="517" s="93" customFormat="1" spans="3:13">
      <c r="C517" s="94"/>
      <c r="E517" s="94"/>
      <c r="G517" s="94"/>
      <c r="I517" s="94"/>
      <c r="K517" s="94"/>
      <c r="M517" s="94"/>
    </row>
    <row r="518" s="93" customFormat="1" spans="3:13">
      <c r="C518" s="94"/>
      <c r="E518" s="94"/>
      <c r="G518" s="94"/>
      <c r="I518" s="94"/>
      <c r="K518" s="94"/>
      <c r="M518" s="94"/>
    </row>
    <row r="519" s="93" customFormat="1" spans="3:13">
      <c r="C519" s="94"/>
      <c r="E519" s="94"/>
      <c r="G519" s="94"/>
      <c r="I519" s="94"/>
      <c r="K519" s="94"/>
      <c r="M519" s="94"/>
    </row>
    <row r="520" s="93" customFormat="1" spans="3:13">
      <c r="C520" s="94"/>
      <c r="E520" s="94"/>
      <c r="G520" s="94"/>
      <c r="I520" s="94"/>
      <c r="K520" s="94"/>
      <c r="M520" s="94"/>
    </row>
    <row r="521" s="93" customFormat="1" spans="3:13">
      <c r="C521" s="94"/>
      <c r="E521" s="94"/>
      <c r="G521" s="94"/>
      <c r="I521" s="94"/>
      <c r="K521" s="94"/>
      <c r="M521" s="94"/>
    </row>
    <row r="522" s="93" customFormat="1" spans="3:13">
      <c r="C522" s="94"/>
      <c r="E522" s="94"/>
      <c r="G522" s="94"/>
      <c r="I522" s="94"/>
      <c r="K522" s="94"/>
      <c r="M522" s="94"/>
    </row>
    <row r="523" s="93" customFormat="1" spans="3:13">
      <c r="C523" s="94"/>
      <c r="E523" s="94"/>
      <c r="G523" s="94"/>
      <c r="I523" s="94"/>
      <c r="K523" s="94"/>
      <c r="M523" s="94"/>
    </row>
    <row r="524" s="93" customFormat="1" spans="3:13">
      <c r="C524" s="94"/>
      <c r="E524" s="94"/>
      <c r="G524" s="94"/>
      <c r="I524" s="94"/>
      <c r="K524" s="94"/>
      <c r="M524" s="94"/>
    </row>
    <row r="525" s="93" customFormat="1" spans="3:13">
      <c r="C525" s="94"/>
      <c r="E525" s="94"/>
      <c r="G525" s="94"/>
      <c r="I525" s="94"/>
      <c r="K525" s="94"/>
      <c r="M525" s="94"/>
    </row>
    <row r="526" s="93" customFormat="1" spans="3:13">
      <c r="C526" s="94"/>
      <c r="E526" s="94"/>
      <c r="G526" s="94"/>
      <c r="I526" s="94"/>
      <c r="K526" s="94"/>
      <c r="M526" s="94"/>
    </row>
    <row r="527" s="93" customFormat="1" spans="3:13">
      <c r="C527" s="94"/>
      <c r="E527" s="94"/>
      <c r="G527" s="94"/>
      <c r="I527" s="94"/>
      <c r="K527" s="94"/>
      <c r="M527" s="94"/>
    </row>
    <row r="528" s="93" customFormat="1" spans="3:13">
      <c r="C528" s="94"/>
      <c r="E528" s="94"/>
      <c r="G528" s="94"/>
      <c r="I528" s="94"/>
      <c r="K528" s="94"/>
      <c r="M528" s="94"/>
    </row>
    <row r="529" s="93" customFormat="1" spans="3:13">
      <c r="C529" s="94"/>
      <c r="E529" s="94"/>
      <c r="G529" s="94"/>
      <c r="I529" s="94"/>
      <c r="K529" s="94"/>
      <c r="M529" s="94"/>
    </row>
    <row r="530" s="93" customFormat="1" spans="3:13">
      <c r="C530" s="94"/>
      <c r="E530" s="94"/>
      <c r="G530" s="94"/>
      <c r="I530" s="94"/>
      <c r="K530" s="94"/>
      <c r="M530" s="94"/>
    </row>
    <row r="531" s="93" customFormat="1" spans="3:13">
      <c r="C531" s="94"/>
      <c r="E531" s="94"/>
      <c r="G531" s="94"/>
      <c r="I531" s="94"/>
      <c r="K531" s="94"/>
      <c r="M531" s="94"/>
    </row>
    <row r="532" s="93" customFormat="1" spans="3:13">
      <c r="C532" s="94"/>
      <c r="E532" s="94"/>
      <c r="G532" s="94"/>
      <c r="I532" s="94"/>
      <c r="K532" s="94"/>
      <c r="M532" s="94"/>
    </row>
    <row r="533" s="93" customFormat="1" spans="3:13">
      <c r="C533" s="94"/>
      <c r="E533" s="94"/>
      <c r="G533" s="94"/>
      <c r="I533" s="94"/>
      <c r="K533" s="94"/>
      <c r="M533" s="94"/>
    </row>
    <row r="534" s="93" customFormat="1" spans="3:13">
      <c r="C534" s="94"/>
      <c r="E534" s="94"/>
      <c r="G534" s="94"/>
      <c r="I534" s="94"/>
      <c r="K534" s="94"/>
      <c r="M534" s="94"/>
    </row>
    <row r="535" s="93" customFormat="1" spans="3:13">
      <c r="C535" s="94"/>
      <c r="E535" s="94"/>
      <c r="G535" s="94"/>
      <c r="I535" s="94"/>
      <c r="K535" s="94"/>
      <c r="M535" s="94"/>
    </row>
    <row r="536" s="93" customFormat="1" spans="3:13">
      <c r="C536" s="94"/>
      <c r="E536" s="94"/>
      <c r="G536" s="94"/>
      <c r="I536" s="94"/>
      <c r="K536" s="94"/>
      <c r="M536" s="94"/>
    </row>
    <row r="537" s="93" customFormat="1" spans="3:13">
      <c r="C537" s="94"/>
      <c r="E537" s="94"/>
      <c r="G537" s="94"/>
      <c r="I537" s="94"/>
      <c r="K537" s="94"/>
      <c r="M537" s="94"/>
    </row>
    <row r="538" s="93" customFormat="1" spans="3:13">
      <c r="C538" s="94"/>
      <c r="E538" s="94"/>
      <c r="G538" s="94"/>
      <c r="I538" s="94"/>
      <c r="K538" s="94"/>
      <c r="M538" s="94"/>
    </row>
    <row r="539" s="93" customFormat="1" spans="3:13">
      <c r="C539" s="94"/>
      <c r="E539" s="94"/>
      <c r="G539" s="94"/>
      <c r="I539" s="94"/>
      <c r="K539" s="94"/>
      <c r="M539" s="94"/>
    </row>
    <row r="540" s="93" customFormat="1" spans="3:13">
      <c r="C540" s="94"/>
      <c r="E540" s="94"/>
      <c r="G540" s="94"/>
      <c r="I540" s="94"/>
      <c r="K540" s="94"/>
      <c r="M540" s="94"/>
    </row>
    <row r="541" s="93" customFormat="1" spans="3:13">
      <c r="C541" s="94"/>
      <c r="E541" s="94"/>
      <c r="G541" s="94"/>
      <c r="I541" s="94"/>
      <c r="K541" s="94"/>
      <c r="M541" s="94"/>
    </row>
    <row r="542" s="93" customFormat="1" spans="3:13">
      <c r="C542" s="94"/>
      <c r="E542" s="94"/>
      <c r="G542" s="94"/>
      <c r="I542" s="94"/>
      <c r="K542" s="94"/>
      <c r="M542" s="94"/>
    </row>
    <row r="543" s="93" customFormat="1" spans="3:13">
      <c r="C543" s="94"/>
      <c r="E543" s="94"/>
      <c r="G543" s="94"/>
      <c r="I543" s="94"/>
      <c r="K543" s="94"/>
      <c r="M543" s="94"/>
    </row>
    <row r="544" s="93" customFormat="1" spans="3:13">
      <c r="C544" s="94"/>
      <c r="E544" s="94"/>
      <c r="G544" s="94"/>
      <c r="I544" s="94"/>
      <c r="K544" s="94"/>
      <c r="M544" s="94"/>
    </row>
    <row r="545" s="93" customFormat="1" spans="3:13">
      <c r="C545" s="94"/>
      <c r="E545" s="94"/>
      <c r="G545" s="94"/>
      <c r="I545" s="94"/>
      <c r="K545" s="94"/>
      <c r="M545" s="94"/>
    </row>
    <row r="546" s="93" customFormat="1" spans="3:13">
      <c r="C546" s="94"/>
      <c r="E546" s="94"/>
      <c r="G546" s="94"/>
      <c r="I546" s="94"/>
      <c r="K546" s="94"/>
      <c r="M546" s="94"/>
    </row>
    <row r="547" s="93" customFormat="1" spans="3:13">
      <c r="C547" s="94"/>
      <c r="E547" s="94"/>
      <c r="G547" s="94"/>
      <c r="I547" s="94"/>
      <c r="K547" s="94"/>
      <c r="M547" s="94"/>
    </row>
    <row r="548" s="93" customFormat="1" spans="3:13">
      <c r="C548" s="94"/>
      <c r="E548" s="94"/>
      <c r="G548" s="94"/>
      <c r="I548" s="94"/>
      <c r="K548" s="94"/>
      <c r="M548" s="94"/>
    </row>
    <row r="549" s="93" customFormat="1" spans="3:13">
      <c r="C549" s="94"/>
      <c r="E549" s="94"/>
      <c r="G549" s="94"/>
      <c r="I549" s="94"/>
      <c r="K549" s="94"/>
      <c r="M549" s="94"/>
    </row>
    <row r="550" s="93" customFormat="1" spans="3:13">
      <c r="C550" s="94"/>
      <c r="E550" s="94"/>
      <c r="G550" s="94"/>
      <c r="I550" s="94"/>
      <c r="K550" s="94"/>
      <c r="M550" s="94"/>
    </row>
    <row r="551" s="93" customFormat="1" spans="3:13">
      <c r="C551" s="94"/>
      <c r="E551" s="94"/>
      <c r="G551" s="94"/>
      <c r="I551" s="94"/>
      <c r="K551" s="94"/>
      <c r="M551" s="94"/>
    </row>
    <row r="552" s="93" customFormat="1" spans="3:13">
      <c r="C552" s="94"/>
      <c r="E552" s="94"/>
      <c r="G552" s="94"/>
      <c r="I552" s="94"/>
      <c r="K552" s="94"/>
      <c r="M552" s="94"/>
    </row>
    <row r="553" s="93" customFormat="1" spans="3:13">
      <c r="C553" s="94"/>
      <c r="E553" s="94"/>
      <c r="G553" s="94"/>
      <c r="I553" s="94"/>
      <c r="K553" s="94"/>
      <c r="M553" s="94"/>
    </row>
    <row r="554" s="93" customFormat="1" spans="3:13">
      <c r="C554" s="94"/>
      <c r="E554" s="94"/>
      <c r="G554" s="94"/>
      <c r="I554" s="94"/>
      <c r="K554" s="94"/>
      <c r="M554" s="94"/>
    </row>
    <row r="555" s="93" customFormat="1" spans="3:13">
      <c r="C555" s="94"/>
      <c r="E555" s="94"/>
      <c r="G555" s="94"/>
      <c r="I555" s="94"/>
      <c r="K555" s="94"/>
      <c r="M555" s="94"/>
    </row>
    <row r="556" s="93" customFormat="1" spans="3:13">
      <c r="C556" s="94"/>
      <c r="E556" s="94"/>
      <c r="G556" s="94"/>
      <c r="I556" s="94"/>
      <c r="K556" s="94"/>
      <c r="M556" s="94"/>
    </row>
    <row r="557" s="93" customFormat="1" spans="3:13">
      <c r="C557" s="94"/>
      <c r="E557" s="94"/>
      <c r="G557" s="94"/>
      <c r="I557" s="94"/>
      <c r="K557" s="94"/>
      <c r="M557" s="94"/>
    </row>
    <row r="558" s="93" customFormat="1" spans="3:13">
      <c r="C558" s="94"/>
      <c r="E558" s="94"/>
      <c r="G558" s="94"/>
      <c r="I558" s="94"/>
      <c r="K558" s="94"/>
      <c r="M558" s="94"/>
    </row>
    <row r="559" s="93" customFormat="1" spans="3:13">
      <c r="C559" s="94"/>
      <c r="E559" s="94"/>
      <c r="G559" s="94"/>
      <c r="I559" s="94"/>
      <c r="K559" s="94"/>
      <c r="M559" s="94"/>
    </row>
    <row r="560" s="93" customFormat="1" spans="3:13">
      <c r="C560" s="94"/>
      <c r="E560" s="94"/>
      <c r="G560" s="94"/>
      <c r="I560" s="94"/>
      <c r="K560" s="94"/>
      <c r="M560" s="94"/>
    </row>
    <row r="561" s="93" customFormat="1" spans="3:13">
      <c r="C561" s="94"/>
      <c r="E561" s="94"/>
      <c r="G561" s="94"/>
      <c r="I561" s="94"/>
      <c r="K561" s="94"/>
      <c r="M561" s="94"/>
    </row>
    <row r="562" s="93" customFormat="1" spans="3:13">
      <c r="C562" s="94"/>
      <c r="E562" s="94"/>
      <c r="G562" s="94"/>
      <c r="I562" s="94"/>
      <c r="K562" s="94"/>
      <c r="M562" s="94"/>
    </row>
    <row r="563" s="93" customFormat="1" spans="3:13">
      <c r="C563" s="94"/>
      <c r="E563" s="94"/>
      <c r="G563" s="94"/>
      <c r="I563" s="94"/>
      <c r="K563" s="94"/>
      <c r="M563" s="94"/>
    </row>
    <row r="564" s="93" customFormat="1" spans="3:13">
      <c r="C564" s="94"/>
      <c r="E564" s="94"/>
      <c r="G564" s="94"/>
      <c r="I564" s="94"/>
      <c r="K564" s="94"/>
      <c r="M564" s="94"/>
    </row>
    <row r="565" s="93" customFormat="1" spans="3:13">
      <c r="C565" s="94"/>
      <c r="E565" s="94"/>
      <c r="G565" s="94"/>
      <c r="I565" s="94"/>
      <c r="K565" s="94"/>
      <c r="M565" s="94"/>
    </row>
    <row r="566" s="93" customFormat="1" spans="3:13">
      <c r="C566" s="94"/>
      <c r="E566" s="94"/>
      <c r="G566" s="94"/>
      <c r="I566" s="94"/>
      <c r="K566" s="94"/>
      <c r="M566" s="94"/>
    </row>
    <row r="567" s="93" customFormat="1" spans="3:13">
      <c r="C567" s="94"/>
      <c r="E567" s="94"/>
      <c r="G567" s="94"/>
      <c r="I567" s="94"/>
      <c r="K567" s="94"/>
      <c r="M567" s="94"/>
    </row>
    <row r="568" s="93" customFormat="1" spans="3:13">
      <c r="C568" s="94"/>
      <c r="E568" s="94"/>
      <c r="G568" s="94"/>
      <c r="I568" s="94"/>
      <c r="K568" s="94"/>
      <c r="M568" s="94"/>
    </row>
    <row r="569" s="93" customFormat="1" spans="3:13">
      <c r="C569" s="94"/>
      <c r="E569" s="94"/>
      <c r="G569" s="94"/>
      <c r="I569" s="94"/>
      <c r="K569" s="94"/>
      <c r="M569" s="94"/>
    </row>
    <row r="570" s="93" customFormat="1" spans="3:13">
      <c r="C570" s="94"/>
      <c r="E570" s="94"/>
      <c r="G570" s="94"/>
      <c r="I570" s="94"/>
      <c r="K570" s="94"/>
      <c r="M570" s="94"/>
    </row>
    <row r="571" s="93" customFormat="1" spans="3:13">
      <c r="C571" s="94"/>
      <c r="E571" s="94"/>
      <c r="G571" s="94"/>
      <c r="I571" s="94"/>
      <c r="K571" s="94"/>
      <c r="M571" s="94"/>
    </row>
    <row r="572" s="93" customFormat="1" spans="3:13">
      <c r="C572" s="94"/>
      <c r="E572" s="94"/>
      <c r="G572" s="94"/>
      <c r="I572" s="94"/>
      <c r="K572" s="94"/>
      <c r="M572" s="94"/>
    </row>
    <row r="573" s="93" customFormat="1" spans="3:13">
      <c r="C573" s="94"/>
      <c r="E573" s="94"/>
      <c r="G573" s="94"/>
      <c r="I573" s="94"/>
      <c r="K573" s="94"/>
      <c r="M573" s="94"/>
    </row>
    <row r="574" s="93" customFormat="1" spans="3:13">
      <c r="C574" s="94"/>
      <c r="E574" s="94"/>
      <c r="G574" s="94"/>
      <c r="I574" s="94"/>
      <c r="K574" s="94"/>
      <c r="M574" s="94"/>
    </row>
    <row r="575" s="93" customFormat="1" spans="3:13">
      <c r="C575" s="94"/>
      <c r="E575" s="94"/>
      <c r="G575" s="94"/>
      <c r="I575" s="94"/>
      <c r="K575" s="94"/>
      <c r="M575" s="94"/>
    </row>
    <row r="576" s="93" customFormat="1" spans="3:13">
      <c r="C576" s="94"/>
      <c r="E576" s="94"/>
      <c r="G576" s="94"/>
      <c r="I576" s="94"/>
      <c r="K576" s="94"/>
      <c r="M576" s="94"/>
    </row>
    <row r="577" s="93" customFormat="1" spans="3:13">
      <c r="C577" s="94"/>
      <c r="E577" s="94"/>
      <c r="G577" s="94"/>
      <c r="I577" s="94"/>
      <c r="K577" s="94"/>
      <c r="M577" s="94"/>
    </row>
    <row r="578" s="93" customFormat="1" spans="3:13">
      <c r="C578" s="94"/>
      <c r="E578" s="94"/>
      <c r="G578" s="94"/>
      <c r="I578" s="94"/>
      <c r="K578" s="94"/>
      <c r="M578" s="94"/>
    </row>
    <row r="579" s="93" customFormat="1" spans="3:13">
      <c r="C579" s="94"/>
      <c r="E579" s="94"/>
      <c r="G579" s="94"/>
      <c r="I579" s="94"/>
      <c r="K579" s="94"/>
      <c r="M579" s="94"/>
    </row>
    <row r="580" s="93" customFormat="1" spans="3:13">
      <c r="C580" s="94"/>
      <c r="E580" s="94"/>
      <c r="G580" s="94"/>
      <c r="I580" s="94"/>
      <c r="K580" s="94"/>
      <c r="M580" s="94"/>
    </row>
    <row r="581" s="93" customFormat="1" spans="3:13">
      <c r="C581" s="94"/>
      <c r="E581" s="94"/>
      <c r="G581" s="94"/>
      <c r="I581" s="94"/>
      <c r="K581" s="94"/>
      <c r="M581" s="94"/>
    </row>
    <row r="582" s="93" customFormat="1" spans="3:13">
      <c r="C582" s="94"/>
      <c r="E582" s="94"/>
      <c r="G582" s="94"/>
      <c r="I582" s="94"/>
      <c r="K582" s="94"/>
      <c r="M582" s="94"/>
    </row>
    <row r="583" s="93" customFormat="1" spans="3:13">
      <c r="C583" s="94"/>
      <c r="E583" s="94"/>
      <c r="G583" s="94"/>
      <c r="I583" s="94"/>
      <c r="K583" s="94"/>
      <c r="M583" s="94"/>
    </row>
    <row r="584" s="93" customFormat="1" spans="3:13">
      <c r="C584" s="94"/>
      <c r="E584" s="94"/>
      <c r="G584" s="94"/>
      <c r="I584" s="94"/>
      <c r="K584" s="94"/>
      <c r="M584" s="94"/>
    </row>
    <row r="585" s="93" customFormat="1" spans="3:13">
      <c r="C585" s="94"/>
      <c r="E585" s="94"/>
      <c r="G585" s="94"/>
      <c r="I585" s="94"/>
      <c r="K585" s="94"/>
      <c r="M585" s="94"/>
    </row>
    <row r="586" s="93" customFormat="1" spans="3:13">
      <c r="C586" s="94"/>
      <c r="E586" s="94"/>
      <c r="G586" s="94"/>
      <c r="I586" s="94"/>
      <c r="K586" s="94"/>
      <c r="M586" s="94"/>
    </row>
    <row r="587" s="93" customFormat="1" spans="3:13">
      <c r="C587" s="94"/>
      <c r="E587" s="94"/>
      <c r="G587" s="94"/>
      <c r="I587" s="94"/>
      <c r="K587" s="94"/>
      <c r="M587" s="94"/>
    </row>
    <row r="588" s="93" customFormat="1" spans="3:13">
      <c r="C588" s="94"/>
      <c r="E588" s="94"/>
      <c r="G588" s="94"/>
      <c r="I588" s="94"/>
      <c r="K588" s="94"/>
      <c r="M588" s="94"/>
    </row>
    <row r="589" s="93" customFormat="1" spans="3:13">
      <c r="C589" s="94"/>
      <c r="E589" s="94"/>
      <c r="G589" s="94"/>
      <c r="I589" s="94"/>
      <c r="K589" s="94"/>
      <c r="M589" s="94"/>
    </row>
    <row r="590" s="93" customFormat="1" spans="3:13">
      <c r="C590" s="94"/>
      <c r="E590" s="94"/>
      <c r="G590" s="94"/>
      <c r="I590" s="94"/>
      <c r="K590" s="94"/>
      <c r="M590" s="94"/>
    </row>
    <row r="591" s="93" customFormat="1" spans="3:13">
      <c r="C591" s="94"/>
      <c r="E591" s="94"/>
      <c r="G591" s="94"/>
      <c r="I591" s="94"/>
      <c r="K591" s="94"/>
      <c r="M591" s="94"/>
    </row>
    <row r="592" s="93" customFormat="1" spans="3:13">
      <c r="C592" s="94"/>
      <c r="E592" s="94"/>
      <c r="G592" s="94"/>
      <c r="I592" s="94"/>
      <c r="K592" s="94"/>
      <c r="M592" s="94"/>
    </row>
    <row r="593" s="93" customFormat="1" spans="3:13">
      <c r="C593" s="94"/>
      <c r="E593" s="94"/>
      <c r="G593" s="94"/>
      <c r="I593" s="94"/>
      <c r="K593" s="94"/>
      <c r="M593" s="94"/>
    </row>
    <row r="594" s="93" customFormat="1" spans="3:13">
      <c r="C594" s="94"/>
      <c r="E594" s="94"/>
      <c r="G594" s="94"/>
      <c r="I594" s="94"/>
      <c r="K594" s="94"/>
      <c r="M594" s="94"/>
    </row>
    <row r="595" s="93" customFormat="1" spans="3:13">
      <c r="C595" s="94"/>
      <c r="E595" s="94"/>
      <c r="G595" s="94"/>
      <c r="I595" s="94"/>
      <c r="K595" s="94"/>
      <c r="M595" s="94"/>
    </row>
    <row r="596" s="93" customFormat="1" spans="3:13">
      <c r="C596" s="94"/>
      <c r="E596" s="94"/>
      <c r="G596" s="94"/>
      <c r="I596" s="94"/>
      <c r="K596" s="94"/>
      <c r="M596" s="94"/>
    </row>
    <row r="597" s="93" customFormat="1" spans="3:13">
      <c r="C597" s="94"/>
      <c r="E597" s="94"/>
      <c r="G597" s="94"/>
      <c r="I597" s="94"/>
      <c r="K597" s="94"/>
      <c r="M597" s="94"/>
    </row>
    <row r="598" s="93" customFormat="1" spans="3:13">
      <c r="C598" s="94"/>
      <c r="E598" s="94"/>
      <c r="G598" s="94"/>
      <c r="I598" s="94"/>
      <c r="K598" s="94"/>
      <c r="M598" s="94"/>
    </row>
    <row r="599" s="93" customFormat="1" spans="3:13">
      <c r="C599" s="94"/>
      <c r="E599" s="94"/>
      <c r="G599" s="94"/>
      <c r="I599" s="94"/>
      <c r="K599" s="94"/>
      <c r="M599" s="94"/>
    </row>
    <row r="600" s="93" customFormat="1" spans="3:13">
      <c r="C600" s="94"/>
      <c r="E600" s="94"/>
      <c r="G600" s="94"/>
      <c r="I600" s="94"/>
      <c r="K600" s="94"/>
      <c r="M600" s="94"/>
    </row>
    <row r="601" s="93" customFormat="1" spans="3:13">
      <c r="C601" s="94"/>
      <c r="E601" s="94"/>
      <c r="G601" s="94"/>
      <c r="I601" s="94"/>
      <c r="K601" s="94"/>
      <c r="M601" s="94"/>
    </row>
    <row r="602" s="93" customFormat="1" spans="3:13">
      <c r="C602" s="94"/>
      <c r="E602" s="94"/>
      <c r="G602" s="94"/>
      <c r="I602" s="94"/>
      <c r="K602" s="94"/>
      <c r="M602" s="94"/>
    </row>
    <row r="603" s="93" customFormat="1" spans="3:13">
      <c r="C603" s="94"/>
      <c r="E603" s="94"/>
      <c r="G603" s="94"/>
      <c r="I603" s="94"/>
      <c r="K603" s="94"/>
      <c r="M603" s="94"/>
    </row>
    <row r="604" s="93" customFormat="1" spans="3:13">
      <c r="C604" s="94"/>
      <c r="E604" s="94"/>
      <c r="G604" s="94"/>
      <c r="I604" s="94"/>
      <c r="K604" s="94"/>
      <c r="M604" s="94"/>
    </row>
    <row r="605" s="93" customFormat="1" spans="3:13">
      <c r="C605" s="94"/>
      <c r="E605" s="94"/>
      <c r="G605" s="94"/>
      <c r="I605" s="94"/>
      <c r="K605" s="94"/>
      <c r="M605" s="94"/>
    </row>
    <row r="606" s="93" customFormat="1" spans="3:13">
      <c r="C606" s="94"/>
      <c r="E606" s="94"/>
      <c r="G606" s="94"/>
      <c r="I606" s="94"/>
      <c r="K606" s="94"/>
      <c r="M606" s="94"/>
    </row>
    <row r="607" s="93" customFormat="1" spans="3:13">
      <c r="C607" s="94"/>
      <c r="E607" s="94"/>
      <c r="G607" s="94"/>
      <c r="I607" s="94"/>
      <c r="K607" s="94"/>
      <c r="M607" s="94"/>
    </row>
    <row r="608" s="93" customFormat="1" spans="3:13">
      <c r="C608" s="94"/>
      <c r="E608" s="94"/>
      <c r="G608" s="94"/>
      <c r="I608" s="94"/>
      <c r="K608" s="94"/>
      <c r="M608" s="94"/>
    </row>
    <row r="609" s="93" customFormat="1" spans="3:13">
      <c r="C609" s="94"/>
      <c r="E609" s="94"/>
      <c r="G609" s="94"/>
      <c r="I609" s="94"/>
      <c r="K609" s="94"/>
      <c r="M609" s="94"/>
    </row>
    <row r="610" s="93" customFormat="1" spans="3:13">
      <c r="C610" s="94"/>
      <c r="E610" s="94"/>
      <c r="G610" s="94"/>
      <c r="I610" s="94"/>
      <c r="K610" s="94"/>
      <c r="M610" s="94"/>
    </row>
    <row r="611" s="93" customFormat="1" spans="3:13">
      <c r="C611" s="94"/>
      <c r="E611" s="94"/>
      <c r="G611" s="94"/>
      <c r="I611" s="94"/>
      <c r="K611" s="94"/>
      <c r="M611" s="94"/>
    </row>
    <row r="612" s="93" customFormat="1" spans="3:13">
      <c r="C612" s="94"/>
      <c r="E612" s="94"/>
      <c r="G612" s="94"/>
      <c r="I612" s="94"/>
      <c r="K612" s="94"/>
      <c r="M612" s="94"/>
    </row>
    <row r="613" s="93" customFormat="1" spans="3:13">
      <c r="C613" s="94"/>
      <c r="E613" s="94"/>
      <c r="G613" s="94"/>
      <c r="I613" s="94"/>
      <c r="K613" s="94"/>
      <c r="M613" s="94"/>
    </row>
    <row r="614" s="93" customFormat="1" spans="3:13">
      <c r="C614" s="94"/>
      <c r="E614" s="94"/>
      <c r="G614" s="94"/>
      <c r="I614" s="94"/>
      <c r="K614" s="94"/>
      <c r="M614" s="94"/>
    </row>
    <row r="615" s="93" customFormat="1" spans="3:13">
      <c r="C615" s="94"/>
      <c r="E615" s="94"/>
      <c r="G615" s="94"/>
      <c r="I615" s="94"/>
      <c r="K615" s="94"/>
      <c r="M615" s="94"/>
    </row>
    <row r="616" s="93" customFormat="1" spans="3:13">
      <c r="C616" s="94"/>
      <c r="E616" s="94"/>
      <c r="G616" s="94"/>
      <c r="I616" s="94"/>
      <c r="K616" s="94"/>
      <c r="M616" s="94"/>
    </row>
    <row r="617" s="93" customFormat="1" spans="3:13">
      <c r="C617" s="94"/>
      <c r="E617" s="94"/>
      <c r="G617" s="94"/>
      <c r="I617" s="94"/>
      <c r="K617" s="94"/>
      <c r="M617" s="94"/>
    </row>
    <row r="618" s="93" customFormat="1" spans="3:13">
      <c r="C618" s="94"/>
      <c r="E618" s="94"/>
      <c r="G618" s="94"/>
      <c r="I618" s="94"/>
      <c r="K618" s="94"/>
      <c r="M618" s="94"/>
    </row>
    <row r="619" s="93" customFormat="1" spans="3:13">
      <c r="C619" s="94"/>
      <c r="E619" s="94"/>
      <c r="G619" s="94"/>
      <c r="I619" s="94"/>
      <c r="K619" s="94"/>
      <c r="M619" s="94"/>
    </row>
    <row r="620" s="93" customFormat="1" spans="3:13">
      <c r="C620" s="94"/>
      <c r="E620" s="94"/>
      <c r="G620" s="94"/>
      <c r="I620" s="94"/>
      <c r="K620" s="94"/>
      <c r="M620" s="94"/>
    </row>
    <row r="621" s="93" customFormat="1" spans="3:13">
      <c r="C621" s="94"/>
      <c r="E621" s="94"/>
      <c r="G621" s="94"/>
      <c r="I621" s="94"/>
      <c r="K621" s="94"/>
      <c r="M621" s="94"/>
    </row>
    <row r="622" s="93" customFormat="1" spans="3:13">
      <c r="C622" s="94"/>
      <c r="E622" s="94"/>
      <c r="G622" s="94"/>
      <c r="I622" s="94"/>
      <c r="K622" s="94"/>
      <c r="M622" s="94"/>
    </row>
    <row r="623" s="93" customFormat="1" spans="3:13">
      <c r="C623" s="94"/>
      <c r="E623" s="94"/>
      <c r="G623" s="94"/>
      <c r="I623" s="94"/>
      <c r="K623" s="94"/>
      <c r="M623" s="94"/>
    </row>
    <row r="624" s="93" customFormat="1" spans="3:13">
      <c r="C624" s="94"/>
      <c r="E624" s="94"/>
      <c r="G624" s="94"/>
      <c r="I624" s="94"/>
      <c r="K624" s="94"/>
      <c r="M624" s="94"/>
    </row>
    <row r="625" s="93" customFormat="1" spans="3:13">
      <c r="C625" s="94"/>
      <c r="E625" s="94"/>
      <c r="G625" s="94"/>
      <c r="I625" s="94"/>
      <c r="K625" s="94"/>
      <c r="M625" s="94"/>
    </row>
    <row r="626" s="93" customFormat="1" spans="3:13">
      <c r="C626" s="94"/>
      <c r="E626" s="94"/>
      <c r="G626" s="94"/>
      <c r="I626" s="94"/>
      <c r="K626" s="94"/>
      <c r="M626" s="94"/>
    </row>
    <row r="627" s="93" customFormat="1" spans="3:13">
      <c r="C627" s="94"/>
      <c r="E627" s="94"/>
      <c r="G627" s="94"/>
      <c r="I627" s="94"/>
      <c r="K627" s="94"/>
      <c r="M627" s="94"/>
    </row>
    <row r="628" s="93" customFormat="1" spans="3:13">
      <c r="C628" s="94"/>
      <c r="E628" s="94"/>
      <c r="G628" s="94"/>
      <c r="I628" s="94"/>
      <c r="K628" s="94"/>
      <c r="M628" s="94"/>
    </row>
    <row r="629" s="93" customFormat="1" spans="3:13">
      <c r="C629" s="94"/>
      <c r="E629" s="94"/>
      <c r="G629" s="94"/>
      <c r="I629" s="94"/>
      <c r="K629" s="94"/>
      <c r="M629" s="94"/>
    </row>
    <row r="630" s="93" customFormat="1" spans="3:13">
      <c r="C630" s="94"/>
      <c r="E630" s="94"/>
      <c r="G630" s="94"/>
      <c r="I630" s="94"/>
      <c r="K630" s="94"/>
      <c r="M630" s="94"/>
    </row>
    <row r="631" s="93" customFormat="1" spans="3:13">
      <c r="C631" s="94"/>
      <c r="E631" s="94"/>
      <c r="G631" s="94"/>
      <c r="I631" s="94"/>
      <c r="K631" s="94"/>
      <c r="M631" s="94"/>
    </row>
    <row r="632" s="93" customFormat="1" spans="3:13">
      <c r="C632" s="94"/>
      <c r="E632" s="94"/>
      <c r="G632" s="94"/>
      <c r="I632" s="94"/>
      <c r="K632" s="94"/>
      <c r="M632" s="94"/>
    </row>
    <row r="633" s="93" customFormat="1" spans="3:13">
      <c r="C633" s="94"/>
      <c r="E633" s="94"/>
      <c r="G633" s="94"/>
      <c r="I633" s="94"/>
      <c r="K633" s="94"/>
      <c r="M633" s="94"/>
    </row>
    <row r="634" s="93" customFormat="1" spans="3:13">
      <c r="C634" s="94"/>
      <c r="E634" s="94"/>
      <c r="G634" s="94"/>
      <c r="I634" s="94"/>
      <c r="K634" s="94"/>
      <c r="M634" s="94"/>
    </row>
    <row r="635" s="93" customFormat="1" spans="3:13">
      <c r="C635" s="94"/>
      <c r="E635" s="94"/>
      <c r="G635" s="94"/>
      <c r="I635" s="94"/>
      <c r="K635" s="94"/>
      <c r="M635" s="94"/>
    </row>
    <row r="636" s="93" customFormat="1" spans="3:13">
      <c r="C636" s="94"/>
      <c r="E636" s="94"/>
      <c r="G636" s="94"/>
      <c r="I636" s="94"/>
      <c r="K636" s="94"/>
      <c r="M636" s="94"/>
    </row>
    <row r="637" s="93" customFormat="1" spans="3:13">
      <c r="C637" s="94"/>
      <c r="E637" s="94"/>
      <c r="G637" s="94"/>
      <c r="I637" s="94"/>
      <c r="K637" s="94"/>
      <c r="M637" s="94"/>
    </row>
    <row r="638" s="93" customFormat="1" spans="3:13">
      <c r="C638" s="94"/>
      <c r="E638" s="94"/>
      <c r="G638" s="94"/>
      <c r="I638" s="94"/>
      <c r="K638" s="94"/>
      <c r="M638" s="94"/>
    </row>
    <row r="639" s="93" customFormat="1" spans="3:13">
      <c r="C639" s="94"/>
      <c r="E639" s="94"/>
      <c r="G639" s="94"/>
      <c r="I639" s="94"/>
      <c r="K639" s="94"/>
      <c r="M639" s="94"/>
    </row>
    <row r="640" s="93" customFormat="1" spans="3:13">
      <c r="C640" s="94"/>
      <c r="E640" s="94"/>
      <c r="G640" s="94"/>
      <c r="I640" s="94"/>
      <c r="K640" s="94"/>
      <c r="M640" s="94"/>
    </row>
    <row r="641" s="93" customFormat="1" spans="3:13">
      <c r="C641" s="94"/>
      <c r="E641" s="94"/>
      <c r="G641" s="94"/>
      <c r="I641" s="94"/>
      <c r="K641" s="94"/>
      <c r="M641" s="94"/>
    </row>
    <row r="642" s="93" customFormat="1" spans="3:13">
      <c r="C642" s="94"/>
      <c r="E642" s="94"/>
      <c r="G642" s="94"/>
      <c r="I642" s="94"/>
      <c r="K642" s="94"/>
      <c r="M642" s="94"/>
    </row>
    <row r="643" s="93" customFormat="1" spans="3:13">
      <c r="C643" s="94"/>
      <c r="E643" s="94"/>
      <c r="G643" s="94"/>
      <c r="I643" s="94"/>
      <c r="K643" s="94"/>
      <c r="M643" s="94"/>
    </row>
    <row r="644" s="93" customFormat="1" spans="3:13">
      <c r="C644" s="94"/>
      <c r="E644" s="94"/>
      <c r="G644" s="94"/>
      <c r="I644" s="94"/>
      <c r="K644" s="94"/>
      <c r="M644" s="94"/>
    </row>
    <row r="645" s="93" customFormat="1" spans="3:13">
      <c r="C645" s="94"/>
      <c r="E645" s="94"/>
      <c r="G645" s="94"/>
      <c r="I645" s="94"/>
      <c r="K645" s="94"/>
      <c r="M645" s="94"/>
    </row>
    <row r="646" s="93" customFormat="1" spans="3:13">
      <c r="C646" s="94"/>
      <c r="E646" s="94"/>
      <c r="G646" s="94"/>
      <c r="I646" s="94"/>
      <c r="K646" s="94"/>
      <c r="M646" s="94"/>
    </row>
    <row r="647" s="93" customFormat="1" spans="3:13">
      <c r="C647" s="94"/>
      <c r="E647" s="94"/>
      <c r="G647" s="94"/>
      <c r="I647" s="94"/>
      <c r="K647" s="94"/>
      <c r="M647" s="94"/>
    </row>
    <row r="648" s="93" customFormat="1" spans="3:13">
      <c r="C648" s="94"/>
      <c r="E648" s="94"/>
      <c r="G648" s="94"/>
      <c r="I648" s="94"/>
      <c r="K648" s="94"/>
      <c r="M648" s="94"/>
    </row>
    <row r="649" s="93" customFormat="1" spans="3:13">
      <c r="C649" s="94"/>
      <c r="E649" s="94"/>
      <c r="G649" s="94"/>
      <c r="I649" s="94"/>
      <c r="K649" s="94"/>
      <c r="M649" s="94"/>
    </row>
    <row r="650" s="93" customFormat="1" spans="3:13">
      <c r="C650" s="94"/>
      <c r="E650" s="94"/>
      <c r="G650" s="94"/>
      <c r="I650" s="94"/>
      <c r="K650" s="94"/>
      <c r="M650" s="94"/>
    </row>
    <row r="651" s="93" customFormat="1" spans="3:13">
      <c r="C651" s="94"/>
      <c r="E651" s="94"/>
      <c r="G651" s="94"/>
      <c r="I651" s="94"/>
      <c r="K651" s="94"/>
      <c r="M651" s="94"/>
    </row>
    <row r="652" s="93" customFormat="1" spans="3:13">
      <c r="C652" s="94"/>
      <c r="E652" s="94"/>
      <c r="G652" s="94"/>
      <c r="I652" s="94"/>
      <c r="K652" s="94"/>
      <c r="M652" s="94"/>
    </row>
    <row r="653" s="93" customFormat="1" spans="3:13">
      <c r="C653" s="94"/>
      <c r="E653" s="94"/>
      <c r="G653" s="94"/>
      <c r="I653" s="94"/>
      <c r="K653" s="94"/>
      <c r="M653" s="94"/>
    </row>
    <row r="654" s="93" customFormat="1" spans="3:13">
      <c r="C654" s="94"/>
      <c r="E654" s="94"/>
      <c r="G654" s="94"/>
      <c r="I654" s="94"/>
      <c r="K654" s="94"/>
      <c r="M654" s="94"/>
    </row>
    <row r="655" s="93" customFormat="1" spans="3:13">
      <c r="C655" s="94"/>
      <c r="E655" s="94"/>
      <c r="G655" s="94"/>
      <c r="I655" s="94"/>
      <c r="K655" s="94"/>
      <c r="M655" s="94"/>
    </row>
    <row r="656" s="93" customFormat="1" spans="3:13">
      <c r="C656" s="94"/>
      <c r="E656" s="94"/>
      <c r="G656" s="94"/>
      <c r="I656" s="94"/>
      <c r="K656" s="94"/>
      <c r="M656" s="94"/>
    </row>
    <row r="657" s="93" customFormat="1" spans="3:13">
      <c r="C657" s="94"/>
      <c r="E657" s="94"/>
      <c r="G657" s="94"/>
      <c r="I657" s="94"/>
      <c r="K657" s="94"/>
      <c r="M657" s="94"/>
    </row>
    <row r="658" s="93" customFormat="1" spans="3:13">
      <c r="C658" s="94"/>
      <c r="E658" s="94"/>
      <c r="G658" s="94"/>
      <c r="I658" s="94"/>
      <c r="K658" s="94"/>
      <c r="M658" s="94"/>
    </row>
    <row r="659" s="93" customFormat="1" spans="3:13">
      <c r="C659" s="94"/>
      <c r="E659" s="94"/>
      <c r="G659" s="94"/>
      <c r="I659" s="94"/>
      <c r="K659" s="94"/>
      <c r="M659" s="94"/>
    </row>
    <row r="660" s="93" customFormat="1" spans="3:13">
      <c r="C660" s="94"/>
      <c r="E660" s="94"/>
      <c r="G660" s="94"/>
      <c r="I660" s="94"/>
      <c r="K660" s="94"/>
      <c r="M660" s="94"/>
    </row>
    <row r="661" s="93" customFormat="1" spans="3:13">
      <c r="C661" s="94"/>
      <c r="E661" s="94"/>
      <c r="G661" s="94"/>
      <c r="I661" s="94"/>
      <c r="K661" s="94"/>
      <c r="M661" s="94"/>
    </row>
    <row r="662" s="93" customFormat="1" spans="3:13">
      <c r="C662" s="94"/>
      <c r="E662" s="94"/>
      <c r="G662" s="94"/>
      <c r="I662" s="94"/>
      <c r="K662" s="94"/>
      <c r="M662" s="94"/>
    </row>
    <row r="663" s="93" customFormat="1" spans="3:13">
      <c r="C663" s="94"/>
      <c r="E663" s="94"/>
      <c r="G663" s="94"/>
      <c r="I663" s="94"/>
      <c r="K663" s="94"/>
      <c r="M663" s="94"/>
    </row>
    <row r="664" s="93" customFormat="1" spans="3:13">
      <c r="C664" s="94"/>
      <c r="E664" s="94"/>
      <c r="G664" s="94"/>
      <c r="I664" s="94"/>
      <c r="K664" s="94"/>
      <c r="M664" s="94"/>
    </row>
    <row r="665" s="93" customFormat="1" spans="3:13">
      <c r="C665" s="94"/>
      <c r="E665" s="94"/>
      <c r="G665" s="94"/>
      <c r="I665" s="94"/>
      <c r="K665" s="94"/>
      <c r="M665" s="94"/>
    </row>
    <row r="666" s="93" customFormat="1" spans="3:13">
      <c r="C666" s="94"/>
      <c r="E666" s="94"/>
      <c r="G666" s="94"/>
      <c r="I666" s="94"/>
      <c r="K666" s="94"/>
      <c r="M666" s="94"/>
    </row>
    <row r="667" s="93" customFormat="1" spans="3:13">
      <c r="C667" s="94"/>
      <c r="E667" s="94"/>
      <c r="G667" s="94"/>
      <c r="I667" s="94"/>
      <c r="K667" s="94"/>
      <c r="M667" s="94"/>
    </row>
    <row r="668" s="93" customFormat="1" spans="3:13">
      <c r="C668" s="94"/>
      <c r="E668" s="94"/>
      <c r="G668" s="94"/>
      <c r="I668" s="94"/>
      <c r="K668" s="94"/>
      <c r="M668" s="94"/>
    </row>
    <row r="669" s="93" customFormat="1" spans="3:13">
      <c r="C669" s="94"/>
      <c r="E669" s="94"/>
      <c r="G669" s="94"/>
      <c r="I669" s="94"/>
      <c r="K669" s="94"/>
      <c r="M669" s="94"/>
    </row>
    <row r="670" s="93" customFormat="1" spans="3:13">
      <c r="C670" s="94"/>
      <c r="E670" s="94"/>
      <c r="G670" s="94"/>
      <c r="I670" s="94"/>
      <c r="K670" s="94"/>
      <c r="M670" s="94"/>
    </row>
    <row r="671" s="93" customFormat="1" spans="3:13">
      <c r="C671" s="94"/>
      <c r="E671" s="94"/>
      <c r="G671" s="94"/>
      <c r="I671" s="94"/>
      <c r="K671" s="94"/>
      <c r="M671" s="94"/>
    </row>
    <row r="672" s="93" customFormat="1" spans="3:13">
      <c r="C672" s="94"/>
      <c r="E672" s="94"/>
      <c r="G672" s="94"/>
      <c r="I672" s="94"/>
      <c r="K672" s="94"/>
      <c r="M672" s="94"/>
    </row>
    <row r="673" s="93" customFormat="1" spans="3:13">
      <c r="C673" s="94"/>
      <c r="E673" s="94"/>
      <c r="G673" s="94"/>
      <c r="I673" s="94"/>
      <c r="K673" s="94"/>
      <c r="M673" s="94"/>
    </row>
    <row r="674" s="93" customFormat="1" spans="3:13">
      <c r="C674" s="94"/>
      <c r="E674" s="94"/>
      <c r="G674" s="94"/>
      <c r="I674" s="94"/>
      <c r="K674" s="94"/>
      <c r="M674" s="94"/>
    </row>
    <row r="675" s="93" customFormat="1" spans="3:13">
      <c r="C675" s="94"/>
      <c r="E675" s="94"/>
      <c r="G675" s="94"/>
      <c r="I675" s="94"/>
      <c r="K675" s="94"/>
      <c r="M675" s="94"/>
    </row>
    <row r="676" s="93" customFormat="1" spans="3:13">
      <c r="C676" s="94"/>
      <c r="E676" s="94"/>
      <c r="G676" s="94"/>
      <c r="I676" s="94"/>
      <c r="K676" s="94"/>
      <c r="M676" s="94"/>
    </row>
    <row r="677" s="93" customFormat="1" spans="3:13">
      <c r="C677" s="94"/>
      <c r="E677" s="94"/>
      <c r="G677" s="94"/>
      <c r="I677" s="94"/>
      <c r="K677" s="94"/>
      <c r="M677" s="94"/>
    </row>
    <row r="678" s="93" customFormat="1" spans="3:13">
      <c r="C678" s="94"/>
      <c r="E678" s="94"/>
      <c r="G678" s="94"/>
      <c r="I678" s="94"/>
      <c r="K678" s="94"/>
      <c r="M678" s="94"/>
    </row>
    <row r="679" s="93" customFormat="1" spans="3:13">
      <c r="C679" s="94"/>
      <c r="E679" s="94"/>
      <c r="G679" s="94"/>
      <c r="I679" s="94"/>
      <c r="K679" s="94"/>
      <c r="M679" s="94"/>
    </row>
    <row r="680" s="93" customFormat="1" spans="3:13">
      <c r="C680" s="94"/>
      <c r="E680" s="94"/>
      <c r="G680" s="94"/>
      <c r="I680" s="94"/>
      <c r="K680" s="94"/>
      <c r="M680" s="94"/>
    </row>
    <row r="681" s="93" customFormat="1" spans="3:13">
      <c r="C681" s="94"/>
      <c r="E681" s="94"/>
      <c r="G681" s="94"/>
      <c r="I681" s="94"/>
      <c r="K681" s="94"/>
      <c r="M681" s="94"/>
    </row>
    <row r="682" s="93" customFormat="1" spans="3:13">
      <c r="C682" s="94"/>
      <c r="E682" s="94"/>
      <c r="G682" s="94"/>
      <c r="I682" s="94"/>
      <c r="K682" s="94"/>
      <c r="M682" s="94"/>
    </row>
    <row r="683" s="93" customFormat="1" spans="3:13">
      <c r="C683" s="94"/>
      <c r="E683" s="94"/>
      <c r="G683" s="94"/>
      <c r="I683" s="94"/>
      <c r="K683" s="94"/>
      <c r="M683" s="94"/>
    </row>
    <row r="684" s="93" customFormat="1" spans="3:13">
      <c r="C684" s="94"/>
      <c r="E684" s="94"/>
      <c r="G684" s="94"/>
      <c r="I684" s="94"/>
      <c r="K684" s="94"/>
      <c r="M684" s="94"/>
    </row>
    <row r="685" s="93" customFormat="1" spans="3:13">
      <c r="C685" s="94"/>
      <c r="E685" s="94"/>
      <c r="G685" s="94"/>
      <c r="I685" s="94"/>
      <c r="K685" s="94"/>
      <c r="M685" s="94"/>
    </row>
    <row r="686" s="93" customFormat="1" spans="3:13">
      <c r="C686" s="94"/>
      <c r="E686" s="94"/>
      <c r="G686" s="94"/>
      <c r="I686" s="94"/>
      <c r="K686" s="94"/>
      <c r="M686" s="94"/>
    </row>
    <row r="687" s="93" customFormat="1" spans="3:13">
      <c r="C687" s="94"/>
      <c r="E687" s="94"/>
      <c r="G687" s="94"/>
      <c r="I687" s="94"/>
      <c r="K687" s="94"/>
      <c r="M687" s="94"/>
    </row>
    <row r="688" s="93" customFormat="1" spans="3:13">
      <c r="C688" s="94"/>
      <c r="E688" s="94"/>
      <c r="G688" s="94"/>
      <c r="I688" s="94"/>
      <c r="K688" s="94"/>
      <c r="M688" s="94"/>
    </row>
    <row r="689" s="93" customFormat="1" spans="3:13">
      <c r="C689" s="94"/>
      <c r="E689" s="94"/>
      <c r="G689" s="94"/>
      <c r="I689" s="94"/>
      <c r="K689" s="94"/>
      <c r="M689" s="94"/>
    </row>
    <row r="690" s="93" customFormat="1" spans="3:13">
      <c r="C690" s="94"/>
      <c r="E690" s="94"/>
      <c r="G690" s="94"/>
      <c r="I690" s="94"/>
      <c r="K690" s="94"/>
      <c r="M690" s="94"/>
    </row>
    <row r="691" s="93" customFormat="1" spans="3:13">
      <c r="C691" s="94"/>
      <c r="E691" s="94"/>
      <c r="G691" s="94"/>
      <c r="I691" s="94"/>
      <c r="K691" s="94"/>
      <c r="M691" s="94"/>
    </row>
    <row r="692" s="93" customFormat="1" spans="3:13">
      <c r="C692" s="94"/>
      <c r="E692" s="94"/>
      <c r="G692" s="94"/>
      <c r="I692" s="94"/>
      <c r="K692" s="94"/>
      <c r="M692" s="94"/>
    </row>
    <row r="693" s="93" customFormat="1" spans="3:13">
      <c r="C693" s="94"/>
      <c r="E693" s="94"/>
      <c r="G693" s="94"/>
      <c r="I693" s="94"/>
      <c r="K693" s="94"/>
      <c r="M693" s="94"/>
    </row>
    <row r="694" s="93" customFormat="1" spans="3:13">
      <c r="C694" s="94"/>
      <c r="E694" s="94"/>
      <c r="G694" s="94"/>
      <c r="I694" s="94"/>
      <c r="K694" s="94"/>
      <c r="M694" s="94"/>
    </row>
    <row r="695" s="93" customFormat="1" spans="3:13">
      <c r="C695" s="94"/>
      <c r="E695" s="94"/>
      <c r="G695" s="94"/>
      <c r="I695" s="94"/>
      <c r="K695" s="94"/>
      <c r="M695" s="94"/>
    </row>
    <row r="696" s="93" customFormat="1" spans="3:13">
      <c r="C696" s="94"/>
      <c r="E696" s="94"/>
      <c r="G696" s="94"/>
      <c r="I696" s="94"/>
      <c r="K696" s="94"/>
      <c r="M696" s="94"/>
    </row>
    <row r="697" s="93" customFormat="1" spans="3:13">
      <c r="C697" s="94"/>
      <c r="E697" s="94"/>
      <c r="G697" s="94"/>
      <c r="I697" s="94"/>
      <c r="K697" s="94"/>
      <c r="M697" s="94"/>
    </row>
    <row r="698" s="93" customFormat="1" spans="3:13">
      <c r="C698" s="94"/>
      <c r="E698" s="94"/>
      <c r="G698" s="94"/>
      <c r="I698" s="94"/>
      <c r="K698" s="94"/>
      <c r="M698" s="94"/>
    </row>
    <row r="699" s="93" customFormat="1" spans="3:13">
      <c r="C699" s="94"/>
      <c r="E699" s="94"/>
      <c r="G699" s="94"/>
      <c r="I699" s="94"/>
      <c r="K699" s="94"/>
      <c r="M699" s="94"/>
    </row>
    <row r="700" s="93" customFormat="1" spans="3:13">
      <c r="C700" s="94"/>
      <c r="E700" s="94"/>
      <c r="G700" s="94"/>
      <c r="I700" s="94"/>
      <c r="K700" s="94"/>
      <c r="M700" s="94"/>
    </row>
    <row r="701" s="93" customFormat="1" spans="3:13">
      <c r="C701" s="94"/>
      <c r="E701" s="94"/>
      <c r="G701" s="94"/>
      <c r="I701" s="94"/>
      <c r="K701" s="94"/>
      <c r="M701" s="94"/>
    </row>
    <row r="702" s="93" customFormat="1" spans="3:13">
      <c r="C702" s="94"/>
      <c r="E702" s="94"/>
      <c r="G702" s="94"/>
      <c r="I702" s="94"/>
      <c r="K702" s="94"/>
      <c r="M702" s="94"/>
    </row>
    <row r="703" s="93" customFormat="1" spans="3:13">
      <c r="C703" s="94"/>
      <c r="E703" s="94"/>
      <c r="G703" s="94"/>
      <c r="I703" s="94"/>
      <c r="K703" s="94"/>
      <c r="M703" s="94"/>
    </row>
    <row r="704" s="93" customFormat="1" spans="3:13">
      <c r="C704" s="94"/>
      <c r="E704" s="94"/>
      <c r="G704" s="94"/>
      <c r="I704" s="94"/>
      <c r="K704" s="94"/>
      <c r="M704" s="94"/>
    </row>
    <row r="705" s="93" customFormat="1" spans="3:13">
      <c r="C705" s="94"/>
      <c r="E705" s="94"/>
      <c r="G705" s="94"/>
      <c r="I705" s="94"/>
      <c r="K705" s="94"/>
      <c r="M705" s="94"/>
    </row>
    <row r="706" s="93" customFormat="1" spans="3:13">
      <c r="C706" s="94"/>
      <c r="E706" s="94"/>
      <c r="G706" s="94"/>
      <c r="I706" s="94"/>
      <c r="K706" s="94"/>
      <c r="M706" s="94"/>
    </row>
    <row r="707" s="93" customFormat="1" spans="3:13">
      <c r="C707" s="94"/>
      <c r="E707" s="94"/>
      <c r="G707" s="94"/>
      <c r="I707" s="94"/>
      <c r="K707" s="94"/>
      <c r="M707" s="94"/>
    </row>
    <row r="708" s="93" customFormat="1" spans="3:13">
      <c r="C708" s="94"/>
      <c r="E708" s="94"/>
      <c r="G708" s="94"/>
      <c r="I708" s="94"/>
      <c r="K708" s="94"/>
      <c r="M708" s="94"/>
    </row>
    <row r="709" s="93" customFormat="1" spans="3:13">
      <c r="C709" s="94"/>
      <c r="E709" s="94"/>
      <c r="G709" s="94"/>
      <c r="I709" s="94"/>
      <c r="K709" s="94"/>
      <c r="M709" s="94"/>
    </row>
    <row r="710" s="93" customFormat="1" spans="3:13">
      <c r="C710" s="94"/>
      <c r="E710" s="94"/>
      <c r="G710" s="94"/>
      <c r="I710" s="94"/>
      <c r="K710" s="94"/>
      <c r="M710" s="94"/>
    </row>
    <row r="711" s="93" customFormat="1" spans="3:13">
      <c r="C711" s="94"/>
      <c r="E711" s="94"/>
      <c r="G711" s="94"/>
      <c r="I711" s="94"/>
      <c r="K711" s="94"/>
      <c r="M711" s="94"/>
    </row>
    <row r="712" s="93" customFormat="1" spans="3:13">
      <c r="C712" s="94"/>
      <c r="E712" s="94"/>
      <c r="G712" s="94"/>
      <c r="I712" s="94"/>
      <c r="K712" s="94"/>
      <c r="M712" s="94"/>
    </row>
    <row r="713" s="93" customFormat="1" spans="3:13">
      <c r="C713" s="94"/>
      <c r="E713" s="94"/>
      <c r="G713" s="94"/>
      <c r="I713" s="94"/>
      <c r="K713" s="94"/>
      <c r="M713" s="94"/>
    </row>
    <row r="714" s="93" customFormat="1" spans="3:13">
      <c r="C714" s="94"/>
      <c r="E714" s="94"/>
      <c r="G714" s="94"/>
      <c r="I714" s="94"/>
      <c r="K714" s="94"/>
      <c r="M714" s="94"/>
    </row>
    <row r="715" s="93" customFormat="1" spans="3:13">
      <c r="C715" s="94"/>
      <c r="E715" s="94"/>
      <c r="G715" s="94"/>
      <c r="I715" s="94"/>
      <c r="K715" s="94"/>
      <c r="M715" s="94"/>
    </row>
    <row r="716" s="93" customFormat="1" spans="3:13">
      <c r="C716" s="94"/>
      <c r="E716" s="94"/>
      <c r="G716" s="94"/>
      <c r="I716" s="94"/>
      <c r="K716" s="94"/>
      <c r="M716" s="94"/>
    </row>
    <row r="717" s="93" customFormat="1" spans="3:13">
      <c r="C717" s="94"/>
      <c r="E717" s="94"/>
      <c r="G717" s="94"/>
      <c r="I717" s="94"/>
      <c r="K717" s="94"/>
      <c r="M717" s="94"/>
    </row>
    <row r="718" s="93" customFormat="1" spans="3:13">
      <c r="C718" s="94"/>
      <c r="E718" s="94"/>
      <c r="G718" s="94"/>
      <c r="I718" s="94"/>
      <c r="K718" s="94"/>
      <c r="M718" s="94"/>
    </row>
    <row r="719" s="93" customFormat="1" spans="3:13">
      <c r="C719" s="94"/>
      <c r="E719" s="94"/>
      <c r="G719" s="94"/>
      <c r="I719" s="94"/>
      <c r="K719" s="94"/>
      <c r="M719" s="94"/>
    </row>
    <row r="720" s="93" customFormat="1" spans="3:13">
      <c r="C720" s="94"/>
      <c r="E720" s="94"/>
      <c r="G720" s="94"/>
      <c r="I720" s="94"/>
      <c r="K720" s="94"/>
      <c r="M720" s="94"/>
    </row>
    <row r="721" s="93" customFormat="1" spans="3:13">
      <c r="C721" s="94"/>
      <c r="E721" s="94"/>
      <c r="G721" s="94"/>
      <c r="I721" s="94"/>
      <c r="K721" s="94"/>
      <c r="M721" s="94"/>
    </row>
    <row r="722" s="93" customFormat="1" spans="3:13">
      <c r="C722" s="94"/>
      <c r="E722" s="94"/>
      <c r="G722" s="94"/>
      <c r="I722" s="94"/>
      <c r="K722" s="94"/>
      <c r="M722" s="94"/>
    </row>
    <row r="723" s="93" customFormat="1" spans="3:13">
      <c r="C723" s="94"/>
      <c r="E723" s="94"/>
      <c r="G723" s="94"/>
      <c r="I723" s="94"/>
      <c r="K723" s="94"/>
      <c r="M723" s="94"/>
    </row>
    <row r="724" s="93" customFormat="1" spans="3:13">
      <c r="C724" s="94"/>
      <c r="E724" s="94"/>
      <c r="G724" s="94"/>
      <c r="I724" s="94"/>
      <c r="K724" s="94"/>
      <c r="M724" s="94"/>
    </row>
    <row r="725" s="93" customFormat="1" spans="3:13">
      <c r="C725" s="94"/>
      <c r="E725" s="94"/>
      <c r="G725" s="94"/>
      <c r="I725" s="94"/>
      <c r="K725" s="94"/>
      <c r="M725" s="94"/>
    </row>
    <row r="726" s="93" customFormat="1" spans="3:13">
      <c r="C726" s="94"/>
      <c r="E726" s="94"/>
      <c r="G726" s="94"/>
      <c r="I726" s="94"/>
      <c r="K726" s="94"/>
      <c r="M726" s="94"/>
    </row>
    <row r="727" s="93" customFormat="1" spans="3:13">
      <c r="C727" s="94"/>
      <c r="E727" s="94"/>
      <c r="G727" s="94"/>
      <c r="I727" s="94"/>
      <c r="K727" s="94"/>
      <c r="M727" s="94"/>
    </row>
    <row r="728" s="93" customFormat="1" spans="3:13">
      <c r="C728" s="94"/>
      <c r="E728" s="94"/>
      <c r="G728" s="94"/>
      <c r="I728" s="94"/>
      <c r="K728" s="94"/>
      <c r="M728" s="94"/>
    </row>
    <row r="729" s="93" customFormat="1" spans="3:13">
      <c r="C729" s="94"/>
      <c r="E729" s="94"/>
      <c r="G729" s="94"/>
      <c r="I729" s="94"/>
      <c r="K729" s="94"/>
      <c r="M729" s="94"/>
    </row>
    <row r="730" s="93" customFormat="1" spans="3:13">
      <c r="C730" s="94"/>
      <c r="E730" s="94"/>
      <c r="G730" s="94"/>
      <c r="I730" s="94"/>
      <c r="K730" s="94"/>
      <c r="M730" s="94"/>
    </row>
    <row r="731" s="93" customFormat="1" spans="3:13">
      <c r="C731" s="94"/>
      <c r="E731" s="94"/>
      <c r="G731" s="94"/>
      <c r="I731" s="94"/>
      <c r="K731" s="94"/>
      <c r="M731" s="94"/>
    </row>
    <row r="732" s="93" customFormat="1" spans="3:13">
      <c r="C732" s="94"/>
      <c r="E732" s="94"/>
      <c r="G732" s="94"/>
      <c r="I732" s="94"/>
      <c r="K732" s="94"/>
      <c r="M732" s="94"/>
    </row>
    <row r="733" s="93" customFormat="1" spans="3:13">
      <c r="C733" s="94"/>
      <c r="E733" s="94"/>
      <c r="G733" s="94"/>
      <c r="I733" s="94"/>
      <c r="K733" s="94"/>
      <c r="M733" s="94"/>
    </row>
    <row r="734" s="93" customFormat="1" spans="3:13">
      <c r="C734" s="94"/>
      <c r="E734" s="94"/>
      <c r="G734" s="94"/>
      <c r="I734" s="94"/>
      <c r="K734" s="94"/>
      <c r="M734" s="94"/>
    </row>
    <row r="735" s="93" customFormat="1" spans="3:13">
      <c r="C735" s="94"/>
      <c r="E735" s="94"/>
      <c r="G735" s="94"/>
      <c r="I735" s="94"/>
      <c r="K735" s="94"/>
      <c r="M735" s="94"/>
    </row>
    <row r="736" s="93" customFormat="1" spans="3:13">
      <c r="C736" s="94"/>
      <c r="E736" s="94"/>
      <c r="G736" s="94"/>
      <c r="I736" s="94"/>
      <c r="K736" s="94"/>
      <c r="M736" s="94"/>
    </row>
    <row r="737" s="93" customFormat="1" spans="3:13">
      <c r="C737" s="94"/>
      <c r="E737" s="94"/>
      <c r="G737" s="94"/>
      <c r="I737" s="94"/>
      <c r="K737" s="94"/>
      <c r="M737" s="94"/>
    </row>
    <row r="738" s="93" customFormat="1" spans="3:13">
      <c r="C738" s="94"/>
      <c r="E738" s="94"/>
      <c r="G738" s="94"/>
      <c r="I738" s="94"/>
      <c r="K738" s="94"/>
      <c r="M738" s="94"/>
    </row>
    <row r="739" s="93" customFormat="1" spans="3:13">
      <c r="C739" s="94"/>
      <c r="E739" s="94"/>
      <c r="G739" s="94"/>
      <c r="I739" s="94"/>
      <c r="K739" s="94"/>
      <c r="M739" s="94"/>
    </row>
    <row r="740" s="93" customFormat="1" spans="3:13">
      <c r="C740" s="94"/>
      <c r="E740" s="94"/>
      <c r="G740" s="94"/>
      <c r="I740" s="94"/>
      <c r="K740" s="94"/>
      <c r="M740" s="94"/>
    </row>
    <row r="741" s="93" customFormat="1" spans="3:13">
      <c r="C741" s="94"/>
      <c r="E741" s="94"/>
      <c r="G741" s="94"/>
      <c r="I741" s="94"/>
      <c r="K741" s="94"/>
      <c r="M741" s="94"/>
    </row>
    <row r="742" s="93" customFormat="1" spans="3:13">
      <c r="C742" s="94"/>
      <c r="E742" s="94"/>
      <c r="G742" s="94"/>
      <c r="I742" s="94"/>
      <c r="K742" s="94"/>
      <c r="M742" s="94"/>
    </row>
    <row r="743" s="93" customFormat="1" spans="3:13">
      <c r="C743" s="94"/>
      <c r="E743" s="94"/>
      <c r="G743" s="94"/>
      <c r="I743" s="94"/>
      <c r="K743" s="94"/>
      <c r="M743" s="94"/>
    </row>
    <row r="744" s="93" customFormat="1" spans="3:13">
      <c r="C744" s="94"/>
      <c r="E744" s="94"/>
      <c r="G744" s="94"/>
      <c r="I744" s="94"/>
      <c r="K744" s="94"/>
      <c r="M744" s="94"/>
    </row>
    <row r="745" s="93" customFormat="1" spans="3:13">
      <c r="C745" s="94"/>
      <c r="E745" s="94"/>
      <c r="G745" s="94"/>
      <c r="I745" s="94"/>
      <c r="K745" s="94"/>
      <c r="M745" s="94"/>
    </row>
    <row r="746" s="93" customFormat="1" spans="3:13">
      <c r="C746" s="94"/>
      <c r="E746" s="94"/>
      <c r="G746" s="94"/>
      <c r="I746" s="94"/>
      <c r="K746" s="94"/>
      <c r="M746" s="94"/>
    </row>
    <row r="747" s="93" customFormat="1" spans="3:13">
      <c r="C747" s="94"/>
      <c r="E747" s="94"/>
      <c r="G747" s="94"/>
      <c r="I747" s="94"/>
      <c r="K747" s="94"/>
      <c r="M747" s="94"/>
    </row>
    <row r="748" s="93" customFormat="1" spans="3:13">
      <c r="C748" s="94"/>
      <c r="E748" s="94"/>
      <c r="G748" s="94"/>
      <c r="I748" s="94"/>
      <c r="K748" s="94"/>
      <c r="M748" s="94"/>
    </row>
    <row r="749" s="93" customFormat="1" spans="3:13">
      <c r="C749" s="94"/>
      <c r="E749" s="94"/>
      <c r="G749" s="94"/>
      <c r="I749" s="94"/>
      <c r="K749" s="94"/>
      <c r="M749" s="94"/>
    </row>
    <row r="750" s="93" customFormat="1" spans="3:13">
      <c r="C750" s="94"/>
      <c r="E750" s="94"/>
      <c r="G750" s="94"/>
      <c r="I750" s="94"/>
      <c r="K750" s="94"/>
      <c r="M750" s="94"/>
    </row>
    <row r="751" s="93" customFormat="1" spans="3:13">
      <c r="C751" s="94"/>
      <c r="E751" s="94"/>
      <c r="G751" s="94"/>
      <c r="I751" s="94"/>
      <c r="K751" s="94"/>
      <c r="M751" s="94"/>
    </row>
    <row r="752" s="93" customFormat="1" spans="3:13">
      <c r="C752" s="94"/>
      <c r="E752" s="94"/>
      <c r="G752" s="94"/>
      <c r="I752" s="94"/>
      <c r="K752" s="94"/>
      <c r="M752" s="94"/>
    </row>
    <row r="753" s="93" customFormat="1" spans="3:13">
      <c r="C753" s="94"/>
      <c r="E753" s="94"/>
      <c r="G753" s="94"/>
      <c r="I753" s="94"/>
      <c r="K753" s="94"/>
      <c r="M753" s="94"/>
    </row>
    <row r="754" s="93" customFormat="1" spans="3:13">
      <c r="C754" s="94"/>
      <c r="E754" s="94"/>
      <c r="G754" s="94"/>
      <c r="I754" s="94"/>
      <c r="K754" s="94"/>
      <c r="M754" s="94"/>
    </row>
    <row r="755" s="93" customFormat="1" spans="3:13">
      <c r="C755" s="94"/>
      <c r="E755" s="94"/>
      <c r="G755" s="94"/>
      <c r="I755" s="94"/>
      <c r="K755" s="94"/>
      <c r="M755" s="94"/>
    </row>
    <row r="756" s="93" customFormat="1" spans="3:13">
      <c r="C756" s="94"/>
      <c r="E756" s="94"/>
      <c r="G756" s="94"/>
      <c r="I756" s="94"/>
      <c r="K756" s="94"/>
      <c r="M756" s="94"/>
    </row>
    <row r="757" s="93" customFormat="1" spans="3:13">
      <c r="C757" s="94"/>
      <c r="E757" s="94"/>
      <c r="G757" s="94"/>
      <c r="I757" s="94"/>
      <c r="K757" s="94"/>
      <c r="M757" s="94"/>
    </row>
    <row r="758" s="93" customFormat="1" spans="3:13">
      <c r="C758" s="94"/>
      <c r="E758" s="94"/>
      <c r="G758" s="94"/>
      <c r="I758" s="94"/>
      <c r="K758" s="94"/>
      <c r="M758" s="94"/>
    </row>
    <row r="759" s="93" customFormat="1" spans="3:13">
      <c r="C759" s="94"/>
      <c r="E759" s="94"/>
      <c r="G759" s="94"/>
      <c r="I759" s="94"/>
      <c r="K759" s="94"/>
      <c r="M759" s="94"/>
    </row>
    <row r="760" s="93" customFormat="1" spans="3:13">
      <c r="C760" s="94"/>
      <c r="E760" s="94"/>
      <c r="G760" s="94"/>
      <c r="I760" s="94"/>
      <c r="K760" s="94"/>
      <c r="M760" s="94"/>
    </row>
    <row r="761" s="93" customFormat="1" spans="3:13">
      <c r="C761" s="94"/>
      <c r="E761" s="94"/>
      <c r="G761" s="94"/>
      <c r="I761" s="94"/>
      <c r="K761" s="94"/>
      <c r="M761" s="94"/>
    </row>
    <row r="762" s="93" customFormat="1" spans="3:13">
      <c r="C762" s="94"/>
      <c r="E762" s="94"/>
      <c r="G762" s="94"/>
      <c r="I762" s="94"/>
      <c r="K762" s="94"/>
      <c r="M762" s="94"/>
    </row>
    <row r="763" s="93" customFormat="1" spans="3:13">
      <c r="C763" s="94"/>
      <c r="E763" s="94"/>
      <c r="G763" s="94"/>
      <c r="I763" s="94"/>
      <c r="K763" s="94"/>
      <c r="M763" s="94"/>
    </row>
    <row r="764" s="93" customFormat="1" spans="3:13">
      <c r="C764" s="94"/>
      <c r="E764" s="94"/>
      <c r="G764" s="94"/>
      <c r="I764" s="94"/>
      <c r="K764" s="94"/>
      <c r="M764" s="94"/>
    </row>
    <row r="765" s="93" customFormat="1" spans="3:13">
      <c r="C765" s="94"/>
      <c r="E765" s="94"/>
      <c r="G765" s="94"/>
      <c r="I765" s="94"/>
      <c r="K765" s="94"/>
      <c r="M765" s="94"/>
    </row>
    <row r="766" s="93" customFormat="1" spans="3:13">
      <c r="C766" s="94"/>
      <c r="E766" s="94"/>
      <c r="G766" s="94"/>
      <c r="I766" s="94"/>
      <c r="K766" s="94"/>
      <c r="M766" s="94"/>
    </row>
    <row r="767" s="93" customFormat="1" spans="3:13">
      <c r="C767" s="94"/>
      <c r="E767" s="94"/>
      <c r="G767" s="94"/>
      <c r="I767" s="94"/>
      <c r="K767" s="94"/>
      <c r="M767" s="94"/>
    </row>
    <row r="768" s="93" customFormat="1" spans="3:13">
      <c r="C768" s="94"/>
      <c r="E768" s="94"/>
      <c r="G768" s="94"/>
      <c r="I768" s="94"/>
      <c r="K768" s="94"/>
      <c r="M768" s="94"/>
    </row>
    <row r="769" s="93" customFormat="1" spans="3:13">
      <c r="C769" s="94"/>
      <c r="E769" s="94"/>
      <c r="G769" s="94"/>
      <c r="I769" s="94"/>
      <c r="K769" s="94"/>
      <c r="M769" s="94"/>
    </row>
    <row r="770" s="93" customFormat="1" spans="3:13">
      <c r="C770" s="94"/>
      <c r="E770" s="94"/>
      <c r="G770" s="94"/>
      <c r="I770" s="94"/>
      <c r="K770" s="94"/>
      <c r="M770" s="94"/>
    </row>
    <row r="771" s="93" customFormat="1" spans="3:13">
      <c r="C771" s="94"/>
      <c r="E771" s="94"/>
      <c r="G771" s="94"/>
      <c r="I771" s="94"/>
      <c r="K771" s="94"/>
      <c r="M771" s="94"/>
    </row>
    <row r="772" s="93" customFormat="1" spans="3:13">
      <c r="C772" s="94"/>
      <c r="E772" s="94"/>
      <c r="G772" s="94"/>
      <c r="I772" s="94"/>
      <c r="K772" s="94"/>
      <c r="M772" s="94"/>
    </row>
    <row r="773" s="93" customFormat="1" spans="3:13">
      <c r="C773" s="94"/>
      <c r="E773" s="94"/>
      <c r="G773" s="94"/>
      <c r="I773" s="94"/>
      <c r="K773" s="94"/>
      <c r="M773" s="94"/>
    </row>
    <row r="774" s="93" customFormat="1" spans="3:13">
      <c r="C774" s="94"/>
      <c r="E774" s="94"/>
      <c r="G774" s="94"/>
      <c r="I774" s="94"/>
      <c r="K774" s="94"/>
      <c r="M774" s="94"/>
    </row>
    <row r="775" s="93" customFormat="1" spans="3:13">
      <c r="C775" s="94"/>
      <c r="E775" s="94"/>
      <c r="G775" s="94"/>
      <c r="I775" s="94"/>
      <c r="K775" s="94"/>
      <c r="M775" s="94"/>
    </row>
    <row r="776" s="93" customFormat="1" spans="3:13">
      <c r="C776" s="94"/>
      <c r="E776" s="94"/>
      <c r="G776" s="94"/>
      <c r="I776" s="94"/>
      <c r="K776" s="94"/>
      <c r="M776" s="94"/>
    </row>
    <row r="777" s="93" customFormat="1" spans="3:13">
      <c r="C777" s="94"/>
      <c r="E777" s="94"/>
      <c r="G777" s="94"/>
      <c r="I777" s="94"/>
      <c r="K777" s="94"/>
      <c r="M777" s="94"/>
    </row>
    <row r="778" s="93" customFormat="1" spans="3:13">
      <c r="C778" s="94"/>
      <c r="E778" s="94"/>
      <c r="G778" s="94"/>
      <c r="I778" s="94"/>
      <c r="K778" s="94"/>
      <c r="M778" s="94"/>
    </row>
    <row r="779" s="93" customFormat="1" spans="3:13">
      <c r="C779" s="94"/>
      <c r="E779" s="94"/>
      <c r="G779" s="94"/>
      <c r="I779" s="94"/>
      <c r="K779" s="94"/>
      <c r="M779" s="94"/>
    </row>
    <row r="780" s="93" customFormat="1" spans="3:13">
      <c r="C780" s="94"/>
      <c r="E780" s="94"/>
      <c r="G780" s="94"/>
      <c r="I780" s="94"/>
      <c r="K780" s="94"/>
      <c r="M780" s="94"/>
    </row>
    <row r="781" s="93" customFormat="1" spans="3:13">
      <c r="C781" s="94"/>
      <c r="E781" s="94"/>
      <c r="G781" s="94"/>
      <c r="I781" s="94"/>
      <c r="K781" s="94"/>
      <c r="M781" s="94"/>
    </row>
    <row r="782" s="93" customFormat="1" spans="3:13">
      <c r="C782" s="94"/>
      <c r="E782" s="94"/>
      <c r="G782" s="94"/>
      <c r="I782" s="94"/>
      <c r="K782" s="94"/>
      <c r="M782" s="94"/>
    </row>
    <row r="783" s="93" customFormat="1" spans="3:13">
      <c r="C783" s="94"/>
      <c r="E783" s="94"/>
      <c r="G783" s="94"/>
      <c r="I783" s="94"/>
      <c r="K783" s="94"/>
      <c r="M783" s="94"/>
    </row>
    <row r="784" s="93" customFormat="1" spans="3:13">
      <c r="C784" s="94"/>
      <c r="E784" s="94"/>
      <c r="G784" s="94"/>
      <c r="I784" s="94"/>
      <c r="K784" s="94"/>
      <c r="M784" s="94"/>
    </row>
    <row r="785" s="93" customFormat="1" spans="3:13">
      <c r="C785" s="94"/>
      <c r="E785" s="94"/>
      <c r="G785" s="94"/>
      <c r="I785" s="94"/>
      <c r="K785" s="94"/>
      <c r="M785" s="94"/>
    </row>
    <row r="786" s="93" customFormat="1" spans="3:13">
      <c r="C786" s="94"/>
      <c r="E786" s="94"/>
      <c r="G786" s="94"/>
      <c r="I786" s="94"/>
      <c r="K786" s="94"/>
      <c r="M786" s="94"/>
    </row>
    <row r="787" s="93" customFormat="1" spans="3:13">
      <c r="C787" s="94"/>
      <c r="E787" s="94"/>
      <c r="G787" s="94"/>
      <c r="I787" s="94"/>
      <c r="K787" s="94"/>
      <c r="M787" s="94"/>
    </row>
    <row r="788" s="93" customFormat="1" spans="3:13">
      <c r="C788" s="94"/>
      <c r="E788" s="94"/>
      <c r="G788" s="94"/>
      <c r="I788" s="94"/>
      <c r="K788" s="94"/>
      <c r="M788" s="94"/>
    </row>
    <row r="789" s="93" customFormat="1" spans="3:13">
      <c r="C789" s="94"/>
      <c r="E789" s="94"/>
      <c r="G789" s="94"/>
      <c r="I789" s="94"/>
      <c r="K789" s="94"/>
      <c r="M789" s="94"/>
    </row>
    <row r="790" s="93" customFormat="1" spans="3:13">
      <c r="C790" s="94"/>
      <c r="E790" s="94"/>
      <c r="G790" s="94"/>
      <c r="I790" s="94"/>
      <c r="K790" s="94"/>
      <c r="M790" s="94"/>
    </row>
    <row r="791" s="93" customFormat="1" spans="3:13">
      <c r="C791" s="94"/>
      <c r="E791" s="94"/>
      <c r="G791" s="94"/>
      <c r="I791" s="94"/>
      <c r="K791" s="94"/>
      <c r="M791" s="94"/>
    </row>
    <row r="792" s="93" customFormat="1" spans="3:13">
      <c r="C792" s="94"/>
      <c r="E792" s="94"/>
      <c r="G792" s="94"/>
      <c r="I792" s="94"/>
      <c r="K792" s="94"/>
      <c r="M792" s="94"/>
    </row>
    <row r="793" s="93" customFormat="1" spans="3:13">
      <c r="C793" s="94"/>
      <c r="E793" s="94"/>
      <c r="G793" s="94"/>
      <c r="I793" s="94"/>
      <c r="K793" s="94"/>
      <c r="M793" s="94"/>
    </row>
    <row r="794" s="93" customFormat="1" spans="3:13">
      <c r="C794" s="94"/>
      <c r="E794" s="94"/>
      <c r="G794" s="94"/>
      <c r="I794" s="94"/>
      <c r="K794" s="94"/>
      <c r="M794" s="94"/>
    </row>
    <row r="795" s="93" customFormat="1" spans="3:13">
      <c r="C795" s="94"/>
      <c r="E795" s="94"/>
      <c r="G795" s="94"/>
      <c r="I795" s="94"/>
      <c r="K795" s="94"/>
      <c r="M795" s="94"/>
    </row>
    <row r="796" s="93" customFormat="1" spans="3:13">
      <c r="C796" s="94"/>
      <c r="E796" s="94"/>
      <c r="G796" s="94"/>
      <c r="I796" s="94"/>
      <c r="K796" s="94"/>
      <c r="M796" s="94"/>
    </row>
    <row r="797" s="93" customFormat="1" spans="3:13">
      <c r="C797" s="94"/>
      <c r="E797" s="94"/>
      <c r="G797" s="94"/>
      <c r="I797" s="94"/>
      <c r="K797" s="94"/>
      <c r="M797" s="94"/>
    </row>
    <row r="798" s="93" customFormat="1" spans="3:13">
      <c r="C798" s="94"/>
      <c r="E798" s="94"/>
      <c r="G798" s="94"/>
      <c r="I798" s="94"/>
      <c r="K798" s="94"/>
      <c r="M798" s="94"/>
    </row>
    <row r="799" s="93" customFormat="1" spans="3:13">
      <c r="C799" s="94"/>
      <c r="E799" s="94"/>
      <c r="G799" s="94"/>
      <c r="I799" s="94"/>
      <c r="K799" s="94"/>
      <c r="M799" s="94"/>
    </row>
    <row r="800" s="93" customFormat="1" spans="3:13">
      <c r="C800" s="94"/>
      <c r="E800" s="94"/>
      <c r="G800" s="94"/>
      <c r="I800" s="94"/>
      <c r="K800" s="94"/>
      <c r="M800" s="94"/>
    </row>
    <row r="801" s="93" customFormat="1" spans="3:13">
      <c r="C801" s="94"/>
      <c r="E801" s="94"/>
      <c r="G801" s="94"/>
      <c r="I801" s="94"/>
      <c r="K801" s="94"/>
      <c r="M801" s="94"/>
    </row>
    <row r="802" s="93" customFormat="1" spans="3:13">
      <c r="C802" s="94"/>
      <c r="E802" s="94"/>
      <c r="G802" s="94"/>
      <c r="I802" s="94"/>
      <c r="K802" s="94"/>
      <c r="M802" s="94"/>
    </row>
    <row r="803" s="93" customFormat="1" spans="3:13">
      <c r="C803" s="94"/>
      <c r="E803" s="94"/>
      <c r="G803" s="94"/>
      <c r="I803" s="94"/>
      <c r="K803" s="94"/>
      <c r="M803" s="94"/>
    </row>
    <row r="804" s="93" customFormat="1" spans="3:13">
      <c r="C804" s="94"/>
      <c r="E804" s="94"/>
      <c r="G804" s="94"/>
      <c r="I804" s="94"/>
      <c r="K804" s="94"/>
      <c r="M804" s="94"/>
    </row>
    <row r="805" s="93" customFormat="1" spans="3:13">
      <c r="C805" s="94"/>
      <c r="E805" s="94"/>
      <c r="G805" s="94"/>
      <c r="I805" s="94"/>
      <c r="K805" s="94"/>
      <c r="M805" s="94"/>
    </row>
    <row r="806" s="93" customFormat="1" spans="3:13">
      <c r="C806" s="94"/>
      <c r="E806" s="94"/>
      <c r="G806" s="94"/>
      <c r="I806" s="94"/>
      <c r="K806" s="94"/>
      <c r="M806" s="94"/>
    </row>
    <row r="807" s="93" customFormat="1" spans="3:13">
      <c r="C807" s="94"/>
      <c r="E807" s="94"/>
      <c r="G807" s="94"/>
      <c r="I807" s="94"/>
      <c r="K807" s="94"/>
      <c r="M807" s="94"/>
    </row>
    <row r="808" s="93" customFormat="1" spans="3:13">
      <c r="C808" s="94"/>
      <c r="E808" s="94"/>
      <c r="G808" s="94"/>
      <c r="I808" s="94"/>
      <c r="K808" s="94"/>
      <c r="M808" s="94"/>
    </row>
    <row r="809" s="93" customFormat="1" spans="3:13">
      <c r="C809" s="94"/>
      <c r="E809" s="94"/>
      <c r="G809" s="94"/>
      <c r="I809" s="94"/>
      <c r="K809" s="94"/>
      <c r="M809" s="94"/>
    </row>
    <row r="810" s="93" customFormat="1" spans="3:13">
      <c r="C810" s="94"/>
      <c r="E810" s="94"/>
      <c r="G810" s="94"/>
      <c r="I810" s="94"/>
      <c r="K810" s="94"/>
      <c r="M810" s="94"/>
    </row>
    <row r="811" s="93" customFormat="1" spans="3:13">
      <c r="C811" s="94"/>
      <c r="E811" s="94"/>
      <c r="G811" s="94"/>
      <c r="I811" s="94"/>
      <c r="K811" s="94"/>
      <c r="M811" s="94"/>
    </row>
    <row r="812" s="93" customFormat="1" spans="3:13">
      <c r="C812" s="94"/>
      <c r="E812" s="94"/>
      <c r="G812" s="94"/>
      <c r="I812" s="94"/>
      <c r="K812" s="94"/>
      <c r="M812" s="94"/>
    </row>
    <row r="813" s="93" customFormat="1" spans="3:13">
      <c r="C813" s="94"/>
      <c r="E813" s="94"/>
      <c r="G813" s="94"/>
      <c r="I813" s="94"/>
      <c r="K813" s="94"/>
      <c r="M813" s="94"/>
    </row>
    <row r="814" s="93" customFormat="1" spans="3:13">
      <c r="C814" s="94"/>
      <c r="E814" s="94"/>
      <c r="G814" s="94"/>
      <c r="I814" s="94"/>
      <c r="K814" s="94"/>
      <c r="M814" s="94"/>
    </row>
    <row r="815" s="93" customFormat="1" spans="3:13">
      <c r="C815" s="94"/>
      <c r="E815" s="94"/>
      <c r="G815" s="94"/>
      <c r="I815" s="94"/>
      <c r="K815" s="94"/>
      <c r="M815" s="94"/>
    </row>
    <row r="816" s="93" customFormat="1" spans="3:13">
      <c r="C816" s="94"/>
      <c r="E816" s="94"/>
      <c r="G816" s="94"/>
      <c r="I816" s="94"/>
      <c r="K816" s="94"/>
      <c r="M816" s="94"/>
    </row>
    <row r="817" s="93" customFormat="1" spans="3:13">
      <c r="C817" s="94"/>
      <c r="E817" s="94"/>
      <c r="G817" s="94"/>
      <c r="I817" s="94"/>
      <c r="K817" s="94"/>
      <c r="M817" s="94"/>
    </row>
    <row r="818" s="93" customFormat="1" spans="3:13">
      <c r="C818" s="94"/>
      <c r="E818" s="94"/>
      <c r="G818" s="94"/>
      <c r="I818" s="94"/>
      <c r="K818" s="94"/>
      <c r="M818" s="94"/>
    </row>
    <row r="819" s="93" customFormat="1" spans="3:13">
      <c r="C819" s="94"/>
      <c r="E819" s="94"/>
      <c r="G819" s="94"/>
      <c r="I819" s="94"/>
      <c r="K819" s="94"/>
      <c r="M819" s="94"/>
    </row>
    <row r="820" s="93" customFormat="1" spans="3:13">
      <c r="C820" s="94"/>
      <c r="E820" s="94"/>
      <c r="G820" s="94"/>
      <c r="I820" s="94"/>
      <c r="K820" s="94"/>
      <c r="M820" s="94"/>
    </row>
    <row r="821" s="93" customFormat="1" spans="3:13">
      <c r="C821" s="94"/>
      <c r="E821" s="94"/>
      <c r="G821" s="94"/>
      <c r="I821" s="94"/>
      <c r="K821" s="94"/>
      <c r="M821" s="94"/>
    </row>
    <row r="822" s="93" customFormat="1" spans="3:13">
      <c r="C822" s="94"/>
      <c r="E822" s="94"/>
      <c r="G822" s="94"/>
      <c r="I822" s="94"/>
      <c r="K822" s="94"/>
      <c r="M822" s="94"/>
    </row>
    <row r="823" s="93" customFormat="1" spans="3:13">
      <c r="C823" s="94"/>
      <c r="E823" s="94"/>
      <c r="G823" s="94"/>
      <c r="I823" s="94"/>
      <c r="K823" s="94"/>
      <c r="M823" s="94"/>
    </row>
    <row r="824" s="93" customFormat="1" spans="3:13">
      <c r="C824" s="94"/>
      <c r="E824" s="94"/>
      <c r="G824" s="94"/>
      <c r="I824" s="94"/>
      <c r="K824" s="94"/>
      <c r="M824" s="94"/>
    </row>
    <row r="825" s="93" customFormat="1" spans="3:13">
      <c r="C825" s="94"/>
      <c r="E825" s="94"/>
      <c r="G825" s="94"/>
      <c r="I825" s="94"/>
      <c r="K825" s="94"/>
      <c r="M825" s="94"/>
    </row>
    <row r="826" s="93" customFormat="1" spans="3:13">
      <c r="C826" s="94"/>
      <c r="E826" s="94"/>
      <c r="G826" s="94"/>
      <c r="I826" s="94"/>
      <c r="K826" s="94"/>
      <c r="M826" s="94"/>
    </row>
    <row r="827" s="93" customFormat="1" spans="3:13">
      <c r="C827" s="94"/>
      <c r="E827" s="94"/>
      <c r="G827" s="94"/>
      <c r="I827" s="94"/>
      <c r="K827" s="94"/>
      <c r="M827" s="94"/>
    </row>
    <row r="828" s="93" customFormat="1" spans="3:13">
      <c r="C828" s="94"/>
      <c r="E828" s="94"/>
      <c r="G828" s="94"/>
      <c r="I828" s="94"/>
      <c r="K828" s="94"/>
      <c r="M828" s="94"/>
    </row>
    <row r="829" s="93" customFormat="1" spans="3:13">
      <c r="C829" s="94"/>
      <c r="E829" s="94"/>
      <c r="G829" s="94"/>
      <c r="I829" s="94"/>
      <c r="K829" s="94"/>
      <c r="M829" s="94"/>
    </row>
    <row r="830" s="93" customFormat="1" spans="3:13">
      <c r="C830" s="94"/>
      <c r="E830" s="94"/>
      <c r="G830" s="94"/>
      <c r="I830" s="94"/>
      <c r="K830" s="94"/>
      <c r="M830" s="94"/>
    </row>
    <row r="831" s="93" customFormat="1" spans="3:13">
      <c r="C831" s="94"/>
      <c r="E831" s="94"/>
      <c r="G831" s="94"/>
      <c r="I831" s="94"/>
      <c r="K831" s="94"/>
      <c r="M831" s="94"/>
    </row>
    <row r="832" s="93" customFormat="1" spans="3:13">
      <c r="C832" s="94"/>
      <c r="E832" s="94"/>
      <c r="G832" s="94"/>
      <c r="I832" s="94"/>
      <c r="K832" s="94"/>
      <c r="M832" s="94"/>
    </row>
    <row r="833" s="93" customFormat="1" spans="3:13">
      <c r="C833" s="94"/>
      <c r="E833" s="94"/>
      <c r="G833" s="94"/>
      <c r="I833" s="94"/>
      <c r="K833" s="94"/>
      <c r="M833" s="94"/>
    </row>
    <row r="834" s="93" customFormat="1" spans="3:13">
      <c r="C834" s="94"/>
      <c r="E834" s="94"/>
      <c r="G834" s="94"/>
      <c r="I834" s="94"/>
      <c r="K834" s="94"/>
      <c r="M834" s="94"/>
    </row>
    <row r="835" s="93" customFormat="1" spans="3:13">
      <c r="C835" s="94"/>
      <c r="E835" s="94"/>
      <c r="G835" s="94"/>
      <c r="I835" s="94"/>
      <c r="K835" s="94"/>
      <c r="M835" s="94"/>
    </row>
    <row r="836" s="93" customFormat="1" spans="3:13">
      <c r="C836" s="94"/>
      <c r="E836" s="94"/>
      <c r="G836" s="94"/>
      <c r="I836" s="94"/>
      <c r="K836" s="94"/>
      <c r="M836" s="94"/>
    </row>
    <row r="837" s="93" customFormat="1" spans="3:13">
      <c r="C837" s="94"/>
      <c r="E837" s="94"/>
      <c r="G837" s="94"/>
      <c r="I837" s="94"/>
      <c r="K837" s="94"/>
      <c r="M837" s="94"/>
    </row>
    <row r="838" s="93" customFormat="1" spans="3:13">
      <c r="C838" s="94"/>
      <c r="E838" s="94"/>
      <c r="G838" s="94"/>
      <c r="I838" s="94"/>
      <c r="K838" s="94"/>
      <c r="M838" s="94"/>
    </row>
    <row r="839" s="93" customFormat="1" spans="3:13">
      <c r="C839" s="94"/>
      <c r="E839" s="94"/>
      <c r="G839" s="94"/>
      <c r="I839" s="94"/>
      <c r="K839" s="94"/>
      <c r="M839" s="94"/>
    </row>
    <row r="840" s="93" customFormat="1" spans="3:13">
      <c r="C840" s="94"/>
      <c r="E840" s="94"/>
      <c r="G840" s="94"/>
      <c r="I840" s="94"/>
      <c r="K840" s="94"/>
      <c r="M840" s="94"/>
    </row>
    <row r="841" s="93" customFormat="1" spans="3:13">
      <c r="C841" s="94"/>
      <c r="E841" s="94"/>
      <c r="G841" s="94"/>
      <c r="I841" s="94"/>
      <c r="K841" s="94"/>
      <c r="M841" s="94"/>
    </row>
    <row r="842" s="93" customFormat="1" spans="3:13">
      <c r="C842" s="94"/>
      <c r="E842" s="94"/>
      <c r="G842" s="94"/>
      <c r="I842" s="94"/>
      <c r="K842" s="94"/>
      <c r="M842" s="94"/>
    </row>
    <row r="843" s="93" customFormat="1" spans="3:13">
      <c r="C843" s="94"/>
      <c r="E843" s="94"/>
      <c r="G843" s="94"/>
      <c r="I843" s="94"/>
      <c r="K843" s="94"/>
      <c r="M843" s="94"/>
    </row>
    <row r="844" s="93" customFormat="1" spans="3:13">
      <c r="C844" s="94"/>
      <c r="E844" s="94"/>
      <c r="G844" s="94"/>
      <c r="I844" s="94"/>
      <c r="K844" s="94"/>
      <c r="M844" s="94"/>
    </row>
    <row r="845" s="93" customFormat="1" spans="3:13">
      <c r="C845" s="94"/>
      <c r="E845" s="94"/>
      <c r="G845" s="94"/>
      <c r="I845" s="94"/>
      <c r="K845" s="94"/>
      <c r="M845" s="94"/>
    </row>
    <row r="846" s="93" customFormat="1" spans="3:13">
      <c r="C846" s="94"/>
      <c r="E846" s="94"/>
      <c r="G846" s="94"/>
      <c r="I846" s="94"/>
      <c r="K846" s="94"/>
      <c r="M846" s="94"/>
    </row>
    <row r="847" s="93" customFormat="1" spans="3:13">
      <c r="C847" s="94"/>
      <c r="E847" s="94"/>
      <c r="G847" s="94"/>
      <c r="I847" s="94"/>
      <c r="K847" s="94"/>
      <c r="M847" s="94"/>
    </row>
    <row r="848" s="93" customFormat="1" spans="3:13">
      <c r="C848" s="94"/>
      <c r="E848" s="94"/>
      <c r="G848" s="94"/>
      <c r="I848" s="94"/>
      <c r="K848" s="94"/>
      <c r="M848" s="94"/>
    </row>
    <row r="849" s="93" customFormat="1" spans="3:13">
      <c r="C849" s="94"/>
      <c r="E849" s="94"/>
      <c r="G849" s="94"/>
      <c r="I849" s="94"/>
      <c r="K849" s="94"/>
      <c r="M849" s="94"/>
    </row>
    <row r="850" s="93" customFormat="1" spans="3:13">
      <c r="C850" s="94"/>
      <c r="E850" s="94"/>
      <c r="G850" s="94"/>
      <c r="I850" s="94"/>
      <c r="K850" s="94"/>
      <c r="M850" s="94"/>
    </row>
    <row r="851" s="93" customFormat="1" spans="3:13">
      <c r="C851" s="94"/>
      <c r="E851" s="94"/>
      <c r="G851" s="94"/>
      <c r="I851" s="94"/>
      <c r="K851" s="94"/>
      <c r="M851" s="94"/>
    </row>
    <row r="852" s="93" customFormat="1" spans="3:13">
      <c r="C852" s="94"/>
      <c r="E852" s="94"/>
      <c r="G852" s="94"/>
      <c r="I852" s="94"/>
      <c r="K852" s="94"/>
      <c r="M852" s="94"/>
    </row>
    <row r="853" s="93" customFormat="1" spans="3:13">
      <c r="C853" s="94"/>
      <c r="E853" s="94"/>
      <c r="G853" s="94"/>
      <c r="I853" s="94"/>
      <c r="K853" s="94"/>
      <c r="M853" s="94"/>
    </row>
    <row r="854" s="93" customFormat="1" spans="3:13">
      <c r="C854" s="94"/>
      <c r="E854" s="94"/>
      <c r="G854" s="94"/>
      <c r="I854" s="94"/>
      <c r="K854" s="94"/>
      <c r="M854" s="94"/>
    </row>
    <row r="855" s="93" customFormat="1" spans="3:13">
      <c r="C855" s="94"/>
      <c r="E855" s="94"/>
      <c r="G855" s="94"/>
      <c r="I855" s="94"/>
      <c r="K855" s="94"/>
      <c r="M855" s="94"/>
    </row>
    <row r="856" s="93" customFormat="1" spans="3:13">
      <c r="C856" s="94"/>
      <c r="E856" s="94"/>
      <c r="G856" s="94"/>
      <c r="I856" s="94"/>
      <c r="K856" s="94"/>
      <c r="M856" s="94"/>
    </row>
    <row r="857" s="93" customFormat="1" spans="3:13">
      <c r="C857" s="94"/>
      <c r="E857" s="94"/>
      <c r="G857" s="94"/>
      <c r="I857" s="94"/>
      <c r="K857" s="94"/>
      <c r="M857" s="94"/>
    </row>
    <row r="858" s="93" customFormat="1" spans="3:13">
      <c r="C858" s="94"/>
      <c r="E858" s="94"/>
      <c r="G858" s="94"/>
      <c r="I858" s="94"/>
      <c r="K858" s="94"/>
      <c r="M858" s="94"/>
    </row>
    <row r="859" s="93" customFormat="1" spans="3:13">
      <c r="C859" s="94"/>
      <c r="E859" s="94"/>
      <c r="G859" s="94"/>
      <c r="I859" s="94"/>
      <c r="K859" s="94"/>
      <c r="M859" s="94"/>
    </row>
    <row r="860" s="93" customFormat="1" spans="3:13">
      <c r="C860" s="94"/>
      <c r="E860" s="94"/>
      <c r="G860" s="94"/>
      <c r="I860" s="94"/>
      <c r="K860" s="94"/>
      <c r="M860" s="94"/>
    </row>
    <row r="861" s="93" customFormat="1" spans="3:13">
      <c r="C861" s="94"/>
      <c r="E861" s="94"/>
      <c r="G861" s="94"/>
      <c r="I861" s="94"/>
      <c r="K861" s="94"/>
      <c r="M861" s="94"/>
    </row>
    <row r="862" s="93" customFormat="1" spans="3:13">
      <c r="C862" s="94"/>
      <c r="E862" s="94"/>
      <c r="G862" s="94"/>
      <c r="I862" s="94"/>
      <c r="K862" s="94"/>
      <c r="M862" s="94"/>
    </row>
    <row r="863" s="93" customFormat="1" spans="3:13">
      <c r="C863" s="94"/>
      <c r="E863" s="94"/>
      <c r="G863" s="94"/>
      <c r="I863" s="94"/>
      <c r="K863" s="94"/>
      <c r="M863" s="94"/>
    </row>
    <row r="864" s="93" customFormat="1" spans="3:13">
      <c r="C864" s="94"/>
      <c r="E864" s="94"/>
      <c r="G864" s="94"/>
      <c r="I864" s="94"/>
      <c r="K864" s="94"/>
      <c r="M864" s="94"/>
    </row>
    <row r="865" s="93" customFormat="1" spans="3:13">
      <c r="C865" s="94"/>
      <c r="E865" s="94"/>
      <c r="G865" s="94"/>
      <c r="I865" s="94"/>
      <c r="K865" s="94"/>
      <c r="M865" s="94"/>
    </row>
    <row r="866" s="93" customFormat="1" spans="3:13">
      <c r="C866" s="94"/>
      <c r="E866" s="94"/>
      <c r="G866" s="94"/>
      <c r="I866" s="94"/>
      <c r="K866" s="94"/>
      <c r="M866" s="94"/>
    </row>
    <row r="867" s="93" customFormat="1" spans="3:13">
      <c r="C867" s="94"/>
      <c r="E867" s="94"/>
      <c r="G867" s="94"/>
      <c r="I867" s="94"/>
      <c r="K867" s="94"/>
      <c r="M867" s="94"/>
    </row>
    <row r="868" s="93" customFormat="1" spans="3:13">
      <c r="C868" s="94"/>
      <c r="E868" s="94"/>
      <c r="G868" s="94"/>
      <c r="I868" s="94"/>
      <c r="K868" s="94"/>
      <c r="M868" s="94"/>
    </row>
    <row r="869" s="93" customFormat="1" spans="3:13">
      <c r="C869" s="94"/>
      <c r="E869" s="94"/>
      <c r="G869" s="94"/>
      <c r="I869" s="94"/>
      <c r="K869" s="94"/>
      <c r="M869" s="94"/>
    </row>
    <row r="870" s="93" customFormat="1" spans="3:13">
      <c r="C870" s="94"/>
      <c r="E870" s="94"/>
      <c r="G870" s="94"/>
      <c r="I870" s="94"/>
      <c r="K870" s="94"/>
      <c r="M870" s="94"/>
    </row>
    <row r="871" s="93" customFormat="1" spans="3:13">
      <c r="C871" s="94"/>
      <c r="E871" s="94"/>
      <c r="G871" s="94"/>
      <c r="I871" s="94"/>
      <c r="K871" s="94"/>
      <c r="M871" s="94"/>
    </row>
    <row r="872" s="93" customFormat="1" spans="3:13">
      <c r="C872" s="94"/>
      <c r="E872" s="94"/>
      <c r="G872" s="94"/>
      <c r="I872" s="94"/>
      <c r="K872" s="94"/>
      <c r="M872" s="94"/>
    </row>
    <row r="873" s="93" customFormat="1" spans="3:13">
      <c r="C873" s="94"/>
      <c r="E873" s="94"/>
      <c r="G873" s="94"/>
      <c r="I873" s="94"/>
      <c r="K873" s="94"/>
      <c r="M873" s="94"/>
    </row>
    <row r="874" s="93" customFormat="1" spans="3:13">
      <c r="C874" s="94"/>
      <c r="E874" s="94"/>
      <c r="G874" s="94"/>
      <c r="I874" s="94"/>
      <c r="K874" s="94"/>
      <c r="M874" s="94"/>
    </row>
    <row r="875" s="93" customFormat="1" spans="3:13">
      <c r="C875" s="94"/>
      <c r="E875" s="94"/>
      <c r="G875" s="94"/>
      <c r="I875" s="94"/>
      <c r="K875" s="94"/>
      <c r="M875" s="94"/>
    </row>
    <row r="876" s="93" customFormat="1" spans="3:13">
      <c r="C876" s="94"/>
      <c r="E876" s="94"/>
      <c r="G876" s="94"/>
      <c r="I876" s="94"/>
      <c r="K876" s="94"/>
      <c r="M876" s="94"/>
    </row>
    <row r="877" s="93" customFormat="1" spans="3:13">
      <c r="C877" s="94"/>
      <c r="E877" s="94"/>
      <c r="G877" s="94"/>
      <c r="I877" s="94"/>
      <c r="K877" s="94"/>
      <c r="M877" s="94"/>
    </row>
    <row r="878" s="93" customFormat="1" spans="3:13">
      <c r="C878" s="94"/>
      <c r="E878" s="94"/>
      <c r="G878" s="94"/>
      <c r="I878" s="94"/>
      <c r="K878" s="94"/>
      <c r="M878" s="94"/>
    </row>
    <row r="879" s="93" customFormat="1" spans="3:13">
      <c r="C879" s="94"/>
      <c r="E879" s="94"/>
      <c r="G879" s="94"/>
      <c r="I879" s="94"/>
      <c r="K879" s="94"/>
      <c r="M879" s="94"/>
    </row>
    <row r="880" s="93" customFormat="1" spans="3:13">
      <c r="C880" s="94"/>
      <c r="E880" s="94"/>
      <c r="G880" s="94"/>
      <c r="I880" s="94"/>
      <c r="K880" s="94"/>
      <c r="M880" s="94"/>
    </row>
    <row r="881" s="93" customFormat="1" spans="3:13">
      <c r="C881" s="94"/>
      <c r="E881" s="94"/>
      <c r="G881" s="94"/>
      <c r="I881" s="94"/>
      <c r="K881" s="94"/>
      <c r="M881" s="94"/>
    </row>
    <row r="882" s="93" customFormat="1" spans="3:13">
      <c r="C882" s="94"/>
      <c r="E882" s="94"/>
      <c r="G882" s="94"/>
      <c r="I882" s="94"/>
      <c r="K882" s="94"/>
      <c r="M882" s="94"/>
    </row>
    <row r="883" s="93" customFormat="1" spans="3:13">
      <c r="C883" s="94"/>
      <c r="E883" s="94"/>
      <c r="G883" s="94"/>
      <c r="I883" s="94"/>
      <c r="K883" s="94"/>
      <c r="M883" s="94"/>
    </row>
    <row r="884" s="93" customFormat="1" spans="3:13">
      <c r="C884" s="94"/>
      <c r="E884" s="94"/>
      <c r="G884" s="94"/>
      <c r="I884" s="94"/>
      <c r="K884" s="94"/>
      <c r="M884" s="94"/>
    </row>
    <row r="885" s="93" customFormat="1" spans="3:13">
      <c r="C885" s="94"/>
      <c r="E885" s="94"/>
      <c r="G885" s="94"/>
      <c r="I885" s="94"/>
      <c r="K885" s="94"/>
      <c r="M885" s="94"/>
    </row>
    <row r="886" s="93" customFormat="1" spans="3:13">
      <c r="C886" s="94"/>
      <c r="E886" s="94"/>
      <c r="G886" s="94"/>
      <c r="I886" s="94"/>
      <c r="K886" s="94"/>
      <c r="M886" s="94"/>
    </row>
    <row r="887" s="93" customFormat="1" spans="3:13">
      <c r="C887" s="94"/>
      <c r="E887" s="94"/>
      <c r="G887" s="94"/>
      <c r="I887" s="94"/>
      <c r="K887" s="94"/>
      <c r="M887" s="94"/>
    </row>
    <row r="888" s="93" customFormat="1" spans="3:13">
      <c r="C888" s="94"/>
      <c r="E888" s="94"/>
      <c r="G888" s="94"/>
      <c r="I888" s="94"/>
      <c r="K888" s="94"/>
      <c r="M888" s="94"/>
    </row>
    <row r="889" s="93" customFormat="1" spans="3:13">
      <c r="C889" s="94"/>
      <c r="E889" s="94"/>
      <c r="G889" s="94"/>
      <c r="I889" s="94"/>
      <c r="K889" s="94"/>
      <c r="M889" s="94"/>
    </row>
    <row r="890" s="93" customFormat="1" spans="3:13">
      <c r="C890" s="94"/>
      <c r="E890" s="94"/>
      <c r="G890" s="94"/>
      <c r="I890" s="94"/>
      <c r="K890" s="94"/>
      <c r="M890" s="94"/>
    </row>
    <row r="891" s="93" customFormat="1" spans="3:13">
      <c r="C891" s="94"/>
      <c r="E891" s="94"/>
      <c r="G891" s="94"/>
      <c r="I891" s="94"/>
      <c r="K891" s="94"/>
      <c r="M891" s="94"/>
    </row>
    <row r="892" s="93" customFormat="1" spans="3:13">
      <c r="C892" s="94"/>
      <c r="E892" s="94"/>
      <c r="G892" s="94"/>
      <c r="I892" s="94"/>
      <c r="K892" s="94"/>
      <c r="M892" s="94"/>
    </row>
    <row r="893" s="93" customFormat="1" spans="3:13">
      <c r="C893" s="94"/>
      <c r="E893" s="94"/>
      <c r="G893" s="94"/>
      <c r="I893" s="94"/>
      <c r="K893" s="94"/>
      <c r="M893" s="94"/>
    </row>
    <row r="894" s="93" customFormat="1" spans="3:13">
      <c r="C894" s="94"/>
      <c r="E894" s="94"/>
      <c r="G894" s="94"/>
      <c r="I894" s="94"/>
      <c r="K894" s="94"/>
      <c r="M894" s="94"/>
    </row>
    <row r="895" s="93" customFormat="1" spans="3:13">
      <c r="C895" s="94"/>
      <c r="E895" s="94"/>
      <c r="G895" s="94"/>
      <c r="I895" s="94"/>
      <c r="K895" s="94"/>
      <c r="M895" s="94"/>
    </row>
    <row r="896" s="93" customFormat="1" spans="3:13">
      <c r="C896" s="94"/>
      <c r="E896" s="94"/>
      <c r="G896" s="94"/>
      <c r="I896" s="94"/>
      <c r="K896" s="94"/>
      <c r="M896" s="94"/>
    </row>
    <row r="897" s="93" customFormat="1" spans="3:13">
      <c r="C897" s="94"/>
      <c r="E897" s="94"/>
      <c r="G897" s="94"/>
      <c r="I897" s="94"/>
      <c r="K897" s="94"/>
      <c r="M897" s="94"/>
    </row>
    <row r="898" s="93" customFormat="1" spans="3:13">
      <c r="C898" s="94"/>
      <c r="E898" s="94"/>
      <c r="G898" s="94"/>
      <c r="I898" s="94"/>
      <c r="K898" s="94"/>
      <c r="M898" s="94"/>
    </row>
    <row r="899" s="93" customFormat="1" spans="3:13">
      <c r="C899" s="94"/>
      <c r="E899" s="94"/>
      <c r="G899" s="94"/>
      <c r="I899" s="94"/>
      <c r="K899" s="94"/>
      <c r="M899" s="94"/>
    </row>
    <row r="900" s="93" customFormat="1" spans="3:13">
      <c r="C900" s="94"/>
      <c r="E900" s="94"/>
      <c r="G900" s="94"/>
      <c r="I900" s="94"/>
      <c r="K900" s="94"/>
      <c r="M900" s="94"/>
    </row>
    <row r="901" s="93" customFormat="1" spans="3:13">
      <c r="C901" s="94"/>
      <c r="E901" s="94"/>
      <c r="G901" s="94"/>
      <c r="I901" s="94"/>
      <c r="K901" s="94"/>
      <c r="M901" s="94"/>
    </row>
    <row r="902" s="93" customFormat="1" spans="3:13">
      <c r="C902" s="94"/>
      <c r="E902" s="94"/>
      <c r="G902" s="94"/>
      <c r="I902" s="94"/>
      <c r="K902" s="94"/>
      <c r="M902" s="94"/>
    </row>
    <row r="903" s="93" customFormat="1" spans="3:13">
      <c r="C903" s="94"/>
      <c r="E903" s="94"/>
      <c r="G903" s="94"/>
      <c r="I903" s="94"/>
      <c r="K903" s="94"/>
      <c r="M903" s="94"/>
    </row>
    <row r="904" s="93" customFormat="1" spans="3:13">
      <c r="C904" s="94"/>
      <c r="E904" s="94"/>
      <c r="G904" s="94"/>
      <c r="I904" s="94"/>
      <c r="K904" s="94"/>
      <c r="M904" s="94"/>
    </row>
    <row r="905" s="93" customFormat="1" spans="3:13">
      <c r="C905" s="94"/>
      <c r="E905" s="94"/>
      <c r="G905" s="94"/>
      <c r="I905" s="94"/>
      <c r="K905" s="94"/>
      <c r="M905" s="94"/>
    </row>
    <row r="906" s="93" customFormat="1" spans="3:13">
      <c r="C906" s="94"/>
      <c r="E906" s="94"/>
      <c r="G906" s="94"/>
      <c r="I906" s="94"/>
      <c r="K906" s="94"/>
      <c r="M906" s="94"/>
    </row>
    <row r="907" s="93" customFormat="1" spans="3:13">
      <c r="C907" s="94"/>
      <c r="E907" s="94"/>
      <c r="G907" s="94"/>
      <c r="I907" s="94"/>
      <c r="K907" s="94"/>
      <c r="M907" s="94"/>
    </row>
    <row r="908" s="93" customFormat="1" spans="3:13">
      <c r="C908" s="94"/>
      <c r="E908" s="94"/>
      <c r="G908" s="94"/>
      <c r="I908" s="94"/>
      <c r="K908" s="94"/>
      <c r="M908" s="94"/>
    </row>
    <row r="909" s="93" customFormat="1" spans="3:13">
      <c r="C909" s="94"/>
      <c r="E909" s="94"/>
      <c r="G909" s="94"/>
      <c r="I909" s="94"/>
      <c r="K909" s="94"/>
      <c r="M909" s="94"/>
    </row>
    <row r="910" s="93" customFormat="1" spans="3:13">
      <c r="C910" s="94"/>
      <c r="E910" s="94"/>
      <c r="G910" s="94"/>
      <c r="I910" s="94"/>
      <c r="K910" s="94"/>
      <c r="M910" s="94"/>
    </row>
    <row r="911" s="93" customFormat="1" spans="3:13">
      <c r="C911" s="94"/>
      <c r="E911" s="94"/>
      <c r="G911" s="94"/>
      <c r="I911" s="94"/>
      <c r="K911" s="94"/>
      <c r="M911" s="94"/>
    </row>
    <row r="912" s="93" customFormat="1" spans="3:13">
      <c r="C912" s="94"/>
      <c r="E912" s="94"/>
      <c r="G912" s="94"/>
      <c r="I912" s="94"/>
      <c r="K912" s="94"/>
      <c r="M912" s="94"/>
    </row>
    <row r="913" s="93" customFormat="1" spans="3:13">
      <c r="C913" s="94"/>
      <c r="E913" s="94"/>
      <c r="G913" s="94"/>
      <c r="I913" s="94"/>
      <c r="K913" s="94"/>
      <c r="M913" s="94"/>
    </row>
    <row r="914" s="93" customFormat="1" spans="3:13">
      <c r="C914" s="94"/>
      <c r="E914" s="94"/>
      <c r="G914" s="94"/>
      <c r="I914" s="94"/>
      <c r="K914" s="94"/>
      <c r="M914" s="94"/>
    </row>
    <row r="915" s="93" customFormat="1" spans="3:13">
      <c r="C915" s="94"/>
      <c r="E915" s="94"/>
      <c r="G915" s="94"/>
      <c r="I915" s="94"/>
      <c r="K915" s="94"/>
      <c r="M915" s="94"/>
    </row>
    <row r="916" s="93" customFormat="1" spans="3:13">
      <c r="C916" s="94"/>
      <c r="E916" s="94"/>
      <c r="G916" s="94"/>
      <c r="I916" s="94"/>
      <c r="K916" s="94"/>
      <c r="M916" s="94"/>
    </row>
    <row r="917" s="93" customFormat="1" spans="3:13">
      <c r="C917" s="94"/>
      <c r="E917" s="94"/>
      <c r="G917" s="94"/>
      <c r="I917" s="94"/>
      <c r="K917" s="94"/>
      <c r="M917" s="94"/>
    </row>
    <row r="918" s="93" customFormat="1" spans="3:13">
      <c r="C918" s="94"/>
      <c r="E918" s="94"/>
      <c r="G918" s="94"/>
      <c r="I918" s="94"/>
      <c r="K918" s="94"/>
      <c r="M918" s="94"/>
    </row>
    <row r="919" s="93" customFormat="1" spans="3:13">
      <c r="C919" s="94"/>
      <c r="E919" s="94"/>
      <c r="G919" s="94"/>
      <c r="I919" s="94"/>
      <c r="K919" s="94"/>
      <c r="M919" s="94"/>
    </row>
    <row r="920" s="93" customFormat="1" spans="3:13">
      <c r="C920" s="94"/>
      <c r="E920" s="94"/>
      <c r="G920" s="94"/>
      <c r="I920" s="94"/>
      <c r="K920" s="94"/>
      <c r="M920" s="94"/>
    </row>
    <row r="921" s="93" customFormat="1" spans="3:13">
      <c r="C921" s="94"/>
      <c r="E921" s="94"/>
      <c r="G921" s="94"/>
      <c r="I921" s="94"/>
      <c r="K921" s="94"/>
      <c r="M921" s="94"/>
    </row>
    <row r="922" s="93" customFormat="1" spans="3:13">
      <c r="C922" s="94"/>
      <c r="E922" s="94"/>
      <c r="G922" s="94"/>
      <c r="I922" s="94"/>
      <c r="K922" s="94"/>
      <c r="M922" s="94"/>
    </row>
    <row r="923" s="93" customFormat="1" spans="3:13">
      <c r="C923" s="94"/>
      <c r="E923" s="94"/>
      <c r="G923" s="94"/>
      <c r="I923" s="94"/>
      <c r="K923" s="94"/>
      <c r="M923" s="94"/>
    </row>
    <row r="924" s="93" customFormat="1" spans="3:13">
      <c r="C924" s="94"/>
      <c r="E924" s="94"/>
      <c r="G924" s="94"/>
      <c r="I924" s="94"/>
      <c r="K924" s="94"/>
      <c r="M924" s="94"/>
    </row>
    <row r="925" s="93" customFormat="1" spans="3:13">
      <c r="C925" s="94"/>
      <c r="E925" s="94"/>
      <c r="G925" s="94"/>
      <c r="I925" s="94"/>
      <c r="K925" s="94"/>
      <c r="M925" s="94"/>
    </row>
    <row r="926" s="93" customFormat="1" spans="3:13">
      <c r="C926" s="94"/>
      <c r="E926" s="94"/>
      <c r="G926" s="94"/>
      <c r="I926" s="94"/>
      <c r="K926" s="94"/>
      <c r="M926" s="94"/>
    </row>
    <row r="927" s="93" customFormat="1" spans="3:13">
      <c r="C927" s="94"/>
      <c r="E927" s="94"/>
      <c r="G927" s="94"/>
      <c r="I927" s="94"/>
      <c r="K927" s="94"/>
      <c r="M927" s="94"/>
    </row>
    <row r="928" s="93" customFormat="1" spans="3:13">
      <c r="C928" s="94"/>
      <c r="E928" s="94"/>
      <c r="G928" s="94"/>
      <c r="I928" s="94"/>
      <c r="K928" s="94"/>
      <c r="M928" s="94"/>
    </row>
    <row r="929" s="93" customFormat="1" spans="3:13">
      <c r="C929" s="94"/>
      <c r="E929" s="94"/>
      <c r="G929" s="94"/>
      <c r="I929" s="94"/>
      <c r="K929" s="94"/>
      <c r="M929" s="94"/>
    </row>
    <row r="930" s="93" customFormat="1" spans="3:13">
      <c r="C930" s="94"/>
      <c r="E930" s="94"/>
      <c r="G930" s="94"/>
      <c r="I930" s="94"/>
      <c r="K930" s="94"/>
      <c r="M930" s="94"/>
    </row>
    <row r="931" s="93" customFormat="1" spans="3:13">
      <c r="C931" s="94"/>
      <c r="E931" s="94"/>
      <c r="G931" s="94"/>
      <c r="I931" s="94"/>
      <c r="K931" s="94"/>
      <c r="M931" s="94"/>
    </row>
    <row r="932" s="93" customFormat="1" spans="3:13">
      <c r="C932" s="94"/>
      <c r="E932" s="94"/>
      <c r="G932" s="94"/>
      <c r="I932" s="94"/>
      <c r="K932" s="94"/>
      <c r="M932" s="94"/>
    </row>
    <row r="933" s="93" customFormat="1" spans="3:13">
      <c r="C933" s="94"/>
      <c r="E933" s="94"/>
      <c r="G933" s="94"/>
      <c r="I933" s="94"/>
      <c r="K933" s="94"/>
      <c r="M933" s="94"/>
    </row>
    <row r="934" s="93" customFormat="1" spans="3:13">
      <c r="C934" s="94"/>
      <c r="E934" s="94"/>
      <c r="G934" s="94"/>
      <c r="I934" s="94"/>
      <c r="K934" s="94"/>
      <c r="M934" s="94"/>
    </row>
    <row r="935" s="93" customFormat="1" spans="3:13">
      <c r="C935" s="94"/>
      <c r="E935" s="94"/>
      <c r="G935" s="94"/>
      <c r="I935" s="94"/>
      <c r="K935" s="94"/>
      <c r="M935" s="94"/>
    </row>
    <row r="936" s="93" customFormat="1" spans="3:13">
      <c r="C936" s="94"/>
      <c r="E936" s="94"/>
      <c r="G936" s="94"/>
      <c r="I936" s="94"/>
      <c r="K936" s="94"/>
      <c r="M936" s="94"/>
    </row>
    <row r="937" s="93" customFormat="1" spans="3:13">
      <c r="C937" s="94"/>
      <c r="E937" s="94"/>
      <c r="G937" s="94"/>
      <c r="I937" s="94"/>
      <c r="K937" s="94"/>
      <c r="M937" s="94"/>
    </row>
    <row r="938" s="93" customFormat="1" spans="3:13">
      <c r="C938" s="94"/>
      <c r="E938" s="94"/>
      <c r="G938" s="94"/>
      <c r="I938" s="94"/>
      <c r="K938" s="94"/>
      <c r="M938" s="94"/>
    </row>
    <row r="939" s="93" customFormat="1" spans="3:13">
      <c r="C939" s="94"/>
      <c r="E939" s="94"/>
      <c r="G939" s="94"/>
      <c r="I939" s="94"/>
      <c r="K939" s="94"/>
      <c r="M939" s="94"/>
    </row>
    <row r="940" s="93" customFormat="1" spans="3:13">
      <c r="C940" s="94"/>
      <c r="E940" s="94"/>
      <c r="G940" s="94"/>
      <c r="I940" s="94"/>
      <c r="K940" s="94"/>
      <c r="M940" s="94"/>
    </row>
    <row r="941" s="93" customFormat="1" spans="3:13">
      <c r="C941" s="94"/>
      <c r="E941" s="94"/>
      <c r="G941" s="94"/>
      <c r="I941" s="94"/>
      <c r="K941" s="94"/>
      <c r="M941" s="94"/>
    </row>
    <row r="942" s="93" customFormat="1" spans="3:13">
      <c r="C942" s="94"/>
      <c r="E942" s="94"/>
      <c r="G942" s="94"/>
      <c r="I942" s="94"/>
      <c r="K942" s="94"/>
      <c r="M942" s="94"/>
    </row>
    <row r="943" s="93" customFormat="1" spans="3:13">
      <c r="C943" s="94"/>
      <c r="E943" s="94"/>
      <c r="G943" s="94"/>
      <c r="I943" s="94"/>
      <c r="K943" s="94"/>
      <c r="M943" s="94"/>
    </row>
    <row r="944" s="93" customFormat="1" spans="3:13">
      <c r="C944" s="94"/>
      <c r="E944" s="94"/>
      <c r="G944" s="94"/>
      <c r="I944" s="94"/>
      <c r="K944" s="94"/>
      <c r="M944" s="94"/>
    </row>
    <row r="945" s="93" customFormat="1" spans="3:13">
      <c r="C945" s="94"/>
      <c r="E945" s="94"/>
      <c r="G945" s="94"/>
      <c r="I945" s="94"/>
      <c r="K945" s="94"/>
      <c r="M945" s="94"/>
    </row>
    <row r="946" s="93" customFormat="1" spans="3:13">
      <c r="C946" s="94"/>
      <c r="E946" s="94"/>
      <c r="G946" s="94"/>
      <c r="I946" s="94"/>
      <c r="K946" s="94"/>
      <c r="M946" s="94"/>
    </row>
    <row r="947" s="93" customFormat="1" spans="3:13">
      <c r="C947" s="94"/>
      <c r="E947" s="94"/>
      <c r="G947" s="94"/>
      <c r="I947" s="94"/>
      <c r="K947" s="94"/>
      <c r="M947" s="94"/>
    </row>
    <row r="948" s="93" customFormat="1" spans="3:13">
      <c r="C948" s="94"/>
      <c r="E948" s="94"/>
      <c r="G948" s="94"/>
      <c r="I948" s="94"/>
      <c r="K948" s="94"/>
      <c r="M948" s="94"/>
    </row>
    <row r="949" s="93" customFormat="1" spans="3:13">
      <c r="C949" s="94"/>
      <c r="E949" s="94"/>
      <c r="G949" s="94"/>
      <c r="I949" s="94"/>
      <c r="K949" s="94"/>
      <c r="M949" s="94"/>
    </row>
    <row r="950" s="93" customFormat="1" spans="3:13">
      <c r="C950" s="94"/>
      <c r="E950" s="94"/>
      <c r="G950" s="94"/>
      <c r="I950" s="94"/>
      <c r="K950" s="94"/>
      <c r="M950" s="94"/>
    </row>
    <row r="951" s="93" customFormat="1" spans="3:13">
      <c r="C951" s="94"/>
      <c r="E951" s="94"/>
      <c r="G951" s="94"/>
      <c r="I951" s="94"/>
      <c r="K951" s="94"/>
      <c r="M951" s="94"/>
    </row>
    <row r="952" s="93" customFormat="1" spans="3:13">
      <c r="C952" s="94"/>
      <c r="E952" s="94"/>
      <c r="G952" s="94"/>
      <c r="I952" s="94"/>
      <c r="K952" s="94"/>
      <c r="M952" s="94"/>
    </row>
    <row r="953" s="93" customFormat="1" spans="3:13">
      <c r="C953" s="94"/>
      <c r="E953" s="94"/>
      <c r="G953" s="94"/>
      <c r="I953" s="94"/>
      <c r="K953" s="94"/>
      <c r="M953" s="94"/>
    </row>
    <row r="954" s="93" customFormat="1" spans="3:13">
      <c r="C954" s="94"/>
      <c r="E954" s="94"/>
      <c r="G954" s="94"/>
      <c r="I954" s="94"/>
      <c r="K954" s="94"/>
      <c r="M954" s="94"/>
    </row>
    <row r="955" s="93" customFormat="1" spans="3:13">
      <c r="C955" s="94"/>
      <c r="E955" s="94"/>
      <c r="G955" s="94"/>
      <c r="I955" s="94"/>
      <c r="K955" s="94"/>
      <c r="M955" s="94"/>
    </row>
    <row r="956" s="93" customFormat="1" spans="3:13">
      <c r="C956" s="94"/>
      <c r="E956" s="94"/>
      <c r="G956" s="94"/>
      <c r="I956" s="94"/>
      <c r="K956" s="94"/>
      <c r="M956" s="94"/>
    </row>
    <row r="957" s="93" customFormat="1" spans="3:13">
      <c r="C957" s="94"/>
      <c r="E957" s="94"/>
      <c r="G957" s="94"/>
      <c r="I957" s="94"/>
      <c r="K957" s="94"/>
      <c r="M957" s="94"/>
    </row>
    <row r="958" s="93" customFormat="1" spans="3:13">
      <c r="C958" s="94"/>
      <c r="E958" s="94"/>
      <c r="G958" s="94"/>
      <c r="I958" s="94"/>
      <c r="K958" s="94"/>
      <c r="M958" s="94"/>
    </row>
    <row r="959" s="93" customFormat="1" spans="3:13">
      <c r="C959" s="94"/>
      <c r="E959" s="94"/>
      <c r="G959" s="94"/>
      <c r="I959" s="94"/>
      <c r="K959" s="94"/>
      <c r="M959" s="94"/>
    </row>
    <row r="960" s="93" customFormat="1" spans="3:13">
      <c r="C960" s="94"/>
      <c r="E960" s="94"/>
      <c r="G960" s="94"/>
      <c r="I960" s="94"/>
      <c r="K960" s="94"/>
      <c r="M960" s="94"/>
    </row>
    <row r="961" s="93" customFormat="1" spans="3:13">
      <c r="C961" s="94"/>
      <c r="E961" s="94"/>
      <c r="G961" s="94"/>
      <c r="I961" s="94"/>
      <c r="K961" s="94"/>
      <c r="M961" s="94"/>
    </row>
    <row r="962" s="93" customFormat="1" spans="3:13">
      <c r="C962" s="94"/>
      <c r="E962" s="94"/>
      <c r="G962" s="94"/>
      <c r="I962" s="94"/>
      <c r="K962" s="94"/>
      <c r="M962" s="94"/>
    </row>
    <row r="963" s="93" customFormat="1" spans="3:13">
      <c r="C963" s="94"/>
      <c r="E963" s="94"/>
      <c r="G963" s="94"/>
      <c r="I963" s="94"/>
      <c r="K963" s="94"/>
      <c r="M963" s="94"/>
    </row>
    <row r="964" s="93" customFormat="1" spans="3:13">
      <c r="C964" s="94"/>
      <c r="E964" s="94"/>
      <c r="G964" s="94"/>
      <c r="I964" s="94"/>
      <c r="K964" s="94"/>
      <c r="M964" s="94"/>
    </row>
    <row r="965" s="93" customFormat="1" spans="3:13">
      <c r="C965" s="94"/>
      <c r="E965" s="94"/>
      <c r="G965" s="94"/>
      <c r="I965" s="94"/>
      <c r="K965" s="94"/>
      <c r="M965" s="94"/>
    </row>
    <row r="966" s="93" customFormat="1" spans="3:13">
      <c r="C966" s="94"/>
      <c r="E966" s="94"/>
      <c r="G966" s="94"/>
      <c r="I966" s="94"/>
      <c r="K966" s="94"/>
      <c r="M966" s="94"/>
    </row>
    <row r="967" s="93" customFormat="1" spans="3:13">
      <c r="C967" s="94"/>
      <c r="E967" s="94"/>
      <c r="G967" s="94"/>
      <c r="I967" s="94"/>
      <c r="K967" s="94"/>
      <c r="M967" s="94"/>
    </row>
    <row r="968" s="93" customFormat="1" spans="3:13">
      <c r="C968" s="94"/>
      <c r="E968" s="94"/>
      <c r="G968" s="94"/>
      <c r="I968" s="94"/>
      <c r="K968" s="94"/>
      <c r="M968" s="94"/>
    </row>
    <row r="969" s="93" customFormat="1" spans="3:13">
      <c r="C969" s="94"/>
      <c r="E969" s="94"/>
      <c r="G969" s="94"/>
      <c r="I969" s="94"/>
      <c r="K969" s="94"/>
      <c r="M969" s="94"/>
    </row>
    <row r="970" s="93" customFormat="1" spans="3:13">
      <c r="C970" s="94"/>
      <c r="E970" s="94"/>
      <c r="G970" s="94"/>
      <c r="I970" s="94"/>
      <c r="K970" s="94"/>
      <c r="M970" s="94"/>
    </row>
    <row r="971" s="93" customFormat="1" spans="3:13">
      <c r="C971" s="94"/>
      <c r="E971" s="94"/>
      <c r="G971" s="94"/>
      <c r="I971" s="94"/>
      <c r="K971" s="94"/>
      <c r="M971" s="94"/>
    </row>
    <row r="972" s="93" customFormat="1" spans="3:13">
      <c r="C972" s="94"/>
      <c r="E972" s="94"/>
      <c r="G972" s="94"/>
      <c r="I972" s="94"/>
      <c r="K972" s="94"/>
      <c r="M972" s="94"/>
    </row>
    <row r="973" s="93" customFormat="1" spans="3:13">
      <c r="C973" s="94"/>
      <c r="E973" s="94"/>
      <c r="G973" s="94"/>
      <c r="I973" s="94"/>
      <c r="K973" s="94"/>
      <c r="M973" s="94"/>
    </row>
    <row r="974" s="93" customFormat="1" spans="3:13">
      <c r="C974" s="94"/>
      <c r="E974" s="94"/>
      <c r="G974" s="94"/>
      <c r="I974" s="94"/>
      <c r="K974" s="94"/>
      <c r="M974" s="94"/>
    </row>
    <row r="975" s="93" customFormat="1" spans="3:13">
      <c r="C975" s="94"/>
      <c r="E975" s="94"/>
      <c r="G975" s="94"/>
      <c r="I975" s="94"/>
      <c r="K975" s="94"/>
      <c r="M975" s="94"/>
    </row>
    <row r="976" s="93" customFormat="1" spans="3:13">
      <c r="C976" s="94"/>
      <c r="E976" s="94"/>
      <c r="G976" s="94"/>
      <c r="I976" s="94"/>
      <c r="K976" s="94"/>
      <c r="M976" s="94"/>
    </row>
    <row r="977" s="93" customFormat="1" spans="3:13">
      <c r="C977" s="94"/>
      <c r="E977" s="94"/>
      <c r="G977" s="94"/>
      <c r="I977" s="94"/>
      <c r="K977" s="94"/>
      <c r="M977" s="94"/>
    </row>
    <row r="978" s="93" customFormat="1" spans="3:13">
      <c r="C978" s="94"/>
      <c r="E978" s="94"/>
      <c r="G978" s="94"/>
      <c r="I978" s="94"/>
      <c r="K978" s="94"/>
      <c r="M978" s="94"/>
    </row>
    <row r="979" s="93" customFormat="1" spans="3:13">
      <c r="C979" s="94"/>
      <c r="E979" s="94"/>
      <c r="G979" s="94"/>
      <c r="I979" s="94"/>
      <c r="K979" s="94"/>
      <c r="M979" s="94"/>
    </row>
    <row r="980" s="93" customFormat="1" spans="3:13">
      <c r="C980" s="94"/>
      <c r="E980" s="94"/>
      <c r="G980" s="94"/>
      <c r="I980" s="94"/>
      <c r="K980" s="94"/>
      <c r="M980" s="94"/>
    </row>
    <row r="981" s="93" customFormat="1" spans="3:13">
      <c r="C981" s="94"/>
      <c r="E981" s="94"/>
      <c r="G981" s="94"/>
      <c r="I981" s="94"/>
      <c r="K981" s="94"/>
      <c r="M981" s="94"/>
    </row>
    <row r="982" s="93" customFormat="1" spans="3:13">
      <c r="C982" s="94"/>
      <c r="E982" s="94"/>
      <c r="G982" s="94"/>
      <c r="I982" s="94"/>
      <c r="K982" s="94"/>
      <c r="M982" s="94"/>
    </row>
    <row r="983" s="93" customFormat="1" spans="3:13">
      <c r="C983" s="94"/>
      <c r="E983" s="94"/>
      <c r="G983" s="94"/>
      <c r="I983" s="94"/>
      <c r="K983" s="94"/>
      <c r="M983" s="94"/>
    </row>
    <row r="984" s="93" customFormat="1" spans="3:13">
      <c r="C984" s="94"/>
      <c r="E984" s="94"/>
      <c r="G984" s="94"/>
      <c r="I984" s="94"/>
      <c r="K984" s="94"/>
      <c r="M984" s="94"/>
    </row>
    <row r="985" s="93" customFormat="1" spans="3:13">
      <c r="C985" s="94"/>
      <c r="E985" s="94"/>
      <c r="G985" s="94"/>
      <c r="I985" s="94"/>
      <c r="K985" s="94"/>
      <c r="M985" s="94"/>
    </row>
    <row r="986" s="93" customFormat="1" spans="3:13">
      <c r="C986" s="94"/>
      <c r="E986" s="94"/>
      <c r="G986" s="94"/>
      <c r="I986" s="94"/>
      <c r="K986" s="94"/>
      <c r="M986" s="94"/>
    </row>
    <row r="987" s="93" customFormat="1" spans="3:13">
      <c r="C987" s="94"/>
      <c r="E987" s="94"/>
      <c r="G987" s="94"/>
      <c r="I987" s="94"/>
      <c r="K987" s="94"/>
      <c r="M987" s="94"/>
    </row>
    <row r="988" s="93" customFormat="1" spans="3:13">
      <c r="C988" s="94"/>
      <c r="E988" s="94"/>
      <c r="G988" s="94"/>
      <c r="I988" s="94"/>
      <c r="K988" s="94"/>
      <c r="M988" s="94"/>
    </row>
    <row r="989" s="93" customFormat="1" spans="3:13">
      <c r="C989" s="94"/>
      <c r="E989" s="94"/>
      <c r="G989" s="94"/>
      <c r="I989" s="94"/>
      <c r="K989" s="94"/>
      <c r="M989" s="94"/>
    </row>
    <row r="990" s="93" customFormat="1" spans="3:13">
      <c r="C990" s="94"/>
      <c r="E990" s="94"/>
      <c r="G990" s="94"/>
      <c r="I990" s="94"/>
      <c r="K990" s="94"/>
      <c r="M990" s="94"/>
    </row>
    <row r="991" s="93" customFormat="1" spans="3:13">
      <c r="C991" s="94"/>
      <c r="E991" s="94"/>
      <c r="G991" s="94"/>
      <c r="I991" s="94"/>
      <c r="K991" s="94"/>
      <c r="M991" s="94"/>
    </row>
    <row r="992" s="93" customFormat="1" spans="3:13">
      <c r="C992" s="94"/>
      <c r="E992" s="94"/>
      <c r="G992" s="94"/>
      <c r="I992" s="94"/>
      <c r="K992" s="94"/>
      <c r="M992" s="94"/>
    </row>
    <row r="993" s="93" customFormat="1" spans="3:13">
      <c r="C993" s="94"/>
      <c r="E993" s="94"/>
      <c r="G993" s="94"/>
      <c r="I993" s="94"/>
      <c r="K993" s="94"/>
      <c r="M993" s="94"/>
    </row>
    <row r="994" s="93" customFormat="1" spans="3:13">
      <c r="C994" s="94"/>
      <c r="E994" s="94"/>
      <c r="G994" s="94"/>
      <c r="I994" s="94"/>
      <c r="K994" s="94"/>
      <c r="M994" s="94"/>
    </row>
    <row r="995" s="93" customFormat="1" spans="3:13">
      <c r="C995" s="94"/>
      <c r="E995" s="94"/>
      <c r="G995" s="94"/>
      <c r="I995" s="94"/>
      <c r="K995" s="94"/>
      <c r="M995" s="94"/>
    </row>
    <row r="996" s="93" customFormat="1" spans="3:13">
      <c r="C996" s="94"/>
      <c r="E996" s="94"/>
      <c r="G996" s="94"/>
      <c r="I996" s="94"/>
      <c r="K996" s="94"/>
      <c r="M996" s="94"/>
    </row>
    <row r="997" s="93" customFormat="1" spans="3:13">
      <c r="C997" s="94"/>
      <c r="E997" s="94"/>
      <c r="G997" s="94"/>
      <c r="I997" s="94"/>
      <c r="K997" s="94"/>
      <c r="M997" s="94"/>
    </row>
    <row r="998" s="93" customFormat="1" spans="3:13">
      <c r="C998" s="94"/>
      <c r="E998" s="94"/>
      <c r="G998" s="94"/>
      <c r="I998" s="94"/>
      <c r="K998" s="94"/>
      <c r="M998" s="94"/>
    </row>
    <row r="999" s="93" customFormat="1" spans="3:13">
      <c r="C999" s="94"/>
      <c r="E999" s="94"/>
      <c r="G999" s="94"/>
      <c r="I999" s="94"/>
      <c r="K999" s="94"/>
      <c r="M999" s="94"/>
    </row>
    <row r="1000" s="93" customFormat="1" spans="3:13">
      <c r="C1000" s="94"/>
      <c r="E1000" s="94"/>
      <c r="G1000" s="94"/>
      <c r="I1000" s="94"/>
      <c r="K1000" s="94"/>
      <c r="M1000" s="94"/>
    </row>
    <row r="1001" s="93" customFormat="1" spans="3:13">
      <c r="C1001" s="94"/>
      <c r="E1001" s="94"/>
      <c r="G1001" s="94"/>
      <c r="I1001" s="94"/>
      <c r="K1001" s="94"/>
      <c r="M1001" s="94"/>
    </row>
    <row r="1002" s="93" customFormat="1" spans="3:13">
      <c r="C1002" s="94"/>
      <c r="E1002" s="94"/>
      <c r="G1002" s="94"/>
      <c r="I1002" s="94"/>
      <c r="K1002" s="94"/>
      <c r="M1002" s="94"/>
    </row>
    <row r="1003" s="93" customFormat="1" spans="3:13">
      <c r="C1003" s="94"/>
      <c r="E1003" s="94"/>
      <c r="G1003" s="94"/>
      <c r="I1003" s="94"/>
      <c r="K1003" s="94"/>
      <c r="M1003" s="94"/>
    </row>
    <row r="1004" s="93" customFormat="1" spans="3:13">
      <c r="C1004" s="94"/>
      <c r="E1004" s="94"/>
      <c r="G1004" s="94"/>
      <c r="I1004" s="94"/>
      <c r="K1004" s="94"/>
      <c r="M1004" s="94"/>
    </row>
    <row r="1005" s="93" customFormat="1" spans="3:13">
      <c r="C1005" s="94"/>
      <c r="E1005" s="94"/>
      <c r="G1005" s="94"/>
      <c r="I1005" s="94"/>
      <c r="K1005" s="94"/>
      <c r="M1005" s="94"/>
    </row>
    <row r="1006" s="93" customFormat="1" spans="3:13">
      <c r="C1006" s="94"/>
      <c r="E1006" s="94"/>
      <c r="G1006" s="94"/>
      <c r="I1006" s="94"/>
      <c r="K1006" s="94"/>
      <c r="M1006" s="94"/>
    </row>
    <row r="1007" s="93" customFormat="1" spans="3:13">
      <c r="C1007" s="94"/>
      <c r="E1007" s="94"/>
      <c r="G1007" s="94"/>
      <c r="I1007" s="94"/>
      <c r="K1007" s="94"/>
      <c r="M1007" s="94"/>
    </row>
    <row r="1008" s="93" customFormat="1" spans="3:13">
      <c r="C1008" s="94"/>
      <c r="E1008" s="94"/>
      <c r="G1008" s="94"/>
      <c r="I1008" s="94"/>
      <c r="K1008" s="94"/>
      <c r="M1008" s="94"/>
    </row>
    <row r="1009" s="93" customFormat="1" spans="3:13">
      <c r="C1009" s="94"/>
      <c r="E1009" s="94"/>
      <c r="G1009" s="94"/>
      <c r="I1009" s="94"/>
      <c r="K1009" s="94"/>
      <c r="M1009" s="94"/>
    </row>
    <row r="1010" s="93" customFormat="1" spans="3:13">
      <c r="C1010" s="94"/>
      <c r="E1010" s="94"/>
      <c r="G1010" s="94"/>
      <c r="I1010" s="94"/>
      <c r="K1010" s="94"/>
      <c r="M1010" s="94"/>
    </row>
    <row r="1011" s="93" customFormat="1" spans="3:13">
      <c r="C1011" s="94"/>
      <c r="E1011" s="94"/>
      <c r="G1011" s="94"/>
      <c r="I1011" s="94"/>
      <c r="K1011" s="94"/>
      <c r="M1011" s="94"/>
    </row>
    <row r="1012" s="93" customFormat="1" spans="3:13">
      <c r="C1012" s="94"/>
      <c r="E1012" s="94"/>
      <c r="G1012" s="94"/>
      <c r="I1012" s="94"/>
      <c r="K1012" s="94"/>
      <c r="M1012" s="94"/>
    </row>
    <row r="1013" s="93" customFormat="1" spans="3:13">
      <c r="C1013" s="94"/>
      <c r="E1013" s="94"/>
      <c r="G1013" s="94"/>
      <c r="I1013" s="94"/>
      <c r="K1013" s="94"/>
      <c r="M1013" s="94"/>
    </row>
    <row r="1014" s="93" customFormat="1" spans="3:13">
      <c r="C1014" s="94"/>
      <c r="E1014" s="94"/>
      <c r="G1014" s="94"/>
      <c r="I1014" s="94"/>
      <c r="K1014" s="94"/>
      <c r="M1014" s="94"/>
    </row>
    <row r="1015" s="93" customFormat="1" spans="3:13">
      <c r="C1015" s="94"/>
      <c r="E1015" s="94"/>
      <c r="G1015" s="94"/>
      <c r="I1015" s="94"/>
      <c r="K1015" s="94"/>
      <c r="M1015" s="94"/>
    </row>
    <row r="1016" s="93" customFormat="1" spans="3:13">
      <c r="C1016" s="94"/>
      <c r="E1016" s="94"/>
      <c r="G1016" s="94"/>
      <c r="I1016" s="94"/>
      <c r="K1016" s="94"/>
      <c r="M1016" s="94"/>
    </row>
    <row r="1017" s="93" customFormat="1" spans="3:13">
      <c r="C1017" s="94"/>
      <c r="E1017" s="94"/>
      <c r="G1017" s="94"/>
      <c r="I1017" s="94"/>
      <c r="K1017" s="94"/>
      <c r="M1017" s="94"/>
    </row>
    <row r="1018" s="93" customFormat="1" spans="3:13">
      <c r="C1018" s="94"/>
      <c r="E1018" s="94"/>
      <c r="G1018" s="94"/>
      <c r="I1018" s="94"/>
      <c r="K1018" s="94"/>
      <c r="M1018" s="94"/>
    </row>
    <row r="1019" s="93" customFormat="1" spans="3:13">
      <c r="C1019" s="94"/>
      <c r="E1019" s="94"/>
      <c r="G1019" s="94"/>
      <c r="I1019" s="94"/>
      <c r="K1019" s="94"/>
      <c r="M1019" s="94"/>
    </row>
    <row r="1020" s="93" customFormat="1" spans="3:13">
      <c r="C1020" s="94"/>
      <c r="E1020" s="94"/>
      <c r="G1020" s="94"/>
      <c r="I1020" s="94"/>
      <c r="K1020" s="94"/>
      <c r="M1020" s="94"/>
    </row>
    <row r="1021" s="93" customFormat="1" spans="3:13">
      <c r="C1021" s="94"/>
      <c r="E1021" s="94"/>
      <c r="G1021" s="94"/>
      <c r="I1021" s="94"/>
      <c r="K1021" s="94"/>
      <c r="M1021" s="94"/>
    </row>
    <row r="1022" s="93" customFormat="1" spans="3:13">
      <c r="C1022" s="94"/>
      <c r="E1022" s="94"/>
      <c r="G1022" s="94"/>
      <c r="I1022" s="94"/>
      <c r="K1022" s="94"/>
      <c r="M1022" s="94"/>
    </row>
    <row r="1023" s="93" customFormat="1" spans="3:13">
      <c r="C1023" s="94"/>
      <c r="E1023" s="94"/>
      <c r="G1023" s="94"/>
      <c r="I1023" s="94"/>
      <c r="K1023" s="94"/>
      <c r="M1023" s="94"/>
    </row>
    <row r="1024" s="93" customFormat="1" spans="3:13">
      <c r="C1024" s="94"/>
      <c r="E1024" s="94"/>
      <c r="G1024" s="94"/>
      <c r="I1024" s="94"/>
      <c r="K1024" s="94"/>
      <c r="M1024" s="94"/>
    </row>
    <row r="1025" s="93" customFormat="1" spans="3:13">
      <c r="C1025" s="94"/>
      <c r="E1025" s="94"/>
      <c r="G1025" s="94"/>
      <c r="I1025" s="94"/>
      <c r="K1025" s="94"/>
      <c r="M1025" s="94"/>
    </row>
    <row r="1026" s="93" customFormat="1" spans="3:13">
      <c r="C1026" s="94"/>
      <c r="E1026" s="94"/>
      <c r="G1026" s="94"/>
      <c r="I1026" s="94"/>
      <c r="K1026" s="94"/>
      <c r="M1026" s="94"/>
    </row>
    <row r="1027" s="93" customFormat="1" spans="3:13">
      <c r="C1027" s="94"/>
      <c r="E1027" s="94"/>
      <c r="G1027" s="94"/>
      <c r="I1027" s="94"/>
      <c r="K1027" s="94"/>
      <c r="M1027" s="94"/>
    </row>
    <row r="1028" s="93" customFormat="1" spans="3:13">
      <c r="C1028" s="94"/>
      <c r="E1028" s="94"/>
      <c r="G1028" s="94"/>
      <c r="I1028" s="94"/>
      <c r="K1028" s="94"/>
      <c r="M1028" s="94"/>
    </row>
    <row r="1029" s="93" customFormat="1" spans="3:13">
      <c r="C1029" s="94"/>
      <c r="E1029" s="94"/>
      <c r="G1029" s="94"/>
      <c r="I1029" s="94"/>
      <c r="K1029" s="94"/>
      <c r="M1029" s="94"/>
    </row>
    <row r="1030" s="93" customFormat="1" spans="3:13">
      <c r="C1030" s="94"/>
      <c r="E1030" s="94"/>
      <c r="G1030" s="94"/>
      <c r="I1030" s="94"/>
      <c r="K1030" s="94"/>
      <c r="M1030" s="94"/>
    </row>
    <row r="1031" s="93" customFormat="1" spans="3:13">
      <c r="C1031" s="94"/>
      <c r="E1031" s="94"/>
      <c r="G1031" s="94"/>
      <c r="I1031" s="94"/>
      <c r="K1031" s="94"/>
      <c r="M1031" s="94"/>
    </row>
    <row r="1032" s="93" customFormat="1" spans="3:13">
      <c r="C1032" s="94"/>
      <c r="E1032" s="94"/>
      <c r="G1032" s="94"/>
      <c r="I1032" s="94"/>
      <c r="K1032" s="94"/>
      <c r="M1032" s="94"/>
    </row>
    <row r="1033" s="93" customFormat="1" spans="3:13">
      <c r="C1033" s="94"/>
      <c r="E1033" s="94"/>
      <c r="G1033" s="94"/>
      <c r="I1033" s="94"/>
      <c r="K1033" s="94"/>
      <c r="M1033" s="94"/>
    </row>
    <row r="1034" s="93" customFormat="1" spans="3:13">
      <c r="C1034" s="94"/>
      <c r="E1034" s="94"/>
      <c r="G1034" s="94"/>
      <c r="I1034" s="94"/>
      <c r="K1034" s="94"/>
      <c r="M1034" s="94"/>
    </row>
    <row r="1035" s="93" customFormat="1" spans="3:13">
      <c r="C1035" s="94"/>
      <c r="E1035" s="94"/>
      <c r="G1035" s="94"/>
      <c r="I1035" s="94"/>
      <c r="K1035" s="94"/>
      <c r="M1035" s="94"/>
    </row>
    <row r="1036" s="93" customFormat="1" spans="3:13">
      <c r="C1036" s="94"/>
      <c r="E1036" s="94"/>
      <c r="G1036" s="94"/>
      <c r="I1036" s="94"/>
      <c r="K1036" s="94"/>
      <c r="M1036" s="94"/>
    </row>
    <row r="1037" s="93" customFormat="1" spans="3:13">
      <c r="C1037" s="94"/>
      <c r="E1037" s="94"/>
      <c r="G1037" s="94"/>
      <c r="I1037" s="94"/>
      <c r="K1037" s="94"/>
      <c r="M1037" s="94"/>
    </row>
    <row r="1038" s="93" customFormat="1" spans="3:13">
      <c r="C1038" s="94"/>
      <c r="E1038" s="94"/>
      <c r="G1038" s="94"/>
      <c r="I1038" s="94"/>
      <c r="K1038" s="94"/>
      <c r="M1038" s="94"/>
    </row>
    <row r="1039" s="93" customFormat="1" spans="3:13">
      <c r="C1039" s="94"/>
      <c r="E1039" s="94"/>
      <c r="G1039" s="94"/>
      <c r="I1039" s="94"/>
      <c r="K1039" s="94"/>
      <c r="M1039" s="94"/>
    </row>
    <row r="1040" s="93" customFormat="1" spans="3:13">
      <c r="C1040" s="94"/>
      <c r="E1040" s="94"/>
      <c r="G1040" s="94"/>
      <c r="I1040" s="94"/>
      <c r="K1040" s="94"/>
      <c r="M1040" s="94"/>
    </row>
    <row r="1041" s="93" customFormat="1" spans="3:13">
      <c r="C1041" s="94"/>
      <c r="E1041" s="94"/>
      <c r="G1041" s="94"/>
      <c r="I1041" s="94"/>
      <c r="K1041" s="94"/>
      <c r="M1041" s="94"/>
    </row>
    <row r="1042" s="93" customFormat="1" spans="3:13">
      <c r="C1042" s="94"/>
      <c r="E1042" s="94"/>
      <c r="G1042" s="94"/>
      <c r="I1042" s="94"/>
      <c r="K1042" s="94"/>
      <c r="M1042" s="94"/>
    </row>
    <row r="1043" s="93" customFormat="1" spans="3:13">
      <c r="C1043" s="94"/>
      <c r="E1043" s="94"/>
      <c r="G1043" s="94"/>
      <c r="I1043" s="94"/>
      <c r="K1043" s="94"/>
      <c r="M1043" s="94"/>
    </row>
    <row r="1044" s="93" customFormat="1" spans="3:13">
      <c r="C1044" s="94"/>
      <c r="E1044" s="94"/>
      <c r="G1044" s="94"/>
      <c r="I1044" s="94"/>
      <c r="K1044" s="94"/>
      <c r="M1044" s="94"/>
    </row>
    <row r="1045" s="93" customFormat="1" spans="3:13">
      <c r="C1045" s="94"/>
      <c r="E1045" s="94"/>
      <c r="G1045" s="94"/>
      <c r="I1045" s="94"/>
      <c r="K1045" s="94"/>
      <c r="M1045" s="94"/>
    </row>
    <row r="1046" s="93" customFormat="1" spans="3:13">
      <c r="C1046" s="94"/>
      <c r="E1046" s="94"/>
      <c r="G1046" s="94"/>
      <c r="I1046" s="94"/>
      <c r="K1046" s="94"/>
      <c r="M1046" s="94"/>
    </row>
    <row r="1047" s="93" customFormat="1" spans="3:13">
      <c r="C1047" s="94"/>
      <c r="E1047" s="94"/>
      <c r="G1047" s="94"/>
      <c r="I1047" s="94"/>
      <c r="K1047" s="94"/>
      <c r="M1047" s="94"/>
    </row>
    <row r="1048" s="93" customFormat="1" spans="3:13">
      <c r="C1048" s="94"/>
      <c r="E1048" s="94"/>
      <c r="G1048" s="94"/>
      <c r="I1048" s="94"/>
      <c r="K1048" s="94"/>
      <c r="M1048" s="94"/>
    </row>
    <row r="1049" s="93" customFormat="1" spans="3:13">
      <c r="C1049" s="94"/>
      <c r="E1049" s="94"/>
      <c r="G1049" s="94"/>
      <c r="I1049" s="94"/>
      <c r="K1049" s="94"/>
      <c r="M1049" s="94"/>
    </row>
    <row r="1050" s="93" customFormat="1" spans="3:13">
      <c r="C1050" s="94"/>
      <c r="E1050" s="94"/>
      <c r="G1050" s="94"/>
      <c r="I1050" s="94"/>
      <c r="K1050" s="94"/>
      <c r="M1050" s="94"/>
    </row>
    <row r="1051" s="93" customFormat="1" spans="3:13">
      <c r="C1051" s="94"/>
      <c r="E1051" s="94"/>
      <c r="G1051" s="94"/>
      <c r="I1051" s="94"/>
      <c r="K1051" s="94"/>
      <c r="M1051" s="94"/>
    </row>
    <row r="1052" s="93" customFormat="1" spans="3:13">
      <c r="C1052" s="94"/>
      <c r="E1052" s="94"/>
      <c r="G1052" s="94"/>
      <c r="I1052" s="94"/>
      <c r="K1052" s="94"/>
      <c r="M1052" s="94"/>
    </row>
    <row r="1053" s="93" customFormat="1" spans="3:13">
      <c r="C1053" s="94"/>
      <c r="E1053" s="94"/>
      <c r="G1053" s="94"/>
      <c r="I1053" s="94"/>
      <c r="K1053" s="94"/>
      <c r="M1053" s="94"/>
    </row>
    <row r="1054" s="93" customFormat="1" spans="3:13">
      <c r="C1054" s="94"/>
      <c r="E1054" s="94"/>
      <c r="G1054" s="94"/>
      <c r="I1054" s="94"/>
      <c r="K1054" s="94"/>
      <c r="M1054" s="94"/>
    </row>
    <row r="1055" s="93" customFormat="1" spans="3:13">
      <c r="C1055" s="94"/>
      <c r="E1055" s="94"/>
      <c r="G1055" s="94"/>
      <c r="I1055" s="94"/>
      <c r="K1055" s="94"/>
      <c r="M1055" s="94"/>
    </row>
    <row r="1056" s="93" customFormat="1" spans="3:13">
      <c r="C1056" s="94"/>
      <c r="E1056" s="94"/>
      <c r="G1056" s="94"/>
      <c r="I1056" s="94"/>
      <c r="K1056" s="94"/>
      <c r="M1056" s="94"/>
    </row>
    <row r="1057" s="93" customFormat="1" spans="3:13">
      <c r="C1057" s="94"/>
      <c r="E1057" s="94"/>
      <c r="G1057" s="94"/>
      <c r="I1057" s="94"/>
      <c r="K1057" s="94"/>
      <c r="M1057" s="94"/>
    </row>
    <row r="1058" s="93" customFormat="1" spans="3:13">
      <c r="C1058" s="94"/>
      <c r="E1058" s="94"/>
      <c r="G1058" s="94"/>
      <c r="I1058" s="94"/>
      <c r="K1058" s="94"/>
      <c r="M1058" s="94"/>
    </row>
    <row r="1059" s="93" customFormat="1" spans="3:13">
      <c r="C1059" s="94"/>
      <c r="E1059" s="94"/>
      <c r="G1059" s="94"/>
      <c r="I1059" s="94"/>
      <c r="K1059" s="94"/>
      <c r="M1059" s="94"/>
    </row>
    <row r="1060" s="93" customFormat="1" spans="3:13">
      <c r="C1060" s="94"/>
      <c r="E1060" s="94"/>
      <c r="G1060" s="94"/>
      <c r="I1060" s="94"/>
      <c r="K1060" s="94"/>
      <c r="M1060" s="94"/>
    </row>
    <row r="1061" s="93" customFormat="1" spans="3:13">
      <c r="C1061" s="94"/>
      <c r="E1061" s="94"/>
      <c r="G1061" s="94"/>
      <c r="I1061" s="94"/>
      <c r="K1061" s="94"/>
      <c r="M1061" s="94"/>
    </row>
    <row r="1062" s="93" customFormat="1" spans="3:13">
      <c r="C1062" s="94"/>
      <c r="E1062" s="94"/>
      <c r="G1062" s="94"/>
      <c r="I1062" s="94"/>
      <c r="K1062" s="94"/>
      <c r="M1062" s="94"/>
    </row>
    <row r="1063" s="93" customFormat="1" spans="3:13">
      <c r="C1063" s="94"/>
      <c r="E1063" s="94"/>
      <c r="G1063" s="94"/>
      <c r="I1063" s="94"/>
      <c r="K1063" s="94"/>
      <c r="M1063" s="94"/>
    </row>
    <row r="1064" s="93" customFormat="1" spans="3:13">
      <c r="C1064" s="94"/>
      <c r="E1064" s="94"/>
      <c r="G1064" s="94"/>
      <c r="I1064" s="94"/>
      <c r="K1064" s="94"/>
      <c r="M1064" s="94"/>
    </row>
    <row r="1065" s="93" customFormat="1" spans="3:13">
      <c r="C1065" s="94"/>
      <c r="E1065" s="94"/>
      <c r="G1065" s="94"/>
      <c r="I1065" s="94"/>
      <c r="K1065" s="94"/>
      <c r="M1065" s="94"/>
    </row>
    <row r="1066" s="93" customFormat="1" spans="3:13">
      <c r="C1066" s="94"/>
      <c r="E1066" s="94"/>
      <c r="G1066" s="94"/>
      <c r="I1066" s="94"/>
      <c r="K1066" s="94"/>
      <c r="M1066" s="94"/>
    </row>
    <row r="1067" s="93" customFormat="1" spans="3:13">
      <c r="C1067" s="94"/>
      <c r="E1067" s="94"/>
      <c r="G1067" s="94"/>
      <c r="I1067" s="94"/>
      <c r="K1067" s="94"/>
      <c r="M1067" s="94"/>
    </row>
    <row r="1068" s="93" customFormat="1" spans="3:13">
      <c r="C1068" s="94"/>
      <c r="E1068" s="94"/>
      <c r="G1068" s="94"/>
      <c r="I1068" s="94"/>
      <c r="K1068" s="94"/>
      <c r="M1068" s="94"/>
    </row>
    <row r="1069" s="93" customFormat="1" spans="3:13">
      <c r="C1069" s="94"/>
      <c r="E1069" s="94"/>
      <c r="G1069" s="94"/>
      <c r="I1069" s="94"/>
      <c r="K1069" s="94"/>
      <c r="M1069" s="94"/>
    </row>
    <row r="1070" s="93" customFormat="1" spans="3:13">
      <c r="C1070" s="94"/>
      <c r="E1070" s="94"/>
      <c r="G1070" s="94"/>
      <c r="I1070" s="94"/>
      <c r="K1070" s="94"/>
      <c r="M1070" s="94"/>
    </row>
    <row r="1071" s="93" customFormat="1" spans="3:13">
      <c r="C1071" s="94"/>
      <c r="E1071" s="94"/>
      <c r="G1071" s="94"/>
      <c r="I1071" s="94"/>
      <c r="K1071" s="94"/>
      <c r="M1071" s="94"/>
    </row>
    <row r="1072" s="93" customFormat="1" spans="3:13">
      <c r="C1072" s="94"/>
      <c r="E1072" s="94"/>
      <c r="G1072" s="94"/>
      <c r="I1072" s="94"/>
      <c r="K1072" s="94"/>
      <c r="M1072" s="94"/>
    </row>
    <row r="1073" s="93" customFormat="1" spans="3:13">
      <c r="C1073" s="94"/>
      <c r="E1073" s="94"/>
      <c r="G1073" s="94"/>
      <c r="I1073" s="94"/>
      <c r="K1073" s="94"/>
      <c r="M1073" s="94"/>
    </row>
    <row r="1074" s="93" customFormat="1" spans="3:13">
      <c r="C1074" s="94"/>
      <c r="E1074" s="94"/>
      <c r="G1074" s="94"/>
      <c r="I1074" s="94"/>
      <c r="K1074" s="94"/>
      <c r="M1074" s="94"/>
    </row>
    <row r="1075" s="93" customFormat="1" spans="3:13">
      <c r="C1075" s="94"/>
      <c r="E1075" s="94"/>
      <c r="G1075" s="94"/>
      <c r="I1075" s="94"/>
      <c r="K1075" s="94"/>
      <c r="M1075" s="94"/>
    </row>
    <row r="1076" s="93" customFormat="1" spans="3:13">
      <c r="C1076" s="94"/>
      <c r="E1076" s="94"/>
      <c r="G1076" s="94"/>
      <c r="I1076" s="94"/>
      <c r="K1076" s="94"/>
      <c r="M1076" s="94"/>
    </row>
    <row r="1077" s="93" customFormat="1" spans="3:13">
      <c r="C1077" s="94"/>
      <c r="E1077" s="94"/>
      <c r="G1077" s="94"/>
      <c r="I1077" s="94"/>
      <c r="K1077" s="94"/>
      <c r="M1077" s="94"/>
    </row>
    <row r="1078" s="93" customFormat="1" spans="3:13">
      <c r="C1078" s="94"/>
      <c r="E1078" s="94"/>
      <c r="G1078" s="94"/>
      <c r="I1078" s="94"/>
      <c r="K1078" s="94"/>
      <c r="M1078" s="94"/>
    </row>
    <row r="1079" s="93" customFormat="1" spans="3:13">
      <c r="C1079" s="94"/>
      <c r="E1079" s="94"/>
      <c r="G1079" s="94"/>
      <c r="I1079" s="94"/>
      <c r="K1079" s="94"/>
      <c r="M1079" s="94"/>
    </row>
    <row r="1080" s="93" customFormat="1" spans="3:13">
      <c r="C1080" s="94"/>
      <c r="E1080" s="94"/>
      <c r="G1080" s="94"/>
      <c r="I1080" s="94"/>
      <c r="K1080" s="94"/>
      <c r="M1080" s="94"/>
    </row>
    <row r="1081" s="93" customFormat="1" spans="3:13">
      <c r="C1081" s="94"/>
      <c r="E1081" s="94"/>
      <c r="G1081" s="94"/>
      <c r="I1081" s="94"/>
      <c r="K1081" s="94"/>
      <c r="M1081" s="94"/>
    </row>
    <row r="1082" s="93" customFormat="1" spans="3:13">
      <c r="C1082" s="94"/>
      <c r="E1082" s="94"/>
      <c r="G1082" s="94"/>
      <c r="I1082" s="94"/>
      <c r="K1082" s="94"/>
      <c r="M1082" s="94"/>
    </row>
    <row r="1083" s="93" customFormat="1" spans="3:13">
      <c r="C1083" s="94"/>
      <c r="E1083" s="94"/>
      <c r="G1083" s="94"/>
      <c r="I1083" s="94"/>
      <c r="K1083" s="94"/>
      <c r="M1083" s="94"/>
    </row>
    <row r="1084" s="93" customFormat="1" spans="3:13">
      <c r="C1084" s="94"/>
      <c r="E1084" s="94"/>
      <c r="G1084" s="94"/>
      <c r="I1084" s="94"/>
      <c r="K1084" s="94"/>
      <c r="M1084" s="94"/>
    </row>
    <row r="1085" s="93" customFormat="1" spans="3:13">
      <c r="C1085" s="94"/>
      <c r="E1085" s="94"/>
      <c r="G1085" s="94"/>
      <c r="I1085" s="94"/>
      <c r="K1085" s="94"/>
      <c r="M1085" s="94"/>
    </row>
    <row r="1086" s="93" customFormat="1" spans="3:13">
      <c r="C1086" s="94"/>
      <c r="E1086" s="94"/>
      <c r="G1086" s="94"/>
      <c r="I1086" s="94"/>
      <c r="K1086" s="94"/>
      <c r="M1086" s="94"/>
    </row>
    <row r="1087" s="93" customFormat="1" spans="3:13">
      <c r="C1087" s="94"/>
      <c r="E1087" s="94"/>
      <c r="G1087" s="94"/>
      <c r="I1087" s="94"/>
      <c r="K1087" s="94"/>
      <c r="M1087" s="94"/>
    </row>
    <row r="1088" s="93" customFormat="1" spans="3:13">
      <c r="C1088" s="94"/>
      <c r="E1088" s="94"/>
      <c r="G1088" s="94"/>
      <c r="I1088" s="94"/>
      <c r="K1088" s="94"/>
      <c r="M1088" s="94"/>
    </row>
    <row r="1089" s="93" customFormat="1" spans="3:13">
      <c r="C1089" s="94"/>
      <c r="E1089" s="94"/>
      <c r="G1089" s="94"/>
      <c r="I1089" s="94"/>
      <c r="K1089" s="94"/>
      <c r="M1089" s="94"/>
    </row>
    <row r="1090" s="93" customFormat="1" spans="3:13">
      <c r="C1090" s="94"/>
      <c r="E1090" s="94"/>
      <c r="G1090" s="94"/>
      <c r="I1090" s="94"/>
      <c r="K1090" s="94"/>
      <c r="M1090" s="94"/>
    </row>
    <row r="1091" s="93" customFormat="1" spans="3:13">
      <c r="C1091" s="94"/>
      <c r="E1091" s="94"/>
      <c r="G1091" s="94"/>
      <c r="I1091" s="94"/>
      <c r="K1091" s="94"/>
      <c r="M1091" s="94"/>
    </row>
    <row r="1092" s="93" customFormat="1" spans="3:13">
      <c r="C1092" s="94"/>
      <c r="E1092" s="94"/>
      <c r="G1092" s="94"/>
      <c r="I1092" s="94"/>
      <c r="K1092" s="94"/>
      <c r="M1092" s="94"/>
    </row>
    <row r="1093" s="93" customFormat="1" spans="3:13">
      <c r="C1093" s="94"/>
      <c r="E1093" s="94"/>
      <c r="G1093" s="94"/>
      <c r="I1093" s="94"/>
      <c r="K1093" s="94"/>
      <c r="M1093" s="94"/>
    </row>
    <row r="1094" s="93" customFormat="1" spans="3:13">
      <c r="C1094" s="94"/>
      <c r="E1094" s="94"/>
      <c r="G1094" s="94"/>
      <c r="I1094" s="94"/>
      <c r="K1094" s="94"/>
      <c r="M1094" s="94"/>
    </row>
    <row r="1095" s="93" customFormat="1" spans="3:13">
      <c r="C1095" s="94"/>
      <c r="E1095" s="94"/>
      <c r="G1095" s="94"/>
      <c r="I1095" s="94"/>
      <c r="K1095" s="94"/>
      <c r="M1095" s="94"/>
    </row>
    <row r="1096" s="93" customFormat="1" spans="3:13">
      <c r="C1096" s="94"/>
      <c r="E1096" s="94"/>
      <c r="G1096" s="94"/>
      <c r="I1096" s="94"/>
      <c r="K1096" s="94"/>
      <c r="M1096" s="94"/>
    </row>
    <row r="1097" s="93" customFormat="1" spans="3:13">
      <c r="C1097" s="94"/>
      <c r="E1097" s="94"/>
      <c r="G1097" s="94"/>
      <c r="I1097" s="94"/>
      <c r="K1097" s="94"/>
      <c r="M1097" s="94"/>
    </row>
    <row r="1098" s="93" customFormat="1" spans="3:13">
      <c r="C1098" s="94"/>
      <c r="E1098" s="94"/>
      <c r="G1098" s="94"/>
      <c r="I1098" s="94"/>
      <c r="K1098" s="94"/>
      <c r="M1098" s="94"/>
    </row>
    <row r="1099" s="93" customFormat="1" spans="3:13">
      <c r="C1099" s="94"/>
      <c r="E1099" s="94"/>
      <c r="G1099" s="94"/>
      <c r="I1099" s="94"/>
      <c r="K1099" s="94"/>
      <c r="M1099" s="94"/>
    </row>
    <row r="1100" s="93" customFormat="1" spans="3:13">
      <c r="C1100" s="94"/>
      <c r="E1100" s="94"/>
      <c r="G1100" s="94"/>
      <c r="I1100" s="94"/>
      <c r="K1100" s="94"/>
      <c r="M1100" s="94"/>
    </row>
    <row r="1101" s="93" customFormat="1" spans="3:13">
      <c r="C1101" s="94"/>
      <c r="E1101" s="94"/>
      <c r="G1101" s="94"/>
      <c r="I1101" s="94"/>
      <c r="K1101" s="94"/>
      <c r="M1101" s="94"/>
    </row>
    <row r="1102" s="93" customFormat="1" spans="3:13">
      <c r="C1102" s="94"/>
      <c r="E1102" s="94"/>
      <c r="G1102" s="94"/>
      <c r="I1102" s="94"/>
      <c r="K1102" s="94"/>
      <c r="M1102" s="94"/>
    </row>
    <row r="1103" s="93" customFormat="1" spans="3:13">
      <c r="C1103" s="94"/>
      <c r="E1103" s="94"/>
      <c r="G1103" s="94"/>
      <c r="I1103" s="94"/>
      <c r="K1103" s="94"/>
      <c r="M1103" s="94"/>
    </row>
    <row r="1104" s="93" customFormat="1" spans="3:13">
      <c r="C1104" s="94"/>
      <c r="E1104" s="94"/>
      <c r="G1104" s="94"/>
      <c r="I1104" s="94"/>
      <c r="K1104" s="94"/>
      <c r="M1104" s="94"/>
    </row>
    <row r="1105" s="93" customFormat="1" spans="3:13">
      <c r="C1105" s="94"/>
      <c r="E1105" s="94"/>
      <c r="G1105" s="94"/>
      <c r="I1105" s="94"/>
      <c r="K1105" s="94"/>
      <c r="M1105" s="94"/>
    </row>
    <row r="1106" s="93" customFormat="1" spans="3:13">
      <c r="C1106" s="94"/>
      <c r="E1106" s="94"/>
      <c r="G1106" s="94"/>
      <c r="I1106" s="94"/>
      <c r="K1106" s="94"/>
      <c r="M1106" s="94"/>
    </row>
    <row r="1107" s="93" customFormat="1" spans="3:13">
      <c r="C1107" s="94"/>
      <c r="E1107" s="94"/>
      <c r="G1107" s="94"/>
      <c r="I1107" s="94"/>
      <c r="K1107" s="94"/>
      <c r="M1107" s="94"/>
    </row>
    <row r="1108" s="93" customFormat="1" spans="3:13">
      <c r="C1108" s="94"/>
      <c r="E1108" s="94"/>
      <c r="G1108" s="94"/>
      <c r="I1108" s="94"/>
      <c r="K1108" s="94"/>
      <c r="M1108" s="94"/>
    </row>
    <row r="1109" s="93" customFormat="1" spans="3:13">
      <c r="C1109" s="94"/>
      <c r="E1109" s="94"/>
      <c r="G1109" s="94"/>
      <c r="I1109" s="94"/>
      <c r="K1109" s="94"/>
      <c r="M1109" s="94"/>
    </row>
    <row r="1110" s="93" customFormat="1" spans="3:13">
      <c r="C1110" s="94"/>
      <c r="E1110" s="94"/>
      <c r="G1110" s="94"/>
      <c r="I1110" s="94"/>
      <c r="K1110" s="94"/>
      <c r="M1110" s="94"/>
    </row>
    <row r="1111" s="93" customFormat="1" spans="3:13">
      <c r="C1111" s="94"/>
      <c r="E1111" s="94"/>
      <c r="G1111" s="94"/>
      <c r="I1111" s="94"/>
      <c r="K1111" s="94"/>
      <c r="M1111" s="94"/>
    </row>
    <row r="1112" s="93" customFormat="1" spans="3:13">
      <c r="C1112" s="94"/>
      <c r="E1112" s="94"/>
      <c r="G1112" s="94"/>
      <c r="I1112" s="94"/>
      <c r="K1112" s="94"/>
      <c r="M1112" s="94"/>
    </row>
    <row r="1113" s="93" customFormat="1" spans="3:13">
      <c r="C1113" s="94"/>
      <c r="E1113" s="94"/>
      <c r="G1113" s="94"/>
      <c r="I1113" s="94"/>
      <c r="K1113" s="94"/>
      <c r="M1113" s="94"/>
    </row>
    <row r="1114" s="93" customFormat="1" spans="3:13">
      <c r="C1114" s="94"/>
      <c r="E1114" s="94"/>
      <c r="G1114" s="94"/>
      <c r="I1114" s="94"/>
      <c r="K1114" s="94"/>
      <c r="M1114" s="94"/>
    </row>
    <row r="1115" s="93" customFormat="1" spans="3:13">
      <c r="C1115" s="94"/>
      <c r="E1115" s="94"/>
      <c r="G1115" s="94"/>
      <c r="I1115" s="94"/>
      <c r="K1115" s="94"/>
      <c r="M1115" s="94"/>
    </row>
    <row r="1116" s="93" customFormat="1" spans="3:13">
      <c r="C1116" s="94"/>
      <c r="E1116" s="94"/>
      <c r="G1116" s="94"/>
      <c r="I1116" s="94"/>
      <c r="K1116" s="94"/>
      <c r="M1116" s="94"/>
    </row>
    <row r="1117" s="93" customFormat="1" spans="3:13">
      <c r="C1117" s="94"/>
      <c r="E1117" s="94"/>
      <c r="G1117" s="94"/>
      <c r="I1117" s="94"/>
      <c r="K1117" s="94"/>
      <c r="M1117" s="94"/>
    </row>
    <row r="1118" s="93" customFormat="1" spans="3:13">
      <c r="C1118" s="94"/>
      <c r="E1118" s="94"/>
      <c r="G1118" s="94"/>
      <c r="I1118" s="94"/>
      <c r="K1118" s="94"/>
      <c r="M1118" s="94"/>
    </row>
    <row r="1119" s="93" customFormat="1" spans="3:13">
      <c r="C1119" s="94"/>
      <c r="E1119" s="94"/>
      <c r="G1119" s="94"/>
      <c r="I1119" s="94"/>
      <c r="K1119" s="94"/>
      <c r="M1119" s="94"/>
    </row>
    <row r="1120" s="93" customFormat="1" spans="3:13">
      <c r="C1120" s="94"/>
      <c r="E1120" s="94"/>
      <c r="G1120" s="94"/>
      <c r="I1120" s="94"/>
      <c r="K1120" s="94"/>
      <c r="M1120" s="94"/>
    </row>
    <row r="1121" s="93" customFormat="1" spans="3:13">
      <c r="C1121" s="94"/>
      <c r="E1121" s="94"/>
      <c r="G1121" s="94"/>
      <c r="I1121" s="94"/>
      <c r="K1121" s="94"/>
      <c r="M1121" s="94"/>
    </row>
    <row r="1122" s="93" customFormat="1" spans="3:13">
      <c r="C1122" s="94"/>
      <c r="E1122" s="94"/>
      <c r="G1122" s="94"/>
      <c r="I1122" s="94"/>
      <c r="K1122" s="94"/>
      <c r="M1122" s="94"/>
    </row>
    <row r="1123" s="93" customFormat="1" spans="3:13">
      <c r="C1123" s="94"/>
      <c r="E1123" s="94"/>
      <c r="G1123" s="94"/>
      <c r="I1123" s="94"/>
      <c r="K1123" s="94"/>
      <c r="M1123" s="94"/>
    </row>
    <row r="1124" s="93" customFormat="1" spans="3:13">
      <c r="C1124" s="94"/>
      <c r="E1124" s="94"/>
      <c r="G1124" s="94"/>
      <c r="I1124" s="94"/>
      <c r="K1124" s="94"/>
      <c r="M1124" s="94"/>
    </row>
    <row r="1125" s="93" customFormat="1" spans="3:13">
      <c r="C1125" s="94"/>
      <c r="E1125" s="94"/>
      <c r="G1125" s="94"/>
      <c r="I1125" s="94"/>
      <c r="K1125" s="94"/>
      <c r="M1125" s="94"/>
    </row>
    <row r="1126" s="93" customFormat="1" spans="3:13">
      <c r="C1126" s="94"/>
      <c r="E1126" s="94"/>
      <c r="G1126" s="94"/>
      <c r="I1126" s="94"/>
      <c r="K1126" s="94"/>
      <c r="M1126" s="94"/>
    </row>
    <row r="1127" s="93" customFormat="1" spans="3:13">
      <c r="C1127" s="94"/>
      <c r="E1127" s="94"/>
      <c r="G1127" s="94"/>
      <c r="I1127" s="94"/>
      <c r="K1127" s="94"/>
      <c r="M1127" s="94"/>
    </row>
    <row r="1128" s="93" customFormat="1" spans="3:13">
      <c r="C1128" s="94"/>
      <c r="E1128" s="94"/>
      <c r="G1128" s="94"/>
      <c r="I1128" s="94"/>
      <c r="K1128" s="94"/>
      <c r="M1128" s="94"/>
    </row>
    <row r="1129" s="93" customFormat="1" spans="3:13">
      <c r="C1129" s="94"/>
      <c r="E1129" s="94"/>
      <c r="G1129" s="94"/>
      <c r="I1129" s="94"/>
      <c r="K1129" s="94"/>
      <c r="M1129" s="94"/>
    </row>
    <row r="1130" s="93" customFormat="1" spans="3:13">
      <c r="C1130" s="94"/>
      <c r="E1130" s="94"/>
      <c r="G1130" s="94"/>
      <c r="I1130" s="94"/>
      <c r="K1130" s="94"/>
      <c r="M1130" s="94"/>
    </row>
    <row r="1131" s="93" customFormat="1" spans="3:13">
      <c r="C1131" s="94"/>
      <c r="E1131" s="94"/>
      <c r="G1131" s="94"/>
      <c r="I1131" s="94"/>
      <c r="K1131" s="94"/>
      <c r="M1131" s="94"/>
    </row>
    <row r="1132" s="93" customFormat="1" spans="3:13">
      <c r="C1132" s="94"/>
      <c r="E1132" s="94"/>
      <c r="G1132" s="94"/>
      <c r="I1132" s="94"/>
      <c r="K1132" s="94"/>
      <c r="M1132" s="94"/>
    </row>
    <row r="1133" s="93" customFormat="1" spans="3:13">
      <c r="C1133" s="94"/>
      <c r="E1133" s="94"/>
      <c r="G1133" s="94"/>
      <c r="I1133" s="94"/>
      <c r="K1133" s="94"/>
      <c r="M1133" s="94"/>
    </row>
    <row r="1134" s="93" customFormat="1" spans="3:13">
      <c r="C1134" s="94"/>
      <c r="E1134" s="94"/>
      <c r="G1134" s="94"/>
      <c r="I1134" s="94"/>
      <c r="K1134" s="94"/>
      <c r="M1134" s="94"/>
    </row>
    <row r="1135" s="93" customFormat="1" spans="3:13">
      <c r="C1135" s="94"/>
      <c r="E1135" s="94"/>
      <c r="G1135" s="94"/>
      <c r="I1135" s="94"/>
      <c r="K1135" s="94"/>
      <c r="M1135" s="94"/>
    </row>
    <row r="1136" s="93" customFormat="1" spans="3:13">
      <c r="C1136" s="94"/>
      <c r="E1136" s="94"/>
      <c r="G1136" s="94"/>
      <c r="I1136" s="94"/>
      <c r="K1136" s="94"/>
      <c r="M1136" s="94"/>
    </row>
    <row r="1137" s="93" customFormat="1" spans="3:13">
      <c r="C1137" s="94"/>
      <c r="E1137" s="94"/>
      <c r="G1137" s="94"/>
      <c r="I1137" s="94"/>
      <c r="K1137" s="94"/>
      <c r="M1137" s="94"/>
    </row>
    <row r="1138" s="93" customFormat="1" spans="3:13">
      <c r="C1138" s="94"/>
      <c r="E1138" s="94"/>
      <c r="G1138" s="94"/>
      <c r="I1138" s="94"/>
      <c r="K1138" s="94"/>
      <c r="M1138" s="94"/>
    </row>
    <row r="1139" s="93" customFormat="1" spans="3:13">
      <c r="C1139" s="94"/>
      <c r="E1139" s="94"/>
      <c r="G1139" s="94"/>
      <c r="I1139" s="94"/>
      <c r="K1139" s="94"/>
      <c r="M1139" s="94"/>
    </row>
    <row r="1140" s="93" customFormat="1" spans="3:13">
      <c r="C1140" s="94"/>
      <c r="E1140" s="94"/>
      <c r="G1140" s="94"/>
      <c r="I1140" s="94"/>
      <c r="K1140" s="94"/>
      <c r="M1140" s="94"/>
    </row>
    <row r="1141" s="93" customFormat="1" spans="3:13">
      <c r="C1141" s="94"/>
      <c r="E1141" s="94"/>
      <c r="G1141" s="94"/>
      <c r="I1141" s="94"/>
      <c r="K1141" s="94"/>
      <c r="M1141" s="94"/>
    </row>
    <row r="1142" s="93" customFormat="1" spans="3:13">
      <c r="C1142" s="94"/>
      <c r="E1142" s="94"/>
      <c r="G1142" s="94"/>
      <c r="I1142" s="94"/>
      <c r="K1142" s="94"/>
      <c r="M1142" s="94"/>
    </row>
    <row r="1143" s="93" customFormat="1" spans="3:13">
      <c r="C1143" s="94"/>
      <c r="E1143" s="94"/>
      <c r="G1143" s="94"/>
      <c r="I1143" s="94"/>
      <c r="K1143" s="94"/>
      <c r="M1143" s="94"/>
    </row>
    <row r="1144" s="93" customFormat="1" spans="3:13">
      <c r="C1144" s="94"/>
      <c r="E1144" s="94"/>
      <c r="G1144" s="94"/>
      <c r="I1144" s="94"/>
      <c r="K1144" s="94"/>
      <c r="M1144" s="94"/>
    </row>
    <row r="1145" s="93" customFormat="1" spans="3:13">
      <c r="C1145" s="94"/>
      <c r="E1145" s="94"/>
      <c r="G1145" s="94"/>
      <c r="I1145" s="94"/>
      <c r="K1145" s="94"/>
      <c r="M1145" s="94"/>
    </row>
    <row r="1146" s="93" customFormat="1" spans="3:13">
      <c r="C1146" s="94"/>
      <c r="E1146" s="94"/>
      <c r="G1146" s="94"/>
      <c r="I1146" s="94"/>
      <c r="K1146" s="94"/>
      <c r="M1146" s="94"/>
    </row>
    <row r="1147" s="93" customFormat="1" spans="3:13">
      <c r="C1147" s="94"/>
      <c r="E1147" s="94"/>
      <c r="G1147" s="94"/>
      <c r="I1147" s="94"/>
      <c r="K1147" s="94"/>
      <c r="M1147" s="94"/>
    </row>
    <row r="1148" s="93" customFormat="1" spans="3:13">
      <c r="C1148" s="94"/>
      <c r="E1148" s="94"/>
      <c r="G1148" s="94"/>
      <c r="I1148" s="94"/>
      <c r="K1148" s="94"/>
      <c r="M1148" s="94"/>
    </row>
    <row r="1149" s="93" customFormat="1" spans="3:13">
      <c r="C1149" s="94"/>
      <c r="E1149" s="94"/>
      <c r="G1149" s="94"/>
      <c r="I1149" s="94"/>
      <c r="K1149" s="94"/>
      <c r="M1149" s="94"/>
    </row>
    <row r="1150" s="93" customFormat="1" spans="3:13">
      <c r="C1150" s="94"/>
      <c r="E1150" s="94"/>
      <c r="G1150" s="94"/>
      <c r="I1150" s="94"/>
      <c r="K1150" s="94"/>
      <c r="M1150" s="94"/>
    </row>
    <row r="1151" s="93" customFormat="1" spans="3:13">
      <c r="C1151" s="94"/>
      <c r="E1151" s="94"/>
      <c r="G1151" s="94"/>
      <c r="I1151" s="94"/>
      <c r="K1151" s="94"/>
      <c r="M1151" s="94"/>
    </row>
    <row r="1152" s="93" customFormat="1" spans="3:13">
      <c r="C1152" s="94"/>
      <c r="E1152" s="94"/>
      <c r="G1152" s="94"/>
      <c r="I1152" s="94"/>
      <c r="K1152" s="94"/>
      <c r="M1152" s="94"/>
    </row>
    <row r="1153" s="93" customFormat="1" spans="3:13">
      <c r="C1153" s="94"/>
      <c r="E1153" s="94"/>
      <c r="G1153" s="94"/>
      <c r="I1153" s="94"/>
      <c r="K1153" s="94"/>
      <c r="M1153" s="94"/>
    </row>
    <row r="1154" s="93" customFormat="1" spans="3:13">
      <c r="C1154" s="94"/>
      <c r="E1154" s="94"/>
      <c r="G1154" s="94"/>
      <c r="I1154" s="94"/>
      <c r="K1154" s="94"/>
      <c r="M1154" s="94"/>
    </row>
    <row r="1155" s="93" customFormat="1" spans="3:13">
      <c r="C1155" s="94"/>
      <c r="E1155" s="94"/>
      <c r="G1155" s="94"/>
      <c r="I1155" s="94"/>
      <c r="K1155" s="94"/>
      <c r="M1155" s="94"/>
    </row>
    <row r="1156" s="93" customFormat="1" spans="3:13">
      <c r="C1156" s="94"/>
      <c r="E1156" s="94"/>
      <c r="G1156" s="94"/>
      <c r="I1156" s="94"/>
      <c r="K1156" s="94"/>
      <c r="M1156" s="94"/>
    </row>
    <row r="1157" s="93" customFormat="1" spans="3:13">
      <c r="C1157" s="94"/>
      <c r="E1157" s="94"/>
      <c r="G1157" s="94"/>
      <c r="I1157" s="94"/>
      <c r="K1157" s="94"/>
      <c r="M1157" s="94"/>
    </row>
    <row r="1158" s="93" customFormat="1" spans="3:13">
      <c r="C1158" s="94"/>
      <c r="E1158" s="94"/>
      <c r="G1158" s="94"/>
      <c r="I1158" s="94"/>
      <c r="K1158" s="94"/>
      <c r="M1158" s="94"/>
    </row>
    <row r="1159" s="93" customFormat="1" spans="3:13">
      <c r="C1159" s="94"/>
      <c r="E1159" s="94"/>
      <c r="G1159" s="94"/>
      <c r="I1159" s="94"/>
      <c r="K1159" s="94"/>
      <c r="M1159" s="94"/>
    </row>
    <row r="1160" s="93" customFormat="1" spans="3:13">
      <c r="C1160" s="94"/>
      <c r="E1160" s="94"/>
      <c r="G1160" s="94"/>
      <c r="I1160" s="94"/>
      <c r="K1160" s="94"/>
      <c r="M1160" s="94"/>
    </row>
    <row r="1161" s="93" customFormat="1" spans="3:13">
      <c r="C1161" s="94"/>
      <c r="E1161" s="94"/>
      <c r="G1161" s="94"/>
      <c r="I1161" s="94"/>
      <c r="K1161" s="94"/>
      <c r="M1161" s="94"/>
    </row>
    <row r="1162" s="93" customFormat="1" spans="3:13">
      <c r="C1162" s="94"/>
      <c r="E1162" s="94"/>
      <c r="G1162" s="94"/>
      <c r="I1162" s="94"/>
      <c r="K1162" s="94"/>
      <c r="M1162" s="94"/>
    </row>
    <row r="1163" s="93" customFormat="1" spans="3:13">
      <c r="C1163" s="94"/>
      <c r="E1163" s="94"/>
      <c r="G1163" s="94"/>
      <c r="I1163" s="94"/>
      <c r="K1163" s="94"/>
      <c r="M1163" s="94"/>
    </row>
    <row r="1164" s="93" customFormat="1" spans="3:13">
      <c r="C1164" s="94"/>
      <c r="E1164" s="94"/>
      <c r="G1164" s="94"/>
      <c r="I1164" s="94"/>
      <c r="K1164" s="94"/>
      <c r="M1164" s="94"/>
    </row>
    <row r="1165" s="93" customFormat="1" spans="3:13">
      <c r="C1165" s="94"/>
      <c r="E1165" s="94"/>
      <c r="G1165" s="94"/>
      <c r="I1165" s="94"/>
      <c r="K1165" s="94"/>
      <c r="M1165" s="94"/>
    </row>
    <row r="1166" s="93" customFormat="1" spans="3:13">
      <c r="C1166" s="94"/>
      <c r="E1166" s="94"/>
      <c r="G1166" s="94"/>
      <c r="I1166" s="94"/>
      <c r="K1166" s="94"/>
      <c r="M1166" s="94"/>
    </row>
    <row r="1167" s="93" customFormat="1" spans="3:13">
      <c r="C1167" s="94"/>
      <c r="E1167" s="94"/>
      <c r="G1167" s="94"/>
      <c r="I1167" s="94"/>
      <c r="K1167" s="94"/>
      <c r="M1167" s="94"/>
    </row>
    <row r="1168" s="93" customFormat="1" spans="3:13">
      <c r="C1168" s="94"/>
      <c r="E1168" s="94"/>
      <c r="G1168" s="94"/>
      <c r="I1168" s="94"/>
      <c r="K1168" s="94"/>
      <c r="M1168" s="94"/>
    </row>
    <row r="1169" s="93" customFormat="1" spans="3:13">
      <c r="C1169" s="94"/>
      <c r="E1169" s="94"/>
      <c r="G1169" s="94"/>
      <c r="I1169" s="94"/>
      <c r="K1169" s="94"/>
      <c r="M1169" s="94"/>
    </row>
    <row r="1170" s="93" customFormat="1" spans="3:13">
      <c r="C1170" s="94"/>
      <c r="E1170" s="94"/>
      <c r="G1170" s="94"/>
      <c r="I1170" s="94"/>
      <c r="K1170" s="94"/>
      <c r="M1170" s="94"/>
    </row>
    <row r="1171" s="93" customFormat="1" spans="3:13">
      <c r="C1171" s="94"/>
      <c r="E1171" s="94"/>
      <c r="G1171" s="94"/>
      <c r="I1171" s="94"/>
      <c r="K1171" s="94"/>
      <c r="M1171" s="94"/>
    </row>
    <row r="1172" s="93" customFormat="1" spans="3:13">
      <c r="C1172" s="94"/>
      <c r="E1172" s="94"/>
      <c r="G1172" s="94"/>
      <c r="I1172" s="94"/>
      <c r="K1172" s="94"/>
      <c r="M1172" s="94"/>
    </row>
    <row r="1173" s="93" customFormat="1" spans="3:13">
      <c r="C1173" s="94"/>
      <c r="E1173" s="94"/>
      <c r="G1173" s="94"/>
      <c r="I1173" s="94"/>
      <c r="K1173" s="94"/>
      <c r="M1173" s="94"/>
    </row>
    <row r="1174" s="93" customFormat="1" spans="3:13">
      <c r="C1174" s="94"/>
      <c r="E1174" s="94"/>
      <c r="G1174" s="94"/>
      <c r="I1174" s="94"/>
      <c r="K1174" s="94"/>
      <c r="M1174" s="94"/>
    </row>
    <row r="1175" s="93" customFormat="1" spans="3:13">
      <c r="C1175" s="94"/>
      <c r="E1175" s="94"/>
      <c r="G1175" s="94"/>
      <c r="I1175" s="94"/>
      <c r="K1175" s="94"/>
      <c r="M1175" s="94"/>
    </row>
    <row r="1176" s="93" customFormat="1" spans="3:13">
      <c r="C1176" s="94"/>
      <c r="E1176" s="94"/>
      <c r="G1176" s="94"/>
      <c r="I1176" s="94"/>
      <c r="K1176" s="94"/>
      <c r="M1176" s="94"/>
    </row>
    <row r="1177" s="93" customFormat="1" spans="3:13">
      <c r="C1177" s="94"/>
      <c r="E1177" s="94"/>
      <c r="G1177" s="94"/>
      <c r="I1177" s="94"/>
      <c r="K1177" s="94"/>
      <c r="M1177" s="94"/>
    </row>
    <row r="1178" s="93" customFormat="1" spans="3:13">
      <c r="C1178" s="94"/>
      <c r="E1178" s="94"/>
      <c r="G1178" s="94"/>
      <c r="I1178" s="94"/>
      <c r="K1178" s="94"/>
      <c r="M1178" s="94"/>
    </row>
    <row r="1179" s="93" customFormat="1" spans="3:13">
      <c r="C1179" s="94"/>
      <c r="E1179" s="94"/>
      <c r="G1179" s="94"/>
      <c r="I1179" s="94"/>
      <c r="K1179" s="94"/>
      <c r="M1179" s="94"/>
    </row>
    <row r="1180" s="93" customFormat="1" spans="3:13">
      <c r="C1180" s="94"/>
      <c r="E1180" s="94"/>
      <c r="G1180" s="94"/>
      <c r="I1180" s="94"/>
      <c r="K1180" s="94"/>
      <c r="M1180" s="94"/>
    </row>
    <row r="1181" s="93" customFormat="1" spans="3:13">
      <c r="C1181" s="94"/>
      <c r="E1181" s="94"/>
      <c r="G1181" s="94"/>
      <c r="I1181" s="94"/>
      <c r="K1181" s="94"/>
      <c r="M1181" s="94"/>
    </row>
    <row r="1182" s="93" customFormat="1" spans="3:13">
      <c r="C1182" s="94"/>
      <c r="E1182" s="94"/>
      <c r="G1182" s="94"/>
      <c r="I1182" s="94"/>
      <c r="K1182" s="94"/>
      <c r="M1182" s="94"/>
    </row>
    <row r="1183" s="93" customFormat="1" spans="3:13">
      <c r="C1183" s="94"/>
      <c r="E1183" s="94"/>
      <c r="G1183" s="94"/>
      <c r="I1183" s="94"/>
      <c r="K1183" s="94"/>
      <c r="M1183" s="94"/>
    </row>
    <row r="1184" s="93" customFormat="1" spans="3:13">
      <c r="C1184" s="94"/>
      <c r="E1184" s="94"/>
      <c r="G1184" s="94"/>
      <c r="I1184" s="94"/>
      <c r="K1184" s="94"/>
      <c r="M1184" s="94"/>
    </row>
    <row r="1185" s="93" customFormat="1" spans="3:13">
      <c r="C1185" s="94"/>
      <c r="E1185" s="94"/>
      <c r="G1185" s="94"/>
      <c r="I1185" s="94"/>
      <c r="K1185" s="94"/>
      <c r="M1185" s="94"/>
    </row>
    <row r="1186" s="93" customFormat="1" spans="3:13">
      <c r="C1186" s="94"/>
      <c r="E1186" s="94"/>
      <c r="G1186" s="94"/>
      <c r="I1186" s="94"/>
      <c r="K1186" s="94"/>
      <c r="M1186" s="94"/>
    </row>
    <row r="1187" s="93" customFormat="1" spans="3:13">
      <c r="C1187" s="94"/>
      <c r="E1187" s="94"/>
      <c r="G1187" s="94"/>
      <c r="I1187" s="94"/>
      <c r="K1187" s="94"/>
      <c r="M1187" s="94"/>
    </row>
    <row r="1188" s="93" customFormat="1" spans="3:13">
      <c r="C1188" s="94"/>
      <c r="E1188" s="94"/>
      <c r="G1188" s="94"/>
      <c r="I1188" s="94"/>
      <c r="K1188" s="94"/>
      <c r="M1188" s="94"/>
    </row>
    <row r="1189" s="93" customFormat="1" spans="3:13">
      <c r="C1189" s="94"/>
      <c r="E1189" s="94"/>
      <c r="G1189" s="94"/>
      <c r="I1189" s="94"/>
      <c r="K1189" s="94"/>
      <c r="M1189" s="94"/>
    </row>
    <row r="1190" s="93" customFormat="1" spans="3:13">
      <c r="C1190" s="94"/>
      <c r="E1190" s="94"/>
      <c r="G1190" s="94"/>
      <c r="I1190" s="94"/>
      <c r="K1190" s="94"/>
      <c r="M1190" s="94"/>
    </row>
    <row r="1191" s="93" customFormat="1" spans="3:13">
      <c r="C1191" s="94"/>
      <c r="E1191" s="94"/>
      <c r="G1191" s="94"/>
      <c r="I1191" s="94"/>
      <c r="K1191" s="94"/>
      <c r="M1191" s="94"/>
    </row>
    <row r="1192" s="93" customFormat="1" spans="3:13">
      <c r="C1192" s="94"/>
      <c r="E1192" s="94"/>
      <c r="G1192" s="94"/>
      <c r="I1192" s="94"/>
      <c r="K1192" s="94"/>
      <c r="M1192" s="94"/>
    </row>
    <row r="1193" s="93" customFormat="1" spans="3:13">
      <c r="C1193" s="94"/>
      <c r="E1193" s="94"/>
      <c r="G1193" s="94"/>
      <c r="I1193" s="94"/>
      <c r="K1193" s="94"/>
      <c r="M1193" s="94"/>
    </row>
    <row r="1194" s="93" customFormat="1" spans="3:13">
      <c r="C1194" s="94"/>
      <c r="E1194" s="94"/>
      <c r="G1194" s="94"/>
      <c r="I1194" s="94"/>
      <c r="K1194" s="94"/>
      <c r="M1194" s="94"/>
    </row>
    <row r="1195" s="93" customFormat="1" spans="3:13">
      <c r="C1195" s="94"/>
      <c r="E1195" s="94"/>
      <c r="G1195" s="94"/>
      <c r="I1195" s="94"/>
      <c r="K1195" s="94"/>
      <c r="M1195" s="94"/>
    </row>
    <row r="1196" s="93" customFormat="1" spans="3:13">
      <c r="C1196" s="94"/>
      <c r="E1196" s="94"/>
      <c r="G1196" s="94"/>
      <c r="I1196" s="94"/>
      <c r="K1196" s="94"/>
      <c r="M1196" s="94"/>
    </row>
    <row r="1197" s="93" customFormat="1" spans="3:13">
      <c r="C1197" s="94"/>
      <c r="E1197" s="94"/>
      <c r="G1197" s="94"/>
      <c r="I1197" s="94"/>
      <c r="K1197" s="94"/>
      <c r="M1197" s="94"/>
    </row>
    <row r="1198" s="93" customFormat="1" spans="3:13">
      <c r="C1198" s="94"/>
      <c r="E1198" s="94"/>
      <c r="G1198" s="94"/>
      <c r="I1198" s="94"/>
      <c r="K1198" s="94"/>
      <c r="M1198" s="94"/>
    </row>
    <row r="1199" s="93" customFormat="1" spans="3:13">
      <c r="C1199" s="94"/>
      <c r="E1199" s="94"/>
      <c r="G1199" s="94"/>
      <c r="I1199" s="94"/>
      <c r="K1199" s="94"/>
      <c r="M1199" s="94"/>
    </row>
    <row r="1200" s="93" customFormat="1" spans="3:13">
      <c r="C1200" s="94"/>
      <c r="E1200" s="94"/>
      <c r="G1200" s="94"/>
      <c r="I1200" s="94"/>
      <c r="K1200" s="94"/>
      <c r="M1200" s="94"/>
    </row>
    <row r="1201" s="93" customFormat="1" spans="3:13">
      <c r="C1201" s="94"/>
      <c r="E1201" s="94"/>
      <c r="G1201" s="94"/>
      <c r="I1201" s="94"/>
      <c r="K1201" s="94"/>
      <c r="M1201" s="94"/>
    </row>
    <row r="1202" s="93" customFormat="1" spans="3:13">
      <c r="C1202" s="94"/>
      <c r="E1202" s="94"/>
      <c r="G1202" s="94"/>
      <c r="I1202" s="94"/>
      <c r="K1202" s="94"/>
      <c r="M1202" s="94"/>
    </row>
    <row r="1203" s="93" customFormat="1" spans="3:13">
      <c r="C1203" s="94"/>
      <c r="E1203" s="94"/>
      <c r="G1203" s="94"/>
      <c r="I1203" s="94"/>
      <c r="K1203" s="94"/>
      <c r="M1203" s="94"/>
    </row>
    <row r="1204" s="93" customFormat="1" spans="3:13">
      <c r="C1204" s="94"/>
      <c r="E1204" s="94"/>
      <c r="G1204" s="94"/>
      <c r="I1204" s="94"/>
      <c r="K1204" s="94"/>
      <c r="M1204" s="94"/>
    </row>
    <row r="1205" s="93" customFormat="1" spans="3:13">
      <c r="C1205" s="94"/>
      <c r="E1205" s="94"/>
      <c r="G1205" s="94"/>
      <c r="I1205" s="94"/>
      <c r="K1205" s="94"/>
      <c r="M1205" s="94"/>
    </row>
    <row r="1206" s="93" customFormat="1" spans="3:13">
      <c r="C1206" s="94"/>
      <c r="E1206" s="94"/>
      <c r="G1206" s="94"/>
      <c r="I1206" s="94"/>
      <c r="K1206" s="94"/>
      <c r="M1206" s="94"/>
    </row>
    <row r="1207" s="93" customFormat="1" spans="3:13">
      <c r="C1207" s="94"/>
      <c r="E1207" s="94"/>
      <c r="G1207" s="94"/>
      <c r="I1207" s="94"/>
      <c r="K1207" s="94"/>
      <c r="M1207" s="94"/>
    </row>
    <row r="1208" s="93" customFormat="1" spans="3:13">
      <c r="C1208" s="94"/>
      <c r="E1208" s="94"/>
      <c r="G1208" s="94"/>
      <c r="I1208" s="94"/>
      <c r="K1208" s="94"/>
      <c r="M1208" s="94"/>
    </row>
    <row r="1209" s="93" customFormat="1" spans="3:13">
      <c r="C1209" s="94"/>
      <c r="E1209" s="94"/>
      <c r="G1209" s="94"/>
      <c r="I1209" s="94"/>
      <c r="K1209" s="94"/>
      <c r="M1209" s="94"/>
    </row>
    <row r="1210" s="93" customFormat="1" spans="3:13">
      <c r="C1210" s="94"/>
      <c r="E1210" s="94"/>
      <c r="G1210" s="94"/>
      <c r="I1210" s="94"/>
      <c r="K1210" s="94"/>
      <c r="M1210" s="94"/>
    </row>
    <row r="1211" s="93" customFormat="1" spans="3:13">
      <c r="C1211" s="94"/>
      <c r="E1211" s="94"/>
      <c r="G1211" s="94"/>
      <c r="I1211" s="94"/>
      <c r="K1211" s="94"/>
      <c r="M1211" s="94"/>
    </row>
    <row r="1212" s="93" customFormat="1" spans="3:13">
      <c r="C1212" s="94"/>
      <c r="E1212" s="94"/>
      <c r="G1212" s="94"/>
      <c r="I1212" s="94"/>
      <c r="K1212" s="94"/>
      <c r="M1212" s="94"/>
    </row>
    <row r="1213" s="93" customFormat="1" spans="3:13">
      <c r="C1213" s="94"/>
      <c r="E1213" s="94"/>
      <c r="G1213" s="94"/>
      <c r="I1213" s="94"/>
      <c r="K1213" s="94"/>
      <c r="M1213" s="94"/>
    </row>
    <row r="1214" s="93" customFormat="1" spans="3:13">
      <c r="C1214" s="94"/>
      <c r="E1214" s="94"/>
      <c r="G1214" s="94"/>
      <c r="I1214" s="94"/>
      <c r="K1214" s="94"/>
      <c r="M1214" s="94"/>
    </row>
    <row r="1215" s="93" customFormat="1" spans="3:13">
      <c r="C1215" s="94"/>
      <c r="E1215" s="94"/>
      <c r="G1215" s="94"/>
      <c r="I1215" s="94"/>
      <c r="K1215" s="94"/>
      <c r="M1215" s="94"/>
    </row>
    <row r="1216" s="93" customFormat="1" spans="3:13">
      <c r="C1216" s="94"/>
      <c r="E1216" s="94"/>
      <c r="G1216" s="94"/>
      <c r="I1216" s="94"/>
      <c r="K1216" s="94"/>
      <c r="M1216" s="94"/>
    </row>
    <row r="1217" s="93" customFormat="1" spans="3:13">
      <c r="C1217" s="94"/>
      <c r="E1217" s="94"/>
      <c r="G1217" s="94"/>
      <c r="I1217" s="94"/>
      <c r="K1217" s="94"/>
      <c r="M1217" s="94"/>
    </row>
    <row r="1218" s="93" customFormat="1" spans="3:13">
      <c r="C1218" s="94"/>
      <c r="E1218" s="94"/>
      <c r="G1218" s="94"/>
      <c r="I1218" s="94"/>
      <c r="K1218" s="94"/>
      <c r="M1218" s="94"/>
    </row>
    <row r="1219" s="93" customFormat="1" spans="3:13">
      <c r="C1219" s="94"/>
      <c r="E1219" s="94"/>
      <c r="G1219" s="94"/>
      <c r="I1219" s="94"/>
      <c r="K1219" s="94"/>
      <c r="M1219" s="94"/>
    </row>
    <row r="1220" s="93" customFormat="1" spans="3:13">
      <c r="C1220" s="94"/>
      <c r="E1220" s="94"/>
      <c r="G1220" s="94"/>
      <c r="I1220" s="94"/>
      <c r="K1220" s="94"/>
      <c r="M1220" s="94"/>
    </row>
    <row r="1221" s="93" customFormat="1" spans="3:13">
      <c r="C1221" s="94"/>
      <c r="E1221" s="94"/>
      <c r="G1221" s="94"/>
      <c r="I1221" s="94"/>
      <c r="K1221" s="94"/>
      <c r="M1221" s="94"/>
    </row>
    <row r="1222" s="93" customFormat="1" spans="3:13">
      <c r="C1222" s="94"/>
      <c r="E1222" s="94"/>
      <c r="G1222" s="94"/>
      <c r="I1222" s="94"/>
      <c r="K1222" s="94"/>
      <c r="M1222" s="94"/>
    </row>
    <row r="1223" s="93" customFormat="1" spans="3:13">
      <c r="C1223" s="94"/>
      <c r="E1223" s="94"/>
      <c r="G1223" s="94"/>
      <c r="I1223" s="94"/>
      <c r="K1223" s="94"/>
      <c r="M1223" s="94"/>
    </row>
    <row r="1224" s="93" customFormat="1" spans="3:13">
      <c r="C1224" s="94"/>
      <c r="E1224" s="94"/>
      <c r="G1224" s="94"/>
      <c r="I1224" s="94"/>
      <c r="K1224" s="94"/>
      <c r="M1224" s="94"/>
    </row>
    <row r="1225" s="93" customFormat="1" spans="3:13">
      <c r="C1225" s="94"/>
      <c r="E1225" s="94"/>
      <c r="G1225" s="94"/>
      <c r="I1225" s="94"/>
      <c r="K1225" s="94"/>
      <c r="M1225" s="94"/>
    </row>
    <row r="1226" s="93" customFormat="1" spans="3:13">
      <c r="C1226" s="94"/>
      <c r="E1226" s="94"/>
      <c r="G1226" s="94"/>
      <c r="I1226" s="94"/>
      <c r="K1226" s="94"/>
      <c r="M1226" s="94"/>
    </row>
    <row r="1227" s="93" customFormat="1" spans="3:13">
      <c r="C1227" s="94"/>
      <c r="E1227" s="94"/>
      <c r="G1227" s="94"/>
      <c r="I1227" s="94"/>
      <c r="K1227" s="94"/>
      <c r="M1227" s="94"/>
    </row>
    <row r="1228" s="93" customFormat="1" spans="3:13">
      <c r="C1228" s="94"/>
      <c r="E1228" s="94"/>
      <c r="G1228" s="94"/>
      <c r="I1228" s="94"/>
      <c r="K1228" s="94"/>
      <c r="M1228" s="94"/>
    </row>
    <row r="1229" s="93" customFormat="1" spans="3:13">
      <c r="C1229" s="94"/>
      <c r="E1229" s="94"/>
      <c r="G1229" s="94"/>
      <c r="I1229" s="94"/>
      <c r="K1229" s="94"/>
      <c r="M1229" s="94"/>
    </row>
    <row r="1230" s="93" customFormat="1" spans="3:13">
      <c r="C1230" s="94"/>
      <c r="E1230" s="94"/>
      <c r="G1230" s="94"/>
      <c r="I1230" s="94"/>
      <c r="K1230" s="94"/>
      <c r="M1230" s="94"/>
    </row>
    <row r="1231" s="93" customFormat="1" spans="3:13">
      <c r="C1231" s="94"/>
      <c r="E1231" s="94"/>
      <c r="G1231" s="94"/>
      <c r="I1231" s="94"/>
      <c r="K1231" s="94"/>
      <c r="M1231" s="94"/>
    </row>
    <row r="1232" s="93" customFormat="1" spans="3:13">
      <c r="C1232" s="94"/>
      <c r="E1232" s="94"/>
      <c r="G1232" s="94"/>
      <c r="I1232" s="94"/>
      <c r="K1232" s="94"/>
      <c r="M1232" s="94"/>
    </row>
    <row r="1233" s="93" customFormat="1" spans="3:13">
      <c r="C1233" s="94"/>
      <c r="E1233" s="94"/>
      <c r="G1233" s="94"/>
      <c r="I1233" s="94"/>
      <c r="K1233" s="94"/>
      <c r="M1233" s="94"/>
    </row>
    <row r="1234" s="93" customFormat="1" spans="3:13">
      <c r="C1234" s="94"/>
      <c r="E1234" s="94"/>
      <c r="G1234" s="94"/>
      <c r="I1234" s="94"/>
      <c r="K1234" s="94"/>
      <c r="M1234" s="94"/>
    </row>
    <row r="1235" s="93" customFormat="1" spans="3:13">
      <c r="C1235" s="94"/>
      <c r="E1235" s="94"/>
      <c r="G1235" s="94"/>
      <c r="I1235" s="94"/>
      <c r="K1235" s="94"/>
      <c r="M1235" s="94"/>
    </row>
    <row r="1236" s="93" customFormat="1" spans="3:13">
      <c r="C1236" s="94"/>
      <c r="E1236" s="94"/>
      <c r="G1236" s="94"/>
      <c r="I1236" s="94"/>
      <c r="K1236" s="94"/>
      <c r="M1236" s="94"/>
    </row>
    <row r="1237" s="93" customFormat="1" spans="3:13">
      <c r="C1237" s="94"/>
      <c r="E1237" s="94"/>
      <c r="G1237" s="94"/>
      <c r="I1237" s="94"/>
      <c r="K1237" s="94"/>
      <c r="M1237" s="94"/>
    </row>
    <row r="1238" s="93" customFormat="1" spans="3:13">
      <c r="C1238" s="94"/>
      <c r="E1238" s="94"/>
      <c r="G1238" s="94"/>
      <c r="I1238" s="94"/>
      <c r="K1238" s="94"/>
      <c r="M1238" s="94"/>
    </row>
    <row r="1239" s="93" customFormat="1" spans="3:13">
      <c r="C1239" s="94"/>
      <c r="E1239" s="94"/>
      <c r="G1239" s="94"/>
      <c r="I1239" s="94"/>
      <c r="K1239" s="94"/>
      <c r="M1239" s="94"/>
    </row>
    <row r="1240" s="93" customFormat="1" spans="3:13">
      <c r="C1240" s="94"/>
      <c r="E1240" s="94"/>
      <c r="G1240" s="94"/>
      <c r="I1240" s="94"/>
      <c r="K1240" s="94"/>
      <c r="M1240" s="94"/>
    </row>
    <row r="1241" s="93" customFormat="1" spans="3:13">
      <c r="C1241" s="94"/>
      <c r="E1241" s="94"/>
      <c r="G1241" s="94"/>
      <c r="I1241" s="94"/>
      <c r="K1241" s="94"/>
      <c r="M1241" s="94"/>
    </row>
    <row r="1242" s="93" customFormat="1" spans="3:13">
      <c r="C1242" s="94"/>
      <c r="E1242" s="94"/>
      <c r="G1242" s="94"/>
      <c r="I1242" s="94"/>
      <c r="K1242" s="94"/>
      <c r="M1242" s="94"/>
    </row>
    <row r="1243" s="93" customFormat="1" spans="3:13">
      <c r="C1243" s="94"/>
      <c r="E1243" s="94"/>
      <c r="G1243" s="94"/>
      <c r="I1243" s="94"/>
      <c r="K1243" s="94"/>
      <c r="M1243" s="94"/>
    </row>
    <row r="1244" s="93" customFormat="1" spans="3:13">
      <c r="C1244" s="94"/>
      <c r="E1244" s="94"/>
      <c r="G1244" s="94"/>
      <c r="I1244" s="94"/>
      <c r="K1244" s="94"/>
      <c r="M1244" s="94"/>
    </row>
    <row r="1245" s="93" customFormat="1" spans="3:13">
      <c r="C1245" s="94"/>
      <c r="E1245" s="94"/>
      <c r="G1245" s="94"/>
      <c r="I1245" s="94"/>
      <c r="K1245" s="94"/>
      <c r="M1245" s="94"/>
    </row>
    <row r="1246" s="93" customFormat="1" spans="3:13">
      <c r="C1246" s="94"/>
      <c r="E1246" s="94"/>
      <c r="G1246" s="94"/>
      <c r="I1246" s="94"/>
      <c r="K1246" s="94"/>
      <c r="M1246" s="94"/>
    </row>
    <row r="1247" s="93" customFormat="1" spans="3:13">
      <c r="C1247" s="94"/>
      <c r="E1247" s="94"/>
      <c r="G1247" s="94"/>
      <c r="I1247" s="94"/>
      <c r="K1247" s="94"/>
      <c r="M1247" s="94"/>
    </row>
    <row r="1248" s="93" customFormat="1" spans="3:13">
      <c r="C1248" s="94"/>
      <c r="E1248" s="94"/>
      <c r="G1248" s="94"/>
      <c r="I1248" s="94"/>
      <c r="K1248" s="94"/>
      <c r="M1248" s="94"/>
    </row>
    <row r="1249" s="93" customFormat="1" spans="3:13">
      <c r="C1249" s="94"/>
      <c r="E1249" s="94"/>
      <c r="G1249" s="94"/>
      <c r="I1249" s="94"/>
      <c r="K1249" s="94"/>
      <c r="M1249" s="94"/>
    </row>
    <row r="1250" s="93" customFormat="1" spans="3:13">
      <c r="C1250" s="94"/>
      <c r="E1250" s="94"/>
      <c r="G1250" s="94"/>
      <c r="I1250" s="94"/>
      <c r="K1250" s="94"/>
      <c r="M1250" s="94"/>
    </row>
    <row r="1251" s="93" customFormat="1" spans="3:13">
      <c r="C1251" s="94"/>
      <c r="E1251" s="94"/>
      <c r="G1251" s="94"/>
      <c r="I1251" s="94"/>
      <c r="K1251" s="94"/>
      <c r="M1251" s="94"/>
    </row>
    <row r="1252" s="93" customFormat="1" spans="3:13">
      <c r="C1252" s="94"/>
      <c r="E1252" s="94"/>
      <c r="G1252" s="94"/>
      <c r="I1252" s="94"/>
      <c r="K1252" s="94"/>
      <c r="M1252" s="94"/>
    </row>
    <row r="1253" s="93" customFormat="1" spans="3:13">
      <c r="C1253" s="94"/>
      <c r="E1253" s="94"/>
      <c r="G1253" s="94"/>
      <c r="I1253" s="94"/>
      <c r="K1253" s="94"/>
      <c r="M1253" s="94"/>
    </row>
    <row r="1254" s="93" customFormat="1" spans="3:13">
      <c r="C1254" s="94"/>
      <c r="E1254" s="94"/>
      <c r="G1254" s="94"/>
      <c r="I1254" s="94"/>
      <c r="K1254" s="94"/>
      <c r="M1254" s="94"/>
    </row>
    <row r="1255" s="93" customFormat="1" spans="3:13">
      <c r="C1255" s="94"/>
      <c r="E1255" s="94"/>
      <c r="G1255" s="94"/>
      <c r="I1255" s="94"/>
      <c r="K1255" s="94"/>
      <c r="M1255" s="94"/>
    </row>
    <row r="1256" s="93" customFormat="1" spans="3:13">
      <c r="C1256" s="94"/>
      <c r="E1256" s="94"/>
      <c r="G1256" s="94"/>
      <c r="I1256" s="94"/>
      <c r="K1256" s="94"/>
      <c r="M1256" s="94"/>
    </row>
    <row r="1257" s="93" customFormat="1" spans="3:13">
      <c r="C1257" s="94"/>
      <c r="E1257" s="94"/>
      <c r="G1257" s="94"/>
      <c r="I1257" s="94"/>
      <c r="K1257" s="94"/>
      <c r="M1257" s="94"/>
    </row>
    <row r="1258" s="93" customFormat="1" spans="3:13">
      <c r="C1258" s="94"/>
      <c r="E1258" s="94"/>
      <c r="G1258" s="94"/>
      <c r="I1258" s="94"/>
      <c r="K1258" s="94"/>
      <c r="M1258" s="94"/>
    </row>
    <row r="1259" s="93" customFormat="1" spans="3:13">
      <c r="C1259" s="94"/>
      <c r="E1259" s="94"/>
      <c r="G1259" s="94"/>
      <c r="I1259" s="94"/>
      <c r="K1259" s="94"/>
      <c r="M1259" s="94"/>
    </row>
    <row r="1260" s="93" customFormat="1" spans="3:13">
      <c r="C1260" s="94"/>
      <c r="E1260" s="94"/>
      <c r="G1260" s="94"/>
      <c r="I1260" s="94"/>
      <c r="K1260" s="94"/>
      <c r="M1260" s="94"/>
    </row>
    <row r="1261" s="93" customFormat="1" spans="3:13">
      <c r="C1261" s="94"/>
      <c r="E1261" s="94"/>
      <c r="G1261" s="94"/>
      <c r="I1261" s="94"/>
      <c r="K1261" s="94"/>
      <c r="M1261" s="94"/>
    </row>
    <row r="1262" s="93" customFormat="1" spans="3:13">
      <c r="C1262" s="94"/>
      <c r="E1262" s="94"/>
      <c r="G1262" s="94"/>
      <c r="I1262" s="94"/>
      <c r="K1262" s="94"/>
      <c r="M1262" s="94"/>
    </row>
    <row r="1263" s="93" customFormat="1" spans="3:13">
      <c r="C1263" s="94"/>
      <c r="E1263" s="94"/>
      <c r="G1263" s="94"/>
      <c r="I1263" s="94"/>
      <c r="K1263" s="94"/>
      <c r="M1263" s="94"/>
    </row>
    <row r="1264" s="93" customFormat="1" spans="3:13">
      <c r="C1264" s="94"/>
      <c r="E1264" s="94"/>
      <c r="G1264" s="94"/>
      <c r="I1264" s="94"/>
      <c r="K1264" s="94"/>
      <c r="M1264" s="94"/>
    </row>
    <row r="1265" s="93" customFormat="1" spans="3:13">
      <c r="C1265" s="94"/>
      <c r="E1265" s="94"/>
      <c r="G1265" s="94"/>
      <c r="I1265" s="94"/>
      <c r="K1265" s="94"/>
      <c r="M1265" s="94"/>
    </row>
    <row r="1266" s="93" customFormat="1" spans="3:13">
      <c r="C1266" s="94"/>
      <c r="E1266" s="94"/>
      <c r="G1266" s="94"/>
      <c r="I1266" s="94"/>
      <c r="K1266" s="94"/>
      <c r="M1266" s="94"/>
    </row>
    <row r="1267" s="93" customFormat="1" spans="3:13">
      <c r="C1267" s="94"/>
      <c r="E1267" s="94"/>
      <c r="G1267" s="94"/>
      <c r="I1267" s="94"/>
      <c r="K1267" s="94"/>
      <c r="M1267" s="94"/>
    </row>
    <row r="1268" s="93" customFormat="1" spans="3:13">
      <c r="C1268" s="94"/>
      <c r="E1268" s="94"/>
      <c r="G1268" s="94"/>
      <c r="I1268" s="94"/>
      <c r="K1268" s="94"/>
      <c r="M1268" s="94"/>
    </row>
    <row r="1269" s="93" customFormat="1" spans="3:13">
      <c r="C1269" s="94"/>
      <c r="E1269" s="94"/>
      <c r="G1269" s="94"/>
      <c r="I1269" s="94"/>
      <c r="K1269" s="94"/>
      <c r="M1269" s="94"/>
    </row>
    <row r="1270" s="93" customFormat="1" spans="3:13">
      <c r="C1270" s="94"/>
      <c r="E1270" s="94"/>
      <c r="G1270" s="94"/>
      <c r="I1270" s="94"/>
      <c r="K1270" s="94"/>
      <c r="M1270" s="94"/>
    </row>
    <row r="1271" s="93" customFormat="1" spans="3:13">
      <c r="C1271" s="94"/>
      <c r="E1271" s="94"/>
      <c r="G1271" s="94"/>
      <c r="I1271" s="94"/>
      <c r="K1271" s="94"/>
      <c r="M1271" s="94"/>
    </row>
    <row r="1272" s="93" customFormat="1" spans="3:13">
      <c r="C1272" s="94"/>
      <c r="E1272" s="94"/>
      <c r="G1272" s="94"/>
      <c r="I1272" s="94"/>
      <c r="K1272" s="94"/>
      <c r="M1272" s="94"/>
    </row>
    <row r="1273" s="93" customFormat="1" spans="3:13">
      <c r="C1273" s="94"/>
      <c r="E1273" s="94"/>
      <c r="G1273" s="94"/>
      <c r="I1273" s="94"/>
      <c r="K1273" s="94"/>
      <c r="M1273" s="94"/>
    </row>
    <row r="1274" s="93" customFormat="1" spans="3:13">
      <c r="C1274" s="94"/>
      <c r="E1274" s="94"/>
      <c r="G1274" s="94"/>
      <c r="I1274" s="94"/>
      <c r="K1274" s="94"/>
      <c r="M1274" s="94"/>
    </row>
    <row r="1275" s="93" customFormat="1" spans="3:13">
      <c r="C1275" s="94"/>
      <c r="E1275" s="94"/>
      <c r="G1275" s="94"/>
      <c r="I1275" s="94"/>
      <c r="K1275" s="94"/>
      <c r="M1275" s="94"/>
    </row>
    <row r="1276" s="93" customFormat="1" spans="3:13">
      <c r="C1276" s="94"/>
      <c r="E1276" s="94"/>
      <c r="G1276" s="94"/>
      <c r="I1276" s="94"/>
      <c r="K1276" s="94"/>
      <c r="M1276" s="94"/>
    </row>
    <row r="1277" s="93" customFormat="1" spans="3:13">
      <c r="C1277" s="94"/>
      <c r="E1277" s="94"/>
      <c r="G1277" s="94"/>
      <c r="I1277" s="94"/>
      <c r="K1277" s="94"/>
      <c r="M1277" s="94"/>
    </row>
    <row r="1278" s="93" customFormat="1" spans="3:13">
      <c r="C1278" s="94"/>
      <c r="E1278" s="94"/>
      <c r="G1278" s="94"/>
      <c r="I1278" s="94"/>
      <c r="K1278" s="94"/>
      <c r="M1278" s="94"/>
    </row>
    <row r="1279" s="93" customFormat="1" spans="3:13">
      <c r="C1279" s="94"/>
      <c r="E1279" s="94"/>
      <c r="G1279" s="94"/>
      <c r="I1279" s="94"/>
      <c r="K1279" s="94"/>
      <c r="M1279" s="94"/>
    </row>
    <row r="1280" s="93" customFormat="1" spans="3:13">
      <c r="C1280" s="94"/>
      <c r="E1280" s="94"/>
      <c r="G1280" s="94"/>
      <c r="I1280" s="94"/>
      <c r="K1280" s="94"/>
      <c r="M1280" s="94"/>
    </row>
    <row r="1281" s="93" customFormat="1" spans="3:13">
      <c r="C1281" s="94"/>
      <c r="E1281" s="94"/>
      <c r="G1281" s="94"/>
      <c r="I1281" s="94"/>
      <c r="K1281" s="94"/>
      <c r="M1281" s="94"/>
    </row>
    <row r="1282" s="93" customFormat="1" spans="3:13">
      <c r="C1282" s="94"/>
      <c r="E1282" s="94"/>
      <c r="G1282" s="94"/>
      <c r="I1282" s="94"/>
      <c r="K1282" s="94"/>
      <c r="M1282" s="94"/>
    </row>
    <row r="1283" s="93" customFormat="1" spans="3:13">
      <c r="C1283" s="94"/>
      <c r="E1283" s="94"/>
      <c r="G1283" s="94"/>
      <c r="I1283" s="94"/>
      <c r="K1283" s="94"/>
      <c r="M1283" s="94"/>
    </row>
    <row r="1284" s="93" customFormat="1" spans="3:13">
      <c r="C1284" s="94"/>
      <c r="E1284" s="94"/>
      <c r="G1284" s="94"/>
      <c r="I1284" s="94"/>
      <c r="K1284" s="94"/>
      <c r="M1284" s="94"/>
    </row>
    <row r="1285" s="93" customFormat="1" spans="3:13">
      <c r="C1285" s="94"/>
      <c r="E1285" s="94"/>
      <c r="G1285" s="94"/>
      <c r="I1285" s="94"/>
      <c r="K1285" s="94"/>
      <c r="M1285" s="94"/>
    </row>
    <row r="1286" s="93" customFormat="1" spans="3:13">
      <c r="C1286" s="94"/>
      <c r="E1286" s="94"/>
      <c r="G1286" s="94"/>
      <c r="I1286" s="94"/>
      <c r="K1286" s="94"/>
      <c r="M1286" s="94"/>
    </row>
    <row r="1287" s="93" customFormat="1" spans="3:13">
      <c r="C1287" s="94"/>
      <c r="E1287" s="94"/>
      <c r="G1287" s="94"/>
      <c r="I1287" s="94"/>
      <c r="K1287" s="94"/>
      <c r="M1287" s="94"/>
    </row>
    <row r="1288" s="93" customFormat="1" spans="3:13">
      <c r="C1288" s="94"/>
      <c r="E1288" s="94"/>
      <c r="G1288" s="94"/>
      <c r="I1288" s="94"/>
      <c r="K1288" s="94"/>
      <c r="M1288" s="94"/>
    </row>
    <row r="1289" s="93" customFormat="1" spans="3:13">
      <c r="C1289" s="94"/>
      <c r="E1289" s="94"/>
      <c r="G1289" s="94"/>
      <c r="I1289" s="94"/>
      <c r="K1289" s="94"/>
      <c r="M1289" s="94"/>
    </row>
    <row r="1290" s="93" customFormat="1" spans="3:13">
      <c r="C1290" s="94"/>
      <c r="E1290" s="94"/>
      <c r="G1290" s="94"/>
      <c r="I1290" s="94"/>
      <c r="K1290" s="94"/>
      <c r="M1290" s="94"/>
    </row>
    <row r="1291" s="93" customFormat="1" spans="3:13">
      <c r="C1291" s="94"/>
      <c r="E1291" s="94"/>
      <c r="G1291" s="94"/>
      <c r="I1291" s="94"/>
      <c r="K1291" s="94"/>
      <c r="M1291" s="94"/>
    </row>
    <row r="1292" s="93" customFormat="1" spans="3:13">
      <c r="C1292" s="94"/>
      <c r="E1292" s="94"/>
      <c r="G1292" s="94"/>
      <c r="I1292" s="94"/>
      <c r="K1292" s="94"/>
      <c r="M1292" s="94"/>
    </row>
    <row r="1293" s="93" customFormat="1" spans="3:13">
      <c r="C1293" s="94"/>
      <c r="E1293" s="94"/>
      <c r="G1293" s="94"/>
      <c r="I1293" s="94"/>
      <c r="K1293" s="94"/>
      <c r="M1293" s="94"/>
    </row>
    <row r="1294" s="93" customFormat="1" spans="3:13">
      <c r="C1294" s="94"/>
      <c r="E1294" s="94"/>
      <c r="G1294" s="94"/>
      <c r="I1294" s="94"/>
      <c r="K1294" s="94"/>
      <c r="M1294" s="94"/>
    </row>
    <row r="1295" s="93" customFormat="1" spans="3:13">
      <c r="C1295" s="94"/>
      <c r="E1295" s="94"/>
      <c r="G1295" s="94"/>
      <c r="I1295" s="94"/>
      <c r="K1295" s="94"/>
      <c r="M1295" s="94"/>
    </row>
    <row r="1296" s="93" customFormat="1" spans="3:13">
      <c r="C1296" s="94"/>
      <c r="E1296" s="94"/>
      <c r="G1296" s="94"/>
      <c r="I1296" s="94"/>
      <c r="K1296" s="94"/>
      <c r="M1296" s="94"/>
    </row>
    <row r="1297" s="93" customFormat="1" spans="3:13">
      <c r="C1297" s="94"/>
      <c r="E1297" s="94"/>
      <c r="G1297" s="94"/>
      <c r="I1297" s="94"/>
      <c r="K1297" s="94"/>
      <c r="M1297" s="94"/>
    </row>
    <row r="1298" s="93" customFormat="1" spans="3:13">
      <c r="C1298" s="94"/>
      <c r="E1298" s="94"/>
      <c r="G1298" s="94"/>
      <c r="I1298" s="94"/>
      <c r="K1298" s="94"/>
      <c r="M1298" s="94"/>
    </row>
    <row r="1299" s="93" customFormat="1" spans="3:13">
      <c r="C1299" s="94"/>
      <c r="E1299" s="94"/>
      <c r="G1299" s="94"/>
      <c r="I1299" s="94"/>
      <c r="K1299" s="94"/>
      <c r="M1299" s="94"/>
    </row>
    <row r="1300" s="93" customFormat="1" spans="3:13">
      <c r="C1300" s="94"/>
      <c r="E1300" s="94"/>
      <c r="G1300" s="94"/>
      <c r="I1300" s="94"/>
      <c r="K1300" s="94"/>
      <c r="M1300" s="94"/>
    </row>
    <row r="1301" s="93" customFormat="1" spans="3:13">
      <c r="C1301" s="94"/>
      <c r="E1301" s="94"/>
      <c r="G1301" s="94"/>
      <c r="I1301" s="94"/>
      <c r="K1301" s="94"/>
      <c r="M1301" s="94"/>
    </row>
    <row r="1302" s="93" customFormat="1" spans="3:13">
      <c r="C1302" s="94"/>
      <c r="E1302" s="94"/>
      <c r="G1302" s="94"/>
      <c r="I1302" s="94"/>
      <c r="K1302" s="94"/>
      <c r="M1302" s="94"/>
    </row>
    <row r="1303" s="93" customFormat="1" spans="3:13">
      <c r="C1303" s="94"/>
      <c r="E1303" s="94"/>
      <c r="G1303" s="94"/>
      <c r="I1303" s="94"/>
      <c r="K1303" s="94"/>
      <c r="M1303" s="94"/>
    </row>
    <row r="1304" s="93" customFormat="1" spans="3:13">
      <c r="C1304" s="94"/>
      <c r="E1304" s="94"/>
      <c r="G1304" s="94"/>
      <c r="I1304" s="94"/>
      <c r="K1304" s="94"/>
      <c r="M1304" s="94"/>
    </row>
    <row r="1305" s="93" customFormat="1" spans="3:13">
      <c r="C1305" s="94"/>
      <c r="E1305" s="94"/>
      <c r="G1305" s="94"/>
      <c r="I1305" s="94"/>
      <c r="K1305" s="94"/>
      <c r="M1305" s="94"/>
    </row>
    <row r="1306" s="93" customFormat="1" spans="3:13">
      <c r="C1306" s="94"/>
      <c r="E1306" s="94"/>
      <c r="G1306" s="94"/>
      <c r="I1306" s="94"/>
      <c r="K1306" s="94"/>
      <c r="M1306" s="94"/>
    </row>
    <row r="1307" s="93" customFormat="1" spans="3:13">
      <c r="C1307" s="94"/>
      <c r="E1307" s="94"/>
      <c r="G1307" s="94"/>
      <c r="I1307" s="94"/>
      <c r="K1307" s="94"/>
      <c r="M1307" s="94"/>
    </row>
    <row r="1308" s="93" customFormat="1" spans="3:13">
      <c r="C1308" s="94"/>
      <c r="E1308" s="94"/>
      <c r="G1308" s="94"/>
      <c r="I1308" s="94"/>
      <c r="K1308" s="94"/>
      <c r="M1308" s="94"/>
    </row>
    <row r="1309" s="93" customFormat="1" spans="3:13">
      <c r="C1309" s="94"/>
      <c r="E1309" s="94"/>
      <c r="G1309" s="94"/>
      <c r="I1309" s="94"/>
      <c r="K1309" s="94"/>
      <c r="M1309" s="94"/>
    </row>
    <row r="1310" s="93" customFormat="1" spans="3:13">
      <c r="C1310" s="94"/>
      <c r="E1310" s="94"/>
      <c r="G1310" s="94"/>
      <c r="I1310" s="94"/>
      <c r="K1310" s="94"/>
      <c r="M1310" s="94"/>
    </row>
    <row r="1311" s="93" customFormat="1" spans="3:13">
      <c r="C1311" s="94"/>
      <c r="E1311" s="94"/>
      <c r="G1311" s="94"/>
      <c r="I1311" s="94"/>
      <c r="K1311" s="94"/>
      <c r="M1311" s="94"/>
    </row>
    <row r="1312" s="93" customFormat="1" spans="3:13">
      <c r="C1312" s="94"/>
      <c r="E1312" s="94"/>
      <c r="G1312" s="94"/>
      <c r="I1312" s="94"/>
      <c r="K1312" s="94"/>
      <c r="M1312" s="94"/>
    </row>
    <row r="1313" s="93" customFormat="1" spans="3:13">
      <c r="C1313" s="94"/>
      <c r="E1313" s="94"/>
      <c r="G1313" s="94"/>
      <c r="I1313" s="94"/>
      <c r="K1313" s="94"/>
      <c r="M1313" s="94"/>
    </row>
    <row r="1314" s="93" customFormat="1" spans="3:13">
      <c r="C1314" s="94"/>
      <c r="E1314" s="94"/>
      <c r="G1314" s="94"/>
      <c r="I1314" s="94"/>
      <c r="K1314" s="94"/>
      <c r="M1314" s="94"/>
    </row>
    <row r="1315" s="93" customFormat="1" spans="3:13">
      <c r="C1315" s="94"/>
      <c r="E1315" s="94"/>
      <c r="G1315" s="94"/>
      <c r="I1315" s="94"/>
      <c r="K1315" s="94"/>
      <c r="M1315" s="94"/>
    </row>
    <row r="1316" s="93" customFormat="1" spans="3:13">
      <c r="C1316" s="94"/>
      <c r="E1316" s="94"/>
      <c r="G1316" s="94"/>
      <c r="I1316" s="94"/>
      <c r="K1316" s="94"/>
      <c r="M1316" s="94"/>
    </row>
    <row r="1317" s="93" customFormat="1" spans="3:13">
      <c r="C1317" s="94"/>
      <c r="E1317" s="94"/>
      <c r="G1317" s="94"/>
      <c r="I1317" s="94"/>
      <c r="K1317" s="94"/>
      <c r="M1317" s="94"/>
    </row>
    <row r="1318" s="93" customFormat="1" spans="3:13">
      <c r="C1318" s="94"/>
      <c r="E1318" s="94"/>
      <c r="G1318" s="94"/>
      <c r="I1318" s="94"/>
      <c r="K1318" s="94"/>
      <c r="M1318" s="94"/>
    </row>
    <row r="1319" s="93" customFormat="1" spans="3:13">
      <c r="C1319" s="94"/>
      <c r="E1319" s="94"/>
      <c r="G1319" s="94"/>
      <c r="I1319" s="94"/>
      <c r="K1319" s="94"/>
      <c r="M1319" s="94"/>
    </row>
    <row r="1320" s="93" customFormat="1" spans="3:13">
      <c r="C1320" s="94"/>
      <c r="E1320" s="94"/>
      <c r="G1320" s="94"/>
      <c r="I1320" s="94"/>
      <c r="K1320" s="94"/>
      <c r="M1320" s="94"/>
    </row>
    <row r="1321" s="93" customFormat="1" spans="3:13">
      <c r="C1321" s="94"/>
      <c r="E1321" s="94"/>
      <c r="G1321" s="94"/>
      <c r="I1321" s="94"/>
      <c r="K1321" s="94"/>
      <c r="M1321" s="94"/>
    </row>
    <row r="1322" s="93" customFormat="1" spans="3:13">
      <c r="C1322" s="94"/>
      <c r="E1322" s="94"/>
      <c r="G1322" s="94"/>
      <c r="I1322" s="94"/>
      <c r="K1322" s="94"/>
      <c r="M1322" s="94"/>
    </row>
    <row r="1323" s="93" customFormat="1" spans="3:13">
      <c r="C1323" s="94"/>
      <c r="E1323" s="94"/>
      <c r="G1323" s="94"/>
      <c r="I1323" s="94"/>
      <c r="K1323" s="94"/>
      <c r="M1323" s="94"/>
    </row>
    <row r="1324" s="93" customFormat="1" spans="3:13">
      <c r="C1324" s="94"/>
      <c r="E1324" s="94"/>
      <c r="G1324" s="94"/>
      <c r="I1324" s="94"/>
      <c r="K1324" s="94"/>
      <c r="M1324" s="94"/>
    </row>
    <row r="1325" s="93" customFormat="1" spans="3:13">
      <c r="C1325" s="94"/>
      <c r="E1325" s="94"/>
      <c r="G1325" s="94"/>
      <c r="I1325" s="94"/>
      <c r="K1325" s="94"/>
      <c r="M1325" s="94"/>
    </row>
    <row r="1326" s="93" customFormat="1" spans="3:13">
      <c r="C1326" s="94"/>
      <c r="E1326" s="94"/>
      <c r="G1326" s="94"/>
      <c r="I1326" s="94"/>
      <c r="K1326" s="94"/>
      <c r="M1326" s="94"/>
    </row>
    <row r="1327" s="93" customFormat="1" spans="3:13">
      <c r="C1327" s="94"/>
      <c r="E1327" s="94"/>
      <c r="G1327" s="94"/>
      <c r="I1327" s="94"/>
      <c r="K1327" s="94"/>
      <c r="M1327" s="94"/>
    </row>
    <row r="1328" s="93" customFormat="1" spans="3:13">
      <c r="C1328" s="94"/>
      <c r="E1328" s="94"/>
      <c r="G1328" s="94"/>
      <c r="I1328" s="94"/>
      <c r="K1328" s="94"/>
      <c r="M1328" s="94"/>
    </row>
    <row r="1329" s="93" customFormat="1" spans="3:13">
      <c r="C1329" s="94"/>
      <c r="E1329" s="94"/>
      <c r="G1329" s="94"/>
      <c r="I1329" s="94"/>
      <c r="K1329" s="94"/>
      <c r="M1329" s="94"/>
    </row>
    <row r="1330" s="93" customFormat="1" spans="3:13">
      <c r="C1330" s="94"/>
      <c r="E1330" s="94"/>
      <c r="G1330" s="94"/>
      <c r="I1330" s="94"/>
      <c r="K1330" s="94"/>
      <c r="M1330" s="94"/>
    </row>
    <row r="1331" s="93" customFormat="1" spans="3:13">
      <c r="C1331" s="94"/>
      <c r="E1331" s="94"/>
      <c r="G1331" s="94"/>
      <c r="I1331" s="94"/>
      <c r="K1331" s="94"/>
      <c r="M1331" s="94"/>
    </row>
    <row r="1332" s="93" customFormat="1" spans="3:13">
      <c r="C1332" s="94"/>
      <c r="E1332" s="94"/>
      <c r="G1332" s="94"/>
      <c r="I1332" s="94"/>
      <c r="K1332" s="94"/>
      <c r="M1332" s="94"/>
    </row>
    <row r="1333" s="93" customFormat="1" spans="3:13">
      <c r="C1333" s="94"/>
      <c r="E1333" s="94"/>
      <c r="G1333" s="94"/>
      <c r="I1333" s="94"/>
      <c r="K1333" s="94"/>
      <c r="M1333" s="94"/>
    </row>
    <row r="1334" s="93" customFormat="1" spans="3:13">
      <c r="C1334" s="94"/>
      <c r="E1334" s="94"/>
      <c r="G1334" s="94"/>
      <c r="I1334" s="94"/>
      <c r="K1334" s="94"/>
      <c r="M1334" s="94"/>
    </row>
    <row r="1335" s="93" customFormat="1" spans="3:13">
      <c r="C1335" s="94"/>
      <c r="E1335" s="94"/>
      <c r="G1335" s="94"/>
      <c r="I1335" s="94"/>
      <c r="K1335" s="94"/>
      <c r="M1335" s="94"/>
    </row>
    <row r="1336" s="93" customFormat="1" spans="3:13">
      <c r="C1336" s="94"/>
      <c r="E1336" s="94"/>
      <c r="G1336" s="94"/>
      <c r="I1336" s="94"/>
      <c r="K1336" s="94"/>
      <c r="M1336" s="94"/>
    </row>
    <row r="1337" s="93" customFormat="1" spans="3:13">
      <c r="C1337" s="94"/>
      <c r="E1337" s="94"/>
      <c r="G1337" s="94"/>
      <c r="I1337" s="94"/>
      <c r="K1337" s="94"/>
      <c r="M1337" s="94"/>
    </row>
    <row r="1338" s="93" customFormat="1" spans="3:13">
      <c r="C1338" s="94"/>
      <c r="E1338" s="94"/>
      <c r="G1338" s="94"/>
      <c r="I1338" s="94"/>
      <c r="K1338" s="94"/>
      <c r="M1338" s="94"/>
    </row>
    <row r="1339" s="93" customFormat="1" spans="3:13">
      <c r="C1339" s="94"/>
      <c r="E1339" s="94"/>
      <c r="G1339" s="94"/>
      <c r="I1339" s="94"/>
      <c r="K1339" s="94"/>
      <c r="M1339" s="94"/>
    </row>
    <row r="1340" s="93" customFormat="1" spans="3:13">
      <c r="C1340" s="94"/>
      <c r="E1340" s="94"/>
      <c r="G1340" s="94"/>
      <c r="I1340" s="94"/>
      <c r="K1340" s="94"/>
      <c r="M1340" s="94"/>
    </row>
    <row r="1341" s="93" customFormat="1" spans="3:13">
      <c r="C1341" s="94"/>
      <c r="E1341" s="94"/>
      <c r="G1341" s="94"/>
      <c r="I1341" s="94"/>
      <c r="K1341" s="94"/>
      <c r="M1341" s="94"/>
    </row>
    <row r="1342" s="93" customFormat="1" spans="3:13">
      <c r="C1342" s="94"/>
      <c r="E1342" s="94"/>
      <c r="G1342" s="94"/>
      <c r="I1342" s="94"/>
      <c r="K1342" s="94"/>
      <c r="M1342" s="94"/>
    </row>
    <row r="1343" s="93" customFormat="1" spans="3:13">
      <c r="C1343" s="94"/>
      <c r="E1343" s="94"/>
      <c r="G1343" s="94"/>
      <c r="I1343" s="94"/>
      <c r="K1343" s="94"/>
      <c r="M1343" s="94"/>
    </row>
    <row r="1344" s="93" customFormat="1" spans="3:13">
      <c r="C1344" s="94"/>
      <c r="E1344" s="94"/>
      <c r="G1344" s="94"/>
      <c r="I1344" s="94"/>
      <c r="K1344" s="94"/>
      <c r="M1344" s="94"/>
    </row>
    <row r="1345" s="93" customFormat="1" spans="3:13">
      <c r="C1345" s="94"/>
      <c r="E1345" s="94"/>
      <c r="G1345" s="94"/>
      <c r="I1345" s="94"/>
      <c r="K1345" s="94"/>
      <c r="M1345" s="94"/>
    </row>
    <row r="1346" s="93" customFormat="1" spans="3:13">
      <c r="C1346" s="94"/>
      <c r="E1346" s="94"/>
      <c r="G1346" s="94"/>
      <c r="I1346" s="94"/>
      <c r="K1346" s="94"/>
      <c r="M1346" s="94"/>
    </row>
    <row r="1347" s="93" customFormat="1" spans="3:13">
      <c r="C1347" s="94"/>
      <c r="E1347" s="94"/>
      <c r="G1347" s="94"/>
      <c r="I1347" s="94"/>
      <c r="K1347" s="94"/>
      <c r="M1347" s="94"/>
    </row>
    <row r="1348" s="93" customFormat="1" spans="3:13">
      <c r="C1348" s="94"/>
      <c r="E1348" s="94"/>
      <c r="G1348" s="94"/>
      <c r="I1348" s="94"/>
      <c r="K1348" s="94"/>
      <c r="M1348" s="94"/>
    </row>
    <row r="1349" s="93" customFormat="1" spans="3:13">
      <c r="C1349" s="94"/>
      <c r="E1349" s="94"/>
      <c r="G1349" s="94"/>
      <c r="I1349" s="94"/>
      <c r="K1349" s="94"/>
      <c r="M1349" s="94"/>
    </row>
    <row r="1350" s="93" customFormat="1" spans="3:13">
      <c r="C1350" s="94"/>
      <c r="E1350" s="94"/>
      <c r="G1350" s="94"/>
      <c r="I1350" s="94"/>
      <c r="K1350" s="94"/>
      <c r="M1350" s="94"/>
    </row>
    <row r="1351" s="93" customFormat="1" spans="3:13">
      <c r="C1351" s="94"/>
      <c r="E1351" s="94"/>
      <c r="G1351" s="94"/>
      <c r="I1351" s="94"/>
      <c r="K1351" s="94"/>
      <c r="M1351" s="94"/>
    </row>
    <row r="1352" s="93" customFormat="1" spans="3:13">
      <c r="C1352" s="94"/>
      <c r="E1352" s="94"/>
      <c r="G1352" s="94"/>
      <c r="I1352" s="94"/>
      <c r="K1352" s="94"/>
      <c r="M1352" s="94"/>
    </row>
    <row r="1353" s="93" customFormat="1" spans="3:13">
      <c r="C1353" s="94"/>
      <c r="E1353" s="94"/>
      <c r="G1353" s="94"/>
      <c r="I1353" s="94"/>
      <c r="K1353" s="94"/>
      <c r="M1353" s="94"/>
    </row>
    <row r="1354" s="93" customFormat="1" spans="3:13">
      <c r="C1354" s="94"/>
      <c r="E1354" s="94"/>
      <c r="G1354" s="94"/>
      <c r="I1354" s="94"/>
      <c r="K1354" s="94"/>
      <c r="M1354" s="94"/>
    </row>
    <row r="1355" s="93" customFormat="1" spans="3:13">
      <c r="C1355" s="94"/>
      <c r="E1355" s="94"/>
      <c r="G1355" s="94"/>
      <c r="I1355" s="94"/>
      <c r="K1355" s="94"/>
      <c r="M1355" s="94"/>
    </row>
    <row r="1356" s="93" customFormat="1" spans="3:13">
      <c r="C1356" s="94"/>
      <c r="E1356" s="94"/>
      <c r="G1356" s="94"/>
      <c r="I1356" s="94"/>
      <c r="K1356" s="94"/>
      <c r="M1356" s="94"/>
    </row>
    <row r="1357" s="93" customFormat="1" spans="3:13">
      <c r="C1357" s="94"/>
      <c r="E1357" s="94"/>
      <c r="G1357" s="94"/>
      <c r="I1357" s="94"/>
      <c r="K1357" s="94"/>
      <c r="M1357" s="94"/>
    </row>
    <row r="1358" s="93" customFormat="1" spans="3:13">
      <c r="C1358" s="94"/>
      <c r="E1358" s="94"/>
      <c r="G1358" s="94"/>
      <c r="I1358" s="94"/>
      <c r="K1358" s="94"/>
      <c r="M1358" s="94"/>
    </row>
    <row r="1359" s="93" customFormat="1" spans="3:13">
      <c r="C1359" s="94"/>
      <c r="E1359" s="94"/>
      <c r="G1359" s="94"/>
      <c r="I1359" s="94"/>
      <c r="K1359" s="94"/>
      <c r="M1359" s="94"/>
    </row>
    <row r="1360" s="93" customFormat="1" spans="3:13">
      <c r="C1360" s="94"/>
      <c r="E1360" s="94"/>
      <c r="G1360" s="94"/>
      <c r="I1360" s="94"/>
      <c r="K1360" s="94"/>
      <c r="M1360" s="94"/>
    </row>
    <row r="1361" s="93" customFormat="1" spans="3:13">
      <c r="C1361" s="94"/>
      <c r="E1361" s="94"/>
      <c r="G1361" s="94"/>
      <c r="I1361" s="94"/>
      <c r="K1361" s="94"/>
      <c r="M1361" s="94"/>
    </row>
    <row r="1362" s="93" customFormat="1" spans="3:13">
      <c r="C1362" s="94"/>
      <c r="E1362" s="94"/>
      <c r="G1362" s="94"/>
      <c r="I1362" s="94"/>
      <c r="K1362" s="94"/>
      <c r="M1362" s="94"/>
    </row>
    <row r="1363" s="93" customFormat="1" spans="3:13">
      <c r="C1363" s="94"/>
      <c r="E1363" s="94"/>
      <c r="G1363" s="94"/>
      <c r="I1363" s="94"/>
      <c r="K1363" s="94"/>
      <c r="M1363" s="94"/>
    </row>
    <row r="1364" s="93" customFormat="1" spans="3:13">
      <c r="C1364" s="94"/>
      <c r="E1364" s="94"/>
      <c r="G1364" s="94"/>
      <c r="I1364" s="94"/>
      <c r="K1364" s="94"/>
      <c r="M1364" s="94"/>
    </row>
    <row r="1365" s="93" customFormat="1" spans="3:13">
      <c r="C1365" s="94"/>
      <c r="E1365" s="94"/>
      <c r="G1365" s="94"/>
      <c r="I1365" s="94"/>
      <c r="K1365" s="94"/>
      <c r="M1365" s="94"/>
    </row>
    <row r="1366" s="93" customFormat="1" spans="3:13">
      <c r="C1366" s="94"/>
      <c r="E1366" s="94"/>
      <c r="G1366" s="94"/>
      <c r="I1366" s="94"/>
      <c r="K1366" s="94"/>
      <c r="M1366" s="94"/>
    </row>
    <row r="1367" s="93" customFormat="1" spans="3:13">
      <c r="C1367" s="94"/>
      <c r="E1367" s="94"/>
      <c r="G1367" s="94"/>
      <c r="I1367" s="94"/>
      <c r="K1367" s="94"/>
      <c r="M1367" s="94"/>
    </row>
    <row r="1368" s="93" customFormat="1" spans="3:13">
      <c r="C1368" s="94"/>
      <c r="E1368" s="94"/>
      <c r="G1368" s="94"/>
      <c r="I1368" s="94"/>
      <c r="K1368" s="94"/>
      <c r="M1368" s="94"/>
    </row>
    <row r="1369" s="93" customFormat="1" spans="3:13">
      <c r="C1369" s="94"/>
      <c r="E1369" s="94"/>
      <c r="G1369" s="94"/>
      <c r="I1369" s="94"/>
      <c r="K1369" s="94"/>
      <c r="M1369" s="94"/>
    </row>
    <row r="1370" s="93" customFormat="1" spans="3:13">
      <c r="C1370" s="94"/>
      <c r="E1370" s="94"/>
      <c r="G1370" s="94"/>
      <c r="I1370" s="94"/>
      <c r="K1370" s="94"/>
      <c r="M1370" s="94"/>
    </row>
    <row r="1371" s="93" customFormat="1" spans="3:13">
      <c r="C1371" s="94"/>
      <c r="E1371" s="94"/>
      <c r="G1371" s="94"/>
      <c r="I1371" s="94"/>
      <c r="K1371" s="94"/>
      <c r="M1371" s="94"/>
    </row>
    <row r="1372" s="93" customFormat="1" spans="3:13">
      <c r="C1372" s="94"/>
      <c r="E1372" s="94"/>
      <c r="G1372" s="94"/>
      <c r="I1372" s="94"/>
      <c r="K1372" s="94"/>
      <c r="M1372" s="94"/>
    </row>
    <row r="1373" s="93" customFormat="1" spans="3:13">
      <c r="C1373" s="94"/>
      <c r="E1373" s="94"/>
      <c r="G1373" s="94"/>
      <c r="I1373" s="94"/>
      <c r="K1373" s="94"/>
      <c r="M1373" s="94"/>
    </row>
    <row r="1374" s="93" customFormat="1" spans="3:13">
      <c r="C1374" s="94"/>
      <c r="E1374" s="94"/>
      <c r="G1374" s="94"/>
      <c r="I1374" s="94"/>
      <c r="K1374" s="94"/>
      <c r="M1374" s="94"/>
    </row>
    <row r="1375" s="93" customFormat="1" spans="3:13">
      <c r="C1375" s="94"/>
      <c r="E1375" s="94"/>
      <c r="G1375" s="94"/>
      <c r="I1375" s="94"/>
      <c r="K1375" s="94"/>
      <c r="M1375" s="94"/>
    </row>
    <row r="1376" s="93" customFormat="1" spans="3:13">
      <c r="C1376" s="94"/>
      <c r="E1376" s="94"/>
      <c r="G1376" s="94"/>
      <c r="I1376" s="94"/>
      <c r="K1376" s="94"/>
      <c r="M1376" s="94"/>
    </row>
    <row r="1377" s="93" customFormat="1" spans="3:13">
      <c r="C1377" s="94"/>
      <c r="E1377" s="94"/>
      <c r="G1377" s="94"/>
      <c r="I1377" s="94"/>
      <c r="K1377" s="94"/>
      <c r="M1377" s="94"/>
    </row>
    <row r="1378" s="93" customFormat="1" spans="3:13">
      <c r="C1378" s="94"/>
      <c r="E1378" s="94"/>
      <c r="G1378" s="94"/>
      <c r="I1378" s="94"/>
      <c r="K1378" s="94"/>
      <c r="M1378" s="94"/>
    </row>
    <row r="1379" s="93" customFormat="1" spans="3:13">
      <c r="C1379" s="94"/>
      <c r="E1379" s="94"/>
      <c r="G1379" s="94"/>
      <c r="I1379" s="94"/>
      <c r="K1379" s="94"/>
      <c r="M1379" s="94"/>
    </row>
    <row r="1380" s="93" customFormat="1" spans="3:13">
      <c r="C1380" s="94"/>
      <c r="E1380" s="94"/>
      <c r="G1380" s="94"/>
      <c r="I1380" s="94"/>
      <c r="K1380" s="94"/>
      <c r="M1380" s="94"/>
    </row>
    <row r="1381" s="93" customFormat="1" spans="3:13">
      <c r="C1381" s="94"/>
      <c r="E1381" s="94"/>
      <c r="G1381" s="94"/>
      <c r="I1381" s="94"/>
      <c r="K1381" s="94"/>
      <c r="M1381" s="94"/>
    </row>
    <row r="1382" s="93" customFormat="1" spans="3:13">
      <c r="C1382" s="94"/>
      <c r="E1382" s="94"/>
      <c r="G1382" s="94"/>
      <c r="I1382" s="94"/>
      <c r="K1382" s="94"/>
      <c r="M1382" s="94"/>
    </row>
    <row r="1383" s="93" customFormat="1" spans="3:13">
      <c r="C1383" s="94"/>
      <c r="E1383" s="94"/>
      <c r="G1383" s="94"/>
      <c r="I1383" s="94"/>
      <c r="K1383" s="94"/>
      <c r="M1383" s="94"/>
    </row>
    <row r="1384" s="93" customFormat="1" spans="3:13">
      <c r="C1384" s="94"/>
      <c r="E1384" s="94"/>
      <c r="G1384" s="94"/>
      <c r="I1384" s="94"/>
      <c r="K1384" s="94"/>
      <c r="M1384" s="94"/>
    </row>
    <row r="1385" s="93" customFormat="1" spans="3:13">
      <c r="C1385" s="94"/>
      <c r="E1385" s="94"/>
      <c r="G1385" s="94"/>
      <c r="I1385" s="94"/>
      <c r="K1385" s="94"/>
      <c r="M1385" s="94"/>
    </row>
    <row r="1386" s="93" customFormat="1" spans="3:13">
      <c r="C1386" s="94"/>
      <c r="E1386" s="94"/>
      <c r="G1386" s="94"/>
      <c r="I1386" s="94"/>
      <c r="K1386" s="94"/>
      <c r="M1386" s="94"/>
    </row>
    <row r="1387" s="93" customFormat="1" spans="3:13">
      <c r="C1387" s="94"/>
      <c r="E1387" s="94"/>
      <c r="G1387" s="94"/>
      <c r="I1387" s="94"/>
      <c r="K1387" s="94"/>
      <c r="M1387" s="94"/>
    </row>
    <row r="1388" s="93" customFormat="1" spans="3:13">
      <c r="C1388" s="94"/>
      <c r="E1388" s="94"/>
      <c r="G1388" s="94"/>
      <c r="I1388" s="94"/>
      <c r="K1388" s="94"/>
      <c r="M1388" s="94"/>
    </row>
    <row r="1389" s="93" customFormat="1" spans="3:13">
      <c r="C1389" s="94"/>
      <c r="E1389" s="94"/>
      <c r="G1389" s="94"/>
      <c r="I1389" s="94"/>
      <c r="K1389" s="94"/>
      <c r="M1389" s="94"/>
    </row>
    <row r="1390" s="93" customFormat="1" spans="3:13">
      <c r="C1390" s="94"/>
      <c r="E1390" s="94"/>
      <c r="G1390" s="94"/>
      <c r="I1390" s="94"/>
      <c r="K1390" s="94"/>
      <c r="M1390" s="94"/>
    </row>
    <row r="1391" s="93" customFormat="1" spans="3:13">
      <c r="C1391" s="94"/>
      <c r="E1391" s="94"/>
      <c r="G1391" s="94"/>
      <c r="I1391" s="94"/>
      <c r="K1391" s="94"/>
      <c r="M1391" s="94"/>
    </row>
    <row r="1392" s="93" customFormat="1" spans="3:13">
      <c r="C1392" s="94"/>
      <c r="E1392" s="94"/>
      <c r="G1392" s="94"/>
      <c r="I1392" s="94"/>
      <c r="K1392" s="94"/>
      <c r="M1392" s="94"/>
    </row>
    <row r="1393" s="93" customFormat="1" spans="3:13">
      <c r="C1393" s="94"/>
      <c r="E1393" s="94"/>
      <c r="G1393" s="94"/>
      <c r="I1393" s="94"/>
      <c r="K1393" s="94"/>
      <c r="M1393" s="94"/>
    </row>
    <row r="1394" s="93" customFormat="1" spans="3:13">
      <c r="C1394" s="94"/>
      <c r="E1394" s="94"/>
      <c r="G1394" s="94"/>
      <c r="I1394" s="94"/>
      <c r="K1394" s="94"/>
      <c r="M1394" s="94"/>
    </row>
    <row r="1395" s="93" customFormat="1" spans="3:13">
      <c r="C1395" s="94"/>
      <c r="E1395" s="94"/>
      <c r="G1395" s="94"/>
      <c r="I1395" s="94"/>
      <c r="K1395" s="94"/>
      <c r="M1395" s="94"/>
    </row>
    <row r="1396" s="93" customFormat="1" spans="3:13">
      <c r="C1396" s="94"/>
      <c r="E1396" s="94"/>
      <c r="G1396" s="94"/>
      <c r="I1396" s="94"/>
      <c r="K1396" s="94"/>
      <c r="M1396" s="94"/>
    </row>
    <row r="1397" s="93" customFormat="1" spans="3:13">
      <c r="C1397" s="94"/>
      <c r="E1397" s="94"/>
      <c r="G1397" s="94"/>
      <c r="I1397" s="94"/>
      <c r="K1397" s="94"/>
      <c r="M1397" s="94"/>
    </row>
    <row r="1398" s="93" customFormat="1" spans="3:13">
      <c r="C1398" s="94"/>
      <c r="E1398" s="94"/>
      <c r="G1398" s="94"/>
      <c r="I1398" s="94"/>
      <c r="K1398" s="94"/>
      <c r="M1398" s="94"/>
    </row>
    <row r="1399" s="93" customFormat="1" spans="3:13">
      <c r="C1399" s="94"/>
      <c r="E1399" s="94"/>
      <c r="G1399" s="94"/>
      <c r="I1399" s="94"/>
      <c r="K1399" s="94"/>
      <c r="M1399" s="94"/>
    </row>
    <row r="1400" s="93" customFormat="1" spans="3:13">
      <c r="C1400" s="94"/>
      <c r="E1400" s="94"/>
      <c r="G1400" s="94"/>
      <c r="I1400" s="94"/>
      <c r="K1400" s="94"/>
      <c r="M1400" s="94"/>
    </row>
    <row r="1401" s="93" customFormat="1" spans="3:13">
      <c r="C1401" s="94"/>
      <c r="E1401" s="94"/>
      <c r="G1401" s="94"/>
      <c r="I1401" s="94"/>
      <c r="K1401" s="94"/>
      <c r="M1401" s="94"/>
    </row>
    <row r="1402" s="93" customFormat="1" spans="3:13">
      <c r="C1402" s="94"/>
      <c r="E1402" s="94"/>
      <c r="G1402" s="94"/>
      <c r="I1402" s="94"/>
      <c r="K1402" s="94"/>
      <c r="M1402" s="94"/>
    </row>
    <row r="1403" s="93" customFormat="1" spans="3:13">
      <c r="C1403" s="94"/>
      <c r="E1403" s="94"/>
      <c r="G1403" s="94"/>
      <c r="I1403" s="94"/>
      <c r="K1403" s="94"/>
      <c r="M1403" s="94"/>
    </row>
    <row r="1404" s="93" customFormat="1" spans="3:13">
      <c r="C1404" s="94"/>
      <c r="E1404" s="94"/>
      <c r="G1404" s="94"/>
      <c r="I1404" s="94"/>
      <c r="K1404" s="94"/>
      <c r="M1404" s="94"/>
    </row>
    <row r="1405" s="93" customFormat="1" spans="3:13">
      <c r="C1405" s="94"/>
      <c r="E1405" s="94"/>
      <c r="G1405" s="94"/>
      <c r="I1405" s="94"/>
      <c r="K1405" s="94"/>
      <c r="M1405" s="94"/>
    </row>
    <row r="1406" s="93" customFormat="1" spans="3:13">
      <c r="C1406" s="94"/>
      <c r="E1406" s="94"/>
      <c r="G1406" s="94"/>
      <c r="I1406" s="94"/>
      <c r="K1406" s="94"/>
      <c r="M1406" s="94"/>
    </row>
    <row r="1407" s="93" customFormat="1" spans="3:13">
      <c r="C1407" s="94"/>
      <c r="E1407" s="94"/>
      <c r="G1407" s="94"/>
      <c r="I1407" s="94"/>
      <c r="K1407" s="94"/>
      <c r="M1407" s="94"/>
    </row>
    <row r="1408" s="93" customFormat="1" spans="3:13">
      <c r="C1408" s="94"/>
      <c r="E1408" s="94"/>
      <c r="G1408" s="94"/>
      <c r="I1408" s="94"/>
      <c r="K1408" s="94"/>
      <c r="M1408" s="94"/>
    </row>
    <row r="1409" s="93" customFormat="1" spans="3:13">
      <c r="C1409" s="94"/>
      <c r="E1409" s="94"/>
      <c r="G1409" s="94"/>
      <c r="I1409" s="94"/>
      <c r="K1409" s="94"/>
      <c r="M1409" s="94"/>
    </row>
    <row r="1410" s="93" customFormat="1" spans="3:13">
      <c r="C1410" s="94"/>
      <c r="E1410" s="94"/>
      <c r="G1410" s="94"/>
      <c r="I1410" s="94"/>
      <c r="K1410" s="94"/>
      <c r="M1410" s="94"/>
    </row>
    <row r="1411" s="93" customFormat="1" spans="3:13">
      <c r="C1411" s="94"/>
      <c r="E1411" s="94"/>
      <c r="G1411" s="94"/>
      <c r="I1411" s="94"/>
      <c r="K1411" s="94"/>
      <c r="M1411" s="94"/>
    </row>
    <row r="1412" s="93" customFormat="1" spans="3:13">
      <c r="C1412" s="94"/>
      <c r="E1412" s="94"/>
      <c r="G1412" s="94"/>
      <c r="I1412" s="94"/>
      <c r="K1412" s="94"/>
      <c r="M1412" s="94"/>
    </row>
    <row r="1413" s="93" customFormat="1" spans="3:13">
      <c r="C1413" s="94"/>
      <c r="E1413" s="94"/>
      <c r="G1413" s="94"/>
      <c r="I1413" s="94"/>
      <c r="K1413" s="94"/>
      <c r="M1413" s="94"/>
    </row>
    <row r="1414" s="93" customFormat="1" spans="3:13">
      <c r="C1414" s="94"/>
      <c r="E1414" s="94"/>
      <c r="G1414" s="94"/>
      <c r="I1414" s="94"/>
      <c r="K1414" s="94"/>
      <c r="M1414" s="94"/>
    </row>
    <row r="1415" s="93" customFormat="1" spans="3:13">
      <c r="C1415" s="94"/>
      <c r="E1415" s="94"/>
      <c r="G1415" s="94"/>
      <c r="I1415" s="94"/>
      <c r="K1415" s="94"/>
      <c r="M1415" s="94"/>
    </row>
    <row r="1416" s="93" customFormat="1" spans="3:13">
      <c r="C1416" s="94"/>
      <c r="E1416" s="94"/>
      <c r="G1416" s="94"/>
      <c r="I1416" s="94"/>
      <c r="K1416" s="94"/>
      <c r="M1416" s="94"/>
    </row>
    <row r="1417" s="93" customFormat="1" spans="3:13">
      <c r="C1417" s="94"/>
      <c r="E1417" s="94"/>
      <c r="G1417" s="94"/>
      <c r="I1417" s="94"/>
      <c r="K1417" s="94"/>
      <c r="M1417" s="94"/>
    </row>
    <row r="1418" s="93" customFormat="1" spans="3:13">
      <c r="C1418" s="94"/>
      <c r="E1418" s="94"/>
      <c r="G1418" s="94"/>
      <c r="I1418" s="94"/>
      <c r="K1418" s="94"/>
      <c r="M1418" s="94"/>
    </row>
    <row r="1419" s="93" customFormat="1" spans="3:13">
      <c r="C1419" s="94"/>
      <c r="E1419" s="94"/>
      <c r="G1419" s="94"/>
      <c r="I1419" s="94"/>
      <c r="K1419" s="94"/>
      <c r="M1419" s="94"/>
    </row>
    <row r="1420" s="93" customFormat="1" spans="3:13">
      <c r="C1420" s="94"/>
      <c r="E1420" s="94"/>
      <c r="G1420" s="94"/>
      <c r="I1420" s="94"/>
      <c r="K1420" s="94"/>
      <c r="M1420" s="94"/>
    </row>
    <row r="1421" s="93" customFormat="1" spans="3:13">
      <c r="C1421" s="94"/>
      <c r="E1421" s="94"/>
      <c r="G1421" s="94"/>
      <c r="I1421" s="94"/>
      <c r="K1421" s="94"/>
      <c r="M1421" s="94"/>
    </row>
    <row r="1422" s="93" customFormat="1" spans="3:13">
      <c r="C1422" s="94"/>
      <c r="E1422" s="94"/>
      <c r="G1422" s="94"/>
      <c r="I1422" s="94"/>
      <c r="K1422" s="94"/>
      <c r="M1422" s="94"/>
    </row>
    <row r="1423" s="93" customFormat="1" spans="3:13">
      <c r="C1423" s="94"/>
      <c r="E1423" s="94"/>
      <c r="G1423" s="94"/>
      <c r="I1423" s="94"/>
      <c r="K1423" s="94"/>
      <c r="M1423" s="94"/>
    </row>
    <row r="1424" s="93" customFormat="1" spans="3:13">
      <c r="C1424" s="94"/>
      <c r="E1424" s="94"/>
      <c r="G1424" s="94"/>
      <c r="I1424" s="94"/>
      <c r="K1424" s="94"/>
      <c r="M1424" s="94"/>
    </row>
    <row r="1425" s="93" customFormat="1" spans="3:13">
      <c r="C1425" s="94"/>
      <c r="E1425" s="94"/>
      <c r="G1425" s="94"/>
      <c r="I1425" s="94"/>
      <c r="K1425" s="94"/>
      <c r="M1425" s="94"/>
    </row>
    <row r="1426" s="93" customFormat="1" spans="3:13">
      <c r="C1426" s="94"/>
      <c r="E1426" s="94"/>
      <c r="G1426" s="94"/>
      <c r="I1426" s="94"/>
      <c r="K1426" s="94"/>
      <c r="M1426" s="94"/>
    </row>
    <row r="1427" s="93" customFormat="1" spans="3:13">
      <c r="C1427" s="94"/>
      <c r="E1427" s="94"/>
      <c r="G1427" s="94"/>
      <c r="I1427" s="94"/>
      <c r="K1427" s="94"/>
      <c r="M1427" s="94"/>
    </row>
    <row r="1428" s="93" customFormat="1" spans="3:13">
      <c r="C1428" s="94"/>
      <c r="E1428" s="94"/>
      <c r="G1428" s="94"/>
      <c r="I1428" s="94"/>
      <c r="K1428" s="94"/>
      <c r="M1428" s="94"/>
    </row>
    <row r="1429" s="93" customFormat="1" spans="3:13">
      <c r="C1429" s="94"/>
      <c r="E1429" s="94"/>
      <c r="G1429" s="94"/>
      <c r="I1429" s="94"/>
      <c r="K1429" s="94"/>
      <c r="M1429" s="94"/>
    </row>
    <row r="1430" s="93" customFormat="1" spans="3:13">
      <c r="C1430" s="94"/>
      <c r="E1430" s="94"/>
      <c r="G1430" s="94"/>
      <c r="I1430" s="94"/>
      <c r="K1430" s="94"/>
      <c r="M1430" s="94"/>
    </row>
    <row r="1431" s="93" customFormat="1" spans="3:13">
      <c r="C1431" s="94"/>
      <c r="E1431" s="94"/>
      <c r="G1431" s="94"/>
      <c r="I1431" s="94"/>
      <c r="K1431" s="94"/>
      <c r="M1431" s="94"/>
    </row>
    <row r="1432" s="93" customFormat="1" spans="3:13">
      <c r="C1432" s="94"/>
      <c r="E1432" s="94"/>
      <c r="G1432" s="94"/>
      <c r="I1432" s="94"/>
      <c r="K1432" s="94"/>
      <c r="M1432" s="94"/>
    </row>
    <row r="1433" s="93" customFormat="1" spans="3:13">
      <c r="C1433" s="94"/>
      <c r="E1433" s="94"/>
      <c r="G1433" s="94"/>
      <c r="I1433" s="94"/>
      <c r="K1433" s="94"/>
      <c r="M1433" s="94"/>
    </row>
    <row r="1434" s="93" customFormat="1" spans="3:13">
      <c r="C1434" s="94"/>
      <c r="E1434" s="94"/>
      <c r="G1434" s="94"/>
      <c r="I1434" s="94"/>
      <c r="K1434" s="94"/>
      <c r="M1434" s="94"/>
    </row>
    <row r="1435" s="93" customFormat="1" spans="3:13">
      <c r="C1435" s="94"/>
      <c r="E1435" s="94"/>
      <c r="G1435" s="94"/>
      <c r="I1435" s="94"/>
      <c r="K1435" s="94"/>
      <c r="M1435" s="94"/>
    </row>
    <row r="1436" s="93" customFormat="1" spans="3:13">
      <c r="C1436" s="94"/>
      <c r="E1436" s="94"/>
      <c r="G1436" s="94"/>
      <c r="I1436" s="94"/>
      <c r="K1436" s="94"/>
      <c r="M1436" s="94"/>
    </row>
    <row r="1437" s="93" customFormat="1" spans="3:13">
      <c r="C1437" s="94"/>
      <c r="E1437" s="94"/>
      <c r="G1437" s="94"/>
      <c r="I1437" s="94"/>
      <c r="K1437" s="94"/>
      <c r="M1437" s="94"/>
    </row>
    <row r="1438" s="93" customFormat="1" spans="3:13">
      <c r="C1438" s="94"/>
      <c r="E1438" s="94"/>
      <c r="G1438" s="94"/>
      <c r="I1438" s="94"/>
      <c r="K1438" s="94"/>
      <c r="M1438" s="94"/>
    </row>
    <row r="1439" s="93" customFormat="1" spans="3:13">
      <c r="C1439" s="94"/>
      <c r="E1439" s="94"/>
      <c r="G1439" s="94"/>
      <c r="I1439" s="94"/>
      <c r="K1439" s="94"/>
      <c r="M1439" s="94"/>
    </row>
    <row r="1440" s="93" customFormat="1" spans="3:13">
      <c r="C1440" s="94"/>
      <c r="E1440" s="94"/>
      <c r="G1440" s="94"/>
      <c r="I1440" s="94"/>
      <c r="K1440" s="94"/>
      <c r="M1440" s="94"/>
    </row>
    <row r="1441" s="93" customFormat="1" spans="3:13">
      <c r="C1441" s="94"/>
      <c r="E1441" s="94"/>
      <c r="G1441" s="94"/>
      <c r="I1441" s="94"/>
      <c r="K1441" s="94"/>
      <c r="M1441" s="94"/>
    </row>
    <row r="1442" s="93" customFormat="1" spans="3:13">
      <c r="C1442" s="94"/>
      <c r="E1442" s="94"/>
      <c r="G1442" s="94"/>
      <c r="I1442" s="94"/>
      <c r="K1442" s="94"/>
      <c r="M1442" s="94"/>
    </row>
    <row r="1443" s="93" customFormat="1" spans="3:13">
      <c r="C1443" s="94"/>
      <c r="E1443" s="94"/>
      <c r="G1443" s="94"/>
      <c r="I1443" s="94"/>
      <c r="K1443" s="94"/>
      <c r="M1443" s="94"/>
    </row>
    <row r="1444" s="93" customFormat="1" spans="3:13">
      <c r="C1444" s="94"/>
      <c r="E1444" s="94"/>
      <c r="G1444" s="94"/>
      <c r="I1444" s="94"/>
      <c r="K1444" s="94"/>
      <c r="M1444" s="94"/>
    </row>
    <row r="1445" s="93" customFormat="1" spans="3:13">
      <c r="C1445" s="94"/>
      <c r="E1445" s="94"/>
      <c r="G1445" s="94"/>
      <c r="I1445" s="94"/>
      <c r="K1445" s="94"/>
      <c r="M1445" s="94"/>
    </row>
    <row r="1446" s="93" customFormat="1" spans="3:13">
      <c r="C1446" s="94"/>
      <c r="E1446" s="94"/>
      <c r="G1446" s="94"/>
      <c r="I1446" s="94"/>
      <c r="K1446" s="94"/>
      <c r="M1446" s="94"/>
    </row>
    <row r="1447" s="93" customFormat="1" spans="3:13">
      <c r="C1447" s="94"/>
      <c r="E1447" s="94"/>
      <c r="G1447" s="94"/>
      <c r="I1447" s="94"/>
      <c r="K1447" s="94"/>
      <c r="M1447" s="94"/>
    </row>
    <row r="1448" s="93" customFormat="1" spans="3:13">
      <c r="C1448" s="94"/>
      <c r="E1448" s="94"/>
      <c r="G1448" s="94"/>
      <c r="I1448" s="94"/>
      <c r="K1448" s="94"/>
      <c r="M1448" s="94"/>
    </row>
    <row r="1449" s="93" customFormat="1" spans="3:13">
      <c r="C1449" s="94"/>
      <c r="E1449" s="94"/>
      <c r="G1449" s="94"/>
      <c r="I1449" s="94"/>
      <c r="K1449" s="94"/>
      <c r="M1449" s="94"/>
    </row>
    <row r="1450" s="93" customFormat="1" spans="3:13">
      <c r="C1450" s="94"/>
      <c r="E1450" s="94"/>
      <c r="G1450" s="94"/>
      <c r="I1450" s="94"/>
      <c r="K1450" s="94"/>
      <c r="M1450" s="94"/>
    </row>
    <row r="1451" s="93" customFormat="1" spans="3:13">
      <c r="C1451" s="94"/>
      <c r="E1451" s="94"/>
      <c r="G1451" s="94"/>
      <c r="I1451" s="94"/>
      <c r="K1451" s="94"/>
      <c r="M1451" s="94"/>
    </row>
    <row r="1452" s="93" customFormat="1" spans="3:13">
      <c r="C1452" s="94"/>
      <c r="E1452" s="94"/>
      <c r="G1452" s="94"/>
      <c r="I1452" s="94"/>
      <c r="K1452" s="94"/>
      <c r="M1452" s="94"/>
    </row>
    <row r="1453" s="93" customFormat="1" spans="3:13">
      <c r="C1453" s="94"/>
      <c r="E1453" s="94"/>
      <c r="G1453" s="94"/>
      <c r="I1453" s="94"/>
      <c r="K1453" s="94"/>
      <c r="M1453" s="94"/>
    </row>
    <row r="1454" s="93" customFormat="1" spans="3:13">
      <c r="C1454" s="94"/>
      <c r="E1454" s="94"/>
      <c r="G1454" s="94"/>
      <c r="I1454" s="94"/>
      <c r="K1454" s="94"/>
      <c r="M1454" s="94"/>
    </row>
    <row r="1455" s="93" customFormat="1" spans="3:13">
      <c r="C1455" s="94"/>
      <c r="E1455" s="94"/>
      <c r="G1455" s="94"/>
      <c r="I1455" s="94"/>
      <c r="K1455" s="94"/>
      <c r="M1455" s="94"/>
    </row>
    <row r="1456" s="93" customFormat="1" spans="3:13">
      <c r="C1456" s="94"/>
      <c r="E1456" s="94"/>
      <c r="G1456" s="94"/>
      <c r="I1456" s="94"/>
      <c r="K1456" s="94"/>
      <c r="M1456" s="94"/>
    </row>
    <row r="1457" s="93" customFormat="1" spans="3:13">
      <c r="C1457" s="94"/>
      <c r="E1457" s="94"/>
      <c r="G1457" s="94"/>
      <c r="I1457" s="94"/>
      <c r="K1457" s="94"/>
      <c r="M1457" s="94"/>
    </row>
    <row r="1458" s="93" customFormat="1" spans="3:13">
      <c r="C1458" s="94"/>
      <c r="E1458" s="94"/>
      <c r="G1458" s="94"/>
      <c r="I1458" s="94"/>
      <c r="K1458" s="94"/>
      <c r="M1458" s="94"/>
    </row>
    <row r="1459" s="93" customFormat="1" spans="3:13">
      <c r="C1459" s="94"/>
      <c r="E1459" s="94"/>
      <c r="G1459" s="94"/>
      <c r="I1459" s="94"/>
      <c r="K1459" s="94"/>
      <c r="M1459" s="94"/>
    </row>
    <row r="1460" s="93" customFormat="1" spans="3:13">
      <c r="C1460" s="94"/>
      <c r="E1460" s="94"/>
      <c r="G1460" s="94"/>
      <c r="I1460" s="94"/>
      <c r="K1460" s="94"/>
      <c r="M1460" s="94"/>
    </row>
    <row r="1461" s="93" customFormat="1" spans="3:13">
      <c r="C1461" s="94"/>
      <c r="E1461" s="94"/>
      <c r="G1461" s="94"/>
      <c r="I1461" s="94"/>
      <c r="K1461" s="94"/>
      <c r="M1461" s="94"/>
    </row>
    <row r="1462" s="93" customFormat="1" spans="3:13">
      <c r="C1462" s="94"/>
      <c r="E1462" s="94"/>
      <c r="G1462" s="94"/>
      <c r="I1462" s="94"/>
      <c r="K1462" s="94"/>
      <c r="M1462" s="94"/>
    </row>
    <row r="1463" s="93" customFormat="1" spans="3:13">
      <c r="C1463" s="94"/>
      <c r="E1463" s="94"/>
      <c r="G1463" s="94"/>
      <c r="I1463" s="94"/>
      <c r="K1463" s="94"/>
      <c r="M1463" s="94"/>
    </row>
    <row r="1464" s="93" customFormat="1" spans="3:13">
      <c r="C1464" s="94"/>
      <c r="E1464" s="94"/>
      <c r="G1464" s="94"/>
      <c r="I1464" s="94"/>
      <c r="K1464" s="94"/>
      <c r="M1464" s="94"/>
    </row>
    <row r="1465" s="93" customFormat="1" spans="3:13">
      <c r="C1465" s="94"/>
      <c r="E1465" s="94"/>
      <c r="G1465" s="94"/>
      <c r="I1465" s="94"/>
      <c r="K1465" s="94"/>
      <c r="M1465" s="94"/>
    </row>
    <row r="1466" s="93" customFormat="1" spans="3:13">
      <c r="C1466" s="94"/>
      <c r="E1466" s="94"/>
      <c r="G1466" s="94"/>
      <c r="I1466" s="94"/>
      <c r="K1466" s="94"/>
      <c r="M1466" s="94"/>
    </row>
    <row r="1467" s="93" customFormat="1" spans="3:13">
      <c r="C1467" s="94"/>
      <c r="E1467" s="94"/>
      <c r="G1467" s="94"/>
      <c r="I1467" s="94"/>
      <c r="K1467" s="94"/>
      <c r="M1467" s="94"/>
    </row>
    <row r="1468" s="93" customFormat="1" spans="3:13">
      <c r="C1468" s="94"/>
      <c r="E1468" s="94"/>
      <c r="G1468" s="94"/>
      <c r="I1468" s="94"/>
      <c r="K1468" s="94"/>
      <c r="M1468" s="94"/>
    </row>
    <row r="1469" s="93" customFormat="1" spans="3:13">
      <c r="C1469" s="94"/>
      <c r="E1469" s="94"/>
      <c r="G1469" s="94"/>
      <c r="I1469" s="94"/>
      <c r="K1469" s="94"/>
      <c r="M1469" s="94"/>
    </row>
    <row r="1470" s="93" customFormat="1" spans="3:13">
      <c r="C1470" s="94"/>
      <c r="E1470" s="94"/>
      <c r="G1470" s="94"/>
      <c r="I1470" s="94"/>
      <c r="K1470" s="94"/>
      <c r="M1470" s="94"/>
    </row>
    <row r="1471" s="93" customFormat="1" spans="3:13">
      <c r="C1471" s="94"/>
      <c r="E1471" s="94"/>
      <c r="G1471" s="94"/>
      <c r="I1471" s="94"/>
      <c r="K1471" s="94"/>
      <c r="M1471" s="94"/>
    </row>
    <row r="1472" s="93" customFormat="1" spans="3:13">
      <c r="C1472" s="94"/>
      <c r="E1472" s="94"/>
      <c r="G1472" s="94"/>
      <c r="I1472" s="94"/>
      <c r="K1472" s="94"/>
      <c r="M1472" s="94"/>
    </row>
    <row r="1473" s="93" customFormat="1" spans="3:13">
      <c r="C1473" s="94"/>
      <c r="E1473" s="94"/>
      <c r="G1473" s="94"/>
      <c r="I1473" s="94"/>
      <c r="K1473" s="94"/>
      <c r="M1473" s="94"/>
    </row>
    <row r="1474" s="93" customFormat="1" spans="3:13">
      <c r="C1474" s="94"/>
      <c r="E1474" s="94"/>
      <c r="G1474" s="94"/>
      <c r="I1474" s="94"/>
      <c r="K1474" s="94"/>
      <c r="M1474" s="94"/>
    </row>
    <row r="1475" s="93" customFormat="1" spans="3:13">
      <c r="C1475" s="94"/>
      <c r="E1475" s="94"/>
      <c r="G1475" s="94"/>
      <c r="I1475" s="94"/>
      <c r="K1475" s="94"/>
      <c r="M1475" s="94"/>
    </row>
    <row r="1476" s="93" customFormat="1" spans="3:13">
      <c r="C1476" s="94"/>
      <c r="E1476" s="94"/>
      <c r="G1476" s="94"/>
      <c r="I1476" s="94"/>
      <c r="K1476" s="94"/>
      <c r="M1476" s="94"/>
    </row>
    <row r="1477" s="93" customFormat="1" spans="3:13">
      <c r="C1477" s="94"/>
      <c r="E1477" s="94"/>
      <c r="G1477" s="94"/>
      <c r="I1477" s="94"/>
      <c r="K1477" s="94"/>
      <c r="M1477" s="94"/>
    </row>
    <row r="1478" s="93" customFormat="1" spans="3:13">
      <c r="C1478" s="94"/>
      <c r="E1478" s="94"/>
      <c r="G1478" s="94"/>
      <c r="I1478" s="94"/>
      <c r="K1478" s="94"/>
      <c r="M1478" s="94"/>
    </row>
    <row r="1479" s="93" customFormat="1" spans="3:13">
      <c r="C1479" s="94"/>
      <c r="E1479" s="94"/>
      <c r="G1479" s="94"/>
      <c r="I1479" s="94"/>
      <c r="K1479" s="94"/>
      <c r="M1479" s="94"/>
    </row>
    <row r="1480" s="93" customFormat="1" spans="3:13">
      <c r="C1480" s="94"/>
      <c r="E1480" s="94"/>
      <c r="G1480" s="94"/>
      <c r="I1480" s="94"/>
      <c r="K1480" s="94"/>
      <c r="M1480" s="94"/>
    </row>
    <row r="1481" s="93" customFormat="1" spans="3:13">
      <c r="C1481" s="94"/>
      <c r="E1481" s="94"/>
      <c r="G1481" s="94"/>
      <c r="I1481" s="94"/>
      <c r="K1481" s="94"/>
      <c r="M1481" s="94"/>
    </row>
    <row r="1482" s="93" customFormat="1" spans="3:13">
      <c r="C1482" s="94"/>
      <c r="E1482" s="94"/>
      <c r="G1482" s="94"/>
      <c r="I1482" s="94"/>
      <c r="K1482" s="94"/>
      <c r="M1482" s="94"/>
    </row>
    <row r="1483" s="93" customFormat="1" spans="3:13">
      <c r="C1483" s="94"/>
      <c r="E1483" s="94"/>
      <c r="G1483" s="94"/>
      <c r="I1483" s="94"/>
      <c r="K1483" s="94"/>
      <c r="M1483" s="94"/>
    </row>
    <row r="1484" s="93" customFormat="1" spans="3:13">
      <c r="C1484" s="94"/>
      <c r="E1484" s="94"/>
      <c r="G1484" s="94"/>
      <c r="I1484" s="94"/>
      <c r="K1484" s="94"/>
      <c r="M1484" s="94"/>
    </row>
    <row r="1485" s="93" customFormat="1" spans="3:13">
      <c r="C1485" s="94"/>
      <c r="E1485" s="94"/>
      <c r="G1485" s="94"/>
      <c r="I1485" s="94"/>
      <c r="K1485" s="94"/>
      <c r="M1485" s="94"/>
    </row>
    <row r="1486" s="93" customFormat="1" spans="3:13">
      <c r="C1486" s="94"/>
      <c r="E1486" s="94"/>
      <c r="G1486" s="94"/>
      <c r="I1486" s="94"/>
      <c r="K1486" s="94"/>
      <c r="M1486" s="94"/>
    </row>
    <row r="1487" s="93" customFormat="1" spans="3:13">
      <c r="C1487" s="94"/>
      <c r="E1487" s="94"/>
      <c r="G1487" s="94"/>
      <c r="I1487" s="94"/>
      <c r="K1487" s="94"/>
      <c r="M1487" s="94"/>
    </row>
    <row r="1488" s="93" customFormat="1" spans="3:13">
      <c r="C1488" s="94"/>
      <c r="E1488" s="94"/>
      <c r="G1488" s="94"/>
      <c r="I1488" s="94"/>
      <c r="K1488" s="94"/>
      <c r="M1488" s="94"/>
    </row>
    <row r="1489" s="93" customFormat="1" spans="3:13">
      <c r="C1489" s="94"/>
      <c r="E1489" s="94"/>
      <c r="G1489" s="94"/>
      <c r="I1489" s="94"/>
      <c r="K1489" s="94"/>
      <c r="M1489" s="94"/>
    </row>
    <row r="1490" s="93" customFormat="1" spans="3:13">
      <c r="C1490" s="94"/>
      <c r="E1490" s="94"/>
      <c r="G1490" s="94"/>
      <c r="I1490" s="94"/>
      <c r="K1490" s="94"/>
      <c r="M1490" s="94"/>
    </row>
    <row r="1491" s="93" customFormat="1" spans="3:13">
      <c r="C1491" s="94"/>
      <c r="E1491" s="94"/>
      <c r="G1491" s="94"/>
      <c r="I1491" s="94"/>
      <c r="K1491" s="94"/>
      <c r="M1491" s="94"/>
    </row>
    <row r="1492" s="93" customFormat="1" spans="3:13">
      <c r="C1492" s="94"/>
      <c r="E1492" s="94"/>
      <c r="G1492" s="94"/>
      <c r="I1492" s="94"/>
      <c r="K1492" s="94"/>
      <c r="M1492" s="94"/>
    </row>
    <row r="1493" s="93" customFormat="1" spans="3:13">
      <c r="C1493" s="94"/>
      <c r="E1493" s="94"/>
      <c r="G1493" s="94"/>
      <c r="I1493" s="94"/>
      <c r="K1493" s="94"/>
      <c r="M1493" s="94"/>
    </row>
    <row r="1494" s="93" customFormat="1" spans="3:13">
      <c r="C1494" s="94"/>
      <c r="E1494" s="94"/>
      <c r="G1494" s="94"/>
      <c r="I1494" s="94"/>
      <c r="K1494" s="94"/>
      <c r="M1494" s="94"/>
    </row>
    <row r="1495" s="93" customFormat="1" spans="3:13">
      <c r="C1495" s="94"/>
      <c r="E1495" s="94"/>
      <c r="G1495" s="94"/>
      <c r="I1495" s="94"/>
      <c r="K1495" s="94"/>
      <c r="M1495" s="94"/>
    </row>
    <row r="1496" s="93" customFormat="1" spans="3:13">
      <c r="C1496" s="94"/>
      <c r="E1496" s="94"/>
      <c r="G1496" s="94"/>
      <c r="I1496" s="94"/>
      <c r="K1496" s="94"/>
      <c r="M1496" s="94"/>
    </row>
    <row r="1497" s="93" customFormat="1" spans="3:13">
      <c r="C1497" s="94"/>
      <c r="E1497" s="94"/>
      <c r="G1497" s="94"/>
      <c r="I1497" s="94"/>
      <c r="K1497" s="94"/>
      <c r="M1497" s="94"/>
    </row>
    <row r="1498" s="93" customFormat="1" spans="3:13">
      <c r="C1498" s="94"/>
      <c r="E1498" s="94"/>
      <c r="G1498" s="94"/>
      <c r="I1498" s="94"/>
      <c r="K1498" s="94"/>
      <c r="M1498" s="94"/>
    </row>
    <row r="1499" s="93" customFormat="1" spans="3:13">
      <c r="C1499" s="94"/>
      <c r="E1499" s="94"/>
      <c r="G1499" s="94"/>
      <c r="I1499" s="94"/>
      <c r="K1499" s="94"/>
      <c r="M1499" s="94"/>
    </row>
    <row r="1500" s="93" customFormat="1" spans="3:13">
      <c r="C1500" s="94"/>
      <c r="E1500" s="94"/>
      <c r="G1500" s="94"/>
      <c r="I1500" s="94"/>
      <c r="K1500" s="94"/>
      <c r="M1500" s="94"/>
    </row>
    <row r="1501" s="93" customFormat="1" spans="3:13">
      <c r="C1501" s="94"/>
      <c r="E1501" s="94"/>
      <c r="G1501" s="94"/>
      <c r="I1501" s="94"/>
      <c r="K1501" s="94"/>
      <c r="M1501" s="94"/>
    </row>
    <row r="1502" s="93" customFormat="1" spans="3:13">
      <c r="C1502" s="94"/>
      <c r="E1502" s="94"/>
      <c r="G1502" s="94"/>
      <c r="I1502" s="94"/>
      <c r="K1502" s="94"/>
      <c r="M1502" s="94"/>
    </row>
    <row r="1503" s="93" customFormat="1" spans="3:13">
      <c r="C1503" s="94"/>
      <c r="E1503" s="94"/>
      <c r="G1503" s="94"/>
      <c r="I1503" s="94"/>
      <c r="K1503" s="94"/>
      <c r="M1503" s="94"/>
    </row>
    <row r="1504" s="93" customFormat="1" spans="3:13">
      <c r="C1504" s="94"/>
      <c r="E1504" s="94"/>
      <c r="G1504" s="94"/>
      <c r="I1504" s="94"/>
      <c r="K1504" s="94"/>
      <c r="M1504" s="94"/>
    </row>
    <row r="1505" s="93" customFormat="1" spans="3:13">
      <c r="C1505" s="94"/>
      <c r="E1505" s="94"/>
      <c r="G1505" s="94"/>
      <c r="I1505" s="94"/>
      <c r="K1505" s="94"/>
      <c r="M1505" s="94"/>
    </row>
    <row r="1506" s="93" customFormat="1" spans="3:13">
      <c r="C1506" s="94"/>
      <c r="E1506" s="94"/>
      <c r="G1506" s="94"/>
      <c r="I1506" s="94"/>
      <c r="K1506" s="94"/>
      <c r="M1506" s="94"/>
    </row>
    <row r="1507" s="93" customFormat="1" spans="3:13">
      <c r="C1507" s="94"/>
      <c r="E1507" s="94"/>
      <c r="G1507" s="94"/>
      <c r="I1507" s="94"/>
      <c r="K1507" s="94"/>
      <c r="M1507" s="94"/>
    </row>
    <row r="1508" s="93" customFormat="1" spans="3:13">
      <c r="C1508" s="94"/>
      <c r="E1508" s="94"/>
      <c r="G1508" s="94"/>
      <c r="I1508" s="94"/>
      <c r="K1508" s="94"/>
      <c r="M1508" s="94"/>
    </row>
    <row r="1509" s="93" customFormat="1" spans="3:13">
      <c r="C1509" s="94"/>
      <c r="E1509" s="94"/>
      <c r="G1509" s="94"/>
      <c r="I1509" s="94"/>
      <c r="K1509" s="94"/>
      <c r="M1509" s="94"/>
    </row>
    <row r="1510" s="93" customFormat="1" spans="3:13">
      <c r="C1510" s="94"/>
      <c r="E1510" s="94"/>
      <c r="G1510" s="94"/>
      <c r="I1510" s="94"/>
      <c r="K1510" s="94"/>
      <c r="M1510" s="94"/>
    </row>
    <row r="1511" s="93" customFormat="1" spans="3:13">
      <c r="C1511" s="94"/>
      <c r="E1511" s="94"/>
      <c r="G1511" s="94"/>
      <c r="I1511" s="94"/>
      <c r="K1511" s="94"/>
      <c r="M1511" s="94"/>
    </row>
    <row r="1512" s="93" customFormat="1" spans="3:13">
      <c r="C1512" s="94"/>
      <c r="E1512" s="94"/>
      <c r="G1512" s="94"/>
      <c r="I1512" s="94"/>
      <c r="K1512" s="94"/>
      <c r="M1512" s="94"/>
    </row>
    <row r="1513" s="93" customFormat="1" spans="3:13">
      <c r="C1513" s="94"/>
      <c r="E1513" s="94"/>
      <c r="G1513" s="94"/>
      <c r="I1513" s="94"/>
      <c r="K1513" s="94"/>
      <c r="M1513" s="94"/>
    </row>
    <row r="1514" s="93" customFormat="1" spans="3:13">
      <c r="C1514" s="94"/>
      <c r="E1514" s="94"/>
      <c r="G1514" s="94"/>
      <c r="I1514" s="94"/>
      <c r="K1514" s="94"/>
      <c r="M1514" s="94"/>
    </row>
    <row r="1515" s="93" customFormat="1" spans="3:13">
      <c r="C1515" s="94"/>
      <c r="E1515" s="94"/>
      <c r="G1515" s="94"/>
      <c r="I1515" s="94"/>
      <c r="K1515" s="94"/>
      <c r="M1515" s="94"/>
    </row>
    <row r="1516" s="93" customFormat="1" spans="3:13">
      <c r="C1516" s="94"/>
      <c r="E1516" s="94"/>
      <c r="G1516" s="94"/>
      <c r="I1516" s="94"/>
      <c r="K1516" s="94"/>
      <c r="M1516" s="94"/>
    </row>
    <row r="1517" s="93" customFormat="1" spans="3:13">
      <c r="C1517" s="94"/>
      <c r="E1517" s="94"/>
      <c r="G1517" s="94"/>
      <c r="I1517" s="94"/>
      <c r="K1517" s="94"/>
      <c r="M1517" s="94"/>
    </row>
    <row r="1518" s="93" customFormat="1" spans="3:13">
      <c r="C1518" s="94"/>
      <c r="E1518" s="94"/>
      <c r="G1518" s="94"/>
      <c r="I1518" s="94"/>
      <c r="K1518" s="94"/>
      <c r="M1518" s="94"/>
    </row>
    <row r="1519" s="93" customFormat="1" spans="3:13">
      <c r="C1519" s="94"/>
      <c r="E1519" s="94"/>
      <c r="G1519" s="94"/>
      <c r="I1519" s="94"/>
      <c r="K1519" s="94"/>
      <c r="M1519" s="94"/>
    </row>
    <row r="1520" s="93" customFormat="1" spans="3:13">
      <c r="C1520" s="94"/>
      <c r="E1520" s="94"/>
      <c r="G1520" s="94"/>
      <c r="I1520" s="94"/>
      <c r="K1520" s="94"/>
      <c r="M1520" s="94"/>
    </row>
    <row r="1521" s="93" customFormat="1" spans="3:13">
      <c r="C1521" s="94"/>
      <c r="E1521" s="94"/>
      <c r="G1521" s="94"/>
      <c r="I1521" s="94"/>
      <c r="K1521" s="94"/>
      <c r="M1521" s="94"/>
    </row>
    <row r="1522" s="93" customFormat="1" spans="3:13">
      <c r="C1522" s="94"/>
      <c r="E1522" s="94"/>
      <c r="G1522" s="94"/>
      <c r="I1522" s="94"/>
      <c r="K1522" s="94"/>
      <c r="M1522" s="94"/>
    </row>
    <row r="1523" s="93" customFormat="1" spans="3:13">
      <c r="C1523" s="94"/>
      <c r="E1523" s="94"/>
      <c r="G1523" s="94"/>
      <c r="I1523" s="94"/>
      <c r="K1523" s="94"/>
      <c r="M1523" s="94"/>
    </row>
    <row r="1524" s="93" customFormat="1" spans="3:13">
      <c r="C1524" s="94"/>
      <c r="E1524" s="94"/>
      <c r="G1524" s="94"/>
      <c r="I1524" s="94"/>
      <c r="K1524" s="94"/>
      <c r="M1524" s="94"/>
    </row>
    <row r="1525" s="93" customFormat="1" spans="3:13">
      <c r="C1525" s="94"/>
      <c r="E1525" s="94"/>
      <c r="G1525" s="94"/>
      <c r="I1525" s="94"/>
      <c r="K1525" s="94"/>
      <c r="M1525" s="94"/>
    </row>
    <row r="1526" s="93" customFormat="1" spans="3:13">
      <c r="C1526" s="94"/>
      <c r="E1526" s="94"/>
      <c r="G1526" s="94"/>
      <c r="I1526" s="94"/>
      <c r="K1526" s="94"/>
      <c r="M1526" s="94"/>
    </row>
    <row r="1527" s="93" customFormat="1" spans="3:13">
      <c r="C1527" s="94"/>
      <c r="E1527" s="94"/>
      <c r="G1527" s="94"/>
      <c r="I1527" s="94"/>
      <c r="K1527" s="94"/>
      <c r="M1527" s="94"/>
    </row>
    <row r="1528" s="93" customFormat="1" spans="3:13">
      <c r="C1528" s="94"/>
      <c r="E1528" s="94"/>
      <c r="G1528" s="94"/>
      <c r="I1528" s="94"/>
      <c r="K1528" s="94"/>
      <c r="M1528" s="94"/>
    </row>
    <row r="1529" s="93" customFormat="1" spans="3:13">
      <c r="C1529" s="94"/>
      <c r="E1529" s="94"/>
      <c r="G1529" s="94"/>
      <c r="I1529" s="94"/>
      <c r="K1529" s="94"/>
      <c r="M1529" s="94"/>
    </row>
    <row r="1530" s="93" customFormat="1" spans="3:13">
      <c r="C1530" s="94"/>
      <c r="E1530" s="94"/>
      <c r="G1530" s="94"/>
      <c r="I1530" s="94"/>
      <c r="K1530" s="94"/>
      <c r="M1530" s="94"/>
    </row>
    <row r="1531" s="93" customFormat="1" spans="3:13">
      <c r="C1531" s="94"/>
      <c r="E1531" s="94"/>
      <c r="G1531" s="94"/>
      <c r="I1531" s="94"/>
      <c r="K1531" s="94"/>
      <c r="M1531" s="94"/>
    </row>
    <row r="1532" s="93" customFormat="1" spans="3:13">
      <c r="C1532" s="94"/>
      <c r="E1532" s="94"/>
      <c r="G1532" s="94"/>
      <c r="I1532" s="94"/>
      <c r="K1532" s="94"/>
      <c r="M1532" s="94"/>
    </row>
    <row r="1533" s="93" customFormat="1" spans="3:13">
      <c r="C1533" s="94"/>
      <c r="E1533" s="94"/>
      <c r="G1533" s="94"/>
      <c r="I1533" s="94"/>
      <c r="K1533" s="94"/>
      <c r="M1533" s="94"/>
    </row>
    <row r="1534" s="93" customFormat="1" spans="3:13">
      <c r="C1534" s="94"/>
      <c r="E1534" s="94"/>
      <c r="G1534" s="94"/>
      <c r="I1534" s="94"/>
      <c r="K1534" s="94"/>
      <c r="M1534" s="94"/>
    </row>
    <row r="1535" s="93" customFormat="1" spans="3:13">
      <c r="C1535" s="94"/>
      <c r="E1535" s="94"/>
      <c r="G1535" s="94"/>
      <c r="I1535" s="94"/>
      <c r="K1535" s="94"/>
      <c r="M1535" s="94"/>
    </row>
    <row r="1536" s="93" customFormat="1" spans="3:13">
      <c r="C1536" s="94"/>
      <c r="E1536" s="94"/>
      <c r="G1536" s="94"/>
      <c r="I1536" s="94"/>
      <c r="K1536" s="94"/>
      <c r="M1536" s="94"/>
    </row>
    <row r="1537" s="93" customFormat="1" spans="3:13">
      <c r="C1537" s="94"/>
      <c r="E1537" s="94"/>
      <c r="G1537" s="94"/>
      <c r="I1537" s="94"/>
      <c r="K1537" s="94"/>
      <c r="M1537" s="94"/>
    </row>
    <row r="1538" s="93" customFormat="1" spans="3:13">
      <c r="C1538" s="94"/>
      <c r="E1538" s="94"/>
      <c r="G1538" s="94"/>
      <c r="I1538" s="94"/>
      <c r="K1538" s="94"/>
      <c r="M1538" s="94"/>
    </row>
    <row r="1539" s="93" customFormat="1" spans="3:13">
      <c r="C1539" s="94"/>
      <c r="E1539" s="94"/>
      <c r="G1539" s="94"/>
      <c r="I1539" s="94"/>
      <c r="K1539" s="94"/>
      <c r="M1539" s="94"/>
    </row>
    <row r="1540" s="93" customFormat="1" spans="3:13">
      <c r="C1540" s="94"/>
      <c r="E1540" s="94"/>
      <c r="G1540" s="94"/>
      <c r="I1540" s="94"/>
      <c r="K1540" s="94"/>
      <c r="M1540" s="94"/>
    </row>
    <row r="1541" s="93" customFormat="1" spans="3:13">
      <c r="C1541" s="94"/>
      <c r="E1541" s="94"/>
      <c r="G1541" s="94"/>
      <c r="I1541" s="94"/>
      <c r="K1541" s="94"/>
      <c r="M1541" s="94"/>
    </row>
    <row r="1542" s="93" customFormat="1" spans="3:13">
      <c r="C1542" s="94"/>
      <c r="E1542" s="94"/>
      <c r="G1542" s="94"/>
      <c r="I1542" s="94"/>
      <c r="K1542" s="94"/>
      <c r="M1542" s="94"/>
    </row>
    <row r="1543" s="93" customFormat="1" spans="3:13">
      <c r="C1543" s="94"/>
      <c r="E1543" s="94"/>
      <c r="G1543" s="94"/>
      <c r="I1543" s="94"/>
      <c r="K1543" s="94"/>
      <c r="M1543" s="94"/>
    </row>
    <row r="1544" s="93" customFormat="1" spans="3:13">
      <c r="C1544" s="94"/>
      <c r="E1544" s="94"/>
      <c r="G1544" s="94"/>
      <c r="I1544" s="94"/>
      <c r="K1544" s="94"/>
      <c r="M1544" s="94"/>
    </row>
    <row r="1545" s="93" customFormat="1" spans="3:13">
      <c r="C1545" s="94"/>
      <c r="E1545" s="94"/>
      <c r="G1545" s="94"/>
      <c r="I1545" s="94"/>
      <c r="K1545" s="94"/>
      <c r="M1545" s="94"/>
    </row>
    <row r="1546" s="93" customFormat="1" spans="3:13">
      <c r="C1546" s="94"/>
      <c r="E1546" s="94"/>
      <c r="G1546" s="94"/>
      <c r="I1546" s="94"/>
      <c r="K1546" s="94"/>
      <c r="M1546" s="94"/>
    </row>
    <row r="1547" s="93" customFormat="1" spans="3:13">
      <c r="C1547" s="94"/>
      <c r="E1547" s="94"/>
      <c r="G1547" s="94"/>
      <c r="I1547" s="94"/>
      <c r="K1547" s="94"/>
      <c r="M1547" s="94"/>
    </row>
    <row r="1548" s="93" customFormat="1" spans="3:13">
      <c r="C1548" s="94"/>
      <c r="E1548" s="94"/>
      <c r="G1548" s="94"/>
      <c r="I1548" s="94"/>
      <c r="K1548" s="94"/>
      <c r="M1548" s="94"/>
    </row>
    <row r="1549" s="93" customFormat="1" spans="3:13">
      <c r="C1549" s="94"/>
      <c r="E1549" s="94"/>
      <c r="G1549" s="94"/>
      <c r="I1549" s="94"/>
      <c r="K1549" s="94"/>
      <c r="M1549" s="94"/>
    </row>
    <row r="1550" s="93" customFormat="1" spans="3:13">
      <c r="C1550" s="94"/>
      <c r="E1550" s="94"/>
      <c r="G1550" s="94"/>
      <c r="I1550" s="94"/>
      <c r="K1550" s="94"/>
      <c r="M1550" s="94"/>
    </row>
    <row r="1551" s="93" customFormat="1" spans="3:13">
      <c r="C1551" s="94"/>
      <c r="E1551" s="94"/>
      <c r="G1551" s="94"/>
      <c r="I1551" s="94"/>
      <c r="K1551" s="94"/>
      <c r="M1551" s="94"/>
    </row>
    <row r="1552" s="93" customFormat="1" spans="3:13">
      <c r="C1552" s="94"/>
      <c r="E1552" s="94"/>
      <c r="G1552" s="94"/>
      <c r="I1552" s="94"/>
      <c r="K1552" s="94"/>
      <c r="M1552" s="94"/>
    </row>
    <row r="1553" s="93" customFormat="1" spans="3:13">
      <c r="C1553" s="94"/>
      <c r="E1553" s="94"/>
      <c r="G1553" s="94"/>
      <c r="I1553" s="94"/>
      <c r="K1553" s="94"/>
      <c r="M1553" s="94"/>
    </row>
    <row r="1554" s="93" customFormat="1" spans="3:13">
      <c r="C1554" s="94"/>
      <c r="E1554" s="94"/>
      <c r="G1554" s="94"/>
      <c r="I1554" s="94"/>
      <c r="K1554" s="94"/>
      <c r="M1554" s="94"/>
    </row>
    <row r="1555" s="93" customFormat="1" spans="3:13">
      <c r="C1555" s="94"/>
      <c r="E1555" s="94"/>
      <c r="G1555" s="94"/>
      <c r="I1555" s="94"/>
      <c r="K1555" s="94"/>
      <c r="M1555" s="94"/>
    </row>
    <row r="1556" s="93" customFormat="1" spans="3:13">
      <c r="C1556" s="94"/>
      <c r="E1556" s="94"/>
      <c r="G1556" s="94"/>
      <c r="I1556" s="94"/>
      <c r="K1556" s="94"/>
      <c r="M1556" s="94"/>
    </row>
    <row r="1557" s="93" customFormat="1" spans="3:13">
      <c r="C1557" s="94"/>
      <c r="E1557" s="94"/>
      <c r="G1557" s="94"/>
      <c r="I1557" s="94"/>
      <c r="K1557" s="94"/>
      <c r="M1557" s="94"/>
    </row>
    <row r="1558" s="93" customFormat="1" spans="3:13">
      <c r="C1558" s="94"/>
      <c r="E1558" s="94"/>
      <c r="G1558" s="94"/>
      <c r="I1558" s="94"/>
      <c r="K1558" s="94"/>
      <c r="M1558" s="94"/>
    </row>
    <row r="1559" s="93" customFormat="1" spans="3:13">
      <c r="C1559" s="94"/>
      <c r="E1559" s="94"/>
      <c r="G1559" s="94"/>
      <c r="I1559" s="94"/>
      <c r="K1559" s="94"/>
      <c r="M1559" s="94"/>
    </row>
    <row r="1560" s="93" customFormat="1" spans="3:13">
      <c r="C1560" s="94"/>
      <c r="E1560" s="94"/>
      <c r="G1560" s="94"/>
      <c r="I1560" s="94"/>
      <c r="K1560" s="94"/>
      <c r="M1560" s="94"/>
    </row>
    <row r="1561" s="93" customFormat="1" spans="3:13">
      <c r="C1561" s="94"/>
      <c r="E1561" s="94"/>
      <c r="G1561" s="94"/>
      <c r="I1561" s="94"/>
      <c r="K1561" s="94"/>
      <c r="M1561" s="94"/>
    </row>
    <row r="1562" s="93" customFormat="1" spans="3:13">
      <c r="C1562" s="94"/>
      <c r="E1562" s="94"/>
      <c r="G1562" s="94"/>
      <c r="I1562" s="94"/>
      <c r="K1562" s="94"/>
      <c r="M1562" s="94"/>
    </row>
    <row r="1563" s="93" customFormat="1" spans="3:13">
      <c r="C1563" s="94"/>
      <c r="E1563" s="94"/>
      <c r="G1563" s="94"/>
      <c r="I1563" s="94"/>
      <c r="K1563" s="94"/>
      <c r="M1563" s="94"/>
    </row>
    <row r="1564" s="93" customFormat="1" spans="3:13">
      <c r="C1564" s="94"/>
      <c r="E1564" s="94"/>
      <c r="G1564" s="94"/>
      <c r="I1564" s="94"/>
      <c r="K1564" s="94"/>
      <c r="M1564" s="94"/>
    </row>
    <row r="1565" s="93" customFormat="1" spans="3:13">
      <c r="C1565" s="94"/>
      <c r="E1565" s="94"/>
      <c r="G1565" s="94"/>
      <c r="I1565" s="94"/>
      <c r="K1565" s="94"/>
      <c r="M1565" s="94"/>
    </row>
    <row r="1566" s="93" customFormat="1" spans="3:13">
      <c r="C1566" s="94"/>
      <c r="E1566" s="94"/>
      <c r="G1566" s="94"/>
      <c r="I1566" s="94"/>
      <c r="K1566" s="94"/>
      <c r="M1566" s="94"/>
    </row>
    <row r="1567" s="93" customFormat="1" spans="3:13">
      <c r="C1567" s="94"/>
      <c r="E1567" s="94"/>
      <c r="G1567" s="94"/>
      <c r="I1567" s="94"/>
      <c r="K1567" s="94"/>
      <c r="M1567" s="94"/>
    </row>
    <row r="1568" s="93" customFormat="1" spans="3:13">
      <c r="C1568" s="94"/>
      <c r="E1568" s="94"/>
      <c r="G1568" s="94"/>
      <c r="I1568" s="94"/>
      <c r="K1568" s="94"/>
      <c r="M1568" s="94"/>
    </row>
    <row r="1569" s="93" customFormat="1" spans="3:13">
      <c r="C1569" s="94"/>
      <c r="E1569" s="94"/>
      <c r="G1569" s="94"/>
      <c r="I1569" s="94"/>
      <c r="K1569" s="94"/>
      <c r="M1569" s="94"/>
    </row>
    <row r="1570" s="93" customFormat="1" spans="3:13">
      <c r="C1570" s="94"/>
      <c r="E1570" s="94"/>
      <c r="G1570" s="94"/>
      <c r="I1570" s="94"/>
      <c r="K1570" s="94"/>
      <c r="M1570" s="94"/>
    </row>
    <row r="1571" s="93" customFormat="1" spans="3:13">
      <c r="C1571" s="94"/>
      <c r="E1571" s="94"/>
      <c r="G1571" s="94"/>
      <c r="I1571" s="94"/>
      <c r="K1571" s="94"/>
      <c r="M1571" s="94"/>
    </row>
    <row r="1572" s="93" customFormat="1" spans="3:13">
      <c r="C1572" s="94"/>
      <c r="E1572" s="94"/>
      <c r="G1572" s="94"/>
      <c r="I1572" s="94"/>
      <c r="K1572" s="94"/>
      <c r="M1572" s="94"/>
    </row>
    <row r="1573" s="93" customFormat="1" spans="3:13">
      <c r="C1573" s="94"/>
      <c r="E1573" s="94"/>
      <c r="G1573" s="94"/>
      <c r="I1573" s="94"/>
      <c r="K1573" s="94"/>
      <c r="M1573" s="94"/>
    </row>
    <row r="1574" s="93" customFormat="1" spans="3:13">
      <c r="C1574" s="94"/>
      <c r="E1574" s="94"/>
      <c r="G1574" s="94"/>
      <c r="I1574" s="94"/>
      <c r="K1574" s="94"/>
      <c r="M1574" s="94"/>
    </row>
    <row r="1575" s="93" customFormat="1" spans="3:13">
      <c r="C1575" s="94"/>
      <c r="E1575" s="94"/>
      <c r="G1575" s="94"/>
      <c r="I1575" s="94"/>
      <c r="K1575" s="94"/>
      <c r="M1575" s="94"/>
    </row>
    <row r="1576" s="93" customFormat="1" spans="3:13">
      <c r="C1576" s="94"/>
      <c r="E1576" s="94"/>
      <c r="G1576" s="94"/>
      <c r="I1576" s="94"/>
      <c r="K1576" s="94"/>
      <c r="M1576" s="94"/>
    </row>
    <row r="1577" s="93" customFormat="1" spans="3:13">
      <c r="C1577" s="94"/>
      <c r="E1577" s="94"/>
      <c r="G1577" s="94"/>
      <c r="I1577" s="94"/>
      <c r="K1577" s="94"/>
      <c r="M1577" s="94"/>
    </row>
    <row r="1578" s="93" customFormat="1" spans="3:13">
      <c r="C1578" s="94"/>
      <c r="E1578" s="94"/>
      <c r="G1578" s="94"/>
      <c r="I1578" s="94"/>
      <c r="K1578" s="94"/>
      <c r="M1578" s="94"/>
    </row>
    <row r="1579" s="93" customFormat="1" spans="3:13">
      <c r="C1579" s="94"/>
      <c r="E1579" s="94"/>
      <c r="G1579" s="94"/>
      <c r="I1579" s="94"/>
      <c r="K1579" s="94"/>
      <c r="M1579" s="94"/>
    </row>
    <row r="1580" s="93" customFormat="1" spans="3:13">
      <c r="C1580" s="94"/>
      <c r="E1580" s="94"/>
      <c r="G1580" s="94"/>
      <c r="I1580" s="94"/>
      <c r="K1580" s="94"/>
      <c r="M1580" s="94"/>
    </row>
    <row r="1581" s="93" customFormat="1" spans="3:13">
      <c r="C1581" s="94"/>
      <c r="E1581" s="94"/>
      <c r="G1581" s="94"/>
      <c r="I1581" s="94"/>
      <c r="K1581" s="94"/>
      <c r="M1581" s="94"/>
    </row>
    <row r="1582" s="93" customFormat="1" spans="3:13">
      <c r="C1582" s="94"/>
      <c r="E1582" s="94"/>
      <c r="G1582" s="94"/>
      <c r="I1582" s="94"/>
      <c r="K1582" s="94"/>
      <c r="M1582" s="94"/>
    </row>
    <row r="1583" s="93" customFormat="1" spans="3:13">
      <c r="C1583" s="94"/>
      <c r="E1583" s="94"/>
      <c r="G1583" s="94"/>
      <c r="I1583" s="94"/>
      <c r="K1583" s="94"/>
      <c r="M1583" s="94"/>
    </row>
    <row r="1584" s="93" customFormat="1" spans="3:13">
      <c r="C1584" s="94"/>
      <c r="E1584" s="94"/>
      <c r="G1584" s="94"/>
      <c r="I1584" s="94"/>
      <c r="K1584" s="94"/>
      <c r="M1584" s="94"/>
    </row>
    <row r="1585" s="93" customFormat="1" spans="3:13">
      <c r="C1585" s="94"/>
      <c r="E1585" s="94"/>
      <c r="G1585" s="94"/>
      <c r="I1585" s="94"/>
      <c r="K1585" s="94"/>
      <c r="M1585" s="94"/>
    </row>
    <row r="1586" s="93" customFormat="1" spans="3:13">
      <c r="C1586" s="94"/>
      <c r="E1586" s="94"/>
      <c r="G1586" s="94"/>
      <c r="I1586" s="94"/>
      <c r="K1586" s="94"/>
      <c r="M1586" s="94"/>
    </row>
    <row r="1587" s="93" customFormat="1" spans="3:13">
      <c r="C1587" s="94"/>
      <c r="E1587" s="94"/>
      <c r="G1587" s="94"/>
      <c r="I1587" s="94"/>
      <c r="K1587" s="94"/>
      <c r="M1587" s="94"/>
    </row>
    <row r="1588" s="93" customFormat="1" spans="3:13">
      <c r="C1588" s="94"/>
      <c r="E1588" s="94"/>
      <c r="G1588" s="94"/>
      <c r="I1588" s="94"/>
      <c r="K1588" s="94"/>
      <c r="M1588" s="94"/>
    </row>
    <row r="1589" s="93" customFormat="1" spans="3:13">
      <c r="C1589" s="94"/>
      <c r="E1589" s="94"/>
      <c r="G1589" s="94"/>
      <c r="I1589" s="94"/>
      <c r="K1589" s="94"/>
      <c r="M1589" s="94"/>
    </row>
    <row r="1590" s="93" customFormat="1" spans="3:13">
      <c r="C1590" s="94"/>
      <c r="E1590" s="94"/>
      <c r="G1590" s="94"/>
      <c r="I1590" s="94"/>
      <c r="K1590" s="94"/>
      <c r="M1590" s="94"/>
    </row>
    <row r="1591" s="93" customFormat="1" spans="3:13">
      <c r="C1591" s="94"/>
      <c r="E1591" s="94"/>
      <c r="G1591" s="94"/>
      <c r="I1591" s="94"/>
      <c r="K1591" s="94"/>
      <c r="M1591" s="94"/>
    </row>
    <row r="1592" s="93" customFormat="1" spans="3:13">
      <c r="C1592" s="94"/>
      <c r="E1592" s="94"/>
      <c r="G1592" s="94"/>
      <c r="I1592" s="94"/>
      <c r="K1592" s="94"/>
      <c r="M1592" s="94"/>
    </row>
    <row r="1593" s="93" customFormat="1" spans="3:13">
      <c r="C1593" s="94"/>
      <c r="E1593" s="94"/>
      <c r="G1593" s="94"/>
      <c r="I1593" s="94"/>
      <c r="K1593" s="94"/>
      <c r="M1593" s="94"/>
    </row>
    <row r="1594" s="93" customFormat="1" spans="3:13">
      <c r="C1594" s="94"/>
      <c r="E1594" s="94"/>
      <c r="G1594" s="94"/>
      <c r="I1594" s="94"/>
      <c r="K1594" s="94"/>
      <c r="M1594" s="94"/>
    </row>
    <row r="1595" s="93" customFormat="1" spans="3:13">
      <c r="C1595" s="94"/>
      <c r="E1595" s="94"/>
      <c r="G1595" s="94"/>
      <c r="I1595" s="94"/>
      <c r="K1595" s="94"/>
      <c r="M1595" s="94"/>
    </row>
    <row r="1596" s="93" customFormat="1" spans="3:13">
      <c r="C1596" s="94"/>
      <c r="E1596" s="94"/>
      <c r="G1596" s="94"/>
      <c r="I1596" s="94"/>
      <c r="K1596" s="94"/>
      <c r="M1596" s="94"/>
    </row>
    <row r="1597" s="93" customFormat="1" spans="3:13">
      <c r="C1597" s="94"/>
      <c r="E1597" s="94"/>
      <c r="G1597" s="94"/>
      <c r="I1597" s="94"/>
      <c r="K1597" s="94"/>
      <c r="M1597" s="94"/>
    </row>
    <row r="1598" s="93" customFormat="1" spans="3:13">
      <c r="C1598" s="94"/>
      <c r="E1598" s="94"/>
      <c r="G1598" s="94"/>
      <c r="I1598" s="94"/>
      <c r="K1598" s="94"/>
      <c r="M1598" s="94"/>
    </row>
    <row r="1599" s="93" customFormat="1" spans="3:13">
      <c r="C1599" s="94"/>
      <c r="E1599" s="94"/>
      <c r="G1599" s="94"/>
      <c r="I1599" s="94"/>
      <c r="K1599" s="94"/>
      <c r="M1599" s="94"/>
    </row>
    <row r="1600" s="93" customFormat="1" spans="3:13">
      <c r="C1600" s="94"/>
      <c r="E1600" s="94"/>
      <c r="G1600" s="94"/>
      <c r="I1600" s="94"/>
      <c r="K1600" s="94"/>
      <c r="M1600" s="94"/>
    </row>
    <row r="1601" s="93" customFormat="1" spans="3:13">
      <c r="C1601" s="94"/>
      <c r="E1601" s="94"/>
      <c r="G1601" s="94"/>
      <c r="I1601" s="94"/>
      <c r="K1601" s="94"/>
      <c r="M1601" s="94"/>
    </row>
    <row r="1602" s="93" customFormat="1" spans="3:13">
      <c r="C1602" s="94"/>
      <c r="E1602" s="94"/>
      <c r="G1602" s="94"/>
      <c r="I1602" s="94"/>
      <c r="K1602" s="94"/>
      <c r="M1602" s="94"/>
    </row>
    <row r="1603" s="93" customFormat="1" spans="3:13">
      <c r="C1603" s="94"/>
      <c r="E1603" s="94"/>
      <c r="G1603" s="94"/>
      <c r="I1603" s="94"/>
      <c r="K1603" s="94"/>
      <c r="M1603" s="94"/>
    </row>
    <row r="1604" s="93" customFormat="1" spans="3:13">
      <c r="C1604" s="94"/>
      <c r="E1604" s="94"/>
      <c r="G1604" s="94"/>
      <c r="I1604" s="94"/>
      <c r="K1604" s="94"/>
      <c r="M1604" s="94"/>
    </row>
    <row r="1605" s="93" customFormat="1" spans="3:13">
      <c r="C1605" s="94"/>
      <c r="E1605" s="94"/>
      <c r="G1605" s="94"/>
      <c r="I1605" s="94"/>
      <c r="K1605" s="94"/>
      <c r="M1605" s="94"/>
    </row>
    <row r="1606" s="93" customFormat="1" spans="3:13">
      <c r="C1606" s="94"/>
      <c r="E1606" s="94"/>
      <c r="G1606" s="94"/>
      <c r="I1606" s="94"/>
      <c r="K1606" s="94"/>
      <c r="M1606" s="94"/>
    </row>
    <row r="1607" s="93" customFormat="1" spans="3:13">
      <c r="C1607" s="94"/>
      <c r="E1607" s="94"/>
      <c r="G1607" s="94"/>
      <c r="I1607" s="94"/>
      <c r="K1607" s="94"/>
      <c r="M1607" s="94"/>
    </row>
    <row r="1608" s="93" customFormat="1" spans="3:13">
      <c r="C1608" s="94"/>
      <c r="E1608" s="94"/>
      <c r="G1608" s="94"/>
      <c r="I1608" s="94"/>
      <c r="K1608" s="94"/>
      <c r="M1608" s="94"/>
    </row>
    <row r="1609" s="93" customFormat="1" spans="3:13">
      <c r="C1609" s="94"/>
      <c r="E1609" s="94"/>
      <c r="G1609" s="94"/>
      <c r="I1609" s="94"/>
      <c r="K1609" s="94"/>
      <c r="M1609" s="94"/>
    </row>
    <row r="1610" s="93" customFormat="1" spans="3:13">
      <c r="C1610" s="94"/>
      <c r="E1610" s="94"/>
      <c r="G1610" s="94"/>
      <c r="I1610" s="94"/>
      <c r="K1610" s="94"/>
      <c r="M1610" s="94"/>
    </row>
    <row r="1611" s="93" customFormat="1" spans="3:13">
      <c r="C1611" s="94"/>
      <c r="E1611" s="94"/>
      <c r="G1611" s="94"/>
      <c r="I1611" s="94"/>
      <c r="K1611" s="94"/>
      <c r="M1611" s="94"/>
    </row>
    <row r="1612" s="93" customFormat="1" spans="3:13">
      <c r="C1612" s="94"/>
      <c r="E1612" s="94"/>
      <c r="G1612" s="94"/>
      <c r="I1612" s="94"/>
      <c r="K1612" s="94"/>
      <c r="M1612" s="94"/>
    </row>
    <row r="1613" s="93" customFormat="1" spans="3:13">
      <c r="C1613" s="94"/>
      <c r="E1613" s="94"/>
      <c r="G1613" s="94"/>
      <c r="I1613" s="94"/>
      <c r="K1613" s="94"/>
      <c r="M1613" s="94"/>
    </row>
    <row r="1614" s="93" customFormat="1" spans="3:13">
      <c r="C1614" s="94"/>
      <c r="E1614" s="94"/>
      <c r="G1614" s="94"/>
      <c r="I1614" s="94"/>
      <c r="K1614" s="94"/>
      <c r="M1614" s="94"/>
    </row>
    <row r="1615" s="93" customFormat="1" spans="3:13">
      <c r="C1615" s="94"/>
      <c r="E1615" s="94"/>
      <c r="G1615" s="94"/>
      <c r="I1615" s="94"/>
      <c r="K1615" s="94"/>
      <c r="M1615" s="94"/>
    </row>
    <row r="1616" s="93" customFormat="1" spans="3:13">
      <c r="C1616" s="94"/>
      <c r="E1616" s="94"/>
      <c r="G1616" s="94"/>
      <c r="I1616" s="94"/>
      <c r="K1616" s="94"/>
      <c r="M1616" s="94"/>
    </row>
    <row r="1617" s="93" customFormat="1" spans="3:13">
      <c r="C1617" s="94"/>
      <c r="E1617" s="94"/>
      <c r="G1617" s="94"/>
      <c r="I1617" s="94"/>
      <c r="K1617" s="94"/>
      <c r="M1617" s="94"/>
    </row>
    <row r="1618" s="93" customFormat="1" spans="3:13">
      <c r="C1618" s="94"/>
      <c r="E1618" s="94"/>
      <c r="G1618" s="94"/>
      <c r="I1618" s="94"/>
      <c r="K1618" s="94"/>
      <c r="M1618" s="94"/>
    </row>
    <row r="1619" s="93" customFormat="1" spans="3:13">
      <c r="C1619" s="94"/>
      <c r="E1619" s="94"/>
      <c r="G1619" s="94"/>
      <c r="I1619" s="94"/>
      <c r="K1619" s="94"/>
      <c r="M1619" s="94"/>
    </row>
    <row r="1620" s="93" customFormat="1" spans="3:13">
      <c r="C1620" s="94"/>
      <c r="E1620" s="94"/>
      <c r="G1620" s="94"/>
      <c r="I1620" s="94"/>
      <c r="K1620" s="94"/>
      <c r="M1620" s="94"/>
    </row>
    <row r="1621" s="93" customFormat="1" spans="3:13">
      <c r="C1621" s="94"/>
      <c r="E1621" s="94"/>
      <c r="G1621" s="94"/>
      <c r="I1621" s="94"/>
      <c r="K1621" s="94"/>
      <c r="M1621" s="94"/>
    </row>
    <row r="1622" s="93" customFormat="1" spans="3:13">
      <c r="C1622" s="94"/>
      <c r="E1622" s="94"/>
      <c r="G1622" s="94"/>
      <c r="I1622" s="94"/>
      <c r="K1622" s="94"/>
      <c r="M1622" s="94"/>
    </row>
    <row r="1623" s="93" customFormat="1" spans="3:13">
      <c r="C1623" s="94"/>
      <c r="E1623" s="94"/>
      <c r="G1623" s="94"/>
      <c r="I1623" s="94"/>
      <c r="K1623" s="94"/>
      <c r="M1623" s="94"/>
    </row>
    <row r="1624" s="93" customFormat="1" spans="3:13">
      <c r="C1624" s="94"/>
      <c r="E1624" s="94"/>
      <c r="G1624" s="94"/>
      <c r="I1624" s="94"/>
      <c r="K1624" s="94"/>
      <c r="M1624" s="94"/>
    </row>
    <row r="1625" s="93" customFormat="1" spans="3:13">
      <c r="C1625" s="94"/>
      <c r="E1625" s="94"/>
      <c r="G1625" s="94"/>
      <c r="I1625" s="94"/>
      <c r="K1625" s="94"/>
      <c r="M1625" s="94"/>
    </row>
    <row r="1626" s="93" customFormat="1" spans="3:13">
      <c r="C1626" s="94"/>
      <c r="E1626" s="94"/>
      <c r="G1626" s="94"/>
      <c r="I1626" s="94"/>
      <c r="K1626" s="94"/>
      <c r="M1626" s="94"/>
    </row>
    <row r="1627" s="93" customFormat="1" spans="3:13">
      <c r="C1627" s="94"/>
      <c r="E1627" s="94"/>
      <c r="G1627" s="94"/>
      <c r="I1627" s="94"/>
      <c r="K1627" s="94"/>
      <c r="M1627" s="94"/>
    </row>
    <row r="1628" s="93" customFormat="1" spans="3:13">
      <c r="C1628" s="94"/>
      <c r="E1628" s="94"/>
      <c r="G1628" s="94"/>
      <c r="I1628" s="94"/>
      <c r="K1628" s="94"/>
      <c r="M1628" s="94"/>
    </row>
    <row r="1629" s="93" customFormat="1" spans="3:13">
      <c r="C1629" s="94"/>
      <c r="E1629" s="94"/>
      <c r="G1629" s="94"/>
      <c r="I1629" s="94"/>
      <c r="K1629" s="94"/>
      <c r="M1629" s="94"/>
    </row>
    <row r="1630" s="93" customFormat="1" spans="3:13">
      <c r="C1630" s="94"/>
      <c r="E1630" s="94"/>
      <c r="G1630" s="94"/>
      <c r="I1630" s="94"/>
      <c r="K1630" s="94"/>
      <c r="M1630" s="94"/>
    </row>
    <row r="1631" s="93" customFormat="1" spans="3:13">
      <c r="C1631" s="94"/>
      <c r="E1631" s="94"/>
      <c r="G1631" s="94"/>
      <c r="I1631" s="94"/>
      <c r="K1631" s="94"/>
      <c r="M1631" s="94"/>
    </row>
    <row r="1632" s="93" customFormat="1" spans="3:13">
      <c r="C1632" s="94"/>
      <c r="E1632" s="94"/>
      <c r="G1632" s="94"/>
      <c r="I1632" s="94"/>
      <c r="K1632" s="94"/>
      <c r="M1632" s="94"/>
    </row>
    <row r="1633" s="93" customFormat="1" spans="3:13">
      <c r="C1633" s="94"/>
      <c r="E1633" s="94"/>
      <c r="G1633" s="94"/>
      <c r="I1633" s="94"/>
      <c r="K1633" s="94"/>
      <c r="M1633" s="94"/>
    </row>
    <row r="1634" s="93" customFormat="1" spans="3:13">
      <c r="C1634" s="94"/>
      <c r="E1634" s="94"/>
      <c r="G1634" s="94"/>
      <c r="I1634" s="94"/>
      <c r="K1634" s="94"/>
      <c r="M1634" s="94"/>
    </row>
    <row r="1635" s="93" customFormat="1" spans="3:13">
      <c r="C1635" s="94"/>
      <c r="E1635" s="94"/>
      <c r="G1635" s="94"/>
      <c r="I1635" s="94"/>
      <c r="K1635" s="94"/>
      <c r="M1635" s="94"/>
    </row>
    <row r="1636" s="93" customFormat="1" spans="3:13">
      <c r="C1636" s="94"/>
      <c r="E1636" s="94"/>
      <c r="G1636" s="94"/>
      <c r="I1636" s="94"/>
      <c r="K1636" s="94"/>
      <c r="M1636" s="94"/>
    </row>
    <row r="1637" s="93" customFormat="1" spans="3:13">
      <c r="C1637" s="94"/>
      <c r="E1637" s="94"/>
      <c r="G1637" s="94"/>
      <c r="I1637" s="94"/>
      <c r="K1637" s="94"/>
      <c r="M1637" s="94"/>
    </row>
    <row r="1638" s="93" customFormat="1" spans="3:13">
      <c r="C1638" s="94"/>
      <c r="E1638" s="94"/>
      <c r="G1638" s="94"/>
      <c r="I1638" s="94"/>
      <c r="K1638" s="94"/>
      <c r="M1638" s="94"/>
    </row>
    <row r="1639" s="93" customFormat="1" spans="3:13">
      <c r="C1639" s="94"/>
      <c r="E1639" s="94"/>
      <c r="G1639" s="94"/>
      <c r="I1639" s="94"/>
      <c r="K1639" s="94"/>
      <c r="M1639" s="94"/>
    </row>
    <row r="1640" s="93" customFormat="1" spans="3:13">
      <c r="C1640" s="94"/>
      <c r="E1640" s="94"/>
      <c r="G1640" s="94"/>
      <c r="I1640" s="94"/>
      <c r="K1640" s="94"/>
      <c r="M1640" s="94"/>
    </row>
    <row r="1641" s="93" customFormat="1" spans="3:13">
      <c r="C1641" s="94"/>
      <c r="E1641" s="94"/>
      <c r="G1641" s="94"/>
      <c r="I1641" s="94"/>
      <c r="K1641" s="94"/>
      <c r="M1641" s="94"/>
    </row>
    <row r="1642" s="93" customFormat="1" spans="3:13">
      <c r="C1642" s="94"/>
      <c r="E1642" s="94"/>
      <c r="G1642" s="94"/>
      <c r="I1642" s="94"/>
      <c r="K1642" s="94"/>
      <c r="M1642" s="94"/>
    </row>
    <row r="1643" s="93" customFormat="1" spans="3:13">
      <c r="C1643" s="94"/>
      <c r="E1643" s="94"/>
      <c r="G1643" s="94"/>
      <c r="I1643" s="94"/>
      <c r="K1643" s="94"/>
      <c r="M1643" s="94"/>
    </row>
    <row r="1644" s="93" customFormat="1" spans="3:13">
      <c r="C1644" s="94"/>
      <c r="E1644" s="94"/>
      <c r="G1644" s="94"/>
      <c r="I1644" s="94"/>
      <c r="K1644" s="94"/>
      <c r="M1644" s="94"/>
    </row>
    <row r="1645" s="93" customFormat="1" spans="3:13">
      <c r="C1645" s="94"/>
      <c r="E1645" s="94"/>
      <c r="G1645" s="94"/>
      <c r="I1645" s="94"/>
      <c r="K1645" s="94"/>
      <c r="M1645" s="94"/>
    </row>
    <row r="1646" s="93" customFormat="1" spans="3:13">
      <c r="C1646" s="94"/>
      <c r="E1646" s="94"/>
      <c r="G1646" s="94"/>
      <c r="I1646" s="94"/>
      <c r="K1646" s="94"/>
      <c r="M1646" s="94"/>
    </row>
    <row r="1647" s="93" customFormat="1" spans="3:13">
      <c r="C1647" s="94"/>
      <c r="E1647" s="94"/>
      <c r="G1647" s="94"/>
      <c r="I1647" s="94"/>
      <c r="K1647" s="94"/>
      <c r="M1647" s="94"/>
    </row>
    <row r="1648" s="93" customFormat="1" spans="3:13">
      <c r="C1648" s="94"/>
      <c r="E1648" s="94"/>
      <c r="G1648" s="94"/>
      <c r="I1648" s="94"/>
      <c r="K1648" s="94"/>
      <c r="M1648" s="94"/>
    </row>
    <row r="1649" s="93" customFormat="1" spans="3:13">
      <c r="C1649" s="94"/>
      <c r="E1649" s="94"/>
      <c r="G1649" s="94"/>
      <c r="I1649" s="94"/>
      <c r="K1649" s="94"/>
      <c r="M1649" s="94"/>
    </row>
    <row r="1650" s="93" customFormat="1" spans="3:13">
      <c r="C1650" s="94"/>
      <c r="E1650" s="94"/>
      <c r="G1650" s="94"/>
      <c r="I1650" s="94"/>
      <c r="K1650" s="94"/>
      <c r="M1650" s="94"/>
    </row>
    <row r="1651" s="93" customFormat="1" spans="3:13">
      <c r="C1651" s="94"/>
      <c r="E1651" s="94"/>
      <c r="G1651" s="94"/>
      <c r="I1651" s="94"/>
      <c r="K1651" s="94"/>
      <c r="M1651" s="94"/>
    </row>
    <row r="1652" s="93" customFormat="1" spans="3:13">
      <c r="C1652" s="94"/>
      <c r="E1652" s="94"/>
      <c r="G1652" s="94"/>
      <c r="I1652" s="94"/>
      <c r="K1652" s="94"/>
      <c r="M1652" s="94"/>
    </row>
    <row r="1653" s="93" customFormat="1" spans="3:13">
      <c r="C1653" s="94"/>
      <c r="E1653" s="94"/>
      <c r="G1653" s="94"/>
      <c r="I1653" s="94"/>
      <c r="K1653" s="94"/>
      <c r="M1653" s="94"/>
    </row>
    <row r="1654" s="93" customFormat="1" spans="3:13">
      <c r="C1654" s="94"/>
      <c r="E1654" s="94"/>
      <c r="G1654" s="94"/>
      <c r="I1654" s="94"/>
      <c r="K1654" s="94"/>
      <c r="M1654" s="94"/>
    </row>
    <row r="1655" s="93" customFormat="1" spans="3:13">
      <c r="C1655" s="94"/>
      <c r="E1655" s="94"/>
      <c r="G1655" s="94"/>
      <c r="I1655" s="94"/>
      <c r="K1655" s="94"/>
      <c r="M1655" s="94"/>
    </row>
    <row r="1656" s="93" customFormat="1" spans="3:13">
      <c r="C1656" s="94"/>
      <c r="E1656" s="94"/>
      <c r="G1656" s="94"/>
      <c r="I1656" s="94"/>
      <c r="K1656" s="94"/>
      <c r="M1656" s="94"/>
    </row>
    <row r="1657" s="93" customFormat="1" spans="3:13">
      <c r="C1657" s="94"/>
      <c r="E1657" s="94"/>
      <c r="G1657" s="94"/>
      <c r="I1657" s="94"/>
      <c r="K1657" s="94"/>
      <c r="M1657" s="94"/>
    </row>
    <row r="1658" s="93" customFormat="1" spans="3:13">
      <c r="C1658" s="94"/>
      <c r="E1658" s="94"/>
      <c r="G1658" s="94"/>
      <c r="I1658" s="94"/>
      <c r="K1658" s="94"/>
      <c r="M1658" s="94"/>
    </row>
    <row r="1659" s="93" customFormat="1" spans="3:13">
      <c r="C1659" s="94"/>
      <c r="E1659" s="94"/>
      <c r="G1659" s="94"/>
      <c r="I1659" s="94"/>
      <c r="K1659" s="94"/>
      <c r="M1659" s="94"/>
    </row>
    <row r="1660" s="93" customFormat="1" spans="3:13">
      <c r="C1660" s="94"/>
      <c r="E1660" s="94"/>
      <c r="G1660" s="94"/>
      <c r="I1660" s="94"/>
      <c r="K1660" s="94"/>
      <c r="M1660" s="94"/>
    </row>
    <row r="1661" s="93" customFormat="1" spans="3:13">
      <c r="C1661" s="94"/>
      <c r="E1661" s="94"/>
      <c r="G1661" s="94"/>
      <c r="I1661" s="94"/>
      <c r="K1661" s="94"/>
      <c r="M1661" s="94"/>
    </row>
    <row r="1662" s="93" customFormat="1" spans="3:13">
      <c r="C1662" s="94"/>
      <c r="E1662" s="94"/>
      <c r="G1662" s="94"/>
      <c r="I1662" s="94"/>
      <c r="K1662" s="94"/>
      <c r="M1662" s="94"/>
    </row>
    <row r="1663" s="93" customFormat="1" spans="3:13">
      <c r="C1663" s="94"/>
      <c r="E1663" s="94"/>
      <c r="G1663" s="94"/>
      <c r="I1663" s="94"/>
      <c r="K1663" s="94"/>
      <c r="M1663" s="94"/>
    </row>
    <row r="1664" s="93" customFormat="1" spans="3:13">
      <c r="C1664" s="94"/>
      <c r="E1664" s="94"/>
      <c r="G1664" s="94"/>
      <c r="I1664" s="94"/>
      <c r="K1664" s="94"/>
      <c r="M1664" s="94"/>
    </row>
    <row r="1665" s="93" customFormat="1" spans="3:13">
      <c r="C1665" s="94"/>
      <c r="E1665" s="94"/>
      <c r="G1665" s="94"/>
      <c r="I1665" s="94"/>
      <c r="K1665" s="94"/>
      <c r="M1665" s="94"/>
    </row>
    <row r="1666" s="93" customFormat="1" spans="3:13">
      <c r="C1666" s="94"/>
      <c r="E1666" s="94"/>
      <c r="G1666" s="94"/>
      <c r="I1666" s="94"/>
      <c r="K1666" s="94"/>
      <c r="M1666" s="94"/>
    </row>
    <row r="1667" s="93" customFormat="1" spans="3:13">
      <c r="C1667" s="94"/>
      <c r="E1667" s="94"/>
      <c r="G1667" s="94"/>
      <c r="I1667" s="94"/>
      <c r="K1667" s="94"/>
      <c r="M1667" s="94"/>
    </row>
    <row r="1668" s="93" customFormat="1" spans="3:13">
      <c r="C1668" s="94"/>
      <c r="E1668" s="94"/>
      <c r="G1668" s="94"/>
      <c r="I1668" s="94"/>
      <c r="K1668" s="94"/>
      <c r="M1668" s="94"/>
    </row>
    <row r="1669" s="93" customFormat="1" spans="3:13">
      <c r="C1669" s="94"/>
      <c r="E1669" s="94"/>
      <c r="G1669" s="94"/>
      <c r="I1669" s="94"/>
      <c r="K1669" s="94"/>
      <c r="M1669" s="94"/>
    </row>
    <row r="1670" s="93" customFormat="1" spans="3:13">
      <c r="C1670" s="94"/>
      <c r="E1670" s="94"/>
      <c r="G1670" s="94"/>
      <c r="I1670" s="94"/>
      <c r="K1670" s="94"/>
      <c r="M1670" s="94"/>
    </row>
    <row r="1671" s="93" customFormat="1" spans="3:13">
      <c r="C1671" s="94"/>
      <c r="E1671" s="94"/>
      <c r="G1671" s="94"/>
      <c r="I1671" s="94"/>
      <c r="K1671" s="94"/>
      <c r="M1671" s="94"/>
    </row>
    <row r="1672" s="93" customFormat="1" spans="3:13">
      <c r="C1672" s="94"/>
      <c r="E1672" s="94"/>
      <c r="G1672" s="94"/>
      <c r="I1672" s="94"/>
      <c r="K1672" s="94"/>
      <c r="M1672" s="94"/>
    </row>
    <row r="1673" s="93" customFormat="1" spans="3:13">
      <c r="C1673" s="94"/>
      <c r="E1673" s="94"/>
      <c r="G1673" s="94"/>
      <c r="I1673" s="94"/>
      <c r="K1673" s="94"/>
      <c r="M1673" s="94"/>
    </row>
    <row r="1674" s="93" customFormat="1" spans="3:13">
      <c r="C1674" s="94"/>
      <c r="E1674" s="94"/>
      <c r="G1674" s="94"/>
      <c r="I1674" s="94"/>
      <c r="K1674" s="94"/>
      <c r="M1674" s="94"/>
    </row>
    <row r="1675" s="93" customFormat="1" spans="3:13">
      <c r="C1675" s="94"/>
      <c r="E1675" s="94"/>
      <c r="G1675" s="94"/>
      <c r="I1675" s="94"/>
      <c r="K1675" s="94"/>
      <c r="M1675" s="94"/>
    </row>
    <row r="1676" s="93" customFormat="1" spans="3:13">
      <c r="C1676" s="94"/>
      <c r="E1676" s="94"/>
      <c r="G1676" s="94"/>
      <c r="I1676" s="94"/>
      <c r="K1676" s="94"/>
      <c r="M1676" s="94"/>
    </row>
    <row r="1677" s="93" customFormat="1" spans="3:13">
      <c r="C1677" s="94"/>
      <c r="E1677" s="94"/>
      <c r="G1677" s="94"/>
      <c r="I1677" s="94"/>
      <c r="K1677" s="94"/>
      <c r="M1677" s="94"/>
    </row>
    <row r="1678" s="93" customFormat="1" spans="3:13">
      <c r="C1678" s="94"/>
      <c r="E1678" s="94"/>
      <c r="G1678" s="94"/>
      <c r="I1678" s="94"/>
      <c r="K1678" s="94"/>
      <c r="M1678" s="94"/>
    </row>
    <row r="1679" s="93" customFormat="1" spans="3:13">
      <c r="C1679" s="94"/>
      <c r="E1679" s="94"/>
      <c r="G1679" s="94"/>
      <c r="I1679" s="94"/>
      <c r="K1679" s="94"/>
      <c r="M1679" s="94"/>
    </row>
    <row r="1680" s="93" customFormat="1" spans="3:13">
      <c r="C1680" s="94"/>
      <c r="E1680" s="94"/>
      <c r="G1680" s="94"/>
      <c r="I1680" s="94"/>
      <c r="K1680" s="94"/>
      <c r="M1680" s="94"/>
    </row>
    <row r="1681" s="93" customFormat="1" spans="3:13">
      <c r="C1681" s="94"/>
      <c r="E1681" s="94"/>
      <c r="G1681" s="94"/>
      <c r="I1681" s="94"/>
      <c r="K1681" s="94"/>
      <c r="M1681" s="94"/>
    </row>
    <row r="1682" s="93" customFormat="1" spans="3:13">
      <c r="C1682" s="94"/>
      <c r="E1682" s="94"/>
      <c r="G1682" s="94"/>
      <c r="I1682" s="94"/>
      <c r="K1682" s="94"/>
      <c r="M1682" s="94"/>
    </row>
    <row r="1683" s="93" customFormat="1" spans="3:13">
      <c r="C1683" s="94"/>
      <c r="E1683" s="94"/>
      <c r="G1683" s="94"/>
      <c r="I1683" s="94"/>
      <c r="K1683" s="94"/>
      <c r="M1683" s="94"/>
    </row>
    <row r="1684" s="93" customFormat="1" spans="3:13">
      <c r="C1684" s="94"/>
      <c r="E1684" s="94"/>
      <c r="G1684" s="94"/>
      <c r="I1684" s="94"/>
      <c r="K1684" s="94"/>
      <c r="M1684" s="94"/>
    </row>
    <row r="1685" s="93" customFormat="1" spans="3:13">
      <c r="C1685" s="94"/>
      <c r="E1685" s="94"/>
      <c r="G1685" s="94"/>
      <c r="I1685" s="94"/>
      <c r="K1685" s="94"/>
      <c r="M1685" s="94"/>
    </row>
    <row r="1686" s="93" customFormat="1" spans="3:13">
      <c r="C1686" s="94"/>
      <c r="E1686" s="94"/>
      <c r="G1686" s="94"/>
      <c r="I1686" s="94"/>
      <c r="K1686" s="94"/>
      <c r="M1686" s="94"/>
    </row>
    <row r="1687" s="93" customFormat="1" spans="3:13">
      <c r="C1687" s="94"/>
      <c r="E1687" s="94"/>
      <c r="G1687" s="94"/>
      <c r="I1687" s="94"/>
      <c r="K1687" s="94"/>
      <c r="M1687" s="94"/>
    </row>
    <row r="1688" s="93" customFormat="1" spans="3:13">
      <c r="C1688" s="94"/>
      <c r="E1688" s="94"/>
      <c r="G1688" s="94"/>
      <c r="I1688" s="94"/>
      <c r="K1688" s="94"/>
      <c r="M1688" s="94"/>
    </row>
    <row r="1689" s="93" customFormat="1" spans="3:13">
      <c r="C1689" s="94"/>
      <c r="E1689" s="94"/>
      <c r="G1689" s="94"/>
      <c r="I1689" s="94"/>
      <c r="K1689" s="94"/>
      <c r="M1689" s="94"/>
    </row>
    <row r="1690" s="93" customFormat="1" spans="3:13">
      <c r="C1690" s="94"/>
      <c r="E1690" s="94"/>
      <c r="G1690" s="94"/>
      <c r="I1690" s="94"/>
      <c r="K1690" s="94"/>
      <c r="M1690" s="94"/>
    </row>
    <row r="1691" s="93" customFormat="1" spans="3:13">
      <c r="C1691" s="94"/>
      <c r="E1691" s="94"/>
      <c r="G1691" s="94"/>
      <c r="I1691" s="94"/>
      <c r="K1691" s="94"/>
      <c r="M1691" s="94"/>
    </row>
    <row r="1692" s="93" customFormat="1" spans="3:13">
      <c r="C1692" s="94"/>
      <c r="E1692" s="94"/>
      <c r="G1692" s="94"/>
      <c r="I1692" s="94"/>
      <c r="K1692" s="94"/>
      <c r="M1692" s="94"/>
    </row>
    <row r="1693" s="93" customFormat="1" spans="3:13">
      <c r="C1693" s="94"/>
      <c r="E1693" s="94"/>
      <c r="G1693" s="94"/>
      <c r="I1693" s="94"/>
      <c r="K1693" s="94"/>
      <c r="M1693" s="94"/>
    </row>
    <row r="1694" s="93" customFormat="1" spans="3:13">
      <c r="C1694" s="94"/>
      <c r="E1694" s="94"/>
      <c r="G1694" s="94"/>
      <c r="I1694" s="94"/>
      <c r="K1694" s="94"/>
      <c r="M1694" s="94"/>
    </row>
    <row r="1695" s="93" customFormat="1" spans="3:13">
      <c r="C1695" s="94"/>
      <c r="E1695" s="94"/>
      <c r="G1695" s="94"/>
      <c r="I1695" s="94"/>
      <c r="K1695" s="94"/>
      <c r="M1695" s="94"/>
    </row>
    <row r="1696" s="93" customFormat="1" spans="3:13">
      <c r="C1696" s="94"/>
      <c r="E1696" s="94"/>
      <c r="G1696" s="94"/>
      <c r="I1696" s="94"/>
      <c r="K1696" s="94"/>
      <c r="M1696" s="94"/>
    </row>
    <row r="1697" s="93" customFormat="1" spans="3:13">
      <c r="C1697" s="94"/>
      <c r="E1697" s="94"/>
      <c r="G1697" s="94"/>
      <c r="I1697" s="94"/>
      <c r="K1697" s="94"/>
      <c r="M1697" s="94"/>
    </row>
    <row r="1698" s="93" customFormat="1" spans="3:13">
      <c r="C1698" s="94"/>
      <c r="E1698" s="94"/>
      <c r="G1698" s="94"/>
      <c r="I1698" s="94"/>
      <c r="K1698" s="94"/>
      <c r="M1698" s="94"/>
    </row>
    <row r="1699" s="93" customFormat="1" spans="3:13">
      <c r="C1699" s="94"/>
      <c r="E1699" s="94"/>
      <c r="G1699" s="94"/>
      <c r="I1699" s="94"/>
      <c r="K1699" s="94"/>
      <c r="M1699" s="94"/>
    </row>
    <row r="1700" s="93" customFormat="1" spans="3:13">
      <c r="C1700" s="94"/>
      <c r="E1700" s="94"/>
      <c r="G1700" s="94"/>
      <c r="I1700" s="94"/>
      <c r="K1700" s="94"/>
      <c r="M1700" s="94"/>
    </row>
    <row r="1701" s="93" customFormat="1" spans="3:13">
      <c r="C1701" s="94"/>
      <c r="E1701" s="94"/>
      <c r="G1701" s="94"/>
      <c r="I1701" s="94"/>
      <c r="K1701" s="94"/>
      <c r="M1701" s="94"/>
    </row>
    <row r="1702" s="93" customFormat="1" spans="3:13">
      <c r="C1702" s="94"/>
      <c r="E1702" s="94"/>
      <c r="G1702" s="94"/>
      <c r="I1702" s="94"/>
      <c r="K1702" s="94"/>
      <c r="M1702" s="94"/>
    </row>
    <row r="1703" s="93" customFormat="1" spans="3:13">
      <c r="C1703" s="94"/>
      <c r="E1703" s="94"/>
      <c r="G1703" s="94"/>
      <c r="I1703" s="94"/>
      <c r="K1703" s="94"/>
      <c r="M1703" s="94"/>
    </row>
    <row r="1704" s="93" customFormat="1" spans="3:13">
      <c r="C1704" s="94"/>
      <c r="E1704" s="94"/>
      <c r="G1704" s="94"/>
      <c r="I1704" s="94"/>
      <c r="K1704" s="94"/>
      <c r="M1704" s="94"/>
    </row>
    <row r="1705" s="93" customFormat="1" spans="3:13">
      <c r="C1705" s="94"/>
      <c r="E1705" s="94"/>
      <c r="G1705" s="94"/>
      <c r="I1705" s="94"/>
      <c r="K1705" s="94"/>
      <c r="M1705" s="94"/>
    </row>
    <row r="1706" s="93" customFormat="1" spans="3:13">
      <c r="C1706" s="94"/>
      <c r="E1706" s="94"/>
      <c r="G1706" s="94"/>
      <c r="I1706" s="94"/>
      <c r="K1706" s="94"/>
      <c r="M1706" s="94"/>
    </row>
    <row r="1707" s="93" customFormat="1" spans="3:13">
      <c r="C1707" s="94"/>
      <c r="E1707" s="94"/>
      <c r="G1707" s="94"/>
      <c r="I1707" s="94"/>
      <c r="K1707" s="94"/>
      <c r="M1707" s="94"/>
    </row>
    <row r="1708" s="93" customFormat="1" spans="3:13">
      <c r="C1708" s="94"/>
      <c r="E1708" s="94"/>
      <c r="G1708" s="94"/>
      <c r="I1708" s="94"/>
      <c r="K1708" s="94"/>
      <c r="M1708" s="94"/>
    </row>
    <row r="1709" s="93" customFormat="1" spans="3:13">
      <c r="C1709" s="94"/>
      <c r="E1709" s="94"/>
      <c r="G1709" s="94"/>
      <c r="I1709" s="94"/>
      <c r="K1709" s="94"/>
      <c r="M1709" s="94"/>
    </row>
    <row r="1710" s="93" customFormat="1" spans="3:13">
      <c r="C1710" s="94"/>
      <c r="E1710" s="94"/>
      <c r="G1710" s="94"/>
      <c r="I1710" s="94"/>
      <c r="K1710" s="94"/>
      <c r="M1710" s="94"/>
    </row>
    <row r="1711" s="93" customFormat="1" spans="3:13">
      <c r="C1711" s="94"/>
      <c r="E1711" s="94"/>
      <c r="G1711" s="94"/>
      <c r="I1711" s="94"/>
      <c r="K1711" s="94"/>
      <c r="M1711" s="94"/>
    </row>
    <row r="1712" s="93" customFormat="1" spans="3:13">
      <c r="C1712" s="94"/>
      <c r="E1712" s="94"/>
      <c r="G1712" s="94"/>
      <c r="I1712" s="94"/>
      <c r="K1712" s="94"/>
      <c r="M1712" s="94"/>
    </row>
    <row r="1713" s="93" customFormat="1" spans="3:13">
      <c r="C1713" s="94"/>
      <c r="E1713" s="94"/>
      <c r="G1713" s="94"/>
      <c r="I1713" s="94"/>
      <c r="K1713" s="94"/>
      <c r="M1713" s="94"/>
    </row>
    <row r="1714" s="93" customFormat="1" spans="3:13">
      <c r="C1714" s="94"/>
      <c r="E1714" s="94"/>
      <c r="G1714" s="94"/>
      <c r="I1714" s="94"/>
      <c r="K1714" s="94"/>
      <c r="M1714" s="94"/>
    </row>
    <row r="1715" s="93" customFormat="1" spans="3:13">
      <c r="C1715" s="94"/>
      <c r="E1715" s="94"/>
      <c r="G1715" s="94"/>
      <c r="I1715" s="94"/>
      <c r="K1715" s="94"/>
      <c r="M1715" s="94"/>
    </row>
    <row r="1716" s="93" customFormat="1" spans="3:13">
      <c r="C1716" s="94"/>
      <c r="E1716" s="94"/>
      <c r="G1716" s="94"/>
      <c r="I1716" s="94"/>
      <c r="K1716" s="94"/>
      <c r="M1716" s="94"/>
    </row>
    <row r="1717" s="93" customFormat="1" spans="3:13">
      <c r="C1717" s="94"/>
      <c r="E1717" s="94"/>
      <c r="G1717" s="94"/>
      <c r="I1717" s="94"/>
      <c r="K1717" s="94"/>
      <c r="M1717" s="94"/>
    </row>
    <row r="1718" s="93" customFormat="1" spans="3:13">
      <c r="C1718" s="94"/>
      <c r="E1718" s="94"/>
      <c r="G1718" s="94"/>
      <c r="I1718" s="94"/>
      <c r="K1718" s="94"/>
      <c r="M1718" s="94"/>
    </row>
    <row r="1719" s="93" customFormat="1" spans="3:13">
      <c r="C1719" s="94"/>
      <c r="E1719" s="94"/>
      <c r="G1719" s="94"/>
      <c r="I1719" s="94"/>
      <c r="K1719" s="94"/>
      <c r="M1719" s="94"/>
    </row>
    <row r="1720" s="93" customFormat="1" spans="3:13">
      <c r="C1720" s="94"/>
      <c r="E1720" s="94"/>
      <c r="G1720" s="94"/>
      <c r="I1720" s="94"/>
      <c r="K1720" s="94"/>
      <c r="M1720" s="94"/>
    </row>
    <row r="1721" s="93" customFormat="1" spans="3:13">
      <c r="C1721" s="94"/>
      <c r="E1721" s="94"/>
      <c r="G1721" s="94"/>
      <c r="I1721" s="94"/>
      <c r="K1721" s="94"/>
      <c r="M1721" s="94"/>
    </row>
    <row r="1722" s="93" customFormat="1" spans="3:13">
      <c r="C1722" s="94"/>
      <c r="E1722" s="94"/>
      <c r="G1722" s="94"/>
      <c r="I1722" s="94"/>
      <c r="K1722" s="94"/>
      <c r="M1722" s="94"/>
    </row>
    <row r="1723" s="93" customFormat="1" spans="3:13">
      <c r="C1723" s="94"/>
      <c r="E1723" s="94"/>
      <c r="G1723" s="94"/>
      <c r="I1723" s="94"/>
      <c r="K1723" s="94"/>
      <c r="M1723" s="94"/>
    </row>
    <row r="1724" s="93" customFormat="1" spans="3:13">
      <c r="C1724" s="94"/>
      <c r="E1724" s="94"/>
      <c r="G1724" s="94"/>
      <c r="I1724" s="94"/>
      <c r="K1724" s="94"/>
      <c r="M1724" s="94"/>
    </row>
    <row r="1725" s="93" customFormat="1" spans="3:13">
      <c r="C1725" s="94"/>
      <c r="E1725" s="94"/>
      <c r="G1725" s="94"/>
      <c r="I1725" s="94"/>
      <c r="K1725" s="94"/>
      <c r="M1725" s="94"/>
    </row>
    <row r="1726" s="93" customFormat="1" spans="3:13">
      <c r="C1726" s="94"/>
      <c r="E1726" s="94"/>
      <c r="G1726" s="94"/>
      <c r="I1726" s="94"/>
      <c r="K1726" s="94"/>
      <c r="M1726" s="94"/>
    </row>
    <row r="1727" s="93" customFormat="1" spans="3:13">
      <c r="C1727" s="94"/>
      <c r="E1727" s="94"/>
      <c r="G1727" s="94"/>
      <c r="I1727" s="94"/>
      <c r="K1727" s="94"/>
      <c r="M1727" s="94"/>
    </row>
    <row r="1728" s="93" customFormat="1" spans="3:13">
      <c r="C1728" s="94"/>
      <c r="E1728" s="94"/>
      <c r="G1728" s="94"/>
      <c r="I1728" s="94"/>
      <c r="K1728" s="94"/>
      <c r="M1728" s="94"/>
    </row>
    <row r="1729" s="93" customFormat="1" spans="3:13">
      <c r="C1729" s="94"/>
      <c r="E1729" s="94"/>
      <c r="G1729" s="94"/>
      <c r="I1729" s="94"/>
      <c r="K1729" s="94"/>
      <c r="M1729" s="94"/>
    </row>
    <row r="1730" s="93" customFormat="1" spans="3:13">
      <c r="C1730" s="94"/>
      <c r="E1730" s="94"/>
      <c r="G1730" s="94"/>
      <c r="I1730" s="94"/>
      <c r="K1730" s="94"/>
      <c r="M1730" s="94"/>
    </row>
    <row r="1731" s="93" customFormat="1" spans="3:13">
      <c r="C1731" s="94"/>
      <c r="E1731" s="94"/>
      <c r="G1731" s="94"/>
      <c r="I1731" s="94"/>
      <c r="K1731" s="94"/>
      <c r="M1731" s="94"/>
    </row>
    <row r="1732" s="93" customFormat="1" spans="3:13">
      <c r="C1732" s="94"/>
      <c r="E1732" s="94"/>
      <c r="G1732" s="94"/>
      <c r="I1732" s="94"/>
      <c r="K1732" s="94"/>
      <c r="M1732" s="94"/>
    </row>
    <row r="1733" s="93" customFormat="1" spans="3:13">
      <c r="C1733" s="94"/>
      <c r="E1733" s="94"/>
      <c r="G1733" s="94"/>
      <c r="I1733" s="94"/>
      <c r="K1733" s="94"/>
      <c r="M1733" s="94"/>
    </row>
    <row r="1734" s="93" customFormat="1" spans="3:13">
      <c r="C1734" s="94"/>
      <c r="E1734" s="94"/>
      <c r="G1734" s="94"/>
      <c r="I1734" s="94"/>
      <c r="K1734" s="94"/>
      <c r="M1734" s="94"/>
    </row>
    <row r="1735" s="93" customFormat="1" spans="3:13">
      <c r="C1735" s="94"/>
      <c r="E1735" s="94"/>
      <c r="G1735" s="94"/>
      <c r="I1735" s="94"/>
      <c r="K1735" s="94"/>
      <c r="M1735" s="94"/>
    </row>
    <row r="1736" s="93" customFormat="1" spans="3:13">
      <c r="C1736" s="94"/>
      <c r="E1736" s="94"/>
      <c r="G1736" s="94"/>
      <c r="I1736" s="94"/>
      <c r="K1736" s="94"/>
      <c r="M1736" s="94"/>
    </row>
    <row r="1737" s="93" customFormat="1" spans="3:13">
      <c r="C1737" s="94"/>
      <c r="E1737" s="94"/>
      <c r="G1737" s="94"/>
      <c r="I1737" s="94"/>
      <c r="K1737" s="94"/>
      <c r="M1737" s="94"/>
    </row>
    <row r="1738" s="93" customFormat="1" spans="3:13">
      <c r="C1738" s="94"/>
      <c r="E1738" s="94"/>
      <c r="G1738" s="94"/>
      <c r="I1738" s="94"/>
      <c r="K1738" s="94"/>
      <c r="M1738" s="94"/>
    </row>
    <row r="1739" s="93" customFormat="1" spans="3:13">
      <c r="C1739" s="94"/>
      <c r="E1739" s="94"/>
      <c r="G1739" s="94"/>
      <c r="I1739" s="94"/>
      <c r="K1739" s="94"/>
      <c r="M1739" s="94"/>
    </row>
    <row r="1740" s="93" customFormat="1" spans="3:13">
      <c r="C1740" s="94"/>
      <c r="E1740" s="94"/>
      <c r="G1740" s="94"/>
      <c r="I1740" s="94"/>
      <c r="K1740" s="94"/>
      <c r="M1740" s="94"/>
    </row>
    <row r="1741" s="93" customFormat="1" spans="3:13">
      <c r="C1741" s="94"/>
      <c r="E1741" s="94"/>
      <c r="G1741" s="94"/>
      <c r="I1741" s="94"/>
      <c r="K1741" s="94"/>
      <c r="M1741" s="94"/>
    </row>
    <row r="1742" s="93" customFormat="1" spans="3:13">
      <c r="C1742" s="94"/>
      <c r="E1742" s="94"/>
      <c r="G1742" s="94"/>
      <c r="I1742" s="94"/>
      <c r="K1742" s="94"/>
      <c r="M1742" s="94"/>
    </row>
    <row r="1743" s="93" customFormat="1" spans="3:13">
      <c r="C1743" s="94"/>
      <c r="E1743" s="94"/>
      <c r="G1743" s="94"/>
      <c r="I1743" s="94"/>
      <c r="K1743" s="94"/>
      <c r="M1743" s="94"/>
    </row>
    <row r="1744" s="93" customFormat="1" spans="3:13">
      <c r="C1744" s="94"/>
      <c r="E1744" s="94"/>
      <c r="G1744" s="94"/>
      <c r="I1744" s="94"/>
      <c r="K1744" s="94"/>
      <c r="M1744" s="94"/>
    </row>
    <row r="1745" s="93" customFormat="1" spans="3:13">
      <c r="C1745" s="94"/>
      <c r="E1745" s="94"/>
      <c r="G1745" s="94"/>
      <c r="I1745" s="94"/>
      <c r="K1745" s="94"/>
      <c r="M1745" s="94"/>
    </row>
    <row r="1746" s="93" customFormat="1" spans="3:13">
      <c r="C1746" s="94"/>
      <c r="E1746" s="94"/>
      <c r="G1746" s="94"/>
      <c r="I1746" s="94"/>
      <c r="K1746" s="94"/>
      <c r="M1746" s="94"/>
    </row>
    <row r="1747" s="93" customFormat="1" spans="3:13">
      <c r="C1747" s="94"/>
      <c r="E1747" s="94"/>
      <c r="G1747" s="94"/>
      <c r="I1747" s="94"/>
      <c r="K1747" s="94"/>
      <c r="M1747" s="94"/>
    </row>
    <row r="1748" s="93" customFormat="1" spans="3:13">
      <c r="C1748" s="94"/>
      <c r="E1748" s="94"/>
      <c r="G1748" s="94"/>
      <c r="I1748" s="94"/>
      <c r="K1748" s="94"/>
      <c r="M1748" s="94"/>
    </row>
    <row r="1749" s="93" customFormat="1" spans="3:13">
      <c r="C1749" s="94"/>
      <c r="E1749" s="94"/>
      <c r="G1749" s="94"/>
      <c r="I1749" s="94"/>
      <c r="K1749" s="94"/>
      <c r="M1749" s="94"/>
    </row>
    <row r="1750" s="93" customFormat="1" spans="3:13">
      <c r="C1750" s="94"/>
      <c r="E1750" s="94"/>
      <c r="G1750" s="94"/>
      <c r="I1750" s="94"/>
      <c r="K1750" s="94"/>
      <c r="M1750" s="94"/>
    </row>
    <row r="1751" s="93" customFormat="1" spans="3:13">
      <c r="C1751" s="94"/>
      <c r="E1751" s="94"/>
      <c r="G1751" s="94"/>
      <c r="I1751" s="94"/>
      <c r="K1751" s="94"/>
      <c r="M1751" s="94"/>
    </row>
    <row r="1752" s="93" customFormat="1" spans="3:13">
      <c r="C1752" s="94"/>
      <c r="E1752" s="94"/>
      <c r="G1752" s="94"/>
      <c r="I1752" s="94"/>
      <c r="K1752" s="94"/>
      <c r="M1752" s="94"/>
    </row>
    <row r="1753" s="93" customFormat="1" spans="3:13">
      <c r="C1753" s="94"/>
      <c r="E1753" s="94"/>
      <c r="G1753" s="94"/>
      <c r="I1753" s="94"/>
      <c r="K1753" s="94"/>
      <c r="M1753" s="94"/>
    </row>
    <row r="1754" s="93" customFormat="1" spans="3:13">
      <c r="C1754" s="94"/>
      <c r="E1754" s="94"/>
      <c r="G1754" s="94"/>
      <c r="I1754" s="94"/>
      <c r="K1754" s="94"/>
      <c r="M1754" s="94"/>
    </row>
    <row r="1755" s="93" customFormat="1" spans="3:13">
      <c r="C1755" s="94"/>
      <c r="E1755" s="94"/>
      <c r="G1755" s="94"/>
      <c r="I1755" s="94"/>
      <c r="K1755" s="94"/>
      <c r="M1755" s="94"/>
    </row>
    <row r="1756" s="93" customFormat="1" spans="3:13">
      <c r="C1756" s="94"/>
      <c r="E1756" s="94"/>
      <c r="G1756" s="94"/>
      <c r="I1756" s="94"/>
      <c r="K1756" s="94"/>
      <c r="M1756" s="94"/>
    </row>
    <row r="1757" s="93" customFormat="1" spans="3:13">
      <c r="C1757" s="94"/>
      <c r="E1757" s="94"/>
      <c r="G1757" s="94"/>
      <c r="I1757" s="94"/>
      <c r="K1757" s="94"/>
      <c r="M1757" s="94"/>
    </row>
    <row r="1758" s="93" customFormat="1" spans="3:13">
      <c r="C1758" s="94"/>
      <c r="E1758" s="94"/>
      <c r="G1758" s="94"/>
      <c r="I1758" s="94"/>
      <c r="K1758" s="94"/>
      <c r="M1758" s="94"/>
    </row>
    <row r="1759" s="93" customFormat="1" spans="3:13">
      <c r="C1759" s="94"/>
      <c r="E1759" s="94"/>
      <c r="G1759" s="94"/>
      <c r="I1759" s="94"/>
      <c r="K1759" s="94"/>
      <c r="M1759" s="94"/>
    </row>
    <row r="1760" s="93" customFormat="1" spans="3:13">
      <c r="C1760" s="94"/>
      <c r="E1760" s="94"/>
      <c r="G1760" s="94"/>
      <c r="I1760" s="94"/>
      <c r="K1760" s="94"/>
      <c r="M1760" s="94"/>
    </row>
    <row r="1761" s="93" customFormat="1" spans="3:13">
      <c r="C1761" s="94"/>
      <c r="E1761" s="94"/>
      <c r="G1761" s="94"/>
      <c r="I1761" s="94"/>
      <c r="K1761" s="94"/>
      <c r="M1761" s="94"/>
    </row>
    <row r="1762" s="93" customFormat="1" spans="3:13">
      <c r="C1762" s="94"/>
      <c r="E1762" s="94"/>
      <c r="G1762" s="94"/>
      <c r="I1762" s="94"/>
      <c r="K1762" s="94"/>
      <c r="M1762" s="94"/>
    </row>
    <row r="1763" s="93" customFormat="1" spans="3:13">
      <c r="C1763" s="94"/>
      <c r="E1763" s="94"/>
      <c r="G1763" s="94"/>
      <c r="I1763" s="94"/>
      <c r="K1763" s="94"/>
      <c r="M1763" s="94"/>
    </row>
    <row r="1764" s="93" customFormat="1" spans="3:13">
      <c r="C1764" s="94"/>
      <c r="E1764" s="94"/>
      <c r="G1764" s="94"/>
      <c r="I1764" s="94"/>
      <c r="K1764" s="94"/>
      <c r="M1764" s="94"/>
    </row>
    <row r="1765" s="93" customFormat="1" spans="3:13">
      <c r="C1765" s="94"/>
      <c r="E1765" s="94"/>
      <c r="G1765" s="94"/>
      <c r="I1765" s="94"/>
      <c r="K1765" s="94"/>
      <c r="M1765" s="94"/>
    </row>
    <row r="1766" s="93" customFormat="1" spans="3:13">
      <c r="C1766" s="94"/>
      <c r="E1766" s="94"/>
      <c r="G1766" s="94"/>
      <c r="I1766" s="94"/>
      <c r="K1766" s="94"/>
      <c r="M1766" s="94"/>
    </row>
    <row r="1767" s="93" customFormat="1" spans="3:13">
      <c r="C1767" s="94"/>
      <c r="E1767" s="94"/>
      <c r="G1767" s="94"/>
      <c r="I1767" s="94"/>
      <c r="K1767" s="94"/>
      <c r="M1767" s="94"/>
    </row>
    <row r="1768" s="93" customFormat="1" spans="3:13">
      <c r="C1768" s="94"/>
      <c r="E1768" s="94"/>
      <c r="G1768" s="94"/>
      <c r="I1768" s="94"/>
      <c r="K1768" s="94"/>
      <c r="M1768" s="94"/>
    </row>
    <row r="1769" s="93" customFormat="1" spans="3:13">
      <c r="C1769" s="94"/>
      <c r="E1769" s="94"/>
      <c r="G1769" s="94"/>
      <c r="I1769" s="94"/>
      <c r="K1769" s="94"/>
      <c r="M1769" s="94"/>
    </row>
    <row r="1770" s="93" customFormat="1" spans="3:13">
      <c r="C1770" s="94"/>
      <c r="E1770" s="94"/>
      <c r="G1770" s="94"/>
      <c r="I1770" s="94"/>
      <c r="K1770" s="94"/>
      <c r="M1770" s="94"/>
    </row>
    <row r="1771" s="93" customFormat="1" spans="3:13">
      <c r="C1771" s="94"/>
      <c r="E1771" s="94"/>
      <c r="G1771" s="94"/>
      <c r="I1771" s="94"/>
      <c r="K1771" s="94"/>
      <c r="M1771" s="94"/>
    </row>
    <row r="1772" s="93" customFormat="1" spans="3:13">
      <c r="C1772" s="94"/>
      <c r="E1772" s="94"/>
      <c r="G1772" s="94"/>
      <c r="I1772" s="94"/>
      <c r="K1772" s="94"/>
      <c r="M1772" s="94"/>
    </row>
    <row r="1773" s="93" customFormat="1" spans="3:13">
      <c r="C1773" s="94"/>
      <c r="E1773" s="94"/>
      <c r="G1773" s="94"/>
      <c r="I1773" s="94"/>
      <c r="K1773" s="94"/>
      <c r="M1773" s="94"/>
    </row>
    <row r="1774" s="93" customFormat="1" spans="3:13">
      <c r="C1774" s="94"/>
      <c r="E1774" s="94"/>
      <c r="G1774" s="94"/>
      <c r="I1774" s="94"/>
      <c r="K1774" s="94"/>
      <c r="M1774" s="94"/>
    </row>
    <row r="1775" s="93" customFormat="1" spans="3:13">
      <c r="C1775" s="94"/>
      <c r="E1775" s="94"/>
      <c r="G1775" s="94"/>
      <c r="I1775" s="94"/>
      <c r="K1775" s="94"/>
      <c r="M1775" s="94"/>
    </row>
    <row r="1776" s="93" customFormat="1" spans="3:13">
      <c r="C1776" s="94"/>
      <c r="E1776" s="94"/>
      <c r="G1776" s="94"/>
      <c r="I1776" s="94"/>
      <c r="K1776" s="94"/>
      <c r="M1776" s="94"/>
    </row>
    <row r="1777" s="93" customFormat="1" spans="3:13">
      <c r="C1777" s="94"/>
      <c r="E1777" s="94"/>
      <c r="G1777" s="94"/>
      <c r="I1777" s="94"/>
      <c r="K1777" s="94"/>
      <c r="M1777" s="94"/>
    </row>
    <row r="1778" s="93" customFormat="1" spans="3:13">
      <c r="C1778" s="94"/>
      <c r="E1778" s="94"/>
      <c r="G1778" s="94"/>
      <c r="I1778" s="94"/>
      <c r="K1778" s="94"/>
      <c r="M1778" s="94"/>
    </row>
    <row r="1779" s="93" customFormat="1" spans="3:13">
      <c r="C1779" s="94"/>
      <c r="E1779" s="94"/>
      <c r="G1779" s="94"/>
      <c r="I1779" s="94"/>
      <c r="K1779" s="94"/>
      <c r="M1779" s="94"/>
    </row>
    <row r="1780" s="93" customFormat="1" spans="3:13">
      <c r="C1780" s="94"/>
      <c r="E1780" s="94"/>
      <c r="G1780" s="94"/>
      <c r="I1780" s="94"/>
      <c r="K1780" s="94"/>
      <c r="M1780" s="94"/>
    </row>
    <row r="1781" s="93" customFormat="1" spans="3:13">
      <c r="C1781" s="94"/>
      <c r="E1781" s="94"/>
      <c r="G1781" s="94"/>
      <c r="I1781" s="94"/>
      <c r="K1781" s="94"/>
      <c r="M1781" s="94"/>
    </row>
    <row r="1782" s="93" customFormat="1" spans="3:13">
      <c r="C1782" s="94"/>
      <c r="E1782" s="94"/>
      <c r="G1782" s="94"/>
      <c r="I1782" s="94"/>
      <c r="K1782" s="94"/>
      <c r="M1782" s="94"/>
    </row>
    <row r="1783" s="93" customFormat="1" spans="3:13">
      <c r="C1783" s="94"/>
      <c r="E1783" s="94"/>
      <c r="G1783" s="94"/>
      <c r="I1783" s="94"/>
      <c r="K1783" s="94"/>
      <c r="M1783" s="94"/>
    </row>
    <row r="1784" s="93" customFormat="1" spans="3:13">
      <c r="C1784" s="94"/>
      <c r="E1784" s="94"/>
      <c r="G1784" s="94"/>
      <c r="I1784" s="94"/>
      <c r="K1784" s="94"/>
      <c r="M1784" s="94"/>
    </row>
    <row r="1785" s="93" customFormat="1" spans="3:13">
      <c r="C1785" s="94"/>
      <c r="E1785" s="94"/>
      <c r="G1785" s="94"/>
      <c r="I1785" s="94"/>
      <c r="K1785" s="94"/>
      <c r="M1785" s="94"/>
    </row>
    <row r="1786" s="93" customFormat="1" spans="3:13">
      <c r="C1786" s="94"/>
      <c r="E1786" s="94"/>
      <c r="G1786" s="94"/>
      <c r="I1786" s="94"/>
      <c r="K1786" s="94"/>
      <c r="M1786" s="94"/>
    </row>
    <row r="1787" s="93" customFormat="1" spans="3:13">
      <c r="C1787" s="94"/>
      <c r="E1787" s="94"/>
      <c r="G1787" s="94"/>
      <c r="I1787" s="94"/>
      <c r="K1787" s="94"/>
      <c r="M1787" s="94"/>
    </row>
    <row r="1788" s="93" customFormat="1" spans="3:13">
      <c r="C1788" s="94"/>
      <c r="E1788" s="94"/>
      <c r="G1788" s="94"/>
      <c r="I1788" s="94"/>
      <c r="K1788" s="94"/>
      <c r="M1788" s="94"/>
    </row>
    <row r="1789" s="93" customFormat="1" spans="3:13">
      <c r="C1789" s="94"/>
      <c r="E1789" s="94"/>
      <c r="G1789" s="94"/>
      <c r="I1789" s="94"/>
      <c r="K1789" s="94"/>
      <c r="M1789" s="94"/>
    </row>
    <row r="1790" s="93" customFormat="1" spans="3:13">
      <c r="C1790" s="94"/>
      <c r="E1790" s="94"/>
      <c r="G1790" s="94"/>
      <c r="I1790" s="94"/>
      <c r="K1790" s="94"/>
      <c r="M1790" s="94"/>
    </row>
    <row r="1791" s="93" customFormat="1" spans="3:13">
      <c r="C1791" s="94"/>
      <c r="E1791" s="94"/>
      <c r="G1791" s="94"/>
      <c r="I1791" s="94"/>
      <c r="K1791" s="94"/>
      <c r="M1791" s="94"/>
    </row>
    <row r="1792" s="93" customFormat="1" spans="3:13">
      <c r="C1792" s="94"/>
      <c r="E1792" s="94"/>
      <c r="G1792" s="94"/>
      <c r="I1792" s="94"/>
      <c r="K1792" s="94"/>
      <c r="M1792" s="94"/>
    </row>
    <row r="1793" s="93" customFormat="1" spans="3:13">
      <c r="C1793" s="94"/>
      <c r="E1793" s="94"/>
      <c r="G1793" s="94"/>
      <c r="I1793" s="94"/>
      <c r="K1793" s="94"/>
      <c r="M1793" s="94"/>
    </row>
    <row r="1794" s="93" customFormat="1" spans="3:13">
      <c r="C1794" s="94"/>
      <c r="E1794" s="94"/>
      <c r="G1794" s="94"/>
      <c r="I1794" s="94"/>
      <c r="K1794" s="94"/>
      <c r="M1794" s="94"/>
    </row>
    <row r="1795" s="93" customFormat="1" spans="3:13">
      <c r="C1795" s="94"/>
      <c r="E1795" s="94"/>
      <c r="G1795" s="94"/>
      <c r="I1795" s="94"/>
      <c r="K1795" s="94"/>
      <c r="M1795" s="94"/>
    </row>
    <row r="1796" s="93" customFormat="1" spans="3:13">
      <c r="C1796" s="94"/>
      <c r="E1796" s="94"/>
      <c r="G1796" s="94"/>
      <c r="I1796" s="94"/>
      <c r="K1796" s="94"/>
      <c r="M1796" s="94"/>
    </row>
    <row r="1797" s="93" customFormat="1" spans="3:13">
      <c r="C1797" s="94"/>
      <c r="E1797" s="94"/>
      <c r="G1797" s="94"/>
      <c r="I1797" s="94"/>
      <c r="K1797" s="94"/>
      <c r="M1797" s="94"/>
    </row>
    <row r="1798" s="93" customFormat="1" spans="3:13">
      <c r="C1798" s="94"/>
      <c r="E1798" s="94"/>
      <c r="G1798" s="94"/>
      <c r="I1798" s="94"/>
      <c r="K1798" s="94"/>
      <c r="M1798" s="94"/>
    </row>
    <row r="1799" s="93" customFormat="1" spans="3:13">
      <c r="C1799" s="94"/>
      <c r="E1799" s="94"/>
      <c r="G1799" s="94"/>
      <c r="I1799" s="94"/>
      <c r="K1799" s="94"/>
      <c r="M1799" s="94"/>
    </row>
    <row r="1800" s="93" customFormat="1" spans="3:13">
      <c r="C1800" s="94"/>
      <c r="E1800" s="94"/>
      <c r="G1800" s="94"/>
      <c r="I1800" s="94"/>
      <c r="K1800" s="94"/>
      <c r="M1800" s="94"/>
    </row>
    <row r="1801" s="93" customFormat="1" spans="3:13">
      <c r="C1801" s="94"/>
      <c r="E1801" s="94"/>
      <c r="G1801" s="94"/>
      <c r="I1801" s="94"/>
      <c r="K1801" s="94"/>
      <c r="M1801" s="94"/>
    </row>
    <row r="1802" s="93" customFormat="1" spans="3:13">
      <c r="C1802" s="94"/>
      <c r="E1802" s="94"/>
      <c r="G1802" s="94"/>
      <c r="I1802" s="94"/>
      <c r="K1802" s="94"/>
      <c r="M1802" s="94"/>
    </row>
    <row r="1803" s="93" customFormat="1" spans="3:13">
      <c r="C1803" s="94"/>
      <c r="E1803" s="94"/>
      <c r="G1803" s="94"/>
      <c r="I1803" s="94"/>
      <c r="K1803" s="94"/>
      <c r="M1803" s="94"/>
    </row>
    <row r="1804" s="93" customFormat="1" spans="3:13">
      <c r="C1804" s="94"/>
      <c r="E1804" s="94"/>
      <c r="G1804" s="94"/>
      <c r="I1804" s="94"/>
      <c r="K1804" s="94"/>
      <c r="M1804" s="94"/>
    </row>
    <row r="1805" s="93" customFormat="1" spans="3:13">
      <c r="C1805" s="94"/>
      <c r="E1805" s="94"/>
      <c r="G1805" s="94"/>
      <c r="I1805" s="94"/>
      <c r="K1805" s="94"/>
      <c r="M1805" s="94"/>
    </row>
    <row r="1806" s="93" customFormat="1" spans="3:13">
      <c r="C1806" s="94"/>
      <c r="E1806" s="94"/>
      <c r="G1806" s="94"/>
      <c r="I1806" s="94"/>
      <c r="K1806" s="94"/>
      <c r="M1806" s="94"/>
    </row>
    <row r="1807" s="93" customFormat="1" spans="3:13">
      <c r="C1807" s="94"/>
      <c r="E1807" s="94"/>
      <c r="G1807" s="94"/>
      <c r="I1807" s="94"/>
      <c r="K1807" s="94"/>
      <c r="M1807" s="94"/>
    </row>
    <row r="1808" s="93" customFormat="1" spans="3:13">
      <c r="C1808" s="94"/>
      <c r="E1808" s="94"/>
      <c r="G1808" s="94"/>
      <c r="I1808" s="94"/>
      <c r="K1808" s="94"/>
      <c r="M1808" s="94"/>
    </row>
    <row r="1809" s="93" customFormat="1" spans="3:13">
      <c r="C1809" s="94"/>
      <c r="E1809" s="94"/>
      <c r="G1809" s="94"/>
      <c r="I1809" s="94"/>
      <c r="K1809" s="94"/>
      <c r="M1809" s="94"/>
    </row>
    <row r="1810" s="93" customFormat="1" spans="3:13">
      <c r="C1810" s="94"/>
      <c r="E1810" s="94"/>
      <c r="G1810" s="94"/>
      <c r="I1810" s="94"/>
      <c r="K1810" s="94"/>
      <c r="M1810" s="94"/>
    </row>
    <row r="1811" s="93" customFormat="1" spans="3:13">
      <c r="C1811" s="94"/>
      <c r="E1811" s="94"/>
      <c r="G1811" s="94"/>
      <c r="I1811" s="94"/>
      <c r="K1811" s="94"/>
      <c r="M1811" s="94"/>
    </row>
    <row r="1812" s="93" customFormat="1" spans="3:13">
      <c r="C1812" s="94"/>
      <c r="E1812" s="94"/>
      <c r="G1812" s="94"/>
      <c r="I1812" s="94"/>
      <c r="K1812" s="94"/>
      <c r="M1812" s="94"/>
    </row>
    <row r="1813" s="93" customFormat="1" spans="3:13">
      <c r="C1813" s="94"/>
      <c r="E1813" s="94"/>
      <c r="G1813" s="94"/>
      <c r="I1813" s="94"/>
      <c r="K1813" s="94"/>
      <c r="M1813" s="94"/>
    </row>
    <row r="1814" s="93" customFormat="1" spans="3:13">
      <c r="C1814" s="94"/>
      <c r="E1814" s="94"/>
      <c r="G1814" s="94"/>
      <c r="I1814" s="94"/>
      <c r="K1814" s="94"/>
      <c r="M1814" s="94"/>
    </row>
    <row r="1815" s="93" customFormat="1" spans="3:13">
      <c r="C1815" s="94"/>
      <c r="E1815" s="94"/>
      <c r="G1815" s="94"/>
      <c r="I1815" s="94"/>
      <c r="K1815" s="94"/>
      <c r="M1815" s="94"/>
    </row>
    <row r="1816" s="93" customFormat="1" spans="3:13">
      <c r="C1816" s="94"/>
      <c r="E1816" s="94"/>
      <c r="G1816" s="94"/>
      <c r="I1816" s="94"/>
      <c r="K1816" s="94"/>
      <c r="M1816" s="94"/>
    </row>
    <row r="1817" s="93" customFormat="1" spans="3:13">
      <c r="C1817" s="94"/>
      <c r="E1817" s="94"/>
      <c r="G1817" s="94"/>
      <c r="I1817" s="94"/>
      <c r="K1817" s="94"/>
      <c r="M1817" s="94"/>
    </row>
    <row r="1818" s="93" customFormat="1" spans="3:13">
      <c r="C1818" s="94"/>
      <c r="E1818" s="94"/>
      <c r="G1818" s="94"/>
      <c r="I1818" s="94"/>
      <c r="K1818" s="94"/>
      <c r="M1818" s="94"/>
    </row>
    <row r="1819" s="93" customFormat="1" spans="3:13">
      <c r="C1819" s="94"/>
      <c r="E1819" s="94"/>
      <c r="G1819" s="94"/>
      <c r="I1819" s="94"/>
      <c r="K1819" s="94"/>
      <c r="M1819" s="94"/>
    </row>
    <row r="1820" s="93" customFormat="1" spans="3:13">
      <c r="C1820" s="94"/>
      <c r="E1820" s="94"/>
      <c r="G1820" s="94"/>
      <c r="I1820" s="94"/>
      <c r="K1820" s="94"/>
      <c r="M1820" s="94"/>
    </row>
    <row r="1821" s="93" customFormat="1" spans="3:13">
      <c r="C1821" s="94"/>
      <c r="E1821" s="94"/>
      <c r="G1821" s="94"/>
      <c r="I1821" s="94"/>
      <c r="K1821" s="94"/>
      <c r="M1821" s="94"/>
    </row>
    <row r="1822" s="93" customFormat="1" spans="3:13">
      <c r="C1822" s="94"/>
      <c r="E1822" s="94"/>
      <c r="G1822" s="94"/>
      <c r="I1822" s="94"/>
      <c r="K1822" s="94"/>
      <c r="M1822" s="94"/>
    </row>
    <row r="1823" s="93" customFormat="1" spans="3:13">
      <c r="C1823" s="94"/>
      <c r="E1823" s="94"/>
      <c r="G1823" s="94"/>
      <c r="I1823" s="94"/>
      <c r="K1823" s="94"/>
      <c r="M1823" s="94"/>
    </row>
    <row r="1824" s="93" customFormat="1" spans="3:13">
      <c r="C1824" s="94"/>
      <c r="E1824" s="94"/>
      <c r="G1824" s="94"/>
      <c r="I1824" s="94"/>
      <c r="K1824" s="94"/>
      <c r="M1824" s="94"/>
    </row>
    <row r="1825" s="93" customFormat="1" spans="3:13">
      <c r="C1825" s="94"/>
      <c r="E1825" s="94"/>
      <c r="G1825" s="94"/>
      <c r="I1825" s="94"/>
      <c r="K1825" s="94"/>
      <c r="M1825" s="94"/>
    </row>
    <row r="1826" s="93" customFormat="1" spans="3:13">
      <c r="C1826" s="94"/>
      <c r="E1826" s="94"/>
      <c r="G1826" s="94"/>
      <c r="I1826" s="94"/>
      <c r="K1826" s="94"/>
      <c r="M1826" s="94"/>
    </row>
    <row r="1827" s="93" customFormat="1" spans="3:13">
      <c r="C1827" s="94"/>
      <c r="E1827" s="94"/>
      <c r="G1827" s="94"/>
      <c r="I1827" s="94"/>
      <c r="K1827" s="94"/>
      <c r="M1827" s="94"/>
    </row>
    <row r="1828" s="93" customFormat="1" spans="3:13">
      <c r="C1828" s="94"/>
      <c r="E1828" s="94"/>
      <c r="G1828" s="94"/>
      <c r="I1828" s="94"/>
      <c r="K1828" s="94"/>
      <c r="M1828" s="94"/>
    </row>
    <row r="1829" s="93" customFormat="1" spans="3:13">
      <c r="C1829" s="94"/>
      <c r="E1829" s="94"/>
      <c r="G1829" s="94"/>
      <c r="I1829" s="94"/>
      <c r="K1829" s="94"/>
      <c r="M1829" s="94"/>
    </row>
    <row r="1830" s="93" customFormat="1" spans="3:13">
      <c r="C1830" s="94"/>
      <c r="E1830" s="94"/>
      <c r="G1830" s="94"/>
      <c r="I1830" s="94"/>
      <c r="K1830" s="94"/>
      <c r="M1830" s="94"/>
    </row>
    <row r="1831" s="93" customFormat="1" spans="3:13">
      <c r="C1831" s="94"/>
      <c r="E1831" s="94"/>
      <c r="G1831" s="94"/>
      <c r="I1831" s="94"/>
      <c r="K1831" s="94"/>
      <c r="M1831" s="94"/>
    </row>
    <row r="1832" s="93" customFormat="1" spans="3:13">
      <c r="C1832" s="94"/>
      <c r="E1832" s="94"/>
      <c r="G1832" s="94"/>
      <c r="I1832" s="94"/>
      <c r="K1832" s="94"/>
      <c r="M1832" s="94"/>
    </row>
    <row r="1833" s="93" customFormat="1" spans="3:13">
      <c r="C1833" s="94"/>
      <c r="E1833" s="94"/>
      <c r="G1833" s="94"/>
      <c r="I1833" s="94"/>
      <c r="K1833" s="94"/>
      <c r="M1833" s="94"/>
    </row>
    <row r="1834" s="93" customFormat="1" spans="3:13">
      <c r="C1834" s="94"/>
      <c r="E1834" s="94"/>
      <c r="G1834" s="94"/>
      <c r="I1834" s="94"/>
      <c r="K1834" s="94"/>
      <c r="M1834" s="94"/>
    </row>
    <row r="1835" s="93" customFormat="1" spans="3:13">
      <c r="C1835" s="94"/>
      <c r="E1835" s="94"/>
      <c r="G1835" s="94"/>
      <c r="I1835" s="94"/>
      <c r="K1835" s="94"/>
      <c r="M1835" s="94"/>
    </row>
    <row r="1836" s="93" customFormat="1" spans="3:13">
      <c r="C1836" s="94"/>
      <c r="E1836" s="94"/>
      <c r="G1836" s="94"/>
      <c r="I1836" s="94"/>
      <c r="K1836" s="94"/>
      <c r="M1836" s="94"/>
    </row>
    <row r="1837" s="93" customFormat="1" spans="3:13">
      <c r="C1837" s="94"/>
      <c r="E1837" s="94"/>
      <c r="G1837" s="94"/>
      <c r="I1837" s="94"/>
      <c r="K1837" s="94"/>
      <c r="M1837" s="94"/>
    </row>
    <row r="1838" s="93" customFormat="1" spans="3:13">
      <c r="C1838" s="94"/>
      <c r="E1838" s="94"/>
      <c r="G1838" s="94"/>
      <c r="I1838" s="94"/>
      <c r="K1838" s="94"/>
      <c r="M1838" s="94"/>
    </row>
    <row r="1839" s="93" customFormat="1" spans="3:13">
      <c r="C1839" s="94"/>
      <c r="E1839" s="94"/>
      <c r="G1839" s="94"/>
      <c r="I1839" s="94"/>
      <c r="K1839" s="94"/>
      <c r="M1839" s="94"/>
    </row>
    <row r="1840" s="93" customFormat="1" spans="3:13">
      <c r="C1840" s="94"/>
      <c r="E1840" s="94"/>
      <c r="G1840" s="94"/>
      <c r="I1840" s="94"/>
      <c r="K1840" s="94"/>
      <c r="M1840" s="94"/>
    </row>
    <row r="1841" s="93" customFormat="1" spans="3:13">
      <c r="C1841" s="94"/>
      <c r="E1841" s="94"/>
      <c r="G1841" s="94"/>
      <c r="I1841" s="94"/>
      <c r="K1841" s="94"/>
      <c r="M1841" s="94"/>
    </row>
    <row r="1842" s="93" customFormat="1" spans="3:13">
      <c r="C1842" s="94"/>
      <c r="E1842" s="94"/>
      <c r="G1842" s="94"/>
      <c r="I1842" s="94"/>
      <c r="K1842" s="94"/>
      <c r="M1842" s="94"/>
    </row>
    <row r="1843" s="93" customFormat="1" spans="3:13">
      <c r="C1843" s="94"/>
      <c r="E1843" s="94"/>
      <c r="G1843" s="94"/>
      <c r="I1843" s="94"/>
      <c r="K1843" s="94"/>
      <c r="M1843" s="94"/>
    </row>
    <row r="1844" s="93" customFormat="1" spans="3:13">
      <c r="C1844" s="94"/>
      <c r="E1844" s="94"/>
      <c r="G1844" s="94"/>
      <c r="I1844" s="94"/>
      <c r="K1844" s="94"/>
      <c r="M1844" s="94"/>
    </row>
    <row r="1845" s="93" customFormat="1" spans="3:13">
      <c r="C1845" s="94"/>
      <c r="E1845" s="94"/>
      <c r="G1845" s="94"/>
      <c r="I1845" s="94"/>
      <c r="K1845" s="94"/>
      <c r="M1845" s="94"/>
    </row>
    <row r="1846" s="93" customFormat="1" spans="3:13">
      <c r="C1846" s="94"/>
      <c r="E1846" s="94"/>
      <c r="G1846" s="94"/>
      <c r="I1846" s="94"/>
      <c r="K1846" s="94"/>
      <c r="M1846" s="94"/>
    </row>
    <row r="1847" s="93" customFormat="1" spans="3:13">
      <c r="C1847" s="94"/>
      <c r="E1847" s="94"/>
      <c r="G1847" s="94"/>
      <c r="I1847" s="94"/>
      <c r="K1847" s="94"/>
      <c r="M1847" s="94"/>
    </row>
    <row r="1848" s="93" customFormat="1" spans="3:13">
      <c r="C1848" s="94"/>
      <c r="E1848" s="94"/>
      <c r="G1848" s="94"/>
      <c r="I1848" s="94"/>
      <c r="K1848" s="94"/>
      <c r="M1848" s="94"/>
    </row>
    <row r="1849" s="93" customFormat="1" spans="3:13">
      <c r="C1849" s="94"/>
      <c r="E1849" s="94"/>
      <c r="G1849" s="94"/>
      <c r="I1849" s="94"/>
      <c r="K1849" s="94"/>
      <c r="M1849" s="94"/>
    </row>
    <row r="1850" s="93" customFormat="1" spans="3:13">
      <c r="C1850" s="94"/>
      <c r="E1850" s="94"/>
      <c r="G1850" s="94"/>
      <c r="I1850" s="94"/>
      <c r="K1850" s="94"/>
      <c r="M1850" s="94"/>
    </row>
    <row r="1851" s="93" customFormat="1" spans="3:13">
      <c r="C1851" s="94"/>
      <c r="E1851" s="94"/>
      <c r="G1851" s="94"/>
      <c r="I1851" s="94"/>
      <c r="K1851" s="94"/>
      <c r="M1851" s="94"/>
    </row>
    <row r="1852" s="93" customFormat="1" spans="3:13">
      <c r="C1852" s="94"/>
      <c r="E1852" s="94"/>
      <c r="G1852" s="94"/>
      <c r="I1852" s="94"/>
      <c r="K1852" s="94"/>
      <c r="M1852" s="94"/>
    </row>
    <row r="1853" s="93" customFormat="1" spans="3:13">
      <c r="C1853" s="94"/>
      <c r="E1853" s="94"/>
      <c r="G1853" s="94"/>
      <c r="I1853" s="94"/>
      <c r="K1853" s="94"/>
      <c r="M1853" s="94"/>
    </row>
    <row r="1854" s="93" customFormat="1" spans="3:13">
      <c r="C1854" s="94"/>
      <c r="E1854" s="94"/>
      <c r="G1854" s="94"/>
      <c r="I1854" s="94"/>
      <c r="K1854" s="94"/>
      <c r="M1854" s="94"/>
    </row>
    <row r="1855" s="93" customFormat="1" spans="3:13">
      <c r="C1855" s="94"/>
      <c r="E1855" s="94"/>
      <c r="G1855" s="94"/>
      <c r="I1855" s="94"/>
      <c r="K1855" s="94"/>
      <c r="M1855" s="94"/>
    </row>
    <row r="1856" s="93" customFormat="1" spans="3:13">
      <c r="C1856" s="94"/>
      <c r="E1856" s="94"/>
      <c r="G1856" s="94"/>
      <c r="I1856" s="94"/>
      <c r="K1856" s="94"/>
      <c r="M1856" s="94"/>
    </row>
    <row r="1857" s="93" customFormat="1" spans="3:13">
      <c r="C1857" s="94"/>
      <c r="E1857" s="94"/>
      <c r="G1857" s="94"/>
      <c r="I1857" s="94"/>
      <c r="K1857" s="94"/>
      <c r="M1857" s="94"/>
    </row>
    <row r="1858" s="93" customFormat="1" spans="3:13">
      <c r="C1858" s="94"/>
      <c r="E1858" s="94"/>
      <c r="G1858" s="94"/>
      <c r="I1858" s="94"/>
      <c r="K1858" s="94"/>
      <c r="M1858" s="94"/>
    </row>
    <row r="1859" s="93" customFormat="1" spans="3:13">
      <c r="C1859" s="94"/>
      <c r="E1859" s="94"/>
      <c r="G1859" s="94"/>
      <c r="I1859" s="94"/>
      <c r="K1859" s="94"/>
      <c r="M1859" s="94"/>
    </row>
    <row r="1860" s="93" customFormat="1" spans="3:13">
      <c r="C1860" s="94"/>
      <c r="E1860" s="94"/>
      <c r="G1860" s="94"/>
      <c r="I1860" s="94"/>
      <c r="K1860" s="94"/>
      <c r="M1860" s="94"/>
    </row>
    <row r="1861" s="93" customFormat="1" spans="3:13">
      <c r="C1861" s="94"/>
      <c r="E1861" s="94"/>
      <c r="G1861" s="94"/>
      <c r="I1861" s="94"/>
      <c r="K1861" s="94"/>
      <c r="M1861" s="94"/>
    </row>
    <row r="1862" s="93" customFormat="1" spans="3:13">
      <c r="C1862" s="94"/>
      <c r="E1862" s="94"/>
      <c r="G1862" s="94"/>
      <c r="I1862" s="94"/>
      <c r="K1862" s="94"/>
      <c r="M1862" s="94"/>
    </row>
    <row r="1863" s="93" customFormat="1" spans="3:13">
      <c r="C1863" s="94"/>
      <c r="E1863" s="94"/>
      <c r="G1863" s="94"/>
      <c r="I1863" s="94"/>
      <c r="K1863" s="94"/>
      <c r="M1863" s="94"/>
    </row>
    <row r="1864" s="93" customFormat="1" spans="3:13">
      <c r="C1864" s="94"/>
      <c r="E1864" s="94"/>
      <c r="G1864" s="94"/>
      <c r="I1864" s="94"/>
      <c r="K1864" s="94"/>
      <c r="M1864" s="94"/>
    </row>
    <row r="1865" s="93" customFormat="1" spans="3:13">
      <c r="C1865" s="94"/>
      <c r="E1865" s="94"/>
      <c r="G1865" s="94"/>
      <c r="I1865" s="94"/>
      <c r="K1865" s="94"/>
      <c r="M1865" s="94"/>
    </row>
    <row r="1866" s="93" customFormat="1" spans="3:13">
      <c r="C1866" s="94"/>
      <c r="E1866" s="94"/>
      <c r="G1866" s="94"/>
      <c r="I1866" s="94"/>
      <c r="K1866" s="94"/>
      <c r="M1866" s="94"/>
    </row>
    <row r="1867" s="93" customFormat="1" spans="3:13">
      <c r="C1867" s="94"/>
      <c r="E1867" s="94"/>
      <c r="G1867" s="94"/>
      <c r="I1867" s="94"/>
      <c r="K1867" s="94"/>
      <c r="M1867" s="94"/>
    </row>
    <row r="1868" s="93" customFormat="1" spans="3:13">
      <c r="C1868" s="94"/>
      <c r="E1868" s="94"/>
      <c r="G1868" s="94"/>
      <c r="I1868" s="94"/>
      <c r="K1868" s="94"/>
      <c r="M1868" s="94"/>
    </row>
    <row r="1869" s="93" customFormat="1" spans="3:13">
      <c r="C1869" s="94"/>
      <c r="E1869" s="94"/>
      <c r="G1869" s="94"/>
      <c r="I1869" s="94"/>
      <c r="K1869" s="94"/>
      <c r="M1869" s="94"/>
    </row>
    <row r="1870" s="93" customFormat="1" spans="3:13">
      <c r="C1870" s="94"/>
      <c r="E1870" s="94"/>
      <c r="G1870" s="94"/>
      <c r="I1870" s="94"/>
      <c r="K1870" s="94"/>
      <c r="M1870" s="94"/>
    </row>
    <row r="1871" s="93" customFormat="1" spans="3:13">
      <c r="C1871" s="94"/>
      <c r="E1871" s="94"/>
      <c r="G1871" s="94"/>
      <c r="I1871" s="94"/>
      <c r="K1871" s="94"/>
      <c r="M1871" s="94"/>
    </row>
    <row r="1872" s="93" customFormat="1" spans="3:13">
      <c r="C1872" s="94"/>
      <c r="E1872" s="94"/>
      <c r="G1872" s="94"/>
      <c r="I1872" s="94"/>
      <c r="K1872" s="94"/>
      <c r="M1872" s="94"/>
    </row>
    <row r="1873" s="93" customFormat="1" spans="3:13">
      <c r="C1873" s="94"/>
      <c r="E1873" s="94"/>
      <c r="G1873" s="94"/>
      <c r="I1873" s="94"/>
      <c r="K1873" s="94"/>
      <c r="M1873" s="94"/>
    </row>
    <row r="1874" s="93" customFormat="1" spans="3:13">
      <c r="C1874" s="94"/>
      <c r="E1874" s="94"/>
      <c r="G1874" s="94"/>
      <c r="I1874" s="94"/>
      <c r="K1874" s="94"/>
      <c r="M1874" s="94"/>
    </row>
    <row r="1875" s="93" customFormat="1" spans="3:13">
      <c r="C1875" s="94"/>
      <c r="E1875" s="94"/>
      <c r="G1875" s="94"/>
      <c r="I1875" s="94"/>
      <c r="K1875" s="94"/>
      <c r="M1875" s="94"/>
    </row>
    <row r="1876" s="93" customFormat="1" spans="3:13">
      <c r="C1876" s="94"/>
      <c r="E1876" s="94"/>
      <c r="G1876" s="94"/>
      <c r="I1876" s="94"/>
      <c r="K1876" s="94"/>
      <c r="M1876" s="94"/>
    </row>
    <row r="1877" s="93" customFormat="1" spans="3:13">
      <c r="C1877" s="94"/>
      <c r="E1877" s="94"/>
      <c r="G1877" s="94"/>
      <c r="I1877" s="94"/>
      <c r="K1877" s="94"/>
      <c r="M1877" s="94"/>
    </row>
    <row r="1878" s="93" customFormat="1" spans="3:13">
      <c r="C1878" s="94"/>
      <c r="E1878" s="94"/>
      <c r="G1878" s="94"/>
      <c r="I1878" s="94"/>
      <c r="K1878" s="94"/>
      <c r="M1878" s="94"/>
    </row>
    <row r="1879" s="93" customFormat="1" spans="3:13">
      <c r="C1879" s="94"/>
      <c r="E1879" s="94"/>
      <c r="G1879" s="94"/>
      <c r="I1879" s="94"/>
      <c r="K1879" s="94"/>
      <c r="M1879" s="94"/>
    </row>
    <row r="1880" s="93" customFormat="1" spans="3:13">
      <c r="C1880" s="94"/>
      <c r="E1880" s="94"/>
      <c r="G1880" s="94"/>
      <c r="I1880" s="94"/>
      <c r="K1880" s="94"/>
      <c r="M1880" s="94"/>
    </row>
    <row r="1881" s="93" customFormat="1" spans="3:13">
      <c r="C1881" s="94"/>
      <c r="E1881" s="94"/>
      <c r="G1881" s="94"/>
      <c r="I1881" s="94"/>
      <c r="K1881" s="94"/>
      <c r="M1881" s="94"/>
    </row>
    <row r="1882" s="93" customFormat="1" spans="3:13">
      <c r="C1882" s="94"/>
      <c r="E1882" s="94"/>
      <c r="G1882" s="94"/>
      <c r="I1882" s="94"/>
      <c r="K1882" s="94"/>
      <c r="M1882" s="94"/>
    </row>
    <row r="1883" s="93" customFormat="1" spans="3:13">
      <c r="C1883" s="94"/>
      <c r="E1883" s="94"/>
      <c r="G1883" s="94"/>
      <c r="I1883" s="94"/>
      <c r="K1883" s="94"/>
      <c r="M1883" s="94"/>
    </row>
    <row r="1884" s="93" customFormat="1" spans="3:13">
      <c r="C1884" s="94"/>
      <c r="E1884" s="94"/>
      <c r="G1884" s="94"/>
      <c r="I1884" s="94"/>
      <c r="K1884" s="94"/>
      <c r="M1884" s="94"/>
    </row>
    <row r="1885" s="93" customFormat="1" spans="3:13">
      <c r="C1885" s="94"/>
      <c r="E1885" s="94"/>
      <c r="G1885" s="94"/>
      <c r="I1885" s="94"/>
      <c r="K1885" s="94"/>
      <c r="M1885" s="94"/>
    </row>
    <row r="1886" s="93" customFormat="1" spans="3:13">
      <c r="C1886" s="94"/>
      <c r="E1886" s="94"/>
      <c r="G1886" s="94"/>
      <c r="I1886" s="94"/>
      <c r="K1886" s="94"/>
      <c r="M1886" s="94"/>
    </row>
    <row r="1887" s="93" customFormat="1" spans="3:13">
      <c r="C1887" s="94"/>
      <c r="E1887" s="94"/>
      <c r="G1887" s="94"/>
      <c r="I1887" s="94"/>
      <c r="K1887" s="94"/>
      <c r="M1887" s="94"/>
    </row>
    <row r="1888" s="93" customFormat="1" spans="3:13">
      <c r="C1888" s="94"/>
      <c r="E1888" s="94"/>
      <c r="G1888" s="94"/>
      <c r="I1888" s="94"/>
      <c r="K1888" s="94"/>
      <c r="M1888" s="94"/>
    </row>
    <row r="1889" s="93" customFormat="1" spans="3:13">
      <c r="C1889" s="94"/>
      <c r="E1889" s="94"/>
      <c r="G1889" s="94"/>
      <c r="I1889" s="94"/>
      <c r="K1889" s="94"/>
      <c r="M1889" s="94"/>
    </row>
    <row r="1890" s="93" customFormat="1" spans="3:13">
      <c r="C1890" s="94"/>
      <c r="E1890" s="94"/>
      <c r="G1890" s="94"/>
      <c r="I1890" s="94"/>
      <c r="K1890" s="94"/>
      <c r="M1890" s="94"/>
    </row>
    <row r="1891" s="93" customFormat="1" spans="3:13">
      <c r="C1891" s="94"/>
      <c r="E1891" s="94"/>
      <c r="G1891" s="94"/>
      <c r="I1891" s="94"/>
      <c r="K1891" s="94"/>
      <c r="M1891" s="94"/>
    </row>
    <row r="1892" s="93" customFormat="1" spans="3:13">
      <c r="C1892" s="94"/>
      <c r="E1892" s="94"/>
      <c r="G1892" s="94"/>
      <c r="I1892" s="94"/>
      <c r="K1892" s="94"/>
      <c r="M1892" s="94"/>
    </row>
    <row r="1893" s="93" customFormat="1" spans="3:13">
      <c r="C1893" s="94"/>
      <c r="E1893" s="94"/>
      <c r="G1893" s="94"/>
      <c r="I1893" s="94"/>
      <c r="K1893" s="94"/>
      <c r="M1893" s="94"/>
    </row>
    <row r="1894" s="93" customFormat="1" spans="3:13">
      <c r="C1894" s="94"/>
      <c r="E1894" s="94"/>
      <c r="G1894" s="94"/>
      <c r="I1894" s="94"/>
      <c r="K1894" s="94"/>
      <c r="M1894" s="94"/>
    </row>
    <row r="1895" s="93" customFormat="1" spans="3:13">
      <c r="C1895" s="94"/>
      <c r="E1895" s="94"/>
      <c r="G1895" s="94"/>
      <c r="I1895" s="94"/>
      <c r="K1895" s="94"/>
      <c r="M1895" s="94"/>
    </row>
    <row r="1896" s="93" customFormat="1" spans="3:13">
      <c r="C1896" s="94"/>
      <c r="E1896" s="94"/>
      <c r="G1896" s="94"/>
      <c r="I1896" s="94"/>
      <c r="K1896" s="94"/>
      <c r="M1896" s="94"/>
    </row>
    <row r="1897" s="93" customFormat="1" spans="3:13">
      <c r="C1897" s="94"/>
      <c r="E1897" s="94"/>
      <c r="G1897" s="94"/>
      <c r="I1897" s="94"/>
      <c r="K1897" s="94"/>
      <c r="M1897" s="94"/>
    </row>
    <row r="1898" s="93" customFormat="1" spans="3:13">
      <c r="C1898" s="94"/>
      <c r="E1898" s="94"/>
      <c r="G1898" s="94"/>
      <c r="I1898" s="94"/>
      <c r="K1898" s="94"/>
      <c r="M1898" s="94"/>
    </row>
    <row r="1899" s="93" customFormat="1" spans="3:13">
      <c r="C1899" s="94"/>
      <c r="E1899" s="94"/>
      <c r="G1899" s="94"/>
      <c r="I1899" s="94"/>
      <c r="K1899" s="94"/>
      <c r="M1899" s="94"/>
    </row>
    <row r="1900" s="93" customFormat="1" spans="3:13">
      <c r="C1900" s="94"/>
      <c r="E1900" s="94"/>
      <c r="G1900" s="94"/>
      <c r="I1900" s="94"/>
      <c r="K1900" s="94"/>
      <c r="M1900" s="94"/>
    </row>
    <row r="1901" s="93" customFormat="1" spans="3:13">
      <c r="C1901" s="94"/>
      <c r="E1901" s="94"/>
      <c r="G1901" s="94"/>
      <c r="I1901" s="94"/>
      <c r="K1901" s="94"/>
      <c r="M1901" s="94"/>
    </row>
    <row r="1902" s="93" customFormat="1" spans="3:13">
      <c r="C1902" s="94"/>
      <c r="E1902" s="94"/>
      <c r="G1902" s="94"/>
      <c r="I1902" s="94"/>
      <c r="K1902" s="94"/>
      <c r="M1902" s="94"/>
    </row>
    <row r="1903" s="93" customFormat="1" spans="3:13">
      <c r="C1903" s="94"/>
      <c r="E1903" s="94"/>
      <c r="G1903" s="94"/>
      <c r="I1903" s="94"/>
      <c r="K1903" s="94"/>
      <c r="M1903" s="94"/>
    </row>
    <row r="1904" s="93" customFormat="1" spans="3:13">
      <c r="C1904" s="94"/>
      <c r="E1904" s="94"/>
      <c r="G1904" s="94"/>
      <c r="I1904" s="94"/>
      <c r="K1904" s="94"/>
      <c r="M1904" s="94"/>
    </row>
    <row r="1905" s="93" customFormat="1" spans="3:13">
      <c r="C1905" s="94"/>
      <c r="E1905" s="94"/>
      <c r="G1905" s="94"/>
      <c r="I1905" s="94"/>
      <c r="K1905" s="94"/>
      <c r="M1905" s="94"/>
    </row>
    <row r="1906" s="93" customFormat="1" spans="3:13">
      <c r="C1906" s="94"/>
      <c r="E1906" s="94"/>
      <c r="G1906" s="94"/>
      <c r="I1906" s="94"/>
      <c r="K1906" s="94"/>
      <c r="M1906" s="94"/>
    </row>
    <row r="1907" s="93" customFormat="1" spans="3:13">
      <c r="C1907" s="94"/>
      <c r="E1907" s="94"/>
      <c r="G1907" s="94"/>
      <c r="I1907" s="94"/>
      <c r="K1907" s="94"/>
      <c r="M1907" s="94"/>
    </row>
    <row r="1908" s="93" customFormat="1" spans="3:13">
      <c r="C1908" s="94"/>
      <c r="E1908" s="94"/>
      <c r="G1908" s="94"/>
      <c r="I1908" s="94"/>
      <c r="K1908" s="94"/>
      <c r="M1908" s="94"/>
    </row>
    <row r="1909" s="93" customFormat="1" spans="3:13">
      <c r="C1909" s="94"/>
      <c r="E1909" s="94"/>
      <c r="G1909" s="94"/>
      <c r="I1909" s="94"/>
      <c r="K1909" s="94"/>
      <c r="M1909" s="94"/>
    </row>
    <row r="1910" s="93" customFormat="1" spans="3:13">
      <c r="C1910" s="94"/>
      <c r="E1910" s="94"/>
      <c r="G1910" s="94"/>
      <c r="I1910" s="94"/>
      <c r="K1910" s="94"/>
      <c r="M1910" s="94"/>
    </row>
    <row r="1911" s="93" customFormat="1" spans="3:13">
      <c r="C1911" s="94"/>
      <c r="E1911" s="94"/>
      <c r="G1911" s="94"/>
      <c r="I1911" s="94"/>
      <c r="K1911" s="94"/>
      <c r="M1911" s="94"/>
    </row>
    <row r="1912" s="93" customFormat="1" spans="3:13">
      <c r="C1912" s="94"/>
      <c r="E1912" s="94"/>
      <c r="G1912" s="94"/>
      <c r="I1912" s="94"/>
      <c r="K1912" s="94"/>
      <c r="M1912" s="94"/>
    </row>
    <row r="1913" s="93" customFormat="1" spans="3:13">
      <c r="C1913" s="94"/>
      <c r="E1913" s="94"/>
      <c r="G1913" s="94"/>
      <c r="I1913" s="94"/>
      <c r="K1913" s="94"/>
      <c r="M1913" s="94"/>
    </row>
    <row r="1914" s="93" customFormat="1" spans="3:13">
      <c r="C1914" s="94"/>
      <c r="E1914" s="94"/>
      <c r="G1914" s="94"/>
      <c r="I1914" s="94"/>
      <c r="K1914" s="94"/>
      <c r="M1914" s="94"/>
    </row>
    <row r="1915" s="93" customFormat="1" spans="3:13">
      <c r="C1915" s="94"/>
      <c r="E1915" s="94"/>
      <c r="G1915" s="94"/>
      <c r="I1915" s="94"/>
      <c r="K1915" s="94"/>
      <c r="M1915" s="94"/>
    </row>
    <row r="1916" s="93" customFormat="1" spans="3:13">
      <c r="C1916" s="94"/>
      <c r="E1916" s="94"/>
      <c r="G1916" s="94"/>
      <c r="I1916" s="94"/>
      <c r="K1916" s="94"/>
      <c r="M1916" s="94"/>
    </row>
    <row r="1917" s="93" customFormat="1" spans="3:13">
      <c r="C1917" s="94"/>
      <c r="E1917" s="94"/>
      <c r="G1917" s="94"/>
      <c r="I1917" s="94"/>
      <c r="K1917" s="94"/>
      <c r="M1917" s="94"/>
    </row>
    <row r="1918" s="93" customFormat="1" spans="3:13">
      <c r="C1918" s="94"/>
      <c r="E1918" s="94"/>
      <c r="G1918" s="94"/>
      <c r="I1918" s="94"/>
      <c r="K1918" s="94"/>
      <c r="M1918" s="94"/>
    </row>
    <row r="1919" s="93" customFormat="1" spans="3:13">
      <c r="C1919" s="94"/>
      <c r="E1919" s="94"/>
      <c r="G1919" s="94"/>
      <c r="I1919" s="94"/>
      <c r="K1919" s="94"/>
      <c r="M1919" s="94"/>
    </row>
    <row r="1920" s="93" customFormat="1" spans="3:13">
      <c r="C1920" s="94"/>
      <c r="E1920" s="94"/>
      <c r="G1920" s="94"/>
      <c r="I1920" s="94"/>
      <c r="K1920" s="94"/>
      <c r="M1920" s="94"/>
    </row>
    <row r="1921" s="93" customFormat="1" spans="3:13">
      <c r="C1921" s="94"/>
      <c r="E1921" s="94"/>
      <c r="G1921" s="94"/>
      <c r="I1921" s="94"/>
      <c r="K1921" s="94"/>
      <c r="M1921" s="94"/>
    </row>
    <row r="1922" s="93" customFormat="1" spans="3:13">
      <c r="C1922" s="94"/>
      <c r="E1922" s="94"/>
      <c r="G1922" s="94"/>
      <c r="I1922" s="94"/>
      <c r="K1922" s="94"/>
      <c r="M1922" s="94"/>
    </row>
    <row r="1923" s="93" customFormat="1" spans="3:13">
      <c r="C1923" s="94"/>
      <c r="E1923" s="94"/>
      <c r="G1923" s="94"/>
      <c r="I1923" s="94"/>
      <c r="K1923" s="94"/>
      <c r="M1923" s="94"/>
    </row>
    <row r="1924" s="93" customFormat="1" spans="3:13">
      <c r="C1924" s="94"/>
      <c r="E1924" s="94"/>
      <c r="G1924" s="94"/>
      <c r="I1924" s="94"/>
      <c r="K1924" s="94"/>
      <c r="M1924" s="94"/>
    </row>
    <row r="1925" s="93" customFormat="1" spans="3:13">
      <c r="C1925" s="94"/>
      <c r="E1925" s="94"/>
      <c r="G1925" s="94"/>
      <c r="I1925" s="94"/>
      <c r="K1925" s="94"/>
      <c r="M1925" s="94"/>
    </row>
    <row r="1926" s="93" customFormat="1" spans="3:13">
      <c r="C1926" s="94"/>
      <c r="E1926" s="94"/>
      <c r="G1926" s="94"/>
      <c r="I1926" s="94"/>
      <c r="K1926" s="94"/>
      <c r="M1926" s="94"/>
    </row>
    <row r="1927" s="93" customFormat="1" spans="3:13">
      <c r="C1927" s="94"/>
      <c r="E1927" s="94"/>
      <c r="G1927" s="94"/>
      <c r="I1927" s="94"/>
      <c r="K1927" s="94"/>
      <c r="M1927" s="94"/>
    </row>
    <row r="1928" s="93" customFormat="1" spans="3:13">
      <c r="C1928" s="94"/>
      <c r="E1928" s="94"/>
      <c r="G1928" s="94"/>
      <c r="I1928" s="94"/>
      <c r="K1928" s="94"/>
      <c r="M1928" s="94"/>
    </row>
    <row r="1929" s="93" customFormat="1" spans="3:13">
      <c r="C1929" s="94"/>
      <c r="E1929" s="94"/>
      <c r="G1929" s="94"/>
      <c r="I1929" s="94"/>
      <c r="K1929" s="94"/>
      <c r="M1929" s="94"/>
    </row>
    <row r="1930" s="93" customFormat="1" spans="3:13">
      <c r="C1930" s="94"/>
      <c r="E1930" s="94"/>
      <c r="G1930" s="94"/>
      <c r="I1930" s="94"/>
      <c r="K1930" s="94"/>
      <c r="M1930" s="94"/>
    </row>
    <row r="1931" s="93" customFormat="1" spans="3:13">
      <c r="C1931" s="94"/>
      <c r="E1931" s="94"/>
      <c r="G1931" s="94"/>
      <c r="I1931" s="94"/>
      <c r="K1931" s="94"/>
      <c r="M1931" s="94"/>
    </row>
    <row r="1932" s="93" customFormat="1" spans="3:13">
      <c r="C1932" s="94"/>
      <c r="E1932" s="94"/>
      <c r="G1932" s="94"/>
      <c r="I1932" s="94"/>
      <c r="K1932" s="94"/>
      <c r="M1932" s="94"/>
    </row>
    <row r="1933" s="93" customFormat="1" spans="3:13">
      <c r="C1933" s="94"/>
      <c r="E1933" s="94"/>
      <c r="G1933" s="94"/>
      <c r="I1933" s="94"/>
      <c r="K1933" s="94"/>
      <c r="M1933" s="94"/>
    </row>
    <row r="1934" s="93" customFormat="1" spans="3:13">
      <c r="C1934" s="94"/>
      <c r="E1934" s="94"/>
      <c r="G1934" s="94"/>
      <c r="I1934" s="94"/>
      <c r="K1934" s="94"/>
      <c r="M1934" s="94"/>
    </row>
    <row r="1935" s="93" customFormat="1" spans="3:13">
      <c r="C1935" s="94"/>
      <c r="E1935" s="94"/>
      <c r="G1935" s="94"/>
      <c r="I1935" s="94"/>
      <c r="K1935" s="94"/>
      <c r="M1935" s="94"/>
    </row>
    <row r="1936" s="93" customFormat="1" spans="3:13">
      <c r="C1936" s="94"/>
      <c r="E1936" s="94"/>
      <c r="G1936" s="94"/>
      <c r="I1936" s="94"/>
      <c r="K1936" s="94"/>
      <c r="M1936" s="94"/>
    </row>
    <row r="1937" s="93" customFormat="1" spans="3:13">
      <c r="C1937" s="94"/>
      <c r="E1937" s="94"/>
      <c r="G1937" s="94"/>
      <c r="I1937" s="94"/>
      <c r="K1937" s="94"/>
      <c r="M1937" s="94"/>
    </row>
    <row r="1938" s="93" customFormat="1" spans="3:13">
      <c r="C1938" s="94"/>
      <c r="E1938" s="94"/>
      <c r="G1938" s="94"/>
      <c r="I1938" s="94"/>
      <c r="K1938" s="94"/>
      <c r="M1938" s="94"/>
    </row>
    <row r="1939" s="93" customFormat="1" spans="3:13">
      <c r="C1939" s="94"/>
      <c r="E1939" s="94"/>
      <c r="G1939" s="94"/>
      <c r="I1939" s="94"/>
      <c r="K1939" s="94"/>
      <c r="M1939" s="94"/>
    </row>
    <row r="1940" s="93" customFormat="1" spans="3:13">
      <c r="C1940" s="94"/>
      <c r="E1940" s="94"/>
      <c r="G1940" s="94"/>
      <c r="I1940" s="94"/>
      <c r="K1940" s="94"/>
      <c r="M1940" s="94"/>
    </row>
    <row r="1941" s="93" customFormat="1" spans="3:13">
      <c r="C1941" s="94"/>
      <c r="E1941" s="94"/>
      <c r="G1941" s="94"/>
      <c r="I1941" s="94"/>
      <c r="K1941" s="94"/>
      <c r="M1941" s="94"/>
    </row>
    <row r="1942" s="93" customFormat="1" spans="3:13">
      <c r="C1942" s="94"/>
      <c r="E1942" s="94"/>
      <c r="G1942" s="94"/>
      <c r="I1942" s="94"/>
      <c r="K1942" s="94"/>
      <c r="M1942" s="94"/>
    </row>
    <row r="1943" s="93" customFormat="1" spans="3:13">
      <c r="C1943" s="94"/>
      <c r="E1943" s="94"/>
      <c r="G1943" s="94"/>
      <c r="I1943" s="94"/>
      <c r="K1943" s="94"/>
      <c r="M1943" s="94"/>
    </row>
    <row r="1944" s="93" customFormat="1" spans="3:13">
      <c r="C1944" s="94"/>
      <c r="E1944" s="94"/>
      <c r="G1944" s="94"/>
      <c r="I1944" s="94"/>
      <c r="K1944" s="94"/>
      <c r="M1944" s="94"/>
    </row>
    <row r="1945" s="93" customFormat="1" spans="3:13">
      <c r="C1945" s="94"/>
      <c r="E1945" s="94"/>
      <c r="G1945" s="94"/>
      <c r="I1945" s="94"/>
      <c r="K1945" s="94"/>
      <c r="M1945" s="94"/>
    </row>
    <row r="1946" s="93" customFormat="1" spans="3:13">
      <c r="C1946" s="94"/>
      <c r="E1946" s="94"/>
      <c r="G1946" s="94"/>
      <c r="I1946" s="94"/>
      <c r="K1946" s="94"/>
      <c r="M1946" s="94"/>
    </row>
    <row r="1947" s="93" customFormat="1" spans="3:13">
      <c r="C1947" s="94"/>
      <c r="E1947" s="94"/>
      <c r="G1947" s="94"/>
      <c r="I1947" s="94"/>
      <c r="K1947" s="94"/>
      <c r="M1947" s="94"/>
    </row>
    <row r="1948" s="93" customFormat="1" spans="3:13">
      <c r="C1948" s="94"/>
      <c r="E1948" s="94"/>
      <c r="G1948" s="94"/>
      <c r="I1948" s="94"/>
      <c r="K1948" s="94"/>
      <c r="M1948" s="94"/>
    </row>
    <row r="1949" s="93" customFormat="1" spans="3:13">
      <c r="C1949" s="94"/>
      <c r="E1949" s="94"/>
      <c r="G1949" s="94"/>
      <c r="I1949" s="94"/>
      <c r="K1949" s="94"/>
      <c r="M1949" s="94"/>
    </row>
    <row r="1950" s="93" customFormat="1" spans="3:13">
      <c r="C1950" s="94"/>
      <c r="E1950" s="94"/>
      <c r="G1950" s="94"/>
      <c r="I1950" s="94"/>
      <c r="K1950" s="94"/>
      <c r="M1950" s="94"/>
    </row>
    <row r="1951" s="93" customFormat="1" spans="3:13">
      <c r="C1951" s="94"/>
      <c r="E1951" s="94"/>
      <c r="G1951" s="94"/>
      <c r="I1951" s="94"/>
      <c r="K1951" s="94"/>
      <c r="M1951" s="94"/>
    </row>
    <row r="1952" s="93" customFormat="1" spans="3:13">
      <c r="C1952" s="94"/>
      <c r="E1952" s="94"/>
      <c r="G1952" s="94"/>
      <c r="I1952" s="94"/>
      <c r="K1952" s="94"/>
      <c r="M1952" s="94"/>
    </row>
    <row r="1953" s="93" customFormat="1" spans="3:13">
      <c r="C1953" s="94"/>
      <c r="E1953" s="94"/>
      <c r="G1953" s="94"/>
      <c r="I1953" s="94"/>
      <c r="K1953" s="94"/>
      <c r="M1953" s="94"/>
    </row>
    <row r="1954" s="93" customFormat="1" spans="3:13">
      <c r="C1954" s="94"/>
      <c r="E1954" s="94"/>
      <c r="G1954" s="94"/>
      <c r="I1954" s="94"/>
      <c r="K1954" s="94"/>
      <c r="M1954" s="94"/>
    </row>
    <row r="1955" s="93" customFormat="1" spans="3:13">
      <c r="C1955" s="94"/>
      <c r="E1955" s="94"/>
      <c r="G1955" s="94"/>
      <c r="I1955" s="94"/>
      <c r="K1955" s="94"/>
      <c r="M1955" s="94"/>
    </row>
    <row r="1956" s="93" customFormat="1" spans="3:13">
      <c r="C1956" s="94"/>
      <c r="E1956" s="94"/>
      <c r="G1956" s="94"/>
      <c r="I1956" s="94"/>
      <c r="K1956" s="94"/>
      <c r="M1956" s="94"/>
    </row>
    <row r="1957" s="93" customFormat="1" spans="3:13">
      <c r="C1957" s="94"/>
      <c r="E1957" s="94"/>
      <c r="G1957" s="94"/>
      <c r="I1957" s="94"/>
      <c r="K1957" s="94"/>
      <c r="M1957" s="94"/>
    </row>
    <row r="1958" s="93" customFormat="1" spans="3:13">
      <c r="C1958" s="94"/>
      <c r="E1958" s="94"/>
      <c r="G1958" s="94"/>
      <c r="I1958" s="94"/>
      <c r="K1958" s="94"/>
      <c r="M1958" s="94"/>
    </row>
    <row r="1959" s="93" customFormat="1" spans="3:13">
      <c r="C1959" s="94"/>
      <c r="E1959" s="94"/>
      <c r="G1959" s="94"/>
      <c r="I1959" s="94"/>
      <c r="K1959" s="94"/>
      <c r="M1959" s="94"/>
    </row>
    <row r="1960" s="93" customFormat="1" spans="3:13">
      <c r="C1960" s="94"/>
      <c r="E1960" s="94"/>
      <c r="G1960" s="94"/>
      <c r="I1960" s="94"/>
      <c r="K1960" s="94"/>
      <c r="M1960" s="94"/>
    </row>
    <row r="1961" s="93" customFormat="1" spans="3:13">
      <c r="C1961" s="94"/>
      <c r="E1961" s="94"/>
      <c r="G1961" s="94"/>
      <c r="I1961" s="94"/>
      <c r="K1961" s="94"/>
      <c r="M1961" s="94"/>
    </row>
    <row r="1962" s="93" customFormat="1" spans="3:13">
      <c r="C1962" s="94"/>
      <c r="E1962" s="94"/>
      <c r="G1962" s="94"/>
      <c r="I1962" s="94"/>
      <c r="K1962" s="94"/>
      <c r="M1962" s="94"/>
    </row>
    <row r="1963" s="93" customFormat="1" spans="3:13">
      <c r="C1963" s="94"/>
      <c r="E1963" s="94"/>
      <c r="G1963" s="94"/>
      <c r="I1963" s="94"/>
      <c r="K1963" s="94"/>
      <c r="M1963" s="94"/>
    </row>
    <row r="1964" s="93" customFormat="1" spans="3:13">
      <c r="C1964" s="94"/>
      <c r="E1964" s="94"/>
      <c r="G1964" s="94"/>
      <c r="I1964" s="94"/>
      <c r="K1964" s="94"/>
      <c r="M1964" s="94"/>
    </row>
    <row r="1965" s="93" customFormat="1" spans="3:13">
      <c r="C1965" s="94"/>
      <c r="E1965" s="94"/>
      <c r="G1965" s="94"/>
      <c r="I1965" s="94"/>
      <c r="K1965" s="94"/>
      <c r="M1965" s="94"/>
    </row>
    <row r="1966" s="93" customFormat="1" spans="3:13">
      <c r="C1966" s="94"/>
      <c r="E1966" s="94"/>
      <c r="G1966" s="94"/>
      <c r="I1966" s="94"/>
      <c r="K1966" s="94"/>
      <c r="M1966" s="94"/>
    </row>
    <row r="1967" s="93" customFormat="1" spans="3:13">
      <c r="C1967" s="94"/>
      <c r="E1967" s="94"/>
      <c r="G1967" s="94"/>
      <c r="I1967" s="94"/>
      <c r="K1967" s="94"/>
      <c r="M1967" s="94"/>
    </row>
    <row r="1968" s="93" customFormat="1" spans="3:13">
      <c r="C1968" s="94"/>
      <c r="E1968" s="94"/>
      <c r="G1968" s="94"/>
      <c r="I1968" s="94"/>
      <c r="K1968" s="94"/>
      <c r="M1968" s="94"/>
    </row>
    <row r="1969" s="93" customFormat="1" spans="3:13">
      <c r="C1969" s="94"/>
      <c r="E1969" s="94"/>
      <c r="G1969" s="94"/>
      <c r="I1969" s="94"/>
      <c r="K1969" s="94"/>
      <c r="M1969" s="94"/>
    </row>
    <row r="1970" s="93" customFormat="1" spans="3:13">
      <c r="C1970" s="94"/>
      <c r="E1970" s="94"/>
      <c r="G1970" s="94"/>
      <c r="I1970" s="94"/>
      <c r="K1970" s="94"/>
      <c r="M1970" s="94"/>
    </row>
    <row r="1971" s="93" customFormat="1" spans="3:13">
      <c r="C1971" s="94"/>
      <c r="E1971" s="94"/>
      <c r="G1971" s="94"/>
      <c r="I1971" s="94"/>
      <c r="K1971" s="94"/>
      <c r="M1971" s="94"/>
    </row>
    <row r="1972" s="93" customFormat="1" spans="3:13">
      <c r="C1972" s="94"/>
      <c r="E1972" s="94"/>
      <c r="G1972" s="94"/>
      <c r="I1972" s="94"/>
      <c r="K1972" s="94"/>
      <c r="M1972" s="94"/>
    </row>
    <row r="1973" s="93" customFormat="1" spans="3:13">
      <c r="C1973" s="94"/>
      <c r="E1973" s="94"/>
      <c r="G1973" s="94"/>
      <c r="I1973" s="94"/>
      <c r="K1973" s="94"/>
      <c r="M1973" s="94"/>
    </row>
    <row r="1974" s="93" customFormat="1" spans="3:13">
      <c r="C1974" s="94"/>
      <c r="E1974" s="94"/>
      <c r="G1974" s="94"/>
      <c r="I1974" s="94"/>
      <c r="K1974" s="94"/>
      <c r="M1974" s="94"/>
    </row>
    <row r="1975" s="93" customFormat="1" spans="3:13">
      <c r="C1975" s="94"/>
      <c r="E1975" s="94"/>
      <c r="G1975" s="94"/>
      <c r="I1975" s="94"/>
      <c r="K1975" s="94"/>
      <c r="M1975" s="94"/>
    </row>
    <row r="1976" s="93" customFormat="1" spans="3:13">
      <c r="C1976" s="94"/>
      <c r="E1976" s="94"/>
      <c r="G1976" s="94"/>
      <c r="I1976" s="94"/>
      <c r="K1976" s="94"/>
      <c r="M1976" s="94"/>
    </row>
    <row r="1977" s="93" customFormat="1" spans="3:13">
      <c r="C1977" s="94"/>
      <c r="E1977" s="94"/>
      <c r="G1977" s="94"/>
      <c r="I1977" s="94"/>
      <c r="K1977" s="94"/>
      <c r="M1977" s="94"/>
    </row>
    <row r="1978" s="93" customFormat="1" spans="3:13">
      <c r="C1978" s="94"/>
      <c r="E1978" s="94"/>
      <c r="G1978" s="94"/>
      <c r="I1978" s="94"/>
      <c r="K1978" s="94"/>
      <c r="M1978" s="94"/>
    </row>
    <row r="1979" s="93" customFormat="1" spans="3:13">
      <c r="C1979" s="94"/>
      <c r="E1979" s="94"/>
      <c r="G1979" s="94"/>
      <c r="I1979" s="94"/>
      <c r="K1979" s="94"/>
      <c r="M1979" s="94"/>
    </row>
    <row r="1980" s="93" customFormat="1" spans="3:13">
      <c r="C1980" s="94"/>
      <c r="E1980" s="94"/>
      <c r="G1980" s="94"/>
      <c r="I1980" s="94"/>
      <c r="K1980" s="94"/>
      <c r="M1980" s="94"/>
    </row>
    <row r="1981" s="93" customFormat="1" spans="3:13">
      <c r="C1981" s="94"/>
      <c r="E1981" s="94"/>
      <c r="G1981" s="94"/>
      <c r="I1981" s="94"/>
      <c r="K1981" s="94"/>
      <c r="M1981" s="94"/>
    </row>
    <row r="1982" s="93" customFormat="1" spans="3:13">
      <c r="C1982" s="94"/>
      <c r="E1982" s="94"/>
      <c r="G1982" s="94"/>
      <c r="I1982" s="94"/>
      <c r="K1982" s="94"/>
      <c r="M1982" s="94"/>
    </row>
    <row r="1983" s="93" customFormat="1" spans="3:13">
      <c r="C1983" s="94"/>
      <c r="E1983" s="94"/>
      <c r="G1983" s="94"/>
      <c r="I1983" s="94"/>
      <c r="K1983" s="94"/>
      <c r="M1983" s="94"/>
    </row>
    <row r="1984" s="93" customFormat="1" spans="3:13">
      <c r="C1984" s="94"/>
      <c r="E1984" s="94"/>
      <c r="G1984" s="94"/>
      <c r="I1984" s="94"/>
      <c r="K1984" s="94"/>
      <c r="M1984" s="94"/>
    </row>
    <row r="1985" s="93" customFormat="1" spans="3:13">
      <c r="C1985" s="94"/>
      <c r="E1985" s="94"/>
      <c r="G1985" s="94"/>
      <c r="I1985" s="94"/>
      <c r="K1985" s="94"/>
      <c r="M1985" s="94"/>
    </row>
    <row r="1986" s="93" customFormat="1" spans="3:13">
      <c r="C1986" s="94"/>
      <c r="E1986" s="94"/>
      <c r="G1986" s="94"/>
      <c r="I1986" s="94"/>
      <c r="K1986" s="94"/>
      <c r="M1986" s="94"/>
    </row>
    <row r="1987" s="93" customFormat="1" spans="3:13">
      <c r="C1987" s="94"/>
      <c r="E1987" s="94"/>
      <c r="G1987" s="94"/>
      <c r="I1987" s="94"/>
      <c r="K1987" s="94"/>
      <c r="M1987" s="94"/>
    </row>
    <row r="1988" s="93" customFormat="1" spans="3:13">
      <c r="C1988" s="94"/>
      <c r="E1988" s="94"/>
      <c r="G1988" s="94"/>
      <c r="I1988" s="94"/>
      <c r="K1988" s="94"/>
      <c r="M1988" s="94"/>
    </row>
    <row r="1989" s="93" customFormat="1" spans="3:13">
      <c r="C1989" s="94"/>
      <c r="E1989" s="94"/>
      <c r="G1989" s="94"/>
      <c r="I1989" s="94"/>
      <c r="K1989" s="94"/>
      <c r="M1989" s="94"/>
    </row>
    <row r="1990" s="93" customFormat="1" spans="3:13">
      <c r="C1990" s="94"/>
      <c r="E1990" s="94"/>
      <c r="G1990" s="94"/>
      <c r="I1990" s="94"/>
      <c r="K1990" s="94"/>
      <c r="M1990" s="94"/>
    </row>
    <row r="1991" s="93" customFormat="1" spans="3:13">
      <c r="C1991" s="94"/>
      <c r="E1991" s="94"/>
      <c r="G1991" s="94"/>
      <c r="I1991" s="94"/>
      <c r="K1991" s="94"/>
      <c r="M1991" s="94"/>
    </row>
    <row r="1992" s="93" customFormat="1" spans="3:13">
      <c r="C1992" s="94"/>
      <c r="E1992" s="94"/>
      <c r="G1992" s="94"/>
      <c r="I1992" s="94"/>
      <c r="K1992" s="94"/>
      <c r="M1992" s="94"/>
    </row>
    <row r="1993" s="93" customFormat="1" spans="3:13">
      <c r="C1993" s="94"/>
      <c r="E1993" s="94"/>
      <c r="G1993" s="94"/>
      <c r="I1993" s="94"/>
      <c r="K1993" s="94"/>
      <c r="M1993" s="94"/>
    </row>
    <row r="1994" s="93" customFormat="1" spans="3:13">
      <c r="C1994" s="94"/>
      <c r="E1994" s="94"/>
      <c r="G1994" s="94"/>
      <c r="I1994" s="94"/>
      <c r="K1994" s="94"/>
      <c r="M1994" s="94"/>
    </row>
    <row r="1995" s="93" customFormat="1" spans="3:13">
      <c r="C1995" s="94"/>
      <c r="E1995" s="94"/>
      <c r="G1995" s="94"/>
      <c r="I1995" s="94"/>
      <c r="K1995" s="94"/>
      <c r="M1995" s="94"/>
    </row>
    <row r="1996" s="93" customFormat="1" spans="3:13">
      <c r="C1996" s="94"/>
      <c r="E1996" s="94"/>
      <c r="G1996" s="94"/>
      <c r="I1996" s="94"/>
      <c r="K1996" s="94"/>
      <c r="M1996" s="94"/>
    </row>
    <row r="1997" s="93" customFormat="1" spans="3:13">
      <c r="C1997" s="94"/>
      <c r="E1997" s="94"/>
      <c r="G1997" s="94"/>
      <c r="I1997" s="94"/>
      <c r="K1997" s="94"/>
      <c r="M1997" s="94"/>
    </row>
    <row r="1998" s="93" customFormat="1" spans="3:13">
      <c r="C1998" s="94"/>
      <c r="E1998" s="94"/>
      <c r="G1998" s="94"/>
      <c r="I1998" s="94"/>
      <c r="K1998" s="94"/>
      <c r="M1998" s="94"/>
    </row>
    <row r="1999" s="93" customFormat="1" spans="3:13">
      <c r="C1999" s="94"/>
      <c r="E1999" s="94"/>
      <c r="G1999" s="94"/>
      <c r="I1999" s="94"/>
      <c r="K1999" s="94"/>
      <c r="M1999" s="94"/>
    </row>
    <row r="2000" s="93" customFormat="1" spans="3:13">
      <c r="C2000" s="94"/>
      <c r="E2000" s="94"/>
      <c r="G2000" s="94"/>
      <c r="I2000" s="94"/>
      <c r="K2000" s="94"/>
      <c r="M2000" s="94"/>
    </row>
    <row r="2001" s="93" customFormat="1" spans="3:13">
      <c r="C2001" s="94"/>
      <c r="E2001" s="94"/>
      <c r="G2001" s="94"/>
      <c r="I2001" s="94"/>
      <c r="K2001" s="94"/>
      <c r="M2001" s="94"/>
    </row>
    <row r="2002" s="93" customFormat="1" spans="3:13">
      <c r="C2002" s="94"/>
      <c r="E2002" s="94"/>
      <c r="G2002" s="94"/>
      <c r="I2002" s="94"/>
      <c r="K2002" s="94"/>
      <c r="M2002" s="94"/>
    </row>
    <row r="2003" s="93" customFormat="1" spans="3:13">
      <c r="C2003" s="94"/>
      <c r="E2003" s="94"/>
      <c r="G2003" s="94"/>
      <c r="I2003" s="94"/>
      <c r="K2003" s="94"/>
      <c r="M2003" s="94"/>
    </row>
    <row r="2004" s="93" customFormat="1" spans="3:13">
      <c r="C2004" s="94"/>
      <c r="E2004" s="94"/>
      <c r="G2004" s="94"/>
      <c r="I2004" s="94"/>
      <c r="K2004" s="94"/>
      <c r="M2004" s="94"/>
    </row>
    <row r="2005" s="93" customFormat="1" spans="3:13">
      <c r="C2005" s="94"/>
      <c r="E2005" s="94"/>
      <c r="G2005" s="94"/>
      <c r="I2005" s="94"/>
      <c r="K2005" s="94"/>
      <c r="M2005" s="94"/>
    </row>
    <row r="2006" s="93" customFormat="1" spans="3:13">
      <c r="C2006" s="94"/>
      <c r="E2006" s="94"/>
      <c r="G2006" s="94"/>
      <c r="I2006" s="94"/>
      <c r="K2006" s="94"/>
      <c r="M2006" s="94"/>
    </row>
    <row r="2007" s="93" customFormat="1" spans="3:13">
      <c r="C2007" s="94"/>
      <c r="E2007" s="94"/>
      <c r="G2007" s="94"/>
      <c r="I2007" s="94"/>
      <c r="K2007" s="94"/>
      <c r="M2007" s="94"/>
    </row>
    <row r="2008" s="93" customFormat="1" spans="3:13">
      <c r="C2008" s="94"/>
      <c r="E2008" s="94"/>
      <c r="G2008" s="94"/>
      <c r="I2008" s="94"/>
      <c r="K2008" s="94"/>
      <c r="M2008" s="94"/>
    </row>
    <row r="2009" s="93" customFormat="1" spans="3:13">
      <c r="C2009" s="94"/>
      <c r="E2009" s="94"/>
      <c r="G2009" s="94"/>
      <c r="I2009" s="94"/>
      <c r="K2009" s="94"/>
      <c r="M2009" s="94"/>
    </row>
    <row r="2010" s="93" customFormat="1" spans="3:13">
      <c r="C2010" s="94"/>
      <c r="E2010" s="94"/>
      <c r="G2010" s="94"/>
      <c r="I2010" s="94"/>
      <c r="K2010" s="94"/>
      <c r="M2010" s="94"/>
    </row>
    <row r="2011" s="93" customFormat="1" spans="3:13">
      <c r="C2011" s="94"/>
      <c r="E2011" s="94"/>
      <c r="G2011" s="94"/>
      <c r="I2011" s="94"/>
      <c r="K2011" s="94"/>
      <c r="M2011" s="94"/>
    </row>
    <row r="2012" s="93" customFormat="1" spans="3:13">
      <c r="C2012" s="94"/>
      <c r="E2012" s="94"/>
      <c r="G2012" s="94"/>
      <c r="I2012" s="94"/>
      <c r="K2012" s="94"/>
      <c r="M2012" s="94"/>
    </row>
    <row r="2013" s="93" customFormat="1" spans="3:13">
      <c r="C2013" s="94"/>
      <c r="E2013" s="94"/>
      <c r="G2013" s="94"/>
      <c r="I2013" s="94"/>
      <c r="K2013" s="94"/>
      <c r="M2013" s="94"/>
    </row>
    <row r="2014" s="93" customFormat="1" spans="3:13">
      <c r="C2014" s="94"/>
      <c r="E2014" s="94"/>
      <c r="G2014" s="94"/>
      <c r="I2014" s="94"/>
      <c r="K2014" s="94"/>
      <c r="M2014" s="94"/>
    </row>
    <row r="2015" s="93" customFormat="1" spans="3:13">
      <c r="C2015" s="94"/>
      <c r="E2015" s="94"/>
      <c r="G2015" s="94"/>
      <c r="I2015" s="94"/>
      <c r="K2015" s="94"/>
      <c r="M2015" s="94"/>
    </row>
    <row r="2016" s="93" customFormat="1" spans="3:13">
      <c r="C2016" s="94"/>
      <c r="E2016" s="94"/>
      <c r="G2016" s="94"/>
      <c r="I2016" s="94"/>
      <c r="K2016" s="94"/>
      <c r="M2016" s="94"/>
    </row>
    <row r="2017" s="93" customFormat="1" spans="3:13">
      <c r="C2017" s="94"/>
      <c r="E2017" s="94"/>
      <c r="G2017" s="94"/>
      <c r="I2017" s="94"/>
      <c r="K2017" s="94"/>
      <c r="M2017" s="94"/>
    </row>
    <row r="2018" s="93" customFormat="1" spans="3:13">
      <c r="C2018" s="94"/>
      <c r="E2018" s="94"/>
      <c r="G2018" s="94"/>
      <c r="I2018" s="94"/>
      <c r="K2018" s="94"/>
      <c r="M2018" s="94"/>
    </row>
    <row r="2019" s="93" customFormat="1" spans="3:13">
      <c r="C2019" s="94"/>
      <c r="E2019" s="94"/>
      <c r="G2019" s="94"/>
      <c r="I2019" s="94"/>
      <c r="K2019" s="94"/>
      <c r="M2019" s="94"/>
    </row>
    <row r="2020" s="93" customFormat="1" spans="3:13">
      <c r="C2020" s="94"/>
      <c r="E2020" s="94"/>
      <c r="G2020" s="94"/>
      <c r="I2020" s="94"/>
      <c r="K2020" s="94"/>
      <c r="M2020" s="94"/>
    </row>
    <row r="2021" s="93" customFormat="1" spans="3:13">
      <c r="C2021" s="94"/>
      <c r="E2021" s="94"/>
      <c r="G2021" s="94"/>
      <c r="I2021" s="94"/>
      <c r="K2021" s="94"/>
      <c r="M2021" s="94"/>
    </row>
    <row r="2022" s="93" customFormat="1" spans="3:13">
      <c r="C2022" s="94"/>
      <c r="E2022" s="94"/>
      <c r="G2022" s="94"/>
      <c r="I2022" s="94"/>
      <c r="K2022" s="94"/>
      <c r="M2022" s="94"/>
    </row>
    <row r="2023" s="93" customFormat="1" spans="3:13">
      <c r="C2023" s="94"/>
      <c r="E2023" s="94"/>
      <c r="G2023" s="94"/>
      <c r="I2023" s="94"/>
      <c r="K2023" s="94"/>
      <c r="M2023" s="94"/>
    </row>
    <row r="2024" s="93" customFormat="1" spans="3:13">
      <c r="C2024" s="94"/>
      <c r="E2024" s="94"/>
      <c r="G2024" s="94"/>
      <c r="I2024" s="94"/>
      <c r="K2024" s="94"/>
      <c r="M2024" s="94"/>
    </row>
    <row r="2025" s="93" customFormat="1" spans="3:13">
      <c r="C2025" s="94"/>
      <c r="E2025" s="94"/>
      <c r="G2025" s="94"/>
      <c r="I2025" s="94"/>
      <c r="K2025" s="94"/>
      <c r="M2025" s="94"/>
    </row>
    <row r="2026" s="93" customFormat="1" spans="3:13">
      <c r="C2026" s="94"/>
      <c r="E2026" s="94"/>
      <c r="G2026" s="94"/>
      <c r="I2026" s="94"/>
      <c r="K2026" s="94"/>
      <c r="M2026" s="94"/>
    </row>
    <row r="2027" s="93" customFormat="1" spans="3:13">
      <c r="C2027" s="94"/>
      <c r="E2027" s="94"/>
      <c r="G2027" s="94"/>
      <c r="I2027" s="94"/>
      <c r="K2027" s="94"/>
      <c r="M2027" s="94"/>
    </row>
    <row r="2028" s="93" customFormat="1" spans="3:13">
      <c r="C2028" s="94"/>
      <c r="E2028" s="94"/>
      <c r="G2028" s="94"/>
      <c r="I2028" s="94"/>
      <c r="K2028" s="94"/>
      <c r="M2028" s="94"/>
    </row>
    <row r="2029" s="93" customFormat="1" spans="3:13">
      <c r="C2029" s="94"/>
      <c r="E2029" s="94"/>
      <c r="G2029" s="94"/>
      <c r="I2029" s="94"/>
      <c r="K2029" s="94"/>
      <c r="M2029" s="94"/>
    </row>
    <row r="2030" s="93" customFormat="1" spans="3:13">
      <c r="C2030" s="94"/>
      <c r="E2030" s="94"/>
      <c r="G2030" s="94"/>
      <c r="I2030" s="94"/>
      <c r="K2030" s="94"/>
      <c r="M2030" s="94"/>
    </row>
    <row r="2031" s="93" customFormat="1" spans="3:13">
      <c r="C2031" s="94"/>
      <c r="E2031" s="94"/>
      <c r="G2031" s="94"/>
      <c r="I2031" s="94"/>
      <c r="K2031" s="94"/>
      <c r="M2031" s="94"/>
    </row>
    <row r="2032" s="93" customFormat="1" spans="3:13">
      <c r="C2032" s="94"/>
      <c r="E2032" s="94"/>
      <c r="G2032" s="94"/>
      <c r="I2032" s="94"/>
      <c r="K2032" s="94"/>
      <c r="M2032" s="94"/>
    </row>
    <row r="2033" s="93" customFormat="1" spans="3:13">
      <c r="C2033" s="94"/>
      <c r="E2033" s="94"/>
      <c r="G2033" s="94"/>
      <c r="I2033" s="94"/>
      <c r="K2033" s="94"/>
      <c r="M2033" s="94"/>
    </row>
    <row r="2034" s="93" customFormat="1" spans="3:13">
      <c r="C2034" s="94"/>
      <c r="E2034" s="94"/>
      <c r="G2034" s="94"/>
      <c r="I2034" s="94"/>
      <c r="K2034" s="94"/>
      <c r="M2034" s="94"/>
    </row>
    <row r="2035" s="93" customFormat="1" spans="3:13">
      <c r="C2035" s="94"/>
      <c r="E2035" s="94"/>
      <c r="G2035" s="94"/>
      <c r="I2035" s="94"/>
      <c r="K2035" s="94"/>
      <c r="M2035" s="94"/>
    </row>
    <row r="2036" s="93" customFormat="1" spans="3:13">
      <c r="C2036" s="94"/>
      <c r="E2036" s="94"/>
      <c r="G2036" s="94"/>
      <c r="I2036" s="94"/>
      <c r="K2036" s="94"/>
      <c r="M2036" s="94"/>
    </row>
    <row r="2037" s="93" customFormat="1" spans="3:13">
      <c r="C2037" s="94"/>
      <c r="E2037" s="94"/>
      <c r="G2037" s="94"/>
      <c r="I2037" s="94"/>
      <c r="K2037" s="94"/>
      <c r="M2037" s="94"/>
    </row>
    <row r="2038" s="93" customFormat="1" spans="3:13">
      <c r="C2038" s="94"/>
      <c r="E2038" s="94"/>
      <c r="G2038" s="94"/>
      <c r="I2038" s="94"/>
      <c r="K2038" s="94"/>
      <c r="M2038" s="94"/>
    </row>
    <row r="2039" s="93" customFormat="1" spans="3:13">
      <c r="C2039" s="94"/>
      <c r="E2039" s="94"/>
      <c r="G2039" s="94"/>
      <c r="I2039" s="94"/>
      <c r="K2039" s="94"/>
      <c r="M2039" s="94"/>
    </row>
    <row r="2040" s="93" customFormat="1" spans="3:13">
      <c r="C2040" s="94"/>
      <c r="E2040" s="94"/>
      <c r="G2040" s="94"/>
      <c r="I2040" s="94"/>
      <c r="K2040" s="94"/>
      <c r="M2040" s="94"/>
    </row>
    <row r="2041" s="93" customFormat="1" spans="3:13">
      <c r="C2041" s="94"/>
      <c r="E2041" s="94"/>
      <c r="G2041" s="94"/>
      <c r="I2041" s="94"/>
      <c r="K2041" s="94"/>
      <c r="M2041" s="94"/>
    </row>
    <row r="2042" s="93" customFormat="1" spans="3:13">
      <c r="C2042" s="94"/>
      <c r="E2042" s="94"/>
      <c r="G2042" s="94"/>
      <c r="I2042" s="94"/>
      <c r="K2042" s="94"/>
      <c r="M2042" s="94"/>
    </row>
    <row r="2043" s="93" customFormat="1" spans="3:13">
      <c r="C2043" s="94"/>
      <c r="E2043" s="94"/>
      <c r="G2043" s="94"/>
      <c r="I2043" s="94"/>
      <c r="K2043" s="94"/>
      <c r="M2043" s="94"/>
    </row>
    <row r="2044" s="93" customFormat="1" spans="3:13">
      <c r="C2044" s="94"/>
      <c r="E2044" s="94"/>
      <c r="G2044" s="94"/>
      <c r="I2044" s="94"/>
      <c r="K2044" s="94"/>
      <c r="M2044" s="94"/>
    </row>
    <row r="2045" s="93" customFormat="1" spans="3:13">
      <c r="C2045" s="94"/>
      <c r="E2045" s="94"/>
      <c r="G2045" s="94"/>
      <c r="I2045" s="94"/>
      <c r="K2045" s="94"/>
      <c r="M2045" s="94"/>
    </row>
    <row r="2046" s="93" customFormat="1" spans="3:13">
      <c r="C2046" s="94"/>
      <c r="E2046" s="94"/>
      <c r="G2046" s="94"/>
      <c r="I2046" s="94"/>
      <c r="K2046" s="94"/>
      <c r="M2046" s="94"/>
    </row>
    <row r="2047" s="93" customFormat="1" spans="3:13">
      <c r="C2047" s="94"/>
      <c r="E2047" s="94"/>
      <c r="G2047" s="94"/>
      <c r="I2047" s="94"/>
      <c r="K2047" s="94"/>
      <c r="M2047" s="94"/>
    </row>
    <row r="2048" s="93" customFormat="1" spans="3:13">
      <c r="C2048" s="94"/>
      <c r="E2048" s="94"/>
      <c r="G2048" s="94"/>
      <c r="I2048" s="94"/>
      <c r="K2048" s="94"/>
      <c r="M2048" s="94"/>
    </row>
    <row r="2049" s="93" customFormat="1" spans="3:13">
      <c r="C2049" s="94"/>
      <c r="E2049" s="94"/>
      <c r="G2049" s="94"/>
      <c r="I2049" s="94"/>
      <c r="K2049" s="94"/>
      <c r="M2049" s="94"/>
    </row>
    <row r="2050" s="93" customFormat="1" spans="3:13">
      <c r="C2050" s="94"/>
      <c r="E2050" s="94"/>
      <c r="G2050" s="94"/>
      <c r="I2050" s="94"/>
      <c r="K2050" s="94"/>
      <c r="M2050" s="94"/>
    </row>
    <row r="2051" s="93" customFormat="1" spans="3:13">
      <c r="C2051" s="94"/>
      <c r="E2051" s="94"/>
      <c r="G2051" s="94"/>
      <c r="I2051" s="94"/>
      <c r="K2051" s="94"/>
      <c r="M2051" s="94"/>
    </row>
    <row r="2052" s="93" customFormat="1" spans="3:13">
      <c r="C2052" s="94"/>
      <c r="E2052" s="94"/>
      <c r="G2052" s="94"/>
      <c r="I2052" s="94"/>
      <c r="K2052" s="94"/>
      <c r="M2052" s="94"/>
    </row>
    <row r="2053" s="93" customFormat="1" spans="3:13">
      <c r="C2053" s="94"/>
      <c r="E2053" s="94"/>
      <c r="G2053" s="94"/>
      <c r="I2053" s="94"/>
      <c r="K2053" s="94"/>
      <c r="M2053" s="94"/>
    </row>
    <row r="2054" s="93" customFormat="1" spans="3:13">
      <c r="C2054" s="94"/>
      <c r="E2054" s="94"/>
      <c r="G2054" s="94"/>
      <c r="I2054" s="94"/>
      <c r="K2054" s="94"/>
      <c r="M2054" s="94"/>
    </row>
    <row r="2055" s="93" customFormat="1" spans="3:13">
      <c r="C2055" s="94"/>
      <c r="E2055" s="94"/>
      <c r="G2055" s="94"/>
      <c r="I2055" s="94"/>
      <c r="K2055" s="94"/>
      <c r="M2055" s="94"/>
    </row>
    <row r="2056" s="93" customFormat="1" spans="3:13">
      <c r="C2056" s="94"/>
      <c r="E2056" s="94"/>
      <c r="G2056" s="94"/>
      <c r="I2056" s="94"/>
      <c r="K2056" s="94"/>
      <c r="M2056" s="94"/>
    </row>
    <row r="2057" s="93" customFormat="1" spans="3:13">
      <c r="C2057" s="94"/>
      <c r="E2057" s="94"/>
      <c r="G2057" s="94"/>
      <c r="I2057" s="94"/>
      <c r="K2057" s="94"/>
      <c r="M2057" s="94"/>
    </row>
    <row r="2058" s="93" customFormat="1" spans="3:13">
      <c r="C2058" s="94"/>
      <c r="E2058" s="94"/>
      <c r="G2058" s="94"/>
      <c r="I2058" s="94"/>
      <c r="K2058" s="94"/>
      <c r="M2058" s="94"/>
    </row>
    <row r="2059" s="93" customFormat="1" spans="3:13">
      <c r="C2059" s="94"/>
      <c r="E2059" s="94"/>
      <c r="G2059" s="94"/>
      <c r="I2059" s="94"/>
      <c r="K2059" s="94"/>
      <c r="M2059" s="94"/>
    </row>
    <row r="2060" s="93" customFormat="1" spans="3:13">
      <c r="C2060" s="94"/>
      <c r="E2060" s="94"/>
      <c r="G2060" s="94"/>
      <c r="I2060" s="94"/>
      <c r="K2060" s="94"/>
      <c r="M2060" s="94"/>
    </row>
    <row r="2061" s="93" customFormat="1" spans="3:13">
      <c r="C2061" s="94"/>
      <c r="E2061" s="94"/>
      <c r="G2061" s="94"/>
      <c r="I2061" s="94"/>
      <c r="K2061" s="94"/>
      <c r="M2061" s="94"/>
    </row>
    <row r="2062" s="93" customFormat="1" spans="3:13">
      <c r="C2062" s="94"/>
      <c r="E2062" s="94"/>
      <c r="G2062" s="94"/>
      <c r="I2062" s="94"/>
      <c r="K2062" s="94"/>
      <c r="M2062" s="94"/>
    </row>
    <row r="2063" s="93" customFormat="1" spans="3:13">
      <c r="C2063" s="94"/>
      <c r="E2063" s="94"/>
      <c r="G2063" s="94"/>
      <c r="I2063" s="94"/>
      <c r="K2063" s="94"/>
      <c r="M2063" s="94"/>
    </row>
    <row r="2064" s="93" customFormat="1" spans="3:13">
      <c r="C2064" s="94"/>
      <c r="E2064" s="94"/>
      <c r="G2064" s="94"/>
      <c r="I2064" s="94"/>
      <c r="K2064" s="94"/>
      <c r="M2064" s="94"/>
    </row>
    <row r="2065" s="93" customFormat="1" spans="3:13">
      <c r="C2065" s="94"/>
      <c r="E2065" s="94"/>
      <c r="G2065" s="94"/>
      <c r="I2065" s="94"/>
      <c r="K2065" s="94"/>
      <c r="M2065" s="94"/>
    </row>
    <row r="2066" s="93" customFormat="1" spans="3:13">
      <c r="C2066" s="94"/>
      <c r="E2066" s="94"/>
      <c r="G2066" s="94"/>
      <c r="I2066" s="94"/>
      <c r="K2066" s="94"/>
      <c r="M2066" s="94"/>
    </row>
    <row r="2067" s="93" customFormat="1" spans="3:13">
      <c r="C2067" s="94"/>
      <c r="E2067" s="94"/>
      <c r="G2067" s="94"/>
      <c r="I2067" s="94"/>
      <c r="K2067" s="94"/>
      <c r="M2067" s="94"/>
    </row>
    <row r="2068" s="93" customFormat="1" spans="3:13">
      <c r="C2068" s="94"/>
      <c r="E2068" s="94"/>
      <c r="G2068" s="94"/>
      <c r="I2068" s="94"/>
      <c r="K2068" s="94"/>
      <c r="M2068" s="94"/>
    </row>
    <row r="2069" s="93" customFormat="1" spans="3:13">
      <c r="C2069" s="94"/>
      <c r="E2069" s="94"/>
      <c r="G2069" s="94"/>
      <c r="I2069" s="94"/>
      <c r="K2069" s="94"/>
      <c r="M2069" s="94"/>
    </row>
    <row r="2070" s="93" customFormat="1" spans="3:13">
      <c r="C2070" s="94"/>
      <c r="E2070" s="94"/>
      <c r="G2070" s="94"/>
      <c r="I2070" s="94"/>
      <c r="K2070" s="94"/>
      <c r="M2070" s="94"/>
    </row>
    <row r="2071" s="93" customFormat="1" spans="3:13">
      <c r="C2071" s="94"/>
      <c r="E2071" s="94"/>
      <c r="G2071" s="94"/>
      <c r="I2071" s="94"/>
      <c r="K2071" s="94"/>
      <c r="M2071" s="94"/>
    </row>
    <row r="2072" s="93" customFormat="1" spans="3:13">
      <c r="C2072" s="94"/>
      <c r="E2072" s="94"/>
      <c r="G2072" s="94"/>
      <c r="I2072" s="94"/>
      <c r="K2072" s="94"/>
      <c r="M2072" s="94"/>
    </row>
    <row r="2073" s="93" customFormat="1" spans="3:13">
      <c r="C2073" s="94"/>
      <c r="E2073" s="94"/>
      <c r="G2073" s="94"/>
      <c r="I2073" s="94"/>
      <c r="K2073" s="94"/>
      <c r="M2073" s="94"/>
    </row>
    <row r="2074" s="93" customFormat="1" spans="3:13">
      <c r="C2074" s="94"/>
      <c r="E2074" s="94"/>
      <c r="G2074" s="94"/>
      <c r="I2074" s="94"/>
      <c r="K2074" s="94"/>
      <c r="M2074" s="94"/>
    </row>
    <row r="2075" s="93" customFormat="1" spans="3:13">
      <c r="C2075" s="94"/>
      <c r="E2075" s="94"/>
      <c r="G2075" s="94"/>
      <c r="I2075" s="94"/>
      <c r="K2075" s="94"/>
      <c r="M2075" s="94"/>
    </row>
    <row r="2076" s="93" customFormat="1" spans="3:13">
      <c r="C2076" s="94"/>
      <c r="E2076" s="94"/>
      <c r="G2076" s="94"/>
      <c r="I2076" s="94"/>
      <c r="K2076" s="94"/>
      <c r="M2076" s="94"/>
    </row>
    <row r="2077" s="93" customFormat="1" spans="3:13">
      <c r="C2077" s="94"/>
      <c r="E2077" s="94"/>
      <c r="G2077" s="94"/>
      <c r="I2077" s="94"/>
      <c r="K2077" s="94"/>
      <c r="M2077" s="94"/>
    </row>
    <row r="2078" s="93" customFormat="1" spans="3:13">
      <c r="C2078" s="94"/>
      <c r="E2078" s="94"/>
      <c r="G2078" s="94"/>
      <c r="I2078" s="94"/>
      <c r="K2078" s="94"/>
      <c r="M2078" s="94"/>
    </row>
    <row r="2079" s="93" customFormat="1" spans="3:13">
      <c r="C2079" s="94"/>
      <c r="E2079" s="94"/>
      <c r="G2079" s="94"/>
      <c r="I2079" s="94"/>
      <c r="K2079" s="94"/>
      <c r="M2079" s="94"/>
    </row>
    <row r="2080" s="93" customFormat="1" spans="3:13">
      <c r="C2080" s="94"/>
      <c r="E2080" s="94"/>
      <c r="G2080" s="94"/>
      <c r="I2080" s="94"/>
      <c r="K2080" s="94"/>
      <c r="M2080" s="94"/>
    </row>
    <row r="2081" s="93" customFormat="1" spans="3:13">
      <c r="C2081" s="94"/>
      <c r="E2081" s="94"/>
      <c r="G2081" s="94"/>
      <c r="I2081" s="94"/>
      <c r="K2081" s="94"/>
      <c r="M2081" s="94"/>
    </row>
    <row r="2082" s="93" customFormat="1" spans="3:13">
      <c r="C2082" s="94"/>
      <c r="E2082" s="94"/>
      <c r="G2082" s="94"/>
      <c r="I2082" s="94"/>
      <c r="K2082" s="94"/>
      <c r="M2082" s="94"/>
    </row>
    <row r="2083" s="93" customFormat="1" spans="3:13">
      <c r="C2083" s="94"/>
      <c r="E2083" s="94"/>
      <c r="G2083" s="94"/>
      <c r="I2083" s="94"/>
      <c r="K2083" s="94"/>
      <c r="M2083" s="94"/>
    </row>
    <row r="2084" s="93" customFormat="1" spans="3:13">
      <c r="C2084" s="94"/>
      <c r="E2084" s="94"/>
      <c r="G2084" s="94"/>
      <c r="I2084" s="94"/>
      <c r="K2084" s="94"/>
      <c r="M2084" s="94"/>
    </row>
    <row r="2085" s="93" customFormat="1" spans="3:13">
      <c r="C2085" s="94"/>
      <c r="E2085" s="94"/>
      <c r="G2085" s="94"/>
      <c r="I2085" s="94"/>
      <c r="K2085" s="94"/>
      <c r="M2085" s="94"/>
    </row>
    <row r="2086" s="93" customFormat="1" spans="3:13">
      <c r="C2086" s="94"/>
      <c r="E2086" s="94"/>
      <c r="G2086" s="94"/>
      <c r="I2086" s="94"/>
      <c r="K2086" s="94"/>
      <c r="M2086" s="94"/>
    </row>
    <row r="2087" s="93" customFormat="1" spans="3:13">
      <c r="C2087" s="94"/>
      <c r="E2087" s="94"/>
      <c r="G2087" s="94"/>
      <c r="I2087" s="94"/>
      <c r="K2087" s="94"/>
      <c r="M2087" s="94"/>
    </row>
    <row r="2088" s="93" customFormat="1" spans="3:13">
      <c r="C2088" s="94"/>
      <c r="E2088" s="94"/>
      <c r="G2088" s="94"/>
      <c r="I2088" s="94"/>
      <c r="K2088" s="94"/>
      <c r="M2088" s="94"/>
    </row>
    <row r="2089" s="93" customFormat="1" spans="3:13">
      <c r="C2089" s="94"/>
      <c r="E2089" s="94"/>
      <c r="G2089" s="94"/>
      <c r="I2089" s="94"/>
      <c r="K2089" s="94"/>
      <c r="M2089" s="94"/>
    </row>
    <row r="2090" s="93" customFormat="1" spans="3:13">
      <c r="C2090" s="94"/>
      <c r="E2090" s="94"/>
      <c r="G2090" s="94"/>
      <c r="I2090" s="94"/>
      <c r="K2090" s="94"/>
      <c r="M2090" s="94"/>
    </row>
    <row r="2091" s="93" customFormat="1" spans="3:13">
      <c r="C2091" s="94"/>
      <c r="E2091" s="94"/>
      <c r="G2091" s="94"/>
      <c r="I2091" s="94"/>
      <c r="K2091" s="94"/>
      <c r="M2091" s="94"/>
    </row>
    <row r="2092" s="93" customFormat="1" spans="3:13">
      <c r="C2092" s="94"/>
      <c r="E2092" s="94"/>
      <c r="G2092" s="94"/>
      <c r="I2092" s="94"/>
      <c r="K2092" s="94"/>
      <c r="M2092" s="94"/>
    </row>
    <row r="2093" s="93" customFormat="1" spans="3:13">
      <c r="C2093" s="94"/>
      <c r="E2093" s="94"/>
      <c r="G2093" s="94"/>
      <c r="I2093" s="94"/>
      <c r="K2093" s="94"/>
      <c r="M2093" s="94"/>
    </row>
    <row r="2094" s="93" customFormat="1" spans="3:13">
      <c r="C2094" s="94"/>
      <c r="E2094" s="94"/>
      <c r="G2094" s="94"/>
      <c r="I2094" s="94"/>
      <c r="K2094" s="94"/>
      <c r="M2094" s="94"/>
    </row>
    <row r="2095" s="93" customFormat="1" spans="3:13">
      <c r="C2095" s="94"/>
      <c r="E2095" s="94"/>
      <c r="G2095" s="94"/>
      <c r="I2095" s="94"/>
      <c r="K2095" s="94"/>
      <c r="M2095" s="94"/>
    </row>
    <row r="2096" s="93" customFormat="1" spans="3:13">
      <c r="C2096" s="94"/>
      <c r="E2096" s="94"/>
      <c r="G2096" s="94"/>
      <c r="I2096" s="94"/>
      <c r="K2096" s="94"/>
      <c r="M2096" s="94"/>
    </row>
    <row r="2097" s="93" customFormat="1" spans="3:13">
      <c r="C2097" s="94"/>
      <c r="E2097" s="94"/>
      <c r="G2097" s="94"/>
      <c r="I2097" s="94"/>
      <c r="K2097" s="94"/>
      <c r="M2097" s="94"/>
    </row>
    <row r="2098" s="93" customFormat="1" spans="3:13">
      <c r="C2098" s="94"/>
      <c r="E2098" s="94"/>
      <c r="G2098" s="94"/>
      <c r="I2098" s="94"/>
      <c r="K2098" s="94"/>
      <c r="M2098" s="94"/>
    </row>
    <row r="2099" s="93" customFormat="1" spans="3:13">
      <c r="C2099" s="94"/>
      <c r="E2099" s="94"/>
      <c r="G2099" s="94"/>
      <c r="I2099" s="94"/>
      <c r="K2099" s="94"/>
      <c r="M2099" s="94"/>
    </row>
    <row r="2100" s="93" customFormat="1" spans="3:13">
      <c r="C2100" s="94"/>
      <c r="E2100" s="94"/>
      <c r="G2100" s="94"/>
      <c r="I2100" s="94"/>
      <c r="K2100" s="94"/>
      <c r="M2100" s="94"/>
    </row>
    <row r="2101" s="93" customFormat="1" spans="3:13">
      <c r="C2101" s="94"/>
      <c r="E2101" s="94"/>
      <c r="G2101" s="94"/>
      <c r="I2101" s="94"/>
      <c r="K2101" s="94"/>
      <c r="M2101" s="94"/>
    </row>
    <row r="2102" s="93" customFormat="1" spans="3:13">
      <c r="C2102" s="94"/>
      <c r="E2102" s="94"/>
      <c r="G2102" s="94"/>
      <c r="I2102" s="94"/>
      <c r="K2102" s="94"/>
      <c r="M2102" s="94"/>
    </row>
    <row r="2103" s="93" customFormat="1" spans="3:13">
      <c r="C2103" s="94"/>
      <c r="E2103" s="94"/>
      <c r="G2103" s="94"/>
      <c r="I2103" s="94"/>
      <c r="K2103" s="94"/>
      <c r="M2103" s="94"/>
    </row>
    <row r="2104" s="93" customFormat="1" spans="3:13">
      <c r="C2104" s="94"/>
      <c r="E2104" s="94"/>
      <c r="G2104" s="94"/>
      <c r="I2104" s="94"/>
      <c r="K2104" s="94"/>
      <c r="M2104" s="94"/>
    </row>
    <row r="2105" s="93" customFormat="1" spans="3:13">
      <c r="C2105" s="94"/>
      <c r="E2105" s="94"/>
      <c r="G2105" s="94"/>
      <c r="I2105" s="94"/>
      <c r="K2105" s="94"/>
      <c r="M2105" s="94"/>
    </row>
    <row r="2106" s="93" customFormat="1" spans="3:13">
      <c r="C2106" s="94"/>
      <c r="E2106" s="94"/>
      <c r="G2106" s="94"/>
      <c r="I2106" s="94"/>
      <c r="K2106" s="94"/>
      <c r="M2106" s="94"/>
    </row>
    <row r="2107" s="93" customFormat="1" spans="3:13">
      <c r="C2107" s="94"/>
      <c r="E2107" s="94"/>
      <c r="G2107" s="94"/>
      <c r="I2107" s="94"/>
      <c r="K2107" s="94"/>
      <c r="M2107" s="94"/>
    </row>
    <row r="2108" s="93" customFormat="1" spans="3:13">
      <c r="C2108" s="94"/>
      <c r="E2108" s="94"/>
      <c r="G2108" s="94"/>
      <c r="I2108" s="94"/>
      <c r="K2108" s="94"/>
      <c r="M2108" s="94"/>
    </row>
    <row r="2109" s="93" customFormat="1" spans="3:13">
      <c r="C2109" s="94"/>
      <c r="E2109" s="94"/>
      <c r="G2109" s="94"/>
      <c r="I2109" s="94"/>
      <c r="K2109" s="94"/>
      <c r="M2109" s="94"/>
    </row>
    <row r="2110" s="93" customFormat="1" spans="3:13">
      <c r="C2110" s="94"/>
      <c r="E2110" s="94"/>
      <c r="G2110" s="94"/>
      <c r="I2110" s="94"/>
      <c r="K2110" s="94"/>
      <c r="M2110" s="94"/>
    </row>
    <row r="2111" s="93" customFormat="1" spans="3:13">
      <c r="C2111" s="94"/>
      <c r="E2111" s="94"/>
      <c r="G2111" s="94"/>
      <c r="I2111" s="94"/>
      <c r="K2111" s="94"/>
      <c r="M2111" s="94"/>
    </row>
    <row r="2112" s="93" customFormat="1" spans="3:13">
      <c r="C2112" s="94"/>
      <c r="E2112" s="94"/>
      <c r="G2112" s="94"/>
      <c r="I2112" s="94"/>
      <c r="K2112" s="94"/>
      <c r="M2112" s="94"/>
    </row>
    <row r="2113" s="93" customFormat="1" spans="3:13">
      <c r="C2113" s="94"/>
      <c r="E2113" s="94"/>
      <c r="G2113" s="94"/>
      <c r="I2113" s="94"/>
      <c r="K2113" s="94"/>
      <c r="M2113" s="94"/>
    </row>
    <row r="2114" s="93" customFormat="1" spans="3:13">
      <c r="C2114" s="94"/>
      <c r="E2114" s="94"/>
      <c r="G2114" s="94"/>
      <c r="I2114" s="94"/>
      <c r="K2114" s="94"/>
      <c r="M2114" s="94"/>
    </row>
    <row r="2115" s="93" customFormat="1" spans="3:13">
      <c r="C2115" s="94"/>
      <c r="E2115" s="94"/>
      <c r="G2115" s="94"/>
      <c r="I2115" s="94"/>
      <c r="K2115" s="94"/>
      <c r="M2115" s="94"/>
    </row>
    <row r="2116" s="93" customFormat="1" spans="3:13">
      <c r="C2116" s="94"/>
      <c r="E2116" s="94"/>
      <c r="G2116" s="94"/>
      <c r="I2116" s="94"/>
      <c r="K2116" s="94"/>
      <c r="M2116" s="94"/>
    </row>
    <row r="2117" s="93" customFormat="1" spans="3:13">
      <c r="C2117" s="94"/>
      <c r="E2117" s="94"/>
      <c r="G2117" s="94"/>
      <c r="I2117" s="94"/>
      <c r="K2117" s="94"/>
      <c r="M2117" s="94"/>
    </row>
    <row r="2118" s="93" customFormat="1" spans="3:13">
      <c r="C2118" s="94"/>
      <c r="E2118" s="94"/>
      <c r="G2118" s="94"/>
      <c r="I2118" s="94"/>
      <c r="K2118" s="94"/>
      <c r="M2118" s="94"/>
    </row>
    <row r="2119" s="93" customFormat="1" spans="3:13">
      <c r="C2119" s="94"/>
      <c r="E2119" s="94"/>
      <c r="G2119" s="94"/>
      <c r="I2119" s="94"/>
      <c r="K2119" s="94"/>
      <c r="M2119" s="94"/>
    </row>
    <row r="2120" s="93" customFormat="1" spans="3:13">
      <c r="C2120" s="94"/>
      <c r="E2120" s="94"/>
      <c r="G2120" s="94"/>
      <c r="I2120" s="94"/>
      <c r="K2120" s="94"/>
      <c r="M2120" s="94"/>
    </row>
    <row r="2121" s="93" customFormat="1" spans="3:13">
      <c r="C2121" s="94"/>
      <c r="E2121" s="94"/>
      <c r="G2121" s="94"/>
      <c r="I2121" s="94"/>
      <c r="K2121" s="94"/>
      <c r="M2121" s="94"/>
    </row>
    <row r="2122" s="93" customFormat="1" spans="3:13">
      <c r="C2122" s="94"/>
      <c r="E2122" s="94"/>
      <c r="G2122" s="94"/>
      <c r="I2122" s="94"/>
      <c r="K2122" s="94"/>
      <c r="M2122" s="94"/>
    </row>
    <row r="2123" s="93" customFormat="1" spans="3:13">
      <c r="C2123" s="94"/>
      <c r="E2123" s="94"/>
      <c r="G2123" s="94"/>
      <c r="I2123" s="94"/>
      <c r="K2123" s="94"/>
      <c r="M2123" s="94"/>
    </row>
    <row r="2124" s="93" customFormat="1" spans="3:13">
      <c r="C2124" s="94"/>
      <c r="E2124" s="94"/>
      <c r="G2124" s="94"/>
      <c r="I2124" s="94"/>
      <c r="K2124" s="94"/>
      <c r="M2124" s="94"/>
    </row>
    <row r="2125" s="93" customFormat="1" spans="3:13">
      <c r="C2125" s="94"/>
      <c r="E2125" s="94"/>
      <c r="G2125" s="94"/>
      <c r="I2125" s="94"/>
      <c r="K2125" s="94"/>
      <c r="M2125" s="94"/>
    </row>
    <row r="2126" s="93" customFormat="1" spans="3:13">
      <c r="C2126" s="94"/>
      <c r="E2126" s="94"/>
      <c r="G2126" s="94"/>
      <c r="I2126" s="94"/>
      <c r="K2126" s="94"/>
      <c r="M2126" s="94"/>
    </row>
    <row r="2127" s="93" customFormat="1" spans="3:13">
      <c r="C2127" s="94"/>
      <c r="E2127" s="94"/>
      <c r="G2127" s="94"/>
      <c r="I2127" s="94"/>
      <c r="K2127" s="94"/>
      <c r="M2127" s="94"/>
    </row>
    <row r="2128" s="93" customFormat="1" spans="3:13">
      <c r="C2128" s="94"/>
      <c r="E2128" s="94"/>
      <c r="G2128" s="94"/>
      <c r="I2128" s="94"/>
      <c r="K2128" s="94"/>
      <c r="M2128" s="94"/>
    </row>
    <row r="2129" s="93" customFormat="1" spans="3:13">
      <c r="C2129" s="94"/>
      <c r="E2129" s="94"/>
      <c r="G2129" s="94"/>
      <c r="I2129" s="94"/>
      <c r="K2129" s="94"/>
      <c r="M2129" s="94"/>
    </row>
    <row r="2130" s="93" customFormat="1" spans="3:13">
      <c r="C2130" s="94"/>
      <c r="E2130" s="94"/>
      <c r="G2130" s="94"/>
      <c r="I2130" s="94"/>
      <c r="K2130" s="94"/>
      <c r="M2130" s="94"/>
    </row>
    <row r="2131" s="93" customFormat="1" spans="3:13">
      <c r="C2131" s="94"/>
      <c r="E2131" s="94"/>
      <c r="G2131" s="94"/>
      <c r="I2131" s="94"/>
      <c r="K2131" s="94"/>
      <c r="M2131" s="94"/>
    </row>
    <row r="2132" s="93" customFormat="1" spans="3:13">
      <c r="C2132" s="94"/>
      <c r="E2132" s="94"/>
      <c r="G2132" s="94"/>
      <c r="I2132" s="94"/>
      <c r="K2132" s="94"/>
      <c r="M2132" s="94"/>
    </row>
    <row r="2133" s="93" customFormat="1" spans="3:13">
      <c r="C2133" s="94"/>
      <c r="E2133" s="94"/>
      <c r="G2133" s="94"/>
      <c r="I2133" s="94"/>
      <c r="K2133" s="94"/>
      <c r="M2133" s="94"/>
    </row>
    <row r="2134" s="93" customFormat="1" spans="3:13">
      <c r="C2134" s="94"/>
      <c r="E2134" s="94"/>
      <c r="G2134" s="94"/>
      <c r="I2134" s="94"/>
      <c r="K2134" s="94"/>
      <c r="M2134" s="94"/>
    </row>
    <row r="2135" s="93" customFormat="1" spans="3:13">
      <c r="C2135" s="94"/>
      <c r="E2135" s="94"/>
      <c r="G2135" s="94"/>
      <c r="I2135" s="94"/>
      <c r="K2135" s="94"/>
      <c r="M2135" s="94"/>
    </row>
    <row r="2136" s="93" customFormat="1" spans="3:13">
      <c r="C2136" s="94"/>
      <c r="E2136" s="94"/>
      <c r="G2136" s="94"/>
      <c r="I2136" s="94"/>
      <c r="K2136" s="94"/>
      <c r="M2136" s="94"/>
    </row>
    <row r="2137" s="93" customFormat="1" spans="3:13">
      <c r="C2137" s="94"/>
      <c r="E2137" s="94"/>
      <c r="G2137" s="94"/>
      <c r="I2137" s="94"/>
      <c r="K2137" s="94"/>
      <c r="M2137" s="94"/>
    </row>
    <row r="2138" s="93" customFormat="1" spans="3:13">
      <c r="C2138" s="94"/>
      <c r="E2138" s="94"/>
      <c r="G2138" s="94"/>
      <c r="I2138" s="94"/>
      <c r="K2138" s="94"/>
      <c r="M2138" s="94"/>
    </row>
    <row r="2139" s="93" customFormat="1" spans="3:13">
      <c r="C2139" s="94"/>
      <c r="E2139" s="94"/>
      <c r="G2139" s="94"/>
      <c r="I2139" s="94"/>
      <c r="K2139" s="94"/>
      <c r="M2139" s="94"/>
    </row>
    <row r="2140" s="93" customFormat="1" spans="3:13">
      <c r="C2140" s="94"/>
      <c r="E2140" s="94"/>
      <c r="G2140" s="94"/>
      <c r="I2140" s="94"/>
      <c r="K2140" s="94"/>
      <c r="M2140" s="94"/>
    </row>
    <row r="2141" s="93" customFormat="1" spans="3:13">
      <c r="C2141" s="94"/>
      <c r="E2141" s="94"/>
      <c r="G2141" s="94"/>
      <c r="I2141" s="94"/>
      <c r="K2141" s="94"/>
      <c r="M2141" s="94"/>
    </row>
    <row r="2142" s="93" customFormat="1" spans="3:13">
      <c r="C2142" s="94"/>
      <c r="E2142" s="94"/>
      <c r="G2142" s="94"/>
      <c r="I2142" s="94"/>
      <c r="K2142" s="94"/>
      <c r="M2142" s="94"/>
    </row>
    <row r="2143" s="93" customFormat="1" spans="3:13">
      <c r="C2143" s="94"/>
      <c r="E2143" s="94"/>
      <c r="G2143" s="94"/>
      <c r="I2143" s="94"/>
      <c r="K2143" s="94"/>
      <c r="M2143" s="94"/>
    </row>
    <row r="2144" s="93" customFormat="1" spans="3:13">
      <c r="C2144" s="94"/>
      <c r="E2144" s="94"/>
      <c r="G2144" s="94"/>
      <c r="I2144" s="94"/>
      <c r="K2144" s="94"/>
      <c r="M2144" s="94"/>
    </row>
    <row r="2145" s="93" customFormat="1" spans="3:13">
      <c r="C2145" s="94"/>
      <c r="E2145" s="94"/>
      <c r="G2145" s="94"/>
      <c r="I2145" s="94"/>
      <c r="K2145" s="94"/>
      <c r="M2145" s="94"/>
    </row>
    <row r="2146" s="93" customFormat="1" spans="3:13">
      <c r="C2146" s="94"/>
      <c r="E2146" s="94"/>
      <c r="G2146" s="94"/>
      <c r="I2146" s="94"/>
      <c r="K2146" s="94"/>
      <c r="M2146" s="94"/>
    </row>
    <row r="2147" s="93" customFormat="1" spans="3:13">
      <c r="C2147" s="94"/>
      <c r="E2147" s="94"/>
      <c r="G2147" s="94"/>
      <c r="I2147" s="94"/>
      <c r="K2147" s="94"/>
      <c r="M2147" s="94"/>
    </row>
    <row r="2148" s="93" customFormat="1" spans="3:13">
      <c r="C2148" s="94"/>
      <c r="E2148" s="94"/>
      <c r="G2148" s="94"/>
      <c r="I2148" s="94"/>
      <c r="K2148" s="94"/>
      <c r="M2148" s="94"/>
    </row>
    <row r="2149" s="93" customFormat="1" spans="3:13">
      <c r="C2149" s="94"/>
      <c r="E2149" s="94"/>
      <c r="G2149" s="94"/>
      <c r="I2149" s="94"/>
      <c r="K2149" s="94"/>
      <c r="M2149" s="94"/>
    </row>
    <row r="2150" s="93" customFormat="1" spans="3:13">
      <c r="C2150" s="94"/>
      <c r="E2150" s="94"/>
      <c r="G2150" s="94"/>
      <c r="I2150" s="94"/>
      <c r="K2150" s="94"/>
      <c r="M2150" s="94"/>
    </row>
    <row r="2151" s="93" customFormat="1" spans="3:13">
      <c r="C2151" s="94"/>
      <c r="E2151" s="94"/>
      <c r="G2151" s="94"/>
      <c r="I2151" s="94"/>
      <c r="K2151" s="94"/>
      <c r="M2151" s="94"/>
    </row>
    <row r="2152" s="93" customFormat="1" spans="3:13">
      <c r="C2152" s="94"/>
      <c r="E2152" s="94"/>
      <c r="G2152" s="94"/>
      <c r="I2152" s="94"/>
      <c r="K2152" s="94"/>
      <c r="M2152" s="94"/>
    </row>
    <row r="2153" s="93" customFormat="1" spans="3:13">
      <c r="C2153" s="94"/>
      <c r="E2153" s="94"/>
      <c r="G2153" s="94"/>
      <c r="I2153" s="94"/>
      <c r="K2153" s="94"/>
      <c r="M2153" s="94"/>
    </row>
    <row r="2154" s="93" customFormat="1" spans="3:13">
      <c r="C2154" s="94"/>
      <c r="E2154" s="94"/>
      <c r="G2154" s="94"/>
      <c r="I2154" s="94"/>
      <c r="K2154" s="94"/>
      <c r="M2154" s="94"/>
    </row>
    <row r="2155" s="93" customFormat="1" spans="3:13">
      <c r="C2155" s="94"/>
      <c r="E2155" s="94"/>
      <c r="G2155" s="94"/>
      <c r="I2155" s="94"/>
      <c r="K2155" s="94"/>
      <c r="M2155" s="94"/>
    </row>
    <row r="2156" s="93" customFormat="1" spans="3:13">
      <c r="C2156" s="94"/>
      <c r="E2156" s="94"/>
      <c r="G2156" s="94"/>
      <c r="I2156" s="94"/>
      <c r="K2156" s="94"/>
      <c r="M2156" s="94"/>
    </row>
    <row r="2157" s="93" customFormat="1" spans="3:13">
      <c r="C2157" s="94"/>
      <c r="E2157" s="94"/>
      <c r="G2157" s="94"/>
      <c r="I2157" s="94"/>
      <c r="K2157" s="94"/>
      <c r="M2157" s="94"/>
    </row>
    <row r="2158" s="93" customFormat="1" spans="3:13">
      <c r="C2158" s="94"/>
      <c r="E2158" s="94"/>
      <c r="G2158" s="94"/>
      <c r="I2158" s="94"/>
      <c r="K2158" s="94"/>
      <c r="M2158" s="94"/>
    </row>
    <row r="2159" s="93" customFormat="1" spans="3:13">
      <c r="C2159" s="94"/>
      <c r="E2159" s="94"/>
      <c r="G2159" s="94"/>
      <c r="I2159" s="94"/>
      <c r="K2159" s="94"/>
      <c r="M2159" s="94"/>
    </row>
    <row r="2160" s="93" customFormat="1" spans="3:13">
      <c r="C2160" s="94"/>
      <c r="E2160" s="94"/>
      <c r="G2160" s="94"/>
      <c r="I2160" s="94"/>
      <c r="K2160" s="94"/>
      <c r="M2160" s="94"/>
    </row>
    <row r="2161" s="93" customFormat="1" spans="3:13">
      <c r="C2161" s="94"/>
      <c r="E2161" s="94"/>
      <c r="G2161" s="94"/>
      <c r="I2161" s="94"/>
      <c r="K2161" s="94"/>
      <c r="M2161" s="94"/>
    </row>
    <row r="2162" s="93" customFormat="1" spans="3:13">
      <c r="C2162" s="94"/>
      <c r="E2162" s="94"/>
      <c r="G2162" s="94"/>
      <c r="I2162" s="94"/>
      <c r="K2162" s="94"/>
      <c r="M2162" s="94"/>
    </row>
    <row r="2163" s="93" customFormat="1" spans="3:13">
      <c r="C2163" s="94"/>
      <c r="E2163" s="94"/>
      <c r="G2163" s="94"/>
      <c r="I2163" s="94"/>
      <c r="K2163" s="94"/>
      <c r="M2163" s="94"/>
    </row>
    <row r="2164" s="93" customFormat="1" spans="3:13">
      <c r="C2164" s="94"/>
      <c r="E2164" s="94"/>
      <c r="G2164" s="94"/>
      <c r="I2164" s="94"/>
      <c r="K2164" s="94"/>
      <c r="M2164" s="94"/>
    </row>
    <row r="2165" s="93" customFormat="1" spans="3:13">
      <c r="C2165" s="94"/>
      <c r="E2165" s="94"/>
      <c r="G2165" s="94"/>
      <c r="I2165" s="94"/>
      <c r="K2165" s="94"/>
      <c r="M2165" s="94"/>
    </row>
    <row r="2166" s="93" customFormat="1" spans="3:13">
      <c r="C2166" s="94"/>
      <c r="E2166" s="94"/>
      <c r="G2166" s="94"/>
      <c r="I2166" s="94"/>
      <c r="K2166" s="94"/>
      <c r="M2166" s="94"/>
    </row>
    <row r="2167" s="93" customFormat="1" spans="3:13">
      <c r="C2167" s="94"/>
      <c r="E2167" s="94"/>
      <c r="G2167" s="94"/>
      <c r="I2167" s="94"/>
      <c r="K2167" s="94"/>
      <c r="M2167" s="94"/>
    </row>
    <row r="2168" s="93" customFormat="1" spans="3:13">
      <c r="C2168" s="94"/>
      <c r="E2168" s="94"/>
      <c r="G2168" s="94"/>
      <c r="I2168" s="94"/>
      <c r="K2168" s="94"/>
      <c r="M2168" s="94"/>
    </row>
    <row r="2169" s="93" customFormat="1" spans="3:13">
      <c r="C2169" s="94"/>
      <c r="E2169" s="94"/>
      <c r="G2169" s="94"/>
      <c r="I2169" s="94"/>
      <c r="K2169" s="94"/>
      <c r="M2169" s="94"/>
    </row>
    <row r="2170" s="93" customFormat="1" spans="3:13">
      <c r="C2170" s="94"/>
      <c r="E2170" s="94"/>
      <c r="G2170" s="94"/>
      <c r="I2170" s="94"/>
      <c r="K2170" s="94"/>
      <c r="M2170" s="94"/>
    </row>
    <row r="2171" s="93" customFormat="1" spans="3:13">
      <c r="C2171" s="94"/>
      <c r="E2171" s="94"/>
      <c r="G2171" s="94"/>
      <c r="I2171" s="94"/>
      <c r="K2171" s="94"/>
      <c r="M2171" s="94"/>
    </row>
    <row r="2172" s="93" customFormat="1" spans="3:13">
      <c r="C2172" s="94"/>
      <c r="E2172" s="94"/>
      <c r="G2172" s="94"/>
      <c r="I2172" s="94"/>
      <c r="K2172" s="94"/>
      <c r="M2172" s="94"/>
    </row>
    <row r="2173" s="93" customFormat="1" spans="3:13">
      <c r="C2173" s="94"/>
      <c r="E2173" s="94"/>
      <c r="G2173" s="94"/>
      <c r="I2173" s="94"/>
      <c r="K2173" s="94"/>
      <c r="M2173" s="94"/>
    </row>
    <row r="2174" s="93" customFormat="1" spans="3:13">
      <c r="C2174" s="94"/>
      <c r="E2174" s="94"/>
      <c r="G2174" s="94"/>
      <c r="I2174" s="94"/>
      <c r="K2174" s="94"/>
      <c r="M2174" s="94"/>
    </row>
    <row r="2175" s="93" customFormat="1" spans="3:13">
      <c r="C2175" s="94"/>
      <c r="E2175" s="94"/>
      <c r="G2175" s="94"/>
      <c r="I2175" s="94"/>
      <c r="K2175" s="94"/>
      <c r="M2175" s="94"/>
    </row>
    <row r="2176" s="93" customFormat="1" spans="3:13">
      <c r="C2176" s="94"/>
      <c r="E2176" s="94"/>
      <c r="G2176" s="94"/>
      <c r="I2176" s="94"/>
      <c r="K2176" s="94"/>
      <c r="M2176" s="94"/>
    </row>
    <row r="2177" s="93" customFormat="1" spans="3:13">
      <c r="C2177" s="94"/>
      <c r="E2177" s="94"/>
      <c r="G2177" s="94"/>
      <c r="I2177" s="94"/>
      <c r="K2177" s="94"/>
      <c r="M2177" s="94"/>
    </row>
    <row r="2178" s="93" customFormat="1" spans="3:13">
      <c r="C2178" s="94"/>
      <c r="E2178" s="94"/>
      <c r="G2178" s="94"/>
      <c r="I2178" s="94"/>
      <c r="K2178" s="94"/>
      <c r="M2178" s="94"/>
    </row>
    <row r="2179" s="93" customFormat="1" spans="3:13">
      <c r="C2179" s="94"/>
      <c r="E2179" s="94"/>
      <c r="G2179" s="94"/>
      <c r="I2179" s="94"/>
      <c r="K2179" s="94"/>
      <c r="M2179" s="94"/>
    </row>
    <row r="2180" s="93" customFormat="1" spans="3:13">
      <c r="C2180" s="94"/>
      <c r="E2180" s="94"/>
      <c r="G2180" s="94"/>
      <c r="I2180" s="94"/>
      <c r="K2180" s="94"/>
      <c r="M2180" s="94"/>
    </row>
    <row r="2181" s="93" customFormat="1" spans="3:13">
      <c r="C2181" s="94"/>
      <c r="E2181" s="94"/>
      <c r="G2181" s="94"/>
      <c r="I2181" s="94"/>
      <c r="K2181" s="94"/>
      <c r="M2181" s="94"/>
    </row>
    <row r="2182" s="93" customFormat="1" spans="3:13">
      <c r="C2182" s="94"/>
      <c r="E2182" s="94"/>
      <c r="G2182" s="94"/>
      <c r="I2182" s="94"/>
      <c r="K2182" s="94"/>
      <c r="M2182" s="94"/>
    </row>
    <row r="2183" s="93" customFormat="1" spans="3:13">
      <c r="C2183" s="94"/>
      <c r="E2183" s="94"/>
      <c r="G2183" s="94"/>
      <c r="I2183" s="94"/>
      <c r="K2183" s="94"/>
      <c r="M2183" s="94"/>
    </row>
    <row r="2184" s="93" customFormat="1" spans="3:13">
      <c r="C2184" s="94"/>
      <c r="E2184" s="94"/>
      <c r="G2184" s="94"/>
      <c r="I2184" s="94"/>
      <c r="K2184" s="94"/>
      <c r="M2184" s="94"/>
    </row>
    <row r="2185" s="93" customFormat="1" spans="3:13">
      <c r="C2185" s="94"/>
      <c r="E2185" s="94"/>
      <c r="G2185" s="94"/>
      <c r="I2185" s="94"/>
      <c r="K2185" s="94"/>
      <c r="M2185" s="94"/>
    </row>
    <row r="2186" s="93" customFormat="1" spans="3:13">
      <c r="C2186" s="94"/>
      <c r="E2186" s="94"/>
      <c r="G2186" s="94"/>
      <c r="I2186" s="94"/>
      <c r="K2186" s="94"/>
      <c r="M2186" s="94"/>
    </row>
    <row r="2187" s="93" customFormat="1" spans="3:13">
      <c r="C2187" s="94"/>
      <c r="E2187" s="94"/>
      <c r="G2187" s="94"/>
      <c r="I2187" s="94"/>
      <c r="K2187" s="94"/>
      <c r="M2187" s="94"/>
    </row>
    <row r="2188" s="93" customFormat="1" spans="3:13">
      <c r="C2188" s="94"/>
      <c r="E2188" s="94"/>
      <c r="G2188" s="94"/>
      <c r="I2188" s="94"/>
      <c r="K2188" s="94"/>
      <c r="M2188" s="94"/>
    </row>
    <row r="2189" s="93" customFormat="1" spans="3:13">
      <c r="C2189" s="94"/>
      <c r="E2189" s="94"/>
      <c r="G2189" s="94"/>
      <c r="I2189" s="94"/>
      <c r="K2189" s="94"/>
      <c r="M2189" s="94"/>
    </row>
    <row r="2190" s="93" customFormat="1" spans="3:13">
      <c r="C2190" s="94"/>
      <c r="E2190" s="94"/>
      <c r="G2190" s="94"/>
      <c r="I2190" s="94"/>
      <c r="K2190" s="94"/>
      <c r="M2190" s="94"/>
    </row>
    <row r="2191" s="93" customFormat="1" spans="3:13">
      <c r="C2191" s="94"/>
      <c r="E2191" s="94"/>
      <c r="G2191" s="94"/>
      <c r="I2191" s="94"/>
      <c r="K2191" s="94"/>
      <c r="M2191" s="94"/>
    </row>
    <row r="2192" s="93" customFormat="1" spans="3:13">
      <c r="C2192" s="94"/>
      <c r="E2192" s="94"/>
      <c r="G2192" s="94"/>
      <c r="I2192" s="94"/>
      <c r="K2192" s="94"/>
      <c r="M2192" s="94"/>
    </row>
    <row r="2193" s="93" customFormat="1" spans="3:13">
      <c r="C2193" s="94"/>
      <c r="E2193" s="94"/>
      <c r="G2193" s="94"/>
      <c r="I2193" s="94"/>
      <c r="K2193" s="94"/>
      <c r="M2193" s="94"/>
    </row>
    <row r="2194" s="93" customFormat="1" spans="3:13">
      <c r="C2194" s="94"/>
      <c r="E2194" s="94"/>
      <c r="G2194" s="94"/>
      <c r="I2194" s="94"/>
      <c r="K2194" s="94"/>
      <c r="M2194" s="94"/>
    </row>
    <row r="2195" s="93" customFormat="1" spans="3:13">
      <c r="C2195" s="94"/>
      <c r="E2195" s="94"/>
      <c r="G2195" s="94"/>
      <c r="I2195" s="94"/>
      <c r="K2195" s="94"/>
      <c r="M2195" s="94"/>
    </row>
    <row r="2196" s="93" customFormat="1" spans="3:13">
      <c r="C2196" s="94"/>
      <c r="E2196" s="94"/>
      <c r="G2196" s="94"/>
      <c r="I2196" s="94"/>
      <c r="K2196" s="94"/>
      <c r="M2196" s="94"/>
    </row>
    <row r="2197" s="93" customFormat="1" spans="3:13">
      <c r="C2197" s="94"/>
      <c r="E2197" s="94"/>
      <c r="G2197" s="94"/>
      <c r="I2197" s="94"/>
      <c r="K2197" s="94"/>
      <c r="M2197" s="94"/>
    </row>
    <row r="2198" s="93" customFormat="1" spans="3:13">
      <c r="C2198" s="94"/>
      <c r="E2198" s="94"/>
      <c r="G2198" s="94"/>
      <c r="I2198" s="94"/>
      <c r="K2198" s="94"/>
      <c r="M2198" s="94"/>
    </row>
    <row r="2199" s="93" customFormat="1" spans="3:13">
      <c r="C2199" s="94"/>
      <c r="E2199" s="94"/>
      <c r="G2199" s="94"/>
      <c r="I2199" s="94"/>
      <c r="K2199" s="94"/>
      <c r="M2199" s="94"/>
    </row>
    <row r="2200" s="93" customFormat="1" spans="3:13">
      <c r="C2200" s="94"/>
      <c r="E2200" s="94"/>
      <c r="G2200" s="94"/>
      <c r="I2200" s="94"/>
      <c r="K2200" s="94"/>
      <c r="M2200" s="94"/>
    </row>
    <row r="2201" s="93" customFormat="1" spans="3:13">
      <c r="C2201" s="94"/>
      <c r="E2201" s="94"/>
      <c r="G2201" s="94"/>
      <c r="I2201" s="94"/>
      <c r="K2201" s="94"/>
      <c r="M2201" s="94"/>
    </row>
    <row r="2202" s="93" customFormat="1" spans="3:13">
      <c r="C2202" s="94"/>
      <c r="E2202" s="94"/>
      <c r="G2202" s="94"/>
      <c r="I2202" s="94"/>
      <c r="K2202" s="94"/>
      <c r="M2202" s="94"/>
    </row>
    <row r="2203" s="93" customFormat="1" spans="3:13">
      <c r="C2203" s="94"/>
      <c r="E2203" s="94"/>
      <c r="G2203" s="94"/>
      <c r="I2203" s="94"/>
      <c r="K2203" s="94"/>
      <c r="M2203" s="94"/>
    </row>
    <row r="2204" s="93" customFormat="1" spans="3:13">
      <c r="C2204" s="94"/>
      <c r="E2204" s="94"/>
      <c r="G2204" s="94"/>
      <c r="I2204" s="94"/>
      <c r="K2204" s="94"/>
      <c r="M2204" s="94"/>
    </row>
    <row r="2205" s="93" customFormat="1" spans="3:13">
      <c r="C2205" s="94"/>
      <c r="E2205" s="94"/>
      <c r="G2205" s="94"/>
      <c r="I2205" s="94"/>
      <c r="K2205" s="94"/>
      <c r="M2205" s="94"/>
    </row>
    <row r="2206" s="93" customFormat="1" spans="3:13">
      <c r="C2206" s="94"/>
      <c r="E2206" s="94"/>
      <c r="G2206" s="94"/>
      <c r="I2206" s="94"/>
      <c r="K2206" s="94"/>
      <c r="M2206" s="94"/>
    </row>
    <row r="2207" s="93" customFormat="1" spans="3:13">
      <c r="C2207" s="94"/>
      <c r="E2207" s="94"/>
      <c r="G2207" s="94"/>
      <c r="I2207" s="94"/>
      <c r="K2207" s="94"/>
      <c r="M2207" s="94"/>
    </row>
    <row r="2208" s="93" customFormat="1" spans="3:13">
      <c r="C2208" s="94"/>
      <c r="E2208" s="94"/>
      <c r="G2208" s="94"/>
      <c r="I2208" s="94"/>
      <c r="K2208" s="94"/>
      <c r="M2208" s="94"/>
    </row>
    <row r="2209" s="93" customFormat="1" spans="3:13">
      <c r="C2209" s="94"/>
      <c r="E2209" s="94"/>
      <c r="G2209" s="94"/>
      <c r="I2209" s="94"/>
      <c r="K2209" s="94"/>
      <c r="M2209" s="94"/>
    </row>
    <row r="2210" s="93" customFormat="1" spans="3:13">
      <c r="C2210" s="94"/>
      <c r="E2210" s="94"/>
      <c r="G2210" s="94"/>
      <c r="I2210" s="94"/>
      <c r="K2210" s="94"/>
      <c r="M2210" s="94"/>
    </row>
    <row r="2211" s="93" customFormat="1" spans="3:13">
      <c r="C2211" s="94"/>
      <c r="E2211" s="94"/>
      <c r="G2211" s="94"/>
      <c r="I2211" s="94"/>
      <c r="K2211" s="94"/>
      <c r="M2211" s="94"/>
    </row>
    <row r="2212" s="93" customFormat="1" spans="3:13">
      <c r="C2212" s="94"/>
      <c r="E2212" s="94"/>
      <c r="G2212" s="94"/>
      <c r="I2212" s="94"/>
      <c r="K2212" s="94"/>
      <c r="M2212" s="94"/>
    </row>
    <row r="2213" s="93" customFormat="1" spans="3:13">
      <c r="C2213" s="94"/>
      <c r="E2213" s="94"/>
      <c r="G2213" s="94"/>
      <c r="I2213" s="94"/>
      <c r="K2213" s="94"/>
      <c r="M2213" s="94"/>
    </row>
    <row r="2214" s="93" customFormat="1" spans="3:13">
      <c r="C2214" s="94"/>
      <c r="E2214" s="94"/>
      <c r="G2214" s="94"/>
      <c r="I2214" s="94"/>
      <c r="K2214" s="94"/>
      <c r="M2214" s="94"/>
    </row>
    <row r="2215" s="93" customFormat="1" spans="3:13">
      <c r="C2215" s="94"/>
      <c r="E2215" s="94"/>
      <c r="G2215" s="94"/>
      <c r="I2215" s="94"/>
      <c r="K2215" s="94"/>
      <c r="M2215" s="94"/>
    </row>
    <row r="2216" s="93" customFormat="1" spans="3:13">
      <c r="C2216" s="94"/>
      <c r="E2216" s="94"/>
      <c r="G2216" s="94"/>
      <c r="I2216" s="94"/>
      <c r="K2216" s="94"/>
      <c r="M2216" s="94"/>
    </row>
    <row r="2217" s="93" customFormat="1" spans="3:13">
      <c r="C2217" s="94"/>
      <c r="E2217" s="94"/>
      <c r="G2217" s="94"/>
      <c r="I2217" s="94"/>
      <c r="K2217" s="94"/>
      <c r="M2217" s="94"/>
    </row>
    <row r="2218" s="93" customFormat="1" spans="3:13">
      <c r="C2218" s="94"/>
      <c r="E2218" s="94"/>
      <c r="G2218" s="94"/>
      <c r="I2218" s="94"/>
      <c r="K2218" s="94"/>
      <c r="M2218" s="94"/>
    </row>
    <row r="2219" s="93" customFormat="1" spans="3:13">
      <c r="C2219" s="94"/>
      <c r="E2219" s="94"/>
      <c r="G2219" s="94"/>
      <c r="I2219" s="94"/>
      <c r="K2219" s="94"/>
      <c r="M2219" s="94"/>
    </row>
    <row r="2220" s="93" customFormat="1" spans="3:13">
      <c r="C2220" s="94"/>
      <c r="E2220" s="94"/>
      <c r="G2220" s="94"/>
      <c r="I2220" s="94"/>
      <c r="K2220" s="94"/>
      <c r="M2220" s="94"/>
    </row>
    <row r="2221" s="93" customFormat="1" spans="3:13">
      <c r="C2221" s="94"/>
      <c r="E2221" s="94"/>
      <c r="G2221" s="94"/>
      <c r="I2221" s="94"/>
      <c r="K2221" s="94"/>
      <c r="M2221" s="94"/>
    </row>
    <row r="2222" s="93" customFormat="1" spans="3:13">
      <c r="C2222" s="94"/>
      <c r="E2222" s="94"/>
      <c r="G2222" s="94"/>
      <c r="I2222" s="94"/>
      <c r="K2222" s="94"/>
      <c r="M2222" s="94"/>
    </row>
    <row r="2223" s="93" customFormat="1" spans="3:13">
      <c r="C2223" s="94"/>
      <c r="E2223" s="94"/>
      <c r="G2223" s="94"/>
      <c r="I2223" s="94"/>
      <c r="K2223" s="94"/>
      <c r="M2223" s="94"/>
    </row>
    <row r="2224" s="93" customFormat="1" spans="3:13">
      <c r="C2224" s="94"/>
      <c r="E2224" s="94"/>
      <c r="G2224" s="94"/>
      <c r="I2224" s="94"/>
      <c r="K2224" s="94"/>
      <c r="M2224" s="94"/>
    </row>
    <row r="2225" s="93" customFormat="1" spans="3:13">
      <c r="C2225" s="94"/>
      <c r="E2225" s="94"/>
      <c r="G2225" s="94"/>
      <c r="I2225" s="94"/>
      <c r="K2225" s="94"/>
      <c r="M2225" s="94"/>
    </row>
    <row r="2226" s="93" customFormat="1" spans="3:13">
      <c r="C2226" s="94"/>
      <c r="E2226" s="94"/>
      <c r="G2226" s="94"/>
      <c r="I2226" s="94"/>
      <c r="K2226" s="94"/>
      <c r="M2226" s="94"/>
    </row>
    <row r="2227" s="93" customFormat="1" spans="3:13">
      <c r="C2227" s="94"/>
      <c r="E2227" s="94"/>
      <c r="G2227" s="94"/>
      <c r="I2227" s="94"/>
      <c r="K2227" s="94"/>
      <c r="M2227" s="94"/>
    </row>
    <row r="2228" s="93" customFormat="1" spans="3:13">
      <c r="C2228" s="94"/>
      <c r="E2228" s="94"/>
      <c r="G2228" s="94"/>
      <c r="I2228" s="94"/>
      <c r="K2228" s="94"/>
      <c r="M2228" s="94"/>
    </row>
    <row r="2229" s="93" customFormat="1" spans="3:13">
      <c r="C2229" s="94"/>
      <c r="E2229" s="94"/>
      <c r="G2229" s="94"/>
      <c r="I2229" s="94"/>
      <c r="K2229" s="94"/>
      <c r="M2229" s="94"/>
    </row>
    <row r="2230" s="93" customFormat="1" spans="3:13">
      <c r="C2230" s="94"/>
      <c r="E2230" s="94"/>
      <c r="G2230" s="94"/>
      <c r="I2230" s="94"/>
      <c r="K2230" s="94"/>
      <c r="M2230" s="94"/>
    </row>
    <row r="2231" s="93" customFormat="1" spans="3:13">
      <c r="C2231" s="94"/>
      <c r="E2231" s="94"/>
      <c r="G2231" s="94"/>
      <c r="I2231" s="94"/>
      <c r="K2231" s="94"/>
      <c r="M2231" s="94"/>
    </row>
    <row r="2232" s="93" customFormat="1" spans="3:13">
      <c r="C2232" s="94"/>
      <c r="E2232" s="94"/>
      <c r="G2232" s="94"/>
      <c r="I2232" s="94"/>
      <c r="K2232" s="94"/>
      <c r="M2232" s="94"/>
    </row>
    <row r="2233" s="93" customFormat="1" spans="3:13">
      <c r="C2233" s="94"/>
      <c r="E2233" s="94"/>
      <c r="G2233" s="94"/>
      <c r="I2233" s="94"/>
      <c r="K2233" s="94"/>
      <c r="M2233" s="94"/>
    </row>
    <row r="2234" s="93" customFormat="1" spans="3:13">
      <c r="C2234" s="94"/>
      <c r="E2234" s="94"/>
      <c r="G2234" s="94"/>
      <c r="I2234" s="94"/>
      <c r="K2234" s="94"/>
      <c r="M2234" s="94"/>
    </row>
    <row r="2235" s="93" customFormat="1" spans="3:13">
      <c r="C2235" s="94"/>
      <c r="E2235" s="94"/>
      <c r="G2235" s="94"/>
      <c r="I2235" s="94"/>
      <c r="K2235" s="94"/>
      <c r="M2235" s="94"/>
    </row>
    <row r="2236" s="93" customFormat="1" spans="3:13">
      <c r="C2236" s="94"/>
      <c r="E2236" s="94"/>
      <c r="G2236" s="94"/>
      <c r="I2236" s="94"/>
      <c r="K2236" s="94"/>
      <c r="M2236" s="94"/>
    </row>
    <row r="2237" s="93" customFormat="1" spans="3:13">
      <c r="C2237" s="94"/>
      <c r="E2237" s="94"/>
      <c r="G2237" s="94"/>
      <c r="I2237" s="94"/>
      <c r="K2237" s="94"/>
      <c r="M2237" s="94"/>
    </row>
    <row r="2238" s="93" customFormat="1" spans="3:13">
      <c r="C2238" s="94"/>
      <c r="E2238" s="94"/>
      <c r="G2238" s="94"/>
      <c r="I2238" s="94"/>
      <c r="K2238" s="94"/>
      <c r="M2238" s="94"/>
    </row>
    <row r="2239" s="93" customFormat="1" spans="3:13">
      <c r="C2239" s="94"/>
      <c r="E2239" s="94"/>
      <c r="G2239" s="94"/>
      <c r="I2239" s="94"/>
      <c r="K2239" s="94"/>
      <c r="M2239" s="94"/>
    </row>
    <row r="2240" s="93" customFormat="1" spans="3:13">
      <c r="C2240" s="94"/>
      <c r="E2240" s="94"/>
      <c r="G2240" s="94"/>
      <c r="I2240" s="94"/>
      <c r="K2240" s="94"/>
      <c r="M2240" s="94"/>
    </row>
    <row r="2241" s="93" customFormat="1" spans="3:13">
      <c r="C2241" s="94"/>
      <c r="E2241" s="94"/>
      <c r="G2241" s="94"/>
      <c r="I2241" s="94"/>
      <c r="K2241" s="94"/>
      <c r="M2241" s="94"/>
    </row>
    <row r="2242" s="93" customFormat="1" spans="3:13">
      <c r="C2242" s="94"/>
      <c r="E2242" s="94"/>
      <c r="G2242" s="94"/>
      <c r="I2242" s="94"/>
      <c r="K2242" s="94"/>
      <c r="M2242" s="94"/>
    </row>
    <row r="2243" s="93" customFormat="1" spans="3:13">
      <c r="C2243" s="94"/>
      <c r="E2243" s="94"/>
      <c r="G2243" s="94"/>
      <c r="I2243" s="94"/>
      <c r="K2243" s="94"/>
      <c r="M2243" s="94"/>
    </row>
    <row r="2244" s="93" customFormat="1" spans="3:13">
      <c r="C2244" s="94"/>
      <c r="E2244" s="94"/>
      <c r="G2244" s="94"/>
      <c r="I2244" s="94"/>
      <c r="K2244" s="94"/>
      <c r="M2244" s="94"/>
    </row>
    <row r="2245" s="93" customFormat="1" spans="3:13">
      <c r="C2245" s="94"/>
      <c r="E2245" s="94"/>
      <c r="G2245" s="94"/>
      <c r="I2245" s="94"/>
      <c r="K2245" s="94"/>
      <c r="M2245" s="94"/>
    </row>
    <row r="2246" s="93" customFormat="1" spans="3:13">
      <c r="C2246" s="94"/>
      <c r="E2246" s="94"/>
      <c r="G2246" s="94"/>
      <c r="I2246" s="94"/>
      <c r="K2246" s="94"/>
      <c r="M2246" s="94"/>
    </row>
    <row r="2247" s="93" customFormat="1" spans="3:13">
      <c r="C2247" s="94"/>
      <c r="E2247" s="94"/>
      <c r="G2247" s="94"/>
      <c r="I2247" s="94"/>
      <c r="K2247" s="94"/>
      <c r="M2247" s="94"/>
    </row>
    <row r="2248" s="93" customFormat="1" spans="3:13">
      <c r="C2248" s="94"/>
      <c r="E2248" s="94"/>
      <c r="G2248" s="94"/>
      <c r="I2248" s="94"/>
      <c r="K2248" s="94"/>
      <c r="M2248" s="94"/>
    </row>
    <row r="2249" s="93" customFormat="1" spans="3:13">
      <c r="C2249" s="94"/>
      <c r="E2249" s="94"/>
      <c r="G2249" s="94"/>
      <c r="I2249" s="94"/>
      <c r="K2249" s="94"/>
      <c r="M2249" s="94"/>
    </row>
    <row r="2250" s="93" customFormat="1" spans="3:13">
      <c r="C2250" s="94"/>
      <c r="E2250" s="94"/>
      <c r="G2250" s="94"/>
      <c r="I2250" s="94"/>
      <c r="K2250" s="94"/>
      <c r="M2250" s="94"/>
    </row>
    <row r="2251" s="93" customFormat="1" spans="3:13">
      <c r="C2251" s="94"/>
      <c r="E2251" s="94"/>
      <c r="G2251" s="94"/>
      <c r="I2251" s="94"/>
      <c r="K2251" s="94"/>
      <c r="M2251" s="94"/>
    </row>
    <row r="2252" s="93" customFormat="1" spans="3:13">
      <c r="C2252" s="94"/>
      <c r="E2252" s="94"/>
      <c r="G2252" s="94"/>
      <c r="I2252" s="94"/>
      <c r="K2252" s="94"/>
      <c r="M2252" s="94"/>
    </row>
    <row r="2253" s="93" customFormat="1" spans="3:13">
      <c r="C2253" s="94"/>
      <c r="E2253" s="94"/>
      <c r="G2253" s="94"/>
      <c r="I2253" s="94"/>
      <c r="K2253" s="94"/>
      <c r="M2253" s="94"/>
    </row>
    <row r="2254" s="93" customFormat="1" spans="3:13">
      <c r="C2254" s="94"/>
      <c r="E2254" s="94"/>
      <c r="G2254" s="94"/>
      <c r="I2254" s="94"/>
      <c r="K2254" s="94"/>
      <c r="M2254" s="94"/>
    </row>
    <row r="2255" s="93" customFormat="1" spans="3:13">
      <c r="C2255" s="94"/>
      <c r="E2255" s="94"/>
      <c r="G2255" s="94"/>
      <c r="I2255" s="94"/>
      <c r="K2255" s="94"/>
      <c r="M2255" s="94"/>
    </row>
    <row r="2256" s="93" customFormat="1" spans="3:13">
      <c r="C2256" s="94"/>
      <c r="E2256" s="94"/>
      <c r="G2256" s="94"/>
      <c r="I2256" s="94"/>
      <c r="K2256" s="94"/>
      <c r="M2256" s="94"/>
    </row>
    <row r="2257" s="93" customFormat="1" spans="3:13">
      <c r="C2257" s="94"/>
      <c r="E2257" s="94"/>
      <c r="G2257" s="94"/>
      <c r="I2257" s="94"/>
      <c r="K2257" s="94"/>
      <c r="M2257" s="94"/>
    </row>
    <row r="2258" s="93" customFormat="1" spans="3:13">
      <c r="C2258" s="94"/>
      <c r="E2258" s="94"/>
      <c r="G2258" s="94"/>
      <c r="I2258" s="94"/>
      <c r="K2258" s="94"/>
      <c r="M2258" s="94"/>
    </row>
    <row r="2259" s="93" customFormat="1" spans="3:13">
      <c r="C2259" s="94"/>
      <c r="E2259" s="94"/>
      <c r="G2259" s="94"/>
      <c r="I2259" s="94"/>
      <c r="K2259" s="94"/>
      <c r="M2259" s="94"/>
    </row>
    <row r="2260" s="93" customFormat="1" spans="3:13">
      <c r="C2260" s="94"/>
      <c r="E2260" s="94"/>
      <c r="G2260" s="94"/>
      <c r="I2260" s="94"/>
      <c r="K2260" s="94"/>
      <c r="M2260" s="94"/>
    </row>
    <row r="2261" s="93" customFormat="1" spans="3:13">
      <c r="C2261" s="94"/>
      <c r="E2261" s="94"/>
      <c r="G2261" s="94"/>
      <c r="I2261" s="94"/>
      <c r="K2261" s="94"/>
      <c r="M2261" s="94"/>
    </row>
    <row r="2262" s="93" customFormat="1" spans="3:13">
      <c r="C2262" s="94"/>
      <c r="E2262" s="94"/>
      <c r="G2262" s="94"/>
      <c r="I2262" s="94"/>
      <c r="K2262" s="94"/>
      <c r="M2262" s="94"/>
    </row>
    <row r="2263" s="93" customFormat="1" spans="3:13">
      <c r="C2263" s="94"/>
      <c r="E2263" s="94"/>
      <c r="G2263" s="94"/>
      <c r="I2263" s="94"/>
      <c r="K2263" s="94"/>
      <c r="M2263" s="94"/>
    </row>
    <row r="2264" s="93" customFormat="1" spans="3:13">
      <c r="C2264" s="94"/>
      <c r="E2264" s="94"/>
      <c r="G2264" s="94"/>
      <c r="I2264" s="94"/>
      <c r="K2264" s="94"/>
      <c r="M2264" s="94"/>
    </row>
    <row r="2265" s="93" customFormat="1" spans="3:13">
      <c r="C2265" s="94"/>
      <c r="E2265" s="94"/>
      <c r="G2265" s="94"/>
      <c r="I2265" s="94"/>
      <c r="K2265" s="94"/>
      <c r="M2265" s="94"/>
    </row>
    <row r="2266" s="93" customFormat="1" spans="3:13">
      <c r="C2266" s="94"/>
      <c r="E2266" s="94"/>
      <c r="G2266" s="94"/>
      <c r="I2266" s="94"/>
      <c r="K2266" s="94"/>
      <c r="M2266" s="94"/>
    </row>
    <row r="2267" s="93" customFormat="1" spans="3:13">
      <c r="C2267" s="94"/>
      <c r="E2267" s="94"/>
      <c r="G2267" s="94"/>
      <c r="I2267" s="94"/>
      <c r="K2267" s="94"/>
      <c r="M2267" s="94"/>
    </row>
    <row r="2268" s="93" customFormat="1" spans="3:13">
      <c r="C2268" s="94"/>
      <c r="E2268" s="94"/>
      <c r="G2268" s="94"/>
      <c r="I2268" s="94"/>
      <c r="K2268" s="94"/>
      <c r="M2268" s="94"/>
    </row>
    <row r="2269" s="93" customFormat="1" spans="3:13">
      <c r="C2269" s="94"/>
      <c r="E2269" s="94"/>
      <c r="G2269" s="94"/>
      <c r="I2269" s="94"/>
      <c r="K2269" s="94"/>
      <c r="M2269" s="94"/>
    </row>
    <row r="2270" s="93" customFormat="1" spans="3:13">
      <c r="C2270" s="94"/>
      <c r="E2270" s="94"/>
      <c r="G2270" s="94"/>
      <c r="I2270" s="94"/>
      <c r="K2270" s="94"/>
      <c r="M2270" s="94"/>
    </row>
    <row r="2271" s="93" customFormat="1" spans="3:13">
      <c r="C2271" s="94"/>
      <c r="E2271" s="94"/>
      <c r="G2271" s="94"/>
      <c r="I2271" s="94"/>
      <c r="K2271" s="94"/>
      <c r="M2271" s="94"/>
    </row>
    <row r="2272" s="93" customFormat="1" spans="3:13">
      <c r="C2272" s="94"/>
      <c r="E2272" s="94"/>
      <c r="G2272" s="94"/>
      <c r="I2272" s="94"/>
      <c r="K2272" s="94"/>
      <c r="M2272" s="94"/>
    </row>
    <row r="2273" s="93" customFormat="1" spans="3:13">
      <c r="C2273" s="94"/>
      <c r="E2273" s="94"/>
      <c r="G2273" s="94"/>
      <c r="I2273" s="94"/>
      <c r="K2273" s="94"/>
      <c r="M2273" s="94"/>
    </row>
    <row r="2274" s="93" customFormat="1" spans="3:13">
      <c r="C2274" s="94"/>
      <c r="E2274" s="94"/>
      <c r="G2274" s="94"/>
      <c r="I2274" s="94"/>
      <c r="K2274" s="94"/>
      <c r="M2274" s="94"/>
    </row>
    <row r="2275" s="93" customFormat="1" spans="3:13">
      <c r="C2275" s="94"/>
      <c r="E2275" s="94"/>
      <c r="G2275" s="94"/>
      <c r="I2275" s="94"/>
      <c r="K2275" s="94"/>
      <c r="M2275" s="94"/>
    </row>
    <row r="2276" s="93" customFormat="1" spans="3:13">
      <c r="C2276" s="94"/>
      <c r="E2276" s="94"/>
      <c r="G2276" s="94"/>
      <c r="I2276" s="94"/>
      <c r="K2276" s="94"/>
      <c r="M2276" s="94"/>
    </row>
    <row r="2277" s="93" customFormat="1" spans="3:13">
      <c r="C2277" s="94"/>
      <c r="E2277" s="94"/>
      <c r="G2277" s="94"/>
      <c r="I2277" s="94"/>
      <c r="K2277" s="94"/>
      <c r="M2277" s="94"/>
    </row>
    <row r="2278" s="93" customFormat="1" spans="3:13">
      <c r="C2278" s="94"/>
      <c r="E2278" s="94"/>
      <c r="G2278" s="94"/>
      <c r="I2278" s="94"/>
      <c r="K2278" s="94"/>
      <c r="M2278" s="94"/>
    </row>
    <row r="2279" s="93" customFormat="1" spans="3:13">
      <c r="C2279" s="94"/>
      <c r="E2279" s="94"/>
      <c r="G2279" s="94"/>
      <c r="I2279" s="94"/>
      <c r="K2279" s="94"/>
      <c r="M2279" s="94"/>
    </row>
    <row r="2280" s="93" customFormat="1" spans="3:13">
      <c r="C2280" s="94"/>
      <c r="E2280" s="94"/>
      <c r="G2280" s="94"/>
      <c r="I2280" s="94"/>
      <c r="K2280" s="94"/>
      <c r="M2280" s="94"/>
    </row>
    <row r="2281" s="93" customFormat="1" spans="3:13">
      <c r="C2281" s="94"/>
      <c r="E2281" s="94"/>
      <c r="G2281" s="94"/>
      <c r="I2281" s="94"/>
      <c r="K2281" s="94"/>
      <c r="M2281" s="94"/>
    </row>
    <row r="2282" s="93" customFormat="1" spans="3:13">
      <c r="C2282" s="94"/>
      <c r="E2282" s="94"/>
      <c r="G2282" s="94"/>
      <c r="I2282" s="94"/>
      <c r="K2282" s="94"/>
      <c r="M2282" s="94"/>
    </row>
    <row r="2283" s="93" customFormat="1" spans="3:13">
      <c r="C2283" s="94"/>
      <c r="E2283" s="94"/>
      <c r="G2283" s="94"/>
      <c r="I2283" s="94"/>
      <c r="K2283" s="94"/>
      <c r="M2283" s="94"/>
    </row>
    <row r="2284" s="93" customFormat="1" spans="3:13">
      <c r="C2284" s="94"/>
      <c r="E2284" s="94"/>
      <c r="G2284" s="94"/>
      <c r="I2284" s="94"/>
      <c r="K2284" s="94"/>
      <c r="M2284" s="94"/>
    </row>
    <row r="2285" s="93" customFormat="1" spans="3:13">
      <c r="C2285" s="94"/>
      <c r="E2285" s="94"/>
      <c r="G2285" s="94"/>
      <c r="I2285" s="94"/>
      <c r="K2285" s="94"/>
      <c r="M2285" s="94"/>
    </row>
    <row r="2286" s="93" customFormat="1" spans="3:13">
      <c r="C2286" s="94"/>
      <c r="E2286" s="94"/>
      <c r="G2286" s="94"/>
      <c r="I2286" s="94"/>
      <c r="K2286" s="94"/>
      <c r="M2286" s="94"/>
    </row>
    <row r="2287" s="93" customFormat="1" spans="3:13">
      <c r="C2287" s="94"/>
      <c r="E2287" s="94"/>
      <c r="G2287" s="94"/>
      <c r="I2287" s="94"/>
      <c r="K2287" s="94"/>
      <c r="M2287" s="94"/>
    </row>
    <row r="2288" s="93" customFormat="1" spans="3:13">
      <c r="C2288" s="94"/>
      <c r="E2288" s="94"/>
      <c r="G2288" s="94"/>
      <c r="I2288" s="94"/>
      <c r="K2288" s="94"/>
      <c r="M2288" s="94"/>
    </row>
    <row r="2289" s="93" customFormat="1" spans="3:13">
      <c r="C2289" s="94"/>
      <c r="E2289" s="94"/>
      <c r="G2289" s="94"/>
      <c r="I2289" s="94"/>
      <c r="K2289" s="94"/>
      <c r="M2289" s="94"/>
    </row>
    <row r="2290" s="93" customFormat="1" spans="3:13">
      <c r="C2290" s="94"/>
      <c r="E2290" s="94"/>
      <c r="G2290" s="94"/>
      <c r="I2290" s="94"/>
      <c r="K2290" s="94"/>
      <c r="M2290" s="94"/>
    </row>
    <row r="2291" s="93" customFormat="1" spans="3:13">
      <c r="C2291" s="94"/>
      <c r="E2291" s="94"/>
      <c r="G2291" s="94"/>
      <c r="I2291" s="94"/>
      <c r="K2291" s="94"/>
      <c r="M2291" s="94"/>
    </row>
    <row r="2292" s="93" customFormat="1" spans="3:13">
      <c r="C2292" s="94"/>
      <c r="E2292" s="94"/>
      <c r="G2292" s="94"/>
      <c r="I2292" s="94"/>
      <c r="K2292" s="94"/>
      <c r="M2292" s="94"/>
    </row>
    <row r="2293" s="93" customFormat="1" spans="3:13">
      <c r="C2293" s="94"/>
      <c r="E2293" s="94"/>
      <c r="G2293" s="94"/>
      <c r="I2293" s="94"/>
      <c r="K2293" s="94"/>
      <c r="M2293" s="94"/>
    </row>
    <row r="2294" s="93" customFormat="1" spans="3:13">
      <c r="C2294" s="94"/>
      <c r="E2294" s="94"/>
      <c r="G2294" s="94"/>
      <c r="I2294" s="94"/>
      <c r="K2294" s="94"/>
      <c r="M2294" s="94"/>
    </row>
    <row r="2295" s="93" customFormat="1" spans="3:13">
      <c r="C2295" s="94"/>
      <c r="E2295" s="94"/>
      <c r="G2295" s="94"/>
      <c r="I2295" s="94"/>
      <c r="K2295" s="94"/>
      <c r="M2295" s="94"/>
    </row>
    <row r="2296" s="93" customFormat="1" spans="3:13">
      <c r="C2296" s="94"/>
      <c r="E2296" s="94"/>
      <c r="G2296" s="94"/>
      <c r="I2296" s="94"/>
      <c r="K2296" s="94"/>
      <c r="M2296" s="94"/>
    </row>
    <row r="2297" s="93" customFormat="1" spans="3:13">
      <c r="C2297" s="94"/>
      <c r="E2297" s="94"/>
      <c r="G2297" s="94"/>
      <c r="I2297" s="94"/>
      <c r="K2297" s="94"/>
      <c r="M2297" s="94"/>
    </row>
    <row r="2298" s="93" customFormat="1" spans="3:13">
      <c r="C2298" s="94"/>
      <c r="E2298" s="94"/>
      <c r="G2298" s="94"/>
      <c r="I2298" s="94"/>
      <c r="K2298" s="94"/>
      <c r="M2298" s="94"/>
    </row>
    <row r="2299" s="93" customFormat="1" spans="3:13">
      <c r="C2299" s="94"/>
      <c r="E2299" s="94"/>
      <c r="G2299" s="94"/>
      <c r="I2299" s="94"/>
      <c r="K2299" s="94"/>
      <c r="M2299" s="94"/>
    </row>
    <row r="2300" s="93" customFormat="1" spans="3:13">
      <c r="C2300" s="94"/>
      <c r="E2300" s="94"/>
      <c r="G2300" s="94"/>
      <c r="I2300" s="94"/>
      <c r="K2300" s="94"/>
      <c r="M2300" s="94"/>
    </row>
    <row r="2301" s="93" customFormat="1" spans="3:13">
      <c r="C2301" s="94"/>
      <c r="E2301" s="94"/>
      <c r="G2301" s="94"/>
      <c r="I2301" s="94"/>
      <c r="K2301" s="94"/>
      <c r="M2301" s="94"/>
    </row>
    <row r="2302" s="93" customFormat="1" spans="3:13">
      <c r="C2302" s="94"/>
      <c r="E2302" s="94"/>
      <c r="G2302" s="94"/>
      <c r="I2302" s="94"/>
      <c r="K2302" s="94"/>
      <c r="M2302" s="94"/>
    </row>
    <row r="2303" s="93" customFormat="1" spans="3:13">
      <c r="C2303" s="94"/>
      <c r="E2303" s="94"/>
      <c r="G2303" s="94"/>
      <c r="I2303" s="94"/>
      <c r="K2303" s="94"/>
      <c r="M2303" s="94"/>
    </row>
    <row r="2304" s="93" customFormat="1" spans="3:13">
      <c r="C2304" s="94"/>
      <c r="E2304" s="94"/>
      <c r="G2304" s="94"/>
      <c r="I2304" s="94"/>
      <c r="K2304" s="94"/>
      <c r="M2304" s="94"/>
    </row>
    <row r="2305" s="93" customFormat="1" spans="3:13">
      <c r="C2305" s="94"/>
      <c r="E2305" s="94"/>
      <c r="G2305" s="94"/>
      <c r="I2305" s="94"/>
      <c r="K2305" s="94"/>
      <c r="M2305" s="94"/>
    </row>
    <row r="2306" s="93" customFormat="1" spans="3:13">
      <c r="C2306" s="94"/>
      <c r="E2306" s="94"/>
      <c r="G2306" s="94"/>
      <c r="I2306" s="94"/>
      <c r="K2306" s="94"/>
      <c r="M2306" s="94"/>
    </row>
    <row r="2307" s="93" customFormat="1" spans="3:13">
      <c r="C2307" s="94"/>
      <c r="E2307" s="94"/>
      <c r="G2307" s="94"/>
      <c r="I2307" s="94"/>
      <c r="K2307" s="94"/>
      <c r="M2307" s="94"/>
    </row>
    <row r="2308" s="93" customFormat="1" spans="3:13">
      <c r="C2308" s="94"/>
      <c r="E2308" s="94"/>
      <c r="G2308" s="94"/>
      <c r="I2308" s="94"/>
      <c r="K2308" s="94"/>
      <c r="M2308" s="94"/>
    </row>
    <row r="2309" s="93" customFormat="1" spans="3:13">
      <c r="C2309" s="94"/>
      <c r="E2309" s="94"/>
      <c r="G2309" s="94"/>
      <c r="I2309" s="94"/>
      <c r="K2309" s="94"/>
      <c r="M2309" s="94"/>
    </row>
    <row r="2310" s="93" customFormat="1" spans="3:13">
      <c r="C2310" s="94"/>
      <c r="E2310" s="94"/>
      <c r="G2310" s="94"/>
      <c r="I2310" s="94"/>
      <c r="K2310" s="94"/>
      <c r="M2310" s="94"/>
    </row>
    <row r="2311" s="93" customFormat="1" spans="3:13">
      <c r="C2311" s="94"/>
      <c r="E2311" s="94"/>
      <c r="G2311" s="94"/>
      <c r="I2311" s="94"/>
      <c r="K2311" s="94"/>
      <c r="M2311" s="94"/>
    </row>
    <row r="2312" s="93" customFormat="1" spans="3:13">
      <c r="C2312" s="94"/>
      <c r="E2312" s="94"/>
      <c r="G2312" s="94"/>
      <c r="I2312" s="94"/>
      <c r="K2312" s="94"/>
      <c r="M2312" s="94"/>
    </row>
    <row r="2313" s="93" customFormat="1" spans="3:13">
      <c r="C2313" s="94"/>
      <c r="E2313" s="94"/>
      <c r="G2313" s="94"/>
      <c r="I2313" s="94"/>
      <c r="K2313" s="94"/>
      <c r="M2313" s="94"/>
    </row>
    <row r="2314" s="93" customFormat="1" spans="3:13">
      <c r="C2314" s="94"/>
      <c r="E2314" s="94"/>
      <c r="G2314" s="94"/>
      <c r="I2314" s="94"/>
      <c r="K2314" s="94"/>
      <c r="M2314" s="94"/>
    </row>
    <row r="2315" s="93" customFormat="1" spans="3:13">
      <c r="C2315" s="94"/>
      <c r="E2315" s="94"/>
      <c r="G2315" s="94"/>
      <c r="I2315" s="94"/>
      <c r="K2315" s="94"/>
      <c r="M2315" s="94"/>
    </row>
    <row r="2316" s="93" customFormat="1" spans="3:13">
      <c r="C2316" s="94"/>
      <c r="E2316" s="94"/>
      <c r="G2316" s="94"/>
      <c r="I2316" s="94"/>
      <c r="K2316" s="94"/>
      <c r="M2316" s="94"/>
    </row>
    <row r="2317" s="93" customFormat="1" spans="3:13">
      <c r="C2317" s="94"/>
      <c r="E2317" s="94"/>
      <c r="G2317" s="94"/>
      <c r="I2317" s="94"/>
      <c r="K2317" s="94"/>
      <c r="M2317" s="94"/>
    </row>
    <row r="2318" s="93" customFormat="1" spans="3:13">
      <c r="C2318" s="94"/>
      <c r="E2318" s="94"/>
      <c r="G2318" s="94"/>
      <c r="I2318" s="94"/>
      <c r="K2318" s="94"/>
      <c r="M2318" s="94"/>
    </row>
    <row r="2319" s="93" customFormat="1" spans="3:13">
      <c r="C2319" s="94"/>
      <c r="E2319" s="94"/>
      <c r="G2319" s="94"/>
      <c r="I2319" s="94"/>
      <c r="K2319" s="94"/>
      <c r="M2319" s="94"/>
    </row>
    <row r="2320" s="93" customFormat="1" spans="3:13">
      <c r="C2320" s="94"/>
      <c r="E2320" s="94"/>
      <c r="G2320" s="94"/>
      <c r="I2320" s="94"/>
      <c r="K2320" s="94"/>
      <c r="M2320" s="94"/>
    </row>
    <row r="2321" s="93" customFormat="1" spans="3:13">
      <c r="C2321" s="94"/>
      <c r="E2321" s="94"/>
      <c r="G2321" s="94"/>
      <c r="I2321" s="94"/>
      <c r="K2321" s="94"/>
      <c r="M2321" s="94"/>
    </row>
    <row r="2322" s="93" customFormat="1" spans="3:13">
      <c r="C2322" s="94"/>
      <c r="E2322" s="94"/>
      <c r="G2322" s="94"/>
      <c r="I2322" s="94"/>
      <c r="K2322" s="94"/>
      <c r="M2322" s="94"/>
    </row>
    <row r="2323" s="93" customFormat="1" spans="3:13">
      <c r="C2323" s="94"/>
      <c r="E2323" s="94"/>
      <c r="G2323" s="94"/>
      <c r="I2323" s="94"/>
      <c r="K2323" s="94"/>
      <c r="M2323" s="94"/>
    </row>
    <row r="2324" s="93" customFormat="1" spans="3:13">
      <c r="C2324" s="94"/>
      <c r="E2324" s="94"/>
      <c r="G2324" s="94"/>
      <c r="I2324" s="94"/>
      <c r="K2324" s="94"/>
      <c r="M2324" s="94"/>
    </row>
    <row r="2325" s="93" customFormat="1" spans="3:13">
      <c r="C2325" s="94"/>
      <c r="E2325" s="94"/>
      <c r="G2325" s="94"/>
      <c r="I2325" s="94"/>
      <c r="K2325" s="94"/>
      <c r="M2325" s="94"/>
    </row>
    <row r="2326" s="93" customFormat="1" spans="3:13">
      <c r="C2326" s="94"/>
      <c r="E2326" s="94"/>
      <c r="G2326" s="94"/>
      <c r="I2326" s="94"/>
      <c r="K2326" s="94"/>
      <c r="M2326" s="94"/>
    </row>
    <row r="2327" s="93" customFormat="1" spans="3:13">
      <c r="C2327" s="94"/>
      <c r="E2327" s="94"/>
      <c r="G2327" s="94"/>
      <c r="I2327" s="94"/>
      <c r="K2327" s="94"/>
      <c r="M2327" s="94"/>
    </row>
    <row r="2328" s="93" customFormat="1" spans="3:13">
      <c r="C2328" s="94"/>
      <c r="E2328" s="94"/>
      <c r="G2328" s="94"/>
      <c r="I2328" s="94"/>
      <c r="K2328" s="94"/>
      <c r="M2328" s="94"/>
    </row>
    <row r="2329" s="93" customFormat="1" spans="3:13">
      <c r="C2329" s="94"/>
      <c r="E2329" s="94"/>
      <c r="G2329" s="94"/>
      <c r="I2329" s="94"/>
      <c r="K2329" s="94"/>
      <c r="M2329" s="94"/>
    </row>
    <row r="2330" s="93" customFormat="1" spans="3:13">
      <c r="C2330" s="94"/>
      <c r="E2330" s="94"/>
      <c r="G2330" s="94"/>
      <c r="I2330" s="94"/>
      <c r="K2330" s="94"/>
      <c r="M2330" s="94"/>
    </row>
    <row r="2331" s="93" customFormat="1" spans="3:13">
      <c r="C2331" s="94"/>
      <c r="E2331" s="94"/>
      <c r="G2331" s="94"/>
      <c r="I2331" s="94"/>
      <c r="K2331" s="94"/>
      <c r="M2331" s="94"/>
    </row>
    <row r="2332" s="93" customFormat="1" spans="3:13">
      <c r="C2332" s="94"/>
      <c r="E2332" s="94"/>
      <c r="G2332" s="94"/>
      <c r="I2332" s="94"/>
      <c r="K2332" s="94"/>
      <c r="M2332" s="94"/>
    </row>
    <row r="2333" s="93" customFormat="1" spans="3:13">
      <c r="C2333" s="94"/>
      <c r="E2333" s="94"/>
      <c r="G2333" s="94"/>
      <c r="I2333" s="94"/>
      <c r="K2333" s="94"/>
      <c r="M2333" s="94"/>
    </row>
    <row r="2334" s="93" customFormat="1" spans="3:13">
      <c r="C2334" s="94"/>
      <c r="E2334" s="94"/>
      <c r="G2334" s="94"/>
      <c r="I2334" s="94"/>
      <c r="K2334" s="94"/>
      <c r="M2334" s="94"/>
    </row>
    <row r="2335" s="93" customFormat="1" spans="3:13">
      <c r="C2335" s="94"/>
      <c r="E2335" s="94"/>
      <c r="G2335" s="94"/>
      <c r="I2335" s="94"/>
      <c r="K2335" s="94"/>
      <c r="M2335" s="94"/>
    </row>
    <row r="2336" s="93" customFormat="1" spans="3:13">
      <c r="C2336" s="94"/>
      <c r="E2336" s="94"/>
      <c r="G2336" s="94"/>
      <c r="I2336" s="94"/>
      <c r="K2336" s="94"/>
      <c r="M2336" s="94"/>
    </row>
    <row r="2337" s="93" customFormat="1" spans="3:13">
      <c r="C2337" s="94"/>
      <c r="E2337" s="94"/>
      <c r="G2337" s="94"/>
      <c r="I2337" s="94"/>
      <c r="K2337" s="94"/>
      <c r="M2337" s="94"/>
    </row>
    <row r="2338" s="93" customFormat="1" spans="3:13">
      <c r="C2338" s="94"/>
      <c r="E2338" s="94"/>
      <c r="G2338" s="94"/>
      <c r="I2338" s="94"/>
      <c r="K2338" s="94"/>
      <c r="M2338" s="94"/>
    </row>
    <row r="2339" s="93" customFormat="1" spans="3:13">
      <c r="C2339" s="94"/>
      <c r="E2339" s="94"/>
      <c r="G2339" s="94"/>
      <c r="I2339" s="94"/>
      <c r="K2339" s="94"/>
      <c r="M2339" s="94"/>
    </row>
    <row r="2340" s="93" customFormat="1" spans="3:13">
      <c r="C2340" s="94"/>
      <c r="E2340" s="94"/>
      <c r="G2340" s="94"/>
      <c r="I2340" s="94"/>
      <c r="K2340" s="94"/>
      <c r="M2340" s="94"/>
    </row>
    <row r="2341" s="93" customFormat="1" spans="3:13">
      <c r="C2341" s="94"/>
      <c r="E2341" s="94"/>
      <c r="G2341" s="94"/>
      <c r="I2341" s="94"/>
      <c r="K2341" s="94"/>
      <c r="M2341" s="94"/>
    </row>
    <row r="2342" s="93" customFormat="1" spans="3:13">
      <c r="C2342" s="94"/>
      <c r="E2342" s="94"/>
      <c r="G2342" s="94"/>
      <c r="I2342" s="94"/>
      <c r="K2342" s="94"/>
      <c r="M2342" s="94"/>
    </row>
    <row r="2343" s="93" customFormat="1" spans="3:13">
      <c r="C2343" s="94"/>
      <c r="E2343" s="94"/>
      <c r="G2343" s="94"/>
      <c r="I2343" s="94"/>
      <c r="K2343" s="94"/>
      <c r="M2343" s="94"/>
    </row>
    <row r="2344" s="93" customFormat="1" spans="3:13">
      <c r="C2344" s="94"/>
      <c r="E2344" s="94"/>
      <c r="G2344" s="94"/>
      <c r="I2344" s="94"/>
      <c r="K2344" s="94"/>
      <c r="M2344" s="94"/>
    </row>
    <row r="2345" s="93" customFormat="1" spans="3:13">
      <c r="C2345" s="94"/>
      <c r="E2345" s="94"/>
      <c r="G2345" s="94"/>
      <c r="I2345" s="94"/>
      <c r="K2345" s="94"/>
      <c r="M2345" s="94"/>
    </row>
    <row r="2346" s="93" customFormat="1" spans="3:13">
      <c r="C2346" s="94"/>
      <c r="E2346" s="94"/>
      <c r="G2346" s="94"/>
      <c r="I2346" s="94"/>
      <c r="K2346" s="94"/>
      <c r="M2346" s="94"/>
    </row>
    <row r="2347" s="93" customFormat="1" spans="3:13">
      <c r="C2347" s="94"/>
      <c r="E2347" s="94"/>
      <c r="G2347" s="94"/>
      <c r="I2347" s="94"/>
      <c r="K2347" s="94"/>
      <c r="M2347" s="94"/>
    </row>
    <row r="2348" s="93" customFormat="1" spans="3:13">
      <c r="C2348" s="94"/>
      <c r="E2348" s="94"/>
      <c r="G2348" s="94"/>
      <c r="I2348" s="94"/>
      <c r="K2348" s="94"/>
      <c r="M2348" s="94"/>
    </row>
    <row r="2349" s="93" customFormat="1" spans="3:13">
      <c r="C2349" s="94"/>
      <c r="E2349" s="94"/>
      <c r="G2349" s="94"/>
      <c r="I2349" s="94"/>
      <c r="K2349" s="94"/>
      <c r="M2349" s="94"/>
    </row>
    <row r="2350" s="93" customFormat="1" spans="3:13">
      <c r="C2350" s="94"/>
      <c r="E2350" s="94"/>
      <c r="G2350" s="94"/>
      <c r="I2350" s="94"/>
      <c r="K2350" s="94"/>
      <c r="M2350" s="94"/>
    </row>
    <row r="2351" s="93" customFormat="1" spans="3:13">
      <c r="C2351" s="94"/>
      <c r="E2351" s="94"/>
      <c r="G2351" s="94"/>
      <c r="I2351" s="94"/>
      <c r="K2351" s="94"/>
      <c r="M2351" s="94"/>
    </row>
    <row r="2352" s="93" customFormat="1" spans="3:13">
      <c r="C2352" s="94"/>
      <c r="E2352" s="94"/>
      <c r="G2352" s="94"/>
      <c r="I2352" s="94"/>
      <c r="K2352" s="94"/>
      <c r="M2352" s="94"/>
    </row>
    <row r="2353" s="93" customFormat="1" spans="3:13">
      <c r="C2353" s="94"/>
      <c r="E2353" s="94"/>
      <c r="G2353" s="94"/>
      <c r="I2353" s="94"/>
      <c r="K2353" s="94"/>
      <c r="M2353" s="94"/>
    </row>
    <row r="2354" s="93" customFormat="1" spans="3:13">
      <c r="C2354" s="94"/>
      <c r="E2354" s="94"/>
      <c r="G2354" s="94"/>
      <c r="I2354" s="94"/>
      <c r="K2354" s="94"/>
      <c r="M2354" s="94"/>
    </row>
    <row r="2355" s="93" customFormat="1" spans="3:13">
      <c r="C2355" s="94"/>
      <c r="E2355" s="94"/>
      <c r="G2355" s="94"/>
      <c r="I2355" s="94"/>
      <c r="K2355" s="94"/>
      <c r="M2355" s="94"/>
    </row>
    <row r="2356" s="93" customFormat="1" spans="3:13">
      <c r="C2356" s="94"/>
      <c r="E2356" s="94"/>
      <c r="G2356" s="94"/>
      <c r="I2356" s="94"/>
      <c r="K2356" s="94"/>
      <c r="M2356" s="94"/>
    </row>
    <row r="2357" s="93" customFormat="1" spans="3:13">
      <c r="C2357" s="94"/>
      <c r="E2357" s="94"/>
      <c r="G2357" s="94"/>
      <c r="I2357" s="94"/>
      <c r="K2357" s="94"/>
      <c r="M2357" s="94"/>
    </row>
    <row r="2358" s="93" customFormat="1" spans="3:13">
      <c r="C2358" s="94"/>
      <c r="E2358" s="94"/>
      <c r="G2358" s="94"/>
      <c r="I2358" s="94"/>
      <c r="K2358" s="94"/>
      <c r="M2358" s="94"/>
    </row>
    <row r="2359" s="93" customFormat="1" spans="3:13">
      <c r="C2359" s="94"/>
      <c r="E2359" s="94"/>
      <c r="G2359" s="94"/>
      <c r="I2359" s="94"/>
      <c r="K2359" s="94"/>
      <c r="M2359" s="94"/>
    </row>
    <row r="2360" s="93" customFormat="1" spans="3:13">
      <c r="C2360" s="94"/>
      <c r="E2360" s="94"/>
      <c r="G2360" s="94"/>
      <c r="I2360" s="94"/>
      <c r="K2360" s="94"/>
      <c r="M2360" s="94"/>
    </row>
    <row r="2361" s="93" customFormat="1" spans="3:13">
      <c r="C2361" s="94"/>
      <c r="E2361" s="94"/>
      <c r="G2361" s="94"/>
      <c r="I2361" s="94"/>
      <c r="K2361" s="94"/>
      <c r="M2361" s="94"/>
    </row>
    <row r="2362" s="93" customFormat="1" spans="3:13">
      <c r="C2362" s="94"/>
      <c r="E2362" s="94"/>
      <c r="G2362" s="94"/>
      <c r="I2362" s="94"/>
      <c r="K2362" s="94"/>
      <c r="M2362" s="94"/>
    </row>
    <row r="2363" s="93" customFormat="1" spans="3:13">
      <c r="C2363" s="94"/>
      <c r="E2363" s="94"/>
      <c r="G2363" s="94"/>
      <c r="I2363" s="94"/>
      <c r="K2363" s="94"/>
      <c r="M2363" s="94"/>
    </row>
    <row r="2364" s="93" customFormat="1" spans="3:13">
      <c r="C2364" s="94"/>
      <c r="E2364" s="94"/>
      <c r="G2364" s="94"/>
      <c r="I2364" s="94"/>
      <c r="K2364" s="94"/>
      <c r="M2364" s="94"/>
    </row>
    <row r="2365" s="93" customFormat="1" spans="3:13">
      <c r="C2365" s="94"/>
      <c r="E2365" s="94"/>
      <c r="G2365" s="94"/>
      <c r="I2365" s="94"/>
      <c r="K2365" s="94"/>
      <c r="M2365" s="94"/>
    </row>
    <row r="2366" s="93" customFormat="1" spans="3:13">
      <c r="C2366" s="94"/>
      <c r="E2366" s="94"/>
      <c r="G2366" s="94"/>
      <c r="I2366" s="94"/>
      <c r="K2366" s="94"/>
      <c r="M2366" s="94"/>
    </row>
    <row r="2367" s="93" customFormat="1" spans="3:13">
      <c r="C2367" s="94"/>
      <c r="E2367" s="94"/>
      <c r="G2367" s="94"/>
      <c r="I2367" s="94"/>
      <c r="K2367" s="94"/>
      <c r="M2367" s="94"/>
    </row>
    <row r="2368" s="93" customFormat="1" spans="3:13">
      <c r="C2368" s="94"/>
      <c r="E2368" s="94"/>
      <c r="G2368" s="94"/>
      <c r="I2368" s="94"/>
      <c r="K2368" s="94"/>
      <c r="M2368" s="94"/>
    </row>
    <row r="2369" s="93" customFormat="1" spans="3:13">
      <c r="C2369" s="94"/>
      <c r="E2369" s="94"/>
      <c r="G2369" s="94"/>
      <c r="I2369" s="94"/>
      <c r="K2369" s="94"/>
      <c r="M2369" s="94"/>
    </row>
    <row r="2370" s="93" customFormat="1" spans="3:13">
      <c r="C2370" s="94"/>
      <c r="E2370" s="94"/>
      <c r="G2370" s="94"/>
      <c r="I2370" s="94"/>
      <c r="K2370" s="94"/>
      <c r="M2370" s="94"/>
    </row>
    <row r="2371" s="93" customFormat="1" spans="3:13">
      <c r="C2371" s="94"/>
      <c r="E2371" s="94"/>
      <c r="G2371" s="94"/>
      <c r="I2371" s="94"/>
      <c r="K2371" s="94"/>
      <c r="M2371" s="94"/>
    </row>
    <row r="2372" s="93" customFormat="1" spans="3:13">
      <c r="C2372" s="94"/>
      <c r="E2372" s="94"/>
      <c r="G2372" s="94"/>
      <c r="I2372" s="94"/>
      <c r="K2372" s="94"/>
      <c r="M2372" s="94"/>
    </row>
    <row r="2373" s="93" customFormat="1" spans="3:13">
      <c r="C2373" s="94"/>
      <c r="E2373" s="94"/>
      <c r="G2373" s="94"/>
      <c r="I2373" s="94"/>
      <c r="K2373" s="94"/>
      <c r="M2373" s="94"/>
    </row>
    <row r="2374" s="93" customFormat="1" spans="3:13">
      <c r="C2374" s="94"/>
      <c r="E2374" s="94"/>
      <c r="G2374" s="94"/>
      <c r="I2374" s="94"/>
      <c r="K2374" s="94"/>
      <c r="M2374" s="94"/>
    </row>
    <row r="2375" s="93" customFormat="1" spans="3:13">
      <c r="C2375" s="94"/>
      <c r="E2375" s="94"/>
      <c r="G2375" s="94"/>
      <c r="I2375" s="94"/>
      <c r="K2375" s="94"/>
      <c r="M2375" s="94"/>
    </row>
    <row r="2376" s="93" customFormat="1" spans="3:13">
      <c r="C2376" s="94"/>
      <c r="E2376" s="94"/>
      <c r="G2376" s="94"/>
      <c r="I2376" s="94"/>
      <c r="K2376" s="94"/>
      <c r="M2376" s="94"/>
    </row>
    <row r="2377" s="93" customFormat="1" spans="3:13">
      <c r="C2377" s="94"/>
      <c r="E2377" s="94"/>
      <c r="G2377" s="94"/>
      <c r="I2377" s="94"/>
      <c r="K2377" s="94"/>
      <c r="M2377" s="94"/>
    </row>
    <row r="2378" s="93" customFormat="1" spans="3:13">
      <c r="C2378" s="94"/>
      <c r="E2378" s="94"/>
      <c r="G2378" s="94"/>
      <c r="I2378" s="94"/>
      <c r="K2378" s="94"/>
      <c r="M2378" s="94"/>
    </row>
    <row r="2379" s="93" customFormat="1" spans="3:13">
      <c r="C2379" s="94"/>
      <c r="E2379" s="94"/>
      <c r="G2379" s="94"/>
      <c r="I2379" s="94"/>
      <c r="K2379" s="94"/>
      <c r="M2379" s="94"/>
    </row>
    <row r="2380" s="93" customFormat="1" spans="3:13">
      <c r="C2380" s="94"/>
      <c r="E2380" s="94"/>
      <c r="G2380" s="94"/>
      <c r="I2380" s="94"/>
      <c r="K2380" s="94"/>
      <c r="M2380" s="94"/>
    </row>
    <row r="2381" s="93" customFormat="1" spans="3:13">
      <c r="C2381" s="94"/>
      <c r="E2381" s="94"/>
      <c r="G2381" s="94"/>
      <c r="I2381" s="94"/>
      <c r="K2381" s="94"/>
      <c r="M2381" s="94"/>
    </row>
    <row r="2382" s="93" customFormat="1" spans="3:13">
      <c r="C2382" s="94"/>
      <c r="E2382" s="94"/>
      <c r="G2382" s="94"/>
      <c r="I2382" s="94"/>
      <c r="K2382" s="94"/>
      <c r="M2382" s="94"/>
    </row>
    <row r="2383" s="93" customFormat="1" spans="3:13">
      <c r="C2383" s="94"/>
      <c r="E2383" s="94"/>
      <c r="G2383" s="94"/>
      <c r="I2383" s="94"/>
      <c r="K2383" s="94"/>
      <c r="M2383" s="94"/>
    </row>
    <row r="2384" s="93" customFormat="1" spans="3:13">
      <c r="C2384" s="94"/>
      <c r="E2384" s="94"/>
      <c r="G2384" s="94"/>
      <c r="I2384" s="94"/>
      <c r="K2384" s="94"/>
      <c r="M2384" s="94"/>
    </row>
    <row r="2385" s="93" customFormat="1" spans="3:13">
      <c r="C2385" s="94"/>
      <c r="E2385" s="94"/>
      <c r="G2385" s="94"/>
      <c r="I2385" s="94"/>
      <c r="K2385" s="94"/>
      <c r="M2385" s="94"/>
    </row>
    <row r="2386" s="93" customFormat="1" spans="3:13">
      <c r="C2386" s="94"/>
      <c r="E2386" s="94"/>
      <c r="G2386" s="94"/>
      <c r="I2386" s="94"/>
      <c r="K2386" s="94"/>
      <c r="M2386" s="94"/>
    </row>
    <row r="2387" s="93" customFormat="1" spans="3:13">
      <c r="C2387" s="94"/>
      <c r="E2387" s="94"/>
      <c r="G2387" s="94"/>
      <c r="I2387" s="94"/>
      <c r="K2387" s="94"/>
      <c r="M2387" s="94"/>
    </row>
    <row r="2388" s="93" customFormat="1" spans="3:13">
      <c r="C2388" s="94"/>
      <c r="E2388" s="94"/>
      <c r="G2388" s="94"/>
      <c r="I2388" s="94"/>
      <c r="K2388" s="94"/>
      <c r="M2388" s="94"/>
    </row>
    <row r="2389" s="93" customFormat="1" spans="3:13">
      <c r="C2389" s="94"/>
      <c r="E2389" s="94"/>
      <c r="G2389" s="94"/>
      <c r="I2389" s="94"/>
      <c r="K2389" s="94"/>
      <c r="M2389" s="94"/>
    </row>
    <row r="2390" s="93" customFormat="1" spans="3:13">
      <c r="C2390" s="94"/>
      <c r="E2390" s="94"/>
      <c r="G2390" s="94"/>
      <c r="I2390" s="94"/>
      <c r="K2390" s="94"/>
      <c r="M2390" s="94"/>
    </row>
    <row r="2391" s="93" customFormat="1" spans="3:13">
      <c r="C2391" s="94"/>
      <c r="E2391" s="94"/>
      <c r="G2391" s="94"/>
      <c r="I2391" s="94"/>
      <c r="K2391" s="94"/>
      <c r="M2391" s="94"/>
    </row>
    <row r="2392" s="93" customFormat="1" spans="3:13">
      <c r="C2392" s="94"/>
      <c r="E2392" s="94"/>
      <c r="G2392" s="94"/>
      <c r="I2392" s="94"/>
      <c r="K2392" s="94"/>
      <c r="M2392" s="94"/>
    </row>
    <row r="2393" s="93" customFormat="1" spans="3:13">
      <c r="C2393" s="94"/>
      <c r="E2393" s="94"/>
      <c r="G2393" s="94"/>
      <c r="I2393" s="94"/>
      <c r="K2393" s="94"/>
      <c r="M2393" s="94"/>
    </row>
    <row r="2394" s="93" customFormat="1" spans="3:13">
      <c r="C2394" s="94"/>
      <c r="E2394" s="94"/>
      <c r="G2394" s="94"/>
      <c r="I2394" s="94"/>
      <c r="K2394" s="94"/>
      <c r="M2394" s="94"/>
    </row>
    <row r="2395" s="93" customFormat="1" spans="3:13">
      <c r="C2395" s="94"/>
      <c r="E2395" s="94"/>
      <c r="G2395" s="94"/>
      <c r="I2395" s="94"/>
      <c r="K2395" s="94"/>
      <c r="M2395" s="94"/>
    </row>
    <row r="2396" s="93" customFormat="1" spans="3:13">
      <c r="C2396" s="94"/>
      <c r="E2396" s="94"/>
      <c r="G2396" s="94"/>
      <c r="I2396" s="94"/>
      <c r="K2396" s="94"/>
      <c r="M2396" s="94"/>
    </row>
    <row r="2397" s="93" customFormat="1" spans="3:13">
      <c r="C2397" s="94"/>
      <c r="E2397" s="94"/>
      <c r="G2397" s="94"/>
      <c r="I2397" s="94"/>
      <c r="K2397" s="94"/>
      <c r="M2397" s="94"/>
    </row>
    <row r="2398" s="93" customFormat="1" spans="3:13">
      <c r="C2398" s="94"/>
      <c r="E2398" s="94"/>
      <c r="G2398" s="94"/>
      <c r="I2398" s="94"/>
      <c r="K2398" s="94"/>
      <c r="M2398" s="94"/>
    </row>
    <row r="2399" s="93" customFormat="1" spans="3:13">
      <c r="C2399" s="94"/>
      <c r="E2399" s="94"/>
      <c r="G2399" s="94"/>
      <c r="I2399" s="94"/>
      <c r="K2399" s="94"/>
      <c r="M2399" s="94"/>
    </row>
    <row r="2400" s="93" customFormat="1" spans="3:13">
      <c r="C2400" s="94"/>
      <c r="E2400" s="94"/>
      <c r="G2400" s="94"/>
      <c r="I2400" s="94"/>
      <c r="K2400" s="94"/>
      <c r="M2400" s="94"/>
    </row>
    <row r="2401" s="93" customFormat="1" spans="3:13">
      <c r="C2401" s="94"/>
      <c r="E2401" s="94"/>
      <c r="G2401" s="94"/>
      <c r="I2401" s="94"/>
      <c r="K2401" s="94"/>
      <c r="M2401" s="94"/>
    </row>
    <row r="2402" s="93" customFormat="1" spans="3:13">
      <c r="C2402" s="94"/>
      <c r="E2402" s="94"/>
      <c r="G2402" s="94"/>
      <c r="I2402" s="94"/>
      <c r="K2402" s="94"/>
      <c r="M2402" s="94"/>
    </row>
    <row r="2403" s="93" customFormat="1" spans="3:13">
      <c r="C2403" s="94"/>
      <c r="E2403" s="94"/>
      <c r="G2403" s="94"/>
      <c r="I2403" s="94"/>
      <c r="K2403" s="94"/>
      <c r="M2403" s="94"/>
    </row>
    <row r="2404" s="93" customFormat="1" spans="3:13">
      <c r="C2404" s="94"/>
      <c r="E2404" s="94"/>
      <c r="G2404" s="94"/>
      <c r="I2404" s="94"/>
      <c r="K2404" s="94"/>
      <c r="M2404" s="94"/>
    </row>
    <row r="2405" s="93" customFormat="1" spans="3:13">
      <c r="C2405" s="94"/>
      <c r="E2405" s="94"/>
      <c r="G2405" s="94"/>
      <c r="I2405" s="94"/>
      <c r="K2405" s="94"/>
      <c r="M2405" s="94"/>
    </row>
    <row r="2406" s="93" customFormat="1" spans="3:13">
      <c r="C2406" s="94"/>
      <c r="E2406" s="94"/>
      <c r="G2406" s="94"/>
      <c r="I2406" s="94"/>
      <c r="K2406" s="94"/>
      <c r="M2406" s="94"/>
    </row>
    <row r="2407" s="93" customFormat="1" spans="3:13">
      <c r="C2407" s="94"/>
      <c r="E2407" s="94"/>
      <c r="G2407" s="94"/>
      <c r="I2407" s="94"/>
      <c r="K2407" s="94"/>
      <c r="M2407" s="94"/>
    </row>
    <row r="2408" s="93" customFormat="1" spans="3:13">
      <c r="C2408" s="94"/>
      <c r="E2408" s="94"/>
      <c r="G2408" s="94"/>
      <c r="I2408" s="94"/>
      <c r="K2408" s="94"/>
      <c r="M2408" s="94"/>
    </row>
    <row r="2409" s="93" customFormat="1" spans="3:13">
      <c r="C2409" s="94"/>
      <c r="E2409" s="94"/>
      <c r="G2409" s="94"/>
      <c r="I2409" s="94"/>
      <c r="K2409" s="94"/>
      <c r="M2409" s="94"/>
    </row>
    <row r="2410" s="93" customFormat="1" spans="3:13">
      <c r="C2410" s="94"/>
      <c r="E2410" s="94"/>
      <c r="G2410" s="94"/>
      <c r="I2410" s="94"/>
      <c r="K2410" s="94"/>
      <c r="M2410" s="94"/>
    </row>
    <row r="2411" s="93" customFormat="1" spans="3:13">
      <c r="C2411" s="94"/>
      <c r="E2411" s="94"/>
      <c r="G2411" s="94"/>
      <c r="I2411" s="94"/>
      <c r="K2411" s="94"/>
      <c r="M2411" s="94"/>
    </row>
    <row r="2412" s="93" customFormat="1" spans="3:13">
      <c r="C2412" s="94"/>
      <c r="E2412" s="94"/>
      <c r="G2412" s="94"/>
      <c r="I2412" s="94"/>
      <c r="K2412" s="94"/>
      <c r="M2412" s="94"/>
    </row>
    <row r="2413" s="93" customFormat="1" spans="3:13">
      <c r="C2413" s="94"/>
      <c r="E2413" s="94"/>
      <c r="G2413" s="94"/>
      <c r="I2413" s="94"/>
      <c r="K2413" s="94"/>
      <c r="M2413" s="94"/>
    </row>
    <row r="2414" s="93" customFormat="1" spans="3:13">
      <c r="C2414" s="94"/>
      <c r="E2414" s="94"/>
      <c r="G2414" s="94"/>
      <c r="I2414" s="94"/>
      <c r="K2414" s="94"/>
      <c r="M2414" s="94"/>
    </row>
    <row r="2415" s="93" customFormat="1" spans="3:13">
      <c r="C2415" s="94"/>
      <c r="E2415" s="94"/>
      <c r="G2415" s="94"/>
      <c r="I2415" s="94"/>
      <c r="K2415" s="94"/>
      <c r="M2415" s="94"/>
    </row>
    <row r="2416" s="93" customFormat="1" spans="3:13">
      <c r="C2416" s="94"/>
      <c r="E2416" s="94"/>
      <c r="G2416" s="94"/>
      <c r="I2416" s="94"/>
      <c r="K2416" s="94"/>
      <c r="M2416" s="94"/>
    </row>
    <row r="2417" s="93" customFormat="1" spans="3:13">
      <c r="C2417" s="94"/>
      <c r="E2417" s="94"/>
      <c r="G2417" s="94"/>
      <c r="I2417" s="94"/>
      <c r="K2417" s="94"/>
      <c r="M2417" s="94"/>
    </row>
    <row r="2418" s="93" customFormat="1" spans="3:13">
      <c r="C2418" s="94"/>
      <c r="E2418" s="94"/>
      <c r="G2418" s="94"/>
      <c r="I2418" s="94"/>
      <c r="K2418" s="94"/>
      <c r="M2418" s="94"/>
    </row>
    <row r="2419" s="93" customFormat="1" spans="3:13">
      <c r="C2419" s="94"/>
      <c r="E2419" s="94"/>
      <c r="G2419" s="94"/>
      <c r="I2419" s="94"/>
      <c r="K2419" s="94"/>
      <c r="M2419" s="94"/>
    </row>
    <row r="2420" s="93" customFormat="1" spans="3:13">
      <c r="C2420" s="94"/>
      <c r="E2420" s="94"/>
      <c r="G2420" s="94"/>
      <c r="I2420" s="94"/>
      <c r="K2420" s="94"/>
      <c r="M2420" s="94"/>
    </row>
    <row r="2421" s="93" customFormat="1" spans="3:13">
      <c r="C2421" s="94"/>
      <c r="E2421" s="94"/>
      <c r="G2421" s="94"/>
      <c r="I2421" s="94"/>
      <c r="K2421" s="94"/>
      <c r="M2421" s="94"/>
    </row>
    <row r="2422" s="93" customFormat="1" spans="3:13">
      <c r="C2422" s="94"/>
      <c r="E2422" s="94"/>
      <c r="G2422" s="94"/>
      <c r="I2422" s="94"/>
      <c r="K2422" s="94"/>
      <c r="M2422" s="94"/>
    </row>
    <row r="2423" s="93" customFormat="1" spans="3:13">
      <c r="C2423" s="94"/>
      <c r="E2423" s="94"/>
      <c r="G2423" s="94"/>
      <c r="I2423" s="94"/>
      <c r="K2423" s="94"/>
      <c r="M2423" s="94"/>
    </row>
    <row r="2424" s="93" customFormat="1" spans="3:13">
      <c r="C2424" s="94"/>
      <c r="E2424" s="94"/>
      <c r="G2424" s="94"/>
      <c r="I2424" s="94"/>
      <c r="K2424" s="94"/>
      <c r="M2424" s="94"/>
    </row>
    <row r="2425" s="93" customFormat="1" spans="3:13">
      <c r="C2425" s="94"/>
      <c r="E2425" s="94"/>
      <c r="G2425" s="94"/>
      <c r="I2425" s="94"/>
      <c r="K2425" s="94"/>
      <c r="M2425" s="94"/>
    </row>
    <row r="2426" s="93" customFormat="1" spans="3:13">
      <c r="C2426" s="94"/>
      <c r="E2426" s="94"/>
      <c r="G2426" s="94"/>
      <c r="I2426" s="94"/>
      <c r="K2426" s="94"/>
      <c r="M2426" s="94"/>
    </row>
    <row r="2427" s="93" customFormat="1" spans="3:13">
      <c r="C2427" s="94"/>
      <c r="E2427" s="94"/>
      <c r="G2427" s="94"/>
      <c r="I2427" s="94"/>
      <c r="K2427" s="94"/>
      <c r="M2427" s="94"/>
    </row>
    <row r="2428" s="93" customFormat="1" spans="3:13">
      <c r="C2428" s="94"/>
      <c r="E2428" s="94"/>
      <c r="G2428" s="94"/>
      <c r="I2428" s="94"/>
      <c r="K2428" s="94"/>
      <c r="M2428" s="94"/>
    </row>
    <row r="2429" s="93" customFormat="1" spans="3:13">
      <c r="C2429" s="94"/>
      <c r="E2429" s="94"/>
      <c r="G2429" s="94"/>
      <c r="I2429" s="94"/>
      <c r="K2429" s="94"/>
      <c r="M2429" s="94"/>
    </row>
    <row r="2430" s="93" customFormat="1" spans="3:13">
      <c r="C2430" s="94"/>
      <c r="E2430" s="94"/>
      <c r="G2430" s="94"/>
      <c r="I2430" s="94"/>
      <c r="K2430" s="94"/>
      <c r="M2430" s="94"/>
    </row>
    <row r="2431" s="93" customFormat="1" spans="3:13">
      <c r="C2431" s="94"/>
      <c r="E2431" s="94"/>
      <c r="G2431" s="94"/>
      <c r="I2431" s="94"/>
      <c r="K2431" s="94"/>
      <c r="M2431" s="94"/>
    </row>
    <row r="2432" s="93" customFormat="1" spans="3:13">
      <c r="C2432" s="94"/>
      <c r="E2432" s="94"/>
      <c r="G2432" s="94"/>
      <c r="I2432" s="94"/>
      <c r="K2432" s="94"/>
      <c r="M2432" s="94"/>
    </row>
    <row r="2433" s="93" customFormat="1" spans="3:13">
      <c r="C2433" s="94"/>
      <c r="E2433" s="94"/>
      <c r="G2433" s="94"/>
      <c r="I2433" s="94"/>
      <c r="K2433" s="94"/>
      <c r="M2433" s="94"/>
    </row>
    <row r="2434" s="93" customFormat="1" spans="3:13">
      <c r="C2434" s="94"/>
      <c r="E2434" s="94"/>
      <c r="G2434" s="94"/>
      <c r="I2434" s="94"/>
      <c r="K2434" s="94"/>
      <c r="M2434" s="94"/>
    </row>
    <row r="2435" s="93" customFormat="1" spans="3:13">
      <c r="C2435" s="94"/>
      <c r="E2435" s="94"/>
      <c r="G2435" s="94"/>
      <c r="I2435" s="94"/>
      <c r="K2435" s="94"/>
      <c r="M2435" s="94"/>
    </row>
    <row r="2436" s="93" customFormat="1" spans="3:13">
      <c r="C2436" s="94"/>
      <c r="E2436" s="94"/>
      <c r="G2436" s="94"/>
      <c r="I2436" s="94"/>
      <c r="K2436" s="94"/>
      <c r="M2436" s="94"/>
    </row>
    <row r="2437" s="93" customFormat="1" spans="3:13">
      <c r="C2437" s="94"/>
      <c r="E2437" s="94"/>
      <c r="G2437" s="94"/>
      <c r="I2437" s="94"/>
      <c r="K2437" s="94"/>
      <c r="M2437" s="94"/>
    </row>
    <row r="2438" s="93" customFormat="1" spans="3:13">
      <c r="C2438" s="94"/>
      <c r="E2438" s="94"/>
      <c r="G2438" s="94"/>
      <c r="I2438" s="94"/>
      <c r="K2438" s="94"/>
      <c r="M2438" s="94"/>
    </row>
    <row r="2439" s="93" customFormat="1" spans="3:13">
      <c r="C2439" s="94"/>
      <c r="E2439" s="94"/>
      <c r="G2439" s="94"/>
      <c r="I2439" s="94"/>
      <c r="K2439" s="94"/>
      <c r="M2439" s="94"/>
    </row>
    <row r="2440" s="93" customFormat="1" spans="3:13">
      <c r="C2440" s="94"/>
      <c r="E2440" s="94"/>
      <c r="G2440" s="94"/>
      <c r="I2440" s="94"/>
      <c r="K2440" s="94"/>
      <c r="M2440" s="94"/>
    </row>
    <row r="2441" s="93" customFormat="1" spans="3:13">
      <c r="C2441" s="94"/>
      <c r="E2441" s="94"/>
      <c r="G2441" s="94"/>
      <c r="I2441" s="94"/>
      <c r="K2441" s="94"/>
      <c r="M2441" s="94"/>
    </row>
    <row r="2442" s="93" customFormat="1" spans="3:13">
      <c r="C2442" s="94"/>
      <c r="E2442" s="94"/>
      <c r="G2442" s="94"/>
      <c r="I2442" s="94"/>
      <c r="K2442" s="94"/>
      <c r="M2442" s="94"/>
    </row>
    <row r="2443" s="93" customFormat="1" spans="3:13">
      <c r="C2443" s="94"/>
      <c r="E2443" s="94"/>
      <c r="G2443" s="94"/>
      <c r="I2443" s="94"/>
      <c r="K2443" s="94"/>
      <c r="M2443" s="94"/>
    </row>
    <row r="2444" s="93" customFormat="1" spans="3:13">
      <c r="C2444" s="94"/>
      <c r="E2444" s="94"/>
      <c r="G2444" s="94"/>
      <c r="I2444" s="94"/>
      <c r="K2444" s="94"/>
      <c r="M2444" s="94"/>
    </row>
    <row r="2445" s="93" customFormat="1" spans="3:13">
      <c r="C2445" s="94"/>
      <c r="E2445" s="94"/>
      <c r="G2445" s="94"/>
      <c r="I2445" s="94"/>
      <c r="K2445" s="94"/>
      <c r="M2445" s="94"/>
    </row>
    <row r="2446" s="93" customFormat="1" spans="3:13">
      <c r="C2446" s="94"/>
      <c r="E2446" s="94"/>
      <c r="G2446" s="94"/>
      <c r="I2446" s="94"/>
      <c r="K2446" s="94"/>
      <c r="M2446" s="94"/>
    </row>
    <row r="2447" s="93" customFormat="1" spans="3:13">
      <c r="C2447" s="94"/>
      <c r="E2447" s="94"/>
      <c r="G2447" s="94"/>
      <c r="I2447" s="94"/>
      <c r="K2447" s="94"/>
      <c r="M2447" s="94"/>
    </row>
    <row r="2448" s="93" customFormat="1" spans="3:13">
      <c r="C2448" s="94"/>
      <c r="E2448" s="94"/>
      <c r="G2448" s="94"/>
      <c r="I2448" s="94"/>
      <c r="K2448" s="94"/>
      <c r="M2448" s="94"/>
    </row>
    <row r="2449" s="93" customFormat="1" spans="3:13">
      <c r="C2449" s="94"/>
      <c r="E2449" s="94"/>
      <c r="G2449" s="94"/>
      <c r="I2449" s="94"/>
      <c r="K2449" s="94"/>
      <c r="M2449" s="94"/>
    </row>
    <row r="2450" s="93" customFormat="1" spans="3:13">
      <c r="C2450" s="94"/>
      <c r="E2450" s="94"/>
      <c r="G2450" s="94"/>
      <c r="I2450" s="94"/>
      <c r="K2450" s="94"/>
      <c r="M2450" s="94"/>
    </row>
    <row r="2451" s="93" customFormat="1" spans="3:13">
      <c r="C2451" s="94"/>
      <c r="E2451" s="94"/>
      <c r="G2451" s="94"/>
      <c r="I2451" s="94"/>
      <c r="K2451" s="94"/>
      <c r="M2451" s="94"/>
    </row>
    <row r="2452" s="93" customFormat="1" spans="3:13">
      <c r="C2452" s="94"/>
      <c r="E2452" s="94"/>
      <c r="G2452" s="94"/>
      <c r="I2452" s="94"/>
      <c r="K2452" s="94"/>
      <c r="M2452" s="94"/>
    </row>
    <row r="2453" s="93" customFormat="1" spans="3:13">
      <c r="C2453" s="94"/>
      <c r="E2453" s="94"/>
      <c r="G2453" s="94"/>
      <c r="I2453" s="94"/>
      <c r="K2453" s="94"/>
      <c r="M2453" s="94"/>
    </row>
    <row r="2454" s="93" customFormat="1" spans="3:13">
      <c r="C2454" s="94"/>
      <c r="E2454" s="94"/>
      <c r="G2454" s="94"/>
      <c r="I2454" s="94"/>
      <c r="K2454" s="94"/>
      <c r="M2454" s="94"/>
    </row>
    <row r="2455" s="93" customFormat="1" spans="3:13">
      <c r="C2455" s="94"/>
      <c r="E2455" s="94"/>
      <c r="G2455" s="94"/>
      <c r="I2455" s="94"/>
      <c r="K2455" s="94"/>
      <c r="M2455" s="94"/>
    </row>
    <row r="2456" s="93" customFormat="1" spans="3:13">
      <c r="C2456" s="94"/>
      <c r="E2456" s="94"/>
      <c r="G2456" s="94"/>
      <c r="I2456" s="94"/>
      <c r="K2456" s="94"/>
      <c r="M2456" s="94"/>
    </row>
    <row r="2457" s="93" customFormat="1" spans="3:13">
      <c r="C2457" s="94"/>
      <c r="E2457" s="94"/>
      <c r="G2457" s="94"/>
      <c r="I2457" s="94"/>
      <c r="K2457" s="94"/>
      <c r="M2457" s="94"/>
    </row>
    <row r="2458" s="93" customFormat="1" spans="3:13">
      <c r="C2458" s="94"/>
      <c r="E2458" s="94"/>
      <c r="G2458" s="94"/>
      <c r="I2458" s="94"/>
      <c r="K2458" s="94"/>
      <c r="M2458" s="94"/>
    </row>
    <row r="2459" s="93" customFormat="1" spans="3:13">
      <c r="C2459" s="94"/>
      <c r="E2459" s="94"/>
      <c r="G2459" s="94"/>
      <c r="I2459" s="94"/>
      <c r="K2459" s="94"/>
      <c r="M2459" s="94"/>
    </row>
    <row r="2460" s="93" customFormat="1" spans="3:13">
      <c r="C2460" s="94"/>
      <c r="E2460" s="94"/>
      <c r="G2460" s="94"/>
      <c r="I2460" s="94"/>
      <c r="K2460" s="94"/>
      <c r="M2460" s="94"/>
    </row>
    <row r="2461" s="93" customFormat="1" spans="3:13">
      <c r="C2461" s="94"/>
      <c r="E2461" s="94"/>
      <c r="G2461" s="94"/>
      <c r="I2461" s="94"/>
      <c r="K2461" s="94"/>
      <c r="M2461" s="94"/>
    </row>
    <row r="2462" s="93" customFormat="1" spans="3:13">
      <c r="C2462" s="94"/>
      <c r="E2462" s="94"/>
      <c r="G2462" s="94"/>
      <c r="I2462" s="94"/>
      <c r="K2462" s="94"/>
      <c r="M2462" s="94"/>
    </row>
    <row r="2463" s="93" customFormat="1" spans="3:13">
      <c r="C2463" s="94"/>
      <c r="E2463" s="94"/>
      <c r="G2463" s="94"/>
      <c r="I2463" s="94"/>
      <c r="K2463" s="94"/>
      <c r="M2463" s="94"/>
    </row>
    <row r="2464" s="93" customFormat="1" spans="3:13">
      <c r="C2464" s="94"/>
      <c r="E2464" s="94"/>
      <c r="G2464" s="94"/>
      <c r="I2464" s="94"/>
      <c r="K2464" s="94"/>
      <c r="M2464" s="94"/>
    </row>
    <row r="2465" s="93" customFormat="1" spans="3:13">
      <c r="C2465" s="94"/>
      <c r="E2465" s="94"/>
      <c r="G2465" s="94"/>
      <c r="I2465" s="94"/>
      <c r="K2465" s="94"/>
      <c r="M2465" s="94"/>
    </row>
    <row r="2466" s="93" customFormat="1" spans="3:13">
      <c r="C2466" s="94"/>
      <c r="E2466" s="94"/>
      <c r="G2466" s="94"/>
      <c r="I2466" s="94"/>
      <c r="K2466" s="94"/>
      <c r="M2466" s="94"/>
    </row>
    <row r="2467" s="93" customFormat="1" spans="3:13">
      <c r="C2467" s="94"/>
      <c r="E2467" s="94"/>
      <c r="G2467" s="94"/>
      <c r="I2467" s="94"/>
      <c r="K2467" s="94"/>
      <c r="M2467" s="94"/>
    </row>
    <row r="2468" s="93" customFormat="1" spans="3:13">
      <c r="C2468" s="94"/>
      <c r="E2468" s="94"/>
      <c r="G2468" s="94"/>
      <c r="I2468" s="94"/>
      <c r="K2468" s="94"/>
      <c r="M2468" s="94"/>
    </row>
    <row r="2469" s="93" customFormat="1" spans="3:13">
      <c r="C2469" s="94"/>
      <c r="E2469" s="94"/>
      <c r="G2469" s="94"/>
      <c r="I2469" s="94"/>
      <c r="K2469" s="94"/>
      <c r="M2469" s="94"/>
    </row>
    <row r="2470" s="93" customFormat="1" spans="3:13">
      <c r="C2470" s="94"/>
      <c r="E2470" s="94"/>
      <c r="G2470" s="94"/>
      <c r="I2470" s="94"/>
      <c r="K2470" s="94"/>
      <c r="M2470" s="94"/>
    </row>
    <row r="2471" s="93" customFormat="1" spans="3:13">
      <c r="C2471" s="94"/>
      <c r="E2471" s="94"/>
      <c r="G2471" s="94"/>
      <c r="I2471" s="94"/>
      <c r="K2471" s="94"/>
      <c r="M2471" s="94"/>
    </row>
    <row r="2472" s="93" customFormat="1" spans="3:13">
      <c r="C2472" s="94"/>
      <c r="E2472" s="94"/>
      <c r="G2472" s="94"/>
      <c r="I2472" s="94"/>
      <c r="K2472" s="94"/>
      <c r="M2472" s="94"/>
    </row>
    <row r="2473" s="93" customFormat="1" spans="3:13">
      <c r="C2473" s="94"/>
      <c r="E2473" s="94"/>
      <c r="G2473" s="94"/>
      <c r="I2473" s="94"/>
      <c r="K2473" s="94"/>
      <c r="M2473" s="94"/>
    </row>
    <row r="2474" s="93" customFormat="1" spans="3:13">
      <c r="C2474" s="94"/>
      <c r="E2474" s="94"/>
      <c r="G2474" s="94"/>
      <c r="I2474" s="94"/>
      <c r="K2474" s="94"/>
      <c r="M2474" s="94"/>
    </row>
    <row r="2475" s="93" customFormat="1" spans="3:13">
      <c r="C2475" s="94"/>
      <c r="E2475" s="94"/>
      <c r="G2475" s="94"/>
      <c r="I2475" s="94"/>
      <c r="K2475" s="94"/>
      <c r="M2475" s="94"/>
    </row>
    <row r="2476" s="93" customFormat="1" spans="3:13">
      <c r="C2476" s="94"/>
      <c r="E2476" s="94"/>
      <c r="G2476" s="94"/>
      <c r="I2476" s="94"/>
      <c r="K2476" s="94"/>
      <c r="M2476" s="94"/>
    </row>
    <row r="2477" s="93" customFormat="1" spans="3:13">
      <c r="C2477" s="94"/>
      <c r="E2477" s="94"/>
      <c r="G2477" s="94"/>
      <c r="I2477" s="94"/>
      <c r="K2477" s="94"/>
      <c r="M2477" s="94"/>
    </row>
    <row r="2478" s="93" customFormat="1" spans="3:13">
      <c r="C2478" s="94"/>
      <c r="E2478" s="94"/>
      <c r="G2478" s="94"/>
      <c r="I2478" s="94"/>
      <c r="K2478" s="94"/>
      <c r="M2478" s="94"/>
    </row>
    <row r="2479" s="93" customFormat="1" spans="3:13">
      <c r="C2479" s="94"/>
      <c r="E2479" s="94"/>
      <c r="G2479" s="94"/>
      <c r="I2479" s="94"/>
      <c r="K2479" s="94"/>
      <c r="M2479" s="94"/>
    </row>
    <row r="2480" s="93" customFormat="1" spans="3:13">
      <c r="C2480" s="94"/>
      <c r="E2480" s="94"/>
      <c r="G2480" s="94"/>
      <c r="I2480" s="94"/>
      <c r="K2480" s="94"/>
      <c r="M2480" s="94"/>
    </row>
    <row r="2481" s="93" customFormat="1" spans="3:13">
      <c r="C2481" s="94"/>
      <c r="E2481" s="94"/>
      <c r="G2481" s="94"/>
      <c r="I2481" s="94"/>
      <c r="K2481" s="94"/>
      <c r="M2481" s="94"/>
    </row>
    <row r="2482" s="93" customFormat="1" spans="3:13">
      <c r="C2482" s="94"/>
      <c r="E2482" s="94"/>
      <c r="G2482" s="94"/>
      <c r="I2482" s="94"/>
      <c r="K2482" s="94"/>
      <c r="M2482" s="94"/>
    </row>
    <row r="2483" s="93" customFormat="1" spans="3:13">
      <c r="C2483" s="94"/>
      <c r="E2483" s="94"/>
      <c r="G2483" s="94"/>
      <c r="I2483" s="94"/>
      <c r="K2483" s="94"/>
      <c r="M2483" s="94"/>
    </row>
    <row r="2484" s="93" customFormat="1" spans="3:13">
      <c r="C2484" s="94"/>
      <c r="E2484" s="94"/>
      <c r="G2484" s="94"/>
      <c r="I2484" s="94"/>
      <c r="K2484" s="94"/>
      <c r="M2484" s="94"/>
    </row>
    <row r="2485" s="93" customFormat="1" spans="3:13">
      <c r="C2485" s="94"/>
      <c r="E2485" s="94"/>
      <c r="G2485" s="94"/>
      <c r="I2485" s="94"/>
      <c r="K2485" s="94"/>
      <c r="M2485" s="94"/>
    </row>
    <row r="2486" s="93" customFormat="1" spans="3:13">
      <c r="C2486" s="94"/>
      <c r="E2486" s="94"/>
      <c r="G2486" s="94"/>
      <c r="I2486" s="94"/>
      <c r="K2486" s="94"/>
      <c r="M2486" s="94"/>
    </row>
    <row r="2487" s="93" customFormat="1" spans="3:13">
      <c r="C2487" s="94"/>
      <c r="E2487" s="94"/>
      <c r="G2487" s="94"/>
      <c r="I2487" s="94"/>
      <c r="K2487" s="94"/>
      <c r="M2487" s="94"/>
    </row>
    <row r="2488" s="93" customFormat="1" spans="3:13">
      <c r="C2488" s="94"/>
      <c r="E2488" s="94"/>
      <c r="G2488" s="94"/>
      <c r="I2488" s="94"/>
      <c r="K2488" s="94"/>
      <c r="M2488" s="94"/>
    </row>
    <row r="2489" s="93" customFormat="1" spans="3:13">
      <c r="C2489" s="94"/>
      <c r="E2489" s="94"/>
      <c r="G2489" s="94"/>
      <c r="I2489" s="94"/>
      <c r="K2489" s="94"/>
      <c r="M2489" s="94"/>
    </row>
    <row r="2490" s="93" customFormat="1" spans="3:13">
      <c r="C2490" s="94"/>
      <c r="E2490" s="94"/>
      <c r="G2490" s="94"/>
      <c r="I2490" s="94"/>
      <c r="K2490" s="94"/>
      <c r="M2490" s="94"/>
    </row>
    <row r="2491" s="93" customFormat="1" spans="3:13">
      <c r="C2491" s="94"/>
      <c r="E2491" s="94"/>
      <c r="G2491" s="94"/>
      <c r="I2491" s="94"/>
      <c r="K2491" s="94"/>
      <c r="M2491" s="94"/>
    </row>
    <row r="2492" s="93" customFormat="1" spans="3:13">
      <c r="C2492" s="94"/>
      <c r="E2492" s="94"/>
      <c r="G2492" s="94"/>
      <c r="I2492" s="94"/>
      <c r="K2492" s="94"/>
      <c r="M2492" s="94"/>
    </row>
    <row r="2493" s="93" customFormat="1" spans="3:13">
      <c r="C2493" s="94"/>
      <c r="E2493" s="94"/>
      <c r="G2493" s="94"/>
      <c r="I2493" s="94"/>
      <c r="K2493" s="94"/>
      <c r="M2493" s="94"/>
    </row>
    <row r="2494" s="93" customFormat="1" spans="3:13">
      <c r="C2494" s="94"/>
      <c r="E2494" s="94"/>
      <c r="G2494" s="94"/>
      <c r="I2494" s="94"/>
      <c r="K2494" s="94"/>
      <c r="M2494" s="94"/>
    </row>
    <row r="2495" s="93" customFormat="1" spans="3:13">
      <c r="C2495" s="94"/>
      <c r="E2495" s="94"/>
      <c r="G2495" s="94"/>
      <c r="I2495" s="94"/>
      <c r="K2495" s="94"/>
      <c r="M2495" s="94"/>
    </row>
    <row r="2496" s="93" customFormat="1" spans="3:13">
      <c r="C2496" s="94"/>
      <c r="E2496" s="94"/>
      <c r="G2496" s="94"/>
      <c r="I2496" s="94"/>
      <c r="K2496" s="94"/>
      <c r="M2496" s="94"/>
    </row>
    <row r="2497" s="93" customFormat="1" spans="3:13">
      <c r="C2497" s="94"/>
      <c r="E2497" s="94"/>
      <c r="G2497" s="94"/>
      <c r="I2497" s="94"/>
      <c r="K2497" s="94"/>
      <c r="M2497" s="94"/>
    </row>
    <row r="2498" s="93" customFormat="1" spans="3:13">
      <c r="C2498" s="94"/>
      <c r="E2498" s="94"/>
      <c r="G2498" s="94"/>
      <c r="I2498" s="94"/>
      <c r="K2498" s="94"/>
      <c r="M2498" s="94"/>
    </row>
    <row r="2499" s="93" customFormat="1" spans="3:13">
      <c r="C2499" s="94"/>
      <c r="E2499" s="94"/>
      <c r="G2499" s="94"/>
      <c r="I2499" s="94"/>
      <c r="K2499" s="94"/>
      <c r="M2499" s="94"/>
    </row>
    <row r="2500" s="93" customFormat="1" spans="3:13">
      <c r="C2500" s="94"/>
      <c r="E2500" s="94"/>
      <c r="G2500" s="94"/>
      <c r="I2500" s="94"/>
      <c r="K2500" s="94"/>
      <c r="M2500" s="94"/>
    </row>
    <row r="2501" s="93" customFormat="1" spans="3:13">
      <c r="C2501" s="94"/>
      <c r="E2501" s="94"/>
      <c r="G2501" s="94"/>
      <c r="I2501" s="94"/>
      <c r="K2501" s="94"/>
      <c r="M2501" s="94"/>
    </row>
    <row r="2502" s="93" customFormat="1" spans="3:13">
      <c r="C2502" s="94"/>
      <c r="E2502" s="94"/>
      <c r="G2502" s="94"/>
      <c r="I2502" s="94"/>
      <c r="K2502" s="94"/>
      <c r="M2502" s="94"/>
    </row>
    <row r="2503" s="93" customFormat="1" spans="3:13">
      <c r="C2503" s="94"/>
      <c r="E2503" s="94"/>
      <c r="G2503" s="94"/>
      <c r="I2503" s="94"/>
      <c r="K2503" s="94"/>
      <c r="M2503" s="94"/>
    </row>
    <row r="2504" s="93" customFormat="1" spans="3:13">
      <c r="C2504" s="94"/>
      <c r="E2504" s="94"/>
      <c r="G2504" s="94"/>
      <c r="I2504" s="94"/>
      <c r="K2504" s="94"/>
      <c r="M2504" s="94"/>
    </row>
    <row r="2505" s="93" customFormat="1" spans="3:13">
      <c r="C2505" s="94"/>
      <c r="E2505" s="94"/>
      <c r="G2505" s="94"/>
      <c r="I2505" s="94"/>
      <c r="K2505" s="94"/>
      <c r="M2505" s="94"/>
    </row>
    <row r="2506" s="93" customFormat="1" spans="3:13">
      <c r="C2506" s="94"/>
      <c r="E2506" s="94"/>
      <c r="G2506" s="94"/>
      <c r="I2506" s="94"/>
      <c r="K2506" s="94"/>
      <c r="M2506" s="94"/>
    </row>
    <row r="2507" s="93" customFormat="1" spans="3:13">
      <c r="C2507" s="94"/>
      <c r="E2507" s="94"/>
      <c r="G2507" s="94"/>
      <c r="I2507" s="94"/>
      <c r="K2507" s="94"/>
      <c r="M2507" s="94"/>
    </row>
    <row r="2508" s="93" customFormat="1" spans="3:13">
      <c r="C2508" s="94"/>
      <c r="E2508" s="94"/>
      <c r="G2508" s="94"/>
      <c r="I2508" s="94"/>
      <c r="K2508" s="94"/>
      <c r="M2508" s="94"/>
    </row>
    <row r="2509" s="93" customFormat="1" spans="3:13">
      <c r="C2509" s="94"/>
      <c r="E2509" s="94"/>
      <c r="G2509" s="94"/>
      <c r="I2509" s="94"/>
      <c r="K2509" s="94"/>
      <c r="M2509" s="94"/>
    </row>
    <row r="2510" s="93" customFormat="1" spans="3:13">
      <c r="C2510" s="94"/>
      <c r="E2510" s="94"/>
      <c r="G2510" s="94"/>
      <c r="I2510" s="94"/>
      <c r="K2510" s="94"/>
      <c r="M2510" s="94"/>
    </row>
    <row r="2511" s="93" customFormat="1" spans="3:13">
      <c r="C2511" s="94"/>
      <c r="E2511" s="94"/>
      <c r="G2511" s="94"/>
      <c r="I2511" s="94"/>
      <c r="K2511" s="94"/>
      <c r="M2511" s="94"/>
    </row>
    <row r="2512" s="93" customFormat="1" spans="3:13">
      <c r="C2512" s="94"/>
      <c r="E2512" s="94"/>
      <c r="G2512" s="94"/>
      <c r="I2512" s="94"/>
      <c r="K2512" s="94"/>
      <c r="M2512" s="94"/>
    </row>
    <row r="2513" s="93" customFormat="1" spans="3:13">
      <c r="C2513" s="94"/>
      <c r="E2513" s="94"/>
      <c r="G2513" s="94"/>
      <c r="I2513" s="94"/>
      <c r="K2513" s="94"/>
      <c r="M2513" s="94"/>
    </row>
    <row r="2514" s="93" customFormat="1" spans="3:13">
      <c r="C2514" s="94"/>
      <c r="E2514" s="94"/>
      <c r="G2514" s="94"/>
      <c r="I2514" s="94"/>
      <c r="K2514" s="94"/>
      <c r="M2514" s="94"/>
    </row>
    <row r="2515" s="93" customFormat="1" spans="3:13">
      <c r="C2515" s="94"/>
      <c r="E2515" s="94"/>
      <c r="G2515" s="94"/>
      <c r="I2515" s="94"/>
      <c r="K2515" s="94"/>
      <c r="M2515" s="94"/>
    </row>
    <row r="2516" s="93" customFormat="1" spans="3:13">
      <c r="C2516" s="94"/>
      <c r="E2516" s="94"/>
      <c r="G2516" s="94"/>
      <c r="I2516" s="94"/>
      <c r="K2516" s="94"/>
      <c r="M2516" s="94"/>
    </row>
    <row r="2517" s="93" customFormat="1" spans="3:13">
      <c r="C2517" s="94"/>
      <c r="E2517" s="94"/>
      <c r="G2517" s="94"/>
      <c r="I2517" s="94"/>
      <c r="K2517" s="94"/>
      <c r="M2517" s="94"/>
    </row>
    <row r="2518" s="93" customFormat="1" spans="3:13">
      <c r="C2518" s="94"/>
      <c r="E2518" s="94"/>
      <c r="G2518" s="94"/>
      <c r="I2518" s="94"/>
      <c r="K2518" s="94"/>
      <c r="M2518" s="94"/>
    </row>
    <row r="2519" s="93" customFormat="1" spans="3:13">
      <c r="C2519" s="94"/>
      <c r="E2519" s="94"/>
      <c r="G2519" s="94"/>
      <c r="I2519" s="94"/>
      <c r="K2519" s="94"/>
      <c r="M2519" s="94"/>
    </row>
    <row r="2520" s="93" customFormat="1" spans="3:13">
      <c r="C2520" s="94"/>
      <c r="E2520" s="94"/>
      <c r="G2520" s="94"/>
      <c r="I2520" s="94"/>
      <c r="K2520" s="94"/>
      <c r="M2520" s="94"/>
    </row>
    <row r="2521" s="93" customFormat="1" spans="3:13">
      <c r="C2521" s="94"/>
      <c r="E2521" s="94"/>
      <c r="G2521" s="94"/>
      <c r="I2521" s="94"/>
      <c r="K2521" s="94"/>
      <c r="M2521" s="94"/>
    </row>
    <row r="2522" s="93" customFormat="1" spans="3:13">
      <c r="C2522" s="94"/>
      <c r="E2522" s="94"/>
      <c r="G2522" s="94"/>
      <c r="I2522" s="94"/>
      <c r="K2522" s="94"/>
      <c r="M2522" s="94"/>
    </row>
    <row r="2523" s="93" customFormat="1" spans="3:13">
      <c r="C2523" s="94"/>
      <c r="E2523" s="94"/>
      <c r="G2523" s="94"/>
      <c r="I2523" s="94"/>
      <c r="K2523" s="94"/>
      <c r="M2523" s="94"/>
    </row>
    <row r="2524" s="93" customFormat="1" spans="3:13">
      <c r="C2524" s="94"/>
      <c r="E2524" s="94"/>
      <c r="G2524" s="94"/>
      <c r="I2524" s="94"/>
      <c r="K2524" s="94"/>
      <c r="M2524" s="94"/>
    </row>
    <row r="2525" s="93" customFormat="1" spans="3:13">
      <c r="C2525" s="94"/>
      <c r="E2525" s="94"/>
      <c r="G2525" s="94"/>
      <c r="I2525" s="94"/>
      <c r="K2525" s="94"/>
      <c r="M2525" s="94"/>
    </row>
    <row r="2526" s="93" customFormat="1" spans="3:13">
      <c r="C2526" s="94"/>
      <c r="E2526" s="94"/>
      <c r="G2526" s="94"/>
      <c r="I2526" s="94"/>
      <c r="K2526" s="94"/>
      <c r="M2526" s="94"/>
    </row>
    <row r="2527" s="93" customFormat="1" spans="3:13">
      <c r="C2527" s="94"/>
      <c r="E2527" s="94"/>
      <c r="G2527" s="94"/>
      <c r="I2527" s="94"/>
      <c r="K2527" s="94"/>
      <c r="M2527" s="94"/>
    </row>
    <row r="2528" s="93" customFormat="1" spans="3:13">
      <c r="C2528" s="94"/>
      <c r="E2528" s="94"/>
      <c r="G2528" s="94"/>
      <c r="I2528" s="94"/>
      <c r="K2528" s="94"/>
      <c r="M2528" s="94"/>
    </row>
    <row r="2529" s="93" customFormat="1" spans="3:13">
      <c r="C2529" s="94"/>
      <c r="E2529" s="94"/>
      <c r="G2529" s="94"/>
      <c r="I2529" s="94"/>
      <c r="K2529" s="94"/>
      <c r="M2529" s="94"/>
    </row>
    <row r="2530" s="93" customFormat="1" spans="3:13">
      <c r="C2530" s="94"/>
      <c r="E2530" s="94"/>
      <c r="G2530" s="94"/>
      <c r="I2530" s="94"/>
      <c r="K2530" s="94"/>
      <c r="M2530" s="94"/>
    </row>
    <row r="2531" s="93" customFormat="1" spans="3:13">
      <c r="C2531" s="94"/>
      <c r="E2531" s="94"/>
      <c r="G2531" s="94"/>
      <c r="I2531" s="94"/>
      <c r="K2531" s="94"/>
      <c r="M2531" s="94"/>
    </row>
    <row r="2532" s="93" customFormat="1" spans="3:13">
      <c r="C2532" s="94"/>
      <c r="E2532" s="94"/>
      <c r="G2532" s="94"/>
      <c r="I2532" s="94"/>
      <c r="K2532" s="94"/>
      <c r="M2532" s="94"/>
    </row>
    <row r="2533" s="93" customFormat="1" spans="3:13">
      <c r="C2533" s="94"/>
      <c r="E2533" s="94"/>
      <c r="G2533" s="94"/>
      <c r="I2533" s="94"/>
      <c r="K2533" s="94"/>
      <c r="M2533" s="94"/>
    </row>
    <row r="2534" s="93" customFormat="1" spans="3:13">
      <c r="C2534" s="94"/>
      <c r="E2534" s="94"/>
      <c r="G2534" s="94"/>
      <c r="I2534" s="94"/>
      <c r="K2534" s="94"/>
      <c r="M2534" s="94"/>
    </row>
    <row r="2535" s="93" customFormat="1" spans="3:13">
      <c r="C2535" s="94"/>
      <c r="E2535" s="94"/>
      <c r="G2535" s="94"/>
      <c r="I2535" s="94"/>
      <c r="K2535" s="94"/>
      <c r="M2535" s="94"/>
    </row>
    <row r="2536" s="93" customFormat="1" spans="3:13">
      <c r="C2536" s="94"/>
      <c r="E2536" s="94"/>
      <c r="G2536" s="94"/>
      <c r="I2536" s="94"/>
      <c r="K2536" s="94"/>
      <c r="M2536" s="94"/>
    </row>
    <row r="2537" s="93" customFormat="1" spans="3:13">
      <c r="C2537" s="94"/>
      <c r="E2537" s="94"/>
      <c r="G2537" s="94"/>
      <c r="I2537" s="94"/>
      <c r="K2537" s="94"/>
      <c r="M2537" s="94"/>
    </row>
    <row r="2538" s="93" customFormat="1" spans="3:13">
      <c r="C2538" s="94"/>
      <c r="E2538" s="94"/>
      <c r="G2538" s="94"/>
      <c r="I2538" s="94"/>
      <c r="K2538" s="94"/>
      <c r="M2538" s="94"/>
    </row>
    <row r="2539" s="93" customFormat="1" spans="3:13">
      <c r="C2539" s="94"/>
      <c r="E2539" s="94"/>
      <c r="G2539" s="94"/>
      <c r="I2539" s="94"/>
      <c r="K2539" s="94"/>
      <c r="M2539" s="94"/>
    </row>
    <row r="2540" s="93" customFormat="1" spans="3:13">
      <c r="C2540" s="94"/>
      <c r="E2540" s="94"/>
      <c r="G2540" s="94"/>
      <c r="I2540" s="94"/>
      <c r="K2540" s="94"/>
      <c r="M2540" s="94"/>
    </row>
    <row r="2541" s="93" customFormat="1" spans="3:13">
      <c r="C2541" s="94"/>
      <c r="E2541" s="94"/>
      <c r="G2541" s="94"/>
      <c r="I2541" s="94"/>
      <c r="K2541" s="94"/>
      <c r="M2541" s="94"/>
    </row>
    <row r="2542" s="93" customFormat="1" spans="3:13">
      <c r="C2542" s="94"/>
      <c r="E2542" s="94"/>
      <c r="G2542" s="94"/>
      <c r="I2542" s="94"/>
      <c r="K2542" s="94"/>
      <c r="M2542" s="94"/>
    </row>
    <row r="2543" s="93" customFormat="1" spans="3:13">
      <c r="C2543" s="94"/>
      <c r="E2543" s="94"/>
      <c r="G2543" s="94"/>
      <c r="I2543" s="94"/>
      <c r="K2543" s="94"/>
      <c r="M2543" s="94"/>
    </row>
    <row r="2544" s="93" customFormat="1" spans="3:13">
      <c r="C2544" s="94"/>
      <c r="E2544" s="94"/>
      <c r="G2544" s="94"/>
      <c r="I2544" s="94"/>
      <c r="K2544" s="94"/>
      <c r="M2544" s="94"/>
    </row>
    <row r="2545" s="93" customFormat="1" spans="3:13">
      <c r="C2545" s="94"/>
      <c r="E2545" s="94"/>
      <c r="G2545" s="94"/>
      <c r="I2545" s="94"/>
      <c r="K2545" s="94"/>
      <c r="M2545" s="94"/>
    </row>
    <row r="2546" s="93" customFormat="1" spans="3:13">
      <c r="C2546" s="94"/>
      <c r="E2546" s="94"/>
      <c r="G2546" s="94"/>
      <c r="I2546" s="94"/>
      <c r="K2546" s="94"/>
      <c r="M2546" s="94"/>
    </row>
    <row r="2547" s="93" customFormat="1" spans="3:13">
      <c r="C2547" s="94"/>
      <c r="E2547" s="94"/>
      <c r="G2547" s="94"/>
      <c r="I2547" s="94"/>
      <c r="K2547" s="94"/>
      <c r="M2547" s="94"/>
    </row>
    <row r="2548" s="93" customFormat="1" spans="3:13">
      <c r="C2548" s="94"/>
      <c r="E2548" s="94"/>
      <c r="G2548" s="94"/>
      <c r="I2548" s="94"/>
      <c r="K2548" s="94"/>
      <c r="M2548" s="94"/>
    </row>
    <row r="2549" s="93" customFormat="1" spans="3:13">
      <c r="C2549" s="94"/>
      <c r="E2549" s="94"/>
      <c r="G2549" s="94"/>
      <c r="I2549" s="94"/>
      <c r="K2549" s="94"/>
      <c r="M2549" s="94"/>
    </row>
    <row r="2550" s="93" customFormat="1" spans="3:13">
      <c r="C2550" s="94"/>
      <c r="E2550" s="94"/>
      <c r="G2550" s="94"/>
      <c r="I2550" s="94"/>
      <c r="K2550" s="94"/>
      <c r="M2550" s="94"/>
    </row>
    <row r="2551" s="93" customFormat="1" spans="3:13">
      <c r="C2551" s="94"/>
      <c r="E2551" s="94"/>
      <c r="G2551" s="94"/>
      <c r="I2551" s="94"/>
      <c r="K2551" s="94"/>
      <c r="M2551" s="94"/>
    </row>
    <row r="2552" s="93" customFormat="1" spans="3:13">
      <c r="C2552" s="94"/>
      <c r="E2552" s="94"/>
      <c r="G2552" s="94"/>
      <c r="I2552" s="94"/>
      <c r="K2552" s="94"/>
      <c r="M2552" s="94"/>
    </row>
    <row r="2553" s="93" customFormat="1" spans="3:13">
      <c r="C2553" s="94"/>
      <c r="E2553" s="94"/>
      <c r="G2553" s="94"/>
      <c r="I2553" s="94"/>
      <c r="K2553" s="94"/>
      <c r="M2553" s="94"/>
    </row>
    <row r="2554" s="93" customFormat="1" spans="3:13">
      <c r="C2554" s="94"/>
      <c r="E2554" s="94"/>
      <c r="G2554" s="94"/>
      <c r="I2554" s="94"/>
      <c r="K2554" s="94"/>
      <c r="M2554" s="94"/>
    </row>
    <row r="2555" s="93" customFormat="1" spans="3:13">
      <c r="C2555" s="94"/>
      <c r="E2555" s="94"/>
      <c r="G2555" s="94"/>
      <c r="I2555" s="94"/>
      <c r="K2555" s="94"/>
      <c r="M2555" s="94"/>
    </row>
    <row r="2556" s="93" customFormat="1" spans="3:13">
      <c r="C2556" s="94"/>
      <c r="E2556" s="94"/>
      <c r="G2556" s="94"/>
      <c r="I2556" s="94"/>
      <c r="K2556" s="94"/>
      <c r="M2556" s="94"/>
    </row>
    <row r="2557" s="93" customFormat="1" spans="3:13">
      <c r="C2557" s="94"/>
      <c r="E2557" s="94"/>
      <c r="G2557" s="94"/>
      <c r="I2557" s="94"/>
      <c r="K2557" s="94"/>
      <c r="M2557" s="94"/>
    </row>
    <row r="2558" s="93" customFormat="1" spans="3:13">
      <c r="C2558" s="94"/>
      <c r="E2558" s="94"/>
      <c r="G2558" s="94"/>
      <c r="I2558" s="94"/>
      <c r="K2558" s="94"/>
      <c r="M2558" s="94"/>
    </row>
    <row r="2559" s="93" customFormat="1" spans="3:13">
      <c r="C2559" s="94"/>
      <c r="E2559" s="94"/>
      <c r="G2559" s="94"/>
      <c r="I2559" s="94"/>
      <c r="K2559" s="94"/>
      <c r="M2559" s="94"/>
    </row>
    <row r="2560" s="93" customFormat="1" spans="3:13">
      <c r="C2560" s="94"/>
      <c r="E2560" s="94"/>
      <c r="G2560" s="94"/>
      <c r="I2560" s="94"/>
      <c r="K2560" s="94"/>
      <c r="M2560" s="94"/>
    </row>
    <row r="2561" s="93" customFormat="1" spans="3:13">
      <c r="C2561" s="94"/>
      <c r="E2561" s="94"/>
      <c r="G2561" s="94"/>
      <c r="I2561" s="94"/>
      <c r="K2561" s="94"/>
      <c r="M2561" s="94"/>
    </row>
    <row r="2562" s="93" customFormat="1" spans="3:13">
      <c r="C2562" s="94"/>
      <c r="E2562" s="94"/>
      <c r="G2562" s="94"/>
      <c r="I2562" s="94"/>
      <c r="K2562" s="94"/>
      <c r="M2562" s="94"/>
    </row>
    <row r="2563" s="93" customFormat="1" spans="3:13">
      <c r="C2563" s="94"/>
      <c r="E2563" s="94"/>
      <c r="G2563" s="94"/>
      <c r="I2563" s="94"/>
      <c r="K2563" s="94"/>
      <c r="M2563" s="94"/>
    </row>
    <row r="2564" s="93" customFormat="1" spans="3:13">
      <c r="C2564" s="94"/>
      <c r="E2564" s="94"/>
      <c r="G2564" s="94"/>
      <c r="I2564" s="94"/>
      <c r="K2564" s="94"/>
      <c r="M2564" s="94"/>
    </row>
    <row r="2565" s="93" customFormat="1" spans="3:13">
      <c r="C2565" s="94"/>
      <c r="E2565" s="94"/>
      <c r="G2565" s="94"/>
      <c r="I2565" s="94"/>
      <c r="K2565" s="94"/>
      <c r="M2565" s="94"/>
    </row>
    <row r="2566" s="93" customFormat="1" spans="3:13">
      <c r="C2566" s="94"/>
      <c r="E2566" s="94"/>
      <c r="G2566" s="94"/>
      <c r="I2566" s="94"/>
      <c r="K2566" s="94"/>
      <c r="M2566" s="94"/>
    </row>
    <row r="2567" s="93" customFormat="1" spans="3:13">
      <c r="C2567" s="94"/>
      <c r="E2567" s="94"/>
      <c r="G2567" s="94"/>
      <c r="I2567" s="94"/>
      <c r="K2567" s="94"/>
      <c r="M2567" s="94"/>
    </row>
    <row r="2568" s="93" customFormat="1" spans="3:13">
      <c r="C2568" s="94"/>
      <c r="E2568" s="94"/>
      <c r="G2568" s="94"/>
      <c r="I2568" s="94"/>
      <c r="K2568" s="94"/>
      <c r="M2568" s="94"/>
    </row>
    <row r="2569" s="93" customFormat="1" spans="3:13">
      <c r="C2569" s="94"/>
      <c r="E2569" s="94"/>
      <c r="G2569" s="94"/>
      <c r="I2569" s="94"/>
      <c r="K2569" s="94"/>
      <c r="M2569" s="94"/>
    </row>
    <row r="2570" s="93" customFormat="1" spans="3:13">
      <c r="C2570" s="94"/>
      <c r="E2570" s="94"/>
      <c r="G2570" s="94"/>
      <c r="I2570" s="94"/>
      <c r="K2570" s="94"/>
      <c r="M2570" s="94"/>
    </row>
    <row r="2571" s="93" customFormat="1" spans="3:13">
      <c r="C2571" s="94"/>
      <c r="E2571" s="94"/>
      <c r="G2571" s="94"/>
      <c r="I2571" s="94"/>
      <c r="K2571" s="94"/>
      <c r="M2571" s="94"/>
    </row>
    <row r="2572" s="93" customFormat="1" spans="3:13">
      <c r="C2572" s="94"/>
      <c r="E2572" s="94"/>
      <c r="G2572" s="94"/>
      <c r="I2572" s="94"/>
      <c r="K2572" s="94"/>
      <c r="M2572" s="94"/>
    </row>
    <row r="2573" s="93" customFormat="1" spans="3:13">
      <c r="C2573" s="94"/>
      <c r="E2573" s="94"/>
      <c r="G2573" s="94"/>
      <c r="I2573" s="94"/>
      <c r="K2573" s="94"/>
      <c r="M2573" s="94"/>
    </row>
    <row r="2574" s="93" customFormat="1" spans="3:13">
      <c r="C2574" s="94"/>
      <c r="E2574" s="94"/>
      <c r="G2574" s="94"/>
      <c r="I2574" s="94"/>
      <c r="K2574" s="94"/>
      <c r="M2574" s="94"/>
    </row>
    <row r="2575" s="93" customFormat="1" spans="3:13">
      <c r="C2575" s="94"/>
      <c r="E2575" s="94"/>
      <c r="G2575" s="94"/>
      <c r="I2575" s="94"/>
      <c r="K2575" s="94"/>
      <c r="M2575" s="94"/>
    </row>
    <row r="2576" s="93" customFormat="1" spans="3:13">
      <c r="C2576" s="94"/>
      <c r="E2576" s="94"/>
      <c r="G2576" s="94"/>
      <c r="I2576" s="94"/>
      <c r="K2576" s="94"/>
      <c r="M2576" s="94"/>
    </row>
    <row r="2577" s="93" customFormat="1" spans="3:13">
      <c r="C2577" s="94"/>
      <c r="E2577" s="94"/>
      <c r="G2577" s="94"/>
      <c r="I2577" s="94"/>
      <c r="K2577" s="94"/>
      <c r="M2577" s="94"/>
    </row>
    <row r="2578" s="93" customFormat="1" spans="3:13">
      <c r="C2578" s="94"/>
      <c r="E2578" s="94"/>
      <c r="G2578" s="94"/>
      <c r="I2578" s="94"/>
      <c r="K2578" s="94"/>
      <c r="M2578" s="94"/>
    </row>
    <row r="2579" s="93" customFormat="1" spans="3:13">
      <c r="C2579" s="94"/>
      <c r="E2579" s="94"/>
      <c r="G2579" s="94"/>
      <c r="I2579" s="94"/>
      <c r="K2579" s="94"/>
      <c r="M2579" s="94"/>
    </row>
    <row r="2580" s="93" customFormat="1" spans="3:13">
      <c r="C2580" s="94"/>
      <c r="E2580" s="94"/>
      <c r="G2580" s="94"/>
      <c r="I2580" s="94"/>
      <c r="K2580" s="94"/>
      <c r="M2580" s="94"/>
    </row>
    <row r="2581" s="93" customFormat="1" spans="3:13">
      <c r="C2581" s="94"/>
      <c r="E2581" s="94"/>
      <c r="G2581" s="94"/>
      <c r="I2581" s="94"/>
      <c r="K2581" s="94"/>
      <c r="M2581" s="94"/>
    </row>
    <row r="2582" s="93" customFormat="1" spans="3:13">
      <c r="C2582" s="94"/>
      <c r="E2582" s="94"/>
      <c r="G2582" s="94"/>
      <c r="I2582" s="94"/>
      <c r="K2582" s="94"/>
      <c r="M2582" s="94"/>
    </row>
    <row r="2583" s="93" customFormat="1" spans="3:13">
      <c r="C2583" s="94"/>
      <c r="E2583" s="94"/>
      <c r="G2583" s="94"/>
      <c r="I2583" s="94"/>
      <c r="K2583" s="94"/>
      <c r="M2583" s="94"/>
    </row>
    <row r="2584" s="93" customFormat="1" spans="3:13">
      <c r="C2584" s="94"/>
      <c r="E2584" s="94"/>
      <c r="G2584" s="94"/>
      <c r="I2584" s="94"/>
      <c r="K2584" s="94"/>
      <c r="M2584" s="94"/>
    </row>
    <row r="2585" s="93" customFormat="1" spans="3:13">
      <c r="C2585" s="94"/>
      <c r="E2585" s="94"/>
      <c r="G2585" s="94"/>
      <c r="I2585" s="94"/>
      <c r="K2585" s="94"/>
      <c r="M2585" s="94"/>
    </row>
    <row r="2586" s="93" customFormat="1" spans="3:13">
      <c r="C2586" s="94"/>
      <c r="E2586" s="94"/>
      <c r="G2586" s="94"/>
      <c r="I2586" s="94"/>
      <c r="K2586" s="94"/>
      <c r="M2586" s="94"/>
    </row>
    <row r="2587" s="93" customFormat="1" spans="3:13">
      <c r="C2587" s="94"/>
      <c r="E2587" s="94"/>
      <c r="G2587" s="94"/>
      <c r="I2587" s="94"/>
      <c r="K2587" s="94"/>
      <c r="M2587" s="94"/>
    </row>
    <row r="2588" s="93" customFormat="1" spans="3:13">
      <c r="C2588" s="94"/>
      <c r="E2588" s="94"/>
      <c r="G2588" s="94"/>
      <c r="I2588" s="94"/>
      <c r="K2588" s="94"/>
      <c r="M2588" s="94"/>
    </row>
    <row r="2589" s="93" customFormat="1" spans="3:13">
      <c r="C2589" s="94"/>
      <c r="E2589" s="94"/>
      <c r="G2589" s="94"/>
      <c r="I2589" s="94"/>
      <c r="K2589" s="94"/>
      <c r="M2589" s="94"/>
    </row>
    <row r="2590" s="93" customFormat="1" spans="3:13">
      <c r="C2590" s="94"/>
      <c r="E2590" s="94"/>
      <c r="G2590" s="94"/>
      <c r="I2590" s="94"/>
      <c r="K2590" s="94"/>
      <c r="M2590" s="94"/>
    </row>
    <row r="2591" s="93" customFormat="1" spans="3:13">
      <c r="C2591" s="94"/>
      <c r="E2591" s="94"/>
      <c r="G2591" s="94"/>
      <c r="I2591" s="94"/>
      <c r="K2591" s="94"/>
      <c r="M2591" s="94"/>
    </row>
    <row r="2592" s="93" customFormat="1" spans="3:13">
      <c r="C2592" s="94"/>
      <c r="E2592" s="94"/>
      <c r="G2592" s="94"/>
      <c r="I2592" s="94"/>
      <c r="K2592" s="94"/>
      <c r="M2592" s="94"/>
    </row>
    <row r="2593" s="93" customFormat="1" spans="3:13">
      <c r="C2593" s="94"/>
      <c r="E2593" s="94"/>
      <c r="G2593" s="94"/>
      <c r="I2593" s="94"/>
      <c r="K2593" s="94"/>
      <c r="M2593" s="94"/>
    </row>
    <row r="2594" s="93" customFormat="1" spans="3:13">
      <c r="C2594" s="94"/>
      <c r="E2594" s="94"/>
      <c r="G2594" s="94"/>
      <c r="I2594" s="94"/>
      <c r="K2594" s="94"/>
      <c r="M2594" s="94"/>
    </row>
    <row r="2595" s="93" customFormat="1" spans="3:13">
      <c r="C2595" s="94"/>
      <c r="E2595" s="94"/>
      <c r="G2595" s="94"/>
      <c r="I2595" s="94"/>
      <c r="K2595" s="94"/>
      <c r="M2595" s="94"/>
    </row>
    <row r="2596" s="93" customFormat="1" spans="3:13">
      <c r="C2596" s="94"/>
      <c r="E2596" s="94"/>
      <c r="G2596" s="94"/>
      <c r="I2596" s="94"/>
      <c r="K2596" s="94"/>
      <c r="M2596" s="94"/>
    </row>
    <row r="2597" s="93" customFormat="1" spans="3:13">
      <c r="C2597" s="94"/>
      <c r="E2597" s="94"/>
      <c r="G2597" s="94"/>
      <c r="I2597" s="94"/>
      <c r="K2597" s="94"/>
      <c r="M2597" s="94"/>
    </row>
    <row r="2598" s="93" customFormat="1" spans="3:13">
      <c r="C2598" s="94"/>
      <c r="E2598" s="94"/>
      <c r="G2598" s="94"/>
      <c r="I2598" s="94"/>
      <c r="K2598" s="94"/>
      <c r="M2598" s="94"/>
    </row>
    <row r="2599" s="93" customFormat="1" spans="3:13">
      <c r="C2599" s="94"/>
      <c r="E2599" s="94"/>
      <c r="G2599" s="94"/>
      <c r="I2599" s="94"/>
      <c r="K2599" s="94"/>
      <c r="M2599" s="94"/>
    </row>
    <row r="2600" s="93" customFormat="1" spans="3:13">
      <c r="C2600" s="94"/>
      <c r="E2600" s="94"/>
      <c r="G2600" s="94"/>
      <c r="I2600" s="94"/>
      <c r="K2600" s="94"/>
      <c r="M2600" s="94"/>
    </row>
    <row r="2601" s="93" customFormat="1" spans="3:13">
      <c r="C2601" s="94"/>
      <c r="E2601" s="94"/>
      <c r="G2601" s="94"/>
      <c r="I2601" s="94"/>
      <c r="K2601" s="94"/>
      <c r="M2601" s="94"/>
    </row>
    <row r="2602" s="93" customFormat="1" spans="3:13">
      <c r="C2602" s="94"/>
      <c r="E2602" s="94"/>
      <c r="G2602" s="94"/>
      <c r="I2602" s="94"/>
      <c r="K2602" s="94"/>
      <c r="M2602" s="94"/>
    </row>
    <row r="2603" s="93" customFormat="1" spans="3:13">
      <c r="C2603" s="94"/>
      <c r="E2603" s="94"/>
      <c r="G2603" s="94"/>
      <c r="I2603" s="94"/>
      <c r="K2603" s="94"/>
      <c r="M2603" s="94"/>
    </row>
    <row r="2604" s="93" customFormat="1" spans="3:13">
      <c r="C2604" s="94"/>
      <c r="E2604" s="94"/>
      <c r="G2604" s="94"/>
      <c r="I2604" s="94"/>
      <c r="K2604" s="94"/>
      <c r="M2604" s="94"/>
    </row>
    <row r="2605" s="93" customFormat="1" spans="3:13">
      <c r="C2605" s="94"/>
      <c r="E2605" s="94"/>
      <c r="G2605" s="94"/>
      <c r="I2605" s="94"/>
      <c r="K2605" s="94"/>
      <c r="M2605" s="94"/>
    </row>
    <row r="2606" s="93" customFormat="1" spans="3:13">
      <c r="C2606" s="94"/>
      <c r="E2606" s="94"/>
      <c r="G2606" s="94"/>
      <c r="I2606" s="94"/>
      <c r="K2606" s="94"/>
      <c r="M2606" s="94"/>
    </row>
    <row r="2607" s="93" customFormat="1" spans="3:13">
      <c r="C2607" s="94"/>
      <c r="E2607" s="94"/>
      <c r="G2607" s="94"/>
      <c r="I2607" s="94"/>
      <c r="K2607" s="94"/>
      <c r="M2607" s="94"/>
    </row>
    <row r="2608" s="93" customFormat="1" spans="3:13">
      <c r="C2608" s="94"/>
      <c r="E2608" s="94"/>
      <c r="G2608" s="94"/>
      <c r="I2608" s="94"/>
      <c r="K2608" s="94"/>
      <c r="M2608" s="94"/>
    </row>
    <row r="2609" s="93" customFormat="1" spans="3:13">
      <c r="C2609" s="94"/>
      <c r="E2609" s="94"/>
      <c r="G2609" s="94"/>
      <c r="I2609" s="94"/>
      <c r="K2609" s="94"/>
      <c r="M2609" s="94"/>
    </row>
    <row r="2610" s="93" customFormat="1" spans="3:13">
      <c r="C2610" s="94"/>
      <c r="E2610" s="94"/>
      <c r="G2610" s="94"/>
      <c r="I2610" s="94"/>
      <c r="K2610" s="94"/>
      <c r="M2610" s="94"/>
    </row>
    <row r="2611" s="93" customFormat="1" spans="3:13">
      <c r="C2611" s="94"/>
      <c r="E2611" s="94"/>
      <c r="G2611" s="94"/>
      <c r="I2611" s="94"/>
      <c r="K2611" s="94"/>
      <c r="M2611" s="94"/>
    </row>
    <row r="2612" s="93" customFormat="1" spans="3:13">
      <c r="C2612" s="94"/>
      <c r="E2612" s="94"/>
      <c r="G2612" s="94"/>
      <c r="I2612" s="94"/>
      <c r="K2612" s="94"/>
      <c r="M2612" s="94"/>
    </row>
    <row r="2613" s="93" customFormat="1" spans="3:13">
      <c r="C2613" s="94"/>
      <c r="E2613" s="94"/>
      <c r="G2613" s="94"/>
      <c r="I2613" s="94"/>
      <c r="K2613" s="94"/>
      <c r="M2613" s="94"/>
    </row>
    <row r="2614" s="93" customFormat="1" spans="3:13">
      <c r="C2614" s="94"/>
      <c r="E2614" s="94"/>
      <c r="G2614" s="94"/>
      <c r="I2614" s="94"/>
      <c r="K2614" s="94"/>
      <c r="M2614" s="94"/>
    </row>
    <row r="2615" s="93" customFormat="1" spans="3:13">
      <c r="C2615" s="94"/>
      <c r="E2615" s="94"/>
      <c r="G2615" s="94"/>
      <c r="I2615" s="94"/>
      <c r="K2615" s="94"/>
      <c r="M2615" s="94"/>
    </row>
    <row r="2616" s="93" customFormat="1" spans="3:13">
      <c r="C2616" s="94"/>
      <c r="E2616" s="94"/>
      <c r="G2616" s="94"/>
      <c r="I2616" s="94"/>
      <c r="K2616" s="94"/>
      <c r="M2616" s="94"/>
    </row>
    <row r="2617" s="93" customFormat="1" spans="3:13">
      <c r="C2617" s="94"/>
      <c r="E2617" s="94"/>
      <c r="G2617" s="94"/>
      <c r="I2617" s="94"/>
      <c r="K2617" s="94"/>
      <c r="M2617" s="94"/>
    </row>
    <row r="2618" s="93" customFormat="1" spans="3:13">
      <c r="C2618" s="94"/>
      <c r="E2618" s="94"/>
      <c r="G2618" s="94"/>
      <c r="I2618" s="94"/>
      <c r="K2618" s="94"/>
      <c r="M2618" s="94"/>
    </row>
    <row r="2619" s="93" customFormat="1" spans="3:13">
      <c r="C2619" s="94"/>
      <c r="E2619" s="94"/>
      <c r="G2619" s="94"/>
      <c r="I2619" s="94"/>
      <c r="K2619" s="94"/>
      <c r="M2619" s="94"/>
    </row>
    <row r="2620" s="93" customFormat="1" spans="3:13">
      <c r="C2620" s="94"/>
      <c r="E2620" s="94"/>
      <c r="G2620" s="94"/>
      <c r="I2620" s="94"/>
      <c r="K2620" s="94"/>
      <c r="M2620" s="94"/>
    </row>
    <row r="2621" s="93" customFormat="1" spans="3:13">
      <c r="C2621" s="94"/>
      <c r="E2621" s="94"/>
      <c r="G2621" s="94"/>
      <c r="I2621" s="94"/>
      <c r="K2621" s="94"/>
      <c r="M2621" s="94"/>
    </row>
    <row r="2622" s="93" customFormat="1" spans="3:13">
      <c r="C2622" s="94"/>
      <c r="E2622" s="94"/>
      <c r="G2622" s="94"/>
      <c r="I2622" s="94"/>
      <c r="K2622" s="94"/>
      <c r="M2622" s="94"/>
    </row>
    <row r="2623" s="93" customFormat="1" spans="3:13">
      <c r="C2623" s="94"/>
      <c r="E2623" s="94"/>
      <c r="G2623" s="94"/>
      <c r="I2623" s="94"/>
      <c r="K2623" s="94"/>
      <c r="M2623" s="94"/>
    </row>
    <row r="2624" s="93" customFormat="1" spans="3:13">
      <c r="C2624" s="94"/>
      <c r="E2624" s="94"/>
      <c r="G2624" s="94"/>
      <c r="I2624" s="94"/>
      <c r="K2624" s="94"/>
      <c r="M2624" s="94"/>
    </row>
    <row r="2625" s="93" customFormat="1" spans="3:13">
      <c r="C2625" s="94"/>
      <c r="E2625" s="94"/>
      <c r="G2625" s="94"/>
      <c r="I2625" s="94"/>
      <c r="K2625" s="94"/>
      <c r="M2625" s="94"/>
    </row>
    <row r="2626" s="93" customFormat="1" spans="3:13">
      <c r="C2626" s="94"/>
      <c r="E2626" s="94"/>
      <c r="G2626" s="94"/>
      <c r="I2626" s="94"/>
      <c r="K2626" s="94"/>
      <c r="M2626" s="94"/>
    </row>
    <row r="2627" s="93" customFormat="1" spans="3:13">
      <c r="C2627" s="94"/>
      <c r="E2627" s="94"/>
      <c r="G2627" s="94"/>
      <c r="I2627" s="94"/>
      <c r="K2627" s="94"/>
      <c r="M2627" s="94"/>
    </row>
    <row r="2628" s="93" customFormat="1" spans="3:13">
      <c r="C2628" s="94"/>
      <c r="E2628" s="94"/>
      <c r="G2628" s="94"/>
      <c r="I2628" s="94"/>
      <c r="K2628" s="94"/>
      <c r="M2628" s="94"/>
    </row>
    <row r="2629" s="93" customFormat="1" spans="3:13">
      <c r="C2629" s="94"/>
      <c r="E2629" s="94"/>
      <c r="G2629" s="94"/>
      <c r="I2629" s="94"/>
      <c r="K2629" s="94"/>
      <c r="M2629" s="94"/>
    </row>
    <row r="2630" s="93" customFormat="1" spans="3:13">
      <c r="C2630" s="94"/>
      <c r="E2630" s="94"/>
      <c r="G2630" s="94"/>
      <c r="I2630" s="94"/>
      <c r="K2630" s="94"/>
      <c r="M2630" s="94"/>
    </row>
    <row r="2631" s="93" customFormat="1" spans="3:13">
      <c r="C2631" s="94"/>
      <c r="E2631" s="94"/>
      <c r="G2631" s="94"/>
      <c r="I2631" s="94"/>
      <c r="K2631" s="94"/>
      <c r="M2631" s="94"/>
    </row>
    <row r="2632" s="93" customFormat="1" spans="3:13">
      <c r="C2632" s="94"/>
      <c r="E2632" s="94"/>
      <c r="G2632" s="94"/>
      <c r="I2632" s="94"/>
      <c r="K2632" s="94"/>
      <c r="M2632" s="94"/>
    </row>
    <row r="2633" s="93" customFormat="1" spans="3:13">
      <c r="C2633" s="94"/>
      <c r="E2633" s="94"/>
      <c r="G2633" s="94"/>
      <c r="I2633" s="94"/>
      <c r="K2633" s="94"/>
      <c r="M2633" s="94"/>
    </row>
    <row r="2634" s="93" customFormat="1" spans="3:13">
      <c r="C2634" s="94"/>
      <c r="E2634" s="94"/>
      <c r="G2634" s="94"/>
      <c r="I2634" s="94"/>
      <c r="K2634" s="94"/>
      <c r="M2634" s="94"/>
    </row>
    <row r="2635" s="93" customFormat="1" spans="3:13">
      <c r="C2635" s="94"/>
      <c r="E2635" s="94"/>
      <c r="G2635" s="94"/>
      <c r="I2635" s="94"/>
      <c r="K2635" s="94"/>
      <c r="M2635" s="94"/>
    </row>
    <row r="2636" s="93" customFormat="1" spans="3:13">
      <c r="C2636" s="94"/>
      <c r="E2636" s="94"/>
      <c r="G2636" s="94"/>
      <c r="I2636" s="94"/>
      <c r="K2636" s="94"/>
      <c r="M2636" s="94"/>
    </row>
    <row r="2637" s="93" customFormat="1" spans="3:13">
      <c r="C2637" s="94"/>
      <c r="E2637" s="94"/>
      <c r="G2637" s="94"/>
      <c r="I2637" s="94"/>
      <c r="K2637" s="94"/>
      <c r="M2637" s="94"/>
    </row>
    <row r="2638" s="93" customFormat="1" spans="3:13">
      <c r="C2638" s="94"/>
      <c r="E2638" s="94"/>
      <c r="G2638" s="94"/>
      <c r="I2638" s="94"/>
      <c r="K2638" s="94"/>
      <c r="M2638" s="94"/>
    </row>
    <row r="2639" s="93" customFormat="1" spans="3:13">
      <c r="C2639" s="94"/>
      <c r="E2639" s="94"/>
      <c r="G2639" s="94"/>
      <c r="I2639" s="94"/>
      <c r="K2639" s="94"/>
      <c r="M2639" s="94"/>
    </row>
    <row r="2640" s="93" customFormat="1" spans="3:13">
      <c r="C2640" s="94"/>
      <c r="E2640" s="94"/>
      <c r="G2640" s="94"/>
      <c r="I2640" s="94"/>
      <c r="K2640" s="94"/>
      <c r="M2640" s="94"/>
    </row>
    <row r="2641" s="93" customFormat="1" spans="3:13">
      <c r="C2641" s="94"/>
      <c r="E2641" s="94"/>
      <c r="G2641" s="94"/>
      <c r="I2641" s="94"/>
      <c r="K2641" s="94"/>
      <c r="M2641" s="94"/>
    </row>
    <row r="2642" s="93" customFormat="1" spans="3:13">
      <c r="C2642" s="94"/>
      <c r="E2642" s="94"/>
      <c r="G2642" s="94"/>
      <c r="I2642" s="94"/>
      <c r="K2642" s="94"/>
      <c r="M2642" s="94"/>
    </row>
    <row r="2643" s="93" customFormat="1" spans="3:13">
      <c r="C2643" s="94"/>
      <c r="E2643" s="94"/>
      <c r="G2643" s="94"/>
      <c r="I2643" s="94"/>
      <c r="K2643" s="94"/>
      <c r="M2643" s="94"/>
    </row>
    <row r="2644" s="93" customFormat="1" spans="3:13">
      <c r="C2644" s="94"/>
      <c r="E2644" s="94"/>
      <c r="G2644" s="94"/>
      <c r="I2644" s="94"/>
      <c r="K2644" s="94"/>
      <c r="M2644" s="94"/>
    </row>
    <row r="2645" s="93" customFormat="1" spans="3:13">
      <c r="C2645" s="94"/>
      <c r="E2645" s="94"/>
      <c r="G2645" s="94"/>
      <c r="I2645" s="94"/>
      <c r="K2645" s="94"/>
      <c r="M2645" s="94"/>
    </row>
    <row r="2646" s="93" customFormat="1" spans="3:13">
      <c r="C2646" s="94"/>
      <c r="E2646" s="94"/>
      <c r="G2646" s="94"/>
      <c r="I2646" s="94"/>
      <c r="K2646" s="94"/>
      <c r="M2646" s="94"/>
    </row>
    <row r="2647" s="93" customFormat="1" spans="3:13">
      <c r="C2647" s="94"/>
      <c r="E2647" s="94"/>
      <c r="G2647" s="94"/>
      <c r="I2647" s="94"/>
      <c r="K2647" s="94"/>
      <c r="M2647" s="94"/>
    </row>
    <row r="2648" s="93" customFormat="1" spans="3:13">
      <c r="C2648" s="94"/>
      <c r="E2648" s="94"/>
      <c r="G2648" s="94"/>
      <c r="I2648" s="94"/>
      <c r="K2648" s="94"/>
      <c r="M2648" s="94"/>
    </row>
    <row r="2649" s="93" customFormat="1" spans="3:13">
      <c r="C2649" s="94"/>
      <c r="E2649" s="94"/>
      <c r="G2649" s="94"/>
      <c r="I2649" s="94"/>
      <c r="K2649" s="94"/>
      <c r="M2649" s="94"/>
    </row>
    <row r="2650" s="93" customFormat="1" spans="3:13">
      <c r="C2650" s="94"/>
      <c r="E2650" s="94"/>
      <c r="G2650" s="94"/>
      <c r="I2650" s="94"/>
      <c r="K2650" s="94"/>
      <c r="M2650" s="94"/>
    </row>
    <row r="2651" s="93" customFormat="1" spans="3:13">
      <c r="C2651" s="94"/>
      <c r="E2651" s="94"/>
      <c r="G2651" s="94"/>
      <c r="I2651" s="94"/>
      <c r="K2651" s="94"/>
      <c r="M2651" s="94"/>
    </row>
    <row r="2652" s="93" customFormat="1" spans="3:13">
      <c r="C2652" s="94"/>
      <c r="E2652" s="94"/>
      <c r="G2652" s="94"/>
      <c r="I2652" s="94"/>
      <c r="K2652" s="94"/>
      <c r="M2652" s="94"/>
    </row>
    <row r="2653" s="93" customFormat="1" spans="3:13">
      <c r="C2653" s="94"/>
      <c r="E2653" s="94"/>
      <c r="G2653" s="94"/>
      <c r="I2653" s="94"/>
      <c r="K2653" s="94"/>
      <c r="M2653" s="94"/>
    </row>
    <row r="2654" s="93" customFormat="1" spans="3:13">
      <c r="C2654" s="94"/>
      <c r="E2654" s="94"/>
      <c r="G2654" s="94"/>
      <c r="I2654" s="94"/>
      <c r="K2654" s="94"/>
      <c r="M2654" s="94"/>
    </row>
    <row r="2655" s="93" customFormat="1" spans="3:13">
      <c r="C2655" s="94"/>
      <c r="E2655" s="94"/>
      <c r="G2655" s="94"/>
      <c r="I2655" s="94"/>
      <c r="K2655" s="94"/>
      <c r="M2655" s="94"/>
    </row>
    <row r="2656" s="93" customFormat="1" spans="3:13">
      <c r="C2656" s="94"/>
      <c r="E2656" s="94"/>
      <c r="G2656" s="94"/>
      <c r="I2656" s="94"/>
      <c r="K2656" s="94"/>
      <c r="M2656" s="94"/>
    </row>
    <row r="2657" s="93" customFormat="1" spans="3:13">
      <c r="C2657" s="94"/>
      <c r="E2657" s="94"/>
      <c r="G2657" s="94"/>
      <c r="I2657" s="94"/>
      <c r="K2657" s="94"/>
      <c r="M2657" s="94"/>
    </row>
    <row r="2658" s="93" customFormat="1" spans="3:13">
      <c r="C2658" s="94"/>
      <c r="E2658" s="94"/>
      <c r="G2658" s="94"/>
      <c r="I2658" s="94"/>
      <c r="K2658" s="94"/>
      <c r="M2658" s="94"/>
    </row>
    <row r="2659" s="93" customFormat="1" spans="3:13">
      <c r="C2659" s="94"/>
      <c r="E2659" s="94"/>
      <c r="G2659" s="94"/>
      <c r="I2659" s="94"/>
      <c r="K2659" s="94"/>
      <c r="M2659" s="94"/>
    </row>
    <row r="2660" s="93" customFormat="1" spans="3:13">
      <c r="C2660" s="94"/>
      <c r="E2660" s="94"/>
      <c r="G2660" s="94"/>
      <c r="I2660" s="94"/>
      <c r="K2660" s="94"/>
      <c r="M2660" s="94"/>
    </row>
    <row r="2661" s="93" customFormat="1" spans="3:13">
      <c r="C2661" s="94"/>
      <c r="E2661" s="94"/>
      <c r="G2661" s="94"/>
      <c r="I2661" s="94"/>
      <c r="K2661" s="94"/>
      <c r="M2661" s="94"/>
    </row>
    <row r="2662" s="93" customFormat="1" spans="3:13">
      <c r="C2662" s="94"/>
      <c r="E2662" s="94"/>
      <c r="G2662" s="94"/>
      <c r="I2662" s="94"/>
      <c r="K2662" s="94"/>
      <c r="M2662" s="94"/>
    </row>
    <row r="2663" s="93" customFormat="1" spans="3:13">
      <c r="C2663" s="94"/>
      <c r="E2663" s="94"/>
      <c r="G2663" s="94"/>
      <c r="I2663" s="94"/>
      <c r="K2663" s="94"/>
      <c r="M2663" s="94"/>
    </row>
    <row r="2664" s="93" customFormat="1" spans="3:13">
      <c r="C2664" s="94"/>
      <c r="E2664" s="94"/>
      <c r="G2664" s="94"/>
      <c r="I2664" s="94"/>
      <c r="K2664" s="94"/>
      <c r="M2664" s="94"/>
    </row>
    <row r="2665" s="93" customFormat="1" spans="3:13">
      <c r="C2665" s="94"/>
      <c r="E2665" s="94"/>
      <c r="G2665" s="94"/>
      <c r="I2665" s="94"/>
      <c r="K2665" s="94"/>
      <c r="M2665" s="94"/>
    </row>
    <row r="2666" s="93" customFormat="1" spans="3:13">
      <c r="C2666" s="94"/>
      <c r="E2666" s="94"/>
      <c r="G2666" s="94"/>
      <c r="I2666" s="94"/>
      <c r="K2666" s="94"/>
      <c r="M2666" s="94"/>
    </row>
    <row r="2667" s="93" customFormat="1" spans="3:13">
      <c r="C2667" s="94"/>
      <c r="E2667" s="94"/>
      <c r="G2667" s="94"/>
      <c r="I2667" s="94"/>
      <c r="K2667" s="94"/>
      <c r="M2667" s="94"/>
    </row>
    <row r="2668" s="93" customFormat="1" spans="3:13">
      <c r="C2668" s="94"/>
      <c r="E2668" s="94"/>
      <c r="G2668" s="94"/>
      <c r="I2668" s="94"/>
      <c r="K2668" s="94"/>
      <c r="M2668" s="94"/>
    </row>
    <row r="2669" s="93" customFormat="1" spans="3:13">
      <c r="C2669" s="94"/>
      <c r="E2669" s="94"/>
      <c r="G2669" s="94"/>
      <c r="I2669" s="94"/>
      <c r="K2669" s="94"/>
      <c r="M2669" s="94"/>
    </row>
    <row r="2670" s="93" customFormat="1" spans="3:13">
      <c r="C2670" s="94"/>
      <c r="E2670" s="94"/>
      <c r="G2670" s="94"/>
      <c r="I2670" s="94"/>
      <c r="K2670" s="94"/>
      <c r="M2670" s="94"/>
    </row>
    <row r="2671" s="93" customFormat="1" spans="3:13">
      <c r="C2671" s="94"/>
      <c r="E2671" s="94"/>
      <c r="G2671" s="94"/>
      <c r="I2671" s="94"/>
      <c r="K2671" s="94"/>
      <c r="M2671" s="94"/>
    </row>
    <row r="2672" s="93" customFormat="1" spans="3:13">
      <c r="C2672" s="94"/>
      <c r="E2672" s="94"/>
      <c r="G2672" s="94"/>
      <c r="I2672" s="94"/>
      <c r="K2672" s="94"/>
      <c r="M2672" s="94"/>
    </row>
    <row r="2673" s="93" customFormat="1" spans="3:13">
      <c r="C2673" s="94"/>
      <c r="E2673" s="94"/>
      <c r="G2673" s="94"/>
      <c r="I2673" s="94"/>
      <c r="K2673" s="94"/>
      <c r="M2673" s="94"/>
    </row>
    <row r="2674" s="93" customFormat="1" spans="3:13">
      <c r="C2674" s="94"/>
      <c r="E2674" s="94"/>
      <c r="G2674" s="94"/>
      <c r="I2674" s="94"/>
      <c r="K2674" s="94"/>
      <c r="M2674" s="94"/>
    </row>
    <row r="2675" s="93" customFormat="1" spans="3:13">
      <c r="C2675" s="94"/>
      <c r="E2675" s="94"/>
      <c r="G2675" s="94"/>
      <c r="I2675" s="94"/>
      <c r="K2675" s="94"/>
      <c r="M2675" s="94"/>
    </row>
    <row r="2676" s="93" customFormat="1" spans="3:13">
      <c r="C2676" s="94"/>
      <c r="E2676" s="94"/>
      <c r="G2676" s="94"/>
      <c r="I2676" s="94"/>
      <c r="K2676" s="94"/>
      <c r="M2676" s="94"/>
    </row>
    <row r="2677" s="93" customFormat="1" spans="3:13">
      <c r="C2677" s="94"/>
      <c r="E2677" s="94"/>
      <c r="G2677" s="94"/>
      <c r="I2677" s="94"/>
      <c r="K2677" s="94"/>
      <c r="M2677" s="94"/>
    </row>
    <row r="2678" s="93" customFormat="1" spans="3:13">
      <c r="C2678" s="94"/>
      <c r="E2678" s="94"/>
      <c r="G2678" s="94"/>
      <c r="I2678" s="94"/>
      <c r="K2678" s="94"/>
      <c r="M2678" s="94"/>
    </row>
    <row r="2679" s="93" customFormat="1" spans="3:13">
      <c r="C2679" s="94"/>
      <c r="E2679" s="94"/>
      <c r="G2679" s="94"/>
      <c r="I2679" s="94"/>
      <c r="K2679" s="94"/>
      <c r="M2679" s="94"/>
    </row>
    <row r="2680" s="93" customFormat="1" spans="3:13">
      <c r="C2680" s="94"/>
      <c r="E2680" s="94"/>
      <c r="G2680" s="94"/>
      <c r="I2680" s="94"/>
      <c r="K2680" s="94"/>
      <c r="M2680" s="94"/>
    </row>
    <row r="2681" s="93" customFormat="1" spans="3:13">
      <c r="C2681" s="94"/>
      <c r="E2681" s="94"/>
      <c r="G2681" s="94"/>
      <c r="I2681" s="94"/>
      <c r="K2681" s="94"/>
      <c r="M2681" s="94"/>
    </row>
    <row r="2682" s="93" customFormat="1" spans="3:13">
      <c r="C2682" s="94"/>
      <c r="E2682" s="94"/>
      <c r="G2682" s="94"/>
      <c r="I2682" s="94"/>
      <c r="K2682" s="94"/>
      <c r="M2682" s="94"/>
    </row>
    <row r="2683" s="93" customFormat="1" spans="3:13">
      <c r="C2683" s="94"/>
      <c r="E2683" s="94"/>
      <c r="G2683" s="94"/>
      <c r="I2683" s="94"/>
      <c r="K2683" s="94"/>
      <c r="M2683" s="94"/>
    </row>
    <row r="2684" s="93" customFormat="1" spans="3:13">
      <c r="C2684" s="94"/>
      <c r="E2684" s="94"/>
      <c r="G2684" s="94"/>
      <c r="I2684" s="94"/>
      <c r="K2684" s="94"/>
      <c r="M2684" s="94"/>
    </row>
    <row r="2685" s="93" customFormat="1" spans="3:13">
      <c r="C2685" s="94"/>
      <c r="E2685" s="94"/>
      <c r="G2685" s="94"/>
      <c r="I2685" s="94"/>
      <c r="K2685" s="94"/>
      <c r="M2685" s="94"/>
    </row>
    <row r="2686" s="93" customFormat="1" spans="3:13">
      <c r="C2686" s="94"/>
      <c r="E2686" s="94"/>
      <c r="G2686" s="94"/>
      <c r="I2686" s="94"/>
      <c r="K2686" s="94"/>
      <c r="M2686" s="94"/>
    </row>
    <row r="2687" s="93" customFormat="1" spans="3:13">
      <c r="C2687" s="94"/>
      <c r="E2687" s="94"/>
      <c r="G2687" s="94"/>
      <c r="I2687" s="94"/>
      <c r="K2687" s="94"/>
      <c r="M2687" s="94"/>
    </row>
    <row r="2688" s="93" customFormat="1" spans="3:13">
      <c r="C2688" s="94"/>
      <c r="E2688" s="94"/>
      <c r="G2688" s="94"/>
      <c r="I2688" s="94"/>
      <c r="K2688" s="94"/>
      <c r="M2688" s="94"/>
    </row>
    <row r="2689" s="93" customFormat="1" spans="3:13">
      <c r="C2689" s="94"/>
      <c r="E2689" s="94"/>
      <c r="G2689" s="94"/>
      <c r="I2689" s="94"/>
      <c r="K2689" s="94"/>
      <c r="M2689" s="94"/>
    </row>
    <row r="2690" s="93" customFormat="1" spans="3:13">
      <c r="C2690" s="94"/>
      <c r="E2690" s="94"/>
      <c r="G2690" s="94"/>
      <c r="I2690" s="94"/>
      <c r="K2690" s="94"/>
      <c r="M2690" s="94"/>
    </row>
    <row r="2691" s="93" customFormat="1" spans="3:13">
      <c r="C2691" s="94"/>
      <c r="E2691" s="94"/>
      <c r="G2691" s="94"/>
      <c r="I2691" s="94"/>
      <c r="K2691" s="94"/>
      <c r="M2691" s="94"/>
    </row>
    <row r="2692" s="93" customFormat="1" spans="3:13">
      <c r="C2692" s="94"/>
      <c r="E2692" s="94"/>
      <c r="G2692" s="94"/>
      <c r="I2692" s="94"/>
      <c r="K2692" s="94"/>
      <c r="M2692" s="94"/>
    </row>
    <row r="2693" s="93" customFormat="1" spans="3:13">
      <c r="C2693" s="94"/>
      <c r="E2693" s="94"/>
      <c r="G2693" s="94"/>
      <c r="I2693" s="94"/>
      <c r="K2693" s="94"/>
      <c r="M2693" s="94"/>
    </row>
    <row r="2694" s="93" customFormat="1" spans="3:13">
      <c r="C2694" s="94"/>
      <c r="E2694" s="94"/>
      <c r="G2694" s="94"/>
      <c r="I2694" s="94"/>
      <c r="K2694" s="94"/>
      <c r="M2694" s="94"/>
    </row>
    <row r="2695" s="93" customFormat="1" spans="3:13">
      <c r="C2695" s="94"/>
      <c r="E2695" s="94"/>
      <c r="G2695" s="94"/>
      <c r="I2695" s="94"/>
      <c r="K2695" s="94"/>
      <c r="M2695" s="94"/>
    </row>
    <row r="2696" s="93" customFormat="1" spans="3:13">
      <c r="C2696" s="94"/>
      <c r="E2696" s="94"/>
      <c r="G2696" s="94"/>
      <c r="I2696" s="94"/>
      <c r="K2696" s="94"/>
      <c r="M2696" s="94"/>
    </row>
    <row r="2697" s="93" customFormat="1" spans="3:13">
      <c r="C2697" s="94"/>
      <c r="E2697" s="94"/>
      <c r="G2697" s="94"/>
      <c r="I2697" s="94"/>
      <c r="K2697" s="94"/>
      <c r="M2697" s="94"/>
    </row>
    <row r="2698" s="93" customFormat="1" spans="3:13">
      <c r="C2698" s="94"/>
      <c r="E2698" s="94"/>
      <c r="G2698" s="94"/>
      <c r="I2698" s="94"/>
      <c r="K2698" s="94"/>
      <c r="M2698" s="94"/>
    </row>
    <row r="2699" s="93" customFormat="1" spans="3:13">
      <c r="C2699" s="94"/>
      <c r="E2699" s="94"/>
      <c r="G2699" s="94"/>
      <c r="I2699" s="94"/>
      <c r="K2699" s="94"/>
      <c r="M2699" s="94"/>
    </row>
    <row r="2700" s="93" customFormat="1" spans="3:13">
      <c r="C2700" s="94"/>
      <c r="E2700" s="94"/>
      <c r="G2700" s="94"/>
      <c r="I2700" s="94"/>
      <c r="K2700" s="94"/>
      <c r="M2700" s="94"/>
    </row>
    <row r="2701" s="93" customFormat="1" spans="3:13">
      <c r="C2701" s="94"/>
      <c r="E2701" s="94"/>
      <c r="G2701" s="94"/>
      <c r="I2701" s="94"/>
      <c r="K2701" s="94"/>
      <c r="M2701" s="94"/>
    </row>
    <row r="2702" s="93" customFormat="1" spans="3:13">
      <c r="C2702" s="94"/>
      <c r="E2702" s="94"/>
      <c r="G2702" s="94"/>
      <c r="I2702" s="94"/>
      <c r="K2702" s="94"/>
      <c r="M2702" s="94"/>
    </row>
    <row r="2703" s="93" customFormat="1" spans="3:13">
      <c r="C2703" s="94"/>
      <c r="E2703" s="94"/>
      <c r="G2703" s="94"/>
      <c r="I2703" s="94"/>
      <c r="K2703" s="94"/>
      <c r="M2703" s="94"/>
    </row>
    <row r="2704" s="93" customFormat="1" spans="3:13">
      <c r="C2704" s="94"/>
      <c r="E2704" s="94"/>
      <c r="G2704" s="94"/>
      <c r="I2704" s="94"/>
      <c r="K2704" s="94"/>
      <c r="M2704" s="94"/>
    </row>
    <row r="2705" s="93" customFormat="1" spans="3:13">
      <c r="C2705" s="94"/>
      <c r="E2705" s="94"/>
      <c r="G2705" s="94"/>
      <c r="I2705" s="94"/>
      <c r="K2705" s="94"/>
      <c r="M2705" s="94"/>
    </row>
    <row r="2706" s="93" customFormat="1" spans="3:13">
      <c r="C2706" s="94"/>
      <c r="E2706" s="94"/>
      <c r="G2706" s="94"/>
      <c r="I2706" s="94"/>
      <c r="K2706" s="94"/>
      <c r="M2706" s="94"/>
    </row>
    <row r="2707" s="93" customFormat="1" spans="3:13">
      <c r="C2707" s="94"/>
      <c r="E2707" s="94"/>
      <c r="G2707" s="94"/>
      <c r="I2707" s="94"/>
      <c r="K2707" s="94"/>
      <c r="M2707" s="94"/>
    </row>
    <row r="2708" s="93" customFormat="1" spans="3:13">
      <c r="C2708" s="94"/>
      <c r="E2708" s="94"/>
      <c r="G2708" s="94"/>
      <c r="I2708" s="94"/>
      <c r="K2708" s="94"/>
      <c r="M2708" s="94"/>
    </row>
    <row r="2709" s="93" customFormat="1" spans="3:13">
      <c r="C2709" s="94"/>
      <c r="E2709" s="94"/>
      <c r="G2709" s="94"/>
      <c r="I2709" s="94"/>
      <c r="K2709" s="94"/>
      <c r="M2709" s="94"/>
    </row>
    <row r="2710" s="93" customFormat="1" spans="3:13">
      <c r="C2710" s="94"/>
      <c r="E2710" s="94"/>
      <c r="G2710" s="94"/>
      <c r="I2710" s="94"/>
      <c r="K2710" s="94"/>
      <c r="M2710" s="94"/>
    </row>
    <row r="2711" s="93" customFormat="1" spans="3:13">
      <c r="C2711" s="94"/>
      <c r="E2711" s="94"/>
      <c r="G2711" s="94"/>
      <c r="I2711" s="94"/>
      <c r="K2711" s="94"/>
      <c r="M2711" s="94"/>
    </row>
    <row r="2712" s="93" customFormat="1" spans="3:13">
      <c r="C2712" s="94"/>
      <c r="E2712" s="94"/>
      <c r="G2712" s="94"/>
      <c r="I2712" s="94"/>
      <c r="K2712" s="94"/>
      <c r="M2712" s="94"/>
    </row>
    <row r="2713" s="93" customFormat="1" spans="3:13">
      <c r="C2713" s="94"/>
      <c r="E2713" s="94"/>
      <c r="G2713" s="94"/>
      <c r="I2713" s="94"/>
      <c r="K2713" s="94"/>
      <c r="M2713" s="94"/>
    </row>
    <row r="2714" s="93" customFormat="1" spans="3:13">
      <c r="C2714" s="94"/>
      <c r="E2714" s="94"/>
      <c r="G2714" s="94"/>
      <c r="I2714" s="94"/>
      <c r="K2714" s="94"/>
      <c r="M2714" s="94"/>
    </row>
    <row r="2715" s="93" customFormat="1" spans="3:13">
      <c r="C2715" s="94"/>
      <c r="E2715" s="94"/>
      <c r="G2715" s="94"/>
      <c r="I2715" s="94"/>
      <c r="K2715" s="94"/>
      <c r="M2715" s="94"/>
    </row>
    <row r="2716" s="93" customFormat="1" spans="3:13">
      <c r="C2716" s="94"/>
      <c r="E2716" s="94"/>
      <c r="G2716" s="94"/>
      <c r="I2716" s="94"/>
      <c r="K2716" s="94"/>
      <c r="M2716" s="94"/>
    </row>
    <row r="2717" s="93" customFormat="1" spans="3:13">
      <c r="C2717" s="94"/>
      <c r="E2717" s="94"/>
      <c r="G2717" s="94"/>
      <c r="I2717" s="94"/>
      <c r="K2717" s="94"/>
      <c r="M2717" s="94"/>
    </row>
    <row r="2718" s="93" customFormat="1" spans="3:13">
      <c r="C2718" s="94"/>
      <c r="E2718" s="94"/>
      <c r="G2718" s="94"/>
      <c r="I2718" s="94"/>
      <c r="K2718" s="94"/>
      <c r="M2718" s="94"/>
    </row>
    <row r="2719" s="93" customFormat="1" spans="3:13">
      <c r="C2719" s="94"/>
      <c r="E2719" s="94"/>
      <c r="G2719" s="94"/>
      <c r="I2719" s="94"/>
      <c r="K2719" s="94"/>
      <c r="M2719" s="94"/>
    </row>
    <row r="2720" s="93" customFormat="1" spans="3:13">
      <c r="C2720" s="94"/>
      <c r="E2720" s="94"/>
      <c r="G2720" s="94"/>
      <c r="I2720" s="94"/>
      <c r="K2720" s="94"/>
      <c r="M2720" s="94"/>
    </row>
    <row r="2721" s="93" customFormat="1" spans="3:13">
      <c r="C2721" s="94"/>
      <c r="E2721" s="94"/>
      <c r="G2721" s="94"/>
      <c r="I2721" s="94"/>
      <c r="K2721" s="94"/>
      <c r="M2721" s="94"/>
    </row>
    <row r="2722" s="93" customFormat="1" spans="3:13">
      <c r="C2722" s="94"/>
      <c r="E2722" s="94"/>
      <c r="G2722" s="94"/>
      <c r="I2722" s="94"/>
      <c r="K2722" s="94"/>
      <c r="M2722" s="94"/>
    </row>
    <row r="2723" s="93" customFormat="1" spans="3:13">
      <c r="C2723" s="94"/>
      <c r="E2723" s="94"/>
      <c r="G2723" s="94"/>
      <c r="I2723" s="94"/>
      <c r="K2723" s="94"/>
      <c r="M2723" s="94"/>
    </row>
    <row r="2724" s="93" customFormat="1" spans="3:13">
      <c r="C2724" s="94"/>
      <c r="E2724" s="94"/>
      <c r="G2724" s="94"/>
      <c r="I2724" s="94"/>
      <c r="K2724" s="94"/>
      <c r="M2724" s="94"/>
    </row>
    <row r="2725" s="93" customFormat="1" spans="3:13">
      <c r="C2725" s="94"/>
      <c r="E2725" s="94"/>
      <c r="G2725" s="94"/>
      <c r="I2725" s="94"/>
      <c r="K2725" s="94"/>
      <c r="M2725" s="94"/>
    </row>
    <row r="2726" s="93" customFormat="1" spans="3:13">
      <c r="C2726" s="94"/>
      <c r="E2726" s="94"/>
      <c r="G2726" s="94"/>
      <c r="I2726" s="94"/>
      <c r="K2726" s="94"/>
      <c r="M2726" s="94"/>
    </row>
    <row r="2727" s="93" customFormat="1" spans="3:13">
      <c r="C2727" s="94"/>
      <c r="E2727" s="94"/>
      <c r="G2727" s="94"/>
      <c r="I2727" s="94"/>
      <c r="K2727" s="94"/>
      <c r="M2727" s="94"/>
    </row>
    <row r="2728" s="93" customFormat="1" spans="3:13">
      <c r="C2728" s="94"/>
      <c r="E2728" s="94"/>
      <c r="G2728" s="94"/>
      <c r="I2728" s="94"/>
      <c r="K2728" s="94"/>
      <c r="M2728" s="94"/>
    </row>
    <row r="2729" s="93" customFormat="1" spans="3:13">
      <c r="C2729" s="94"/>
      <c r="E2729" s="94"/>
      <c r="G2729" s="94"/>
      <c r="I2729" s="94"/>
      <c r="K2729" s="94"/>
      <c r="M2729" s="94"/>
    </row>
    <row r="2730" s="93" customFormat="1" spans="3:13">
      <c r="C2730" s="94"/>
      <c r="E2730" s="94"/>
      <c r="G2730" s="94"/>
      <c r="I2730" s="94"/>
      <c r="K2730" s="94"/>
      <c r="M2730" s="94"/>
    </row>
    <row r="2731" s="93" customFormat="1" spans="3:13">
      <c r="C2731" s="94"/>
      <c r="E2731" s="94"/>
      <c r="G2731" s="94"/>
      <c r="I2731" s="94"/>
      <c r="K2731" s="94"/>
      <c r="M2731" s="94"/>
    </row>
    <row r="2732" s="93" customFormat="1" spans="3:13">
      <c r="C2732" s="94"/>
      <c r="E2732" s="94"/>
      <c r="G2732" s="94"/>
      <c r="I2732" s="94"/>
      <c r="K2732" s="94"/>
      <c r="M2732" s="94"/>
    </row>
    <row r="2733" s="93" customFormat="1" spans="3:13">
      <c r="C2733" s="94"/>
      <c r="E2733" s="94"/>
      <c r="G2733" s="94"/>
      <c r="I2733" s="94"/>
      <c r="K2733" s="94"/>
      <c r="M2733" s="94"/>
    </row>
    <row r="2734" s="93" customFormat="1" spans="3:13">
      <c r="C2734" s="94"/>
      <c r="E2734" s="94"/>
      <c r="G2734" s="94"/>
      <c r="I2734" s="94"/>
      <c r="K2734" s="94"/>
      <c r="M2734" s="94"/>
    </row>
    <row r="2735" s="93" customFormat="1" spans="3:13">
      <c r="C2735" s="94"/>
      <c r="E2735" s="94"/>
      <c r="G2735" s="94"/>
      <c r="I2735" s="94"/>
      <c r="K2735" s="94"/>
      <c r="M2735" s="94"/>
    </row>
    <row r="2736" s="93" customFormat="1" spans="3:13">
      <c r="C2736" s="94"/>
      <c r="E2736" s="94"/>
      <c r="G2736" s="94"/>
      <c r="I2736" s="94"/>
      <c r="K2736" s="94"/>
      <c r="M2736" s="94"/>
    </row>
    <row r="2737" s="93" customFormat="1" spans="3:13">
      <c r="C2737" s="94"/>
      <c r="E2737" s="94"/>
      <c r="G2737" s="94"/>
      <c r="I2737" s="94"/>
      <c r="K2737" s="94"/>
      <c r="M2737" s="94"/>
    </row>
    <row r="2738" s="93" customFormat="1" spans="3:13">
      <c r="C2738" s="94"/>
      <c r="E2738" s="94"/>
      <c r="G2738" s="94"/>
      <c r="I2738" s="94"/>
      <c r="K2738" s="94"/>
      <c r="M2738" s="94"/>
    </row>
    <row r="2739" s="93" customFormat="1" spans="3:13">
      <c r="C2739" s="94"/>
      <c r="E2739" s="94"/>
      <c r="G2739" s="94"/>
      <c r="I2739" s="94"/>
      <c r="K2739" s="94"/>
      <c r="M2739" s="94"/>
    </row>
    <row r="2740" s="93" customFormat="1" spans="3:13">
      <c r="C2740" s="94"/>
      <c r="E2740" s="94"/>
      <c r="G2740" s="94"/>
      <c r="I2740" s="94"/>
      <c r="K2740" s="94"/>
      <c r="M2740" s="94"/>
    </row>
    <row r="2741" s="93" customFormat="1" spans="3:13">
      <c r="C2741" s="94"/>
      <c r="E2741" s="94"/>
      <c r="G2741" s="94"/>
      <c r="I2741" s="94"/>
      <c r="K2741" s="94"/>
      <c r="M2741" s="94"/>
    </row>
    <row r="2742" s="93" customFormat="1" spans="3:13">
      <c r="C2742" s="94"/>
      <c r="E2742" s="94"/>
      <c r="G2742" s="94"/>
      <c r="I2742" s="94"/>
      <c r="K2742" s="94"/>
      <c r="M2742" s="94"/>
    </row>
    <row r="2743" s="93" customFormat="1" spans="3:13">
      <c r="C2743" s="94"/>
      <c r="E2743" s="94"/>
      <c r="G2743" s="94"/>
      <c r="I2743" s="94"/>
      <c r="K2743" s="94"/>
      <c r="M2743" s="94"/>
    </row>
    <row r="2744" s="93" customFormat="1" spans="3:13">
      <c r="C2744" s="94"/>
      <c r="E2744" s="94"/>
      <c r="G2744" s="94"/>
      <c r="I2744" s="94"/>
      <c r="K2744" s="94"/>
      <c r="M2744" s="94"/>
    </row>
    <row r="2745" s="93" customFormat="1" spans="3:13">
      <c r="C2745" s="94"/>
      <c r="E2745" s="94"/>
      <c r="G2745" s="94"/>
      <c r="I2745" s="94"/>
      <c r="K2745" s="94"/>
      <c r="M2745" s="94"/>
    </row>
    <row r="2746" s="93" customFormat="1" spans="3:13">
      <c r="C2746" s="94"/>
      <c r="E2746" s="94"/>
      <c r="G2746" s="94"/>
      <c r="I2746" s="94"/>
      <c r="K2746" s="94"/>
      <c r="M2746" s="94"/>
    </row>
    <row r="2747" s="93" customFormat="1" spans="3:13">
      <c r="C2747" s="94"/>
      <c r="E2747" s="94"/>
      <c r="G2747" s="94"/>
      <c r="I2747" s="94"/>
      <c r="K2747" s="94"/>
      <c r="M2747" s="94"/>
    </row>
    <row r="2748" s="93" customFormat="1" spans="3:13">
      <c r="C2748" s="94"/>
      <c r="E2748" s="94"/>
      <c r="G2748" s="94"/>
      <c r="I2748" s="94"/>
      <c r="K2748" s="94"/>
      <c r="M2748" s="94"/>
    </row>
    <row r="2749" s="93" customFormat="1" spans="3:13">
      <c r="C2749" s="94"/>
      <c r="E2749" s="94"/>
      <c r="G2749" s="94"/>
      <c r="I2749" s="94"/>
      <c r="K2749" s="94"/>
      <c r="M2749" s="94"/>
    </row>
    <row r="2750" s="93" customFormat="1" spans="3:13">
      <c r="C2750" s="94"/>
      <c r="E2750" s="94"/>
      <c r="G2750" s="94"/>
      <c r="I2750" s="94"/>
      <c r="K2750" s="94"/>
      <c r="M2750" s="94"/>
    </row>
    <row r="2751" s="93" customFormat="1" spans="3:13">
      <c r="C2751" s="94"/>
      <c r="E2751" s="94"/>
      <c r="G2751" s="94"/>
      <c r="I2751" s="94"/>
      <c r="K2751" s="94"/>
      <c r="M2751" s="94"/>
    </row>
    <row r="2752" s="93" customFormat="1" spans="3:13">
      <c r="C2752" s="94"/>
      <c r="E2752" s="94"/>
      <c r="G2752" s="94"/>
      <c r="I2752" s="94"/>
      <c r="K2752" s="94"/>
      <c r="M2752" s="94"/>
    </row>
    <row r="2753" s="93" customFormat="1" spans="3:13">
      <c r="C2753" s="94"/>
      <c r="E2753" s="94"/>
      <c r="G2753" s="94"/>
      <c r="I2753" s="94"/>
      <c r="K2753" s="94"/>
      <c r="M2753" s="94"/>
    </row>
    <row r="2754" s="93" customFormat="1" spans="3:13">
      <c r="C2754" s="94"/>
      <c r="E2754" s="94"/>
      <c r="G2754" s="94"/>
      <c r="I2754" s="94"/>
      <c r="K2754" s="94"/>
      <c r="M2754" s="94"/>
    </row>
    <row r="2755" s="93" customFormat="1" spans="3:13">
      <c r="C2755" s="94"/>
      <c r="E2755" s="94"/>
      <c r="G2755" s="94"/>
      <c r="I2755" s="94"/>
      <c r="K2755" s="94"/>
      <c r="M2755" s="94"/>
    </row>
    <row r="2756" s="93" customFormat="1" spans="3:13">
      <c r="C2756" s="94"/>
      <c r="E2756" s="94"/>
      <c r="G2756" s="94"/>
      <c r="I2756" s="94"/>
      <c r="K2756" s="94"/>
      <c r="M2756" s="94"/>
    </row>
    <row r="2757" s="93" customFormat="1" spans="3:13">
      <c r="C2757" s="94"/>
      <c r="E2757" s="94"/>
      <c r="G2757" s="94"/>
      <c r="I2757" s="94"/>
      <c r="K2757" s="94"/>
      <c r="M2757" s="94"/>
    </row>
    <row r="2758" s="93" customFormat="1" spans="3:13">
      <c r="C2758" s="94"/>
      <c r="E2758" s="94"/>
      <c r="G2758" s="94"/>
      <c r="I2758" s="94"/>
      <c r="K2758" s="94"/>
      <c r="M2758" s="94"/>
    </row>
    <row r="2759" s="93" customFormat="1" spans="3:13">
      <c r="C2759" s="94"/>
      <c r="E2759" s="94"/>
      <c r="G2759" s="94"/>
      <c r="I2759" s="94"/>
      <c r="K2759" s="94"/>
      <c r="M2759" s="94"/>
    </row>
    <row r="2760" s="93" customFormat="1" spans="3:13">
      <c r="C2760" s="94"/>
      <c r="E2760" s="94"/>
      <c r="G2760" s="94"/>
      <c r="I2760" s="94"/>
      <c r="K2760" s="94"/>
      <c r="M2760" s="94"/>
    </row>
    <row r="2761" s="93" customFormat="1" spans="3:13">
      <c r="C2761" s="94"/>
      <c r="E2761" s="94"/>
      <c r="G2761" s="94"/>
      <c r="I2761" s="94"/>
      <c r="K2761" s="94"/>
      <c r="M2761" s="94"/>
    </row>
    <row r="2762" s="93" customFormat="1" spans="3:13">
      <c r="C2762" s="94"/>
      <c r="E2762" s="94"/>
      <c r="G2762" s="94"/>
      <c r="I2762" s="94"/>
      <c r="K2762" s="94"/>
      <c r="M2762" s="94"/>
    </row>
    <row r="2763" s="93" customFormat="1" spans="3:13">
      <c r="C2763" s="94"/>
      <c r="E2763" s="94"/>
      <c r="G2763" s="94"/>
      <c r="I2763" s="94"/>
      <c r="K2763" s="94"/>
      <c r="M2763" s="94"/>
    </row>
    <row r="2764" s="93" customFormat="1" spans="3:13">
      <c r="C2764" s="94"/>
      <c r="E2764" s="94"/>
      <c r="G2764" s="94"/>
      <c r="I2764" s="94"/>
      <c r="K2764" s="94"/>
      <c r="M2764" s="94"/>
    </row>
    <row r="2765" s="93" customFormat="1" spans="3:13">
      <c r="C2765" s="94"/>
      <c r="E2765" s="94"/>
      <c r="G2765" s="94"/>
      <c r="I2765" s="94"/>
      <c r="K2765" s="94"/>
      <c r="M2765" s="94"/>
    </row>
    <row r="2766" s="93" customFormat="1" spans="3:13">
      <c r="C2766" s="94"/>
      <c r="E2766" s="94"/>
      <c r="G2766" s="94"/>
      <c r="I2766" s="94"/>
      <c r="K2766" s="94"/>
      <c r="M2766" s="94"/>
    </row>
    <row r="2767" s="93" customFormat="1" spans="3:13">
      <c r="C2767" s="94"/>
      <c r="E2767" s="94"/>
      <c r="G2767" s="94"/>
      <c r="I2767" s="94"/>
      <c r="K2767" s="94"/>
      <c r="M2767" s="94"/>
    </row>
    <row r="2768" s="93" customFormat="1" spans="3:13">
      <c r="C2768" s="94"/>
      <c r="E2768" s="94"/>
      <c r="G2768" s="94"/>
      <c r="I2768" s="94"/>
      <c r="K2768" s="94"/>
      <c r="M2768" s="94"/>
    </row>
    <row r="2769" s="93" customFormat="1" spans="3:13">
      <c r="C2769" s="94"/>
      <c r="E2769" s="94"/>
      <c r="G2769" s="94"/>
      <c r="I2769" s="94"/>
      <c r="K2769" s="94"/>
      <c r="M2769" s="94"/>
    </row>
    <row r="2770" s="93" customFormat="1" spans="3:13">
      <c r="C2770" s="94"/>
      <c r="E2770" s="94"/>
      <c r="G2770" s="94"/>
      <c r="I2770" s="94"/>
      <c r="K2770" s="94"/>
      <c r="M2770" s="94"/>
    </row>
    <row r="2771" s="93" customFormat="1" spans="3:13">
      <c r="C2771" s="94"/>
      <c r="E2771" s="94"/>
      <c r="G2771" s="94"/>
      <c r="I2771" s="94"/>
      <c r="K2771" s="94"/>
      <c r="M2771" s="94"/>
    </row>
    <row r="2772" s="93" customFormat="1" spans="3:13">
      <c r="C2772" s="94"/>
      <c r="E2772" s="94"/>
      <c r="G2772" s="94"/>
      <c r="I2772" s="94"/>
      <c r="K2772" s="94"/>
      <c r="M2772" s="94"/>
    </row>
    <row r="2773" s="93" customFormat="1" spans="3:13">
      <c r="C2773" s="94"/>
      <c r="E2773" s="94"/>
      <c r="G2773" s="94"/>
      <c r="I2773" s="94"/>
      <c r="K2773" s="94"/>
      <c r="M2773" s="94"/>
    </row>
    <row r="2774" s="93" customFormat="1" spans="3:13">
      <c r="C2774" s="94"/>
      <c r="E2774" s="94"/>
      <c r="G2774" s="94"/>
      <c r="I2774" s="94"/>
      <c r="K2774" s="94"/>
      <c r="M2774" s="94"/>
    </row>
    <row r="2775" s="93" customFormat="1" spans="3:13">
      <c r="C2775" s="94"/>
      <c r="E2775" s="94"/>
      <c r="G2775" s="94"/>
      <c r="I2775" s="94"/>
      <c r="K2775" s="94"/>
      <c r="M2775" s="94"/>
    </row>
    <row r="2776" s="93" customFormat="1" spans="3:13">
      <c r="C2776" s="94"/>
      <c r="E2776" s="94"/>
      <c r="G2776" s="94"/>
      <c r="I2776" s="94"/>
      <c r="K2776" s="94"/>
      <c r="M2776" s="94"/>
    </row>
    <row r="2777" s="93" customFormat="1" spans="3:13">
      <c r="C2777" s="94"/>
      <c r="E2777" s="94"/>
      <c r="G2777" s="94"/>
      <c r="I2777" s="94"/>
      <c r="K2777" s="94"/>
      <c r="M2777" s="94"/>
    </row>
    <row r="2778" s="93" customFormat="1" spans="3:13">
      <c r="C2778" s="94"/>
      <c r="E2778" s="94"/>
      <c r="G2778" s="94"/>
      <c r="I2778" s="94"/>
      <c r="K2778" s="94"/>
      <c r="M2778" s="94"/>
    </row>
    <row r="2779" s="93" customFormat="1" spans="3:13">
      <c r="C2779" s="94"/>
      <c r="E2779" s="94"/>
      <c r="G2779" s="94"/>
      <c r="I2779" s="94"/>
      <c r="K2779" s="94"/>
      <c r="M2779" s="94"/>
    </row>
    <row r="2780" s="93" customFormat="1" spans="3:13">
      <c r="C2780" s="94"/>
      <c r="E2780" s="94"/>
      <c r="G2780" s="94"/>
      <c r="I2780" s="94"/>
      <c r="K2780" s="94"/>
      <c r="M2780" s="94"/>
    </row>
    <row r="2781" s="93" customFormat="1" spans="3:13">
      <c r="C2781" s="94"/>
      <c r="E2781" s="94"/>
      <c r="G2781" s="94"/>
      <c r="I2781" s="94"/>
      <c r="K2781" s="94"/>
      <c r="M2781" s="94"/>
    </row>
    <row r="2782" s="93" customFormat="1" spans="3:13">
      <c r="C2782" s="94"/>
      <c r="E2782" s="94"/>
      <c r="G2782" s="94"/>
      <c r="I2782" s="94"/>
      <c r="K2782" s="94"/>
      <c r="M2782" s="94"/>
    </row>
    <row r="2783" s="93" customFormat="1" spans="3:13">
      <c r="C2783" s="94"/>
      <c r="E2783" s="94"/>
      <c r="G2783" s="94"/>
      <c r="I2783" s="94"/>
      <c r="K2783" s="94"/>
      <c r="M2783" s="94"/>
    </row>
    <row r="2784" s="93" customFormat="1" spans="3:13">
      <c r="C2784" s="94"/>
      <c r="E2784" s="94"/>
      <c r="G2784" s="94"/>
      <c r="I2784" s="94"/>
      <c r="K2784" s="94"/>
      <c r="M2784" s="94"/>
    </row>
    <row r="2785" s="93" customFormat="1" spans="3:13">
      <c r="C2785" s="94"/>
      <c r="E2785" s="94"/>
      <c r="G2785" s="94"/>
      <c r="I2785" s="94"/>
      <c r="K2785" s="94"/>
      <c r="M2785" s="94"/>
    </row>
    <row r="2786" s="93" customFormat="1" spans="3:13">
      <c r="C2786" s="94"/>
      <c r="E2786" s="94"/>
      <c r="G2786" s="94"/>
      <c r="I2786" s="94"/>
      <c r="K2786" s="94"/>
      <c r="M2786" s="94"/>
    </row>
    <row r="2787" s="93" customFormat="1" spans="3:13">
      <c r="C2787" s="94"/>
      <c r="E2787" s="94"/>
      <c r="G2787" s="94"/>
      <c r="I2787" s="94"/>
      <c r="K2787" s="94"/>
      <c r="M2787" s="94"/>
    </row>
    <row r="2788" s="93" customFormat="1" spans="3:13">
      <c r="C2788" s="94"/>
      <c r="E2788" s="94"/>
      <c r="G2788" s="94"/>
      <c r="I2788" s="94"/>
      <c r="K2788" s="94"/>
      <c r="M2788" s="94"/>
    </row>
    <row r="2789" s="93" customFormat="1" spans="3:13">
      <c r="C2789" s="94"/>
      <c r="E2789" s="94"/>
      <c r="G2789" s="94"/>
      <c r="I2789" s="94"/>
      <c r="K2789" s="94"/>
      <c r="M2789" s="94"/>
    </row>
    <row r="2790" s="93" customFormat="1" spans="3:13">
      <c r="C2790" s="94"/>
      <c r="E2790" s="94"/>
      <c r="G2790" s="94"/>
      <c r="I2790" s="94"/>
      <c r="K2790" s="94"/>
      <c r="M2790" s="94"/>
    </row>
    <row r="2791" s="93" customFormat="1" spans="3:13">
      <c r="C2791" s="94"/>
      <c r="E2791" s="94"/>
      <c r="G2791" s="94"/>
      <c r="I2791" s="94"/>
      <c r="K2791" s="94"/>
      <c r="M2791" s="94"/>
    </row>
    <row r="2792" s="93" customFormat="1" spans="3:13">
      <c r="C2792" s="94"/>
      <c r="E2792" s="94"/>
      <c r="G2792" s="94"/>
      <c r="I2792" s="94"/>
      <c r="K2792" s="94"/>
      <c r="M2792" s="94"/>
    </row>
    <row r="2793" s="93" customFormat="1" spans="3:13">
      <c r="C2793" s="94"/>
      <c r="E2793" s="94"/>
      <c r="G2793" s="94"/>
      <c r="I2793" s="94"/>
      <c r="K2793" s="94"/>
      <c r="M2793" s="94"/>
    </row>
    <row r="2794" s="93" customFormat="1" spans="3:13">
      <c r="C2794" s="94"/>
      <c r="E2794" s="94"/>
      <c r="G2794" s="94"/>
      <c r="I2794" s="94"/>
      <c r="K2794" s="94"/>
      <c r="M2794" s="94"/>
    </row>
    <row r="2795" s="93" customFormat="1" spans="3:13">
      <c r="C2795" s="94"/>
      <c r="E2795" s="94"/>
      <c r="G2795" s="94"/>
      <c r="I2795" s="94"/>
      <c r="K2795" s="94"/>
      <c r="M2795" s="94"/>
    </row>
    <row r="2796" s="93" customFormat="1" spans="3:13">
      <c r="C2796" s="94"/>
      <c r="E2796" s="94"/>
      <c r="G2796" s="94"/>
      <c r="I2796" s="94"/>
      <c r="K2796" s="94"/>
      <c r="M2796" s="94"/>
    </row>
    <row r="2797" s="93" customFormat="1" spans="3:13">
      <c r="C2797" s="94"/>
      <c r="E2797" s="94"/>
      <c r="G2797" s="94"/>
      <c r="I2797" s="94"/>
      <c r="K2797" s="94"/>
      <c r="M2797" s="94"/>
    </row>
    <row r="2798" s="93" customFormat="1" spans="3:13">
      <c r="C2798" s="94"/>
      <c r="E2798" s="94"/>
      <c r="G2798" s="94"/>
      <c r="I2798" s="94"/>
      <c r="K2798" s="94"/>
      <c r="M2798" s="94"/>
    </row>
    <row r="2799" s="93" customFormat="1" spans="3:13">
      <c r="C2799" s="94"/>
      <c r="E2799" s="94"/>
      <c r="G2799" s="94"/>
      <c r="I2799" s="94"/>
      <c r="K2799" s="94"/>
      <c r="M2799" s="94"/>
    </row>
    <row r="2800" s="93" customFormat="1" spans="3:13">
      <c r="C2800" s="94"/>
      <c r="E2800" s="94"/>
      <c r="G2800" s="94"/>
      <c r="I2800" s="94"/>
      <c r="K2800" s="94"/>
      <c r="M2800" s="94"/>
    </row>
    <row r="2801" s="93" customFormat="1" spans="3:13">
      <c r="C2801" s="94"/>
      <c r="E2801" s="94"/>
      <c r="G2801" s="94"/>
      <c r="I2801" s="94"/>
      <c r="K2801" s="94"/>
      <c r="M2801" s="94"/>
    </row>
    <row r="2802" s="93" customFormat="1" spans="3:13">
      <c r="C2802" s="94"/>
      <c r="E2802" s="94"/>
      <c r="G2802" s="94"/>
      <c r="I2802" s="94"/>
      <c r="K2802" s="94"/>
      <c r="M2802" s="94"/>
    </row>
    <row r="2803" s="93" customFormat="1" spans="3:13">
      <c r="C2803" s="94"/>
      <c r="E2803" s="94"/>
      <c r="G2803" s="94"/>
      <c r="I2803" s="94"/>
      <c r="K2803" s="94"/>
      <c r="M2803" s="94"/>
    </row>
    <row r="2804" s="93" customFormat="1" spans="3:13">
      <c r="C2804" s="94"/>
      <c r="E2804" s="94"/>
      <c r="G2804" s="94"/>
      <c r="I2804" s="94"/>
      <c r="K2804" s="94"/>
      <c r="M2804" s="94"/>
    </row>
    <row r="2805" s="93" customFormat="1" spans="3:13">
      <c r="C2805" s="94"/>
      <c r="E2805" s="94"/>
      <c r="G2805" s="94"/>
      <c r="I2805" s="94"/>
      <c r="K2805" s="94"/>
      <c r="M2805" s="94"/>
    </row>
    <row r="2806" s="93" customFormat="1" spans="3:13">
      <c r="C2806" s="94"/>
      <c r="E2806" s="94"/>
      <c r="G2806" s="94"/>
      <c r="I2806" s="94"/>
      <c r="K2806" s="94"/>
      <c r="M2806" s="94"/>
    </row>
    <row r="2807" s="93" customFormat="1" spans="3:13">
      <c r="C2807" s="94"/>
      <c r="E2807" s="94"/>
      <c r="G2807" s="94"/>
      <c r="I2807" s="94"/>
      <c r="K2807" s="94"/>
      <c r="M2807" s="94"/>
    </row>
    <row r="2808" s="93" customFormat="1" spans="3:13">
      <c r="C2808" s="94"/>
      <c r="E2808" s="94"/>
      <c r="G2808" s="94"/>
      <c r="I2808" s="94"/>
      <c r="K2808" s="94"/>
      <c r="M2808" s="94"/>
    </row>
    <row r="2809" s="93" customFormat="1" spans="3:13">
      <c r="C2809" s="94"/>
      <c r="E2809" s="94"/>
      <c r="G2809" s="94"/>
      <c r="I2809" s="94"/>
      <c r="K2809" s="94"/>
      <c r="M2809" s="94"/>
    </row>
    <row r="2810" s="93" customFormat="1" spans="3:13">
      <c r="C2810" s="94"/>
      <c r="E2810" s="94"/>
      <c r="G2810" s="94"/>
      <c r="I2810" s="94"/>
      <c r="K2810" s="94"/>
      <c r="M2810" s="94"/>
    </row>
    <row r="2811" s="93" customFormat="1" spans="3:13">
      <c r="C2811" s="94"/>
      <c r="E2811" s="94"/>
      <c r="G2811" s="94"/>
      <c r="I2811" s="94"/>
      <c r="K2811" s="94"/>
      <c r="M2811" s="94"/>
    </row>
    <row r="2812" s="93" customFormat="1" spans="3:13">
      <c r="C2812" s="94"/>
      <c r="E2812" s="94"/>
      <c r="G2812" s="94"/>
      <c r="I2812" s="94"/>
      <c r="K2812" s="94"/>
      <c r="M2812" s="94"/>
    </row>
    <row r="2813" s="93" customFormat="1" spans="3:13">
      <c r="C2813" s="94"/>
      <c r="E2813" s="94"/>
      <c r="G2813" s="94"/>
      <c r="I2813" s="94"/>
      <c r="K2813" s="94"/>
      <c r="M2813" s="94"/>
    </row>
    <row r="2814" s="93" customFormat="1" spans="3:13">
      <c r="C2814" s="94"/>
      <c r="E2814" s="94"/>
      <c r="G2814" s="94"/>
      <c r="I2814" s="94"/>
      <c r="K2814" s="94"/>
      <c r="M2814" s="94"/>
    </row>
    <row r="2815" s="93" customFormat="1" spans="3:13">
      <c r="C2815" s="94"/>
      <c r="E2815" s="94"/>
      <c r="G2815" s="94"/>
      <c r="I2815" s="94"/>
      <c r="K2815" s="94"/>
      <c r="M2815" s="94"/>
    </row>
    <row r="2816" s="93" customFormat="1" spans="3:13">
      <c r="C2816" s="94"/>
      <c r="E2816" s="94"/>
      <c r="G2816" s="94"/>
      <c r="I2816" s="94"/>
      <c r="K2816" s="94"/>
      <c r="M2816" s="94"/>
    </row>
    <row r="2817" s="93" customFormat="1" spans="3:13">
      <c r="C2817" s="94"/>
      <c r="E2817" s="94"/>
      <c r="G2817" s="94"/>
      <c r="I2817" s="94"/>
      <c r="K2817" s="94"/>
      <c r="M2817" s="94"/>
    </row>
    <row r="2818" s="93" customFormat="1" spans="3:13">
      <c r="C2818" s="94"/>
      <c r="E2818" s="94"/>
      <c r="G2818" s="94"/>
      <c r="I2818" s="94"/>
      <c r="K2818" s="94"/>
      <c r="M2818" s="94"/>
    </row>
    <row r="2819" s="93" customFormat="1" spans="3:13">
      <c r="C2819" s="94"/>
      <c r="E2819" s="94"/>
      <c r="G2819" s="94"/>
      <c r="I2819" s="94"/>
      <c r="K2819" s="94"/>
      <c r="M2819" s="94"/>
    </row>
    <row r="2820" s="93" customFormat="1" spans="3:13">
      <c r="C2820" s="94"/>
      <c r="E2820" s="94"/>
      <c r="G2820" s="94"/>
      <c r="I2820" s="94"/>
      <c r="K2820" s="94"/>
      <c r="M2820" s="94"/>
    </row>
    <row r="2821" s="93" customFormat="1" spans="3:13">
      <c r="C2821" s="94"/>
      <c r="E2821" s="94"/>
      <c r="G2821" s="94"/>
      <c r="I2821" s="94"/>
      <c r="K2821" s="94"/>
      <c r="M2821" s="94"/>
    </row>
    <row r="2822" s="93" customFormat="1" spans="3:13">
      <c r="C2822" s="94"/>
      <c r="E2822" s="94"/>
      <c r="G2822" s="94"/>
      <c r="I2822" s="94"/>
      <c r="K2822" s="94"/>
      <c r="M2822" s="94"/>
    </row>
    <row r="2823" s="93" customFormat="1" spans="3:13">
      <c r="C2823" s="94"/>
      <c r="E2823" s="94"/>
      <c r="G2823" s="94"/>
      <c r="I2823" s="94"/>
      <c r="K2823" s="94"/>
      <c r="M2823" s="94"/>
    </row>
    <row r="2824" s="93" customFormat="1" spans="3:13">
      <c r="C2824" s="94"/>
      <c r="E2824" s="94"/>
      <c r="G2824" s="94"/>
      <c r="I2824" s="94"/>
      <c r="K2824" s="94"/>
      <c r="M2824" s="94"/>
    </row>
    <row r="2825" s="93" customFormat="1" spans="3:13">
      <c r="C2825" s="94"/>
      <c r="E2825" s="94"/>
      <c r="G2825" s="94"/>
      <c r="I2825" s="94"/>
      <c r="K2825" s="94"/>
      <c r="M2825" s="94"/>
    </row>
    <row r="2826" s="93" customFormat="1" spans="3:13">
      <c r="C2826" s="94"/>
      <c r="E2826" s="94"/>
      <c r="G2826" s="94"/>
      <c r="I2826" s="94"/>
      <c r="K2826" s="94"/>
      <c r="M2826" s="94"/>
    </row>
    <row r="2827" s="93" customFormat="1" spans="3:13">
      <c r="C2827" s="94"/>
      <c r="E2827" s="94"/>
      <c r="G2827" s="94"/>
      <c r="I2827" s="94"/>
      <c r="K2827" s="94"/>
      <c r="M2827" s="94"/>
    </row>
    <row r="2828" s="93" customFormat="1" spans="3:13">
      <c r="C2828" s="94"/>
      <c r="E2828" s="94"/>
      <c r="G2828" s="94"/>
      <c r="I2828" s="94"/>
      <c r="K2828" s="94"/>
      <c r="M2828" s="94"/>
    </row>
    <row r="2829" s="93" customFormat="1" spans="3:13">
      <c r="C2829" s="94"/>
      <c r="E2829" s="94"/>
      <c r="G2829" s="94"/>
      <c r="I2829" s="94"/>
      <c r="K2829" s="94"/>
      <c r="M2829" s="94"/>
    </row>
    <row r="2830" s="93" customFormat="1" spans="3:13">
      <c r="C2830" s="94"/>
      <c r="E2830" s="94"/>
      <c r="G2830" s="94"/>
      <c r="I2830" s="94"/>
      <c r="K2830" s="94"/>
      <c r="M2830" s="94"/>
    </row>
    <row r="2831" s="93" customFormat="1" spans="3:13">
      <c r="C2831" s="94"/>
      <c r="E2831" s="94"/>
      <c r="G2831" s="94"/>
      <c r="I2831" s="94"/>
      <c r="K2831" s="94"/>
      <c r="M2831" s="94"/>
    </row>
    <row r="2832" s="93" customFormat="1" spans="3:13">
      <c r="C2832" s="94"/>
      <c r="E2832" s="94"/>
      <c r="G2832" s="94"/>
      <c r="I2832" s="94"/>
      <c r="K2832" s="94"/>
      <c r="M2832" s="94"/>
    </row>
    <row r="2833" s="93" customFormat="1" spans="3:13">
      <c r="C2833" s="94"/>
      <c r="E2833" s="94"/>
      <c r="G2833" s="94"/>
      <c r="I2833" s="94"/>
      <c r="K2833" s="94"/>
      <c r="M2833" s="94"/>
    </row>
    <row r="2834" s="93" customFormat="1" spans="3:13">
      <c r="C2834" s="94"/>
      <c r="E2834" s="94"/>
      <c r="G2834" s="94"/>
      <c r="I2834" s="94"/>
      <c r="K2834" s="94"/>
      <c r="M2834" s="94"/>
    </row>
    <row r="2835" s="93" customFormat="1" spans="3:13">
      <c r="C2835" s="94"/>
      <c r="E2835" s="94"/>
      <c r="G2835" s="94"/>
      <c r="I2835" s="94"/>
      <c r="K2835" s="94"/>
      <c r="M2835" s="94"/>
    </row>
    <row r="2836" s="93" customFormat="1" spans="3:13">
      <c r="C2836" s="94"/>
      <c r="E2836" s="94"/>
      <c r="G2836" s="94"/>
      <c r="I2836" s="94"/>
      <c r="K2836" s="94"/>
      <c r="M2836" s="94"/>
    </row>
    <row r="2837" s="93" customFormat="1" spans="3:13">
      <c r="C2837" s="94"/>
      <c r="E2837" s="94"/>
      <c r="G2837" s="94"/>
      <c r="I2837" s="94"/>
      <c r="K2837" s="94"/>
      <c r="M2837" s="94"/>
    </row>
    <row r="2838" s="93" customFormat="1" spans="3:13">
      <c r="C2838" s="94"/>
      <c r="E2838" s="94"/>
      <c r="G2838" s="94"/>
      <c r="I2838" s="94"/>
      <c r="K2838" s="94"/>
      <c r="M2838" s="94"/>
    </row>
    <row r="2839" s="93" customFormat="1" spans="3:13">
      <c r="C2839" s="94"/>
      <c r="E2839" s="94"/>
      <c r="G2839" s="94"/>
      <c r="I2839" s="94"/>
      <c r="K2839" s="94"/>
      <c r="M2839" s="94"/>
    </row>
    <row r="2840" s="93" customFormat="1" spans="3:13">
      <c r="C2840" s="94"/>
      <c r="E2840" s="94"/>
      <c r="G2840" s="94"/>
      <c r="I2840" s="94"/>
      <c r="K2840" s="94"/>
      <c r="M2840" s="94"/>
    </row>
    <row r="2841" s="93" customFormat="1" spans="3:13">
      <c r="C2841" s="94"/>
      <c r="E2841" s="94"/>
      <c r="G2841" s="94"/>
      <c r="I2841" s="94"/>
      <c r="K2841" s="94"/>
      <c r="M2841" s="94"/>
    </row>
    <row r="2842" s="93" customFormat="1" spans="3:13">
      <c r="C2842" s="94"/>
      <c r="E2842" s="94"/>
      <c r="G2842" s="94"/>
      <c r="I2842" s="94"/>
      <c r="K2842" s="94"/>
      <c r="M2842" s="94"/>
    </row>
    <row r="2843" s="93" customFormat="1" spans="3:13">
      <c r="C2843" s="94"/>
      <c r="E2843" s="94"/>
      <c r="G2843" s="94"/>
      <c r="I2843" s="94"/>
      <c r="K2843" s="94"/>
      <c r="M2843" s="94"/>
    </row>
    <row r="2844" s="93" customFormat="1" spans="3:13">
      <c r="C2844" s="94"/>
      <c r="E2844" s="94"/>
      <c r="G2844" s="94"/>
      <c r="I2844" s="94"/>
      <c r="K2844" s="94"/>
      <c r="M2844" s="94"/>
    </row>
    <row r="2845" s="93" customFormat="1" spans="3:13">
      <c r="C2845" s="94"/>
      <c r="E2845" s="94"/>
      <c r="G2845" s="94"/>
      <c r="I2845" s="94"/>
      <c r="K2845" s="94"/>
      <c r="M2845" s="94"/>
    </row>
    <row r="2846" s="93" customFormat="1" spans="3:13">
      <c r="C2846" s="94"/>
      <c r="E2846" s="94"/>
      <c r="G2846" s="94"/>
      <c r="I2846" s="94"/>
      <c r="K2846" s="94"/>
      <c r="M2846" s="94"/>
    </row>
    <row r="2847" s="93" customFormat="1" spans="3:13">
      <c r="C2847" s="94"/>
      <c r="E2847" s="94"/>
      <c r="G2847" s="94"/>
      <c r="I2847" s="94"/>
      <c r="K2847" s="94"/>
      <c r="M2847" s="94"/>
    </row>
    <row r="2848" s="93" customFormat="1" spans="3:13">
      <c r="C2848" s="94"/>
      <c r="E2848" s="94"/>
      <c r="G2848" s="94"/>
      <c r="I2848" s="94"/>
      <c r="K2848" s="94"/>
      <c r="M2848" s="94"/>
    </row>
    <row r="2849" s="93" customFormat="1" spans="3:13">
      <c r="C2849" s="94"/>
      <c r="E2849" s="94"/>
      <c r="G2849" s="94"/>
      <c r="I2849" s="94"/>
      <c r="K2849" s="94"/>
      <c r="M2849" s="94"/>
    </row>
    <row r="2850" s="93" customFormat="1" spans="3:13">
      <c r="C2850" s="94"/>
      <c r="E2850" s="94"/>
      <c r="G2850" s="94"/>
      <c r="I2850" s="94"/>
      <c r="K2850" s="94"/>
      <c r="M2850" s="94"/>
    </row>
    <row r="2851" s="93" customFormat="1" spans="3:13">
      <c r="C2851" s="94"/>
      <c r="E2851" s="94"/>
      <c r="G2851" s="94"/>
      <c r="I2851" s="94"/>
      <c r="K2851" s="94"/>
      <c r="M2851" s="94"/>
    </row>
    <row r="2852" s="93" customFormat="1" spans="3:13">
      <c r="C2852" s="94"/>
      <c r="E2852" s="94"/>
      <c r="G2852" s="94"/>
      <c r="I2852" s="94"/>
      <c r="K2852" s="94"/>
      <c r="M2852" s="94"/>
    </row>
    <row r="2853" s="93" customFormat="1" spans="3:13">
      <c r="C2853" s="94"/>
      <c r="E2853" s="94"/>
      <c r="G2853" s="94"/>
      <c r="I2853" s="94"/>
      <c r="K2853" s="94"/>
      <c r="M2853" s="94"/>
    </row>
    <row r="2854" s="93" customFormat="1" spans="3:13">
      <c r="C2854" s="94"/>
      <c r="E2854" s="94"/>
      <c r="G2854" s="94"/>
      <c r="I2854" s="94"/>
      <c r="K2854" s="94"/>
      <c r="M2854" s="94"/>
    </row>
    <row r="2855" s="93" customFormat="1" spans="3:13">
      <c r="C2855" s="94"/>
      <c r="E2855" s="94"/>
      <c r="G2855" s="94"/>
      <c r="I2855" s="94"/>
      <c r="K2855" s="94"/>
      <c r="M2855" s="94"/>
    </row>
    <row r="2856" s="93" customFormat="1" spans="3:13">
      <c r="C2856" s="94"/>
      <c r="E2856" s="94"/>
      <c r="G2856" s="94"/>
      <c r="I2856" s="94"/>
      <c r="K2856" s="94"/>
      <c r="M2856" s="94"/>
    </row>
    <row r="2857" s="93" customFormat="1" spans="3:13">
      <c r="C2857" s="94"/>
      <c r="E2857" s="94"/>
      <c r="G2857" s="94"/>
      <c r="I2857" s="94"/>
      <c r="K2857" s="94"/>
      <c r="M2857" s="94"/>
    </row>
    <row r="2858" s="93" customFormat="1" spans="3:13">
      <c r="C2858" s="94"/>
      <c r="E2858" s="94"/>
      <c r="G2858" s="94"/>
      <c r="I2858" s="94"/>
      <c r="K2858" s="94"/>
      <c r="M2858" s="94"/>
    </row>
    <row r="2859" s="93" customFormat="1" spans="3:13">
      <c r="C2859" s="94"/>
      <c r="E2859" s="94"/>
      <c r="G2859" s="94"/>
      <c r="I2859" s="94"/>
      <c r="K2859" s="94"/>
      <c r="M2859" s="94"/>
    </row>
    <row r="2860" s="93" customFormat="1" spans="3:13">
      <c r="C2860" s="94"/>
      <c r="E2860" s="94"/>
      <c r="G2860" s="94"/>
      <c r="I2860" s="94"/>
      <c r="K2860" s="94"/>
      <c r="M2860" s="94"/>
    </row>
    <row r="2861" s="93" customFormat="1" spans="3:13">
      <c r="C2861" s="94"/>
      <c r="E2861" s="94"/>
      <c r="G2861" s="94"/>
      <c r="I2861" s="94"/>
      <c r="K2861" s="94"/>
      <c r="M2861" s="94"/>
    </row>
    <row r="2862" s="93" customFormat="1" spans="3:13">
      <c r="C2862" s="94"/>
      <c r="E2862" s="94"/>
      <c r="G2862" s="94"/>
      <c r="I2862" s="94"/>
      <c r="K2862" s="94"/>
      <c r="M2862" s="94"/>
    </row>
    <row r="2863" s="93" customFormat="1" spans="3:13">
      <c r="C2863" s="94"/>
      <c r="E2863" s="94"/>
      <c r="G2863" s="94"/>
      <c r="I2863" s="94"/>
      <c r="K2863" s="94"/>
      <c r="M2863" s="94"/>
    </row>
    <row r="2864" s="93" customFormat="1" spans="3:13">
      <c r="C2864" s="94"/>
      <c r="E2864" s="94"/>
      <c r="G2864" s="94"/>
      <c r="I2864" s="94"/>
      <c r="K2864" s="94"/>
      <c r="M2864" s="94"/>
    </row>
    <row r="2865" s="93" customFormat="1" spans="3:13">
      <c r="C2865" s="94"/>
      <c r="E2865" s="94"/>
      <c r="G2865" s="94"/>
      <c r="I2865" s="94"/>
      <c r="K2865" s="94"/>
      <c r="M2865" s="94"/>
    </row>
    <row r="2866" s="93" customFormat="1" spans="3:13">
      <c r="C2866" s="94"/>
      <c r="E2866" s="94"/>
      <c r="G2866" s="94"/>
      <c r="I2866" s="94"/>
      <c r="K2866" s="94"/>
      <c r="M2866" s="94"/>
    </row>
    <row r="2867" s="93" customFormat="1" spans="3:13">
      <c r="C2867" s="94"/>
      <c r="E2867" s="94"/>
      <c r="G2867" s="94"/>
      <c r="I2867" s="94"/>
      <c r="K2867" s="94"/>
      <c r="M2867" s="94"/>
    </row>
    <row r="2868" s="93" customFormat="1" spans="3:13">
      <c r="C2868" s="94"/>
      <c r="E2868" s="94"/>
      <c r="G2868" s="94"/>
      <c r="I2868" s="94"/>
      <c r="K2868" s="94"/>
      <c r="M2868" s="94"/>
    </row>
    <row r="2869" s="93" customFormat="1" spans="3:13">
      <c r="C2869" s="94"/>
      <c r="E2869" s="94"/>
      <c r="G2869" s="94"/>
      <c r="I2869" s="94"/>
      <c r="K2869" s="94"/>
      <c r="M2869" s="94"/>
    </row>
    <row r="2870" s="93" customFormat="1" spans="3:13">
      <c r="C2870" s="94"/>
      <c r="E2870" s="94"/>
      <c r="G2870" s="94"/>
      <c r="I2870" s="94"/>
      <c r="K2870" s="94"/>
      <c r="M2870" s="94"/>
    </row>
    <row r="2871" s="93" customFormat="1" spans="3:13">
      <c r="C2871" s="94"/>
      <c r="E2871" s="94"/>
      <c r="G2871" s="94"/>
      <c r="I2871" s="94"/>
      <c r="K2871" s="94"/>
      <c r="M2871" s="94"/>
    </row>
    <row r="2872" s="93" customFormat="1" spans="3:13">
      <c r="C2872" s="94"/>
      <c r="E2872" s="94"/>
      <c r="G2872" s="94"/>
      <c r="I2872" s="94"/>
      <c r="K2872" s="94"/>
      <c r="M2872" s="94"/>
    </row>
    <row r="2873" s="93" customFormat="1" spans="3:13">
      <c r="C2873" s="94"/>
      <c r="E2873" s="94"/>
      <c r="G2873" s="94"/>
      <c r="I2873" s="94"/>
      <c r="K2873" s="94"/>
      <c r="M2873" s="94"/>
    </row>
    <row r="2874" s="93" customFormat="1" spans="3:13">
      <c r="C2874" s="94"/>
      <c r="E2874" s="94"/>
      <c r="G2874" s="94"/>
      <c r="I2874" s="94"/>
      <c r="K2874" s="94"/>
      <c r="M2874" s="94"/>
    </row>
    <row r="2875" s="93" customFormat="1" spans="3:13">
      <c r="C2875" s="94"/>
      <c r="E2875" s="94"/>
      <c r="G2875" s="94"/>
      <c r="I2875" s="94"/>
      <c r="K2875" s="94"/>
      <c r="M2875" s="94"/>
    </row>
    <row r="2876" s="93" customFormat="1" spans="3:13">
      <c r="C2876" s="94"/>
      <c r="E2876" s="94"/>
      <c r="G2876" s="94"/>
      <c r="I2876" s="94"/>
      <c r="K2876" s="94"/>
      <c r="M2876" s="94"/>
    </row>
    <row r="2877" s="93" customFormat="1" spans="3:13">
      <c r="C2877" s="94"/>
      <c r="E2877" s="94"/>
      <c r="G2877" s="94"/>
      <c r="I2877" s="94"/>
      <c r="K2877" s="94"/>
      <c r="M2877" s="94"/>
    </row>
    <row r="2878" s="93" customFormat="1" spans="3:13">
      <c r="C2878" s="94"/>
      <c r="E2878" s="94"/>
      <c r="G2878" s="94"/>
      <c r="I2878" s="94"/>
      <c r="K2878" s="94"/>
      <c r="M2878" s="94"/>
    </row>
    <row r="2879" s="93" customFormat="1" spans="3:13">
      <c r="C2879" s="94"/>
      <c r="E2879" s="94"/>
      <c r="G2879" s="94"/>
      <c r="I2879" s="94"/>
      <c r="K2879" s="94"/>
      <c r="M2879" s="94"/>
    </row>
    <row r="2880" s="93" customFormat="1" spans="3:13">
      <c r="C2880" s="94"/>
      <c r="E2880" s="94"/>
      <c r="G2880" s="94"/>
      <c r="I2880" s="94"/>
      <c r="K2880" s="94"/>
      <c r="M2880" s="94"/>
    </row>
    <row r="2881" s="93" customFormat="1" spans="3:13">
      <c r="C2881" s="94"/>
      <c r="E2881" s="94"/>
      <c r="G2881" s="94"/>
      <c r="I2881" s="94"/>
      <c r="K2881" s="94"/>
      <c r="M2881" s="94"/>
    </row>
    <row r="2882" s="93" customFormat="1" spans="3:13">
      <c r="C2882" s="94"/>
      <c r="E2882" s="94"/>
      <c r="G2882" s="94"/>
      <c r="I2882" s="94"/>
      <c r="K2882" s="94"/>
      <c r="M2882" s="94"/>
    </row>
    <row r="2883" s="93" customFormat="1" spans="3:13">
      <c r="C2883" s="94"/>
      <c r="E2883" s="94"/>
      <c r="G2883" s="94"/>
      <c r="I2883" s="94"/>
      <c r="K2883" s="94"/>
      <c r="M2883" s="94"/>
    </row>
    <row r="2884" s="93" customFormat="1" spans="3:13">
      <c r="C2884" s="94"/>
      <c r="E2884" s="94"/>
      <c r="G2884" s="94"/>
      <c r="I2884" s="94"/>
      <c r="K2884" s="94"/>
      <c r="M2884" s="94"/>
    </row>
    <row r="2885" s="93" customFormat="1" spans="3:13">
      <c r="C2885" s="94"/>
      <c r="E2885" s="94"/>
      <c r="G2885" s="94"/>
      <c r="I2885" s="94"/>
      <c r="K2885" s="94"/>
      <c r="M2885" s="94"/>
    </row>
    <row r="2886" s="93" customFormat="1" spans="3:13">
      <c r="C2886" s="94"/>
      <c r="E2886" s="94"/>
      <c r="G2886" s="94"/>
      <c r="I2886" s="94"/>
      <c r="K2886" s="94"/>
      <c r="M2886" s="94"/>
    </row>
    <row r="2887" s="93" customFormat="1" spans="3:13">
      <c r="C2887" s="94"/>
      <c r="E2887" s="94"/>
      <c r="G2887" s="94"/>
      <c r="I2887" s="94"/>
      <c r="K2887" s="94"/>
      <c r="M2887" s="94"/>
    </row>
    <row r="2888" s="93" customFormat="1" spans="3:13">
      <c r="C2888" s="94"/>
      <c r="E2888" s="94"/>
      <c r="G2888" s="94"/>
      <c r="I2888" s="94"/>
      <c r="K2888" s="94"/>
      <c r="M2888" s="94"/>
    </row>
    <row r="2889" s="93" customFormat="1" spans="3:13">
      <c r="C2889" s="94"/>
      <c r="E2889" s="94"/>
      <c r="G2889" s="94"/>
      <c r="I2889" s="94"/>
      <c r="K2889" s="94"/>
      <c r="M2889" s="94"/>
    </row>
    <row r="2890" s="93" customFormat="1" spans="3:13">
      <c r="C2890" s="94"/>
      <c r="E2890" s="94"/>
      <c r="G2890" s="94"/>
      <c r="I2890" s="94"/>
      <c r="K2890" s="94"/>
      <c r="M2890" s="94"/>
    </row>
    <row r="2891" s="93" customFormat="1" spans="3:13">
      <c r="C2891" s="94"/>
      <c r="E2891" s="94"/>
      <c r="G2891" s="94"/>
      <c r="I2891" s="94"/>
      <c r="K2891" s="94"/>
      <c r="M2891" s="94"/>
    </row>
    <row r="2892" s="93" customFormat="1" spans="3:13">
      <c r="C2892" s="94"/>
      <c r="E2892" s="94"/>
      <c r="G2892" s="94"/>
      <c r="I2892" s="94"/>
      <c r="K2892" s="94"/>
      <c r="M2892" s="94"/>
    </row>
    <row r="2893" s="93" customFormat="1" spans="3:13">
      <c r="C2893" s="94"/>
      <c r="E2893" s="94"/>
      <c r="G2893" s="94"/>
      <c r="I2893" s="94"/>
      <c r="K2893" s="94"/>
      <c r="M2893" s="94"/>
    </row>
    <row r="2894" s="93" customFormat="1" spans="3:13">
      <c r="C2894" s="94"/>
      <c r="E2894" s="94"/>
      <c r="G2894" s="94"/>
      <c r="I2894" s="94"/>
      <c r="K2894" s="94"/>
      <c r="M2894" s="94"/>
    </row>
    <row r="2895" s="93" customFormat="1" spans="3:13">
      <c r="C2895" s="94"/>
      <c r="E2895" s="94"/>
      <c r="G2895" s="94"/>
      <c r="I2895" s="94"/>
      <c r="K2895" s="94"/>
      <c r="M2895" s="94"/>
    </row>
    <row r="2896" s="93" customFormat="1" spans="3:13">
      <c r="C2896" s="94"/>
      <c r="E2896" s="94"/>
      <c r="G2896" s="94"/>
      <c r="I2896" s="94"/>
      <c r="K2896" s="94"/>
      <c r="M2896" s="94"/>
    </row>
    <row r="2897" s="93" customFormat="1" spans="3:13">
      <c r="C2897" s="94"/>
      <c r="E2897" s="94"/>
      <c r="G2897" s="94"/>
      <c r="I2897" s="94"/>
      <c r="K2897" s="94"/>
      <c r="M2897" s="94"/>
    </row>
    <row r="2898" s="93" customFormat="1" spans="3:13">
      <c r="C2898" s="94"/>
      <c r="E2898" s="94"/>
      <c r="G2898" s="94"/>
      <c r="I2898" s="94"/>
      <c r="K2898" s="94"/>
      <c r="M2898" s="94"/>
    </row>
    <row r="2899" s="93" customFormat="1" spans="3:13">
      <c r="C2899" s="94"/>
      <c r="E2899" s="94"/>
      <c r="G2899" s="94"/>
      <c r="I2899" s="94"/>
      <c r="K2899" s="94"/>
      <c r="M2899" s="94"/>
    </row>
    <row r="2900" s="93" customFormat="1" spans="3:13">
      <c r="C2900" s="94"/>
      <c r="E2900" s="94"/>
      <c r="G2900" s="94"/>
      <c r="I2900" s="94"/>
      <c r="K2900" s="94"/>
      <c r="M2900" s="94"/>
    </row>
    <row r="2901" s="93" customFormat="1" spans="3:13">
      <c r="C2901" s="94"/>
      <c r="E2901" s="94"/>
      <c r="G2901" s="94"/>
      <c r="I2901" s="94"/>
      <c r="K2901" s="94"/>
      <c r="M2901" s="94"/>
    </row>
    <row r="2902" s="93" customFormat="1" spans="3:13">
      <c r="C2902" s="94"/>
      <c r="E2902" s="94"/>
      <c r="G2902" s="94"/>
      <c r="I2902" s="94"/>
      <c r="K2902" s="94"/>
      <c r="M2902" s="94"/>
    </row>
    <row r="2903" s="93" customFormat="1" spans="3:13">
      <c r="C2903" s="94"/>
      <c r="E2903" s="94"/>
      <c r="G2903" s="94"/>
      <c r="I2903" s="94"/>
      <c r="K2903" s="94"/>
      <c r="M2903" s="94"/>
    </row>
    <row r="2904" s="93" customFormat="1" spans="3:13">
      <c r="C2904" s="94"/>
      <c r="E2904" s="94"/>
      <c r="G2904" s="94"/>
      <c r="I2904" s="94"/>
      <c r="K2904" s="94"/>
      <c r="M2904" s="94"/>
    </row>
    <row r="2905" s="93" customFormat="1" spans="3:13">
      <c r="C2905" s="94"/>
      <c r="E2905" s="94"/>
      <c r="G2905" s="94"/>
      <c r="I2905" s="94"/>
      <c r="K2905" s="94"/>
      <c r="M2905" s="94"/>
    </row>
    <row r="2906" s="93" customFormat="1" spans="3:13">
      <c r="C2906" s="94"/>
      <c r="E2906" s="94"/>
      <c r="G2906" s="94"/>
      <c r="I2906" s="94"/>
      <c r="K2906" s="94"/>
      <c r="M2906" s="94"/>
    </row>
    <row r="2907" s="93" customFormat="1" spans="3:13">
      <c r="C2907" s="94"/>
      <c r="E2907" s="94"/>
      <c r="G2907" s="94"/>
      <c r="I2907" s="94"/>
      <c r="K2907" s="94"/>
      <c r="M2907" s="94"/>
    </row>
    <row r="2908" s="93" customFormat="1" spans="3:13">
      <c r="C2908" s="94"/>
      <c r="E2908" s="94"/>
      <c r="G2908" s="94"/>
      <c r="I2908" s="94"/>
      <c r="K2908" s="94"/>
      <c r="M2908" s="94"/>
    </row>
    <row r="2909" s="93" customFormat="1" spans="3:13">
      <c r="C2909" s="94"/>
      <c r="E2909" s="94"/>
      <c r="G2909" s="94"/>
      <c r="I2909" s="94"/>
      <c r="K2909" s="94"/>
      <c r="M2909" s="94"/>
    </row>
    <row r="2910" s="93" customFormat="1" spans="3:13">
      <c r="C2910" s="94"/>
      <c r="E2910" s="94"/>
      <c r="G2910" s="94"/>
      <c r="I2910" s="94"/>
      <c r="K2910" s="94"/>
      <c r="M2910" s="94"/>
    </row>
    <row r="2911" s="93" customFormat="1" spans="3:13">
      <c r="C2911" s="94"/>
      <c r="E2911" s="94"/>
      <c r="G2911" s="94"/>
      <c r="I2911" s="94"/>
      <c r="K2911" s="94"/>
      <c r="M2911" s="94"/>
    </row>
    <row r="2912" s="93" customFormat="1" spans="3:13">
      <c r="C2912" s="94"/>
      <c r="E2912" s="94"/>
      <c r="G2912" s="94"/>
      <c r="I2912" s="94"/>
      <c r="K2912" s="94"/>
      <c r="M2912" s="94"/>
    </row>
    <row r="2913" s="93" customFormat="1" spans="3:13">
      <c r="C2913" s="94"/>
      <c r="E2913" s="94"/>
      <c r="G2913" s="94"/>
      <c r="I2913" s="94"/>
      <c r="K2913" s="94"/>
      <c r="M2913" s="94"/>
    </row>
    <row r="2914" s="93" customFormat="1" spans="3:13">
      <c r="C2914" s="94"/>
      <c r="E2914" s="94"/>
      <c r="G2914" s="94"/>
      <c r="I2914" s="94"/>
      <c r="K2914" s="94"/>
      <c r="M2914" s="94"/>
    </row>
    <row r="2915" s="93" customFormat="1" spans="3:13">
      <c r="C2915" s="94"/>
      <c r="E2915" s="94"/>
      <c r="G2915" s="94"/>
      <c r="I2915" s="94"/>
      <c r="K2915" s="94"/>
      <c r="M2915" s="94"/>
    </row>
    <row r="2916" s="93" customFormat="1" spans="3:13">
      <c r="C2916" s="94"/>
      <c r="E2916" s="94"/>
      <c r="G2916" s="94"/>
      <c r="I2916" s="94"/>
      <c r="K2916" s="94"/>
      <c r="M2916" s="94"/>
    </row>
    <row r="2917" s="93" customFormat="1" spans="3:13">
      <c r="C2917" s="94"/>
      <c r="E2917" s="94"/>
      <c r="G2917" s="94"/>
      <c r="I2917" s="94"/>
      <c r="K2917" s="94"/>
      <c r="M2917" s="94"/>
    </row>
    <row r="2918" s="93" customFormat="1" spans="3:13">
      <c r="C2918" s="94"/>
      <c r="E2918" s="94"/>
      <c r="G2918" s="94"/>
      <c r="I2918" s="94"/>
      <c r="K2918" s="94"/>
      <c r="M2918" s="94"/>
    </row>
    <row r="2919" s="93" customFormat="1" spans="3:13">
      <c r="C2919" s="94"/>
      <c r="E2919" s="94"/>
      <c r="G2919" s="94"/>
      <c r="I2919" s="94"/>
      <c r="K2919" s="94"/>
      <c r="M2919" s="94"/>
    </row>
    <row r="2920" s="93" customFormat="1" spans="3:13">
      <c r="C2920" s="94"/>
      <c r="E2920" s="94"/>
      <c r="G2920" s="94"/>
      <c r="I2920" s="94"/>
      <c r="K2920" s="94"/>
      <c r="M2920" s="94"/>
    </row>
    <row r="2921" s="93" customFormat="1" spans="3:13">
      <c r="C2921" s="94"/>
      <c r="E2921" s="94"/>
      <c r="G2921" s="94"/>
      <c r="I2921" s="94"/>
      <c r="K2921" s="94"/>
      <c r="M2921" s="94"/>
    </row>
    <row r="2922" s="93" customFormat="1" spans="3:13">
      <c r="C2922" s="94"/>
      <c r="E2922" s="94"/>
      <c r="G2922" s="94"/>
      <c r="I2922" s="94"/>
      <c r="K2922" s="94"/>
      <c r="M2922" s="94"/>
    </row>
    <row r="2923" s="93" customFormat="1" spans="3:13">
      <c r="C2923" s="94"/>
      <c r="E2923" s="94"/>
      <c r="G2923" s="94"/>
      <c r="I2923" s="94"/>
      <c r="K2923" s="94"/>
      <c r="M2923" s="94"/>
    </row>
    <row r="2924" s="93" customFormat="1" spans="3:13">
      <c r="C2924" s="94"/>
      <c r="E2924" s="94"/>
      <c r="G2924" s="94"/>
      <c r="I2924" s="94"/>
      <c r="K2924" s="94"/>
      <c r="M2924" s="94"/>
    </row>
    <row r="2925" s="93" customFormat="1" spans="3:13">
      <c r="C2925" s="94"/>
      <c r="E2925" s="94"/>
      <c r="G2925" s="94"/>
      <c r="I2925" s="94"/>
      <c r="K2925" s="94"/>
      <c r="M2925" s="94"/>
    </row>
    <row r="2926" s="93" customFormat="1" spans="3:13">
      <c r="C2926" s="94"/>
      <c r="E2926" s="94"/>
      <c r="G2926" s="94"/>
      <c r="I2926" s="94"/>
      <c r="K2926" s="94"/>
      <c r="M2926" s="94"/>
    </row>
    <row r="2927" s="93" customFormat="1" spans="3:13">
      <c r="C2927" s="94"/>
      <c r="E2927" s="94"/>
      <c r="G2927" s="94"/>
      <c r="I2927" s="94"/>
      <c r="K2927" s="94"/>
      <c r="M2927" s="94"/>
    </row>
    <row r="2928" s="93" customFormat="1" spans="3:13">
      <c r="C2928" s="94"/>
      <c r="E2928" s="94"/>
      <c r="G2928" s="94"/>
      <c r="I2928" s="94"/>
      <c r="K2928" s="94"/>
      <c r="M2928" s="94"/>
    </row>
    <row r="2929" s="93" customFormat="1" spans="3:13">
      <c r="C2929" s="94"/>
      <c r="E2929" s="94"/>
      <c r="G2929" s="94"/>
      <c r="I2929" s="94"/>
      <c r="K2929" s="94"/>
      <c r="M2929" s="94"/>
    </row>
    <row r="2930" s="93" customFormat="1" spans="3:13">
      <c r="C2930" s="94"/>
      <c r="E2930" s="94"/>
      <c r="G2930" s="94"/>
      <c r="I2930" s="94"/>
      <c r="K2930" s="94"/>
      <c r="M2930" s="94"/>
    </row>
    <row r="2931" s="93" customFormat="1" spans="3:13">
      <c r="C2931" s="94"/>
      <c r="E2931" s="94"/>
      <c r="G2931" s="94"/>
      <c r="I2931" s="94"/>
      <c r="K2931" s="94"/>
      <c r="M2931" s="94"/>
    </row>
    <row r="2932" s="93" customFormat="1" spans="3:13">
      <c r="C2932" s="94"/>
      <c r="E2932" s="94"/>
      <c r="G2932" s="94"/>
      <c r="I2932" s="94"/>
      <c r="K2932" s="94"/>
      <c r="M2932" s="94"/>
    </row>
    <row r="2933" s="93" customFormat="1" spans="3:13">
      <c r="C2933" s="94"/>
      <c r="E2933" s="94"/>
      <c r="G2933" s="94"/>
      <c r="I2933" s="94"/>
      <c r="K2933" s="94"/>
      <c r="M2933" s="94"/>
    </row>
    <row r="2934" s="93" customFormat="1" spans="3:13">
      <c r="C2934" s="94"/>
      <c r="E2934" s="94"/>
      <c r="G2934" s="94"/>
      <c r="I2934" s="94"/>
      <c r="K2934" s="94"/>
      <c r="M2934" s="94"/>
    </row>
    <row r="2935" s="93" customFormat="1" spans="3:13">
      <c r="C2935" s="94"/>
      <c r="E2935" s="94"/>
      <c r="G2935" s="94"/>
      <c r="I2935" s="94"/>
      <c r="K2935" s="94"/>
      <c r="M2935" s="94"/>
    </row>
    <row r="2936" s="93" customFormat="1" spans="3:13">
      <c r="C2936" s="94"/>
      <c r="E2936" s="94"/>
      <c r="G2936" s="94"/>
      <c r="I2936" s="94"/>
      <c r="K2936" s="94"/>
      <c r="M2936" s="94"/>
    </row>
    <row r="2937" s="93" customFormat="1" spans="3:13">
      <c r="C2937" s="94"/>
      <c r="E2937" s="94"/>
      <c r="G2937" s="94"/>
      <c r="I2937" s="94"/>
      <c r="K2937" s="94"/>
      <c r="M2937" s="94"/>
    </row>
    <row r="2938" s="93" customFormat="1" spans="3:13">
      <c r="C2938" s="94"/>
      <c r="E2938" s="94"/>
      <c r="G2938" s="94"/>
      <c r="I2938" s="94"/>
      <c r="K2938" s="94"/>
      <c r="M2938" s="94"/>
    </row>
    <row r="2939" s="93" customFormat="1" spans="3:13">
      <c r="C2939" s="94"/>
      <c r="E2939" s="94"/>
      <c r="G2939" s="94"/>
      <c r="I2939" s="94"/>
      <c r="K2939" s="94"/>
      <c r="M2939" s="94"/>
    </row>
    <row r="2940" s="93" customFormat="1" spans="3:13">
      <c r="C2940" s="94"/>
      <c r="E2940" s="94"/>
      <c r="G2940" s="94"/>
      <c r="I2940" s="94"/>
      <c r="K2940" s="94"/>
      <c r="M2940" s="94"/>
    </row>
    <row r="2941" s="93" customFormat="1" spans="3:13">
      <c r="C2941" s="94"/>
      <c r="E2941" s="94"/>
      <c r="G2941" s="94"/>
      <c r="I2941" s="94"/>
      <c r="K2941" s="94"/>
      <c r="M2941" s="94"/>
    </row>
    <row r="2942" s="93" customFormat="1" spans="3:13">
      <c r="C2942" s="94"/>
      <c r="E2942" s="94"/>
      <c r="G2942" s="94"/>
      <c r="I2942" s="94"/>
      <c r="K2942" s="94"/>
      <c r="M2942" s="94"/>
    </row>
    <row r="2943" s="93" customFormat="1" spans="3:13">
      <c r="C2943" s="94"/>
      <c r="E2943" s="94"/>
      <c r="G2943" s="94"/>
      <c r="I2943" s="94"/>
      <c r="K2943" s="94"/>
      <c r="M2943" s="94"/>
    </row>
    <row r="2944" s="93" customFormat="1" spans="3:13">
      <c r="C2944" s="94"/>
      <c r="E2944" s="94"/>
      <c r="G2944" s="94"/>
      <c r="I2944" s="94"/>
      <c r="K2944" s="94"/>
      <c r="M2944" s="94"/>
    </row>
    <row r="2945" s="93" customFormat="1" spans="3:13">
      <c r="C2945" s="94"/>
      <c r="E2945" s="94"/>
      <c r="G2945" s="94"/>
      <c r="I2945" s="94"/>
      <c r="K2945" s="94"/>
      <c r="M2945" s="94"/>
    </row>
    <row r="2946" s="93" customFormat="1" spans="3:13">
      <c r="C2946" s="94"/>
      <c r="E2946" s="94"/>
      <c r="G2946" s="94"/>
      <c r="I2946" s="94"/>
      <c r="K2946" s="94"/>
      <c r="M2946" s="94"/>
    </row>
    <row r="2947" s="93" customFormat="1" spans="3:13">
      <c r="C2947" s="94"/>
      <c r="E2947" s="94"/>
      <c r="G2947" s="94"/>
      <c r="I2947" s="94"/>
      <c r="K2947" s="94"/>
      <c r="M2947" s="94"/>
    </row>
    <row r="2948" s="93" customFormat="1" spans="3:13">
      <c r="C2948" s="94"/>
      <c r="E2948" s="94"/>
      <c r="G2948" s="94"/>
      <c r="I2948" s="94"/>
      <c r="K2948" s="94"/>
      <c r="M2948" s="94"/>
    </row>
    <row r="2949" s="93" customFormat="1" spans="3:13">
      <c r="C2949" s="94"/>
      <c r="E2949" s="94"/>
      <c r="G2949" s="94"/>
      <c r="I2949" s="94"/>
      <c r="K2949" s="94"/>
      <c r="M2949" s="94"/>
    </row>
    <row r="2950" s="93" customFormat="1" spans="3:13">
      <c r="C2950" s="94"/>
      <c r="E2950" s="94"/>
      <c r="G2950" s="94"/>
      <c r="I2950" s="94"/>
      <c r="K2950" s="94"/>
      <c r="M2950" s="94"/>
    </row>
    <row r="2951" s="93" customFormat="1" spans="3:13">
      <c r="C2951" s="94"/>
      <c r="E2951" s="94"/>
      <c r="G2951" s="94"/>
      <c r="I2951" s="94"/>
      <c r="K2951" s="94"/>
      <c r="M2951" s="94"/>
    </row>
    <row r="2952" s="93" customFormat="1" spans="3:13">
      <c r="C2952" s="94"/>
      <c r="E2952" s="94"/>
      <c r="G2952" s="94"/>
      <c r="I2952" s="94"/>
      <c r="K2952" s="94"/>
      <c r="M2952" s="94"/>
    </row>
    <row r="2953" s="93" customFormat="1" spans="3:13">
      <c r="C2953" s="94"/>
      <c r="E2953" s="94"/>
      <c r="G2953" s="94"/>
      <c r="I2953" s="94"/>
      <c r="K2953" s="94"/>
      <c r="M2953" s="94"/>
    </row>
    <row r="2954" s="93" customFormat="1" spans="3:13">
      <c r="C2954" s="94"/>
      <c r="E2954" s="94"/>
      <c r="G2954" s="94"/>
      <c r="I2954" s="94"/>
      <c r="K2954" s="94"/>
      <c r="M2954" s="94"/>
    </row>
    <row r="2955" s="93" customFormat="1" spans="3:13">
      <c r="C2955" s="94"/>
      <c r="E2955" s="94"/>
      <c r="G2955" s="94"/>
      <c r="I2955" s="94"/>
      <c r="K2955" s="94"/>
      <c r="M2955" s="94"/>
    </row>
    <row r="2956" s="93" customFormat="1" spans="3:13">
      <c r="C2956" s="94"/>
      <c r="E2956" s="94"/>
      <c r="G2956" s="94"/>
      <c r="I2956" s="94"/>
      <c r="K2956" s="94"/>
      <c r="M2956" s="94"/>
    </row>
    <row r="2957" s="93" customFormat="1" spans="3:13">
      <c r="C2957" s="94"/>
      <c r="E2957" s="94"/>
      <c r="G2957" s="94"/>
      <c r="I2957" s="94"/>
      <c r="K2957" s="94"/>
      <c r="M2957" s="94"/>
    </row>
    <row r="2958" s="93" customFormat="1" spans="3:13">
      <c r="C2958" s="94"/>
      <c r="E2958" s="94"/>
      <c r="G2958" s="94"/>
      <c r="I2958" s="94"/>
      <c r="K2958" s="94"/>
      <c r="M2958" s="94"/>
    </row>
    <row r="2959" s="93" customFormat="1" spans="3:13">
      <c r="C2959" s="94"/>
      <c r="E2959" s="94"/>
      <c r="G2959" s="94"/>
      <c r="I2959" s="94"/>
      <c r="K2959" s="94"/>
      <c r="M2959" s="94"/>
    </row>
    <row r="2960" s="93" customFormat="1" spans="3:13">
      <c r="C2960" s="94"/>
      <c r="E2960" s="94"/>
      <c r="G2960" s="94"/>
      <c r="I2960" s="94"/>
      <c r="K2960" s="94"/>
      <c r="M2960" s="94"/>
    </row>
    <row r="2961" s="93" customFormat="1" spans="3:13">
      <c r="C2961" s="94"/>
      <c r="E2961" s="94"/>
      <c r="G2961" s="94"/>
      <c r="I2961" s="94"/>
      <c r="K2961" s="94"/>
      <c r="M2961" s="94"/>
    </row>
    <row r="2962" s="93" customFormat="1" spans="3:13">
      <c r="C2962" s="94"/>
      <c r="E2962" s="94"/>
      <c r="G2962" s="94"/>
      <c r="I2962" s="94"/>
      <c r="K2962" s="94"/>
      <c r="M2962" s="94"/>
    </row>
    <row r="2963" s="93" customFormat="1" spans="3:13">
      <c r="C2963" s="94"/>
      <c r="E2963" s="94"/>
      <c r="G2963" s="94"/>
      <c r="I2963" s="94"/>
      <c r="K2963" s="94"/>
      <c r="M2963" s="94"/>
    </row>
    <row r="2964" s="93" customFormat="1" spans="3:13">
      <c r="C2964" s="94"/>
      <c r="E2964" s="94"/>
      <c r="G2964" s="94"/>
      <c r="I2964" s="94"/>
      <c r="K2964" s="94"/>
      <c r="M2964" s="94"/>
    </row>
    <row r="2965" s="93" customFormat="1" spans="3:13">
      <c r="C2965" s="94"/>
      <c r="E2965" s="94"/>
      <c r="G2965" s="94"/>
      <c r="I2965" s="94"/>
      <c r="K2965" s="94"/>
      <c r="M2965" s="94"/>
    </row>
    <row r="2966" s="93" customFormat="1" spans="3:13">
      <c r="C2966" s="94"/>
      <c r="E2966" s="94"/>
      <c r="G2966" s="94"/>
      <c r="I2966" s="94"/>
      <c r="K2966" s="94"/>
      <c r="M2966" s="94"/>
    </row>
    <row r="2967" s="93" customFormat="1" spans="3:13">
      <c r="C2967" s="94"/>
      <c r="E2967" s="94"/>
      <c r="G2967" s="94"/>
      <c r="I2967" s="94"/>
      <c r="K2967" s="94"/>
      <c r="M2967" s="94"/>
    </row>
    <row r="2968" s="93" customFormat="1" spans="3:13">
      <c r="C2968" s="94"/>
      <c r="E2968" s="94"/>
      <c r="G2968" s="94"/>
      <c r="I2968" s="94"/>
      <c r="K2968" s="94"/>
      <c r="M2968" s="94"/>
    </row>
    <row r="2969" s="93" customFormat="1" spans="3:13">
      <c r="C2969" s="94"/>
      <c r="E2969" s="94"/>
      <c r="G2969" s="94"/>
      <c r="I2969" s="94"/>
      <c r="K2969" s="94"/>
      <c r="M2969" s="94"/>
    </row>
    <row r="2970" s="93" customFormat="1" spans="3:13">
      <c r="C2970" s="94"/>
      <c r="E2970" s="94"/>
      <c r="G2970" s="94"/>
      <c r="I2970" s="94"/>
      <c r="K2970" s="94"/>
      <c r="M2970" s="94"/>
    </row>
    <row r="2971" s="93" customFormat="1" spans="3:13">
      <c r="C2971" s="94"/>
      <c r="E2971" s="94"/>
      <c r="G2971" s="94"/>
      <c r="I2971" s="94"/>
      <c r="K2971" s="94"/>
      <c r="M2971" s="94"/>
    </row>
    <row r="2972" s="93" customFormat="1" spans="3:13">
      <c r="C2972" s="94"/>
      <c r="E2972" s="94"/>
      <c r="G2972" s="94"/>
      <c r="I2972" s="94"/>
      <c r="K2972" s="94"/>
      <c r="M2972" s="94"/>
    </row>
    <row r="2973" s="93" customFormat="1" spans="3:13">
      <c r="C2973" s="94"/>
      <c r="E2973" s="94"/>
      <c r="G2973" s="94"/>
      <c r="I2973" s="94"/>
      <c r="K2973" s="94"/>
      <c r="M2973" s="94"/>
    </row>
    <row r="2974" s="93" customFormat="1" spans="3:13">
      <c r="C2974" s="94"/>
      <c r="E2974" s="94"/>
      <c r="G2974" s="94"/>
      <c r="I2974" s="94"/>
      <c r="K2974" s="94"/>
      <c r="M2974" s="94"/>
    </row>
    <row r="2975" s="93" customFormat="1" spans="3:13">
      <c r="C2975" s="94"/>
      <c r="E2975" s="94"/>
      <c r="G2975" s="94"/>
      <c r="I2975" s="94"/>
      <c r="K2975" s="94"/>
      <c r="M2975" s="94"/>
    </row>
    <row r="2976" s="93" customFormat="1" spans="3:13">
      <c r="C2976" s="94"/>
      <c r="E2976" s="94"/>
      <c r="G2976" s="94"/>
      <c r="I2976" s="94"/>
      <c r="K2976" s="94"/>
      <c r="M2976" s="94"/>
    </row>
    <row r="2977" s="93" customFormat="1" spans="3:13">
      <c r="C2977" s="94"/>
      <c r="E2977" s="94"/>
      <c r="G2977" s="94"/>
      <c r="I2977" s="94"/>
      <c r="K2977" s="94"/>
      <c r="M2977" s="94"/>
    </row>
    <row r="2978" s="93" customFormat="1" spans="3:13">
      <c r="C2978" s="94"/>
      <c r="E2978" s="94"/>
      <c r="G2978" s="94"/>
      <c r="I2978" s="94"/>
      <c r="K2978" s="94"/>
      <c r="M2978" s="94"/>
    </row>
    <row r="2979" s="93" customFormat="1" spans="3:13">
      <c r="C2979" s="94"/>
      <c r="E2979" s="94"/>
      <c r="G2979" s="94"/>
      <c r="I2979" s="94"/>
      <c r="K2979" s="94"/>
      <c r="M2979" s="94"/>
    </row>
    <row r="2980" s="93" customFormat="1" spans="3:13">
      <c r="C2980" s="94"/>
      <c r="E2980" s="94"/>
      <c r="G2980" s="94"/>
      <c r="I2980" s="94"/>
      <c r="K2980" s="94"/>
      <c r="M2980" s="94"/>
    </row>
    <row r="2981" s="93" customFormat="1" spans="3:13">
      <c r="C2981" s="94"/>
      <c r="E2981" s="94"/>
      <c r="G2981" s="94"/>
      <c r="I2981" s="94"/>
      <c r="K2981" s="94"/>
      <c r="M2981" s="94"/>
    </row>
    <row r="2982" s="93" customFormat="1" spans="3:13">
      <c r="C2982" s="94"/>
      <c r="E2982" s="94"/>
      <c r="G2982" s="94"/>
      <c r="I2982" s="94"/>
      <c r="K2982" s="94"/>
      <c r="M2982" s="94"/>
    </row>
    <row r="2983" s="93" customFormat="1" spans="3:13">
      <c r="C2983" s="94"/>
      <c r="E2983" s="94"/>
      <c r="G2983" s="94"/>
      <c r="I2983" s="94"/>
      <c r="K2983" s="94"/>
      <c r="M2983" s="94"/>
    </row>
    <row r="2984" s="93" customFormat="1" spans="3:13">
      <c r="C2984" s="94"/>
      <c r="E2984" s="94"/>
      <c r="G2984" s="94"/>
      <c r="I2984" s="94"/>
      <c r="K2984" s="94"/>
      <c r="M2984" s="94"/>
    </row>
    <row r="2985" s="93" customFormat="1" spans="3:13">
      <c r="C2985" s="94"/>
      <c r="E2985" s="94"/>
      <c r="G2985" s="94"/>
      <c r="I2985" s="94"/>
      <c r="K2985" s="94"/>
      <c r="M2985" s="94"/>
    </row>
    <row r="2986" s="93" customFormat="1" spans="3:13">
      <c r="C2986" s="94"/>
      <c r="E2986" s="94"/>
      <c r="G2986" s="94"/>
      <c r="I2986" s="94"/>
      <c r="K2986" s="94"/>
      <c r="M2986" s="94"/>
    </row>
    <row r="2987" s="93" customFormat="1" spans="3:13">
      <c r="C2987" s="94"/>
      <c r="E2987" s="94"/>
      <c r="G2987" s="94"/>
      <c r="I2987" s="94"/>
      <c r="K2987" s="94"/>
      <c r="M2987" s="94"/>
    </row>
    <row r="2988" s="93" customFormat="1" spans="3:13">
      <c r="C2988" s="94"/>
      <c r="E2988" s="94"/>
      <c r="G2988" s="94"/>
      <c r="I2988" s="94"/>
      <c r="K2988" s="94"/>
      <c r="M2988" s="94"/>
    </row>
    <row r="2989" s="93" customFormat="1" spans="3:13">
      <c r="C2989" s="94"/>
      <c r="E2989" s="94"/>
      <c r="G2989" s="94"/>
      <c r="I2989" s="94"/>
      <c r="K2989" s="94"/>
      <c r="M2989" s="94"/>
    </row>
    <row r="2990" s="93" customFormat="1" spans="3:13">
      <c r="C2990" s="94"/>
      <c r="E2990" s="94"/>
      <c r="G2990" s="94"/>
      <c r="I2990" s="94"/>
      <c r="K2990" s="94"/>
      <c r="M2990" s="94"/>
    </row>
    <row r="2991" s="93" customFormat="1" spans="3:13">
      <c r="C2991" s="94"/>
      <c r="E2991" s="94"/>
      <c r="G2991" s="94"/>
      <c r="I2991" s="94"/>
      <c r="K2991" s="94"/>
      <c r="M2991" s="94"/>
    </row>
    <row r="2992" s="93" customFormat="1" spans="3:13">
      <c r="C2992" s="94"/>
      <c r="E2992" s="94"/>
      <c r="G2992" s="94"/>
      <c r="I2992" s="94"/>
      <c r="K2992" s="94"/>
      <c r="M2992" s="94"/>
    </row>
    <row r="2993" s="93" customFormat="1" spans="3:13">
      <c r="C2993" s="94"/>
      <c r="E2993" s="94"/>
      <c r="G2993" s="94"/>
      <c r="I2993" s="94"/>
      <c r="K2993" s="94"/>
      <c r="M2993" s="94"/>
    </row>
    <row r="2994" s="93" customFormat="1" spans="3:13">
      <c r="C2994" s="94"/>
      <c r="E2994" s="94"/>
      <c r="G2994" s="94"/>
      <c r="I2994" s="94"/>
      <c r="K2994" s="94"/>
      <c r="M2994" s="94"/>
    </row>
    <row r="2995" s="93" customFormat="1" spans="3:13">
      <c r="C2995" s="94"/>
      <c r="E2995" s="94"/>
      <c r="G2995" s="94"/>
      <c r="I2995" s="94"/>
      <c r="K2995" s="94"/>
      <c r="M2995" s="94"/>
    </row>
    <row r="2996" s="93" customFormat="1" spans="3:13">
      <c r="C2996" s="94"/>
      <c r="E2996" s="94"/>
      <c r="G2996" s="94"/>
      <c r="I2996" s="94"/>
      <c r="K2996" s="94"/>
      <c r="M2996" s="94"/>
    </row>
    <row r="2997" s="93" customFormat="1" spans="3:13">
      <c r="C2997" s="94"/>
      <c r="E2997" s="94"/>
      <c r="G2997" s="94"/>
      <c r="I2997" s="94"/>
      <c r="K2997" s="94"/>
      <c r="M2997" s="94"/>
    </row>
    <row r="2998" s="93" customFormat="1" spans="3:13">
      <c r="C2998" s="94"/>
      <c r="E2998" s="94"/>
      <c r="G2998" s="94"/>
      <c r="I2998" s="94"/>
      <c r="K2998" s="94"/>
      <c r="M2998" s="94"/>
    </row>
    <row r="2999" s="93" customFormat="1" spans="3:13">
      <c r="C2999" s="94"/>
      <c r="E2999" s="94"/>
      <c r="G2999" s="94"/>
      <c r="I2999" s="94"/>
      <c r="K2999" s="94"/>
      <c r="M2999" s="94"/>
    </row>
    <row r="3000" s="93" customFormat="1" spans="3:13">
      <c r="C3000" s="94"/>
      <c r="E3000" s="94"/>
      <c r="G3000" s="94"/>
      <c r="I3000" s="94"/>
      <c r="K3000" s="94"/>
      <c r="M3000" s="94"/>
    </row>
    <row r="3001" s="93" customFormat="1" spans="3:13">
      <c r="C3001" s="94"/>
      <c r="E3001" s="94"/>
      <c r="G3001" s="94"/>
      <c r="I3001" s="94"/>
      <c r="K3001" s="94"/>
      <c r="M3001" s="94"/>
    </row>
    <row r="3002" s="93" customFormat="1" spans="3:13">
      <c r="C3002" s="94"/>
      <c r="E3002" s="94"/>
      <c r="G3002" s="94"/>
      <c r="I3002" s="94"/>
      <c r="K3002" s="94"/>
      <c r="M3002" s="94"/>
    </row>
    <row r="3003" s="93" customFormat="1" spans="3:13">
      <c r="C3003" s="94"/>
      <c r="E3003" s="94"/>
      <c r="G3003" s="94"/>
      <c r="I3003" s="94"/>
      <c r="K3003" s="94"/>
      <c r="M3003" s="94"/>
    </row>
    <row r="3004" s="93" customFormat="1" spans="3:13">
      <c r="C3004" s="94"/>
      <c r="E3004" s="94"/>
      <c r="G3004" s="94"/>
      <c r="I3004" s="94"/>
      <c r="K3004" s="94"/>
      <c r="M3004" s="94"/>
    </row>
    <row r="3005" s="93" customFormat="1" spans="3:13">
      <c r="C3005" s="94"/>
      <c r="E3005" s="94"/>
      <c r="G3005" s="94"/>
      <c r="I3005" s="94"/>
      <c r="K3005" s="94"/>
      <c r="M3005" s="94"/>
    </row>
    <row r="3006" s="93" customFormat="1" spans="3:13">
      <c r="C3006" s="94"/>
      <c r="E3006" s="94"/>
      <c r="G3006" s="94"/>
      <c r="I3006" s="94"/>
      <c r="K3006" s="94"/>
      <c r="M3006" s="94"/>
    </row>
    <row r="3007" s="93" customFormat="1" spans="3:13">
      <c r="C3007" s="94"/>
      <c r="E3007" s="94"/>
      <c r="G3007" s="94"/>
      <c r="I3007" s="94"/>
      <c r="K3007" s="94"/>
      <c r="M3007" s="94"/>
    </row>
    <row r="3008" s="93" customFormat="1" spans="3:13">
      <c r="C3008" s="94"/>
      <c r="E3008" s="94"/>
      <c r="G3008" s="94"/>
      <c r="I3008" s="94"/>
      <c r="K3008" s="94"/>
      <c r="M3008" s="94"/>
    </row>
    <row r="3009" s="93" customFormat="1" spans="3:13">
      <c r="C3009" s="94"/>
      <c r="E3009" s="94"/>
      <c r="G3009" s="94"/>
      <c r="I3009" s="94"/>
      <c r="K3009" s="94"/>
      <c r="M3009" s="94"/>
    </row>
    <row r="3010" s="93" customFormat="1" spans="3:13">
      <c r="C3010" s="94"/>
      <c r="E3010" s="94"/>
      <c r="G3010" s="94"/>
      <c r="I3010" s="94"/>
      <c r="K3010" s="94"/>
      <c r="M3010" s="94"/>
    </row>
    <row r="3011" s="93" customFormat="1" spans="3:13">
      <c r="C3011" s="94"/>
      <c r="E3011" s="94"/>
      <c r="G3011" s="94"/>
      <c r="I3011" s="94"/>
      <c r="K3011" s="94"/>
      <c r="M3011" s="94"/>
    </row>
    <row r="3012" s="93" customFormat="1" spans="3:13">
      <c r="C3012" s="94"/>
      <c r="E3012" s="94"/>
      <c r="G3012" s="94"/>
      <c r="I3012" s="94"/>
      <c r="K3012" s="94"/>
      <c r="M3012" s="94"/>
    </row>
    <row r="3013" s="93" customFormat="1" spans="3:13">
      <c r="C3013" s="94"/>
      <c r="E3013" s="94"/>
      <c r="G3013" s="94"/>
      <c r="I3013" s="94"/>
      <c r="K3013" s="94"/>
      <c r="M3013" s="94"/>
    </row>
    <row r="3014" s="93" customFormat="1" spans="3:13">
      <c r="C3014" s="94"/>
      <c r="E3014" s="94"/>
      <c r="G3014" s="94"/>
      <c r="I3014" s="94"/>
      <c r="K3014" s="94"/>
      <c r="M3014" s="94"/>
    </row>
    <row r="3015" s="93" customFormat="1" spans="3:13">
      <c r="C3015" s="94"/>
      <c r="E3015" s="94"/>
      <c r="G3015" s="94"/>
      <c r="I3015" s="94"/>
      <c r="K3015" s="94"/>
      <c r="M3015" s="94"/>
    </row>
    <row r="3016" s="93" customFormat="1" spans="3:13">
      <c r="C3016" s="94"/>
      <c r="E3016" s="94"/>
      <c r="G3016" s="94"/>
      <c r="I3016" s="94"/>
      <c r="K3016" s="94"/>
      <c r="M3016" s="94"/>
    </row>
    <row r="3017" s="93" customFormat="1" spans="3:13">
      <c r="C3017" s="94"/>
      <c r="E3017" s="94"/>
      <c r="G3017" s="94"/>
      <c r="I3017" s="94"/>
      <c r="K3017" s="94"/>
      <c r="M3017" s="94"/>
    </row>
    <row r="3018" s="93" customFormat="1" spans="3:13">
      <c r="C3018" s="94"/>
      <c r="E3018" s="94"/>
      <c r="G3018" s="94"/>
      <c r="I3018" s="94"/>
      <c r="K3018" s="94"/>
      <c r="M3018" s="94"/>
    </row>
    <row r="3019" s="93" customFormat="1" spans="3:13">
      <c r="C3019" s="94"/>
      <c r="E3019" s="94"/>
      <c r="G3019" s="94"/>
      <c r="I3019" s="94"/>
      <c r="K3019" s="94"/>
      <c r="M3019" s="94"/>
    </row>
    <row r="3020" s="93" customFormat="1" spans="3:13">
      <c r="C3020" s="94"/>
      <c r="E3020" s="94"/>
      <c r="G3020" s="94"/>
      <c r="I3020" s="94"/>
      <c r="K3020" s="94"/>
      <c r="M3020" s="94"/>
    </row>
    <row r="3021" s="93" customFormat="1" spans="3:13">
      <c r="C3021" s="94"/>
      <c r="E3021" s="94"/>
      <c r="G3021" s="94"/>
      <c r="I3021" s="94"/>
      <c r="K3021" s="94"/>
      <c r="M3021" s="94"/>
    </row>
    <row r="3022" s="93" customFormat="1" spans="3:13">
      <c r="C3022" s="94"/>
      <c r="E3022" s="94"/>
      <c r="G3022" s="94"/>
      <c r="I3022" s="94"/>
      <c r="K3022" s="94"/>
      <c r="M3022" s="94"/>
    </row>
    <row r="3023" s="93" customFormat="1" spans="3:13">
      <c r="C3023" s="94"/>
      <c r="E3023" s="94"/>
      <c r="G3023" s="94"/>
      <c r="I3023" s="94"/>
      <c r="K3023" s="94"/>
      <c r="M3023" s="94"/>
    </row>
    <row r="3024" s="93" customFormat="1" spans="3:13">
      <c r="C3024" s="94"/>
      <c r="E3024" s="94"/>
      <c r="G3024" s="94"/>
      <c r="I3024" s="94"/>
      <c r="K3024" s="94"/>
      <c r="M3024" s="94"/>
    </row>
    <row r="3025" s="93" customFormat="1" spans="3:13">
      <c r="C3025" s="94"/>
      <c r="E3025" s="94"/>
      <c r="G3025" s="94"/>
      <c r="I3025" s="94"/>
      <c r="K3025" s="94"/>
      <c r="M3025" s="94"/>
    </row>
    <row r="3026" s="93" customFormat="1" spans="3:13">
      <c r="C3026" s="94"/>
      <c r="E3026" s="94"/>
      <c r="G3026" s="94"/>
      <c r="I3026" s="94"/>
      <c r="K3026" s="94"/>
      <c r="M3026" s="94"/>
    </row>
    <row r="3027" s="93" customFormat="1" spans="3:13">
      <c r="C3027" s="94"/>
      <c r="E3027" s="94"/>
      <c r="G3027" s="94"/>
      <c r="I3027" s="94"/>
      <c r="K3027" s="94"/>
      <c r="M3027" s="94"/>
    </row>
    <row r="3028" s="93" customFormat="1" spans="3:13">
      <c r="C3028" s="94"/>
      <c r="E3028" s="94"/>
      <c r="G3028" s="94"/>
      <c r="I3028" s="94"/>
      <c r="K3028" s="94"/>
      <c r="M3028" s="94"/>
    </row>
    <row r="3029" s="93" customFormat="1" spans="3:13">
      <c r="C3029" s="94"/>
      <c r="E3029" s="94"/>
      <c r="G3029" s="94"/>
      <c r="I3029" s="94"/>
      <c r="K3029" s="94"/>
      <c r="M3029" s="94"/>
    </row>
    <row r="3030" s="93" customFormat="1" spans="3:13">
      <c r="C3030" s="94"/>
      <c r="E3030" s="94"/>
      <c r="G3030" s="94"/>
      <c r="I3030" s="94"/>
      <c r="K3030" s="94"/>
      <c r="M3030" s="94"/>
    </row>
    <row r="3031" s="93" customFormat="1" spans="3:13">
      <c r="C3031" s="94"/>
      <c r="E3031" s="94"/>
      <c r="G3031" s="94"/>
      <c r="I3031" s="94"/>
      <c r="K3031" s="94"/>
      <c r="M3031" s="94"/>
    </row>
    <row r="3032" s="93" customFormat="1" spans="3:13">
      <c r="C3032" s="94"/>
      <c r="E3032" s="94"/>
      <c r="G3032" s="94"/>
      <c r="I3032" s="94"/>
      <c r="K3032" s="94"/>
      <c r="M3032" s="94"/>
    </row>
    <row r="3033" s="93" customFormat="1" spans="3:13">
      <c r="C3033" s="94"/>
      <c r="E3033" s="94"/>
      <c r="G3033" s="94"/>
      <c r="I3033" s="94"/>
      <c r="K3033" s="94"/>
      <c r="M3033" s="94"/>
    </row>
    <row r="3034" s="93" customFormat="1" spans="3:13">
      <c r="C3034" s="94"/>
      <c r="E3034" s="94"/>
      <c r="G3034" s="94"/>
      <c r="I3034" s="94"/>
      <c r="K3034" s="94"/>
      <c r="M3034" s="94"/>
    </row>
    <row r="3035" s="93" customFormat="1" spans="3:13">
      <c r="C3035" s="94"/>
      <c r="E3035" s="94"/>
      <c r="G3035" s="94"/>
      <c r="I3035" s="94"/>
      <c r="K3035" s="94"/>
      <c r="M3035" s="94"/>
    </row>
    <row r="3036" s="93" customFormat="1" spans="3:13">
      <c r="C3036" s="94"/>
      <c r="E3036" s="94"/>
      <c r="G3036" s="94"/>
      <c r="I3036" s="94"/>
      <c r="K3036" s="94"/>
      <c r="M3036" s="94"/>
    </row>
    <row r="3037" s="93" customFormat="1" spans="3:13">
      <c r="C3037" s="94"/>
      <c r="E3037" s="94"/>
      <c r="G3037" s="94"/>
      <c r="I3037" s="94"/>
      <c r="K3037" s="94"/>
      <c r="M3037" s="94"/>
    </row>
    <row r="3038" s="93" customFormat="1" spans="3:13">
      <c r="C3038" s="94"/>
      <c r="E3038" s="94"/>
      <c r="G3038" s="94"/>
      <c r="I3038" s="94"/>
      <c r="K3038" s="94"/>
      <c r="M3038" s="94"/>
    </row>
    <row r="3039" s="93" customFormat="1" spans="3:13">
      <c r="C3039" s="94"/>
      <c r="E3039" s="94"/>
      <c r="G3039" s="94"/>
      <c r="I3039" s="94"/>
      <c r="K3039" s="94"/>
      <c r="M3039" s="94"/>
    </row>
    <row r="3040" s="93" customFormat="1" spans="3:13">
      <c r="C3040" s="94"/>
      <c r="E3040" s="94"/>
      <c r="G3040" s="94"/>
      <c r="I3040" s="94"/>
      <c r="K3040" s="94"/>
      <c r="M3040" s="94"/>
    </row>
    <row r="3041" s="93" customFormat="1" spans="3:13">
      <c r="C3041" s="94"/>
      <c r="E3041" s="94"/>
      <c r="G3041" s="94"/>
      <c r="I3041" s="94"/>
      <c r="K3041" s="94"/>
      <c r="M3041" s="94"/>
    </row>
    <row r="3042" s="93" customFormat="1" spans="3:13">
      <c r="C3042" s="94"/>
      <c r="E3042" s="94"/>
      <c r="G3042" s="94"/>
      <c r="I3042" s="94"/>
      <c r="K3042" s="94"/>
      <c r="M3042" s="94"/>
    </row>
    <row r="3043" s="93" customFormat="1" spans="3:13">
      <c r="C3043" s="94"/>
      <c r="E3043" s="94"/>
      <c r="G3043" s="94"/>
      <c r="I3043" s="94"/>
      <c r="K3043" s="94"/>
      <c r="M3043" s="94"/>
    </row>
    <row r="3044" s="93" customFormat="1" spans="3:13">
      <c r="C3044" s="94"/>
      <c r="E3044" s="94"/>
      <c r="G3044" s="94"/>
      <c r="I3044" s="94"/>
      <c r="K3044" s="94"/>
      <c r="M3044" s="94"/>
    </row>
    <row r="3045" s="93" customFormat="1" spans="3:13">
      <c r="C3045" s="94"/>
      <c r="E3045" s="94"/>
      <c r="G3045" s="94"/>
      <c r="I3045" s="94"/>
      <c r="K3045" s="94"/>
      <c r="M3045" s="94"/>
    </row>
    <row r="3046" s="93" customFormat="1" spans="3:13">
      <c r="C3046" s="94"/>
      <c r="E3046" s="94"/>
      <c r="G3046" s="94"/>
      <c r="I3046" s="94"/>
      <c r="K3046" s="94"/>
      <c r="M3046" s="94"/>
    </row>
    <row r="3047" s="93" customFormat="1" spans="3:13">
      <c r="C3047" s="94"/>
      <c r="E3047" s="94"/>
      <c r="G3047" s="94"/>
      <c r="I3047" s="94"/>
      <c r="K3047" s="94"/>
      <c r="M3047" s="94"/>
    </row>
    <row r="3048" s="93" customFormat="1" spans="3:13">
      <c r="C3048" s="94"/>
      <c r="E3048" s="94"/>
      <c r="G3048" s="94"/>
      <c r="I3048" s="94"/>
      <c r="K3048" s="94"/>
      <c r="M3048" s="94"/>
    </row>
    <row r="3049" s="93" customFormat="1" spans="3:13">
      <c r="C3049" s="94"/>
      <c r="E3049" s="94"/>
      <c r="G3049" s="94"/>
      <c r="I3049" s="94"/>
      <c r="K3049" s="94"/>
      <c r="M3049" s="94"/>
    </row>
    <row r="3050" s="93" customFormat="1" spans="3:13">
      <c r="C3050" s="94"/>
      <c r="E3050" s="94"/>
      <c r="G3050" s="94"/>
      <c r="I3050" s="94"/>
      <c r="K3050" s="94"/>
      <c r="M3050" s="94"/>
    </row>
    <row r="3051" s="93" customFormat="1" spans="3:13">
      <c r="C3051" s="94"/>
      <c r="E3051" s="94"/>
      <c r="G3051" s="94"/>
      <c r="I3051" s="94"/>
      <c r="K3051" s="94"/>
      <c r="M3051" s="94"/>
    </row>
    <row r="3052" s="93" customFormat="1" spans="3:13">
      <c r="C3052" s="94"/>
      <c r="E3052" s="94"/>
      <c r="G3052" s="94"/>
      <c r="I3052" s="94"/>
      <c r="K3052" s="94"/>
      <c r="M3052" s="94"/>
    </row>
    <row r="3053" s="93" customFormat="1" spans="3:13">
      <c r="C3053" s="94"/>
      <c r="E3053" s="94"/>
      <c r="G3053" s="94"/>
      <c r="I3053" s="94"/>
      <c r="K3053" s="94"/>
      <c r="M3053" s="94"/>
    </row>
    <row r="3054" s="93" customFormat="1" spans="3:13">
      <c r="C3054" s="94"/>
      <c r="E3054" s="94"/>
      <c r="G3054" s="94"/>
      <c r="I3054" s="94"/>
      <c r="K3054" s="94"/>
      <c r="M3054" s="94"/>
    </row>
    <row r="3055" s="93" customFormat="1" spans="3:13">
      <c r="C3055" s="94"/>
      <c r="E3055" s="94"/>
      <c r="G3055" s="94"/>
      <c r="I3055" s="94"/>
      <c r="K3055" s="94"/>
      <c r="M3055" s="94"/>
    </row>
    <row r="3056" s="93" customFormat="1" spans="3:13">
      <c r="C3056" s="94"/>
      <c r="E3056" s="94"/>
      <c r="G3056" s="94"/>
      <c r="I3056" s="94"/>
      <c r="K3056" s="94"/>
      <c r="M3056" s="94"/>
    </row>
    <row r="3057" s="93" customFormat="1" spans="3:13">
      <c r="C3057" s="94"/>
      <c r="E3057" s="94"/>
      <c r="G3057" s="94"/>
      <c r="I3057" s="94"/>
      <c r="K3057" s="94"/>
      <c r="M3057" s="94"/>
    </row>
    <row r="3058" s="93" customFormat="1" spans="3:13">
      <c r="C3058" s="94"/>
      <c r="E3058" s="94"/>
      <c r="G3058" s="94"/>
      <c r="I3058" s="94"/>
      <c r="K3058" s="94"/>
      <c r="M3058" s="94"/>
    </row>
    <row r="3059" s="93" customFormat="1" spans="3:13">
      <c r="C3059" s="94"/>
      <c r="E3059" s="94"/>
      <c r="G3059" s="94"/>
      <c r="I3059" s="94"/>
      <c r="K3059" s="94"/>
      <c r="M3059" s="94"/>
    </row>
    <row r="3060" s="93" customFormat="1" spans="3:13">
      <c r="C3060" s="94"/>
      <c r="E3060" s="94"/>
      <c r="G3060" s="94"/>
      <c r="I3060" s="94"/>
      <c r="K3060" s="94"/>
      <c r="M3060" s="94"/>
    </row>
    <row r="3061" s="93" customFormat="1" spans="3:13">
      <c r="C3061" s="94"/>
      <c r="E3061" s="94"/>
      <c r="G3061" s="94"/>
      <c r="I3061" s="94"/>
      <c r="K3061" s="94"/>
      <c r="M3061" s="94"/>
    </row>
    <row r="3062" s="93" customFormat="1" spans="3:13">
      <c r="C3062" s="94"/>
      <c r="E3062" s="94"/>
      <c r="G3062" s="94"/>
      <c r="I3062" s="94"/>
      <c r="K3062" s="94"/>
      <c r="M3062" s="94"/>
    </row>
    <row r="3063" s="93" customFormat="1" spans="3:13">
      <c r="C3063" s="94"/>
      <c r="E3063" s="94"/>
      <c r="G3063" s="94"/>
      <c r="I3063" s="94"/>
      <c r="K3063" s="94"/>
      <c r="M3063" s="94"/>
    </row>
    <row r="3064" s="93" customFormat="1" spans="3:13">
      <c r="C3064" s="94"/>
      <c r="E3064" s="94"/>
      <c r="G3064" s="94"/>
      <c r="I3064" s="94"/>
      <c r="K3064" s="94"/>
      <c r="M3064" s="94"/>
    </row>
    <row r="3065" s="93" customFormat="1" spans="3:13">
      <c r="C3065" s="94"/>
      <c r="E3065" s="94"/>
      <c r="G3065" s="94"/>
      <c r="I3065" s="94"/>
      <c r="K3065" s="94"/>
      <c r="M3065" s="94"/>
    </row>
    <row r="3066" s="93" customFormat="1" spans="3:13">
      <c r="C3066" s="94"/>
      <c r="E3066" s="94"/>
      <c r="G3066" s="94"/>
      <c r="I3066" s="94"/>
      <c r="K3066" s="94"/>
      <c r="M3066" s="94"/>
    </row>
    <row r="3067" s="93" customFormat="1" spans="3:13">
      <c r="C3067" s="94"/>
      <c r="E3067" s="94"/>
      <c r="G3067" s="94"/>
      <c r="I3067" s="94"/>
      <c r="K3067" s="94"/>
      <c r="M3067" s="94"/>
    </row>
    <row r="3068" s="93" customFormat="1" spans="3:13">
      <c r="C3068" s="94"/>
      <c r="E3068" s="94"/>
      <c r="G3068" s="94"/>
      <c r="I3068" s="94"/>
      <c r="K3068" s="94"/>
      <c r="M3068" s="94"/>
    </row>
    <row r="3069" s="93" customFormat="1" spans="3:13">
      <c r="C3069" s="94"/>
      <c r="E3069" s="94"/>
      <c r="G3069" s="94"/>
      <c r="I3069" s="94"/>
      <c r="K3069" s="94"/>
      <c r="M3069" s="94"/>
    </row>
    <row r="3070" s="93" customFormat="1" spans="3:13">
      <c r="C3070" s="94"/>
      <c r="E3070" s="94"/>
      <c r="G3070" s="94"/>
      <c r="I3070" s="94"/>
      <c r="K3070" s="94"/>
      <c r="M3070" s="94"/>
    </row>
    <row r="3071" s="93" customFormat="1" spans="3:13">
      <c r="C3071" s="94"/>
      <c r="E3071" s="94"/>
      <c r="G3071" s="94"/>
      <c r="I3071" s="94"/>
      <c r="K3071" s="94"/>
      <c r="M3071" s="94"/>
    </row>
    <row r="3072" s="93" customFormat="1" spans="3:13">
      <c r="C3072" s="94"/>
      <c r="E3072" s="94"/>
      <c r="G3072" s="94"/>
      <c r="I3072" s="94"/>
      <c r="K3072" s="94"/>
      <c r="M3072" s="94"/>
    </row>
    <row r="3073" s="93" customFormat="1" spans="3:13">
      <c r="C3073" s="94"/>
      <c r="E3073" s="94"/>
      <c r="G3073" s="94"/>
      <c r="I3073" s="94"/>
      <c r="K3073" s="94"/>
      <c r="M3073" s="94"/>
    </row>
    <row r="3074" s="93" customFormat="1" spans="3:13">
      <c r="C3074" s="94"/>
      <c r="E3074" s="94"/>
      <c r="G3074" s="94"/>
      <c r="I3074" s="94"/>
      <c r="K3074" s="94"/>
      <c r="M3074" s="94"/>
    </row>
    <row r="3075" s="93" customFormat="1" spans="3:13">
      <c r="C3075" s="94"/>
      <c r="E3075" s="94"/>
      <c r="G3075" s="94"/>
      <c r="I3075" s="94"/>
      <c r="K3075" s="94"/>
      <c r="M3075" s="94"/>
    </row>
    <row r="3076" s="93" customFormat="1" spans="3:13">
      <c r="C3076" s="94"/>
      <c r="E3076" s="94"/>
      <c r="G3076" s="94"/>
      <c r="I3076" s="94"/>
      <c r="K3076" s="94"/>
      <c r="M3076" s="94"/>
    </row>
    <row r="3077" s="93" customFormat="1" spans="3:13">
      <c r="C3077" s="94"/>
      <c r="E3077" s="94"/>
      <c r="G3077" s="94"/>
      <c r="I3077" s="94"/>
      <c r="K3077" s="94"/>
      <c r="M3077" s="94"/>
    </row>
    <row r="3078" s="93" customFormat="1" spans="3:13">
      <c r="C3078" s="94"/>
      <c r="E3078" s="94"/>
      <c r="G3078" s="94"/>
      <c r="I3078" s="94"/>
      <c r="K3078" s="94"/>
      <c r="M3078" s="94"/>
    </row>
    <row r="3079" s="93" customFormat="1" spans="3:13">
      <c r="C3079" s="94"/>
      <c r="E3079" s="94"/>
      <c r="G3079" s="94"/>
      <c r="I3079" s="94"/>
      <c r="K3079" s="94"/>
      <c r="M3079" s="94"/>
    </row>
    <row r="3080" s="93" customFormat="1" spans="3:13">
      <c r="C3080" s="94"/>
      <c r="E3080" s="94"/>
      <c r="G3080" s="94"/>
      <c r="I3080" s="94"/>
      <c r="K3080" s="94"/>
      <c r="M3080" s="94"/>
    </row>
    <row r="3081" s="93" customFormat="1" spans="3:13">
      <c r="C3081" s="94"/>
      <c r="E3081" s="94"/>
      <c r="G3081" s="94"/>
      <c r="I3081" s="94"/>
      <c r="K3081" s="94"/>
      <c r="M3081" s="94"/>
    </row>
    <row r="3082" s="93" customFormat="1" spans="3:13">
      <c r="C3082" s="94"/>
      <c r="E3082" s="94"/>
      <c r="G3082" s="94"/>
      <c r="I3082" s="94"/>
      <c r="K3082" s="94"/>
      <c r="M3082" s="94"/>
    </row>
    <row r="3083" s="93" customFormat="1" spans="3:13">
      <c r="C3083" s="94"/>
      <c r="E3083" s="94"/>
      <c r="G3083" s="94"/>
      <c r="I3083" s="94"/>
      <c r="K3083" s="94"/>
      <c r="M3083" s="94"/>
    </row>
    <row r="3084" s="93" customFormat="1" spans="3:13">
      <c r="C3084" s="94"/>
      <c r="E3084" s="94"/>
      <c r="G3084" s="94"/>
      <c r="I3084" s="94"/>
      <c r="K3084" s="94"/>
      <c r="M3084" s="94"/>
    </row>
    <row r="3085" s="93" customFormat="1" spans="3:13">
      <c r="C3085" s="94"/>
      <c r="E3085" s="94"/>
      <c r="G3085" s="94"/>
      <c r="I3085" s="94"/>
      <c r="K3085" s="94"/>
      <c r="M3085" s="94"/>
    </row>
    <row r="3086" s="93" customFormat="1" spans="3:13">
      <c r="C3086" s="94"/>
      <c r="E3086" s="94"/>
      <c r="G3086" s="94"/>
      <c r="I3086" s="94"/>
      <c r="K3086" s="94"/>
      <c r="M3086" s="94"/>
    </row>
    <row r="3087" s="93" customFormat="1" spans="3:13">
      <c r="C3087" s="94"/>
      <c r="E3087" s="94"/>
      <c r="G3087" s="94"/>
      <c r="I3087" s="94"/>
      <c r="K3087" s="94"/>
      <c r="M3087" s="94"/>
    </row>
    <row r="3088" s="93" customFormat="1" spans="3:13">
      <c r="C3088" s="94"/>
      <c r="E3088" s="94"/>
      <c r="G3088" s="94"/>
      <c r="I3088" s="94"/>
      <c r="K3088" s="94"/>
      <c r="M3088" s="94"/>
    </row>
    <row r="3089" s="93" customFormat="1" spans="3:13">
      <c r="C3089" s="94"/>
      <c r="E3089" s="94"/>
      <c r="G3089" s="94"/>
      <c r="I3089" s="94"/>
      <c r="K3089" s="94"/>
      <c r="M3089" s="94"/>
    </row>
    <row r="3090" s="93" customFormat="1" spans="3:13">
      <c r="C3090" s="94"/>
      <c r="E3090" s="94"/>
      <c r="G3090" s="94"/>
      <c r="I3090" s="94"/>
      <c r="K3090" s="94"/>
      <c r="M3090" s="94"/>
    </row>
    <row r="3091" s="93" customFormat="1" spans="3:13">
      <c r="C3091" s="94"/>
      <c r="E3091" s="94"/>
      <c r="G3091" s="94"/>
      <c r="I3091" s="94"/>
      <c r="K3091" s="94"/>
      <c r="M3091" s="94"/>
    </row>
    <row r="3092" s="93" customFormat="1" spans="3:13">
      <c r="C3092" s="94"/>
      <c r="E3092" s="94"/>
      <c r="G3092" s="94"/>
      <c r="I3092" s="94"/>
      <c r="K3092" s="94"/>
      <c r="M3092" s="94"/>
    </row>
    <row r="3093" s="93" customFormat="1" spans="3:13">
      <c r="C3093" s="94"/>
      <c r="E3093" s="94"/>
      <c r="G3093" s="94"/>
      <c r="I3093" s="94"/>
      <c r="K3093" s="94"/>
      <c r="M3093" s="94"/>
    </row>
    <row r="3094" s="93" customFormat="1" spans="3:13">
      <c r="C3094" s="94"/>
      <c r="E3094" s="94"/>
      <c r="G3094" s="94"/>
      <c r="I3094" s="94"/>
      <c r="K3094" s="94"/>
      <c r="M3094" s="94"/>
    </row>
    <row r="3095" s="93" customFormat="1" spans="3:13">
      <c r="C3095" s="94"/>
      <c r="E3095" s="94"/>
      <c r="G3095" s="94"/>
      <c r="I3095" s="94"/>
      <c r="K3095" s="94"/>
      <c r="M3095" s="94"/>
    </row>
    <row r="3096" s="93" customFormat="1" spans="3:13">
      <c r="C3096" s="94"/>
      <c r="E3096" s="94"/>
      <c r="G3096" s="94"/>
      <c r="I3096" s="94"/>
      <c r="K3096" s="94"/>
      <c r="M3096" s="94"/>
    </row>
    <row r="3097" s="93" customFormat="1" spans="3:13">
      <c r="C3097" s="94"/>
      <c r="E3097" s="94"/>
      <c r="G3097" s="94"/>
      <c r="I3097" s="94"/>
      <c r="K3097" s="94"/>
      <c r="M3097" s="94"/>
    </row>
    <row r="3098" s="93" customFormat="1" spans="3:13">
      <c r="C3098" s="94"/>
      <c r="E3098" s="94"/>
      <c r="G3098" s="94"/>
      <c r="I3098" s="94"/>
      <c r="K3098" s="94"/>
      <c r="M3098" s="94"/>
    </row>
    <row r="3099" s="93" customFormat="1" spans="3:13">
      <c r="C3099" s="94"/>
      <c r="E3099" s="94"/>
      <c r="G3099" s="94"/>
      <c r="I3099" s="94"/>
      <c r="K3099" s="94"/>
      <c r="M3099" s="94"/>
    </row>
    <row r="3100" s="93" customFormat="1" spans="3:13">
      <c r="C3100" s="94"/>
      <c r="E3100" s="94"/>
      <c r="G3100" s="94"/>
      <c r="I3100" s="94"/>
      <c r="K3100" s="94"/>
      <c r="M3100" s="94"/>
    </row>
    <row r="3101" s="93" customFormat="1" spans="3:13">
      <c r="C3101" s="94"/>
      <c r="E3101" s="94"/>
      <c r="G3101" s="94"/>
      <c r="I3101" s="94"/>
      <c r="K3101" s="94"/>
      <c r="M3101" s="94"/>
    </row>
    <row r="3102" s="93" customFormat="1" spans="3:13">
      <c r="C3102" s="94"/>
      <c r="E3102" s="94"/>
      <c r="G3102" s="94"/>
      <c r="I3102" s="94"/>
      <c r="K3102" s="94"/>
      <c r="M3102" s="94"/>
    </row>
    <row r="3103" s="93" customFormat="1" spans="3:13">
      <c r="C3103" s="94"/>
      <c r="E3103" s="94"/>
      <c r="G3103" s="94"/>
      <c r="I3103" s="94"/>
      <c r="K3103" s="94"/>
      <c r="M3103" s="94"/>
    </row>
    <row r="3104" s="93" customFormat="1" spans="3:13">
      <c r="C3104" s="94"/>
      <c r="E3104" s="94"/>
      <c r="G3104" s="94"/>
      <c r="I3104" s="94"/>
      <c r="K3104" s="94"/>
      <c r="M3104" s="94"/>
    </row>
    <row r="3105" s="93" customFormat="1" spans="3:13">
      <c r="C3105" s="94"/>
      <c r="E3105" s="94"/>
      <c r="G3105" s="94"/>
      <c r="I3105" s="94"/>
      <c r="K3105" s="94"/>
      <c r="M3105" s="94"/>
    </row>
    <row r="3106" s="93" customFormat="1" spans="3:13">
      <c r="C3106" s="94"/>
      <c r="E3106" s="94"/>
      <c r="G3106" s="94"/>
      <c r="I3106" s="94"/>
      <c r="K3106" s="94"/>
      <c r="M3106" s="94"/>
    </row>
    <row r="3107" s="93" customFormat="1" spans="3:13">
      <c r="C3107" s="94"/>
      <c r="E3107" s="94"/>
      <c r="G3107" s="94"/>
      <c r="I3107" s="94"/>
      <c r="K3107" s="94"/>
      <c r="M3107" s="94"/>
    </row>
    <row r="3108" s="93" customFormat="1" spans="3:13">
      <c r="C3108" s="94"/>
      <c r="E3108" s="94"/>
      <c r="G3108" s="94"/>
      <c r="I3108" s="94"/>
      <c r="K3108" s="94"/>
      <c r="M3108" s="94"/>
    </row>
    <row r="3109" s="93" customFormat="1" spans="3:13">
      <c r="C3109" s="94"/>
      <c r="E3109" s="94"/>
      <c r="G3109" s="94"/>
      <c r="I3109" s="94"/>
      <c r="K3109" s="94"/>
      <c r="M3109" s="94"/>
    </row>
    <row r="3110" s="93" customFormat="1" spans="3:13">
      <c r="C3110" s="94"/>
      <c r="E3110" s="94"/>
      <c r="G3110" s="94"/>
      <c r="I3110" s="94"/>
      <c r="K3110" s="94"/>
      <c r="M3110" s="94"/>
    </row>
    <row r="3111" s="93" customFormat="1" spans="3:13">
      <c r="C3111" s="94"/>
      <c r="E3111" s="94"/>
      <c r="G3111" s="94"/>
      <c r="I3111" s="94"/>
      <c r="K3111" s="94"/>
      <c r="M3111" s="94"/>
    </row>
    <row r="3112" s="93" customFormat="1" spans="3:13">
      <c r="C3112" s="94"/>
      <c r="E3112" s="94"/>
      <c r="G3112" s="94"/>
      <c r="I3112" s="94"/>
      <c r="K3112" s="94"/>
      <c r="M3112" s="94"/>
    </row>
    <row r="3113" s="93" customFormat="1" spans="3:13">
      <c r="C3113" s="94"/>
      <c r="E3113" s="94"/>
      <c r="G3113" s="94"/>
      <c r="I3113" s="94"/>
      <c r="K3113" s="94"/>
      <c r="M3113" s="94"/>
    </row>
    <row r="3114" s="93" customFormat="1" spans="3:13">
      <c r="C3114" s="94"/>
      <c r="E3114" s="94"/>
      <c r="G3114" s="94"/>
      <c r="I3114" s="94"/>
      <c r="K3114" s="94"/>
      <c r="M3114" s="94"/>
    </row>
    <row r="3115" s="93" customFormat="1" spans="3:13">
      <c r="C3115" s="94"/>
      <c r="E3115" s="94"/>
      <c r="G3115" s="94"/>
      <c r="I3115" s="94"/>
      <c r="K3115" s="94"/>
      <c r="M3115" s="94"/>
    </row>
    <row r="3116" s="93" customFormat="1" spans="3:13">
      <c r="C3116" s="94"/>
      <c r="E3116" s="94"/>
      <c r="G3116" s="94"/>
      <c r="I3116" s="94"/>
      <c r="K3116" s="94"/>
      <c r="M3116" s="94"/>
    </row>
    <row r="3117" s="93" customFormat="1" spans="3:13">
      <c r="C3117" s="94"/>
      <c r="E3117" s="94"/>
      <c r="G3117" s="94"/>
      <c r="I3117" s="94"/>
      <c r="K3117" s="94"/>
      <c r="M3117" s="94"/>
    </row>
    <row r="3118" s="93" customFormat="1" spans="3:13">
      <c r="C3118" s="94"/>
      <c r="E3118" s="94"/>
      <c r="G3118" s="94"/>
      <c r="I3118" s="94"/>
      <c r="K3118" s="94"/>
      <c r="M3118" s="94"/>
    </row>
    <row r="3119" s="93" customFormat="1" spans="3:13">
      <c r="C3119" s="94"/>
      <c r="E3119" s="94"/>
      <c r="G3119" s="94"/>
      <c r="I3119" s="94"/>
      <c r="K3119" s="94"/>
      <c r="M3119" s="94"/>
    </row>
    <row r="3120" s="93" customFormat="1" spans="3:13">
      <c r="C3120" s="94"/>
      <c r="E3120" s="94"/>
      <c r="G3120" s="94"/>
      <c r="I3120" s="94"/>
      <c r="K3120" s="94"/>
      <c r="M3120" s="94"/>
    </row>
    <row r="3121" s="93" customFormat="1" spans="3:13">
      <c r="C3121" s="94"/>
      <c r="E3121" s="94"/>
      <c r="G3121" s="94"/>
      <c r="I3121" s="94"/>
      <c r="K3121" s="94"/>
      <c r="M3121" s="94"/>
    </row>
    <row r="3122" s="93" customFormat="1" spans="3:13">
      <c r="C3122" s="94"/>
      <c r="E3122" s="94"/>
      <c r="G3122" s="94"/>
      <c r="I3122" s="94"/>
      <c r="K3122" s="94"/>
      <c r="M3122" s="94"/>
    </row>
    <row r="3123" s="93" customFormat="1" spans="3:13">
      <c r="C3123" s="94"/>
      <c r="E3123" s="94"/>
      <c r="G3123" s="94"/>
      <c r="I3123" s="94"/>
      <c r="K3123" s="94"/>
      <c r="M3123" s="94"/>
    </row>
    <row r="3124" s="93" customFormat="1" spans="3:13">
      <c r="C3124" s="94"/>
      <c r="E3124" s="94"/>
      <c r="G3124" s="94"/>
      <c r="I3124" s="94"/>
      <c r="K3124" s="94"/>
      <c r="M3124" s="94"/>
    </row>
    <row r="3125" s="93" customFormat="1" spans="3:13">
      <c r="C3125" s="94"/>
      <c r="E3125" s="94"/>
      <c r="G3125" s="94"/>
      <c r="I3125" s="94"/>
      <c r="K3125" s="94"/>
      <c r="M3125" s="94"/>
    </row>
    <row r="3126" s="93" customFormat="1" spans="3:13">
      <c r="C3126" s="94"/>
      <c r="E3126" s="94"/>
      <c r="G3126" s="94"/>
      <c r="I3126" s="94"/>
      <c r="K3126" s="94"/>
      <c r="M3126" s="94"/>
    </row>
    <row r="3127" s="93" customFormat="1" spans="3:13">
      <c r="C3127" s="94"/>
      <c r="E3127" s="94"/>
      <c r="G3127" s="94"/>
      <c r="I3127" s="94"/>
      <c r="K3127" s="94"/>
      <c r="M3127" s="94"/>
    </row>
    <row r="3128" s="93" customFormat="1" spans="3:13">
      <c r="C3128" s="94"/>
      <c r="E3128" s="94"/>
      <c r="G3128" s="94"/>
      <c r="I3128" s="94"/>
      <c r="K3128" s="94"/>
      <c r="M3128" s="94"/>
    </row>
    <row r="3129" s="93" customFormat="1" spans="3:13">
      <c r="C3129" s="94"/>
      <c r="E3129" s="94"/>
      <c r="G3129" s="94"/>
      <c r="I3129" s="94"/>
      <c r="K3129" s="94"/>
      <c r="M3129" s="94"/>
    </row>
    <row r="3130" s="93" customFormat="1" spans="3:13">
      <c r="C3130" s="94"/>
      <c r="E3130" s="94"/>
      <c r="G3130" s="94"/>
      <c r="I3130" s="94"/>
      <c r="K3130" s="94"/>
      <c r="M3130" s="94"/>
    </row>
    <row r="3131" s="93" customFormat="1" spans="3:13">
      <c r="C3131" s="94"/>
      <c r="E3131" s="94"/>
      <c r="G3131" s="94"/>
      <c r="I3131" s="94"/>
      <c r="K3131" s="94"/>
      <c r="M3131" s="94"/>
    </row>
    <row r="3132" s="93" customFormat="1" spans="3:13">
      <c r="C3132" s="94"/>
      <c r="E3132" s="94"/>
      <c r="G3132" s="94"/>
      <c r="I3132" s="94"/>
      <c r="K3132" s="94"/>
      <c r="M3132" s="94"/>
    </row>
    <row r="3133" s="93" customFormat="1" spans="3:13">
      <c r="C3133" s="94"/>
      <c r="E3133" s="94"/>
      <c r="G3133" s="94"/>
      <c r="I3133" s="94"/>
      <c r="K3133" s="94"/>
      <c r="M3133" s="94"/>
    </row>
    <row r="3134" s="93" customFormat="1" spans="3:13">
      <c r="C3134" s="94"/>
      <c r="E3134" s="94"/>
      <c r="G3134" s="94"/>
      <c r="I3134" s="94"/>
      <c r="K3134" s="94"/>
      <c r="M3134" s="94"/>
    </row>
    <row r="3135" s="93" customFormat="1" spans="3:13">
      <c r="C3135" s="94"/>
      <c r="E3135" s="94"/>
      <c r="G3135" s="94"/>
      <c r="I3135" s="94"/>
      <c r="K3135" s="94"/>
      <c r="M3135" s="94"/>
    </row>
    <row r="3136" s="93" customFormat="1" spans="3:13">
      <c r="C3136" s="94"/>
      <c r="E3136" s="94"/>
      <c r="G3136" s="94"/>
      <c r="I3136" s="94"/>
      <c r="K3136" s="94"/>
      <c r="M3136" s="94"/>
    </row>
    <row r="3137" s="93" customFormat="1" spans="3:13">
      <c r="C3137" s="94"/>
      <c r="E3137" s="94"/>
      <c r="G3137" s="94"/>
      <c r="I3137" s="94"/>
      <c r="K3137" s="94"/>
      <c r="M3137" s="94"/>
    </row>
    <row r="3138" s="93" customFormat="1" spans="3:13">
      <c r="C3138" s="94"/>
      <c r="E3138" s="94"/>
      <c r="G3138" s="94"/>
      <c r="I3138" s="94"/>
      <c r="K3138" s="94"/>
      <c r="M3138" s="94"/>
    </row>
    <row r="3139" s="93" customFormat="1" spans="3:13">
      <c r="C3139" s="94"/>
      <c r="E3139" s="94"/>
      <c r="G3139" s="94"/>
      <c r="I3139" s="94"/>
      <c r="K3139" s="94"/>
      <c r="M3139" s="94"/>
    </row>
    <row r="3140" s="93" customFormat="1" spans="3:13">
      <c r="C3140" s="94"/>
      <c r="E3140" s="94"/>
      <c r="G3140" s="94"/>
      <c r="I3140" s="94"/>
      <c r="K3140" s="94"/>
      <c r="M3140" s="94"/>
    </row>
    <row r="3141" s="93" customFormat="1" spans="3:13">
      <c r="C3141" s="94"/>
      <c r="E3141" s="94"/>
      <c r="G3141" s="94"/>
      <c r="I3141" s="94"/>
      <c r="K3141" s="94"/>
      <c r="M3141" s="94"/>
    </row>
    <row r="3142" s="93" customFormat="1" spans="3:13">
      <c r="C3142" s="94"/>
      <c r="E3142" s="94"/>
      <c r="G3142" s="94"/>
      <c r="I3142" s="94"/>
      <c r="K3142" s="94"/>
      <c r="M3142" s="94"/>
    </row>
    <row r="3143" s="93" customFormat="1" spans="3:13">
      <c r="C3143" s="94"/>
      <c r="E3143" s="94"/>
      <c r="G3143" s="94"/>
      <c r="I3143" s="94"/>
      <c r="K3143" s="94"/>
      <c r="M3143" s="94"/>
    </row>
    <row r="3144" s="93" customFormat="1" spans="3:13">
      <c r="C3144" s="94"/>
      <c r="E3144" s="94"/>
      <c r="G3144" s="94"/>
      <c r="I3144" s="94"/>
      <c r="K3144" s="94"/>
      <c r="M3144" s="94"/>
    </row>
    <row r="3145" s="93" customFormat="1" spans="3:13">
      <c r="C3145" s="94"/>
      <c r="E3145" s="94"/>
      <c r="G3145" s="94"/>
      <c r="I3145" s="94"/>
      <c r="K3145" s="94"/>
      <c r="M3145" s="94"/>
    </row>
    <row r="3146" s="93" customFormat="1" spans="3:13">
      <c r="C3146" s="94"/>
      <c r="E3146" s="94"/>
      <c r="G3146" s="94"/>
      <c r="I3146" s="94"/>
      <c r="K3146" s="94"/>
      <c r="M3146" s="94"/>
    </row>
    <row r="3147" s="93" customFormat="1" spans="3:13">
      <c r="C3147" s="94"/>
      <c r="E3147" s="94"/>
      <c r="G3147" s="94"/>
      <c r="I3147" s="94"/>
      <c r="K3147" s="94"/>
      <c r="M3147" s="94"/>
    </row>
    <row r="3148" s="93" customFormat="1" spans="3:13">
      <c r="C3148" s="94"/>
      <c r="E3148" s="94"/>
      <c r="G3148" s="94"/>
      <c r="I3148" s="94"/>
      <c r="K3148" s="94"/>
      <c r="M3148" s="94"/>
    </row>
    <row r="3149" s="93" customFormat="1" spans="3:13">
      <c r="C3149" s="94"/>
      <c r="E3149" s="94"/>
      <c r="G3149" s="94"/>
      <c r="I3149" s="94"/>
      <c r="K3149" s="94"/>
      <c r="M3149" s="94"/>
    </row>
    <row r="3150" s="93" customFormat="1" spans="3:13">
      <c r="C3150" s="94"/>
      <c r="E3150" s="94"/>
      <c r="G3150" s="94"/>
      <c r="I3150" s="94"/>
      <c r="K3150" s="94"/>
      <c r="M3150" s="94"/>
    </row>
    <row r="3151" s="93" customFormat="1" spans="3:13">
      <c r="C3151" s="94"/>
      <c r="E3151" s="94"/>
      <c r="G3151" s="94"/>
      <c r="I3151" s="94"/>
      <c r="K3151" s="94"/>
      <c r="M3151" s="94"/>
    </row>
    <row r="3152" s="93" customFormat="1" spans="3:13">
      <c r="C3152" s="94"/>
      <c r="E3152" s="94"/>
      <c r="G3152" s="94"/>
      <c r="I3152" s="94"/>
      <c r="K3152" s="94"/>
      <c r="M3152" s="94"/>
    </row>
    <row r="3153" s="93" customFormat="1" spans="3:13">
      <c r="C3153" s="94"/>
      <c r="E3153" s="94"/>
      <c r="G3153" s="94"/>
      <c r="I3153" s="94"/>
      <c r="K3153" s="94"/>
      <c r="M3153" s="94"/>
    </row>
    <row r="3154" s="93" customFormat="1" spans="3:13">
      <c r="C3154" s="94"/>
      <c r="E3154" s="94"/>
      <c r="G3154" s="94"/>
      <c r="I3154" s="94"/>
      <c r="K3154" s="94"/>
      <c r="M3154" s="94"/>
    </row>
    <row r="3155" s="93" customFormat="1" spans="3:13">
      <c r="C3155" s="94"/>
      <c r="E3155" s="94"/>
      <c r="G3155" s="94"/>
      <c r="I3155" s="94"/>
      <c r="K3155" s="94"/>
      <c r="M3155" s="94"/>
    </row>
    <row r="3156" s="93" customFormat="1" spans="3:13">
      <c r="C3156" s="94"/>
      <c r="E3156" s="94"/>
      <c r="G3156" s="94"/>
      <c r="I3156" s="94"/>
      <c r="K3156" s="94"/>
      <c r="M3156" s="94"/>
    </row>
    <row r="3157" s="93" customFormat="1" spans="3:13">
      <c r="C3157" s="94"/>
      <c r="E3157" s="94"/>
      <c r="G3157" s="94"/>
      <c r="I3157" s="94"/>
      <c r="K3157" s="94"/>
      <c r="M3157" s="94"/>
    </row>
    <row r="3158" s="93" customFormat="1" spans="3:13">
      <c r="C3158" s="94"/>
      <c r="E3158" s="94"/>
      <c r="G3158" s="94"/>
      <c r="I3158" s="94"/>
      <c r="K3158" s="94"/>
      <c r="M3158" s="94"/>
    </row>
    <row r="3159" s="93" customFormat="1" spans="3:13">
      <c r="C3159" s="94"/>
      <c r="E3159" s="94"/>
      <c r="G3159" s="94"/>
      <c r="I3159" s="94"/>
      <c r="K3159" s="94"/>
      <c r="M3159" s="94"/>
    </row>
    <row r="3160" s="93" customFormat="1" spans="3:13">
      <c r="C3160" s="94"/>
      <c r="E3160" s="94"/>
      <c r="G3160" s="94"/>
      <c r="I3160" s="94"/>
      <c r="K3160" s="94"/>
      <c r="M3160" s="94"/>
    </row>
    <row r="3161" s="93" customFormat="1" spans="3:13">
      <c r="C3161" s="94"/>
      <c r="E3161" s="94"/>
      <c r="G3161" s="94"/>
      <c r="I3161" s="94"/>
      <c r="K3161" s="94"/>
      <c r="M3161" s="94"/>
    </row>
    <row r="3162" s="93" customFormat="1" spans="3:13">
      <c r="C3162" s="94"/>
      <c r="E3162" s="94"/>
      <c r="G3162" s="94"/>
      <c r="I3162" s="94"/>
      <c r="K3162" s="94"/>
      <c r="M3162" s="94"/>
    </row>
    <row r="3163" s="93" customFormat="1" spans="3:13">
      <c r="C3163" s="94"/>
      <c r="E3163" s="94"/>
      <c r="G3163" s="94"/>
      <c r="I3163" s="94"/>
      <c r="K3163" s="94"/>
      <c r="M3163" s="94"/>
    </row>
    <row r="3164" s="93" customFormat="1" spans="3:13">
      <c r="C3164" s="94"/>
      <c r="E3164" s="94"/>
      <c r="G3164" s="94"/>
      <c r="I3164" s="94"/>
      <c r="K3164" s="94"/>
      <c r="M3164" s="94"/>
    </row>
    <row r="3165" s="93" customFormat="1" spans="3:13">
      <c r="C3165" s="94"/>
      <c r="E3165" s="94"/>
      <c r="G3165" s="94"/>
      <c r="I3165" s="94"/>
      <c r="K3165" s="94"/>
      <c r="M3165" s="94"/>
    </row>
    <row r="3166" s="93" customFormat="1" spans="3:13">
      <c r="C3166" s="94"/>
      <c r="E3166" s="94"/>
      <c r="G3166" s="94"/>
      <c r="I3166" s="94"/>
      <c r="K3166" s="94"/>
      <c r="M3166" s="94"/>
    </row>
    <row r="3167" s="93" customFormat="1" spans="3:13">
      <c r="C3167" s="94"/>
      <c r="E3167" s="94"/>
      <c r="G3167" s="94"/>
      <c r="I3167" s="94"/>
      <c r="K3167" s="94"/>
      <c r="M3167" s="94"/>
    </row>
    <row r="3168" s="93" customFormat="1" spans="3:13">
      <c r="C3168" s="94"/>
      <c r="E3168" s="94"/>
      <c r="G3168" s="94"/>
      <c r="I3168" s="94"/>
      <c r="K3168" s="94"/>
      <c r="M3168" s="94"/>
    </row>
    <row r="3169" s="93" customFormat="1" spans="3:13">
      <c r="C3169" s="94"/>
      <c r="E3169" s="94"/>
      <c r="G3169" s="94"/>
      <c r="I3169" s="94"/>
      <c r="K3169" s="94"/>
      <c r="M3169" s="94"/>
    </row>
    <row r="3170" s="93" customFormat="1" spans="3:13">
      <c r="C3170" s="94"/>
      <c r="E3170" s="94"/>
      <c r="G3170" s="94"/>
      <c r="I3170" s="94"/>
      <c r="K3170" s="94"/>
      <c r="M3170" s="94"/>
    </row>
    <row r="3171" s="93" customFormat="1" spans="3:13">
      <c r="C3171" s="94"/>
      <c r="E3171" s="94"/>
      <c r="G3171" s="94"/>
      <c r="I3171" s="94"/>
      <c r="K3171" s="94"/>
      <c r="M3171" s="94"/>
    </row>
    <row r="3172" s="93" customFormat="1" spans="3:13">
      <c r="C3172" s="94"/>
      <c r="E3172" s="94"/>
      <c r="G3172" s="94"/>
      <c r="I3172" s="94"/>
      <c r="K3172" s="94"/>
      <c r="M3172" s="94"/>
    </row>
    <row r="3173" s="93" customFormat="1" spans="3:13">
      <c r="C3173" s="94"/>
      <c r="E3173" s="94"/>
      <c r="G3173" s="94"/>
      <c r="I3173" s="94"/>
      <c r="K3173" s="94"/>
      <c r="M3173" s="94"/>
    </row>
    <row r="3174" s="93" customFormat="1" spans="3:13">
      <c r="C3174" s="94"/>
      <c r="E3174" s="94"/>
      <c r="G3174" s="94"/>
      <c r="I3174" s="94"/>
      <c r="K3174" s="94"/>
      <c r="M3174" s="94"/>
    </row>
    <row r="3175" s="93" customFormat="1" spans="3:13">
      <c r="C3175" s="94"/>
      <c r="E3175" s="94"/>
      <c r="G3175" s="94"/>
      <c r="I3175" s="94"/>
      <c r="K3175" s="94"/>
      <c r="M3175" s="94"/>
    </row>
    <row r="3176" s="93" customFormat="1" spans="3:13">
      <c r="C3176" s="94"/>
      <c r="E3176" s="94"/>
      <c r="G3176" s="94"/>
      <c r="I3176" s="94"/>
      <c r="K3176" s="94"/>
      <c r="M3176" s="94"/>
    </row>
    <row r="3177" s="93" customFormat="1" spans="3:13">
      <c r="C3177" s="94"/>
      <c r="E3177" s="94"/>
      <c r="G3177" s="94"/>
      <c r="I3177" s="94"/>
      <c r="K3177" s="94"/>
      <c r="M3177" s="94"/>
    </row>
    <row r="3178" s="93" customFormat="1" spans="3:13">
      <c r="C3178" s="94"/>
      <c r="E3178" s="94"/>
      <c r="G3178" s="94"/>
      <c r="I3178" s="94"/>
      <c r="K3178" s="94"/>
      <c r="M3178" s="94"/>
    </row>
    <row r="3179" s="93" customFormat="1" spans="3:13">
      <c r="C3179" s="94"/>
      <c r="E3179" s="94"/>
      <c r="G3179" s="94"/>
      <c r="I3179" s="94"/>
      <c r="K3179" s="94"/>
      <c r="M3179" s="94"/>
    </row>
    <row r="3180" s="93" customFormat="1" spans="3:13">
      <c r="C3180" s="94"/>
      <c r="E3180" s="94"/>
      <c r="G3180" s="94"/>
      <c r="I3180" s="94"/>
      <c r="K3180" s="94"/>
      <c r="M3180" s="94"/>
    </row>
    <row r="3181" s="93" customFormat="1" spans="3:13">
      <c r="C3181" s="94"/>
      <c r="E3181" s="94"/>
      <c r="G3181" s="94"/>
      <c r="I3181" s="94"/>
      <c r="K3181" s="94"/>
      <c r="M3181" s="94"/>
    </row>
    <row r="3182" s="93" customFormat="1" spans="3:13">
      <c r="C3182" s="94"/>
      <c r="E3182" s="94"/>
      <c r="G3182" s="94"/>
      <c r="I3182" s="94"/>
      <c r="K3182" s="94"/>
      <c r="M3182" s="94"/>
    </row>
    <row r="3183" s="93" customFormat="1" spans="3:13">
      <c r="C3183" s="94"/>
      <c r="E3183" s="94"/>
      <c r="G3183" s="94"/>
      <c r="I3183" s="94"/>
      <c r="K3183" s="94"/>
      <c r="M3183" s="94"/>
    </row>
    <row r="3184" s="93" customFormat="1" spans="3:13">
      <c r="C3184" s="94"/>
      <c r="E3184" s="94"/>
      <c r="G3184" s="94"/>
      <c r="I3184" s="94"/>
      <c r="K3184" s="94"/>
      <c r="M3184" s="94"/>
    </row>
    <row r="3185" s="93" customFormat="1" spans="3:13">
      <c r="C3185" s="94"/>
      <c r="E3185" s="94"/>
      <c r="G3185" s="94"/>
      <c r="I3185" s="94"/>
      <c r="K3185" s="94"/>
      <c r="M3185" s="94"/>
    </row>
    <row r="3186" s="93" customFormat="1" spans="3:13">
      <c r="C3186" s="94"/>
      <c r="E3186" s="94"/>
      <c r="G3186" s="94"/>
      <c r="I3186" s="94"/>
      <c r="K3186" s="94"/>
      <c r="M3186" s="94"/>
    </row>
    <row r="3187" s="93" customFormat="1" spans="3:13">
      <c r="C3187" s="94"/>
      <c r="E3187" s="94"/>
      <c r="G3187" s="94"/>
      <c r="I3187" s="94"/>
      <c r="K3187" s="94"/>
      <c r="M3187" s="94"/>
    </row>
    <row r="3188" s="93" customFormat="1" spans="3:13">
      <c r="C3188" s="94"/>
      <c r="E3188" s="94"/>
      <c r="G3188" s="94"/>
      <c r="I3188" s="94"/>
      <c r="K3188" s="94"/>
      <c r="M3188" s="94"/>
    </row>
    <row r="3189" s="93" customFormat="1" spans="3:13">
      <c r="C3189" s="94"/>
      <c r="E3189" s="94"/>
      <c r="G3189" s="94"/>
      <c r="I3189" s="94"/>
      <c r="K3189" s="94"/>
      <c r="M3189" s="94"/>
    </row>
    <row r="3190" s="93" customFormat="1" spans="3:13">
      <c r="C3190" s="94"/>
      <c r="E3190" s="94"/>
      <c r="G3190" s="94"/>
      <c r="I3190" s="94"/>
      <c r="K3190" s="94"/>
      <c r="M3190" s="94"/>
    </row>
    <row r="3191" s="93" customFormat="1" spans="3:13">
      <c r="C3191" s="94"/>
      <c r="E3191" s="94"/>
      <c r="G3191" s="94"/>
      <c r="I3191" s="94"/>
      <c r="K3191" s="94"/>
      <c r="M3191" s="94"/>
    </row>
    <row r="3192" s="93" customFormat="1" spans="3:13">
      <c r="C3192" s="94"/>
      <c r="E3192" s="94"/>
      <c r="G3192" s="94"/>
      <c r="I3192" s="94"/>
      <c r="K3192" s="94"/>
      <c r="M3192" s="94"/>
    </row>
    <row r="3193" s="93" customFormat="1" spans="3:13">
      <c r="C3193" s="94"/>
      <c r="E3193" s="94"/>
      <c r="G3193" s="94"/>
      <c r="I3193" s="94"/>
      <c r="K3193" s="94"/>
      <c r="M3193" s="94"/>
    </row>
    <row r="3194" s="93" customFormat="1" spans="3:13">
      <c r="C3194" s="94"/>
      <c r="E3194" s="94"/>
      <c r="G3194" s="94"/>
      <c r="I3194" s="94"/>
      <c r="K3194" s="94"/>
      <c r="M3194" s="94"/>
    </row>
    <row r="3195" s="93" customFormat="1" spans="3:13">
      <c r="C3195" s="94"/>
      <c r="E3195" s="94"/>
      <c r="G3195" s="94"/>
      <c r="I3195" s="94"/>
      <c r="K3195" s="94"/>
      <c r="M3195" s="94"/>
    </row>
    <row r="3196" s="93" customFormat="1" spans="3:13">
      <c r="C3196" s="94"/>
      <c r="E3196" s="94"/>
      <c r="G3196" s="94"/>
      <c r="I3196" s="94"/>
      <c r="K3196" s="94"/>
      <c r="M3196" s="94"/>
    </row>
    <row r="3197" s="93" customFormat="1" spans="3:13">
      <c r="C3197" s="94"/>
      <c r="E3197" s="94"/>
      <c r="G3197" s="94"/>
      <c r="I3197" s="94"/>
      <c r="K3197" s="94"/>
      <c r="M3197" s="94"/>
    </row>
    <row r="3198" s="93" customFormat="1" spans="3:13">
      <c r="C3198" s="94"/>
      <c r="E3198" s="94"/>
      <c r="G3198" s="94"/>
      <c r="I3198" s="94"/>
      <c r="K3198" s="94"/>
      <c r="M3198" s="94"/>
    </row>
    <row r="3199" s="93" customFormat="1" spans="3:13">
      <c r="C3199" s="94"/>
      <c r="E3199" s="94"/>
      <c r="G3199" s="94"/>
      <c r="I3199" s="94"/>
      <c r="K3199" s="94"/>
      <c r="M3199" s="94"/>
    </row>
    <row r="3200" s="93" customFormat="1" spans="3:13">
      <c r="C3200" s="94"/>
      <c r="E3200" s="94"/>
      <c r="G3200" s="94"/>
      <c r="I3200" s="94"/>
      <c r="K3200" s="94"/>
      <c r="M3200" s="94"/>
    </row>
    <row r="3201" s="93" customFormat="1" spans="3:13">
      <c r="C3201" s="94"/>
      <c r="E3201" s="94"/>
      <c r="G3201" s="94"/>
      <c r="I3201" s="94"/>
      <c r="K3201" s="94"/>
      <c r="M3201" s="94"/>
    </row>
    <row r="3202" s="93" customFormat="1" spans="3:13">
      <c r="C3202" s="94"/>
      <c r="E3202" s="94"/>
      <c r="G3202" s="94"/>
      <c r="I3202" s="94"/>
      <c r="K3202" s="94"/>
      <c r="M3202" s="94"/>
    </row>
    <row r="3203" s="93" customFormat="1" spans="3:13">
      <c r="C3203" s="94"/>
      <c r="E3203" s="94"/>
      <c r="G3203" s="94"/>
      <c r="I3203" s="94"/>
      <c r="K3203" s="94"/>
      <c r="M3203" s="94"/>
    </row>
    <row r="3204" s="93" customFormat="1" spans="3:13">
      <c r="C3204" s="94"/>
      <c r="E3204" s="94"/>
      <c r="G3204" s="94"/>
      <c r="I3204" s="94"/>
      <c r="K3204" s="94"/>
      <c r="M3204" s="94"/>
    </row>
    <row r="3205" s="93" customFormat="1" spans="3:13">
      <c r="C3205" s="94"/>
      <c r="E3205" s="94"/>
      <c r="G3205" s="94"/>
      <c r="I3205" s="94"/>
      <c r="K3205" s="94"/>
      <c r="M3205" s="94"/>
    </row>
    <row r="3206" s="93" customFormat="1" spans="3:13">
      <c r="C3206" s="94"/>
      <c r="E3206" s="94"/>
      <c r="G3206" s="94"/>
      <c r="I3206" s="94"/>
      <c r="K3206" s="94"/>
      <c r="M3206" s="94"/>
    </row>
    <row r="3207" s="93" customFormat="1" spans="3:13">
      <c r="C3207" s="94"/>
      <c r="E3207" s="94"/>
      <c r="G3207" s="94"/>
      <c r="I3207" s="94"/>
      <c r="K3207" s="94"/>
      <c r="M3207" s="94"/>
    </row>
    <row r="3208" s="93" customFormat="1" spans="3:13">
      <c r="C3208" s="94"/>
      <c r="E3208" s="94"/>
      <c r="G3208" s="94"/>
      <c r="I3208" s="94"/>
      <c r="K3208" s="94"/>
      <c r="M3208" s="94"/>
    </row>
    <row r="3209" s="93" customFormat="1" spans="3:13">
      <c r="C3209" s="94"/>
      <c r="E3209" s="94"/>
      <c r="G3209" s="94"/>
      <c r="I3209" s="94"/>
      <c r="K3209" s="94"/>
      <c r="M3209" s="94"/>
    </row>
    <row r="3210" s="93" customFormat="1" spans="3:13">
      <c r="C3210" s="94"/>
      <c r="E3210" s="94"/>
      <c r="G3210" s="94"/>
      <c r="I3210" s="94"/>
      <c r="K3210" s="94"/>
      <c r="M3210" s="94"/>
    </row>
    <row r="3211" s="93" customFormat="1" spans="3:13">
      <c r="C3211" s="94"/>
      <c r="E3211" s="94"/>
      <c r="G3211" s="94"/>
      <c r="I3211" s="94"/>
      <c r="K3211" s="94"/>
      <c r="M3211" s="94"/>
    </row>
    <row r="3212" s="93" customFormat="1" spans="3:13">
      <c r="C3212" s="94"/>
      <c r="E3212" s="94"/>
      <c r="G3212" s="94"/>
      <c r="I3212" s="94"/>
      <c r="K3212" s="94"/>
      <c r="M3212" s="94"/>
    </row>
    <row r="3213" s="93" customFormat="1" spans="3:13">
      <c r="C3213" s="94"/>
      <c r="E3213" s="94"/>
      <c r="G3213" s="94"/>
      <c r="I3213" s="94"/>
      <c r="K3213" s="94"/>
      <c r="M3213" s="94"/>
    </row>
    <row r="3214" s="93" customFormat="1" spans="3:13">
      <c r="C3214" s="94"/>
      <c r="E3214" s="94"/>
      <c r="G3214" s="94"/>
      <c r="I3214" s="94"/>
      <c r="K3214" s="94"/>
      <c r="M3214" s="94"/>
    </row>
    <row r="3215" s="93" customFormat="1" spans="3:13">
      <c r="C3215" s="94"/>
      <c r="E3215" s="94"/>
      <c r="G3215" s="94"/>
      <c r="I3215" s="94"/>
      <c r="K3215" s="94"/>
      <c r="M3215" s="94"/>
    </row>
    <row r="3216" s="93" customFormat="1" spans="3:13">
      <c r="C3216" s="94"/>
      <c r="E3216" s="94"/>
      <c r="G3216" s="94"/>
      <c r="I3216" s="94"/>
      <c r="K3216" s="94"/>
      <c r="M3216" s="94"/>
    </row>
    <row r="3217" s="93" customFormat="1" spans="3:13">
      <c r="C3217" s="94"/>
      <c r="E3217" s="94"/>
      <c r="G3217" s="94"/>
      <c r="I3217" s="94"/>
      <c r="K3217" s="94"/>
      <c r="M3217" s="94"/>
    </row>
    <row r="3218" s="93" customFormat="1" spans="3:13">
      <c r="C3218" s="94"/>
      <c r="E3218" s="94"/>
      <c r="G3218" s="94"/>
      <c r="I3218" s="94"/>
      <c r="K3218" s="94"/>
      <c r="M3218" s="94"/>
    </row>
    <row r="3219" s="93" customFormat="1" spans="3:13">
      <c r="C3219" s="94"/>
      <c r="E3219" s="94"/>
      <c r="G3219" s="94"/>
      <c r="I3219" s="94"/>
      <c r="K3219" s="94"/>
      <c r="M3219" s="94"/>
    </row>
    <row r="3220" s="93" customFormat="1" spans="3:13">
      <c r="C3220" s="94"/>
      <c r="E3220" s="94"/>
      <c r="G3220" s="94"/>
      <c r="I3220" s="94"/>
      <c r="K3220" s="94"/>
      <c r="M3220" s="94"/>
    </row>
    <row r="3221" s="93" customFormat="1" spans="3:13">
      <c r="C3221" s="94"/>
      <c r="E3221" s="94"/>
      <c r="G3221" s="94"/>
      <c r="I3221" s="94"/>
      <c r="K3221" s="94"/>
      <c r="M3221" s="94"/>
    </row>
    <row r="3222" s="93" customFormat="1" spans="3:13">
      <c r="C3222" s="94"/>
      <c r="E3222" s="94"/>
      <c r="G3222" s="94"/>
      <c r="I3222" s="94"/>
      <c r="K3222" s="94"/>
      <c r="M3222" s="94"/>
    </row>
    <row r="3223" s="93" customFormat="1" spans="3:13">
      <c r="C3223" s="94"/>
      <c r="E3223" s="94"/>
      <c r="G3223" s="94"/>
      <c r="I3223" s="94"/>
      <c r="K3223" s="94"/>
      <c r="M3223" s="94"/>
    </row>
    <row r="3224" s="93" customFormat="1" spans="3:13">
      <c r="C3224" s="94"/>
      <c r="E3224" s="94"/>
      <c r="G3224" s="94"/>
      <c r="I3224" s="94"/>
      <c r="K3224" s="94"/>
      <c r="M3224" s="94"/>
    </row>
    <row r="3225" s="93" customFormat="1" spans="3:13">
      <c r="C3225" s="94"/>
      <c r="E3225" s="94"/>
      <c r="G3225" s="94"/>
      <c r="I3225" s="94"/>
      <c r="K3225" s="94"/>
      <c r="M3225" s="94"/>
    </row>
    <row r="3226" s="93" customFormat="1" spans="3:13">
      <c r="C3226" s="94"/>
      <c r="E3226" s="94"/>
      <c r="G3226" s="94"/>
      <c r="I3226" s="94"/>
      <c r="K3226" s="94"/>
      <c r="M3226" s="94"/>
    </row>
    <row r="3227" s="93" customFormat="1" spans="3:13">
      <c r="C3227" s="94"/>
      <c r="E3227" s="94"/>
      <c r="G3227" s="94"/>
      <c r="I3227" s="94"/>
      <c r="K3227" s="94"/>
      <c r="M3227" s="94"/>
    </row>
    <row r="3228" s="93" customFormat="1" spans="3:13">
      <c r="C3228" s="94"/>
      <c r="E3228" s="94"/>
      <c r="G3228" s="94"/>
      <c r="I3228" s="94"/>
      <c r="K3228" s="94"/>
      <c r="M3228" s="94"/>
    </row>
    <row r="3229" s="93" customFormat="1" spans="3:13">
      <c r="C3229" s="94"/>
      <c r="E3229" s="94"/>
      <c r="G3229" s="94"/>
      <c r="I3229" s="94"/>
      <c r="K3229" s="94"/>
      <c r="M3229" s="94"/>
    </row>
    <row r="3230" s="93" customFormat="1" spans="3:13">
      <c r="C3230" s="94"/>
      <c r="E3230" s="94"/>
      <c r="G3230" s="94"/>
      <c r="I3230" s="94"/>
      <c r="K3230" s="94"/>
      <c r="M3230" s="94"/>
    </row>
    <row r="3231" s="93" customFormat="1" spans="3:13">
      <c r="C3231" s="94"/>
      <c r="E3231" s="94"/>
      <c r="G3231" s="94"/>
      <c r="I3231" s="94"/>
      <c r="K3231" s="94"/>
      <c r="M3231" s="94"/>
    </row>
    <row r="3232" s="93" customFormat="1" spans="3:13">
      <c r="C3232" s="94"/>
      <c r="E3232" s="94"/>
      <c r="G3232" s="94"/>
      <c r="I3232" s="94"/>
      <c r="K3232" s="94"/>
      <c r="M3232" s="94"/>
    </row>
    <row r="3233" s="93" customFormat="1" spans="3:13">
      <c r="C3233" s="94"/>
      <c r="E3233" s="94"/>
      <c r="G3233" s="94"/>
      <c r="I3233" s="94"/>
      <c r="K3233" s="94"/>
      <c r="M3233" s="94"/>
    </row>
    <row r="3234" s="93" customFormat="1" spans="3:13">
      <c r="C3234" s="94"/>
      <c r="E3234" s="94"/>
      <c r="G3234" s="94"/>
      <c r="I3234" s="94"/>
      <c r="K3234" s="94"/>
      <c r="M3234" s="94"/>
    </row>
    <row r="3235" s="93" customFormat="1" spans="3:13">
      <c r="C3235" s="94"/>
      <c r="E3235" s="94"/>
      <c r="G3235" s="94"/>
      <c r="I3235" s="94"/>
      <c r="K3235" s="94"/>
      <c r="M3235" s="94"/>
    </row>
    <row r="3236" s="93" customFormat="1" spans="3:13">
      <c r="C3236" s="94"/>
      <c r="E3236" s="94"/>
      <c r="G3236" s="94"/>
      <c r="I3236" s="94"/>
      <c r="K3236" s="94"/>
      <c r="M3236" s="94"/>
    </row>
    <row r="3237" s="93" customFormat="1" spans="3:13">
      <c r="C3237" s="94"/>
      <c r="E3237" s="94"/>
      <c r="G3237" s="94"/>
      <c r="I3237" s="94"/>
      <c r="K3237" s="94"/>
      <c r="M3237" s="94"/>
    </row>
    <row r="3238" s="93" customFormat="1" spans="3:13">
      <c r="C3238" s="94"/>
      <c r="E3238" s="94"/>
      <c r="G3238" s="94"/>
      <c r="I3238" s="94"/>
      <c r="K3238" s="94"/>
      <c r="M3238" s="94"/>
    </row>
    <row r="3239" s="93" customFormat="1" spans="3:13">
      <c r="C3239" s="94"/>
      <c r="E3239" s="94"/>
      <c r="G3239" s="94"/>
      <c r="I3239" s="94"/>
      <c r="K3239" s="94"/>
      <c r="M3239" s="94"/>
    </row>
    <row r="3240" s="93" customFormat="1" spans="3:13">
      <c r="C3240" s="94"/>
      <c r="E3240" s="94"/>
      <c r="G3240" s="94"/>
      <c r="I3240" s="94"/>
      <c r="K3240" s="94"/>
      <c r="M3240" s="94"/>
    </row>
    <row r="3241" s="93" customFormat="1" spans="3:13">
      <c r="C3241" s="94"/>
      <c r="E3241" s="94"/>
      <c r="G3241" s="94"/>
      <c r="I3241" s="94"/>
      <c r="K3241" s="94"/>
      <c r="M3241" s="94"/>
    </row>
    <row r="3242" s="93" customFormat="1" spans="3:13">
      <c r="C3242" s="94"/>
      <c r="E3242" s="94"/>
      <c r="G3242" s="94"/>
      <c r="I3242" s="94"/>
      <c r="K3242" s="94"/>
      <c r="M3242" s="94"/>
    </row>
    <row r="3243" s="93" customFormat="1" spans="3:13">
      <c r="C3243" s="94"/>
      <c r="E3243" s="94"/>
      <c r="G3243" s="94"/>
      <c r="I3243" s="94"/>
      <c r="K3243" s="94"/>
      <c r="M3243" s="94"/>
    </row>
    <row r="3244" s="93" customFormat="1" spans="3:13">
      <c r="C3244" s="94"/>
      <c r="E3244" s="94"/>
      <c r="G3244" s="94"/>
      <c r="I3244" s="94"/>
      <c r="K3244" s="94"/>
      <c r="M3244" s="94"/>
    </row>
    <row r="3245" s="93" customFormat="1" spans="3:13">
      <c r="C3245" s="94"/>
      <c r="E3245" s="94"/>
      <c r="G3245" s="94"/>
      <c r="I3245" s="94"/>
      <c r="K3245" s="94"/>
      <c r="M3245" s="94"/>
    </row>
    <row r="3246" s="93" customFormat="1" spans="3:13">
      <c r="C3246" s="94"/>
      <c r="E3246" s="94"/>
      <c r="G3246" s="94"/>
      <c r="I3246" s="94"/>
      <c r="K3246" s="94"/>
      <c r="M3246" s="94"/>
    </row>
    <row r="3247" s="93" customFormat="1" spans="3:13">
      <c r="C3247" s="94"/>
      <c r="E3247" s="94"/>
      <c r="G3247" s="94"/>
      <c r="I3247" s="94"/>
      <c r="K3247" s="94"/>
      <c r="M3247" s="94"/>
    </row>
    <row r="3248" s="93" customFormat="1" spans="3:13">
      <c r="C3248" s="94"/>
      <c r="E3248" s="94"/>
      <c r="G3248" s="94"/>
      <c r="I3248" s="94"/>
      <c r="K3248" s="94"/>
      <c r="M3248" s="94"/>
    </row>
    <row r="3249" s="93" customFormat="1" spans="3:13">
      <c r="C3249" s="94"/>
      <c r="E3249" s="94"/>
      <c r="G3249" s="94"/>
      <c r="I3249" s="94"/>
      <c r="K3249" s="94"/>
      <c r="M3249" s="94"/>
    </row>
    <row r="3250" s="93" customFormat="1" spans="3:13">
      <c r="C3250" s="94"/>
      <c r="E3250" s="94"/>
      <c r="G3250" s="94"/>
      <c r="I3250" s="94"/>
      <c r="K3250" s="94"/>
      <c r="M3250" s="94"/>
    </row>
    <row r="3251" s="93" customFormat="1" spans="3:13">
      <c r="C3251" s="94"/>
      <c r="E3251" s="94"/>
      <c r="G3251" s="94"/>
      <c r="I3251" s="94"/>
      <c r="K3251" s="94"/>
      <c r="M3251" s="94"/>
    </row>
    <row r="3252" s="93" customFormat="1" spans="3:13">
      <c r="C3252" s="94"/>
      <c r="E3252" s="94"/>
      <c r="G3252" s="94"/>
      <c r="I3252" s="94"/>
      <c r="K3252" s="94"/>
      <c r="M3252" s="94"/>
    </row>
    <row r="3253" s="93" customFormat="1" spans="3:13">
      <c r="C3253" s="94"/>
      <c r="E3253" s="94"/>
      <c r="G3253" s="94"/>
      <c r="I3253" s="94"/>
      <c r="K3253" s="94"/>
      <c r="M3253" s="94"/>
    </row>
    <row r="3254" s="93" customFormat="1" spans="3:13">
      <c r="C3254" s="94"/>
      <c r="E3254" s="94"/>
      <c r="G3254" s="94"/>
      <c r="I3254" s="94"/>
      <c r="K3254" s="94"/>
      <c r="M3254" s="94"/>
    </row>
    <row r="3255" s="93" customFormat="1" spans="3:13">
      <c r="C3255" s="94"/>
      <c r="E3255" s="94"/>
      <c r="G3255" s="94"/>
      <c r="I3255" s="94"/>
      <c r="K3255" s="94"/>
      <c r="M3255" s="94"/>
    </row>
    <row r="3256" s="93" customFormat="1" spans="3:13">
      <c r="C3256" s="94"/>
      <c r="E3256" s="94"/>
      <c r="G3256" s="94"/>
      <c r="I3256" s="94"/>
      <c r="K3256" s="94"/>
      <c r="M3256" s="94"/>
    </row>
    <row r="3257" s="93" customFormat="1" spans="3:13">
      <c r="C3257" s="94"/>
      <c r="E3257" s="94"/>
      <c r="G3257" s="94"/>
      <c r="I3257" s="94"/>
      <c r="K3257" s="94"/>
      <c r="M3257" s="94"/>
    </row>
    <row r="3258" s="93" customFormat="1" spans="3:13">
      <c r="C3258" s="94"/>
      <c r="E3258" s="94"/>
      <c r="G3258" s="94"/>
      <c r="I3258" s="94"/>
      <c r="K3258" s="94"/>
      <c r="M3258" s="94"/>
    </row>
    <row r="3259" s="93" customFormat="1" spans="3:13">
      <c r="C3259" s="94"/>
      <c r="E3259" s="94"/>
      <c r="G3259" s="94"/>
      <c r="I3259" s="94"/>
      <c r="K3259" s="94"/>
      <c r="M3259" s="94"/>
    </row>
    <row r="3260" s="93" customFormat="1" spans="3:13">
      <c r="C3260" s="94"/>
      <c r="E3260" s="94"/>
      <c r="G3260" s="94"/>
      <c r="I3260" s="94"/>
      <c r="K3260" s="94"/>
      <c r="M3260" s="94"/>
    </row>
    <row r="3261" s="93" customFormat="1" spans="3:13">
      <c r="C3261" s="94"/>
      <c r="E3261" s="94"/>
      <c r="G3261" s="94"/>
      <c r="I3261" s="94"/>
      <c r="K3261" s="94"/>
      <c r="M3261" s="94"/>
    </row>
    <row r="3262" s="93" customFormat="1" spans="3:13">
      <c r="C3262" s="94"/>
      <c r="E3262" s="94"/>
      <c r="G3262" s="94"/>
      <c r="I3262" s="94"/>
      <c r="K3262" s="94"/>
      <c r="M3262" s="94"/>
    </row>
    <row r="3263" s="93" customFormat="1" spans="3:13">
      <c r="C3263" s="94"/>
      <c r="E3263" s="94"/>
      <c r="G3263" s="94"/>
      <c r="I3263" s="94"/>
      <c r="K3263" s="94"/>
      <c r="M3263" s="94"/>
    </row>
    <row r="3264" s="93" customFormat="1" spans="3:13">
      <c r="C3264" s="94"/>
      <c r="E3264" s="94"/>
      <c r="G3264" s="94"/>
      <c r="I3264" s="94"/>
      <c r="K3264" s="94"/>
      <c r="M3264" s="94"/>
    </row>
    <row r="3265" s="93" customFormat="1" spans="3:13">
      <c r="C3265" s="94"/>
      <c r="E3265" s="94"/>
      <c r="G3265" s="94"/>
      <c r="I3265" s="94"/>
      <c r="K3265" s="94"/>
      <c r="M3265" s="94"/>
    </row>
    <row r="3266" s="93" customFormat="1" spans="3:13">
      <c r="C3266" s="94"/>
      <c r="E3266" s="94"/>
      <c r="G3266" s="94"/>
      <c r="I3266" s="94"/>
      <c r="K3266" s="94"/>
      <c r="M3266" s="94"/>
    </row>
    <row r="3267" s="93" customFormat="1" spans="3:13">
      <c r="C3267" s="94"/>
      <c r="E3267" s="94"/>
      <c r="G3267" s="94"/>
      <c r="I3267" s="94"/>
      <c r="K3267" s="94"/>
      <c r="M3267" s="94"/>
    </row>
    <row r="3268" s="93" customFormat="1" spans="3:13">
      <c r="C3268" s="94"/>
      <c r="E3268" s="94"/>
      <c r="G3268" s="94"/>
      <c r="I3268" s="94"/>
      <c r="K3268" s="94"/>
      <c r="M3268" s="94"/>
    </row>
    <row r="3269" s="93" customFormat="1" spans="3:13">
      <c r="C3269" s="94"/>
      <c r="E3269" s="94"/>
      <c r="G3269" s="94"/>
      <c r="I3269" s="94"/>
      <c r="K3269" s="94"/>
      <c r="M3269" s="94"/>
    </row>
    <row r="3270" s="93" customFormat="1" spans="3:13">
      <c r="C3270" s="94"/>
      <c r="E3270" s="94"/>
      <c r="G3270" s="94"/>
      <c r="I3270" s="94"/>
      <c r="K3270" s="94"/>
      <c r="M3270" s="94"/>
    </row>
    <row r="3271" s="93" customFormat="1" spans="3:13">
      <c r="C3271" s="94"/>
      <c r="E3271" s="94"/>
      <c r="G3271" s="94"/>
      <c r="I3271" s="94"/>
      <c r="K3271" s="94"/>
      <c r="M3271" s="94"/>
    </row>
    <row r="3272" s="93" customFormat="1" spans="3:13">
      <c r="C3272" s="94"/>
      <c r="E3272" s="94"/>
      <c r="G3272" s="94"/>
      <c r="I3272" s="94"/>
      <c r="K3272" s="94"/>
      <c r="M3272" s="94"/>
    </row>
    <row r="3273" s="93" customFormat="1" spans="3:13">
      <c r="C3273" s="94"/>
      <c r="E3273" s="94"/>
      <c r="G3273" s="94"/>
      <c r="I3273" s="94"/>
      <c r="K3273" s="94"/>
      <c r="M3273" s="94"/>
    </row>
    <row r="3274" s="93" customFormat="1" spans="3:13">
      <c r="C3274" s="94"/>
      <c r="E3274" s="94"/>
      <c r="G3274" s="94"/>
      <c r="I3274" s="94"/>
      <c r="K3274" s="94"/>
      <c r="M3274" s="94"/>
    </row>
    <row r="3275" s="93" customFormat="1" spans="3:13">
      <c r="C3275" s="94"/>
      <c r="E3275" s="94"/>
      <c r="G3275" s="94"/>
      <c r="I3275" s="94"/>
      <c r="K3275" s="94"/>
      <c r="M3275" s="94"/>
    </row>
    <row r="3276" s="93" customFormat="1" spans="3:13">
      <c r="C3276" s="94"/>
      <c r="E3276" s="94"/>
      <c r="G3276" s="94"/>
      <c r="I3276" s="94"/>
      <c r="K3276" s="94"/>
      <c r="M3276" s="94"/>
    </row>
    <row r="3277" s="93" customFormat="1" spans="3:13">
      <c r="C3277" s="94"/>
      <c r="E3277" s="94"/>
      <c r="G3277" s="94"/>
      <c r="I3277" s="94"/>
      <c r="K3277" s="94"/>
      <c r="M3277" s="94"/>
    </row>
    <row r="3278" s="93" customFormat="1" spans="3:13">
      <c r="C3278" s="94"/>
      <c r="E3278" s="94"/>
      <c r="G3278" s="94"/>
      <c r="I3278" s="94"/>
      <c r="K3278" s="94"/>
      <c r="M3278" s="94"/>
    </row>
    <row r="3279" s="93" customFormat="1" spans="3:13">
      <c r="C3279" s="94"/>
      <c r="E3279" s="94"/>
      <c r="G3279" s="94"/>
      <c r="I3279" s="94"/>
      <c r="K3279" s="94"/>
      <c r="M3279" s="94"/>
    </row>
    <row r="3280" s="93" customFormat="1" spans="3:13">
      <c r="C3280" s="94"/>
      <c r="E3280" s="94"/>
      <c r="G3280" s="94"/>
      <c r="I3280" s="94"/>
      <c r="K3280" s="94"/>
      <c r="M3280" s="94"/>
    </row>
    <row r="3281" s="93" customFormat="1" spans="3:13">
      <c r="C3281" s="94"/>
      <c r="E3281" s="94"/>
      <c r="G3281" s="94"/>
      <c r="I3281" s="94"/>
      <c r="K3281" s="94"/>
      <c r="M3281" s="94"/>
    </row>
    <row r="3282" s="93" customFormat="1" spans="3:13">
      <c r="C3282" s="94"/>
      <c r="E3282" s="94"/>
      <c r="G3282" s="94"/>
      <c r="I3282" s="94"/>
      <c r="K3282" s="94"/>
      <c r="M3282" s="94"/>
    </row>
    <row r="3283" s="93" customFormat="1" spans="3:13">
      <c r="C3283" s="94"/>
      <c r="E3283" s="94"/>
      <c r="G3283" s="94"/>
      <c r="I3283" s="94"/>
      <c r="K3283" s="94"/>
      <c r="M3283" s="94"/>
    </row>
    <row r="3284" s="93" customFormat="1" spans="3:13">
      <c r="C3284" s="94"/>
      <c r="E3284" s="94"/>
      <c r="G3284" s="94"/>
      <c r="I3284" s="94"/>
      <c r="K3284" s="94"/>
      <c r="M3284" s="94"/>
    </row>
    <row r="3285" s="93" customFormat="1" spans="3:13">
      <c r="C3285" s="94"/>
      <c r="E3285" s="94"/>
      <c r="G3285" s="94"/>
      <c r="I3285" s="94"/>
      <c r="K3285" s="94"/>
      <c r="M3285" s="94"/>
    </row>
    <row r="3286" s="93" customFormat="1" spans="3:13">
      <c r="C3286" s="94"/>
      <c r="E3286" s="94"/>
      <c r="G3286" s="94"/>
      <c r="I3286" s="94"/>
      <c r="K3286" s="94"/>
      <c r="M3286" s="94"/>
    </row>
    <row r="3287" s="93" customFormat="1" spans="3:13">
      <c r="C3287" s="94"/>
      <c r="E3287" s="94"/>
      <c r="G3287" s="94"/>
      <c r="I3287" s="94"/>
      <c r="K3287" s="94"/>
      <c r="M3287" s="94"/>
    </row>
    <row r="3288" s="93" customFormat="1" spans="3:13">
      <c r="C3288" s="94"/>
      <c r="E3288" s="94"/>
      <c r="G3288" s="94"/>
      <c r="I3288" s="94"/>
      <c r="K3288" s="94"/>
      <c r="M3288" s="94"/>
    </row>
    <row r="3289" s="93" customFormat="1" spans="3:13">
      <c r="C3289" s="94"/>
      <c r="E3289" s="94"/>
      <c r="G3289" s="94"/>
      <c r="I3289" s="94"/>
      <c r="K3289" s="94"/>
      <c r="M3289" s="94"/>
    </row>
    <row r="3290" s="93" customFormat="1" spans="3:13">
      <c r="C3290" s="94"/>
      <c r="E3290" s="94"/>
      <c r="G3290" s="94"/>
      <c r="I3290" s="94"/>
      <c r="K3290" s="94"/>
      <c r="M3290" s="94"/>
    </row>
    <row r="3291" s="93" customFormat="1" spans="3:13">
      <c r="C3291" s="94"/>
      <c r="E3291" s="94"/>
      <c r="G3291" s="94"/>
      <c r="I3291" s="94"/>
      <c r="K3291" s="94"/>
      <c r="M3291" s="94"/>
    </row>
    <row r="3292" s="93" customFormat="1" spans="3:13">
      <c r="C3292" s="94"/>
      <c r="E3292" s="94"/>
      <c r="G3292" s="94"/>
      <c r="I3292" s="94"/>
      <c r="K3292" s="94"/>
      <c r="M3292" s="94"/>
    </row>
    <row r="3293" s="93" customFormat="1" spans="3:13">
      <c r="C3293" s="94"/>
      <c r="E3293" s="94"/>
      <c r="G3293" s="94"/>
      <c r="I3293" s="94"/>
      <c r="K3293" s="94"/>
      <c r="M3293" s="94"/>
    </row>
    <row r="3294" s="93" customFormat="1" spans="3:13">
      <c r="C3294" s="94"/>
      <c r="E3294" s="94"/>
      <c r="G3294" s="94"/>
      <c r="I3294" s="94"/>
      <c r="K3294" s="94"/>
      <c r="M3294" s="94"/>
    </row>
    <row r="3295" s="93" customFormat="1" spans="3:13">
      <c r="C3295" s="94"/>
      <c r="E3295" s="94"/>
      <c r="G3295" s="94"/>
      <c r="I3295" s="94"/>
      <c r="K3295" s="94"/>
      <c r="M3295" s="94"/>
    </row>
    <row r="3296" s="93" customFormat="1" spans="3:13">
      <c r="C3296" s="94"/>
      <c r="E3296" s="94"/>
      <c r="G3296" s="94"/>
      <c r="I3296" s="94"/>
      <c r="K3296" s="94"/>
      <c r="M3296" s="94"/>
    </row>
    <row r="3297" s="93" customFormat="1" spans="3:13">
      <c r="C3297" s="94"/>
      <c r="E3297" s="94"/>
      <c r="G3297" s="94"/>
      <c r="I3297" s="94"/>
      <c r="K3297" s="94"/>
      <c r="M3297" s="94"/>
    </row>
    <row r="3298" s="93" customFormat="1" spans="3:13">
      <c r="C3298" s="94"/>
      <c r="E3298" s="94"/>
      <c r="G3298" s="94"/>
      <c r="I3298" s="94"/>
      <c r="K3298" s="94"/>
      <c r="M3298" s="94"/>
    </row>
    <row r="3299" s="93" customFormat="1" spans="3:13">
      <c r="C3299" s="94"/>
      <c r="E3299" s="94"/>
      <c r="G3299" s="94"/>
      <c r="I3299" s="94"/>
      <c r="K3299" s="94"/>
      <c r="M3299" s="94"/>
    </row>
    <row r="3300" s="93" customFormat="1" spans="3:13">
      <c r="C3300" s="94"/>
      <c r="E3300" s="94"/>
      <c r="G3300" s="94"/>
      <c r="I3300" s="94"/>
      <c r="K3300" s="94"/>
      <c r="M3300" s="94"/>
    </row>
    <row r="3301" s="93" customFormat="1" spans="3:13">
      <c r="C3301" s="94"/>
      <c r="E3301" s="94"/>
      <c r="G3301" s="94"/>
      <c r="I3301" s="94"/>
      <c r="K3301" s="94"/>
      <c r="M3301" s="94"/>
    </row>
    <row r="3302" s="93" customFormat="1" spans="3:13">
      <c r="C3302" s="94"/>
      <c r="E3302" s="94"/>
      <c r="G3302" s="94"/>
      <c r="I3302" s="94"/>
      <c r="K3302" s="94"/>
      <c r="M3302" s="94"/>
    </row>
    <row r="3303" s="93" customFormat="1" spans="3:13">
      <c r="C3303" s="94"/>
      <c r="E3303" s="94"/>
      <c r="G3303" s="94"/>
      <c r="I3303" s="94"/>
      <c r="K3303" s="94"/>
      <c r="M3303" s="94"/>
    </row>
    <row r="3304" s="93" customFormat="1" spans="3:13">
      <c r="C3304" s="94"/>
      <c r="E3304" s="94"/>
      <c r="G3304" s="94"/>
      <c r="I3304" s="94"/>
      <c r="K3304" s="94"/>
      <c r="M3304" s="94"/>
    </row>
    <row r="3305" s="93" customFormat="1" spans="3:13">
      <c r="C3305" s="94"/>
      <c r="E3305" s="94"/>
      <c r="G3305" s="94"/>
      <c r="I3305" s="94"/>
      <c r="K3305" s="94"/>
      <c r="M3305" s="94"/>
    </row>
    <row r="3306" s="93" customFormat="1" spans="3:13">
      <c r="C3306" s="94"/>
      <c r="E3306" s="94"/>
      <c r="G3306" s="94"/>
      <c r="I3306" s="94"/>
      <c r="K3306" s="94"/>
      <c r="M3306" s="94"/>
    </row>
    <row r="3307" s="93" customFormat="1" spans="3:13">
      <c r="C3307" s="94"/>
      <c r="E3307" s="94"/>
      <c r="G3307" s="94"/>
      <c r="I3307" s="94"/>
      <c r="K3307" s="94"/>
      <c r="M3307" s="94"/>
    </row>
    <row r="3308" s="93" customFormat="1" spans="3:13">
      <c r="C3308" s="94"/>
      <c r="E3308" s="94"/>
      <c r="G3308" s="94"/>
      <c r="I3308" s="94"/>
      <c r="K3308" s="94"/>
      <c r="M3308" s="94"/>
    </row>
    <row r="3309" s="93" customFormat="1" spans="3:13">
      <c r="C3309" s="94"/>
      <c r="E3309" s="94"/>
      <c r="G3309" s="94"/>
      <c r="I3309" s="94"/>
      <c r="K3309" s="94"/>
      <c r="M3309" s="94"/>
    </row>
    <row r="3310" s="93" customFormat="1" spans="3:13">
      <c r="C3310" s="94"/>
      <c r="E3310" s="94"/>
      <c r="G3310" s="94"/>
      <c r="I3310" s="94"/>
      <c r="K3310" s="94"/>
      <c r="M3310" s="94"/>
    </row>
    <row r="3311" s="93" customFormat="1" spans="3:13">
      <c r="C3311" s="94"/>
      <c r="E3311" s="94"/>
      <c r="G3311" s="94"/>
      <c r="I3311" s="94"/>
      <c r="K3311" s="94"/>
      <c r="M3311" s="94"/>
    </row>
    <row r="3312" s="93" customFormat="1" spans="3:13">
      <c r="C3312" s="94"/>
      <c r="E3312" s="94"/>
      <c r="G3312" s="94"/>
      <c r="I3312" s="94"/>
      <c r="K3312" s="94"/>
      <c r="M3312" s="94"/>
    </row>
    <row r="3313" s="93" customFormat="1" spans="3:13">
      <c r="C3313" s="94"/>
      <c r="E3313" s="94"/>
      <c r="G3313" s="94"/>
      <c r="I3313" s="94"/>
      <c r="K3313" s="94"/>
      <c r="M3313" s="94"/>
    </row>
    <row r="3314" s="93" customFormat="1" spans="3:13">
      <c r="C3314" s="94"/>
      <c r="E3314" s="94"/>
      <c r="G3314" s="94"/>
      <c r="I3314" s="94"/>
      <c r="K3314" s="94"/>
      <c r="M3314" s="94"/>
    </row>
    <row r="3315" s="93" customFormat="1" spans="3:13">
      <c r="C3315" s="94"/>
      <c r="E3315" s="94"/>
      <c r="G3315" s="94"/>
      <c r="I3315" s="94"/>
      <c r="K3315" s="94"/>
      <c r="M3315" s="94"/>
    </row>
    <row r="3316" s="93" customFormat="1" spans="3:13">
      <c r="C3316" s="94"/>
      <c r="E3316" s="94"/>
      <c r="G3316" s="94"/>
      <c r="I3316" s="94"/>
      <c r="K3316" s="94"/>
      <c r="M3316" s="94"/>
    </row>
    <row r="3317" s="93" customFormat="1" spans="3:13">
      <c r="C3317" s="94"/>
      <c r="E3317" s="94"/>
      <c r="G3317" s="94"/>
      <c r="I3317" s="94"/>
      <c r="K3317" s="94"/>
      <c r="M3317" s="94"/>
    </row>
    <row r="3318" s="93" customFormat="1" spans="3:13">
      <c r="C3318" s="94"/>
      <c r="E3318" s="94"/>
      <c r="G3318" s="94"/>
      <c r="I3318" s="94"/>
      <c r="K3318" s="94"/>
      <c r="M3318" s="94"/>
    </row>
    <row r="3319" s="93" customFormat="1" spans="3:13">
      <c r="C3319" s="94"/>
      <c r="E3319" s="94"/>
      <c r="G3319" s="94"/>
      <c r="I3319" s="94"/>
      <c r="K3319" s="94"/>
      <c r="M3319" s="94"/>
    </row>
    <row r="3320" s="93" customFormat="1" spans="3:13">
      <c r="C3320" s="94"/>
      <c r="E3320" s="94"/>
      <c r="G3320" s="94"/>
      <c r="I3320" s="94"/>
      <c r="K3320" s="94"/>
      <c r="M3320" s="94"/>
    </row>
    <row r="3321" s="93" customFormat="1" spans="3:13">
      <c r="C3321" s="94"/>
      <c r="E3321" s="94"/>
      <c r="G3321" s="94"/>
      <c r="I3321" s="94"/>
      <c r="K3321" s="94"/>
      <c r="M3321" s="94"/>
    </row>
    <row r="3322" s="93" customFormat="1" spans="3:13">
      <c r="C3322" s="94"/>
      <c r="E3322" s="94"/>
      <c r="G3322" s="94"/>
      <c r="I3322" s="94"/>
      <c r="K3322" s="94"/>
      <c r="M3322" s="94"/>
    </row>
    <row r="3323" s="93" customFormat="1" spans="3:13">
      <c r="C3323" s="94"/>
      <c r="E3323" s="94"/>
      <c r="G3323" s="94"/>
      <c r="I3323" s="94"/>
      <c r="K3323" s="94"/>
      <c r="M3323" s="94"/>
    </row>
    <row r="3324" s="93" customFormat="1" spans="3:13">
      <c r="C3324" s="94"/>
      <c r="E3324" s="94"/>
      <c r="G3324" s="94"/>
      <c r="I3324" s="94"/>
      <c r="K3324" s="94"/>
      <c r="M3324" s="94"/>
    </row>
    <row r="3325" s="93" customFormat="1" spans="3:13">
      <c r="C3325" s="94"/>
      <c r="E3325" s="94"/>
      <c r="G3325" s="94"/>
      <c r="I3325" s="94"/>
      <c r="K3325" s="94"/>
      <c r="M3325" s="94"/>
    </row>
    <row r="3326" s="93" customFormat="1" spans="3:13">
      <c r="C3326" s="94"/>
      <c r="E3326" s="94"/>
      <c r="G3326" s="94"/>
      <c r="I3326" s="94"/>
      <c r="K3326" s="94"/>
      <c r="M3326" s="94"/>
    </row>
    <row r="3327" s="93" customFormat="1" spans="3:13">
      <c r="C3327" s="94"/>
      <c r="E3327" s="94"/>
      <c r="G3327" s="94"/>
      <c r="I3327" s="94"/>
      <c r="K3327" s="94"/>
      <c r="M3327" s="94"/>
    </row>
    <row r="3328" s="93" customFormat="1" spans="3:13">
      <c r="C3328" s="94"/>
      <c r="E3328" s="94"/>
      <c r="G3328" s="94"/>
      <c r="I3328" s="94"/>
      <c r="K3328" s="94"/>
      <c r="M3328" s="94"/>
    </row>
    <row r="3329" s="93" customFormat="1" spans="3:13">
      <c r="C3329" s="94"/>
      <c r="E3329" s="94"/>
      <c r="G3329" s="94"/>
      <c r="I3329" s="94"/>
      <c r="K3329" s="94"/>
      <c r="M3329" s="94"/>
    </row>
    <row r="3330" s="93" customFormat="1" spans="3:13">
      <c r="C3330" s="94"/>
      <c r="E3330" s="94"/>
      <c r="G3330" s="94"/>
      <c r="I3330" s="94"/>
      <c r="K3330" s="94"/>
      <c r="M3330" s="94"/>
    </row>
    <row r="3331" s="93" customFormat="1" spans="3:13">
      <c r="C3331" s="94"/>
      <c r="E3331" s="94"/>
      <c r="G3331" s="94"/>
      <c r="I3331" s="94"/>
      <c r="K3331" s="94"/>
      <c r="M3331" s="94"/>
    </row>
    <row r="3332" s="93" customFormat="1" spans="3:13">
      <c r="C3332" s="94"/>
      <c r="E3332" s="94"/>
      <c r="G3332" s="94"/>
      <c r="I3332" s="94"/>
      <c r="K3332" s="94"/>
      <c r="M3332" s="94"/>
    </row>
    <row r="3333" s="93" customFormat="1" spans="3:13">
      <c r="C3333" s="94"/>
      <c r="E3333" s="94"/>
      <c r="G3333" s="94"/>
      <c r="I3333" s="94"/>
      <c r="K3333" s="94"/>
      <c r="M3333" s="94"/>
    </row>
    <row r="3334" s="93" customFormat="1" spans="3:13">
      <c r="C3334" s="94"/>
      <c r="E3334" s="94"/>
      <c r="G3334" s="94"/>
      <c r="I3334" s="94"/>
      <c r="K3334" s="94"/>
      <c r="M3334" s="94"/>
    </row>
    <row r="3335" s="93" customFormat="1" spans="3:13">
      <c r="C3335" s="94"/>
      <c r="E3335" s="94"/>
      <c r="G3335" s="94"/>
      <c r="I3335" s="94"/>
      <c r="K3335" s="94"/>
      <c r="M3335" s="94"/>
    </row>
    <row r="3336" s="93" customFormat="1" spans="3:13">
      <c r="C3336" s="94"/>
      <c r="E3336" s="94"/>
      <c r="G3336" s="94"/>
      <c r="I3336" s="94"/>
      <c r="K3336" s="94"/>
      <c r="M3336" s="94"/>
    </row>
    <row r="3337" s="93" customFormat="1" spans="3:13">
      <c r="C3337" s="94"/>
      <c r="E3337" s="94"/>
      <c r="G3337" s="94"/>
      <c r="I3337" s="94"/>
      <c r="K3337" s="94"/>
      <c r="M3337" s="94"/>
    </row>
    <row r="3338" s="93" customFormat="1" spans="3:13">
      <c r="C3338" s="94"/>
      <c r="E3338" s="94"/>
      <c r="G3338" s="94"/>
      <c r="I3338" s="94"/>
      <c r="K3338" s="94"/>
      <c r="M3338" s="94"/>
    </row>
    <row r="3339" s="93" customFormat="1" spans="3:13">
      <c r="C3339" s="94"/>
      <c r="E3339" s="94"/>
      <c r="G3339" s="94"/>
      <c r="I3339" s="94"/>
      <c r="K3339" s="94"/>
      <c r="M3339" s="94"/>
    </row>
    <row r="3340" s="93" customFormat="1" spans="3:13">
      <c r="C3340" s="94"/>
      <c r="E3340" s="94"/>
      <c r="G3340" s="94"/>
      <c r="I3340" s="94"/>
      <c r="K3340" s="94"/>
      <c r="M3340" s="94"/>
    </row>
    <row r="3341" s="93" customFormat="1" spans="3:13">
      <c r="C3341" s="94"/>
      <c r="E3341" s="94"/>
      <c r="G3341" s="94"/>
      <c r="I3341" s="94"/>
      <c r="K3341" s="94"/>
      <c r="M3341" s="94"/>
    </row>
    <row r="3342" s="93" customFormat="1" spans="3:13">
      <c r="C3342" s="94"/>
      <c r="E3342" s="94"/>
      <c r="G3342" s="94"/>
      <c r="I3342" s="94"/>
      <c r="K3342" s="94"/>
      <c r="M3342" s="94"/>
    </row>
    <row r="3343" s="93" customFormat="1" spans="3:13">
      <c r="C3343" s="94"/>
      <c r="E3343" s="94"/>
      <c r="G3343" s="94"/>
      <c r="I3343" s="94"/>
      <c r="K3343" s="94"/>
      <c r="M3343" s="94"/>
    </row>
    <row r="3344" s="93" customFormat="1" spans="3:13">
      <c r="C3344" s="94"/>
      <c r="E3344" s="94"/>
      <c r="G3344" s="94"/>
      <c r="I3344" s="94"/>
      <c r="K3344" s="94"/>
      <c r="M3344" s="94"/>
    </row>
    <row r="3345" s="93" customFormat="1" spans="3:13">
      <c r="C3345" s="94"/>
      <c r="E3345" s="94"/>
      <c r="G3345" s="94"/>
      <c r="I3345" s="94"/>
      <c r="K3345" s="94"/>
      <c r="M3345" s="94"/>
    </row>
    <row r="3346" s="93" customFormat="1" spans="3:13">
      <c r="C3346" s="94"/>
      <c r="E3346" s="94"/>
      <c r="G3346" s="94"/>
      <c r="I3346" s="94"/>
      <c r="K3346" s="94"/>
      <c r="M3346" s="94"/>
    </row>
    <row r="3347" s="93" customFormat="1" spans="3:13">
      <c r="C3347" s="94"/>
      <c r="E3347" s="94"/>
      <c r="G3347" s="94"/>
      <c r="I3347" s="94"/>
      <c r="K3347" s="94"/>
      <c r="M3347" s="94"/>
    </row>
    <row r="3348" s="93" customFormat="1" spans="3:13">
      <c r="C3348" s="94"/>
      <c r="E3348" s="94"/>
      <c r="G3348" s="94"/>
      <c r="I3348" s="94"/>
      <c r="K3348" s="94"/>
      <c r="M3348" s="94"/>
    </row>
    <row r="3349" s="93" customFormat="1" spans="3:13">
      <c r="C3349" s="94"/>
      <c r="E3349" s="94"/>
      <c r="G3349" s="94"/>
      <c r="I3349" s="94"/>
      <c r="K3349" s="94"/>
      <c r="M3349" s="94"/>
    </row>
    <row r="3350" s="93" customFormat="1" spans="3:13">
      <c r="C3350" s="94"/>
      <c r="E3350" s="94"/>
      <c r="G3350" s="94"/>
      <c r="I3350" s="94"/>
      <c r="K3350" s="94"/>
      <c r="M3350" s="94"/>
    </row>
    <row r="3351" s="93" customFormat="1" spans="3:13">
      <c r="C3351" s="94"/>
      <c r="E3351" s="94"/>
      <c r="G3351" s="94"/>
      <c r="I3351" s="94"/>
      <c r="K3351" s="94"/>
      <c r="M3351" s="94"/>
    </row>
    <row r="3352" s="93" customFormat="1" spans="3:13">
      <c r="C3352" s="94"/>
      <c r="E3352" s="94"/>
      <c r="G3352" s="94"/>
      <c r="I3352" s="94"/>
      <c r="K3352" s="94"/>
      <c r="M3352" s="94"/>
    </row>
    <row r="3353" s="93" customFormat="1" spans="3:13">
      <c r="C3353" s="94"/>
      <c r="E3353" s="94"/>
      <c r="G3353" s="94"/>
      <c r="I3353" s="94"/>
      <c r="K3353" s="94"/>
      <c r="M3353" s="94"/>
    </row>
    <row r="3354" s="93" customFormat="1" spans="3:13">
      <c r="C3354" s="94"/>
      <c r="E3354" s="94"/>
      <c r="G3354" s="94"/>
      <c r="I3354" s="94"/>
      <c r="K3354" s="94"/>
      <c r="M3354" s="94"/>
    </row>
    <row r="3355" s="93" customFormat="1" spans="3:13">
      <c r="C3355" s="94"/>
      <c r="E3355" s="94"/>
      <c r="G3355" s="94"/>
      <c r="I3355" s="94"/>
      <c r="K3355" s="94"/>
      <c r="M3355" s="94"/>
    </row>
    <row r="3356" s="93" customFormat="1" spans="3:13">
      <c r="C3356" s="94"/>
      <c r="E3356" s="94"/>
      <c r="G3356" s="94"/>
      <c r="I3356" s="94"/>
      <c r="K3356" s="94"/>
      <c r="M3356" s="94"/>
    </row>
    <row r="3357" s="93" customFormat="1" spans="3:13">
      <c r="C3357" s="94"/>
      <c r="E3357" s="94"/>
      <c r="G3357" s="94"/>
      <c r="I3357" s="94"/>
      <c r="K3357" s="94"/>
      <c r="M3357" s="94"/>
    </row>
    <row r="3358" s="93" customFormat="1" spans="3:13">
      <c r="C3358" s="94"/>
      <c r="E3358" s="94"/>
      <c r="G3358" s="94"/>
      <c r="I3358" s="94"/>
      <c r="K3358" s="94"/>
      <c r="M3358" s="94"/>
    </row>
    <row r="3359" s="93" customFormat="1" spans="3:13">
      <c r="C3359" s="94"/>
      <c r="E3359" s="94"/>
      <c r="G3359" s="94"/>
      <c r="I3359" s="94"/>
      <c r="K3359" s="94"/>
      <c r="M3359" s="94"/>
    </row>
    <row r="3360" s="93" customFormat="1" spans="3:13">
      <c r="C3360" s="94"/>
      <c r="E3360" s="94"/>
      <c r="G3360" s="94"/>
      <c r="I3360" s="94"/>
      <c r="K3360" s="94"/>
      <c r="M3360" s="94"/>
    </row>
    <row r="3361" s="93" customFormat="1" spans="3:13">
      <c r="C3361" s="94"/>
      <c r="E3361" s="94"/>
      <c r="G3361" s="94"/>
      <c r="I3361" s="94"/>
      <c r="K3361" s="94"/>
      <c r="M3361" s="94"/>
    </row>
    <row r="3362" s="93" customFormat="1" spans="3:13">
      <c r="C3362" s="94"/>
      <c r="E3362" s="94"/>
      <c r="G3362" s="94"/>
      <c r="I3362" s="94"/>
      <c r="K3362" s="94"/>
      <c r="M3362" s="94"/>
    </row>
    <row r="3363" s="93" customFormat="1" spans="3:13">
      <c r="C3363" s="94"/>
      <c r="E3363" s="94"/>
      <c r="G3363" s="94"/>
      <c r="I3363" s="94"/>
      <c r="K3363" s="94"/>
      <c r="M3363" s="94"/>
    </row>
    <row r="3364" s="93" customFormat="1" spans="3:13">
      <c r="C3364" s="94"/>
      <c r="E3364" s="94"/>
      <c r="G3364" s="94"/>
      <c r="I3364" s="94"/>
      <c r="K3364" s="94"/>
      <c r="M3364" s="94"/>
    </row>
    <row r="3365" s="93" customFormat="1" spans="3:13">
      <c r="C3365" s="94"/>
      <c r="E3365" s="94"/>
      <c r="G3365" s="94"/>
      <c r="I3365" s="94"/>
      <c r="K3365" s="94"/>
      <c r="M3365" s="94"/>
    </row>
    <row r="3366" s="93" customFormat="1" spans="3:13">
      <c r="C3366" s="94"/>
      <c r="E3366" s="94"/>
      <c r="G3366" s="94"/>
      <c r="I3366" s="94"/>
      <c r="K3366" s="94"/>
      <c r="M3366" s="94"/>
    </row>
    <row r="3367" s="93" customFormat="1" spans="3:13">
      <c r="C3367" s="94"/>
      <c r="E3367" s="94"/>
      <c r="G3367" s="94"/>
      <c r="I3367" s="94"/>
      <c r="K3367" s="94"/>
      <c r="M3367" s="94"/>
    </row>
    <row r="3368" s="93" customFormat="1" spans="3:13">
      <c r="C3368" s="94"/>
      <c r="E3368" s="94"/>
      <c r="G3368" s="94"/>
      <c r="I3368" s="94"/>
      <c r="K3368" s="94"/>
      <c r="M3368" s="94"/>
    </row>
    <row r="3369" s="93" customFormat="1" spans="3:13">
      <c r="C3369" s="94"/>
      <c r="E3369" s="94"/>
      <c r="G3369" s="94"/>
      <c r="I3369" s="94"/>
      <c r="K3369" s="94"/>
      <c r="M3369" s="94"/>
    </row>
    <row r="3370" s="93" customFormat="1" spans="3:13">
      <c r="C3370" s="94"/>
      <c r="E3370" s="94"/>
      <c r="G3370" s="94"/>
      <c r="I3370" s="94"/>
      <c r="K3370" s="94"/>
      <c r="M3370" s="94"/>
    </row>
    <row r="3371" s="93" customFormat="1" spans="3:13">
      <c r="C3371" s="94"/>
      <c r="E3371" s="94"/>
      <c r="G3371" s="94"/>
      <c r="I3371" s="94"/>
      <c r="K3371" s="94"/>
      <c r="M3371" s="94"/>
    </row>
    <row r="3372" s="93" customFormat="1" spans="3:13">
      <c r="C3372" s="94"/>
      <c r="E3372" s="94"/>
      <c r="G3372" s="94"/>
      <c r="I3372" s="94"/>
      <c r="K3372" s="94"/>
      <c r="M3372" s="94"/>
    </row>
    <row r="3373" s="93" customFormat="1" spans="3:13">
      <c r="C3373" s="94"/>
      <c r="E3373" s="94"/>
      <c r="G3373" s="94"/>
      <c r="I3373" s="94"/>
      <c r="K3373" s="94"/>
      <c r="M3373" s="94"/>
    </row>
    <row r="3374" s="93" customFormat="1" spans="3:13">
      <c r="C3374" s="94"/>
      <c r="E3374" s="94"/>
      <c r="G3374" s="94"/>
      <c r="I3374" s="94"/>
      <c r="K3374" s="94"/>
      <c r="M3374" s="94"/>
    </row>
    <row r="3375" s="93" customFormat="1" spans="3:13">
      <c r="C3375" s="94"/>
      <c r="E3375" s="94"/>
      <c r="G3375" s="94"/>
      <c r="I3375" s="94"/>
      <c r="K3375" s="94"/>
      <c r="M3375" s="94"/>
    </row>
    <row r="3376" s="93" customFormat="1" spans="3:13">
      <c r="C3376" s="94"/>
      <c r="E3376" s="94"/>
      <c r="G3376" s="94"/>
      <c r="I3376" s="94"/>
      <c r="K3376" s="94"/>
      <c r="M3376" s="94"/>
    </row>
    <row r="3377" s="93" customFormat="1" spans="3:13">
      <c r="C3377" s="94"/>
      <c r="E3377" s="94"/>
      <c r="G3377" s="94"/>
      <c r="I3377" s="94"/>
      <c r="K3377" s="94"/>
      <c r="M3377" s="94"/>
    </row>
    <row r="3378" s="93" customFormat="1" spans="3:13">
      <c r="C3378" s="94"/>
      <c r="E3378" s="94"/>
      <c r="G3378" s="94"/>
      <c r="I3378" s="94"/>
      <c r="K3378" s="94"/>
      <c r="M3378" s="94"/>
    </row>
    <row r="3379" s="93" customFormat="1" spans="3:13">
      <c r="C3379" s="94"/>
      <c r="E3379" s="94"/>
      <c r="G3379" s="94"/>
      <c r="I3379" s="94"/>
      <c r="K3379" s="94"/>
      <c r="M3379" s="94"/>
    </row>
    <row r="3380" s="93" customFormat="1" spans="3:13">
      <c r="C3380" s="94"/>
      <c r="E3380" s="94"/>
      <c r="G3380" s="94"/>
      <c r="I3380" s="94"/>
      <c r="K3380" s="94"/>
      <c r="M3380" s="94"/>
    </row>
    <row r="3381" s="93" customFormat="1" spans="3:13">
      <c r="C3381" s="94"/>
      <c r="E3381" s="94"/>
      <c r="G3381" s="94"/>
      <c r="I3381" s="94"/>
      <c r="K3381" s="94"/>
      <c r="M3381" s="94"/>
    </row>
    <row r="3382" s="93" customFormat="1" spans="3:13">
      <c r="C3382" s="94"/>
      <c r="E3382" s="94"/>
      <c r="G3382" s="94"/>
      <c r="I3382" s="94"/>
      <c r="K3382" s="94"/>
      <c r="M3382" s="94"/>
    </row>
    <row r="3383" s="93" customFormat="1" spans="3:13">
      <c r="C3383" s="94"/>
      <c r="E3383" s="94"/>
      <c r="G3383" s="94"/>
      <c r="I3383" s="94"/>
      <c r="K3383" s="94"/>
      <c r="M3383" s="94"/>
    </row>
    <row r="3384" s="93" customFormat="1" spans="3:13">
      <c r="C3384" s="94"/>
      <c r="E3384" s="94"/>
      <c r="G3384" s="94"/>
      <c r="I3384" s="94"/>
      <c r="K3384" s="94"/>
      <c r="M3384" s="94"/>
    </row>
    <row r="3385" s="93" customFormat="1" spans="3:13">
      <c r="C3385" s="94"/>
      <c r="E3385" s="94"/>
      <c r="G3385" s="94"/>
      <c r="I3385" s="94"/>
      <c r="K3385" s="94"/>
      <c r="M3385" s="94"/>
    </row>
    <row r="3386" s="93" customFormat="1" spans="3:13">
      <c r="C3386" s="94"/>
      <c r="E3386" s="94"/>
      <c r="G3386" s="94"/>
      <c r="I3386" s="94"/>
      <c r="K3386" s="94"/>
      <c r="M3386" s="94"/>
    </row>
    <row r="3387" s="93" customFormat="1" spans="3:13">
      <c r="C3387" s="94"/>
      <c r="E3387" s="94"/>
      <c r="G3387" s="94"/>
      <c r="I3387" s="94"/>
      <c r="K3387" s="94"/>
      <c r="M3387" s="94"/>
    </row>
    <row r="3388" s="93" customFormat="1" spans="3:13">
      <c r="C3388" s="94"/>
      <c r="E3388" s="94"/>
      <c r="G3388" s="94"/>
      <c r="I3388" s="94"/>
      <c r="K3388" s="94"/>
      <c r="M3388" s="94"/>
    </row>
    <row r="3389" s="93" customFormat="1" spans="3:13">
      <c r="C3389" s="94"/>
      <c r="E3389" s="94"/>
      <c r="G3389" s="94"/>
      <c r="I3389" s="94"/>
      <c r="K3389" s="94"/>
      <c r="M3389" s="94"/>
    </row>
    <row r="3390" s="93" customFormat="1" spans="3:13">
      <c r="C3390" s="94"/>
      <c r="E3390" s="94"/>
      <c r="G3390" s="94"/>
      <c r="I3390" s="94"/>
      <c r="K3390" s="94"/>
      <c r="M3390" s="94"/>
    </row>
    <row r="3391" s="93" customFormat="1" spans="3:13">
      <c r="C3391" s="94"/>
      <c r="E3391" s="94"/>
      <c r="G3391" s="94"/>
      <c r="I3391" s="94"/>
      <c r="K3391" s="94"/>
      <c r="M3391" s="94"/>
    </row>
    <row r="3392" s="93" customFormat="1" spans="3:13">
      <c r="C3392" s="94"/>
      <c r="E3392" s="94"/>
      <c r="G3392" s="94"/>
      <c r="I3392" s="94"/>
      <c r="K3392" s="94"/>
      <c r="M3392" s="94"/>
    </row>
    <row r="3393" s="93" customFormat="1" spans="3:13">
      <c r="C3393" s="94"/>
      <c r="E3393" s="94"/>
      <c r="G3393" s="94"/>
      <c r="I3393" s="94"/>
      <c r="K3393" s="94"/>
      <c r="M3393" s="94"/>
    </row>
    <row r="3394" s="93" customFormat="1" spans="3:13">
      <c r="C3394" s="94"/>
      <c r="E3394" s="94"/>
      <c r="G3394" s="94"/>
      <c r="I3394" s="94"/>
      <c r="K3394" s="94"/>
      <c r="M3394" s="94"/>
    </row>
    <row r="3395" s="93" customFormat="1" spans="3:13">
      <c r="C3395" s="94"/>
      <c r="E3395" s="94"/>
      <c r="G3395" s="94"/>
      <c r="I3395" s="94"/>
      <c r="K3395" s="94"/>
      <c r="M3395" s="94"/>
    </row>
    <row r="3396" s="93" customFormat="1" spans="3:13">
      <c r="C3396" s="94"/>
      <c r="E3396" s="94"/>
      <c r="G3396" s="94"/>
      <c r="I3396" s="94"/>
      <c r="K3396" s="94"/>
      <c r="M3396" s="94"/>
    </row>
    <row r="3397" s="93" customFormat="1" spans="3:13">
      <c r="C3397" s="94"/>
      <c r="E3397" s="94"/>
      <c r="G3397" s="94"/>
      <c r="I3397" s="94"/>
      <c r="K3397" s="94"/>
      <c r="M3397" s="94"/>
    </row>
    <row r="3398" s="93" customFormat="1" spans="3:13">
      <c r="C3398" s="94"/>
      <c r="E3398" s="94"/>
      <c r="G3398" s="94"/>
      <c r="I3398" s="94"/>
      <c r="K3398" s="94"/>
      <c r="M3398" s="94"/>
    </row>
    <row r="3399" s="93" customFormat="1" spans="3:13">
      <c r="C3399" s="94"/>
      <c r="E3399" s="94"/>
      <c r="G3399" s="94"/>
      <c r="I3399" s="94"/>
      <c r="K3399" s="94"/>
      <c r="M3399" s="94"/>
    </row>
    <row r="3400" s="93" customFormat="1" spans="3:13">
      <c r="C3400" s="94"/>
      <c r="E3400" s="94"/>
      <c r="G3400" s="94"/>
      <c r="I3400" s="94"/>
      <c r="K3400" s="94"/>
      <c r="M3400" s="94"/>
    </row>
    <row r="3401" s="93" customFormat="1" spans="3:13">
      <c r="C3401" s="94"/>
      <c r="E3401" s="94"/>
      <c r="G3401" s="94"/>
      <c r="I3401" s="94"/>
      <c r="K3401" s="94"/>
      <c r="M3401" s="94"/>
    </row>
    <row r="3402" s="93" customFormat="1" spans="3:13">
      <c r="C3402" s="94"/>
      <c r="E3402" s="94"/>
      <c r="G3402" s="94"/>
      <c r="I3402" s="94"/>
      <c r="K3402" s="94"/>
      <c r="M3402" s="94"/>
    </row>
    <row r="3403" s="93" customFormat="1" spans="3:13">
      <c r="C3403" s="94"/>
      <c r="E3403" s="94"/>
      <c r="G3403" s="94"/>
      <c r="I3403" s="94"/>
      <c r="K3403" s="94"/>
      <c r="M3403" s="94"/>
    </row>
    <row r="3404" s="93" customFormat="1" spans="3:13">
      <c r="C3404" s="94"/>
      <c r="E3404" s="94"/>
      <c r="G3404" s="94"/>
      <c r="I3404" s="94"/>
      <c r="K3404" s="94"/>
      <c r="M3404" s="94"/>
    </row>
    <row r="3405" s="93" customFormat="1" spans="3:13">
      <c r="C3405" s="94"/>
      <c r="E3405" s="94"/>
      <c r="G3405" s="94"/>
      <c r="I3405" s="94"/>
      <c r="K3405" s="94"/>
      <c r="M3405" s="94"/>
    </row>
    <row r="3406" s="93" customFormat="1" spans="3:13">
      <c r="C3406" s="94"/>
      <c r="E3406" s="94"/>
      <c r="G3406" s="94"/>
      <c r="I3406" s="94"/>
      <c r="K3406" s="94"/>
      <c r="M3406" s="94"/>
    </row>
    <row r="3407" s="93" customFormat="1" spans="3:13">
      <c r="C3407" s="94"/>
      <c r="E3407" s="94"/>
      <c r="G3407" s="94"/>
      <c r="I3407" s="94"/>
      <c r="K3407" s="94"/>
      <c r="M3407" s="94"/>
    </row>
    <row r="3408" s="93" customFormat="1" spans="3:13">
      <c r="C3408" s="94"/>
      <c r="E3408" s="94"/>
      <c r="G3408" s="94"/>
      <c r="I3408" s="94"/>
      <c r="K3408" s="94"/>
      <c r="M3408" s="94"/>
    </row>
    <row r="3409" s="93" customFormat="1" spans="3:13">
      <c r="C3409" s="94"/>
      <c r="E3409" s="94"/>
      <c r="G3409" s="94"/>
      <c r="I3409" s="94"/>
      <c r="K3409" s="94"/>
      <c r="M3409" s="94"/>
    </row>
    <row r="3410" s="93" customFormat="1" spans="3:13">
      <c r="C3410" s="94"/>
      <c r="E3410" s="94"/>
      <c r="G3410" s="94"/>
      <c r="I3410" s="94"/>
      <c r="K3410" s="94"/>
      <c r="M3410" s="94"/>
    </row>
    <row r="3411" s="93" customFormat="1" spans="3:13">
      <c r="C3411" s="94"/>
      <c r="E3411" s="94"/>
      <c r="G3411" s="94"/>
      <c r="I3411" s="94"/>
      <c r="K3411" s="94"/>
      <c r="M3411" s="94"/>
    </row>
    <row r="3412" s="93" customFormat="1" spans="3:13">
      <c r="C3412" s="94"/>
      <c r="E3412" s="94"/>
      <c r="G3412" s="94"/>
      <c r="I3412" s="94"/>
      <c r="K3412" s="94"/>
      <c r="M3412" s="94"/>
    </row>
    <row r="3413" s="93" customFormat="1" spans="3:13">
      <c r="C3413" s="94"/>
      <c r="E3413" s="94"/>
      <c r="G3413" s="94"/>
      <c r="I3413" s="94"/>
      <c r="K3413" s="94"/>
      <c r="M3413" s="94"/>
    </row>
    <row r="3414" s="93" customFormat="1" spans="3:13">
      <c r="C3414" s="94"/>
      <c r="E3414" s="94"/>
      <c r="G3414" s="94"/>
      <c r="I3414" s="94"/>
      <c r="K3414" s="94"/>
      <c r="M3414" s="94"/>
    </row>
    <row r="3415" s="93" customFormat="1" spans="3:13">
      <c r="C3415" s="94"/>
      <c r="E3415" s="94"/>
      <c r="G3415" s="94"/>
      <c r="I3415" s="94"/>
      <c r="K3415" s="94"/>
      <c r="M3415" s="94"/>
    </row>
    <row r="3416" s="93" customFormat="1" spans="3:13">
      <c r="C3416" s="94"/>
      <c r="E3416" s="94"/>
      <c r="G3416" s="94"/>
      <c r="I3416" s="94"/>
      <c r="K3416" s="94"/>
      <c r="M3416" s="94"/>
    </row>
    <row r="3417" s="93" customFormat="1" spans="3:13">
      <c r="C3417" s="94"/>
      <c r="E3417" s="94"/>
      <c r="G3417" s="94"/>
      <c r="I3417" s="94"/>
      <c r="K3417" s="94"/>
      <c r="M3417" s="94"/>
    </row>
    <row r="3418" s="93" customFormat="1" spans="3:13">
      <c r="C3418" s="94"/>
      <c r="E3418" s="94"/>
      <c r="G3418" s="94"/>
      <c r="I3418" s="94"/>
      <c r="K3418" s="94"/>
      <c r="M3418" s="94"/>
    </row>
    <row r="3419" s="93" customFormat="1" spans="3:13">
      <c r="C3419" s="94"/>
      <c r="E3419" s="94"/>
      <c r="G3419" s="94"/>
      <c r="I3419" s="94"/>
      <c r="K3419" s="94"/>
      <c r="M3419" s="94"/>
    </row>
    <row r="3420" s="93" customFormat="1" spans="3:13">
      <c r="C3420" s="94"/>
      <c r="E3420" s="94"/>
      <c r="G3420" s="94"/>
      <c r="I3420" s="94"/>
      <c r="K3420" s="94"/>
      <c r="M3420" s="94"/>
    </row>
    <row r="3421" s="93" customFormat="1" spans="3:13">
      <c r="C3421" s="94"/>
      <c r="E3421" s="94"/>
      <c r="G3421" s="94"/>
      <c r="I3421" s="94"/>
      <c r="K3421" s="94"/>
      <c r="M3421" s="94"/>
    </row>
    <row r="3422" s="93" customFormat="1" spans="3:13">
      <c r="C3422" s="94"/>
      <c r="E3422" s="94"/>
      <c r="G3422" s="94"/>
      <c r="I3422" s="94"/>
      <c r="K3422" s="94"/>
      <c r="M3422" s="94"/>
    </row>
    <row r="3423" s="93" customFormat="1" spans="3:13">
      <c r="C3423" s="94"/>
      <c r="E3423" s="94"/>
      <c r="G3423" s="94"/>
      <c r="I3423" s="94"/>
      <c r="K3423" s="94"/>
      <c r="M3423" s="94"/>
    </row>
    <row r="3424" s="93" customFormat="1" spans="3:13">
      <c r="C3424" s="94"/>
      <c r="E3424" s="94"/>
      <c r="G3424" s="94"/>
      <c r="I3424" s="94"/>
      <c r="K3424" s="94"/>
      <c r="M3424" s="94"/>
    </row>
    <row r="3425" s="93" customFormat="1" spans="3:13">
      <c r="C3425" s="94"/>
      <c r="E3425" s="94"/>
      <c r="G3425" s="94"/>
      <c r="I3425" s="94"/>
      <c r="K3425" s="94"/>
      <c r="M3425" s="94"/>
    </row>
    <row r="3426" s="93" customFormat="1" spans="3:13">
      <c r="C3426" s="94"/>
      <c r="E3426" s="94"/>
      <c r="G3426" s="94"/>
      <c r="I3426" s="94"/>
      <c r="K3426" s="94"/>
      <c r="M3426" s="94"/>
    </row>
    <row r="3427" s="93" customFormat="1" spans="3:13">
      <c r="C3427" s="94"/>
      <c r="E3427" s="94"/>
      <c r="G3427" s="94"/>
      <c r="I3427" s="94"/>
      <c r="K3427" s="94"/>
      <c r="M3427" s="94"/>
    </row>
    <row r="3428" s="93" customFormat="1" spans="3:13">
      <c r="C3428" s="94"/>
      <c r="E3428" s="94"/>
      <c r="G3428" s="94"/>
      <c r="I3428" s="94"/>
      <c r="K3428" s="94"/>
      <c r="M3428" s="94"/>
    </row>
    <row r="3429" s="93" customFormat="1" spans="3:13">
      <c r="C3429" s="94"/>
      <c r="E3429" s="94"/>
      <c r="G3429" s="94"/>
      <c r="I3429" s="94"/>
      <c r="K3429" s="94"/>
      <c r="M3429" s="94"/>
    </row>
    <row r="3430" s="93" customFormat="1" spans="3:13">
      <c r="C3430" s="94"/>
      <c r="E3430" s="94"/>
      <c r="G3430" s="94"/>
      <c r="I3430" s="94"/>
      <c r="K3430" s="94"/>
      <c r="M3430" s="94"/>
    </row>
    <row r="3431" s="93" customFormat="1" spans="3:13">
      <c r="C3431" s="94"/>
      <c r="E3431" s="94"/>
      <c r="G3431" s="94"/>
      <c r="I3431" s="94"/>
      <c r="K3431" s="94"/>
      <c r="M3431" s="94"/>
    </row>
    <row r="3432" s="93" customFormat="1" spans="3:13">
      <c r="C3432" s="94"/>
      <c r="E3432" s="94"/>
      <c r="G3432" s="94"/>
      <c r="I3432" s="94"/>
      <c r="K3432" s="94"/>
      <c r="M3432" s="94"/>
    </row>
    <row r="3433" s="93" customFormat="1" spans="3:13">
      <c r="C3433" s="94"/>
      <c r="E3433" s="94"/>
      <c r="G3433" s="94"/>
      <c r="I3433" s="94"/>
      <c r="K3433" s="94"/>
      <c r="M3433" s="94"/>
    </row>
    <row r="3434" s="93" customFormat="1" spans="3:13">
      <c r="C3434" s="94"/>
      <c r="E3434" s="94"/>
      <c r="G3434" s="94"/>
      <c r="I3434" s="94"/>
      <c r="K3434" s="94"/>
      <c r="M3434" s="94"/>
    </row>
    <row r="3435" s="93" customFormat="1" spans="3:13">
      <c r="C3435" s="94"/>
      <c r="E3435" s="94"/>
      <c r="G3435" s="94"/>
      <c r="I3435" s="94"/>
      <c r="K3435" s="94"/>
      <c r="M3435" s="94"/>
    </row>
    <row r="3436" s="93" customFormat="1" spans="3:13">
      <c r="C3436" s="94"/>
      <c r="E3436" s="94"/>
      <c r="G3436" s="94"/>
      <c r="I3436" s="94"/>
      <c r="K3436" s="94"/>
      <c r="M3436" s="94"/>
    </row>
    <row r="3437" s="93" customFormat="1" spans="3:13">
      <c r="C3437" s="94"/>
      <c r="E3437" s="94"/>
      <c r="G3437" s="94"/>
      <c r="I3437" s="94"/>
      <c r="K3437" s="94"/>
      <c r="M3437" s="94"/>
    </row>
    <row r="3438" s="93" customFormat="1" spans="3:13">
      <c r="C3438" s="94"/>
      <c r="E3438" s="94"/>
      <c r="G3438" s="94"/>
      <c r="I3438" s="94"/>
      <c r="K3438" s="94"/>
      <c r="M3438" s="94"/>
    </row>
    <row r="3439" s="93" customFormat="1" spans="3:13">
      <c r="C3439" s="94"/>
      <c r="E3439" s="94"/>
      <c r="G3439" s="94"/>
      <c r="I3439" s="94"/>
      <c r="K3439" s="94"/>
      <c r="M3439" s="94"/>
    </row>
    <row r="3440" s="93" customFormat="1" spans="3:13">
      <c r="C3440" s="94"/>
      <c r="E3440" s="94"/>
      <c r="G3440" s="94"/>
      <c r="I3440" s="94"/>
      <c r="K3440" s="94"/>
      <c r="M3440" s="94"/>
    </row>
    <row r="3441" s="93" customFormat="1" spans="3:13">
      <c r="C3441" s="94"/>
      <c r="E3441" s="94"/>
      <c r="G3441" s="94"/>
      <c r="I3441" s="94"/>
      <c r="K3441" s="94"/>
      <c r="M3441" s="94"/>
    </row>
    <row r="3442" s="93" customFormat="1" spans="3:13">
      <c r="C3442" s="94"/>
      <c r="E3442" s="94"/>
      <c r="G3442" s="94"/>
      <c r="I3442" s="94"/>
      <c r="K3442" s="94"/>
      <c r="M3442" s="94"/>
    </row>
    <row r="3443" s="93" customFormat="1" spans="3:13">
      <c r="C3443" s="94"/>
      <c r="E3443" s="94"/>
      <c r="G3443" s="94"/>
      <c r="I3443" s="94"/>
      <c r="K3443" s="94"/>
      <c r="M3443" s="94"/>
    </row>
    <row r="3444" s="93" customFormat="1" spans="3:13">
      <c r="C3444" s="94"/>
      <c r="E3444" s="94"/>
      <c r="G3444" s="94"/>
      <c r="I3444" s="94"/>
      <c r="K3444" s="94"/>
      <c r="M3444" s="94"/>
    </row>
    <row r="3445" s="93" customFormat="1" spans="3:13">
      <c r="C3445" s="94"/>
      <c r="E3445" s="94"/>
      <c r="G3445" s="94"/>
      <c r="I3445" s="94"/>
      <c r="K3445" s="94"/>
      <c r="M3445" s="94"/>
    </row>
    <row r="3446" s="93" customFormat="1" spans="3:13">
      <c r="C3446" s="94"/>
      <c r="E3446" s="94"/>
      <c r="G3446" s="94"/>
      <c r="I3446" s="94"/>
      <c r="K3446" s="94"/>
      <c r="M3446" s="94"/>
    </row>
    <row r="3447" s="93" customFormat="1" spans="3:13">
      <c r="C3447" s="94"/>
      <c r="E3447" s="94"/>
      <c r="G3447" s="94"/>
      <c r="I3447" s="94"/>
      <c r="K3447" s="94"/>
      <c r="M3447" s="94"/>
    </row>
    <row r="3448" s="93" customFormat="1" spans="3:13">
      <c r="C3448" s="94"/>
      <c r="E3448" s="94"/>
      <c r="G3448" s="94"/>
      <c r="I3448" s="94"/>
      <c r="K3448" s="94"/>
      <c r="M3448" s="94"/>
    </row>
    <row r="3449" s="93" customFormat="1" spans="3:13">
      <c r="C3449" s="94"/>
      <c r="E3449" s="94"/>
      <c r="G3449" s="94"/>
      <c r="I3449" s="94"/>
      <c r="K3449" s="94"/>
      <c r="M3449" s="94"/>
    </row>
    <row r="3450" s="93" customFormat="1" spans="3:13">
      <c r="C3450" s="94"/>
      <c r="E3450" s="94"/>
      <c r="G3450" s="94"/>
      <c r="I3450" s="94"/>
      <c r="K3450" s="94"/>
      <c r="M3450" s="94"/>
    </row>
    <row r="3451" s="93" customFormat="1" spans="3:13">
      <c r="C3451" s="94"/>
      <c r="E3451" s="94"/>
      <c r="G3451" s="94"/>
      <c r="I3451" s="94"/>
      <c r="K3451" s="94"/>
      <c r="M3451" s="94"/>
    </row>
    <row r="3452" s="93" customFormat="1" spans="3:13">
      <c r="C3452" s="94"/>
      <c r="E3452" s="94"/>
      <c r="G3452" s="94"/>
      <c r="I3452" s="94"/>
      <c r="K3452" s="94"/>
      <c r="M3452" s="94"/>
    </row>
    <row r="3453" s="93" customFormat="1" spans="3:13">
      <c r="C3453" s="94"/>
      <c r="E3453" s="94"/>
      <c r="G3453" s="94"/>
      <c r="I3453" s="94"/>
      <c r="K3453" s="94"/>
      <c r="M3453" s="94"/>
    </row>
    <row r="3454" s="93" customFormat="1" spans="3:13">
      <c r="C3454" s="94"/>
      <c r="E3454" s="94"/>
      <c r="G3454" s="94"/>
      <c r="I3454" s="94"/>
      <c r="K3454" s="94"/>
      <c r="M3454" s="94"/>
    </row>
    <row r="3455" s="93" customFormat="1" spans="3:13">
      <c r="C3455" s="94"/>
      <c r="E3455" s="94"/>
      <c r="G3455" s="94"/>
      <c r="I3455" s="94"/>
      <c r="K3455" s="94"/>
      <c r="M3455" s="94"/>
    </row>
    <row r="3456" s="93" customFormat="1" spans="3:13">
      <c r="C3456" s="94"/>
      <c r="E3456" s="94"/>
      <c r="G3456" s="94"/>
      <c r="I3456" s="94"/>
      <c r="K3456" s="94"/>
      <c r="M3456" s="94"/>
    </row>
    <row r="3457" s="93" customFormat="1" spans="3:13">
      <c r="C3457" s="94"/>
      <c r="E3457" s="94"/>
      <c r="G3457" s="94"/>
      <c r="I3457" s="94"/>
      <c r="K3457" s="94"/>
      <c r="M3457" s="94"/>
    </row>
    <row r="3458" s="93" customFormat="1" spans="3:13">
      <c r="C3458" s="94"/>
      <c r="E3458" s="94"/>
      <c r="G3458" s="94"/>
      <c r="I3458" s="94"/>
      <c r="K3458" s="94"/>
      <c r="M3458" s="94"/>
    </row>
    <row r="3459" s="93" customFormat="1" spans="3:13">
      <c r="C3459" s="94"/>
      <c r="E3459" s="94"/>
      <c r="G3459" s="94"/>
      <c r="I3459" s="94"/>
      <c r="K3459" s="94"/>
      <c r="M3459" s="94"/>
    </row>
    <row r="3460" s="93" customFormat="1" spans="3:13">
      <c r="C3460" s="94"/>
      <c r="E3460" s="94"/>
      <c r="G3460" s="94"/>
      <c r="I3460" s="94"/>
      <c r="K3460" s="94"/>
      <c r="M3460" s="94"/>
    </row>
    <row r="3461" s="93" customFormat="1" spans="3:13">
      <c r="C3461" s="94"/>
      <c r="E3461" s="94"/>
      <c r="G3461" s="94"/>
      <c r="I3461" s="94"/>
      <c r="K3461" s="94"/>
      <c r="M3461" s="94"/>
    </row>
    <row r="3462" s="93" customFormat="1" spans="3:13">
      <c r="C3462" s="94"/>
      <c r="E3462" s="94"/>
      <c r="G3462" s="94"/>
      <c r="I3462" s="94"/>
      <c r="K3462" s="94"/>
      <c r="M3462" s="94"/>
    </row>
    <row r="3463" s="93" customFormat="1" spans="3:13">
      <c r="C3463" s="94"/>
      <c r="E3463" s="94"/>
      <c r="G3463" s="94"/>
      <c r="I3463" s="94"/>
      <c r="K3463" s="94"/>
      <c r="M3463" s="94"/>
    </row>
    <row r="3464" s="93" customFormat="1" spans="3:13">
      <c r="C3464" s="94"/>
      <c r="E3464" s="94"/>
      <c r="G3464" s="94"/>
      <c r="I3464" s="94"/>
      <c r="K3464" s="94"/>
      <c r="M3464" s="94"/>
    </row>
    <row r="3465" s="93" customFormat="1" spans="3:13">
      <c r="C3465" s="94"/>
      <c r="E3465" s="94"/>
      <c r="G3465" s="94"/>
      <c r="I3465" s="94"/>
      <c r="K3465" s="94"/>
      <c r="M3465" s="94"/>
    </row>
    <row r="3466" s="93" customFormat="1" spans="3:13">
      <c r="C3466" s="94"/>
      <c r="E3466" s="94"/>
      <c r="G3466" s="94"/>
      <c r="I3466" s="94"/>
      <c r="K3466" s="94"/>
      <c r="M3466" s="94"/>
    </row>
    <row r="3467" s="93" customFormat="1" spans="3:13">
      <c r="C3467" s="94"/>
      <c r="E3467" s="94"/>
      <c r="G3467" s="94"/>
      <c r="I3467" s="94"/>
      <c r="K3467" s="94"/>
      <c r="M3467" s="94"/>
    </row>
    <row r="3468" s="93" customFormat="1" spans="3:13">
      <c r="C3468" s="94"/>
      <c r="E3468" s="94"/>
      <c r="G3468" s="94"/>
      <c r="I3468" s="94"/>
      <c r="K3468" s="94"/>
      <c r="M3468" s="94"/>
    </row>
    <row r="3469" s="93" customFormat="1" spans="3:13">
      <c r="C3469" s="94"/>
      <c r="E3469" s="94"/>
      <c r="G3469" s="94"/>
      <c r="I3469" s="94"/>
      <c r="K3469" s="94"/>
      <c r="M3469" s="94"/>
    </row>
    <row r="3470" s="93" customFormat="1" spans="3:13">
      <c r="C3470" s="94"/>
      <c r="E3470" s="94"/>
      <c r="G3470" s="94"/>
      <c r="I3470" s="94"/>
      <c r="K3470" s="94"/>
      <c r="M3470" s="94"/>
    </row>
    <row r="3471" s="93" customFormat="1" spans="3:13">
      <c r="C3471" s="94"/>
      <c r="E3471" s="94"/>
      <c r="G3471" s="94"/>
      <c r="I3471" s="94"/>
      <c r="K3471" s="94"/>
      <c r="M3471" s="94"/>
    </row>
    <row r="3472" s="93" customFormat="1" spans="3:13">
      <c r="C3472" s="94"/>
      <c r="E3472" s="94"/>
      <c r="G3472" s="94"/>
      <c r="I3472" s="94"/>
      <c r="K3472" s="94"/>
      <c r="M3472" s="94"/>
    </row>
    <row r="3473" s="93" customFormat="1" spans="3:13">
      <c r="C3473" s="94"/>
      <c r="E3473" s="94"/>
      <c r="G3473" s="94"/>
      <c r="I3473" s="94"/>
      <c r="K3473" s="94"/>
      <c r="M3473" s="94"/>
    </row>
    <row r="3474" s="93" customFormat="1" spans="3:13">
      <c r="C3474" s="94"/>
      <c r="E3474" s="94"/>
      <c r="G3474" s="94"/>
      <c r="I3474" s="94"/>
      <c r="K3474" s="94"/>
      <c r="M3474" s="94"/>
    </row>
    <row r="3475" s="93" customFormat="1" spans="3:13">
      <c r="C3475" s="94"/>
      <c r="E3475" s="94"/>
      <c r="G3475" s="94"/>
      <c r="I3475" s="94"/>
      <c r="K3475" s="94"/>
      <c r="M3475" s="94"/>
    </row>
    <row r="3476" s="93" customFormat="1" spans="3:13">
      <c r="C3476" s="94"/>
      <c r="E3476" s="94"/>
      <c r="G3476" s="94"/>
      <c r="I3476" s="94"/>
      <c r="K3476" s="94"/>
      <c r="M3476" s="94"/>
    </row>
    <row r="3477" s="93" customFormat="1" spans="3:13">
      <c r="C3477" s="94"/>
      <c r="E3477" s="94"/>
      <c r="G3477" s="94"/>
      <c r="I3477" s="94"/>
      <c r="K3477" s="94"/>
      <c r="M3477" s="94"/>
    </row>
    <row r="3478" s="93" customFormat="1" spans="3:13">
      <c r="C3478" s="94"/>
      <c r="E3478" s="94"/>
      <c r="G3478" s="94"/>
      <c r="I3478" s="94"/>
      <c r="K3478" s="94"/>
      <c r="M3478" s="94"/>
    </row>
    <row r="3479" s="93" customFormat="1" spans="3:13">
      <c r="C3479" s="94"/>
      <c r="E3479" s="94"/>
      <c r="G3479" s="94"/>
      <c r="I3479" s="94"/>
      <c r="K3479" s="94"/>
      <c r="M3479" s="94"/>
    </row>
    <row r="3480" s="93" customFormat="1" spans="3:13">
      <c r="C3480" s="94"/>
      <c r="E3480" s="94"/>
      <c r="G3480" s="94"/>
      <c r="I3480" s="94"/>
      <c r="K3480" s="94"/>
      <c r="M3480" s="94"/>
    </row>
    <row r="3481" s="93" customFormat="1" spans="3:13">
      <c r="C3481" s="94"/>
      <c r="E3481" s="94"/>
      <c r="G3481" s="94"/>
      <c r="I3481" s="94"/>
      <c r="K3481" s="94"/>
      <c r="M3481" s="94"/>
    </row>
    <row r="3482" s="93" customFormat="1" spans="3:13">
      <c r="C3482" s="94"/>
      <c r="E3482" s="94"/>
      <c r="G3482" s="94"/>
      <c r="I3482" s="94"/>
      <c r="K3482" s="94"/>
      <c r="M3482" s="94"/>
    </row>
    <row r="3483" s="93" customFormat="1" spans="3:13">
      <c r="C3483" s="94"/>
      <c r="E3483" s="94"/>
      <c r="G3483" s="94"/>
      <c r="I3483" s="94"/>
      <c r="K3483" s="94"/>
      <c r="M3483" s="94"/>
    </row>
    <row r="3484" s="93" customFormat="1" spans="3:13">
      <c r="C3484" s="94"/>
      <c r="E3484" s="94"/>
      <c r="G3484" s="94"/>
      <c r="I3484" s="94"/>
      <c r="K3484" s="94"/>
      <c r="M3484" s="94"/>
    </row>
    <row r="3485" s="93" customFormat="1" spans="3:13">
      <c r="C3485" s="94"/>
      <c r="E3485" s="94"/>
      <c r="G3485" s="94"/>
      <c r="I3485" s="94"/>
      <c r="K3485" s="94"/>
      <c r="M3485" s="94"/>
    </row>
    <row r="3486" s="93" customFormat="1" spans="3:13">
      <c r="C3486" s="94"/>
      <c r="E3486" s="94"/>
      <c r="G3486" s="94"/>
      <c r="I3486" s="94"/>
      <c r="K3486" s="94"/>
      <c r="M3486" s="94"/>
    </row>
    <row r="3487" s="93" customFormat="1" spans="3:13">
      <c r="C3487" s="94"/>
      <c r="E3487" s="94"/>
      <c r="G3487" s="94"/>
      <c r="I3487" s="94"/>
      <c r="K3487" s="94"/>
      <c r="M3487" s="94"/>
    </row>
    <row r="3488" s="93" customFormat="1" spans="3:13">
      <c r="C3488" s="94"/>
      <c r="E3488" s="94"/>
      <c r="G3488" s="94"/>
      <c r="I3488" s="94"/>
      <c r="K3488" s="94"/>
      <c r="M3488" s="94"/>
    </row>
    <row r="3489" s="93" customFormat="1" spans="3:13">
      <c r="C3489" s="94"/>
      <c r="E3489" s="94"/>
      <c r="G3489" s="94"/>
      <c r="I3489" s="94"/>
      <c r="K3489" s="94"/>
      <c r="M3489" s="94"/>
    </row>
    <row r="3490" s="93" customFormat="1" spans="3:13">
      <c r="C3490" s="94"/>
      <c r="E3490" s="94"/>
      <c r="G3490" s="94"/>
      <c r="I3490" s="94"/>
      <c r="K3490" s="94"/>
      <c r="M3490" s="94"/>
    </row>
    <row r="3491" s="93" customFormat="1" spans="3:13">
      <c r="C3491" s="94"/>
      <c r="E3491" s="94"/>
      <c r="G3491" s="94"/>
      <c r="I3491" s="94"/>
      <c r="K3491" s="94"/>
      <c r="M3491" s="94"/>
    </row>
    <row r="3492" s="93" customFormat="1" spans="3:13">
      <c r="C3492" s="94"/>
      <c r="E3492" s="94"/>
      <c r="G3492" s="94"/>
      <c r="I3492" s="94"/>
      <c r="K3492" s="94"/>
      <c r="M3492" s="94"/>
    </row>
    <row r="3493" s="93" customFormat="1" spans="3:13">
      <c r="C3493" s="94"/>
      <c r="E3493" s="94"/>
      <c r="G3493" s="94"/>
      <c r="I3493" s="94"/>
      <c r="K3493" s="94"/>
      <c r="M3493" s="94"/>
    </row>
    <row r="3494" s="93" customFormat="1" spans="3:13">
      <c r="C3494" s="94"/>
      <c r="E3494" s="94"/>
      <c r="G3494" s="94"/>
      <c r="I3494" s="94"/>
      <c r="K3494" s="94"/>
      <c r="M3494" s="94"/>
    </row>
    <row r="3495" s="93" customFormat="1" spans="3:13">
      <c r="C3495" s="94"/>
      <c r="E3495" s="94"/>
      <c r="G3495" s="94"/>
      <c r="I3495" s="94"/>
      <c r="K3495" s="94"/>
      <c r="M3495" s="94"/>
    </row>
    <row r="3496" s="93" customFormat="1" spans="3:13">
      <c r="C3496" s="94"/>
      <c r="E3496" s="94"/>
      <c r="G3496" s="94"/>
      <c r="I3496" s="94"/>
      <c r="K3496" s="94"/>
      <c r="M3496" s="94"/>
    </row>
    <row r="3497" s="93" customFormat="1" spans="3:13">
      <c r="C3497" s="94"/>
      <c r="E3497" s="94"/>
      <c r="G3497" s="94"/>
      <c r="I3497" s="94"/>
      <c r="K3497" s="94"/>
      <c r="M3497" s="94"/>
    </row>
    <row r="3498" s="93" customFormat="1" spans="3:13">
      <c r="C3498" s="94"/>
      <c r="E3498" s="94"/>
      <c r="G3498" s="94"/>
      <c r="I3498" s="94"/>
      <c r="K3498" s="94"/>
      <c r="M3498" s="94"/>
    </row>
    <row r="3499" s="93" customFormat="1" spans="3:13">
      <c r="C3499" s="94"/>
      <c r="E3499" s="94"/>
      <c r="G3499" s="94"/>
      <c r="I3499" s="94"/>
      <c r="K3499" s="94"/>
      <c r="M3499" s="94"/>
    </row>
    <row r="3500" s="93" customFormat="1" spans="3:13">
      <c r="C3500" s="94"/>
      <c r="E3500" s="94"/>
      <c r="G3500" s="94"/>
      <c r="I3500" s="94"/>
      <c r="K3500" s="94"/>
      <c r="M3500" s="94"/>
    </row>
    <row r="3501" s="93" customFormat="1" spans="3:13">
      <c r="C3501" s="94"/>
      <c r="E3501" s="94"/>
      <c r="G3501" s="94"/>
      <c r="I3501" s="94"/>
      <c r="K3501" s="94"/>
      <c r="M3501" s="94"/>
    </row>
    <row r="3502" s="93" customFormat="1" spans="3:13">
      <c r="C3502" s="94"/>
      <c r="E3502" s="94"/>
      <c r="G3502" s="94"/>
      <c r="I3502" s="94"/>
      <c r="K3502" s="94"/>
      <c r="M3502" s="94"/>
    </row>
    <row r="3503" s="93" customFormat="1" spans="3:13">
      <c r="C3503" s="94"/>
      <c r="E3503" s="94"/>
      <c r="G3503" s="94"/>
      <c r="I3503" s="94"/>
      <c r="K3503" s="94"/>
      <c r="M3503" s="94"/>
    </row>
    <row r="3504" s="93" customFormat="1" spans="3:13">
      <c r="C3504" s="94"/>
      <c r="E3504" s="94"/>
      <c r="G3504" s="94"/>
      <c r="I3504" s="94"/>
      <c r="K3504" s="94"/>
      <c r="M3504" s="94"/>
    </row>
    <row r="3505" s="93" customFormat="1" spans="3:13">
      <c r="C3505" s="94"/>
      <c r="E3505" s="94"/>
      <c r="G3505" s="94"/>
      <c r="I3505" s="94"/>
      <c r="K3505" s="94"/>
      <c r="M3505" s="94"/>
    </row>
    <row r="3506" s="93" customFormat="1" spans="3:13">
      <c r="C3506" s="94"/>
      <c r="E3506" s="94"/>
      <c r="G3506" s="94"/>
      <c r="I3506" s="94"/>
      <c r="K3506" s="94"/>
      <c r="M3506" s="94"/>
    </row>
    <row r="3507" s="93" customFormat="1" spans="3:13">
      <c r="C3507" s="94"/>
      <c r="E3507" s="94"/>
      <c r="G3507" s="94"/>
      <c r="I3507" s="94"/>
      <c r="K3507" s="94"/>
      <c r="M3507" s="94"/>
    </row>
    <row r="3508" s="93" customFormat="1" spans="3:13">
      <c r="C3508" s="94"/>
      <c r="E3508" s="94"/>
      <c r="G3508" s="94"/>
      <c r="I3508" s="94"/>
      <c r="K3508" s="94"/>
      <c r="M3508" s="94"/>
    </row>
    <row r="3509" s="93" customFormat="1" spans="3:13">
      <c r="C3509" s="94"/>
      <c r="E3509" s="94"/>
      <c r="G3509" s="94"/>
      <c r="I3509" s="94"/>
      <c r="K3509" s="94"/>
      <c r="M3509" s="94"/>
    </row>
    <row r="3510" s="93" customFormat="1" spans="3:13">
      <c r="C3510" s="94"/>
      <c r="E3510" s="94"/>
      <c r="G3510" s="94"/>
      <c r="I3510" s="94"/>
      <c r="K3510" s="94"/>
      <c r="M3510" s="94"/>
    </row>
    <row r="3511" s="93" customFormat="1" spans="3:13">
      <c r="C3511" s="94"/>
      <c r="E3511" s="94"/>
      <c r="G3511" s="94"/>
      <c r="I3511" s="94"/>
      <c r="K3511" s="94"/>
      <c r="M3511" s="94"/>
    </row>
    <row r="3512" s="93" customFormat="1" spans="3:13">
      <c r="C3512" s="94"/>
      <c r="E3512" s="94"/>
      <c r="G3512" s="94"/>
      <c r="I3512" s="94"/>
      <c r="K3512" s="94"/>
      <c r="M3512" s="94"/>
    </row>
    <row r="3513" s="93" customFormat="1" spans="3:13">
      <c r="C3513" s="94"/>
      <c r="E3513" s="94"/>
      <c r="G3513" s="94"/>
      <c r="I3513" s="94"/>
      <c r="K3513" s="94"/>
      <c r="M3513" s="94"/>
    </row>
    <row r="3514" s="93" customFormat="1" spans="3:13">
      <c r="C3514" s="94"/>
      <c r="E3514" s="94"/>
      <c r="G3514" s="94"/>
      <c r="I3514" s="94"/>
      <c r="K3514" s="94"/>
      <c r="M3514" s="94"/>
    </row>
    <row r="3515" s="93" customFormat="1" spans="3:13">
      <c r="C3515" s="94"/>
      <c r="E3515" s="94"/>
      <c r="G3515" s="94"/>
      <c r="I3515" s="94"/>
      <c r="K3515" s="94"/>
      <c r="M3515" s="94"/>
    </row>
    <row r="3516" s="93" customFormat="1" spans="3:13">
      <c r="C3516" s="94"/>
      <c r="E3516" s="94"/>
      <c r="G3516" s="94"/>
      <c r="I3516" s="94"/>
      <c r="K3516" s="94"/>
      <c r="M3516" s="94"/>
    </row>
    <row r="3517" s="93" customFormat="1" spans="3:13">
      <c r="C3517" s="94"/>
      <c r="E3517" s="94"/>
      <c r="G3517" s="94"/>
      <c r="I3517" s="94"/>
      <c r="K3517" s="94"/>
      <c r="M3517" s="94"/>
    </row>
    <row r="3518" s="93" customFormat="1" spans="3:13">
      <c r="C3518" s="94"/>
      <c r="E3518" s="94"/>
      <c r="G3518" s="94"/>
      <c r="I3518" s="94"/>
      <c r="K3518" s="94"/>
      <c r="M3518" s="94"/>
    </row>
    <row r="3519" s="93" customFormat="1" spans="3:13">
      <c r="C3519" s="94"/>
      <c r="E3519" s="94"/>
      <c r="G3519" s="94"/>
      <c r="I3519" s="94"/>
      <c r="K3519" s="94"/>
      <c r="M3519" s="94"/>
    </row>
    <row r="3520" s="93" customFormat="1" spans="3:13">
      <c r="C3520" s="94"/>
      <c r="E3520" s="94"/>
      <c r="G3520" s="94"/>
      <c r="I3520" s="94"/>
      <c r="K3520" s="94"/>
      <c r="M3520" s="94"/>
    </row>
    <row r="3521" s="93" customFormat="1" spans="3:13">
      <c r="C3521" s="94"/>
      <c r="E3521" s="94"/>
      <c r="G3521" s="94"/>
      <c r="I3521" s="94"/>
      <c r="K3521" s="94"/>
      <c r="M3521" s="94"/>
    </row>
    <row r="3522" s="93" customFormat="1" spans="3:13">
      <c r="C3522" s="94"/>
      <c r="E3522" s="94"/>
      <c r="G3522" s="94"/>
      <c r="I3522" s="94"/>
      <c r="K3522" s="94"/>
      <c r="M3522" s="94"/>
    </row>
    <row r="3523" s="93" customFormat="1" spans="3:13">
      <c r="C3523" s="94"/>
      <c r="E3523" s="94"/>
      <c r="G3523" s="94"/>
      <c r="I3523" s="94"/>
      <c r="K3523" s="94"/>
      <c r="M3523" s="94"/>
    </row>
    <row r="3524" s="93" customFormat="1" spans="3:13">
      <c r="C3524" s="94"/>
      <c r="E3524" s="94"/>
      <c r="G3524" s="94"/>
      <c r="I3524" s="94"/>
      <c r="K3524" s="94"/>
      <c r="M3524" s="94"/>
    </row>
    <row r="3525" s="93" customFormat="1" spans="3:13">
      <c r="C3525" s="94"/>
      <c r="E3525" s="94"/>
      <c r="G3525" s="94"/>
      <c r="I3525" s="94"/>
      <c r="K3525" s="94"/>
      <c r="M3525" s="94"/>
    </row>
    <row r="3526" s="93" customFormat="1" spans="3:13">
      <c r="C3526" s="94"/>
      <c r="E3526" s="94"/>
      <c r="G3526" s="94"/>
      <c r="I3526" s="94"/>
      <c r="K3526" s="94"/>
      <c r="M3526" s="94"/>
    </row>
    <row r="3527" s="93" customFormat="1" spans="3:13">
      <c r="C3527" s="94"/>
      <c r="E3527" s="94"/>
      <c r="G3527" s="94"/>
      <c r="I3527" s="94"/>
      <c r="K3527" s="94"/>
      <c r="M3527" s="94"/>
    </row>
    <row r="3528" s="93" customFormat="1" spans="3:13">
      <c r="C3528" s="94"/>
      <c r="E3528" s="94"/>
      <c r="G3528" s="94"/>
      <c r="I3528" s="94"/>
      <c r="K3528" s="94"/>
      <c r="M3528" s="94"/>
    </row>
    <row r="3529" s="93" customFormat="1" spans="3:13">
      <c r="C3529" s="94"/>
      <c r="E3529" s="94"/>
      <c r="G3529" s="94"/>
      <c r="I3529" s="94"/>
      <c r="K3529" s="94"/>
      <c r="M3529" s="94"/>
    </row>
    <row r="3530" s="93" customFormat="1" spans="3:13">
      <c r="C3530" s="94"/>
      <c r="E3530" s="94"/>
      <c r="G3530" s="94"/>
      <c r="I3530" s="94"/>
      <c r="K3530" s="94"/>
      <c r="M3530" s="94"/>
    </row>
    <row r="3531" s="93" customFormat="1" spans="3:13">
      <c r="C3531" s="94"/>
      <c r="E3531" s="94"/>
      <c r="G3531" s="94"/>
      <c r="I3531" s="94"/>
      <c r="K3531" s="94"/>
      <c r="M3531" s="94"/>
    </row>
    <row r="3532" s="93" customFormat="1" spans="3:13">
      <c r="C3532" s="94"/>
      <c r="E3532" s="94"/>
      <c r="G3532" s="94"/>
      <c r="I3532" s="94"/>
      <c r="K3532" s="94"/>
      <c r="M3532" s="94"/>
    </row>
    <row r="3533" s="93" customFormat="1" spans="3:13">
      <c r="C3533" s="94"/>
      <c r="E3533" s="94"/>
      <c r="G3533" s="94"/>
      <c r="I3533" s="94"/>
      <c r="K3533" s="94"/>
      <c r="M3533" s="94"/>
    </row>
    <row r="3534" s="93" customFormat="1" spans="3:13">
      <c r="C3534" s="94"/>
      <c r="E3534" s="94"/>
      <c r="G3534" s="94"/>
      <c r="I3534" s="94"/>
      <c r="K3534" s="94"/>
      <c r="M3534" s="94"/>
    </row>
    <row r="3535" s="93" customFormat="1" spans="3:13">
      <c r="C3535" s="94"/>
      <c r="E3535" s="94"/>
      <c r="G3535" s="94"/>
      <c r="I3535" s="94"/>
      <c r="K3535" s="94"/>
      <c r="M3535" s="94"/>
    </row>
    <row r="3536" s="93" customFormat="1" spans="3:13">
      <c r="C3536" s="94"/>
      <c r="E3536" s="94"/>
      <c r="G3536" s="94"/>
      <c r="I3536" s="94"/>
      <c r="K3536" s="94"/>
      <c r="M3536" s="94"/>
    </row>
    <row r="3537" s="93" customFormat="1" spans="3:13">
      <c r="C3537" s="94"/>
      <c r="E3537" s="94"/>
      <c r="G3537" s="94"/>
      <c r="I3537" s="94"/>
      <c r="K3537" s="94"/>
      <c r="M3537" s="94"/>
    </row>
    <row r="3538" s="93" customFormat="1" spans="3:13">
      <c r="C3538" s="94"/>
      <c r="E3538" s="94"/>
      <c r="G3538" s="94"/>
      <c r="I3538" s="94"/>
      <c r="K3538" s="94"/>
      <c r="M3538" s="94"/>
    </row>
    <row r="3539" s="93" customFormat="1" spans="3:13">
      <c r="C3539" s="94"/>
      <c r="E3539" s="94"/>
      <c r="G3539" s="94"/>
      <c r="I3539" s="94"/>
      <c r="K3539" s="94"/>
      <c r="M3539" s="94"/>
    </row>
    <row r="3540" s="93" customFormat="1" spans="3:13">
      <c r="C3540" s="94"/>
      <c r="E3540" s="94"/>
      <c r="G3540" s="94"/>
      <c r="I3540" s="94"/>
      <c r="K3540" s="94"/>
      <c r="M3540" s="94"/>
    </row>
    <row r="3541" s="93" customFormat="1" spans="3:13">
      <c r="C3541" s="94"/>
      <c r="E3541" s="94"/>
      <c r="G3541" s="94"/>
      <c r="I3541" s="94"/>
      <c r="K3541" s="94"/>
      <c r="M3541" s="94"/>
    </row>
    <row r="3542" s="93" customFormat="1" spans="3:13">
      <c r="C3542" s="94"/>
      <c r="E3542" s="94"/>
      <c r="G3542" s="94"/>
      <c r="I3542" s="94"/>
      <c r="K3542" s="94"/>
      <c r="M3542" s="94"/>
    </row>
    <row r="3543" s="93" customFormat="1" spans="3:13">
      <c r="C3543" s="94"/>
      <c r="E3543" s="94"/>
      <c r="G3543" s="94"/>
      <c r="I3543" s="94"/>
      <c r="K3543" s="94"/>
      <c r="M3543" s="94"/>
    </row>
    <row r="3544" s="93" customFormat="1" spans="3:13">
      <c r="C3544" s="94"/>
      <c r="E3544" s="94"/>
      <c r="G3544" s="94"/>
      <c r="I3544" s="94"/>
      <c r="K3544" s="94"/>
      <c r="M3544" s="94"/>
    </row>
    <row r="3545" s="93" customFormat="1" spans="3:13">
      <c r="C3545" s="94"/>
      <c r="E3545" s="94"/>
      <c r="G3545" s="94"/>
      <c r="I3545" s="94"/>
      <c r="K3545" s="94"/>
      <c r="M3545" s="94"/>
    </row>
    <row r="3546" s="93" customFormat="1" spans="3:13">
      <c r="C3546" s="94"/>
      <c r="E3546" s="94"/>
      <c r="G3546" s="94"/>
      <c r="I3546" s="94"/>
      <c r="K3546" s="94"/>
      <c r="M3546" s="94"/>
    </row>
    <row r="3547" s="93" customFormat="1" spans="3:13">
      <c r="C3547" s="94"/>
      <c r="E3547" s="94"/>
      <c r="G3547" s="94"/>
      <c r="I3547" s="94"/>
      <c r="K3547" s="94"/>
      <c r="M3547" s="94"/>
    </row>
    <row r="3548" s="93" customFormat="1" spans="3:13">
      <c r="C3548" s="94"/>
      <c r="E3548" s="94"/>
      <c r="G3548" s="94"/>
      <c r="I3548" s="94"/>
      <c r="K3548" s="94"/>
      <c r="M3548" s="94"/>
    </row>
    <row r="3549" s="93" customFormat="1" spans="3:13">
      <c r="C3549" s="94"/>
      <c r="E3549" s="94"/>
      <c r="G3549" s="94"/>
      <c r="I3549" s="94"/>
      <c r="K3549" s="94"/>
      <c r="M3549" s="94"/>
    </row>
    <row r="3550" s="93" customFormat="1" spans="3:13">
      <c r="C3550" s="94"/>
      <c r="E3550" s="94"/>
      <c r="G3550" s="94"/>
      <c r="I3550" s="94"/>
      <c r="K3550" s="94"/>
      <c r="M3550" s="94"/>
    </row>
    <row r="3551" s="93" customFormat="1" spans="3:13">
      <c r="C3551" s="94"/>
      <c r="E3551" s="94"/>
      <c r="G3551" s="94"/>
      <c r="I3551" s="94"/>
      <c r="K3551" s="94"/>
      <c r="M3551" s="94"/>
    </row>
    <row r="3552" s="93" customFormat="1" spans="3:13">
      <c r="C3552" s="94"/>
      <c r="E3552" s="94"/>
      <c r="G3552" s="94"/>
      <c r="I3552" s="94"/>
      <c r="K3552" s="94"/>
      <c r="M3552" s="94"/>
    </row>
    <row r="3553" s="93" customFormat="1" spans="3:13">
      <c r="C3553" s="94"/>
      <c r="E3553" s="94"/>
      <c r="G3553" s="94"/>
      <c r="I3553" s="94"/>
      <c r="K3553" s="94"/>
      <c r="M3553" s="94"/>
    </row>
    <row r="3554" s="93" customFormat="1" spans="3:13">
      <c r="C3554" s="94"/>
      <c r="E3554" s="94"/>
      <c r="G3554" s="94"/>
      <c r="I3554" s="94"/>
      <c r="K3554" s="94"/>
      <c r="M3554" s="94"/>
    </row>
    <row r="3555" s="93" customFormat="1" spans="3:13">
      <c r="C3555" s="94"/>
      <c r="E3555" s="94"/>
      <c r="G3555" s="94"/>
      <c r="I3555" s="94"/>
      <c r="K3555" s="94"/>
      <c r="M3555" s="94"/>
    </row>
    <row r="3556" s="93" customFormat="1" spans="3:13">
      <c r="C3556" s="94"/>
      <c r="E3556" s="94"/>
      <c r="G3556" s="94"/>
      <c r="I3556" s="94"/>
      <c r="K3556" s="94"/>
      <c r="M3556" s="94"/>
    </row>
    <row r="3557" s="93" customFormat="1" spans="3:13">
      <c r="C3557" s="94"/>
      <c r="E3557" s="94"/>
      <c r="G3557" s="94"/>
      <c r="I3557" s="94"/>
      <c r="K3557" s="94"/>
      <c r="M3557" s="94"/>
    </row>
    <row r="3558" s="93" customFormat="1" spans="3:13">
      <c r="C3558" s="94"/>
      <c r="E3558" s="94"/>
      <c r="G3558" s="94"/>
      <c r="I3558" s="94"/>
      <c r="K3558" s="94"/>
      <c r="M3558" s="94"/>
    </row>
    <row r="3559" s="93" customFormat="1" spans="3:13">
      <c r="C3559" s="94"/>
      <c r="E3559" s="94"/>
      <c r="G3559" s="94"/>
      <c r="I3559" s="94"/>
      <c r="K3559" s="94"/>
      <c r="M3559" s="94"/>
    </row>
    <row r="3560" s="93" customFormat="1" spans="3:13">
      <c r="C3560" s="94"/>
      <c r="E3560" s="94"/>
      <c r="G3560" s="94"/>
      <c r="I3560" s="94"/>
      <c r="K3560" s="94"/>
      <c r="M3560" s="94"/>
    </row>
    <row r="3561" s="93" customFormat="1" spans="3:13">
      <c r="C3561" s="94"/>
      <c r="E3561" s="94"/>
      <c r="G3561" s="94"/>
      <c r="I3561" s="94"/>
      <c r="K3561" s="94"/>
      <c r="M3561" s="94"/>
    </row>
    <row r="3562" s="93" customFormat="1" spans="3:13">
      <c r="C3562" s="94"/>
      <c r="E3562" s="94"/>
      <c r="G3562" s="94"/>
      <c r="I3562" s="94"/>
      <c r="K3562" s="94"/>
      <c r="M3562" s="94"/>
    </row>
    <row r="3563" s="93" customFormat="1" spans="3:13">
      <c r="C3563" s="94"/>
      <c r="E3563" s="94"/>
      <c r="G3563" s="94"/>
      <c r="I3563" s="94"/>
      <c r="K3563" s="94"/>
      <c r="M3563" s="94"/>
    </row>
    <row r="3564" s="93" customFormat="1" spans="3:13">
      <c r="C3564" s="94"/>
      <c r="E3564" s="94"/>
      <c r="G3564" s="94"/>
      <c r="I3564" s="94"/>
      <c r="K3564" s="94"/>
      <c r="M3564" s="94"/>
    </row>
    <row r="3565" s="93" customFormat="1" spans="3:13">
      <c r="C3565" s="94"/>
      <c r="E3565" s="94"/>
      <c r="G3565" s="94"/>
      <c r="I3565" s="94"/>
      <c r="K3565" s="94"/>
      <c r="M3565" s="94"/>
    </row>
    <row r="3566" s="93" customFormat="1" spans="3:13">
      <c r="C3566" s="94"/>
      <c r="E3566" s="94"/>
      <c r="G3566" s="94"/>
      <c r="I3566" s="94"/>
      <c r="K3566" s="94"/>
      <c r="M3566" s="94"/>
    </row>
    <row r="3567" s="93" customFormat="1" spans="3:13">
      <c r="C3567" s="94"/>
      <c r="E3567" s="94"/>
      <c r="G3567" s="94"/>
      <c r="I3567" s="94"/>
      <c r="K3567" s="94"/>
      <c r="M3567" s="94"/>
    </row>
    <row r="3568" s="93" customFormat="1" spans="3:13">
      <c r="C3568" s="94"/>
      <c r="E3568" s="94"/>
      <c r="G3568" s="94"/>
      <c r="I3568" s="94"/>
      <c r="K3568" s="94"/>
      <c r="M3568" s="94"/>
    </row>
    <row r="3569" s="93" customFormat="1" spans="3:13">
      <c r="C3569" s="94"/>
      <c r="E3569" s="94"/>
      <c r="G3569" s="94"/>
      <c r="I3569" s="94"/>
      <c r="K3569" s="94"/>
      <c r="M3569" s="94"/>
    </row>
    <row r="3570" s="93" customFormat="1" spans="3:13">
      <c r="C3570" s="94"/>
      <c r="E3570" s="94"/>
      <c r="G3570" s="94"/>
      <c r="I3570" s="94"/>
      <c r="K3570" s="94"/>
      <c r="M3570" s="94"/>
    </row>
    <row r="3571" s="93" customFormat="1" spans="3:13">
      <c r="C3571" s="94"/>
      <c r="E3571" s="94"/>
      <c r="G3571" s="94"/>
      <c r="I3571" s="94"/>
      <c r="K3571" s="94"/>
      <c r="M3571" s="94"/>
    </row>
    <row r="3572" s="93" customFormat="1" spans="3:13">
      <c r="C3572" s="94"/>
      <c r="E3572" s="94"/>
      <c r="G3572" s="94"/>
      <c r="I3572" s="94"/>
      <c r="K3572" s="94"/>
      <c r="M3572" s="94"/>
    </row>
    <row r="3573" s="93" customFormat="1" spans="3:13">
      <c r="C3573" s="94"/>
      <c r="E3573" s="94"/>
      <c r="G3573" s="94"/>
      <c r="I3573" s="94"/>
      <c r="K3573" s="94"/>
      <c r="M3573" s="94"/>
    </row>
    <row r="3574" s="93" customFormat="1" spans="3:13">
      <c r="C3574" s="94"/>
      <c r="E3574" s="94"/>
      <c r="G3574" s="94"/>
      <c r="I3574" s="94"/>
      <c r="K3574" s="94"/>
      <c r="M3574" s="94"/>
    </row>
    <row r="3575" s="93" customFormat="1" spans="3:13">
      <c r="C3575" s="94"/>
      <c r="E3575" s="94"/>
      <c r="G3575" s="94"/>
      <c r="I3575" s="94"/>
      <c r="K3575" s="94"/>
      <c r="M3575" s="94"/>
    </row>
    <row r="3576" s="93" customFormat="1" spans="3:13">
      <c r="C3576" s="94"/>
      <c r="E3576" s="94"/>
      <c r="G3576" s="94"/>
      <c r="I3576" s="94"/>
      <c r="K3576" s="94"/>
      <c r="M3576" s="94"/>
    </row>
    <row r="3577" s="93" customFormat="1" spans="3:13">
      <c r="C3577" s="94"/>
      <c r="E3577" s="94"/>
      <c r="G3577" s="94"/>
      <c r="I3577" s="94"/>
      <c r="K3577" s="94"/>
      <c r="M3577" s="94"/>
    </row>
    <row r="3578" s="93" customFormat="1" spans="3:13">
      <c r="C3578" s="94"/>
      <c r="E3578" s="94"/>
      <c r="G3578" s="94"/>
      <c r="I3578" s="94"/>
      <c r="K3578" s="94"/>
      <c r="M3578" s="94"/>
    </row>
    <row r="3579" s="93" customFormat="1" spans="3:13">
      <c r="C3579" s="94"/>
      <c r="E3579" s="94"/>
      <c r="G3579" s="94"/>
      <c r="I3579" s="94"/>
      <c r="K3579" s="94"/>
      <c r="M3579" s="94"/>
    </row>
    <row r="3580" s="93" customFormat="1" spans="3:13">
      <c r="C3580" s="94"/>
      <c r="E3580" s="94"/>
      <c r="G3580" s="94"/>
      <c r="I3580" s="94"/>
      <c r="K3580" s="94"/>
      <c r="M3580" s="94"/>
    </row>
    <row r="3581" s="93" customFormat="1" spans="3:13">
      <c r="C3581" s="94"/>
      <c r="E3581" s="94"/>
      <c r="G3581" s="94"/>
      <c r="I3581" s="94"/>
      <c r="K3581" s="94"/>
      <c r="M3581" s="94"/>
    </row>
    <row r="3582" s="93" customFormat="1" spans="3:13">
      <c r="C3582" s="94"/>
      <c r="E3582" s="94"/>
      <c r="G3582" s="94"/>
      <c r="I3582" s="94"/>
      <c r="K3582" s="94"/>
      <c r="M3582" s="94"/>
    </row>
    <row r="3583" s="93" customFormat="1" spans="3:13">
      <c r="C3583" s="94"/>
      <c r="E3583" s="94"/>
      <c r="G3583" s="94"/>
      <c r="I3583" s="94"/>
      <c r="K3583" s="94"/>
      <c r="M3583" s="94"/>
    </row>
    <row r="3584" s="93" customFormat="1" spans="3:13">
      <c r="C3584" s="94"/>
      <c r="E3584" s="94"/>
      <c r="G3584" s="94"/>
      <c r="I3584" s="94"/>
      <c r="K3584" s="94"/>
      <c r="M3584" s="94"/>
    </row>
    <row r="3585" s="93" customFormat="1" spans="3:13">
      <c r="C3585" s="94"/>
      <c r="E3585" s="94"/>
      <c r="G3585" s="94"/>
      <c r="I3585" s="94"/>
      <c r="K3585" s="94"/>
      <c r="M3585" s="94"/>
    </row>
    <row r="3586" s="93" customFormat="1" spans="3:13">
      <c r="C3586" s="94"/>
      <c r="E3586" s="94"/>
      <c r="G3586" s="94"/>
      <c r="I3586" s="94"/>
      <c r="K3586" s="94"/>
      <c r="M3586" s="94"/>
    </row>
    <row r="3587" s="93" customFormat="1" spans="3:13">
      <c r="C3587" s="94"/>
      <c r="E3587" s="94"/>
      <c r="G3587" s="94"/>
      <c r="I3587" s="94"/>
      <c r="K3587" s="94"/>
      <c r="M3587" s="94"/>
    </row>
    <row r="3588" s="93" customFormat="1" spans="3:13">
      <c r="C3588" s="94"/>
      <c r="E3588" s="94"/>
      <c r="G3588" s="94"/>
      <c r="I3588" s="94"/>
      <c r="K3588" s="94"/>
      <c r="M3588" s="94"/>
    </row>
    <row r="3589" s="93" customFormat="1" spans="3:13">
      <c r="C3589" s="94"/>
      <c r="E3589" s="94"/>
      <c r="G3589" s="94"/>
      <c r="I3589" s="94"/>
      <c r="K3589" s="94"/>
      <c r="M3589" s="94"/>
    </row>
    <row r="3590" s="93" customFormat="1" spans="3:13">
      <c r="C3590" s="94"/>
      <c r="E3590" s="94"/>
      <c r="G3590" s="94"/>
      <c r="I3590" s="94"/>
      <c r="K3590" s="94"/>
      <c r="M3590" s="94"/>
    </row>
    <row r="3591" s="93" customFormat="1" spans="3:13">
      <c r="C3591" s="94"/>
      <c r="E3591" s="94"/>
      <c r="G3591" s="94"/>
      <c r="I3591" s="94"/>
      <c r="K3591" s="94"/>
      <c r="M3591" s="94"/>
    </row>
    <row r="3592" s="93" customFormat="1" spans="3:13">
      <c r="C3592" s="94"/>
      <c r="E3592" s="94"/>
      <c r="G3592" s="94"/>
      <c r="I3592" s="94"/>
      <c r="K3592" s="94"/>
      <c r="M3592" s="94"/>
    </row>
    <row r="3593" s="93" customFormat="1" spans="3:13">
      <c r="C3593" s="94"/>
      <c r="E3593" s="94"/>
      <c r="G3593" s="94"/>
      <c r="I3593" s="94"/>
      <c r="K3593" s="94"/>
      <c r="M3593" s="94"/>
    </row>
    <row r="3594" s="93" customFormat="1" spans="3:13">
      <c r="C3594" s="94"/>
      <c r="E3594" s="94"/>
      <c r="G3594" s="94"/>
      <c r="I3594" s="94"/>
      <c r="K3594" s="94"/>
      <c r="M3594" s="94"/>
    </row>
    <row r="3595" s="93" customFormat="1" spans="3:13">
      <c r="C3595" s="94"/>
      <c r="E3595" s="94"/>
      <c r="G3595" s="94"/>
      <c r="I3595" s="94"/>
      <c r="K3595" s="94"/>
      <c r="M3595" s="94"/>
    </row>
    <row r="3596" s="93" customFormat="1" spans="3:13">
      <c r="C3596" s="94"/>
      <c r="E3596" s="94"/>
      <c r="G3596" s="94"/>
      <c r="I3596" s="94"/>
      <c r="K3596" s="94"/>
      <c r="M3596" s="94"/>
    </row>
    <row r="3597" s="93" customFormat="1" spans="3:13">
      <c r="C3597" s="94"/>
      <c r="E3597" s="94"/>
      <c r="G3597" s="94"/>
      <c r="I3597" s="94"/>
      <c r="K3597" s="94"/>
      <c r="M3597" s="94"/>
    </row>
    <row r="3598" s="93" customFormat="1" spans="3:13">
      <c r="C3598" s="94"/>
      <c r="E3598" s="94"/>
      <c r="G3598" s="94"/>
      <c r="I3598" s="94"/>
      <c r="K3598" s="94"/>
      <c r="M3598" s="94"/>
    </row>
    <row r="3599" s="93" customFormat="1" spans="3:13">
      <c r="C3599" s="94"/>
      <c r="E3599" s="94"/>
      <c r="G3599" s="94"/>
      <c r="I3599" s="94"/>
      <c r="K3599" s="94"/>
      <c r="M3599" s="94"/>
    </row>
    <row r="3600" s="93" customFormat="1" spans="3:13">
      <c r="C3600" s="94"/>
      <c r="E3600" s="94"/>
      <c r="G3600" s="94"/>
      <c r="I3600" s="94"/>
      <c r="K3600" s="94"/>
      <c r="M3600" s="94"/>
    </row>
    <row r="3601" s="93" customFormat="1" spans="3:13">
      <c r="C3601" s="94"/>
      <c r="E3601" s="94"/>
      <c r="G3601" s="94"/>
      <c r="I3601" s="94"/>
      <c r="K3601" s="94"/>
      <c r="M3601" s="94"/>
    </row>
    <row r="3602" s="93" customFormat="1" spans="3:13">
      <c r="C3602" s="94"/>
      <c r="E3602" s="94"/>
      <c r="G3602" s="94"/>
      <c r="I3602" s="94"/>
      <c r="K3602" s="94"/>
      <c r="M3602" s="94"/>
    </row>
    <row r="3603" s="93" customFormat="1" spans="3:13">
      <c r="C3603" s="94"/>
      <c r="E3603" s="94"/>
      <c r="G3603" s="94"/>
      <c r="I3603" s="94"/>
      <c r="K3603" s="94"/>
      <c r="M3603" s="94"/>
    </row>
    <row r="3604" s="93" customFormat="1" spans="3:13">
      <c r="C3604" s="94"/>
      <c r="E3604" s="94"/>
      <c r="G3604" s="94"/>
      <c r="I3604" s="94"/>
      <c r="K3604" s="94"/>
      <c r="M3604" s="94"/>
    </row>
    <row r="3605" s="93" customFormat="1" spans="3:13">
      <c r="C3605" s="94"/>
      <c r="E3605" s="94"/>
      <c r="G3605" s="94"/>
      <c r="I3605" s="94"/>
      <c r="K3605" s="94"/>
      <c r="M3605" s="94"/>
    </row>
    <row r="3606" s="93" customFormat="1" spans="3:13">
      <c r="C3606" s="94"/>
      <c r="E3606" s="94"/>
      <c r="G3606" s="94"/>
      <c r="I3606" s="94"/>
      <c r="K3606" s="94"/>
      <c r="M3606" s="94"/>
    </row>
    <row r="3607" s="93" customFormat="1" spans="3:13">
      <c r="C3607" s="94"/>
      <c r="E3607" s="94"/>
      <c r="G3607" s="94"/>
      <c r="I3607" s="94"/>
      <c r="K3607" s="94"/>
      <c r="M3607" s="94"/>
    </row>
    <row r="3608" s="93" customFormat="1" spans="3:13">
      <c r="C3608" s="94"/>
      <c r="E3608" s="94"/>
      <c r="G3608" s="94"/>
      <c r="I3608" s="94"/>
      <c r="K3608" s="94"/>
      <c r="M3608" s="94"/>
    </row>
    <row r="3609" s="93" customFormat="1" spans="3:13">
      <c r="C3609" s="94"/>
      <c r="E3609" s="94"/>
      <c r="G3609" s="94"/>
      <c r="I3609" s="94"/>
      <c r="K3609" s="94"/>
      <c r="M3609" s="94"/>
    </row>
    <row r="3610" s="93" customFormat="1" spans="3:13">
      <c r="C3610" s="94"/>
      <c r="E3610" s="94"/>
      <c r="G3610" s="94"/>
      <c r="I3610" s="94"/>
      <c r="K3610" s="94"/>
      <c r="M3610" s="94"/>
    </row>
    <row r="3611" s="93" customFormat="1" spans="3:13">
      <c r="C3611" s="94"/>
      <c r="E3611" s="94"/>
      <c r="G3611" s="94"/>
      <c r="I3611" s="94"/>
      <c r="K3611" s="94"/>
      <c r="M3611" s="94"/>
    </row>
    <row r="3612" s="93" customFormat="1" spans="3:13">
      <c r="C3612" s="94"/>
      <c r="E3612" s="94"/>
      <c r="G3612" s="94"/>
      <c r="I3612" s="94"/>
      <c r="K3612" s="94"/>
      <c r="M3612" s="94"/>
    </row>
    <row r="3613" s="93" customFormat="1" spans="3:13">
      <c r="C3613" s="94"/>
      <c r="E3613" s="94"/>
      <c r="G3613" s="94"/>
      <c r="I3613" s="94"/>
      <c r="K3613" s="94"/>
      <c r="M3613" s="94"/>
    </row>
    <row r="3614" s="93" customFormat="1" spans="3:13">
      <c r="C3614" s="94"/>
      <c r="E3614" s="94"/>
      <c r="G3614" s="94"/>
      <c r="I3614" s="94"/>
      <c r="K3614" s="94"/>
      <c r="M3614" s="94"/>
    </row>
    <row r="3615" s="93" customFormat="1" spans="3:13">
      <c r="C3615" s="94"/>
      <c r="E3615" s="94"/>
      <c r="G3615" s="94"/>
      <c r="I3615" s="94"/>
      <c r="K3615" s="94"/>
      <c r="M3615" s="94"/>
    </row>
    <row r="3616" s="93" customFormat="1" spans="3:13">
      <c r="C3616" s="94"/>
      <c r="E3616" s="94"/>
      <c r="G3616" s="94"/>
      <c r="I3616" s="94"/>
      <c r="K3616" s="94"/>
      <c r="M3616" s="94"/>
    </row>
    <row r="3617" s="93" customFormat="1" spans="3:13">
      <c r="C3617" s="94"/>
      <c r="E3617" s="94"/>
      <c r="G3617" s="94"/>
      <c r="I3617" s="94"/>
      <c r="K3617" s="94"/>
      <c r="M3617" s="94"/>
    </row>
    <row r="3618" s="93" customFormat="1" spans="3:13">
      <c r="C3618" s="94"/>
      <c r="E3618" s="94"/>
      <c r="G3618" s="94"/>
      <c r="I3618" s="94"/>
      <c r="K3618" s="94"/>
      <c r="M3618" s="94"/>
    </row>
    <row r="3619" s="93" customFormat="1" spans="3:13">
      <c r="C3619" s="94"/>
      <c r="E3619" s="94"/>
      <c r="G3619" s="94"/>
      <c r="I3619" s="94"/>
      <c r="K3619" s="94"/>
      <c r="M3619" s="94"/>
    </row>
    <row r="3620" s="93" customFormat="1" spans="3:13">
      <c r="C3620" s="94"/>
      <c r="E3620" s="94"/>
      <c r="G3620" s="94"/>
      <c r="I3620" s="94"/>
      <c r="K3620" s="94"/>
      <c r="M3620" s="94"/>
    </row>
    <row r="3621" s="93" customFormat="1" spans="3:13">
      <c r="C3621" s="94"/>
      <c r="E3621" s="94"/>
      <c r="G3621" s="94"/>
      <c r="I3621" s="94"/>
      <c r="K3621" s="94"/>
      <c r="M3621" s="94"/>
    </row>
    <row r="3622" s="93" customFormat="1" spans="3:13">
      <c r="C3622" s="94"/>
      <c r="E3622" s="94"/>
      <c r="G3622" s="94"/>
      <c r="I3622" s="94"/>
      <c r="K3622" s="94"/>
      <c r="M3622" s="94"/>
    </row>
    <row r="3623" s="93" customFormat="1" spans="3:13">
      <c r="C3623" s="94"/>
      <c r="E3623" s="94"/>
      <c r="G3623" s="94"/>
      <c r="I3623" s="94"/>
      <c r="K3623" s="94"/>
      <c r="M3623" s="94"/>
    </row>
    <row r="3624" s="93" customFormat="1" spans="3:13">
      <c r="C3624" s="94"/>
      <c r="E3624" s="94"/>
      <c r="G3624" s="94"/>
      <c r="I3624" s="94"/>
      <c r="K3624" s="94"/>
      <c r="M3624" s="94"/>
    </row>
    <row r="3625" s="93" customFormat="1" spans="3:13">
      <c r="C3625" s="94"/>
      <c r="E3625" s="94"/>
      <c r="G3625" s="94"/>
      <c r="I3625" s="94"/>
      <c r="K3625" s="94"/>
      <c r="M3625" s="94"/>
    </row>
    <row r="3626" s="93" customFormat="1" spans="3:13">
      <c r="C3626" s="94"/>
      <c r="E3626" s="94"/>
      <c r="G3626" s="94"/>
      <c r="I3626" s="94"/>
      <c r="K3626" s="94"/>
      <c r="M3626" s="94"/>
    </row>
    <row r="3627" s="93" customFormat="1" spans="3:13">
      <c r="C3627" s="94"/>
      <c r="E3627" s="94"/>
      <c r="G3627" s="94"/>
      <c r="I3627" s="94"/>
      <c r="K3627" s="94"/>
      <c r="M3627" s="94"/>
    </row>
    <row r="3628" s="93" customFormat="1" spans="3:13">
      <c r="C3628" s="94"/>
      <c r="E3628" s="94"/>
      <c r="G3628" s="94"/>
      <c r="I3628" s="94"/>
      <c r="K3628" s="94"/>
      <c r="M3628" s="94"/>
    </row>
    <row r="3629" s="93" customFormat="1" spans="3:13">
      <c r="C3629" s="94"/>
      <c r="E3629" s="94"/>
      <c r="G3629" s="94"/>
      <c r="I3629" s="94"/>
      <c r="K3629" s="94"/>
      <c r="M3629" s="94"/>
    </row>
    <row r="3630" s="93" customFormat="1" spans="3:13">
      <c r="C3630" s="94"/>
      <c r="E3630" s="94"/>
      <c r="G3630" s="94"/>
      <c r="I3630" s="94"/>
      <c r="K3630" s="94"/>
      <c r="M3630" s="94"/>
    </row>
    <row r="3631" s="93" customFormat="1" spans="3:13">
      <c r="C3631" s="94"/>
      <c r="E3631" s="94"/>
      <c r="G3631" s="94"/>
      <c r="I3631" s="94"/>
      <c r="K3631" s="94"/>
      <c r="M3631" s="94"/>
    </row>
    <row r="3632" s="93" customFormat="1" spans="3:13">
      <c r="C3632" s="94"/>
      <c r="E3632" s="94"/>
      <c r="G3632" s="94"/>
      <c r="I3632" s="94"/>
      <c r="K3632" s="94"/>
      <c r="M3632" s="94"/>
    </row>
    <row r="3633" s="93" customFormat="1" spans="3:13">
      <c r="C3633" s="94"/>
      <c r="E3633" s="94"/>
      <c r="G3633" s="94"/>
      <c r="I3633" s="94"/>
      <c r="K3633" s="94"/>
      <c r="M3633" s="94"/>
    </row>
    <row r="3634" s="93" customFormat="1" spans="3:13">
      <c r="C3634" s="94"/>
      <c r="E3634" s="94"/>
      <c r="G3634" s="94"/>
      <c r="I3634" s="94"/>
      <c r="K3634" s="94"/>
      <c r="M3634" s="94"/>
    </row>
    <row r="3635" s="93" customFormat="1" spans="3:13">
      <c r="C3635" s="94"/>
      <c r="E3635" s="94"/>
      <c r="G3635" s="94"/>
      <c r="I3635" s="94"/>
      <c r="K3635" s="94"/>
      <c r="M3635" s="94"/>
    </row>
    <row r="3636" s="93" customFormat="1" spans="3:13">
      <c r="C3636" s="94"/>
      <c r="E3636" s="94"/>
      <c r="G3636" s="94"/>
      <c r="I3636" s="94"/>
      <c r="K3636" s="94"/>
      <c r="M3636" s="94"/>
    </row>
    <row r="3637" s="93" customFormat="1" spans="3:13">
      <c r="C3637" s="94"/>
      <c r="E3637" s="94"/>
      <c r="G3637" s="94"/>
      <c r="I3637" s="94"/>
      <c r="K3637" s="94"/>
      <c r="M3637" s="94"/>
    </row>
    <row r="3638" s="93" customFormat="1" spans="3:13">
      <c r="C3638" s="94"/>
      <c r="E3638" s="94"/>
      <c r="G3638" s="94"/>
      <c r="I3638" s="94"/>
      <c r="K3638" s="94"/>
      <c r="M3638" s="94"/>
    </row>
    <row r="3639" s="93" customFormat="1" spans="3:13">
      <c r="C3639" s="94"/>
      <c r="E3639" s="94"/>
      <c r="G3639" s="94"/>
      <c r="I3639" s="94"/>
      <c r="K3639" s="94"/>
      <c r="M3639" s="94"/>
    </row>
    <row r="3640" s="93" customFormat="1" spans="3:13">
      <c r="C3640" s="94"/>
      <c r="E3640" s="94"/>
      <c r="G3640" s="94"/>
      <c r="I3640" s="94"/>
      <c r="K3640" s="94"/>
      <c r="M3640" s="94"/>
    </row>
    <row r="3641" s="93" customFormat="1" spans="3:13">
      <c r="C3641" s="94"/>
      <c r="E3641" s="94"/>
      <c r="G3641" s="94"/>
      <c r="I3641" s="94"/>
      <c r="K3641" s="94"/>
      <c r="M3641" s="94"/>
    </row>
    <row r="3642" s="93" customFormat="1" spans="3:13">
      <c r="C3642" s="94"/>
      <c r="E3642" s="94"/>
      <c r="G3642" s="94"/>
      <c r="I3642" s="94"/>
      <c r="K3642" s="94"/>
      <c r="M3642" s="94"/>
    </row>
    <row r="3643" s="93" customFormat="1" spans="3:13">
      <c r="C3643" s="94"/>
      <c r="E3643" s="94"/>
      <c r="G3643" s="94"/>
      <c r="I3643" s="94"/>
      <c r="K3643" s="94"/>
      <c r="M3643" s="94"/>
    </row>
    <row r="3644" s="93" customFormat="1" spans="3:13">
      <c r="C3644" s="94"/>
      <c r="E3644" s="94"/>
      <c r="G3644" s="94"/>
      <c r="I3644" s="94"/>
      <c r="K3644" s="94"/>
      <c r="M3644" s="94"/>
    </row>
    <row r="3645" s="93" customFormat="1" spans="3:13">
      <c r="C3645" s="94"/>
      <c r="E3645" s="94"/>
      <c r="G3645" s="94"/>
      <c r="I3645" s="94"/>
      <c r="K3645" s="94"/>
      <c r="M3645" s="94"/>
    </row>
    <row r="3646" s="93" customFormat="1" spans="3:13">
      <c r="C3646" s="94"/>
      <c r="E3646" s="94"/>
      <c r="G3646" s="94"/>
      <c r="I3646" s="94"/>
      <c r="K3646" s="94"/>
      <c r="M3646" s="94"/>
    </row>
    <row r="3647" s="93" customFormat="1" spans="3:13">
      <c r="C3647" s="94"/>
      <c r="E3647" s="94"/>
      <c r="G3647" s="94"/>
      <c r="I3647" s="94"/>
      <c r="K3647" s="94"/>
      <c r="M3647" s="94"/>
    </row>
    <row r="3648" s="93" customFormat="1" spans="3:13">
      <c r="C3648" s="94"/>
      <c r="E3648" s="94"/>
      <c r="G3648" s="94"/>
      <c r="I3648" s="94"/>
      <c r="K3648" s="94"/>
      <c r="M3648" s="94"/>
    </row>
    <row r="3649" s="93" customFormat="1" spans="3:13">
      <c r="C3649" s="94"/>
      <c r="E3649" s="94"/>
      <c r="G3649" s="94"/>
      <c r="I3649" s="94"/>
      <c r="K3649" s="94"/>
      <c r="M3649" s="94"/>
    </row>
    <row r="3650" s="93" customFormat="1" spans="3:13">
      <c r="C3650" s="94"/>
      <c r="E3650" s="94"/>
      <c r="G3650" s="94"/>
      <c r="I3650" s="94"/>
      <c r="K3650" s="94"/>
      <c r="M3650" s="94"/>
    </row>
    <row r="3651" s="93" customFormat="1" spans="3:13">
      <c r="C3651" s="94"/>
      <c r="E3651" s="94"/>
      <c r="G3651" s="94"/>
      <c r="I3651" s="94"/>
      <c r="K3651" s="94"/>
      <c r="M3651" s="94"/>
    </row>
    <row r="3652" s="93" customFormat="1" spans="3:13">
      <c r="C3652" s="94"/>
      <c r="E3652" s="94"/>
      <c r="G3652" s="94"/>
      <c r="I3652" s="94"/>
      <c r="K3652" s="94"/>
      <c r="M3652" s="94"/>
    </row>
    <row r="3653" s="93" customFormat="1" spans="3:13">
      <c r="C3653" s="94"/>
      <c r="E3653" s="94"/>
      <c r="G3653" s="94"/>
      <c r="I3653" s="94"/>
      <c r="K3653" s="94"/>
      <c r="M3653" s="94"/>
    </row>
    <row r="3654" s="93" customFormat="1" spans="3:13">
      <c r="C3654" s="94"/>
      <c r="E3654" s="94"/>
      <c r="G3654" s="94"/>
      <c r="I3654" s="94"/>
      <c r="K3654" s="94"/>
      <c r="M3654" s="94"/>
    </row>
    <row r="3655" s="93" customFormat="1" spans="3:13">
      <c r="C3655" s="94"/>
      <c r="E3655" s="94"/>
      <c r="G3655" s="94"/>
      <c r="I3655" s="94"/>
      <c r="K3655" s="94"/>
      <c r="M3655" s="94"/>
    </row>
    <row r="3656" s="93" customFormat="1" spans="3:13">
      <c r="C3656" s="94"/>
      <c r="E3656" s="94"/>
      <c r="G3656" s="94"/>
      <c r="I3656" s="94"/>
      <c r="K3656" s="94"/>
      <c r="M3656" s="94"/>
    </row>
    <row r="3657" s="93" customFormat="1" spans="3:13">
      <c r="C3657" s="94"/>
      <c r="E3657" s="94"/>
      <c r="G3657" s="94"/>
      <c r="I3657" s="94"/>
      <c r="K3657" s="94"/>
      <c r="M3657" s="94"/>
    </row>
    <row r="3658" s="93" customFormat="1" spans="3:13">
      <c r="C3658" s="94"/>
      <c r="E3658" s="94"/>
      <c r="G3658" s="94"/>
      <c r="I3658" s="94"/>
      <c r="K3658" s="94"/>
      <c r="M3658" s="94"/>
    </row>
    <row r="3659" s="93" customFormat="1" spans="3:13">
      <c r="C3659" s="94"/>
      <c r="E3659" s="94"/>
      <c r="G3659" s="94"/>
      <c r="I3659" s="94"/>
      <c r="K3659" s="94"/>
      <c r="M3659" s="94"/>
    </row>
    <row r="3660" s="93" customFormat="1" spans="3:13">
      <c r="C3660" s="94"/>
      <c r="E3660" s="94"/>
      <c r="G3660" s="94"/>
      <c r="I3660" s="94"/>
      <c r="K3660" s="94"/>
      <c r="M3660" s="94"/>
    </row>
    <row r="3661" s="93" customFormat="1" spans="3:13">
      <c r="C3661" s="94"/>
      <c r="E3661" s="94"/>
      <c r="G3661" s="94"/>
      <c r="I3661" s="94"/>
      <c r="K3661" s="94"/>
      <c r="M3661" s="94"/>
    </row>
    <row r="3662" s="93" customFormat="1" spans="3:13">
      <c r="C3662" s="94"/>
      <c r="E3662" s="94"/>
      <c r="G3662" s="94"/>
      <c r="I3662" s="94"/>
      <c r="K3662" s="94"/>
      <c r="M3662" s="94"/>
    </row>
    <row r="3663" s="93" customFormat="1" spans="3:13">
      <c r="C3663" s="94"/>
      <c r="E3663" s="94"/>
      <c r="G3663" s="94"/>
      <c r="I3663" s="94"/>
      <c r="K3663" s="94"/>
      <c r="M3663" s="94"/>
    </row>
    <row r="3664" s="93" customFormat="1" spans="3:13">
      <c r="C3664" s="94"/>
      <c r="E3664" s="94"/>
      <c r="G3664" s="94"/>
      <c r="I3664" s="94"/>
      <c r="K3664" s="94"/>
      <c r="M3664" s="94"/>
    </row>
    <row r="3665" s="93" customFormat="1" spans="3:13">
      <c r="C3665" s="94"/>
      <c r="E3665" s="94"/>
      <c r="G3665" s="94"/>
      <c r="I3665" s="94"/>
      <c r="K3665" s="94"/>
      <c r="M3665" s="94"/>
    </row>
    <row r="3666" s="93" customFormat="1" spans="3:13">
      <c r="C3666" s="94"/>
      <c r="E3666" s="94"/>
      <c r="G3666" s="94"/>
      <c r="I3666" s="94"/>
      <c r="K3666" s="94"/>
      <c r="M3666" s="94"/>
    </row>
    <row r="3667" s="93" customFormat="1" spans="3:13">
      <c r="C3667" s="94"/>
      <c r="E3667" s="94"/>
      <c r="G3667" s="94"/>
      <c r="I3667" s="94"/>
      <c r="K3667" s="94"/>
      <c r="M3667" s="94"/>
    </row>
    <row r="3668" s="93" customFormat="1" spans="3:13">
      <c r="C3668" s="94"/>
      <c r="E3668" s="94"/>
      <c r="G3668" s="94"/>
      <c r="I3668" s="94"/>
      <c r="K3668" s="94"/>
      <c r="M3668" s="94"/>
    </row>
    <row r="3669" s="93" customFormat="1" spans="3:13">
      <c r="C3669" s="94"/>
      <c r="E3669" s="94"/>
      <c r="G3669" s="94"/>
      <c r="I3669" s="94"/>
      <c r="K3669" s="94"/>
      <c r="M3669" s="94"/>
    </row>
    <row r="3670" s="93" customFormat="1" spans="3:13">
      <c r="C3670" s="94"/>
      <c r="E3670" s="94"/>
      <c r="G3670" s="94"/>
      <c r="I3670" s="94"/>
      <c r="K3670" s="94"/>
      <c r="M3670" s="94"/>
    </row>
    <row r="3671" s="93" customFormat="1" spans="3:13">
      <c r="C3671" s="94"/>
      <c r="E3671" s="94"/>
      <c r="G3671" s="94"/>
      <c r="I3671" s="94"/>
      <c r="K3671" s="94"/>
      <c r="M3671" s="94"/>
    </row>
    <row r="3672" s="93" customFormat="1" spans="3:13">
      <c r="C3672" s="94"/>
      <c r="E3672" s="94"/>
      <c r="G3672" s="94"/>
      <c r="I3672" s="94"/>
      <c r="K3672" s="94"/>
      <c r="M3672" s="94"/>
    </row>
    <row r="3673" s="93" customFormat="1" spans="3:13">
      <c r="C3673" s="94"/>
      <c r="E3673" s="94"/>
      <c r="G3673" s="94"/>
      <c r="I3673" s="94"/>
      <c r="K3673" s="94"/>
      <c r="M3673" s="94"/>
    </row>
    <row r="3674" s="93" customFormat="1" spans="3:13">
      <c r="C3674" s="94"/>
      <c r="E3674" s="94"/>
      <c r="G3674" s="94"/>
      <c r="I3674" s="94"/>
      <c r="K3674" s="94"/>
      <c r="M3674" s="94"/>
    </row>
    <row r="3675" s="93" customFormat="1" spans="3:13">
      <c r="C3675" s="94"/>
      <c r="E3675" s="94"/>
      <c r="G3675" s="94"/>
      <c r="I3675" s="94"/>
      <c r="K3675" s="94"/>
      <c r="M3675" s="94"/>
    </row>
    <row r="3676" s="93" customFormat="1" spans="3:13">
      <c r="C3676" s="94"/>
      <c r="E3676" s="94"/>
      <c r="G3676" s="94"/>
      <c r="I3676" s="94"/>
      <c r="K3676" s="94"/>
      <c r="M3676" s="94"/>
    </row>
    <row r="3677" s="93" customFormat="1" spans="3:13">
      <c r="C3677" s="94"/>
      <c r="E3677" s="94"/>
      <c r="G3677" s="94"/>
      <c r="I3677" s="94"/>
      <c r="K3677" s="94"/>
      <c r="M3677" s="94"/>
    </row>
    <row r="3678" s="93" customFormat="1" spans="3:13">
      <c r="C3678" s="94"/>
      <c r="E3678" s="94"/>
      <c r="G3678" s="94"/>
      <c r="I3678" s="94"/>
      <c r="K3678" s="94"/>
      <c r="M3678" s="94"/>
    </row>
    <row r="3679" s="93" customFormat="1" spans="3:13">
      <c r="C3679" s="94"/>
      <c r="E3679" s="94"/>
      <c r="G3679" s="94"/>
      <c r="I3679" s="94"/>
      <c r="K3679" s="94"/>
      <c r="M3679" s="94"/>
    </row>
    <row r="3680" s="93" customFormat="1" spans="3:13">
      <c r="C3680" s="94"/>
      <c r="E3680" s="94"/>
      <c r="G3680" s="94"/>
      <c r="I3680" s="94"/>
      <c r="K3680" s="94"/>
      <c r="M3680" s="94"/>
    </row>
    <row r="3681" s="93" customFormat="1" spans="3:13">
      <c r="C3681" s="94"/>
      <c r="E3681" s="94"/>
      <c r="G3681" s="94"/>
      <c r="I3681" s="94"/>
      <c r="K3681" s="94"/>
      <c r="M3681" s="94"/>
    </row>
    <row r="3682" s="93" customFormat="1" spans="3:13">
      <c r="C3682" s="94"/>
      <c r="E3682" s="94"/>
      <c r="G3682" s="94"/>
      <c r="I3682" s="94"/>
      <c r="K3682" s="94"/>
      <c r="M3682" s="94"/>
    </row>
    <row r="3683" s="93" customFormat="1" spans="3:13">
      <c r="C3683" s="94"/>
      <c r="E3683" s="94"/>
      <c r="G3683" s="94"/>
      <c r="I3683" s="94"/>
      <c r="K3683" s="94"/>
      <c r="M3683" s="94"/>
    </row>
    <row r="3684" s="93" customFormat="1" spans="3:13">
      <c r="C3684" s="94"/>
      <c r="E3684" s="94"/>
      <c r="G3684" s="94"/>
      <c r="I3684" s="94"/>
      <c r="K3684" s="94"/>
      <c r="M3684" s="94"/>
    </row>
    <row r="3685" s="93" customFormat="1" spans="3:13">
      <c r="C3685" s="94"/>
      <c r="E3685" s="94"/>
      <c r="G3685" s="94"/>
      <c r="I3685" s="94"/>
      <c r="K3685" s="94"/>
      <c r="M3685" s="94"/>
    </row>
    <row r="3686" s="93" customFormat="1" spans="3:13">
      <c r="C3686" s="94"/>
      <c r="E3686" s="94"/>
      <c r="G3686" s="94"/>
      <c r="I3686" s="94"/>
      <c r="K3686" s="94"/>
      <c r="M3686" s="94"/>
    </row>
    <row r="3687" s="93" customFormat="1" spans="3:13">
      <c r="C3687" s="94"/>
      <c r="E3687" s="94"/>
      <c r="G3687" s="94"/>
      <c r="I3687" s="94"/>
      <c r="K3687" s="94"/>
      <c r="M3687" s="94"/>
    </row>
    <row r="3688" s="93" customFormat="1" spans="3:13">
      <c r="C3688" s="94"/>
      <c r="E3688" s="94"/>
      <c r="G3688" s="94"/>
      <c r="I3688" s="94"/>
      <c r="K3688" s="94"/>
      <c r="M3688" s="94"/>
    </row>
    <row r="3689" s="93" customFormat="1" spans="3:13">
      <c r="C3689" s="94"/>
      <c r="E3689" s="94"/>
      <c r="G3689" s="94"/>
      <c r="I3689" s="94"/>
      <c r="K3689" s="94"/>
      <c r="M3689" s="94"/>
    </row>
    <row r="3690" s="93" customFormat="1" spans="3:13">
      <c r="C3690" s="94"/>
      <c r="E3690" s="94"/>
      <c r="G3690" s="94"/>
      <c r="I3690" s="94"/>
      <c r="K3690" s="94"/>
      <c r="M3690" s="94"/>
    </row>
    <row r="3691" s="93" customFormat="1" spans="3:13">
      <c r="C3691" s="94"/>
      <c r="E3691" s="94"/>
      <c r="G3691" s="94"/>
      <c r="I3691" s="94"/>
      <c r="K3691" s="94"/>
      <c r="M3691" s="94"/>
    </row>
    <row r="3692" s="93" customFormat="1" spans="3:13">
      <c r="C3692" s="94"/>
      <c r="E3692" s="94"/>
      <c r="G3692" s="94"/>
      <c r="I3692" s="94"/>
      <c r="K3692" s="94"/>
      <c r="M3692" s="94"/>
    </row>
    <row r="3693" s="93" customFormat="1" spans="3:13">
      <c r="C3693" s="94"/>
      <c r="E3693" s="94"/>
      <c r="G3693" s="94"/>
      <c r="I3693" s="94"/>
      <c r="K3693" s="94"/>
      <c r="M3693" s="94"/>
    </row>
    <row r="3694" s="93" customFormat="1" spans="3:13">
      <c r="C3694" s="94"/>
      <c r="E3694" s="94"/>
      <c r="G3694" s="94"/>
      <c r="I3694" s="94"/>
      <c r="K3694" s="94"/>
      <c r="M3694" s="94"/>
    </row>
    <row r="3695" s="93" customFormat="1" spans="3:13">
      <c r="C3695" s="94"/>
      <c r="E3695" s="94"/>
      <c r="G3695" s="94"/>
      <c r="I3695" s="94"/>
      <c r="K3695" s="94"/>
      <c r="M3695" s="94"/>
    </row>
    <row r="3696" s="93" customFormat="1" spans="3:13">
      <c r="C3696" s="94"/>
      <c r="E3696" s="94"/>
      <c r="G3696" s="94"/>
      <c r="I3696" s="94"/>
      <c r="K3696" s="94"/>
      <c r="M3696" s="94"/>
    </row>
    <row r="3697" s="93" customFormat="1" spans="3:13">
      <c r="C3697" s="94"/>
      <c r="E3697" s="94"/>
      <c r="G3697" s="94"/>
      <c r="I3697" s="94"/>
      <c r="K3697" s="94"/>
      <c r="M3697" s="94"/>
    </row>
    <row r="3698" s="93" customFormat="1" spans="3:13">
      <c r="C3698" s="94"/>
      <c r="E3698" s="94"/>
      <c r="G3698" s="94"/>
      <c r="I3698" s="94"/>
      <c r="K3698" s="94"/>
      <c r="M3698" s="94"/>
    </row>
    <row r="3699" s="93" customFormat="1" spans="3:13">
      <c r="C3699" s="94"/>
      <c r="E3699" s="94"/>
      <c r="G3699" s="94"/>
      <c r="I3699" s="94"/>
      <c r="K3699" s="94"/>
      <c r="M3699" s="94"/>
    </row>
    <row r="3700" s="93" customFormat="1" spans="3:13">
      <c r="C3700" s="94"/>
      <c r="E3700" s="94"/>
      <c r="G3700" s="94"/>
      <c r="I3700" s="94"/>
      <c r="K3700" s="94"/>
      <c r="M3700" s="94"/>
    </row>
    <row r="3701" s="93" customFormat="1" spans="3:13">
      <c r="C3701" s="94"/>
      <c r="E3701" s="94"/>
      <c r="G3701" s="94"/>
      <c r="I3701" s="94"/>
      <c r="K3701" s="94"/>
      <c r="M3701" s="94"/>
    </row>
    <row r="3702" s="93" customFormat="1" spans="3:13">
      <c r="C3702" s="94"/>
      <c r="E3702" s="94"/>
      <c r="G3702" s="94"/>
      <c r="I3702" s="94"/>
      <c r="K3702" s="94"/>
      <c r="M3702" s="94"/>
    </row>
    <row r="3703" s="93" customFormat="1" spans="3:13">
      <c r="C3703" s="94"/>
      <c r="E3703" s="94"/>
      <c r="G3703" s="94"/>
      <c r="I3703" s="94"/>
      <c r="K3703" s="94"/>
      <c r="M3703" s="94"/>
    </row>
    <row r="3704" s="93" customFormat="1" spans="3:13">
      <c r="C3704" s="94"/>
      <c r="E3704" s="94"/>
      <c r="G3704" s="94"/>
      <c r="I3704" s="94"/>
      <c r="K3704" s="94"/>
      <c r="M3704" s="94"/>
    </row>
    <row r="3705" s="93" customFormat="1" spans="3:13">
      <c r="C3705" s="94"/>
      <c r="E3705" s="94"/>
      <c r="G3705" s="94"/>
      <c r="I3705" s="94"/>
      <c r="K3705" s="94"/>
      <c r="M3705" s="94"/>
    </row>
    <row r="3706" s="93" customFormat="1" spans="3:13">
      <c r="C3706" s="94"/>
      <c r="E3706" s="94"/>
      <c r="G3706" s="94"/>
      <c r="I3706" s="94"/>
      <c r="K3706" s="94"/>
      <c r="M3706" s="94"/>
    </row>
    <row r="3707" s="93" customFormat="1" spans="3:13">
      <c r="C3707" s="94"/>
      <c r="E3707" s="94"/>
      <c r="G3707" s="94"/>
      <c r="I3707" s="94"/>
      <c r="K3707" s="94"/>
      <c r="M3707" s="94"/>
    </row>
    <row r="3708" s="93" customFormat="1" spans="3:13">
      <c r="C3708" s="94"/>
      <c r="E3708" s="94"/>
      <c r="G3708" s="94"/>
      <c r="I3708" s="94"/>
      <c r="K3708" s="94"/>
      <c r="M3708" s="94"/>
    </row>
    <row r="3709" s="93" customFormat="1" spans="3:13">
      <c r="C3709" s="94"/>
      <c r="E3709" s="94"/>
      <c r="G3709" s="94"/>
      <c r="I3709" s="94"/>
      <c r="K3709" s="94"/>
      <c r="M3709" s="94"/>
    </row>
    <row r="3710" s="93" customFormat="1" spans="3:13">
      <c r="C3710" s="94"/>
      <c r="E3710" s="94"/>
      <c r="G3710" s="94"/>
      <c r="I3710" s="94"/>
      <c r="K3710" s="94"/>
      <c r="M3710" s="94"/>
    </row>
    <row r="3711" s="93" customFormat="1" spans="3:13">
      <c r="C3711" s="94"/>
      <c r="E3711" s="94"/>
      <c r="G3711" s="94"/>
      <c r="I3711" s="94"/>
      <c r="K3711" s="94"/>
      <c r="M3711" s="94"/>
    </row>
    <row r="3712" s="93" customFormat="1" spans="3:13">
      <c r="C3712" s="94"/>
      <c r="E3712" s="94"/>
      <c r="G3712" s="94"/>
      <c r="I3712" s="94"/>
      <c r="K3712" s="94"/>
      <c r="M3712" s="94"/>
    </row>
    <row r="3713" s="93" customFormat="1" spans="3:13">
      <c r="C3713" s="94"/>
      <c r="E3713" s="94"/>
      <c r="G3713" s="94"/>
      <c r="I3713" s="94"/>
      <c r="K3713" s="94"/>
      <c r="M3713" s="94"/>
    </row>
    <row r="3714" s="93" customFormat="1" spans="3:13">
      <c r="C3714" s="94"/>
      <c r="E3714" s="94"/>
      <c r="G3714" s="94"/>
      <c r="I3714" s="94"/>
      <c r="K3714" s="94"/>
      <c r="M3714" s="94"/>
    </row>
    <row r="3715" s="93" customFormat="1" spans="3:13">
      <c r="C3715" s="94"/>
      <c r="E3715" s="94"/>
      <c r="G3715" s="94"/>
      <c r="I3715" s="94"/>
      <c r="K3715" s="94"/>
      <c r="M3715" s="94"/>
    </row>
    <row r="3716" s="93" customFormat="1" spans="3:13">
      <c r="C3716" s="94"/>
      <c r="E3716" s="94"/>
      <c r="G3716" s="94"/>
      <c r="I3716" s="94"/>
      <c r="K3716" s="94"/>
      <c r="M3716" s="94"/>
    </row>
    <row r="3717" s="93" customFormat="1" spans="3:13">
      <c r="C3717" s="94"/>
      <c r="E3717" s="94"/>
      <c r="G3717" s="94"/>
      <c r="I3717" s="94"/>
      <c r="K3717" s="94"/>
      <c r="M3717" s="94"/>
    </row>
    <row r="3718" s="93" customFormat="1" spans="3:13">
      <c r="C3718" s="94"/>
      <c r="E3718" s="94"/>
      <c r="G3718" s="94"/>
      <c r="I3718" s="94"/>
      <c r="K3718" s="94"/>
      <c r="M3718" s="94"/>
    </row>
    <row r="3719" s="93" customFormat="1" spans="3:13">
      <c r="C3719" s="94"/>
      <c r="E3719" s="94"/>
      <c r="G3719" s="94"/>
      <c r="I3719" s="94"/>
      <c r="K3719" s="94"/>
      <c r="M3719" s="94"/>
    </row>
    <row r="3720" s="93" customFormat="1" spans="3:13">
      <c r="C3720" s="94"/>
      <c r="E3720" s="94"/>
      <c r="G3720" s="94"/>
      <c r="I3720" s="94"/>
      <c r="K3720" s="94"/>
      <c r="M3720" s="94"/>
    </row>
    <row r="3721" s="93" customFormat="1" spans="3:13">
      <c r="C3721" s="94"/>
      <c r="E3721" s="94"/>
      <c r="G3721" s="94"/>
      <c r="I3721" s="94"/>
      <c r="K3721" s="94"/>
      <c r="M3721" s="94"/>
    </row>
    <row r="3722" s="93" customFormat="1" spans="3:13">
      <c r="C3722" s="94"/>
      <c r="E3722" s="94"/>
      <c r="G3722" s="94"/>
      <c r="I3722" s="94"/>
      <c r="K3722" s="94"/>
      <c r="M3722" s="94"/>
    </row>
    <row r="3723" s="93" customFormat="1" spans="3:13">
      <c r="C3723" s="94"/>
      <c r="E3723" s="94"/>
      <c r="G3723" s="94"/>
      <c r="I3723" s="94"/>
      <c r="K3723" s="94"/>
      <c r="M3723" s="94"/>
    </row>
    <row r="3724" s="93" customFormat="1" spans="3:13">
      <c r="C3724" s="94"/>
      <c r="E3724" s="94"/>
      <c r="G3724" s="94"/>
      <c r="I3724" s="94"/>
      <c r="K3724" s="94"/>
      <c r="M3724" s="94"/>
    </row>
    <row r="3725" s="93" customFormat="1" spans="3:13">
      <c r="C3725" s="94"/>
      <c r="E3725" s="94"/>
      <c r="G3725" s="94"/>
      <c r="I3725" s="94"/>
      <c r="K3725" s="94"/>
      <c r="M3725" s="94"/>
    </row>
    <row r="3726" s="93" customFormat="1" spans="3:13">
      <c r="C3726" s="94"/>
      <c r="E3726" s="94"/>
      <c r="G3726" s="94"/>
      <c r="I3726" s="94"/>
      <c r="K3726" s="94"/>
      <c r="M3726" s="94"/>
    </row>
    <row r="3727" s="93" customFormat="1" spans="3:13">
      <c r="C3727" s="94"/>
      <c r="E3727" s="94"/>
      <c r="G3727" s="94"/>
      <c r="I3727" s="94"/>
      <c r="K3727" s="94"/>
      <c r="M3727" s="94"/>
    </row>
    <row r="3728" s="93" customFormat="1" spans="3:13">
      <c r="C3728" s="94"/>
      <c r="E3728" s="94"/>
      <c r="G3728" s="94"/>
      <c r="I3728" s="94"/>
      <c r="K3728" s="94"/>
      <c r="M3728" s="94"/>
    </row>
    <row r="3729" s="93" customFormat="1" spans="3:13">
      <c r="C3729" s="94"/>
      <c r="E3729" s="94"/>
      <c r="G3729" s="94"/>
      <c r="I3729" s="94"/>
      <c r="K3729" s="94"/>
      <c r="M3729" s="94"/>
    </row>
    <row r="3730" s="93" customFormat="1" spans="3:13">
      <c r="C3730" s="94"/>
      <c r="E3730" s="94"/>
      <c r="G3730" s="94"/>
      <c r="I3730" s="94"/>
      <c r="K3730" s="94"/>
      <c r="M3730" s="94"/>
    </row>
    <row r="3731" s="93" customFormat="1" spans="3:13">
      <c r="C3731" s="94"/>
      <c r="E3731" s="94"/>
      <c r="G3731" s="94"/>
      <c r="I3731" s="94"/>
      <c r="K3731" s="94"/>
      <c r="M3731" s="94"/>
    </row>
    <row r="3732" s="93" customFormat="1" spans="3:13">
      <c r="C3732" s="94"/>
      <c r="E3732" s="94"/>
      <c r="G3732" s="94"/>
      <c r="I3732" s="94"/>
      <c r="K3732" s="94"/>
      <c r="M3732" s="94"/>
    </row>
    <row r="3733" s="93" customFormat="1" spans="3:13">
      <c r="C3733" s="94"/>
      <c r="E3733" s="94"/>
      <c r="G3733" s="94"/>
      <c r="I3733" s="94"/>
      <c r="K3733" s="94"/>
      <c r="M3733" s="94"/>
    </row>
    <row r="3734" s="93" customFormat="1" spans="3:13">
      <c r="C3734" s="94"/>
      <c r="E3734" s="94"/>
      <c r="G3734" s="94"/>
      <c r="I3734" s="94"/>
      <c r="K3734" s="94"/>
      <c r="M3734" s="94"/>
    </row>
    <row r="3735" s="93" customFormat="1" spans="3:13">
      <c r="C3735" s="94"/>
      <c r="E3735" s="94"/>
      <c r="G3735" s="94"/>
      <c r="I3735" s="94"/>
      <c r="K3735" s="94"/>
      <c r="M3735" s="94"/>
    </row>
    <row r="3736" s="93" customFormat="1" spans="3:13">
      <c r="C3736" s="94"/>
      <c r="E3736" s="94"/>
      <c r="G3736" s="94"/>
      <c r="I3736" s="94"/>
      <c r="K3736" s="94"/>
      <c r="M3736" s="94"/>
    </row>
    <row r="3737" s="93" customFormat="1" spans="3:13">
      <c r="C3737" s="94"/>
      <c r="E3737" s="94"/>
      <c r="G3737" s="94"/>
      <c r="I3737" s="94"/>
      <c r="K3737" s="94"/>
      <c r="M3737" s="94"/>
    </row>
    <row r="3738" s="93" customFormat="1" spans="3:13">
      <c r="C3738" s="94"/>
      <c r="E3738" s="94"/>
      <c r="G3738" s="94"/>
      <c r="I3738" s="94"/>
      <c r="K3738" s="94"/>
      <c r="M3738" s="94"/>
    </row>
    <row r="3739" s="93" customFormat="1" spans="3:13">
      <c r="C3739" s="94"/>
      <c r="E3739" s="94"/>
      <c r="G3739" s="94"/>
      <c r="I3739" s="94"/>
      <c r="K3739" s="94"/>
      <c r="M3739" s="94"/>
    </row>
    <row r="3740" s="93" customFormat="1" spans="3:13">
      <c r="C3740" s="94"/>
      <c r="E3740" s="94"/>
      <c r="G3740" s="94"/>
      <c r="I3740" s="94"/>
      <c r="K3740" s="94"/>
      <c r="M3740" s="94"/>
    </row>
    <row r="3741" s="93" customFormat="1" spans="3:13">
      <c r="C3741" s="94"/>
      <c r="E3741" s="94"/>
      <c r="G3741" s="94"/>
      <c r="I3741" s="94"/>
      <c r="K3741" s="94"/>
      <c r="M3741" s="94"/>
    </row>
    <row r="3742" s="93" customFormat="1" spans="3:13">
      <c r="C3742" s="94"/>
      <c r="E3742" s="94"/>
      <c r="G3742" s="94"/>
      <c r="I3742" s="94"/>
      <c r="K3742" s="94"/>
      <c r="M3742" s="94"/>
    </row>
    <row r="3743" s="93" customFormat="1" spans="3:13">
      <c r="C3743" s="94"/>
      <c r="E3743" s="94"/>
      <c r="G3743" s="94"/>
      <c r="I3743" s="94"/>
      <c r="K3743" s="94"/>
      <c r="M3743" s="94"/>
    </row>
    <row r="3744" s="93" customFormat="1" spans="3:13">
      <c r="C3744" s="94"/>
      <c r="E3744" s="94"/>
      <c r="G3744" s="94"/>
      <c r="I3744" s="94"/>
      <c r="K3744" s="94"/>
      <c r="M3744" s="94"/>
    </row>
    <row r="3745" s="93" customFormat="1" spans="3:13">
      <c r="C3745" s="94"/>
      <c r="E3745" s="94"/>
      <c r="G3745" s="94"/>
      <c r="I3745" s="94"/>
      <c r="K3745" s="94"/>
      <c r="M3745" s="94"/>
    </row>
    <row r="3746" s="93" customFormat="1" spans="3:13">
      <c r="C3746" s="94"/>
      <c r="E3746" s="94"/>
      <c r="G3746" s="94"/>
      <c r="I3746" s="94"/>
      <c r="K3746" s="94"/>
      <c r="M3746" s="94"/>
    </row>
    <row r="3747" s="93" customFormat="1" spans="3:13">
      <c r="C3747" s="94"/>
      <c r="E3747" s="94"/>
      <c r="G3747" s="94"/>
      <c r="I3747" s="94"/>
      <c r="K3747" s="94"/>
      <c r="M3747" s="94"/>
    </row>
    <row r="3748" s="93" customFormat="1" spans="3:13">
      <c r="C3748" s="94"/>
      <c r="E3748" s="94"/>
      <c r="G3748" s="94"/>
      <c r="I3748" s="94"/>
      <c r="K3748" s="94"/>
      <c r="M3748" s="94"/>
    </row>
    <row r="3749" s="93" customFormat="1" spans="3:13">
      <c r="C3749" s="94"/>
      <c r="E3749" s="94"/>
      <c r="G3749" s="94"/>
      <c r="I3749" s="94"/>
      <c r="K3749" s="94"/>
      <c r="M3749" s="94"/>
    </row>
    <row r="3750" s="93" customFormat="1" spans="3:13">
      <c r="C3750" s="94"/>
      <c r="E3750" s="94"/>
      <c r="G3750" s="94"/>
      <c r="I3750" s="94"/>
      <c r="K3750" s="94"/>
      <c r="M3750" s="94"/>
    </row>
    <row r="3751" s="93" customFormat="1" spans="3:13">
      <c r="C3751" s="94"/>
      <c r="E3751" s="94"/>
      <c r="G3751" s="94"/>
      <c r="I3751" s="94"/>
      <c r="K3751" s="94"/>
      <c r="M3751" s="94"/>
    </row>
    <row r="3752" s="93" customFormat="1" spans="3:13">
      <c r="C3752" s="94"/>
      <c r="E3752" s="94"/>
      <c r="G3752" s="94"/>
      <c r="I3752" s="94"/>
      <c r="K3752" s="94"/>
      <c r="M3752" s="94"/>
    </row>
    <row r="3753" s="93" customFormat="1" spans="3:13">
      <c r="C3753" s="94"/>
      <c r="E3753" s="94"/>
      <c r="G3753" s="94"/>
      <c r="I3753" s="94"/>
      <c r="K3753" s="94"/>
      <c r="M3753" s="94"/>
    </row>
    <row r="3754" s="93" customFormat="1" spans="3:13">
      <c r="C3754" s="94"/>
      <c r="E3754" s="94"/>
      <c r="G3754" s="94"/>
      <c r="I3754" s="94"/>
      <c r="K3754" s="94"/>
      <c r="M3754" s="94"/>
    </row>
    <row r="3755" s="93" customFormat="1" spans="3:13">
      <c r="C3755" s="94"/>
      <c r="E3755" s="94"/>
      <c r="G3755" s="94"/>
      <c r="I3755" s="94"/>
      <c r="K3755" s="94"/>
      <c r="M3755" s="94"/>
    </row>
    <row r="3756" s="93" customFormat="1" spans="3:13">
      <c r="C3756" s="94"/>
      <c r="E3756" s="94"/>
      <c r="G3756" s="94"/>
      <c r="I3756" s="94"/>
      <c r="K3756" s="94"/>
      <c r="M3756" s="94"/>
    </row>
    <row r="3757" s="93" customFormat="1" spans="3:13">
      <c r="C3757" s="94"/>
      <c r="E3757" s="94"/>
      <c r="G3757" s="94"/>
      <c r="I3757" s="94"/>
      <c r="K3757" s="94"/>
      <c r="M3757" s="94"/>
    </row>
    <row r="3758" s="93" customFormat="1" spans="3:13">
      <c r="C3758" s="94"/>
      <c r="E3758" s="94"/>
      <c r="G3758" s="94"/>
      <c r="I3758" s="94"/>
      <c r="K3758" s="94"/>
      <c r="M3758" s="94"/>
    </row>
    <row r="3759" s="93" customFormat="1" spans="3:13">
      <c r="C3759" s="94"/>
      <c r="E3759" s="94"/>
      <c r="G3759" s="94"/>
      <c r="I3759" s="94"/>
      <c r="K3759" s="94"/>
      <c r="M3759" s="94"/>
    </row>
    <row r="3760" s="93" customFormat="1" spans="3:13">
      <c r="C3760" s="94"/>
      <c r="E3760" s="94"/>
      <c r="G3760" s="94"/>
      <c r="I3760" s="94"/>
      <c r="K3760" s="94"/>
      <c r="M3760" s="94"/>
    </row>
    <row r="3761" s="93" customFormat="1" spans="3:13">
      <c r="C3761" s="94"/>
      <c r="E3761" s="94"/>
      <c r="G3761" s="94"/>
      <c r="I3761" s="94"/>
      <c r="K3761" s="94"/>
      <c r="M3761" s="94"/>
    </row>
    <row r="3762" s="93" customFormat="1" spans="3:13">
      <c r="C3762" s="94"/>
      <c r="E3762" s="94"/>
      <c r="G3762" s="94"/>
      <c r="I3762" s="94"/>
      <c r="K3762" s="94"/>
      <c r="M3762" s="94"/>
    </row>
    <row r="3763" s="93" customFormat="1" spans="3:13">
      <c r="C3763" s="94"/>
      <c r="E3763" s="94"/>
      <c r="G3763" s="94"/>
      <c r="I3763" s="94"/>
      <c r="K3763" s="94"/>
      <c r="M3763" s="94"/>
    </row>
    <row r="3764" s="93" customFormat="1" spans="3:13">
      <c r="C3764" s="94"/>
      <c r="E3764" s="94"/>
      <c r="G3764" s="94"/>
      <c r="I3764" s="94"/>
      <c r="K3764" s="94"/>
      <c r="M3764" s="94"/>
    </row>
    <row r="3765" s="93" customFormat="1" spans="3:13">
      <c r="C3765" s="94"/>
      <c r="E3765" s="94"/>
      <c r="G3765" s="94"/>
      <c r="I3765" s="94"/>
      <c r="K3765" s="94"/>
      <c r="M3765" s="94"/>
    </row>
    <row r="3766" s="93" customFormat="1" spans="3:13">
      <c r="C3766" s="94"/>
      <c r="E3766" s="94"/>
      <c r="G3766" s="94"/>
      <c r="I3766" s="94"/>
      <c r="K3766" s="94"/>
      <c r="M3766" s="94"/>
    </row>
    <row r="3767" s="93" customFormat="1" spans="3:13">
      <c r="C3767" s="94"/>
      <c r="E3767" s="94"/>
      <c r="G3767" s="94"/>
      <c r="I3767" s="94"/>
      <c r="K3767" s="94"/>
      <c r="M3767" s="94"/>
    </row>
    <row r="3768" s="93" customFormat="1" spans="3:13">
      <c r="C3768" s="94"/>
      <c r="E3768" s="94"/>
      <c r="G3768" s="94"/>
      <c r="I3768" s="94"/>
      <c r="K3768" s="94"/>
      <c r="M3768" s="94"/>
    </row>
    <row r="3769" s="93" customFormat="1" spans="3:13">
      <c r="C3769" s="94"/>
      <c r="E3769" s="94"/>
      <c r="G3769" s="94"/>
      <c r="I3769" s="94"/>
      <c r="K3769" s="94"/>
      <c r="M3769" s="94"/>
    </row>
    <row r="3770" s="93" customFormat="1" spans="3:13">
      <c r="C3770" s="94"/>
      <c r="E3770" s="94"/>
      <c r="G3770" s="94"/>
      <c r="I3770" s="94"/>
      <c r="K3770" s="94"/>
      <c r="M3770" s="94"/>
    </row>
    <row r="3771" s="93" customFormat="1" spans="3:13">
      <c r="C3771" s="94"/>
      <c r="E3771" s="94"/>
      <c r="G3771" s="94"/>
      <c r="I3771" s="94"/>
      <c r="K3771" s="94"/>
      <c r="M3771" s="94"/>
    </row>
    <row r="3772" s="93" customFormat="1" spans="3:13">
      <c r="C3772" s="94"/>
      <c r="E3772" s="94"/>
      <c r="G3772" s="94"/>
      <c r="I3772" s="94"/>
      <c r="K3772" s="94"/>
      <c r="M3772" s="94"/>
    </row>
    <row r="3773" s="93" customFormat="1" spans="3:13">
      <c r="C3773" s="94"/>
      <c r="E3773" s="94"/>
      <c r="G3773" s="94"/>
      <c r="I3773" s="94"/>
      <c r="K3773" s="94"/>
      <c r="M3773" s="94"/>
    </row>
    <row r="3774" s="93" customFormat="1" spans="3:13">
      <c r="C3774" s="94"/>
      <c r="E3774" s="94"/>
      <c r="G3774" s="94"/>
      <c r="I3774" s="94"/>
      <c r="K3774" s="94"/>
      <c r="M3774" s="94"/>
    </row>
    <row r="3775" s="93" customFormat="1" spans="3:13">
      <c r="C3775" s="94"/>
      <c r="E3775" s="94"/>
      <c r="G3775" s="94"/>
      <c r="I3775" s="94"/>
      <c r="K3775" s="94"/>
      <c r="M3775" s="94"/>
    </row>
    <row r="3776" s="93" customFormat="1" spans="3:13">
      <c r="C3776" s="94"/>
      <c r="E3776" s="94"/>
      <c r="G3776" s="94"/>
      <c r="I3776" s="94"/>
      <c r="K3776" s="94"/>
      <c r="M3776" s="94"/>
    </row>
    <row r="3777" s="93" customFormat="1" spans="3:13">
      <c r="C3777" s="94"/>
      <c r="E3777" s="94"/>
      <c r="G3777" s="94"/>
      <c r="I3777" s="94"/>
      <c r="K3777" s="94"/>
      <c r="M3777" s="94"/>
    </row>
    <row r="3778" s="93" customFormat="1" spans="3:13">
      <c r="C3778" s="94"/>
      <c r="E3778" s="94"/>
      <c r="G3778" s="94"/>
      <c r="I3778" s="94"/>
      <c r="K3778" s="94"/>
      <c r="M3778" s="94"/>
    </row>
    <row r="3779" s="93" customFormat="1" spans="3:13">
      <c r="C3779" s="94"/>
      <c r="E3779" s="94"/>
      <c r="G3779" s="94"/>
      <c r="I3779" s="94"/>
      <c r="K3779" s="94"/>
      <c r="M3779" s="94"/>
    </row>
    <row r="3780" s="93" customFormat="1" spans="3:13">
      <c r="C3780" s="94"/>
      <c r="E3780" s="94"/>
      <c r="G3780" s="94"/>
      <c r="I3780" s="94"/>
      <c r="K3780" s="94"/>
      <c r="M3780" s="94"/>
    </row>
    <row r="3781" s="93" customFormat="1" spans="3:13">
      <c r="C3781" s="94"/>
      <c r="E3781" s="94"/>
      <c r="G3781" s="94"/>
      <c r="I3781" s="94"/>
      <c r="K3781" s="94"/>
      <c r="M3781" s="94"/>
    </row>
    <row r="3782" s="93" customFormat="1" spans="3:13">
      <c r="C3782" s="94"/>
      <c r="E3782" s="94"/>
      <c r="G3782" s="94"/>
      <c r="I3782" s="94"/>
      <c r="K3782" s="94"/>
      <c r="M3782" s="94"/>
    </row>
    <row r="3783" s="93" customFormat="1" spans="3:13">
      <c r="C3783" s="94"/>
      <c r="E3783" s="94"/>
      <c r="G3783" s="94"/>
      <c r="I3783" s="94"/>
      <c r="K3783" s="94"/>
      <c r="M3783" s="94"/>
    </row>
    <row r="3784" s="93" customFormat="1" spans="3:13">
      <c r="C3784" s="94"/>
      <c r="E3784" s="94"/>
      <c r="G3784" s="94"/>
      <c r="I3784" s="94"/>
      <c r="K3784" s="94"/>
      <c r="M3784" s="94"/>
    </row>
    <row r="3785" s="93" customFormat="1" spans="3:13">
      <c r="C3785" s="94"/>
      <c r="E3785" s="94"/>
      <c r="G3785" s="94"/>
      <c r="I3785" s="94"/>
      <c r="K3785" s="94"/>
      <c r="M3785" s="94"/>
    </row>
    <row r="3786" s="93" customFormat="1" spans="3:13">
      <c r="C3786" s="94"/>
      <c r="E3786" s="94"/>
      <c r="G3786" s="94"/>
      <c r="I3786" s="94"/>
      <c r="K3786" s="94"/>
      <c r="M3786" s="94"/>
    </row>
    <row r="3787" s="93" customFormat="1" spans="3:13">
      <c r="C3787" s="94"/>
      <c r="E3787" s="94"/>
      <c r="G3787" s="94"/>
      <c r="I3787" s="94"/>
      <c r="K3787" s="94"/>
      <c r="M3787" s="94"/>
    </row>
    <row r="3788" s="93" customFormat="1" spans="3:13">
      <c r="C3788" s="94"/>
      <c r="E3788" s="94"/>
      <c r="G3788" s="94"/>
      <c r="I3788" s="94"/>
      <c r="K3788" s="94"/>
      <c r="M3788" s="94"/>
    </row>
    <row r="3789" s="93" customFormat="1" spans="3:13">
      <c r="C3789" s="94"/>
      <c r="E3789" s="94"/>
      <c r="G3789" s="94"/>
      <c r="I3789" s="94"/>
      <c r="K3789" s="94"/>
      <c r="M3789" s="94"/>
    </row>
    <row r="3790" s="93" customFormat="1" spans="3:13">
      <c r="C3790" s="94"/>
      <c r="E3790" s="94"/>
      <c r="G3790" s="94"/>
      <c r="I3790" s="94"/>
      <c r="K3790" s="94"/>
      <c r="M3790" s="94"/>
    </row>
    <row r="3791" s="93" customFormat="1" spans="3:13">
      <c r="C3791" s="94"/>
      <c r="E3791" s="94"/>
      <c r="G3791" s="94"/>
      <c r="I3791" s="94"/>
      <c r="K3791" s="94"/>
      <c r="M3791" s="94"/>
    </row>
    <row r="3792" s="93" customFormat="1" spans="3:13">
      <c r="C3792" s="94"/>
      <c r="E3792" s="94"/>
      <c r="G3792" s="94"/>
      <c r="I3792" s="94"/>
      <c r="K3792" s="94"/>
      <c r="M3792" s="94"/>
    </row>
    <row r="3793" s="93" customFormat="1" spans="3:13">
      <c r="C3793" s="94"/>
      <c r="E3793" s="94"/>
      <c r="G3793" s="94"/>
      <c r="I3793" s="94"/>
      <c r="K3793" s="94"/>
      <c r="M3793" s="94"/>
    </row>
    <row r="3794" s="93" customFormat="1" spans="3:13">
      <c r="C3794" s="94"/>
      <c r="E3794" s="94"/>
      <c r="G3794" s="94"/>
      <c r="I3794" s="94"/>
      <c r="K3794" s="94"/>
      <c r="M3794" s="94"/>
    </row>
    <row r="3795" s="93" customFormat="1" spans="3:13">
      <c r="C3795" s="94"/>
      <c r="E3795" s="94"/>
      <c r="G3795" s="94"/>
      <c r="I3795" s="94"/>
      <c r="K3795" s="94"/>
      <c r="M3795" s="94"/>
    </row>
    <row r="3796" s="93" customFormat="1" spans="3:13">
      <c r="C3796" s="94"/>
      <c r="E3796" s="94"/>
      <c r="G3796" s="94"/>
      <c r="I3796" s="94"/>
      <c r="K3796" s="94"/>
      <c r="M3796" s="94"/>
    </row>
    <row r="3797" s="93" customFormat="1" spans="3:13">
      <c r="C3797" s="94"/>
      <c r="E3797" s="94"/>
      <c r="G3797" s="94"/>
      <c r="I3797" s="94"/>
      <c r="K3797" s="94"/>
      <c r="M3797" s="94"/>
    </row>
    <row r="3798" s="93" customFormat="1" spans="3:13">
      <c r="C3798" s="94"/>
      <c r="E3798" s="94"/>
      <c r="G3798" s="94"/>
      <c r="I3798" s="94"/>
      <c r="K3798" s="94"/>
      <c r="M3798" s="94"/>
    </row>
    <row r="3799" s="93" customFormat="1" spans="3:13">
      <c r="C3799" s="94"/>
      <c r="E3799" s="94"/>
      <c r="G3799" s="94"/>
      <c r="I3799" s="94"/>
      <c r="K3799" s="94"/>
      <c r="M3799" s="94"/>
    </row>
    <row r="3800" s="93" customFormat="1" spans="3:13">
      <c r="C3800" s="94"/>
      <c r="E3800" s="94"/>
      <c r="G3800" s="94"/>
      <c r="I3800" s="94"/>
      <c r="K3800" s="94"/>
      <c r="M3800" s="94"/>
    </row>
    <row r="3801" s="93" customFormat="1" spans="3:13">
      <c r="C3801" s="94"/>
      <c r="E3801" s="94"/>
      <c r="G3801" s="94"/>
      <c r="I3801" s="94"/>
      <c r="K3801" s="94"/>
      <c r="M3801" s="94"/>
    </row>
    <row r="3802" s="93" customFormat="1" spans="3:13">
      <c r="C3802" s="94"/>
      <c r="E3802" s="94"/>
      <c r="G3802" s="94"/>
      <c r="I3802" s="94"/>
      <c r="K3802" s="94"/>
      <c r="M3802" s="94"/>
    </row>
    <row r="3803" s="93" customFormat="1" spans="3:13">
      <c r="C3803" s="94"/>
      <c r="E3803" s="94"/>
      <c r="G3803" s="94"/>
      <c r="I3803" s="94"/>
      <c r="K3803" s="94"/>
      <c r="M3803" s="94"/>
    </row>
    <row r="3804" s="93" customFormat="1" spans="3:13">
      <c r="C3804" s="94"/>
      <c r="E3804" s="94"/>
      <c r="G3804" s="94"/>
      <c r="I3804" s="94"/>
      <c r="K3804" s="94"/>
      <c r="M3804" s="94"/>
    </row>
    <row r="3805" s="93" customFormat="1" spans="3:13">
      <c r="C3805" s="94"/>
      <c r="E3805" s="94"/>
      <c r="G3805" s="94"/>
      <c r="I3805" s="94"/>
      <c r="K3805" s="94"/>
      <c r="M3805" s="94"/>
    </row>
    <row r="3806" s="93" customFormat="1" spans="3:13">
      <c r="C3806" s="94"/>
      <c r="E3806" s="94"/>
      <c r="G3806" s="94"/>
      <c r="I3806" s="94"/>
      <c r="K3806" s="94"/>
      <c r="M3806" s="94"/>
    </row>
    <row r="3807" s="93" customFormat="1" spans="3:13">
      <c r="C3807" s="94"/>
      <c r="E3807" s="94"/>
      <c r="G3807" s="94"/>
      <c r="I3807" s="94"/>
      <c r="K3807" s="94"/>
      <c r="M3807" s="94"/>
    </row>
    <row r="3808" s="93" customFormat="1" spans="3:13">
      <c r="C3808" s="94"/>
      <c r="E3808" s="94"/>
      <c r="G3808" s="94"/>
      <c r="I3808" s="94"/>
      <c r="K3808" s="94"/>
      <c r="M3808" s="94"/>
    </row>
    <row r="3809" s="93" customFormat="1" spans="3:13">
      <c r="C3809" s="94"/>
      <c r="E3809" s="94"/>
      <c r="G3809" s="94"/>
      <c r="I3809" s="94"/>
      <c r="K3809" s="94"/>
      <c r="M3809" s="94"/>
    </row>
    <row r="3810" s="93" customFormat="1" spans="3:13">
      <c r="C3810" s="94"/>
      <c r="E3810" s="94"/>
      <c r="G3810" s="94"/>
      <c r="I3810" s="94"/>
      <c r="K3810" s="94"/>
      <c r="M3810" s="94"/>
    </row>
    <row r="3811" s="93" customFormat="1" spans="3:13">
      <c r="C3811" s="94"/>
      <c r="E3811" s="94"/>
      <c r="G3811" s="94"/>
      <c r="I3811" s="94"/>
      <c r="K3811" s="94"/>
      <c r="M3811" s="94"/>
    </row>
    <row r="3812" s="93" customFormat="1" spans="3:13">
      <c r="C3812" s="94"/>
      <c r="E3812" s="94"/>
      <c r="G3812" s="94"/>
      <c r="I3812" s="94"/>
      <c r="K3812" s="94"/>
      <c r="M3812" s="94"/>
    </row>
    <row r="3813" s="93" customFormat="1" spans="3:13">
      <c r="C3813" s="94"/>
      <c r="E3813" s="94"/>
      <c r="G3813" s="94"/>
      <c r="I3813" s="94"/>
      <c r="K3813" s="94"/>
      <c r="M3813" s="94"/>
    </row>
    <row r="3814" s="93" customFormat="1" spans="3:13">
      <c r="C3814" s="94"/>
      <c r="E3814" s="94"/>
      <c r="G3814" s="94"/>
      <c r="I3814" s="94"/>
      <c r="K3814" s="94"/>
      <c r="M3814" s="94"/>
    </row>
    <row r="3815" s="93" customFormat="1" spans="3:13">
      <c r="C3815" s="94"/>
      <c r="E3815" s="94"/>
      <c r="G3815" s="94"/>
      <c r="I3815" s="94"/>
      <c r="K3815" s="94"/>
      <c r="M3815" s="94"/>
    </row>
    <row r="3816" s="93" customFormat="1" spans="3:13">
      <c r="C3816" s="94"/>
      <c r="E3816" s="94"/>
      <c r="G3816" s="94"/>
      <c r="I3816" s="94"/>
      <c r="K3816" s="94"/>
      <c r="M3816" s="94"/>
    </row>
    <row r="3817" s="93" customFormat="1" spans="3:13">
      <c r="C3817" s="94"/>
      <c r="E3817" s="94"/>
      <c r="G3817" s="94"/>
      <c r="I3817" s="94"/>
      <c r="K3817" s="94"/>
      <c r="M3817" s="94"/>
    </row>
    <row r="3818" s="93" customFormat="1" spans="3:13">
      <c r="C3818" s="94"/>
      <c r="E3818" s="94"/>
      <c r="G3818" s="94"/>
      <c r="I3818" s="94"/>
      <c r="K3818" s="94"/>
      <c r="M3818" s="94"/>
    </row>
    <row r="3819" s="93" customFormat="1" spans="3:13">
      <c r="C3819" s="94"/>
      <c r="E3819" s="94"/>
      <c r="G3819" s="94"/>
      <c r="I3819" s="94"/>
      <c r="K3819" s="94"/>
      <c r="M3819" s="94"/>
    </row>
    <row r="3820" s="93" customFormat="1" spans="3:13">
      <c r="C3820" s="94"/>
      <c r="E3820" s="94"/>
      <c r="G3820" s="94"/>
      <c r="I3820" s="94"/>
      <c r="K3820" s="94"/>
      <c r="M3820" s="94"/>
    </row>
    <row r="3821" s="93" customFormat="1" spans="3:13">
      <c r="C3821" s="94"/>
      <c r="E3821" s="94"/>
      <c r="G3821" s="94"/>
      <c r="I3821" s="94"/>
      <c r="K3821" s="94"/>
      <c r="M3821" s="94"/>
    </row>
    <row r="3822" s="93" customFormat="1" spans="3:13">
      <c r="C3822" s="94"/>
      <c r="E3822" s="94"/>
      <c r="G3822" s="94"/>
      <c r="I3822" s="94"/>
      <c r="K3822" s="94"/>
      <c r="M3822" s="94"/>
    </row>
    <row r="3823" s="93" customFormat="1" spans="3:13">
      <c r="C3823" s="94"/>
      <c r="E3823" s="94"/>
      <c r="G3823" s="94"/>
      <c r="I3823" s="94"/>
      <c r="K3823" s="94"/>
      <c r="M3823" s="94"/>
    </row>
    <row r="3824" s="93" customFormat="1" spans="3:13">
      <c r="C3824" s="94"/>
      <c r="E3824" s="94"/>
      <c r="G3824" s="94"/>
      <c r="I3824" s="94"/>
      <c r="K3824" s="94"/>
      <c r="M3824" s="94"/>
    </row>
    <row r="3825" s="93" customFormat="1" spans="3:13">
      <c r="C3825" s="94"/>
      <c r="E3825" s="94"/>
      <c r="G3825" s="94"/>
      <c r="I3825" s="94"/>
      <c r="K3825" s="94"/>
      <c r="M3825" s="94"/>
    </row>
    <row r="3826" s="93" customFormat="1" spans="3:13">
      <c r="C3826" s="94"/>
      <c r="E3826" s="94"/>
      <c r="G3826" s="94"/>
      <c r="I3826" s="94"/>
      <c r="K3826" s="94"/>
      <c r="M3826" s="94"/>
    </row>
    <row r="3827" s="93" customFormat="1" spans="3:13">
      <c r="C3827" s="94"/>
      <c r="E3827" s="94"/>
      <c r="G3827" s="94"/>
      <c r="I3827" s="94"/>
      <c r="K3827" s="94"/>
      <c r="M3827" s="94"/>
    </row>
    <row r="3828" s="93" customFormat="1" spans="3:13">
      <c r="C3828" s="94"/>
      <c r="E3828" s="94"/>
      <c r="G3828" s="94"/>
      <c r="I3828" s="94"/>
      <c r="K3828" s="94"/>
      <c r="M3828" s="94"/>
    </row>
    <row r="3829" s="93" customFormat="1" spans="3:13">
      <c r="C3829" s="94"/>
      <c r="E3829" s="94"/>
      <c r="G3829" s="94"/>
      <c r="I3829" s="94"/>
      <c r="K3829" s="94"/>
      <c r="M3829" s="94"/>
    </row>
    <row r="3830" s="93" customFormat="1" spans="3:13">
      <c r="C3830" s="94"/>
      <c r="E3830" s="94"/>
      <c r="G3830" s="94"/>
      <c r="I3830" s="94"/>
      <c r="K3830" s="94"/>
      <c r="M3830" s="94"/>
    </row>
    <row r="3831" s="93" customFormat="1" spans="3:13">
      <c r="C3831" s="94"/>
      <c r="E3831" s="94"/>
      <c r="G3831" s="94"/>
      <c r="I3831" s="94"/>
      <c r="K3831" s="94"/>
      <c r="M3831" s="94"/>
    </row>
    <row r="3832" s="93" customFormat="1" spans="3:13">
      <c r="C3832" s="94"/>
      <c r="E3832" s="94"/>
      <c r="G3832" s="94"/>
      <c r="I3832" s="94"/>
      <c r="K3832" s="94"/>
      <c r="M3832" s="94"/>
    </row>
    <row r="3833" s="93" customFormat="1" spans="3:13">
      <c r="C3833" s="94"/>
      <c r="E3833" s="94"/>
      <c r="G3833" s="94"/>
      <c r="I3833" s="94"/>
      <c r="K3833" s="94"/>
      <c r="M3833" s="94"/>
    </row>
    <row r="3834" s="93" customFormat="1" spans="3:13">
      <c r="C3834" s="94"/>
      <c r="E3834" s="94"/>
      <c r="G3834" s="94"/>
      <c r="I3834" s="94"/>
      <c r="K3834" s="94"/>
      <c r="M3834" s="94"/>
    </row>
    <row r="3835" s="93" customFormat="1" spans="3:13">
      <c r="C3835" s="94"/>
      <c r="E3835" s="94"/>
      <c r="G3835" s="94"/>
      <c r="I3835" s="94"/>
      <c r="K3835" s="94"/>
      <c r="M3835" s="94"/>
    </row>
    <row r="3836" s="93" customFormat="1" spans="3:13">
      <c r="C3836" s="94"/>
      <c r="E3836" s="94"/>
      <c r="G3836" s="94"/>
      <c r="I3836" s="94"/>
      <c r="K3836" s="94"/>
      <c r="M3836" s="94"/>
    </row>
    <row r="3837" s="93" customFormat="1" spans="3:13">
      <c r="C3837" s="94"/>
      <c r="E3837" s="94"/>
      <c r="G3837" s="94"/>
      <c r="I3837" s="94"/>
      <c r="K3837" s="94"/>
      <c r="M3837" s="94"/>
    </row>
    <row r="3838" s="93" customFormat="1" spans="3:13">
      <c r="C3838" s="94"/>
      <c r="E3838" s="94"/>
      <c r="G3838" s="94"/>
      <c r="I3838" s="94"/>
      <c r="K3838" s="94"/>
      <c r="M3838" s="94"/>
    </row>
    <row r="3839" s="93" customFormat="1" spans="3:13">
      <c r="C3839" s="94"/>
      <c r="E3839" s="94"/>
      <c r="G3839" s="94"/>
      <c r="I3839" s="94"/>
      <c r="K3839" s="94"/>
      <c r="M3839" s="94"/>
    </row>
    <row r="3840" s="93" customFormat="1" spans="3:13">
      <c r="C3840" s="94"/>
      <c r="E3840" s="94"/>
      <c r="G3840" s="94"/>
      <c r="I3840" s="94"/>
      <c r="K3840" s="94"/>
      <c r="M3840" s="94"/>
    </row>
    <row r="3841" s="93" customFormat="1" spans="3:13">
      <c r="C3841" s="94"/>
      <c r="E3841" s="94"/>
      <c r="G3841" s="94"/>
      <c r="I3841" s="94"/>
      <c r="K3841" s="94"/>
      <c r="M3841" s="94"/>
    </row>
    <row r="3842" s="93" customFormat="1" spans="3:13">
      <c r="C3842" s="94"/>
      <c r="E3842" s="94"/>
      <c r="G3842" s="94"/>
      <c r="I3842" s="94"/>
      <c r="K3842" s="94"/>
      <c r="M3842" s="94"/>
    </row>
    <row r="3843" s="93" customFormat="1" spans="3:13">
      <c r="C3843" s="94"/>
      <c r="E3843" s="94"/>
      <c r="G3843" s="94"/>
      <c r="I3843" s="94"/>
      <c r="K3843" s="94"/>
      <c r="M3843" s="94"/>
    </row>
    <row r="3844" s="93" customFormat="1" spans="3:13">
      <c r="C3844" s="94"/>
      <c r="E3844" s="94"/>
      <c r="G3844" s="94"/>
      <c r="I3844" s="94"/>
      <c r="K3844" s="94"/>
      <c r="M3844" s="94"/>
    </row>
    <row r="3845" s="93" customFormat="1" spans="3:13">
      <c r="C3845" s="94"/>
      <c r="E3845" s="94"/>
      <c r="G3845" s="94"/>
      <c r="I3845" s="94"/>
      <c r="K3845" s="94"/>
      <c r="M3845" s="94"/>
    </row>
    <row r="3846" s="93" customFormat="1" spans="3:13">
      <c r="C3846" s="94"/>
      <c r="E3846" s="94"/>
      <c r="G3846" s="94"/>
      <c r="I3846" s="94"/>
      <c r="K3846" s="94"/>
      <c r="M3846" s="94"/>
    </row>
    <row r="3847" s="93" customFormat="1" spans="3:13">
      <c r="C3847" s="94"/>
      <c r="E3847" s="94"/>
      <c r="G3847" s="94"/>
      <c r="I3847" s="94"/>
      <c r="K3847" s="94"/>
      <c r="M3847" s="94"/>
    </row>
    <row r="3848" s="93" customFormat="1" spans="3:13">
      <c r="C3848" s="94"/>
      <c r="E3848" s="94"/>
      <c r="G3848" s="94"/>
      <c r="I3848" s="94"/>
      <c r="K3848" s="94"/>
      <c r="M3848" s="94"/>
    </row>
    <row r="3849" s="93" customFormat="1" spans="3:13">
      <c r="C3849" s="94"/>
      <c r="E3849" s="94"/>
      <c r="G3849" s="94"/>
      <c r="I3849" s="94"/>
      <c r="K3849" s="94"/>
      <c r="M3849" s="94"/>
    </row>
    <row r="3850" s="93" customFormat="1" spans="3:13">
      <c r="C3850" s="94"/>
      <c r="E3850" s="94"/>
      <c r="G3850" s="94"/>
      <c r="I3850" s="94"/>
      <c r="K3850" s="94"/>
      <c r="M3850" s="94"/>
    </row>
    <row r="3851" s="93" customFormat="1" spans="3:13">
      <c r="C3851" s="94"/>
      <c r="E3851" s="94"/>
      <c r="G3851" s="94"/>
      <c r="I3851" s="94"/>
      <c r="K3851" s="94"/>
      <c r="M3851" s="94"/>
    </row>
    <row r="3852" s="93" customFormat="1" spans="3:13">
      <c r="C3852" s="94"/>
      <c r="E3852" s="94"/>
      <c r="G3852" s="94"/>
      <c r="I3852" s="94"/>
      <c r="K3852" s="94"/>
      <c r="M3852" s="94"/>
    </row>
    <row r="3853" s="93" customFormat="1" spans="3:13">
      <c r="C3853" s="94"/>
      <c r="E3853" s="94"/>
      <c r="G3853" s="94"/>
      <c r="I3853" s="94"/>
      <c r="K3853" s="94"/>
      <c r="M3853" s="94"/>
    </row>
    <row r="3854" s="93" customFormat="1" spans="3:13">
      <c r="C3854" s="94"/>
      <c r="E3854" s="94"/>
      <c r="G3854" s="94"/>
      <c r="I3854" s="94"/>
      <c r="K3854" s="94"/>
      <c r="M3854" s="94"/>
    </row>
    <row r="3855" s="93" customFormat="1" spans="3:13">
      <c r="C3855" s="94"/>
      <c r="E3855" s="94"/>
      <c r="G3855" s="94"/>
      <c r="I3855" s="94"/>
      <c r="K3855" s="94"/>
      <c r="M3855" s="94"/>
    </row>
    <row r="3856" s="93" customFormat="1" spans="3:13">
      <c r="C3856" s="94"/>
      <c r="E3856" s="94"/>
      <c r="G3856" s="94"/>
      <c r="I3856" s="94"/>
      <c r="K3856" s="94"/>
      <c r="M3856" s="94"/>
    </row>
    <row r="3857" s="93" customFormat="1" spans="3:13">
      <c r="C3857" s="94"/>
      <c r="E3857" s="94"/>
      <c r="G3857" s="94"/>
      <c r="I3857" s="94"/>
      <c r="K3857" s="94"/>
      <c r="M3857" s="94"/>
    </row>
    <row r="3858" s="93" customFormat="1" spans="3:13">
      <c r="C3858" s="94"/>
      <c r="E3858" s="94"/>
      <c r="G3858" s="94"/>
      <c r="I3858" s="94"/>
      <c r="K3858" s="94"/>
      <c r="M3858" s="94"/>
    </row>
    <row r="3859" s="93" customFormat="1" spans="3:13">
      <c r="C3859" s="94"/>
      <c r="E3859" s="94"/>
      <c r="G3859" s="94"/>
      <c r="I3859" s="94"/>
      <c r="K3859" s="94"/>
      <c r="M3859" s="94"/>
    </row>
    <row r="3860" s="93" customFormat="1" spans="3:13">
      <c r="C3860" s="94"/>
      <c r="E3860" s="94"/>
      <c r="G3860" s="94"/>
      <c r="I3860" s="94"/>
      <c r="K3860" s="94"/>
      <c r="M3860" s="94"/>
    </row>
    <row r="3861" s="93" customFormat="1" spans="3:13">
      <c r="C3861" s="94"/>
      <c r="E3861" s="94"/>
      <c r="G3861" s="94"/>
      <c r="I3861" s="94"/>
      <c r="K3861" s="94"/>
      <c r="M3861" s="94"/>
    </row>
    <row r="3862" s="93" customFormat="1" spans="3:13">
      <c r="C3862" s="94"/>
      <c r="E3862" s="94"/>
      <c r="G3862" s="94"/>
      <c r="I3862" s="94"/>
      <c r="K3862" s="94"/>
      <c r="M3862" s="94"/>
    </row>
    <row r="3863" s="93" customFormat="1" spans="3:13">
      <c r="C3863" s="94"/>
      <c r="E3863" s="94"/>
      <c r="G3863" s="94"/>
      <c r="I3863" s="94"/>
      <c r="K3863" s="94"/>
      <c r="M3863" s="94"/>
    </row>
    <row r="3864" s="93" customFormat="1" spans="3:13">
      <c r="C3864" s="94"/>
      <c r="E3864" s="94"/>
      <c r="G3864" s="94"/>
      <c r="I3864" s="94"/>
      <c r="K3864" s="94"/>
      <c r="M3864" s="94"/>
    </row>
    <row r="3865" s="93" customFormat="1" spans="3:13">
      <c r="C3865" s="94"/>
      <c r="E3865" s="94"/>
      <c r="G3865" s="94"/>
      <c r="I3865" s="94"/>
      <c r="K3865" s="94"/>
      <c r="M3865" s="94"/>
    </row>
    <row r="3866" s="93" customFormat="1" spans="3:13">
      <c r="C3866" s="94"/>
      <c r="E3866" s="94"/>
      <c r="G3866" s="94"/>
      <c r="I3866" s="94"/>
      <c r="K3866" s="94"/>
      <c r="M3866" s="94"/>
    </row>
    <row r="3867" s="93" customFormat="1" spans="3:13">
      <c r="C3867" s="94"/>
      <c r="E3867" s="94"/>
      <c r="G3867" s="94"/>
      <c r="I3867" s="94"/>
      <c r="K3867" s="94"/>
      <c r="M3867" s="94"/>
    </row>
    <row r="3868" s="93" customFormat="1" spans="3:13">
      <c r="C3868" s="94"/>
      <c r="E3868" s="94"/>
      <c r="G3868" s="94"/>
      <c r="I3868" s="94"/>
      <c r="K3868" s="94"/>
      <c r="M3868" s="94"/>
    </row>
    <row r="3869" s="93" customFormat="1" spans="3:13">
      <c r="C3869" s="94"/>
      <c r="E3869" s="94"/>
      <c r="G3869" s="94"/>
      <c r="I3869" s="94"/>
      <c r="K3869" s="94"/>
      <c r="M3869" s="94"/>
    </row>
    <row r="3870" s="93" customFormat="1" spans="3:13">
      <c r="C3870" s="94"/>
      <c r="E3870" s="94"/>
      <c r="G3870" s="94"/>
      <c r="I3870" s="94"/>
      <c r="K3870" s="94"/>
      <c r="M3870" s="94"/>
    </row>
    <row r="3871" s="93" customFormat="1" spans="3:13">
      <c r="C3871" s="94"/>
      <c r="E3871" s="94"/>
      <c r="G3871" s="94"/>
      <c r="I3871" s="94"/>
      <c r="K3871" s="94"/>
      <c r="M3871" s="94"/>
    </row>
    <row r="3872" s="93" customFormat="1" spans="3:13">
      <c r="C3872" s="94"/>
      <c r="E3872" s="94"/>
      <c r="G3872" s="94"/>
      <c r="I3872" s="94"/>
      <c r="K3872" s="94"/>
      <c r="M3872" s="94"/>
    </row>
    <row r="3873" s="93" customFormat="1" spans="3:13">
      <c r="C3873" s="94"/>
      <c r="E3873" s="94"/>
      <c r="G3873" s="94"/>
      <c r="I3873" s="94"/>
      <c r="K3873" s="94"/>
      <c r="M3873" s="94"/>
    </row>
    <row r="3874" s="93" customFormat="1" spans="3:13">
      <c r="C3874" s="94"/>
      <c r="E3874" s="94"/>
      <c r="G3874" s="94"/>
      <c r="I3874" s="94"/>
      <c r="K3874" s="94"/>
      <c r="M3874" s="94"/>
    </row>
    <row r="3875" s="93" customFormat="1" spans="3:13">
      <c r="C3875" s="94"/>
      <c r="E3875" s="94"/>
      <c r="G3875" s="94"/>
      <c r="I3875" s="94"/>
      <c r="K3875" s="94"/>
      <c r="M3875" s="94"/>
    </row>
    <row r="3876" s="93" customFormat="1" spans="3:13">
      <c r="C3876" s="94"/>
      <c r="E3876" s="94"/>
      <c r="G3876" s="94"/>
      <c r="I3876" s="94"/>
      <c r="K3876" s="94"/>
      <c r="M3876" s="94"/>
    </row>
    <row r="3877" s="93" customFormat="1" spans="3:13">
      <c r="C3877" s="94"/>
      <c r="E3877" s="94"/>
      <c r="G3877" s="94"/>
      <c r="I3877" s="94"/>
      <c r="K3877" s="94"/>
      <c r="M3877" s="94"/>
    </row>
    <row r="3878" s="93" customFormat="1" spans="3:13">
      <c r="C3878" s="94"/>
      <c r="E3878" s="94"/>
      <c r="G3878" s="94"/>
      <c r="I3878" s="94"/>
      <c r="K3878" s="94"/>
      <c r="M3878" s="94"/>
    </row>
    <row r="3879" s="93" customFormat="1" spans="3:13">
      <c r="C3879" s="94"/>
      <c r="E3879" s="94"/>
      <c r="G3879" s="94"/>
      <c r="I3879" s="94"/>
      <c r="K3879" s="94"/>
      <c r="M3879" s="94"/>
    </row>
    <row r="3880" s="93" customFormat="1" spans="3:13">
      <c r="C3880" s="94"/>
      <c r="E3880" s="94"/>
      <c r="G3880" s="94"/>
      <c r="I3880" s="94"/>
      <c r="K3880" s="94"/>
      <c r="M3880" s="94"/>
    </row>
    <row r="3881" s="93" customFormat="1" spans="3:13">
      <c r="C3881" s="94"/>
      <c r="E3881" s="94"/>
      <c r="G3881" s="94"/>
      <c r="I3881" s="94"/>
      <c r="K3881" s="94"/>
      <c r="M3881" s="94"/>
    </row>
    <row r="3882" s="93" customFormat="1" spans="3:13">
      <c r="C3882" s="94"/>
      <c r="E3882" s="94"/>
      <c r="G3882" s="94"/>
      <c r="I3882" s="94"/>
      <c r="K3882" s="94"/>
      <c r="M3882" s="94"/>
    </row>
    <row r="3883" s="93" customFormat="1" spans="3:13">
      <c r="C3883" s="94"/>
      <c r="E3883" s="94"/>
      <c r="G3883" s="94"/>
      <c r="I3883" s="94"/>
      <c r="K3883" s="94"/>
      <c r="M3883" s="94"/>
    </row>
    <row r="3884" s="93" customFormat="1" spans="3:13">
      <c r="C3884" s="94"/>
      <c r="E3884" s="94"/>
      <c r="G3884" s="94"/>
      <c r="I3884" s="94"/>
      <c r="K3884" s="94"/>
      <c r="M3884" s="94"/>
    </row>
    <row r="3885" s="93" customFormat="1" spans="3:13">
      <c r="C3885" s="94"/>
      <c r="E3885" s="94"/>
      <c r="G3885" s="94"/>
      <c r="I3885" s="94"/>
      <c r="K3885" s="94"/>
      <c r="M3885" s="94"/>
    </row>
    <row r="3886" s="93" customFormat="1" spans="3:13">
      <c r="C3886" s="94"/>
      <c r="E3886" s="94"/>
      <c r="G3886" s="94"/>
      <c r="I3886" s="94"/>
      <c r="K3886" s="94"/>
      <c r="M3886" s="94"/>
    </row>
    <row r="3887" s="93" customFormat="1" spans="3:13">
      <c r="C3887" s="94"/>
      <c r="E3887" s="94"/>
      <c r="G3887" s="94"/>
      <c r="I3887" s="94"/>
      <c r="K3887" s="94"/>
      <c r="M3887" s="94"/>
    </row>
    <row r="3888" s="93" customFormat="1" spans="3:13">
      <c r="C3888" s="94"/>
      <c r="E3888" s="94"/>
      <c r="G3888" s="94"/>
      <c r="I3888" s="94"/>
      <c r="K3888" s="94"/>
      <c r="M3888" s="94"/>
    </row>
    <row r="3889" s="93" customFormat="1" spans="3:13">
      <c r="C3889" s="94"/>
      <c r="E3889" s="94"/>
      <c r="G3889" s="94"/>
      <c r="I3889" s="94"/>
      <c r="K3889" s="94"/>
      <c r="M3889" s="94"/>
    </row>
    <row r="3890" s="93" customFormat="1" spans="3:13">
      <c r="C3890" s="94"/>
      <c r="E3890" s="94"/>
      <c r="G3890" s="94"/>
      <c r="I3890" s="94"/>
      <c r="K3890" s="94"/>
      <c r="M3890" s="94"/>
    </row>
    <row r="3891" s="93" customFormat="1" spans="3:13">
      <c r="C3891" s="94"/>
      <c r="E3891" s="94"/>
      <c r="G3891" s="94"/>
      <c r="I3891" s="94"/>
      <c r="K3891" s="94"/>
      <c r="M3891" s="94"/>
    </row>
    <row r="3892" s="93" customFormat="1" spans="3:13">
      <c r="C3892" s="94"/>
      <c r="E3892" s="94"/>
      <c r="G3892" s="94"/>
      <c r="I3892" s="94"/>
      <c r="K3892" s="94"/>
      <c r="M3892" s="94"/>
    </row>
    <row r="3893" s="93" customFormat="1" spans="3:13">
      <c r="C3893" s="94"/>
      <c r="E3893" s="94"/>
      <c r="G3893" s="94"/>
      <c r="I3893" s="94"/>
      <c r="K3893" s="94"/>
      <c r="M3893" s="94"/>
    </row>
    <row r="3894" s="93" customFormat="1" spans="3:13">
      <c r="C3894" s="94"/>
      <c r="E3894" s="94"/>
      <c r="G3894" s="94"/>
      <c r="I3894" s="94"/>
      <c r="K3894" s="94"/>
      <c r="M3894" s="94"/>
    </row>
    <row r="3895" s="93" customFormat="1" spans="3:13">
      <c r="C3895" s="94"/>
      <c r="E3895" s="94"/>
      <c r="G3895" s="94"/>
      <c r="I3895" s="94"/>
      <c r="K3895" s="94"/>
      <c r="M3895" s="94"/>
    </row>
    <row r="3896" s="93" customFormat="1" spans="3:13">
      <c r="C3896" s="94"/>
      <c r="E3896" s="94"/>
      <c r="G3896" s="94"/>
      <c r="I3896" s="94"/>
      <c r="K3896" s="94"/>
      <c r="M3896" s="94"/>
    </row>
    <row r="3897" s="93" customFormat="1" spans="3:13">
      <c r="C3897" s="94"/>
      <c r="E3897" s="94"/>
      <c r="G3897" s="94"/>
      <c r="I3897" s="94"/>
      <c r="K3897" s="94"/>
      <c r="M3897" s="94"/>
    </row>
    <row r="3898" s="93" customFormat="1" spans="3:13">
      <c r="C3898" s="94"/>
      <c r="E3898" s="94"/>
      <c r="G3898" s="94"/>
      <c r="I3898" s="94"/>
      <c r="K3898" s="94"/>
      <c r="M3898" s="94"/>
    </row>
    <row r="3899" s="93" customFormat="1" spans="3:13">
      <c r="C3899" s="94"/>
      <c r="E3899" s="94"/>
      <c r="G3899" s="94"/>
      <c r="I3899" s="94"/>
      <c r="K3899" s="94"/>
      <c r="M3899" s="94"/>
    </row>
    <row r="3900" s="93" customFormat="1" spans="3:13">
      <c r="C3900" s="94"/>
      <c r="E3900" s="94"/>
      <c r="G3900" s="94"/>
      <c r="I3900" s="94"/>
      <c r="K3900" s="94"/>
      <c r="M3900" s="94"/>
    </row>
    <row r="3901" s="93" customFormat="1" spans="3:13">
      <c r="C3901" s="94"/>
      <c r="E3901" s="94"/>
      <c r="G3901" s="94"/>
      <c r="I3901" s="94"/>
      <c r="K3901" s="94"/>
      <c r="M3901" s="94"/>
    </row>
    <row r="3902" s="93" customFormat="1" spans="3:13">
      <c r="C3902" s="94"/>
      <c r="E3902" s="94"/>
      <c r="G3902" s="94"/>
      <c r="I3902" s="94"/>
      <c r="K3902" s="94"/>
      <c r="M3902" s="94"/>
    </row>
    <row r="3903" s="93" customFormat="1" spans="3:13">
      <c r="C3903" s="94"/>
      <c r="E3903" s="94"/>
      <c r="G3903" s="94"/>
      <c r="I3903" s="94"/>
      <c r="K3903" s="94"/>
      <c r="M3903" s="94"/>
    </row>
    <row r="3904" s="93" customFormat="1" spans="3:13">
      <c r="C3904" s="94"/>
      <c r="E3904" s="94"/>
      <c r="G3904" s="94"/>
      <c r="I3904" s="94"/>
      <c r="K3904" s="94"/>
      <c r="M3904" s="94"/>
    </row>
    <row r="3905" s="93" customFormat="1" spans="3:13">
      <c r="C3905" s="94"/>
      <c r="E3905" s="94"/>
      <c r="G3905" s="94"/>
      <c r="I3905" s="94"/>
      <c r="K3905" s="94"/>
      <c r="M3905" s="94"/>
    </row>
    <row r="3906" s="93" customFormat="1" spans="3:13">
      <c r="C3906" s="94"/>
      <c r="E3906" s="94"/>
      <c r="G3906" s="94"/>
      <c r="I3906" s="94"/>
      <c r="K3906" s="94"/>
      <c r="M3906" s="94"/>
    </row>
    <row r="3907" s="93" customFormat="1" spans="3:13">
      <c r="C3907" s="94"/>
      <c r="E3907" s="94"/>
      <c r="G3907" s="94"/>
      <c r="I3907" s="94"/>
      <c r="K3907" s="94"/>
      <c r="M3907" s="94"/>
    </row>
    <row r="3908" s="93" customFormat="1" spans="3:13">
      <c r="C3908" s="94"/>
      <c r="E3908" s="94"/>
      <c r="G3908" s="94"/>
      <c r="I3908" s="94"/>
      <c r="K3908" s="94"/>
      <c r="M3908" s="94"/>
    </row>
    <row r="3909" s="93" customFormat="1" spans="3:13">
      <c r="C3909" s="94"/>
      <c r="E3909" s="94"/>
      <c r="G3909" s="94"/>
      <c r="I3909" s="94"/>
      <c r="K3909" s="94"/>
      <c r="M3909" s="94"/>
    </row>
    <row r="3910" s="93" customFormat="1" spans="3:13">
      <c r="C3910" s="94"/>
      <c r="E3910" s="94"/>
      <c r="G3910" s="94"/>
      <c r="I3910" s="94"/>
      <c r="K3910" s="94"/>
      <c r="M3910" s="94"/>
    </row>
    <row r="3911" s="93" customFormat="1" spans="3:13">
      <c r="C3911" s="94"/>
      <c r="E3911" s="94"/>
      <c r="G3911" s="94"/>
      <c r="I3911" s="94"/>
      <c r="K3911" s="94"/>
      <c r="M3911" s="94"/>
    </row>
    <row r="3912" s="93" customFormat="1" spans="3:13">
      <c r="C3912" s="94"/>
      <c r="E3912" s="94"/>
      <c r="G3912" s="94"/>
      <c r="I3912" s="94"/>
      <c r="K3912" s="94"/>
      <c r="M3912" s="94"/>
    </row>
    <row r="3913" s="93" customFormat="1" spans="3:13">
      <c r="C3913" s="94"/>
      <c r="E3913" s="94"/>
      <c r="G3913" s="94"/>
      <c r="I3913" s="94"/>
      <c r="K3913" s="94"/>
      <c r="M3913" s="94"/>
    </row>
    <row r="3914" s="93" customFormat="1" spans="3:13">
      <c r="C3914" s="94"/>
      <c r="E3914" s="94"/>
      <c r="G3914" s="94"/>
      <c r="I3914" s="94"/>
      <c r="K3914" s="94"/>
      <c r="M3914" s="94"/>
    </row>
    <row r="3915" s="93" customFormat="1" spans="3:13">
      <c r="C3915" s="94"/>
      <c r="E3915" s="94"/>
      <c r="G3915" s="94"/>
      <c r="I3915" s="94"/>
      <c r="K3915" s="94"/>
      <c r="M3915" s="94"/>
    </row>
    <row r="3916" s="93" customFormat="1" spans="3:13">
      <c r="C3916" s="94"/>
      <c r="E3916" s="94"/>
      <c r="G3916" s="94"/>
      <c r="I3916" s="94"/>
      <c r="K3916" s="94"/>
      <c r="M3916" s="94"/>
    </row>
    <row r="3917" s="93" customFormat="1" spans="3:13">
      <c r="C3917" s="94"/>
      <c r="E3917" s="94"/>
      <c r="G3917" s="94"/>
      <c r="I3917" s="94"/>
      <c r="K3917" s="94"/>
      <c r="M3917" s="94"/>
    </row>
    <row r="3918" s="93" customFormat="1" spans="3:13">
      <c r="C3918" s="94"/>
      <c r="E3918" s="94"/>
      <c r="G3918" s="94"/>
      <c r="I3918" s="94"/>
      <c r="K3918" s="94"/>
      <c r="M3918" s="94"/>
    </row>
    <row r="3919" s="93" customFormat="1" spans="3:13">
      <c r="C3919" s="94"/>
      <c r="E3919" s="94"/>
      <c r="G3919" s="94"/>
      <c r="I3919" s="94"/>
      <c r="K3919" s="94"/>
      <c r="M3919" s="94"/>
    </row>
    <row r="3920" s="93" customFormat="1" spans="3:13">
      <c r="C3920" s="94"/>
      <c r="E3920" s="94"/>
      <c r="G3920" s="94"/>
      <c r="I3920" s="94"/>
      <c r="K3920" s="94"/>
      <c r="M3920" s="94"/>
    </row>
    <row r="3921" s="93" customFormat="1" spans="3:13">
      <c r="C3921" s="94"/>
      <c r="E3921" s="94"/>
      <c r="G3921" s="94"/>
      <c r="I3921" s="94"/>
      <c r="K3921" s="94"/>
      <c r="M3921" s="94"/>
    </row>
    <row r="3922" s="93" customFormat="1" spans="3:13">
      <c r="C3922" s="94"/>
      <c r="E3922" s="94"/>
      <c r="G3922" s="94"/>
      <c r="I3922" s="94"/>
      <c r="K3922" s="94"/>
      <c r="M3922" s="94"/>
    </row>
    <row r="3923" s="93" customFormat="1" spans="3:13">
      <c r="C3923" s="94"/>
      <c r="E3923" s="94"/>
      <c r="G3923" s="94"/>
      <c r="I3923" s="94"/>
      <c r="K3923" s="94"/>
      <c r="M3923" s="94"/>
    </row>
    <row r="3924" s="93" customFormat="1" spans="3:13">
      <c r="C3924" s="94"/>
      <c r="E3924" s="94"/>
      <c r="G3924" s="94"/>
      <c r="I3924" s="94"/>
      <c r="K3924" s="94"/>
      <c r="M3924" s="94"/>
    </row>
    <row r="3925" s="93" customFormat="1" spans="3:13">
      <c r="C3925" s="94"/>
      <c r="E3925" s="94"/>
      <c r="G3925" s="94"/>
      <c r="I3925" s="94"/>
      <c r="K3925" s="94"/>
      <c r="M3925" s="94"/>
    </row>
    <row r="3926" s="93" customFormat="1" spans="3:13">
      <c r="C3926" s="94"/>
      <c r="E3926" s="94"/>
      <c r="G3926" s="94"/>
      <c r="I3926" s="94"/>
      <c r="K3926" s="94"/>
      <c r="M3926" s="94"/>
    </row>
    <row r="3927" s="93" customFormat="1" spans="3:13">
      <c r="C3927" s="94"/>
      <c r="E3927" s="94"/>
      <c r="G3927" s="94"/>
      <c r="I3927" s="94"/>
      <c r="K3927" s="94"/>
      <c r="M3927" s="94"/>
    </row>
    <row r="3928" s="93" customFormat="1" spans="3:13">
      <c r="C3928" s="94"/>
      <c r="E3928" s="94"/>
      <c r="G3928" s="94"/>
      <c r="I3928" s="94"/>
      <c r="K3928" s="94"/>
      <c r="M3928" s="94"/>
    </row>
    <row r="3929" s="93" customFormat="1" spans="3:13">
      <c r="C3929" s="94"/>
      <c r="E3929" s="94"/>
      <c r="G3929" s="94"/>
      <c r="I3929" s="94"/>
      <c r="K3929" s="94"/>
      <c r="M3929" s="94"/>
    </row>
    <row r="3930" s="93" customFormat="1" spans="3:13">
      <c r="C3930" s="94"/>
      <c r="E3930" s="94"/>
      <c r="G3930" s="94"/>
      <c r="I3930" s="94"/>
      <c r="K3930" s="94"/>
      <c r="M3930" s="94"/>
    </row>
    <row r="3931" s="93" customFormat="1" spans="3:13">
      <c r="C3931" s="94"/>
      <c r="E3931" s="94"/>
      <c r="G3931" s="94"/>
      <c r="I3931" s="94"/>
      <c r="K3931" s="94"/>
      <c r="M3931" s="94"/>
    </row>
    <row r="3932" s="93" customFormat="1" spans="3:13">
      <c r="C3932" s="94"/>
      <c r="E3932" s="94"/>
      <c r="G3932" s="94"/>
      <c r="I3932" s="94"/>
      <c r="K3932" s="94"/>
      <c r="M3932" s="94"/>
    </row>
    <row r="3933" s="93" customFormat="1" spans="3:13">
      <c r="C3933" s="94"/>
      <c r="E3933" s="94"/>
      <c r="G3933" s="94"/>
      <c r="I3933" s="94"/>
      <c r="K3933" s="94"/>
      <c r="M3933" s="94"/>
    </row>
    <row r="3934" s="93" customFormat="1" spans="3:13">
      <c r="C3934" s="94"/>
      <c r="E3934" s="94"/>
      <c r="G3934" s="94"/>
      <c r="I3934" s="94"/>
      <c r="K3934" s="94"/>
      <c r="M3934" s="94"/>
    </row>
    <row r="3935" s="93" customFormat="1" spans="3:13">
      <c r="C3935" s="94"/>
      <c r="E3935" s="94"/>
      <c r="G3935" s="94"/>
      <c r="I3935" s="94"/>
      <c r="K3935" s="94"/>
      <c r="M3935" s="94"/>
    </row>
    <row r="3936" s="93" customFormat="1" spans="3:13">
      <c r="C3936" s="94"/>
      <c r="E3936" s="94"/>
      <c r="G3936" s="94"/>
      <c r="I3936" s="94"/>
      <c r="K3936" s="94"/>
      <c r="M3936" s="94"/>
    </row>
    <row r="3937" s="93" customFormat="1" spans="3:13">
      <c r="C3937" s="94"/>
      <c r="E3937" s="94"/>
      <c r="G3937" s="94"/>
      <c r="I3937" s="94"/>
      <c r="K3937" s="94"/>
      <c r="M3937" s="94"/>
    </row>
    <row r="3938" s="93" customFormat="1" spans="3:13">
      <c r="C3938" s="94"/>
      <c r="E3938" s="94"/>
      <c r="G3938" s="94"/>
      <c r="I3938" s="94"/>
      <c r="K3938" s="94"/>
      <c r="M3938" s="94"/>
    </row>
    <row r="3939" s="93" customFormat="1" spans="3:13">
      <c r="C3939" s="94"/>
      <c r="E3939" s="94"/>
      <c r="G3939" s="94"/>
      <c r="I3939" s="94"/>
      <c r="K3939" s="94"/>
      <c r="M3939" s="94"/>
    </row>
    <row r="3940" s="93" customFormat="1" spans="3:13">
      <c r="C3940" s="94"/>
      <c r="E3940" s="94"/>
      <c r="G3940" s="94"/>
      <c r="I3940" s="94"/>
      <c r="K3940" s="94"/>
      <c r="M3940" s="94"/>
    </row>
    <row r="3941" s="93" customFormat="1" spans="3:13">
      <c r="C3941" s="94"/>
      <c r="E3941" s="94"/>
      <c r="G3941" s="94"/>
      <c r="I3941" s="94"/>
      <c r="K3941" s="94"/>
      <c r="M3941" s="94"/>
    </row>
    <row r="3942" s="93" customFormat="1" spans="3:13">
      <c r="C3942" s="94"/>
      <c r="E3942" s="94"/>
      <c r="G3942" s="94"/>
      <c r="I3942" s="94"/>
      <c r="K3942" s="94"/>
      <c r="M3942" s="94"/>
    </row>
    <row r="3943" s="93" customFormat="1" spans="3:13">
      <c r="C3943" s="94"/>
      <c r="E3943" s="94"/>
      <c r="G3943" s="94"/>
      <c r="I3943" s="94"/>
      <c r="K3943" s="94"/>
      <c r="M3943" s="94"/>
    </row>
    <row r="3944" s="93" customFormat="1" spans="3:13">
      <c r="C3944" s="94"/>
      <c r="E3944" s="94"/>
      <c r="G3944" s="94"/>
      <c r="I3944" s="94"/>
      <c r="K3944" s="94"/>
      <c r="M3944" s="94"/>
    </row>
    <row r="3945" s="93" customFormat="1" spans="3:13">
      <c r="C3945" s="94"/>
      <c r="E3945" s="94"/>
      <c r="G3945" s="94"/>
      <c r="I3945" s="94"/>
      <c r="K3945" s="94"/>
      <c r="M3945" s="94"/>
    </row>
    <row r="3946" s="93" customFormat="1" spans="3:13">
      <c r="C3946" s="94"/>
      <c r="E3946" s="94"/>
      <c r="G3946" s="94"/>
      <c r="I3946" s="94"/>
      <c r="K3946" s="94"/>
      <c r="M3946" s="94"/>
    </row>
    <row r="3947" s="93" customFormat="1" spans="3:13">
      <c r="C3947" s="94"/>
      <c r="E3947" s="94"/>
      <c r="G3947" s="94"/>
      <c r="I3947" s="94"/>
      <c r="K3947" s="94"/>
      <c r="M3947" s="94"/>
    </row>
    <row r="3948" s="93" customFormat="1" spans="3:13">
      <c r="C3948" s="94"/>
      <c r="E3948" s="94"/>
      <c r="G3948" s="94"/>
      <c r="I3948" s="94"/>
      <c r="K3948" s="94"/>
      <c r="M3948" s="94"/>
    </row>
    <row r="3949" s="93" customFormat="1" spans="3:13">
      <c r="C3949" s="94"/>
      <c r="E3949" s="94"/>
      <c r="G3949" s="94"/>
      <c r="I3949" s="94"/>
      <c r="K3949" s="94"/>
      <c r="M3949" s="94"/>
    </row>
    <row r="3950" s="93" customFormat="1" spans="3:13">
      <c r="C3950" s="94"/>
      <c r="E3950" s="94"/>
      <c r="G3950" s="94"/>
      <c r="I3950" s="94"/>
      <c r="K3950" s="94"/>
      <c r="M3950" s="94"/>
    </row>
    <row r="3951" s="93" customFormat="1" spans="3:13">
      <c r="C3951" s="94"/>
      <c r="E3951" s="94"/>
      <c r="G3951" s="94"/>
      <c r="I3951" s="94"/>
      <c r="K3951" s="94"/>
      <c r="M3951" s="94"/>
    </row>
    <row r="3952" s="93" customFormat="1" spans="3:13">
      <c r="C3952" s="94"/>
      <c r="E3952" s="94"/>
      <c r="G3952" s="94"/>
      <c r="I3952" s="94"/>
      <c r="K3952" s="94"/>
      <c r="M3952" s="94"/>
    </row>
    <row r="3953" s="93" customFormat="1" spans="3:13">
      <c r="C3953" s="94"/>
      <c r="E3953" s="94"/>
      <c r="G3953" s="94"/>
      <c r="I3953" s="94"/>
      <c r="K3953" s="94"/>
      <c r="M3953" s="94"/>
    </row>
    <row r="3954" s="93" customFormat="1" spans="3:13">
      <c r="C3954" s="94"/>
      <c r="E3954" s="94"/>
      <c r="G3954" s="94"/>
      <c r="I3954" s="94"/>
      <c r="K3954" s="94"/>
      <c r="M3954" s="94"/>
    </row>
    <row r="3955" s="93" customFormat="1" spans="3:13">
      <c r="C3955" s="94"/>
      <c r="E3955" s="94"/>
      <c r="G3955" s="94"/>
      <c r="I3955" s="94"/>
      <c r="K3955" s="94"/>
      <c r="M3955" s="94"/>
    </row>
    <row r="3956" s="93" customFormat="1" spans="3:13">
      <c r="C3956" s="94"/>
      <c r="E3956" s="94"/>
      <c r="G3956" s="94"/>
      <c r="I3956" s="94"/>
      <c r="K3956" s="94"/>
      <c r="M3956" s="94"/>
    </row>
    <row r="3957" s="93" customFormat="1" spans="3:13">
      <c r="C3957" s="94"/>
      <c r="E3957" s="94"/>
      <c r="G3957" s="94"/>
      <c r="I3957" s="94"/>
      <c r="K3957" s="94"/>
      <c r="M3957" s="94"/>
    </row>
    <row r="3958" s="93" customFormat="1" spans="3:13">
      <c r="C3958" s="94"/>
      <c r="E3958" s="94"/>
      <c r="G3958" s="94"/>
      <c r="I3958" s="94"/>
      <c r="K3958" s="94"/>
      <c r="M3958" s="94"/>
    </row>
    <row r="3959" s="93" customFormat="1" spans="3:13">
      <c r="C3959" s="94"/>
      <c r="E3959" s="94"/>
      <c r="G3959" s="94"/>
      <c r="I3959" s="94"/>
      <c r="K3959" s="94"/>
      <c r="M3959" s="94"/>
    </row>
    <row r="3960" s="93" customFormat="1" spans="3:13">
      <c r="C3960" s="94"/>
      <c r="E3960" s="94"/>
      <c r="G3960" s="94"/>
      <c r="I3960" s="94"/>
      <c r="K3960" s="94"/>
      <c r="M3960" s="94"/>
    </row>
    <row r="3961" s="93" customFormat="1" spans="3:13">
      <c r="C3961" s="94"/>
      <c r="E3961" s="94"/>
      <c r="G3961" s="94"/>
      <c r="I3961" s="94"/>
      <c r="K3961" s="94"/>
      <c r="M3961" s="94"/>
    </row>
    <row r="3962" s="93" customFormat="1" spans="3:13">
      <c r="C3962" s="94"/>
      <c r="E3962" s="94"/>
      <c r="G3962" s="94"/>
      <c r="I3962" s="94"/>
      <c r="K3962" s="94"/>
      <c r="M3962" s="94"/>
    </row>
    <row r="3963" s="93" customFormat="1" spans="3:13">
      <c r="C3963" s="94"/>
      <c r="E3963" s="94"/>
      <c r="G3963" s="94"/>
      <c r="I3963" s="94"/>
      <c r="K3963" s="94"/>
      <c r="M3963" s="94"/>
    </row>
    <row r="3964" s="93" customFormat="1" spans="3:13">
      <c r="C3964" s="94"/>
      <c r="E3964" s="94"/>
      <c r="G3964" s="94"/>
      <c r="I3964" s="94"/>
      <c r="K3964" s="94"/>
      <c r="M3964" s="94"/>
    </row>
    <row r="3965" s="93" customFormat="1" spans="3:13">
      <c r="C3965" s="94"/>
      <c r="E3965" s="94"/>
      <c r="G3965" s="94"/>
      <c r="I3965" s="94"/>
      <c r="K3965" s="94"/>
      <c r="M3965" s="94"/>
    </row>
    <row r="3966" s="93" customFormat="1" spans="3:13">
      <c r="C3966" s="94"/>
      <c r="E3966" s="94"/>
      <c r="G3966" s="94"/>
      <c r="I3966" s="94"/>
      <c r="K3966" s="94"/>
      <c r="M3966" s="94"/>
    </row>
    <row r="3967" s="93" customFormat="1" spans="3:13">
      <c r="C3967" s="94"/>
      <c r="E3967" s="94"/>
      <c r="G3967" s="94"/>
      <c r="I3967" s="94"/>
      <c r="K3967" s="94"/>
      <c r="M3967" s="94"/>
    </row>
    <row r="3968" s="93" customFormat="1" spans="3:13">
      <c r="C3968" s="94"/>
      <c r="E3968" s="94"/>
      <c r="G3968" s="94"/>
      <c r="I3968" s="94"/>
      <c r="K3968" s="94"/>
      <c r="M3968" s="94"/>
    </row>
    <row r="3969" s="93" customFormat="1" spans="3:13">
      <c r="C3969" s="94"/>
      <c r="E3969" s="94"/>
      <c r="G3969" s="94"/>
      <c r="I3969" s="94"/>
      <c r="K3969" s="94"/>
      <c r="M3969" s="94"/>
    </row>
    <row r="3970" s="93" customFormat="1" spans="3:13">
      <c r="C3970" s="94"/>
      <c r="E3970" s="94"/>
      <c r="G3970" s="94"/>
      <c r="I3970" s="94"/>
      <c r="K3970" s="94"/>
      <c r="M3970" s="94"/>
    </row>
    <row r="3971" s="93" customFormat="1" spans="3:13">
      <c r="C3971" s="94"/>
      <c r="E3971" s="94"/>
      <c r="G3971" s="94"/>
      <c r="I3971" s="94"/>
      <c r="K3971" s="94"/>
      <c r="M3971" s="94"/>
    </row>
    <row r="3972" s="93" customFormat="1" spans="3:13">
      <c r="C3972" s="94"/>
      <c r="E3972" s="94"/>
      <c r="G3972" s="94"/>
      <c r="I3972" s="94"/>
      <c r="K3972" s="94"/>
      <c r="M3972" s="94"/>
    </row>
    <row r="3973" s="93" customFormat="1" spans="3:13">
      <c r="C3973" s="94"/>
      <c r="E3973" s="94"/>
      <c r="G3973" s="94"/>
      <c r="I3973" s="94"/>
      <c r="K3973" s="94"/>
      <c r="M3973" s="94"/>
    </row>
    <row r="3974" s="93" customFormat="1" spans="3:13">
      <c r="C3974" s="94"/>
      <c r="E3974" s="94"/>
      <c r="G3974" s="94"/>
      <c r="I3974" s="94"/>
      <c r="K3974" s="94"/>
      <c r="M3974" s="94"/>
    </row>
    <row r="3975" s="93" customFormat="1" spans="3:13">
      <c r="C3975" s="94"/>
      <c r="E3975" s="94"/>
      <c r="G3975" s="94"/>
      <c r="I3975" s="94"/>
      <c r="K3975" s="94"/>
      <c r="M3975" s="94"/>
    </row>
    <row r="3976" s="93" customFormat="1" spans="3:13">
      <c r="C3976" s="94"/>
      <c r="E3976" s="94"/>
      <c r="G3976" s="94"/>
      <c r="I3976" s="94"/>
      <c r="K3976" s="94"/>
      <c r="M3976" s="94"/>
    </row>
    <row r="3977" s="93" customFormat="1" spans="3:13">
      <c r="C3977" s="94"/>
      <c r="E3977" s="94"/>
      <c r="G3977" s="94"/>
      <c r="I3977" s="94"/>
      <c r="K3977" s="94"/>
      <c r="M3977" s="94"/>
    </row>
    <row r="3978" s="93" customFormat="1" spans="3:13">
      <c r="C3978" s="94"/>
      <c r="E3978" s="94"/>
      <c r="G3978" s="94"/>
      <c r="I3978" s="94"/>
      <c r="K3978" s="94"/>
      <c r="M3978" s="94"/>
    </row>
    <row r="3979" s="93" customFormat="1" spans="3:13">
      <c r="C3979" s="94"/>
      <c r="E3979" s="94"/>
      <c r="G3979" s="94"/>
      <c r="I3979" s="94"/>
      <c r="K3979" s="94"/>
      <c r="M3979" s="94"/>
    </row>
    <row r="3980" s="93" customFormat="1" spans="3:13">
      <c r="C3980" s="94"/>
      <c r="E3980" s="94"/>
      <c r="G3980" s="94"/>
      <c r="I3980" s="94"/>
      <c r="K3980" s="94"/>
      <c r="M3980" s="94"/>
    </row>
    <row r="3981" s="93" customFormat="1" spans="3:13">
      <c r="C3981" s="94"/>
      <c r="E3981" s="94"/>
      <c r="G3981" s="94"/>
      <c r="I3981" s="94"/>
      <c r="K3981" s="94"/>
      <c r="M3981" s="94"/>
    </row>
    <row r="3982" s="93" customFormat="1" spans="3:13">
      <c r="C3982" s="94"/>
      <c r="E3982" s="94"/>
      <c r="G3982" s="94"/>
      <c r="I3982" s="94"/>
      <c r="K3982" s="94"/>
      <c r="M3982" s="94"/>
    </row>
    <row r="3983" s="93" customFormat="1" spans="3:13">
      <c r="C3983" s="94"/>
      <c r="E3983" s="94"/>
      <c r="G3983" s="94"/>
      <c r="I3983" s="94"/>
      <c r="K3983" s="94"/>
      <c r="M3983" s="94"/>
    </row>
    <row r="3984" s="93" customFormat="1" spans="3:13">
      <c r="C3984" s="94"/>
      <c r="E3984" s="94"/>
      <c r="G3984" s="94"/>
      <c r="I3984" s="94"/>
      <c r="K3984" s="94"/>
      <c r="M3984" s="94"/>
    </row>
    <row r="3985" s="93" customFormat="1" spans="3:13">
      <c r="C3985" s="94"/>
      <c r="E3985" s="94"/>
      <c r="G3985" s="94"/>
      <c r="I3985" s="94"/>
      <c r="K3985" s="94"/>
      <c r="M3985" s="94"/>
    </row>
    <row r="3986" s="93" customFormat="1" spans="3:13">
      <c r="C3986" s="94"/>
      <c r="E3986" s="94"/>
      <c r="G3986" s="94"/>
      <c r="I3986" s="94"/>
      <c r="K3986" s="94"/>
      <c r="M3986" s="94"/>
    </row>
    <row r="3987" s="93" customFormat="1" spans="3:13">
      <c r="C3987" s="94"/>
      <c r="E3987" s="94"/>
      <c r="G3987" s="94"/>
      <c r="I3987" s="94"/>
      <c r="K3987" s="94"/>
      <c r="M3987" s="94"/>
    </row>
    <row r="3988" s="93" customFormat="1" spans="3:13">
      <c r="C3988" s="94"/>
      <c r="E3988" s="94"/>
      <c r="G3988" s="94"/>
      <c r="I3988" s="94"/>
      <c r="K3988" s="94"/>
      <c r="M3988" s="94"/>
    </row>
    <row r="3989" s="93" customFormat="1" spans="3:13">
      <c r="C3989" s="94"/>
      <c r="E3989" s="94"/>
      <c r="G3989" s="94"/>
      <c r="I3989" s="94"/>
      <c r="K3989" s="94"/>
      <c r="M3989" s="94"/>
    </row>
    <row r="3990" s="93" customFormat="1" spans="3:13">
      <c r="C3990" s="94"/>
      <c r="E3990" s="94"/>
      <c r="G3990" s="94"/>
      <c r="I3990" s="94"/>
      <c r="K3990" s="94"/>
      <c r="M3990" s="94"/>
    </row>
    <row r="3991" s="93" customFormat="1" spans="3:13">
      <c r="C3991" s="94"/>
      <c r="E3991" s="94"/>
      <c r="G3991" s="94"/>
      <c r="I3991" s="94"/>
      <c r="K3991" s="94"/>
      <c r="M3991" s="94"/>
    </row>
    <row r="3992" s="93" customFormat="1" spans="3:13">
      <c r="C3992" s="94"/>
      <c r="E3992" s="94"/>
      <c r="G3992" s="94"/>
      <c r="I3992" s="94"/>
      <c r="K3992" s="94"/>
      <c r="M3992" s="94"/>
    </row>
    <row r="3993" s="93" customFormat="1" spans="3:13">
      <c r="C3993" s="94"/>
      <c r="E3993" s="94"/>
      <c r="G3993" s="94"/>
      <c r="I3993" s="94"/>
      <c r="K3993" s="94"/>
      <c r="M3993" s="94"/>
    </row>
    <row r="3994" s="93" customFormat="1" spans="3:13">
      <c r="C3994" s="94"/>
      <c r="E3994" s="94"/>
      <c r="G3994" s="94"/>
      <c r="I3994" s="94"/>
      <c r="K3994" s="94"/>
      <c r="M3994" s="94"/>
    </row>
    <row r="3995" s="93" customFormat="1" spans="3:13">
      <c r="C3995" s="94"/>
      <c r="E3995" s="94"/>
      <c r="G3995" s="94"/>
      <c r="I3995" s="94"/>
      <c r="K3995" s="94"/>
      <c r="M3995" s="94"/>
    </row>
    <row r="3996" s="93" customFormat="1" spans="3:13">
      <c r="C3996" s="94"/>
      <c r="E3996" s="94"/>
      <c r="G3996" s="94"/>
      <c r="I3996" s="94"/>
      <c r="K3996" s="94"/>
      <c r="M3996" s="94"/>
    </row>
    <row r="3997" s="93" customFormat="1" spans="3:13">
      <c r="C3997" s="94"/>
      <c r="E3997" s="94"/>
      <c r="G3997" s="94"/>
      <c r="I3997" s="94"/>
      <c r="K3997" s="94"/>
      <c r="M3997" s="94"/>
    </row>
    <row r="3998" s="93" customFormat="1" spans="3:13">
      <c r="C3998" s="94"/>
      <c r="E3998" s="94"/>
      <c r="G3998" s="94"/>
      <c r="I3998" s="94"/>
      <c r="K3998" s="94"/>
      <c r="M3998" s="94"/>
    </row>
    <row r="3999" s="93" customFormat="1" spans="3:13">
      <c r="C3999" s="94"/>
      <c r="E3999" s="94"/>
      <c r="G3999" s="94"/>
      <c r="I3999" s="94"/>
      <c r="K3999" s="94"/>
      <c r="M3999" s="94"/>
    </row>
    <row r="4000" s="93" customFormat="1" spans="3:13">
      <c r="C4000" s="94"/>
      <c r="E4000" s="94"/>
      <c r="G4000" s="94"/>
      <c r="I4000" s="94"/>
      <c r="K4000" s="94"/>
      <c r="M4000" s="94"/>
    </row>
    <row r="4001" s="93" customFormat="1" spans="3:13">
      <c r="C4001" s="94"/>
      <c r="E4001" s="94"/>
      <c r="G4001" s="94"/>
      <c r="I4001" s="94"/>
      <c r="K4001" s="94"/>
      <c r="M4001" s="94"/>
    </row>
    <row r="4002" s="93" customFormat="1" spans="3:13">
      <c r="C4002" s="94"/>
      <c r="E4002" s="94"/>
      <c r="G4002" s="94"/>
      <c r="I4002" s="94"/>
      <c r="K4002" s="94"/>
      <c r="M4002" s="94"/>
    </row>
    <row r="4003" s="93" customFormat="1" spans="3:13">
      <c r="C4003" s="94"/>
      <c r="E4003" s="94"/>
      <c r="G4003" s="94"/>
      <c r="I4003" s="94"/>
      <c r="K4003" s="94"/>
      <c r="M4003" s="94"/>
    </row>
    <row r="4004" s="93" customFormat="1" spans="3:13">
      <c r="C4004" s="94"/>
      <c r="E4004" s="94"/>
      <c r="G4004" s="94"/>
      <c r="I4004" s="94"/>
      <c r="K4004" s="94"/>
      <c r="M4004" s="94"/>
    </row>
    <row r="4005" s="93" customFormat="1" spans="3:13">
      <c r="C4005" s="94"/>
      <c r="E4005" s="94"/>
      <c r="G4005" s="94"/>
      <c r="I4005" s="94"/>
      <c r="K4005" s="94"/>
      <c r="M4005" s="94"/>
    </row>
    <row r="4006" s="93" customFormat="1" spans="3:13">
      <c r="C4006" s="94"/>
      <c r="E4006" s="94"/>
      <c r="G4006" s="94"/>
      <c r="I4006" s="94"/>
      <c r="K4006" s="94"/>
      <c r="M4006" s="94"/>
    </row>
    <row r="4007" s="93" customFormat="1" spans="3:13">
      <c r="C4007" s="94"/>
      <c r="E4007" s="94"/>
      <c r="G4007" s="94"/>
      <c r="I4007" s="94"/>
      <c r="K4007" s="94"/>
      <c r="M4007" s="94"/>
    </row>
    <row r="4008" s="93" customFormat="1" spans="3:13">
      <c r="C4008" s="94"/>
      <c r="E4008" s="94"/>
      <c r="G4008" s="94"/>
      <c r="I4008" s="94"/>
      <c r="K4008" s="94"/>
      <c r="M4008" s="94"/>
    </row>
    <row r="4009" s="93" customFormat="1" spans="3:13">
      <c r="C4009" s="94"/>
      <c r="E4009" s="94"/>
      <c r="G4009" s="94"/>
      <c r="I4009" s="94"/>
      <c r="K4009" s="94"/>
      <c r="M4009" s="94"/>
    </row>
    <row r="4010" s="93" customFormat="1" spans="3:13">
      <c r="C4010" s="94"/>
      <c r="E4010" s="94"/>
      <c r="G4010" s="94"/>
      <c r="I4010" s="94"/>
      <c r="K4010" s="94"/>
      <c r="M4010" s="94"/>
    </row>
    <row r="4011" s="93" customFormat="1" spans="3:13">
      <c r="C4011" s="94"/>
      <c r="E4011" s="94"/>
      <c r="G4011" s="94"/>
      <c r="I4011" s="94"/>
      <c r="K4011" s="94"/>
      <c r="M4011" s="94"/>
    </row>
    <row r="4012" s="93" customFormat="1" spans="3:13">
      <c r="C4012" s="94"/>
      <c r="E4012" s="94"/>
      <c r="G4012" s="94"/>
      <c r="I4012" s="94"/>
      <c r="K4012" s="94"/>
      <c r="M4012" s="94"/>
    </row>
    <row r="4013" s="93" customFormat="1" spans="3:13">
      <c r="C4013" s="94"/>
      <c r="E4013" s="94"/>
      <c r="G4013" s="94"/>
      <c r="I4013" s="94"/>
      <c r="K4013" s="94"/>
      <c r="M4013" s="94"/>
    </row>
    <row r="4014" s="93" customFormat="1" spans="3:13">
      <c r="C4014" s="94"/>
      <c r="E4014" s="94"/>
      <c r="G4014" s="94"/>
      <c r="I4014" s="94"/>
      <c r="K4014" s="94"/>
      <c r="M4014" s="94"/>
    </row>
    <row r="4015" s="93" customFormat="1" spans="3:13">
      <c r="C4015" s="94"/>
      <c r="E4015" s="94"/>
      <c r="G4015" s="94"/>
      <c r="I4015" s="94"/>
      <c r="K4015" s="94"/>
      <c r="M4015" s="94"/>
    </row>
    <row r="4016" s="93" customFormat="1" spans="3:13">
      <c r="C4016" s="94"/>
      <c r="E4016" s="94"/>
      <c r="G4016" s="94"/>
      <c r="I4016" s="94"/>
      <c r="K4016" s="94"/>
      <c r="M4016" s="94"/>
    </row>
    <row r="4017" s="93" customFormat="1" spans="3:13">
      <c r="C4017" s="94"/>
      <c r="E4017" s="94"/>
      <c r="G4017" s="94"/>
      <c r="I4017" s="94"/>
      <c r="K4017" s="94"/>
      <c r="M4017" s="94"/>
    </row>
    <row r="4018" s="93" customFormat="1" spans="3:13">
      <c r="C4018" s="94"/>
      <c r="E4018" s="94"/>
      <c r="G4018" s="94"/>
      <c r="I4018" s="94"/>
      <c r="K4018" s="94"/>
      <c r="M4018" s="94"/>
    </row>
    <row r="4019" s="93" customFormat="1" spans="3:13">
      <c r="C4019" s="94"/>
      <c r="E4019" s="94"/>
      <c r="G4019" s="94"/>
      <c r="I4019" s="94"/>
      <c r="K4019" s="94"/>
      <c r="M4019" s="94"/>
    </row>
    <row r="4020" s="93" customFormat="1" spans="3:13">
      <c r="C4020" s="94"/>
      <c r="E4020" s="94"/>
      <c r="G4020" s="94"/>
      <c r="I4020" s="94"/>
      <c r="K4020" s="94"/>
      <c r="M4020" s="94"/>
    </row>
    <row r="4021" s="93" customFormat="1" spans="3:13">
      <c r="C4021" s="94"/>
      <c r="E4021" s="94"/>
      <c r="G4021" s="94"/>
      <c r="I4021" s="94"/>
      <c r="K4021" s="94"/>
      <c r="M4021" s="94"/>
    </row>
    <row r="4022" s="93" customFormat="1" spans="3:13">
      <c r="C4022" s="94"/>
      <c r="E4022" s="94"/>
      <c r="G4022" s="94"/>
      <c r="I4022" s="94"/>
      <c r="K4022" s="94"/>
      <c r="M4022" s="94"/>
    </row>
    <row r="4023" s="93" customFormat="1" spans="3:13">
      <c r="C4023" s="94"/>
      <c r="E4023" s="94"/>
      <c r="G4023" s="94"/>
      <c r="I4023" s="94"/>
      <c r="K4023" s="94"/>
      <c r="M4023" s="94"/>
    </row>
    <row r="4024" s="93" customFormat="1" spans="3:13">
      <c r="C4024" s="94"/>
      <c r="E4024" s="94"/>
      <c r="G4024" s="94"/>
      <c r="I4024" s="94"/>
      <c r="K4024" s="94"/>
      <c r="M4024" s="94"/>
    </row>
    <row r="4025" s="93" customFormat="1" spans="3:13">
      <c r="C4025" s="94"/>
      <c r="E4025" s="94"/>
      <c r="G4025" s="94"/>
      <c r="I4025" s="94"/>
      <c r="K4025" s="94"/>
      <c r="M4025" s="94"/>
    </row>
    <row r="4026" s="93" customFormat="1" spans="3:13">
      <c r="C4026" s="94"/>
      <c r="E4026" s="94"/>
      <c r="G4026" s="94"/>
      <c r="I4026" s="94"/>
      <c r="K4026" s="94"/>
      <c r="M4026" s="94"/>
    </row>
    <row r="4027" s="93" customFormat="1" spans="3:13">
      <c r="C4027" s="94"/>
      <c r="E4027" s="94"/>
      <c r="G4027" s="94"/>
      <c r="I4027" s="94"/>
      <c r="K4027" s="94"/>
      <c r="M4027" s="94"/>
    </row>
    <row r="4028" s="93" customFormat="1" spans="3:13">
      <c r="C4028" s="94"/>
      <c r="E4028" s="94"/>
      <c r="G4028" s="94"/>
      <c r="I4028" s="94"/>
      <c r="K4028" s="94"/>
      <c r="M4028" s="94"/>
    </row>
    <row r="4029" s="93" customFormat="1" spans="3:13">
      <c r="C4029" s="94"/>
      <c r="E4029" s="94"/>
      <c r="G4029" s="94"/>
      <c r="I4029" s="94"/>
      <c r="K4029" s="94"/>
      <c r="M4029" s="94"/>
    </row>
    <row r="4030" s="93" customFormat="1" spans="3:13">
      <c r="C4030" s="94"/>
      <c r="E4030" s="94"/>
      <c r="G4030" s="94"/>
      <c r="I4030" s="94"/>
      <c r="K4030" s="94"/>
      <c r="M4030" s="94"/>
    </row>
    <row r="4031" s="93" customFormat="1" spans="3:13">
      <c r="C4031" s="94"/>
      <c r="E4031" s="94"/>
      <c r="G4031" s="94"/>
      <c r="I4031" s="94"/>
      <c r="K4031" s="94"/>
      <c r="M4031" s="94"/>
    </row>
    <row r="4032" s="93" customFormat="1" spans="3:13">
      <c r="C4032" s="94"/>
      <c r="E4032" s="94"/>
      <c r="G4032" s="94"/>
      <c r="I4032" s="94"/>
      <c r="K4032" s="94"/>
      <c r="M4032" s="94"/>
    </row>
    <row r="4033" s="93" customFormat="1" spans="3:13">
      <c r="C4033" s="94"/>
      <c r="E4033" s="94"/>
      <c r="G4033" s="94"/>
      <c r="I4033" s="94"/>
      <c r="K4033" s="94"/>
      <c r="M4033" s="94"/>
    </row>
    <row r="4034" s="93" customFormat="1" spans="3:13">
      <c r="C4034" s="94"/>
      <c r="E4034" s="94"/>
      <c r="G4034" s="94"/>
      <c r="I4034" s="94"/>
      <c r="K4034" s="94"/>
      <c r="M4034" s="94"/>
    </row>
    <row r="4035" s="93" customFormat="1" spans="3:13">
      <c r="C4035" s="94"/>
      <c r="E4035" s="94"/>
      <c r="G4035" s="94"/>
      <c r="I4035" s="94"/>
      <c r="K4035" s="94"/>
      <c r="M4035" s="94"/>
    </row>
    <row r="4036" s="93" customFormat="1" spans="3:13">
      <c r="C4036" s="94"/>
      <c r="E4036" s="94"/>
      <c r="G4036" s="94"/>
      <c r="I4036" s="94"/>
      <c r="K4036" s="94"/>
      <c r="M4036" s="94"/>
    </row>
    <row r="4037" s="93" customFormat="1" spans="3:13">
      <c r="C4037" s="94"/>
      <c r="E4037" s="94"/>
      <c r="G4037" s="94"/>
      <c r="I4037" s="94"/>
      <c r="K4037" s="94"/>
      <c r="M4037" s="94"/>
    </row>
    <row r="4038" s="93" customFormat="1" spans="3:13">
      <c r="C4038" s="94"/>
      <c r="E4038" s="94"/>
      <c r="G4038" s="94"/>
      <c r="I4038" s="94"/>
      <c r="K4038" s="94"/>
      <c r="M4038" s="94"/>
    </row>
    <row r="4039" s="93" customFormat="1" spans="3:13">
      <c r="C4039" s="94"/>
      <c r="E4039" s="94"/>
      <c r="G4039" s="94"/>
      <c r="I4039" s="94"/>
      <c r="K4039" s="94"/>
      <c r="M4039" s="94"/>
    </row>
    <row r="4040" s="93" customFormat="1" spans="3:13">
      <c r="C4040" s="94"/>
      <c r="E4040" s="94"/>
      <c r="G4040" s="94"/>
      <c r="I4040" s="94"/>
      <c r="K4040" s="94"/>
      <c r="M4040" s="94"/>
    </row>
    <row r="4041" s="93" customFormat="1" spans="3:13">
      <c r="C4041" s="94"/>
      <c r="E4041" s="94"/>
      <c r="G4041" s="94"/>
      <c r="I4041" s="94"/>
      <c r="K4041" s="94"/>
      <c r="M4041" s="94"/>
    </row>
    <row r="4042" s="93" customFormat="1" spans="3:13">
      <c r="C4042" s="94"/>
      <c r="E4042" s="94"/>
      <c r="G4042" s="94"/>
      <c r="I4042" s="94"/>
      <c r="K4042" s="94"/>
      <c r="M4042" s="94"/>
    </row>
    <row r="4043" s="93" customFormat="1" spans="3:13">
      <c r="C4043" s="94"/>
      <c r="E4043" s="94"/>
      <c r="G4043" s="94"/>
      <c r="I4043" s="94"/>
      <c r="K4043" s="94"/>
      <c r="M4043" s="94"/>
    </row>
    <row r="4044" s="93" customFormat="1" spans="3:13">
      <c r="C4044" s="94"/>
      <c r="E4044" s="94"/>
      <c r="G4044" s="94"/>
      <c r="I4044" s="94"/>
      <c r="K4044" s="94"/>
      <c r="M4044" s="94"/>
    </row>
    <row r="4045" s="93" customFormat="1" spans="3:13">
      <c r="C4045" s="94"/>
      <c r="E4045" s="94"/>
      <c r="G4045" s="94"/>
      <c r="I4045" s="94"/>
      <c r="K4045" s="94"/>
      <c r="M4045" s="94"/>
    </row>
    <row r="4046" s="93" customFormat="1" spans="3:13">
      <c r="C4046" s="94"/>
      <c r="E4046" s="94"/>
      <c r="G4046" s="94"/>
      <c r="I4046" s="94"/>
      <c r="K4046" s="94"/>
      <c r="M4046" s="94"/>
    </row>
    <row r="4047" s="93" customFormat="1" spans="3:13">
      <c r="C4047" s="94"/>
      <c r="E4047" s="94"/>
      <c r="G4047" s="94"/>
      <c r="I4047" s="94"/>
      <c r="K4047" s="94"/>
      <c r="M4047" s="94"/>
    </row>
    <row r="4048" s="93" customFormat="1" spans="3:13">
      <c r="C4048" s="94"/>
      <c r="E4048" s="94"/>
      <c r="G4048" s="94"/>
      <c r="I4048" s="94"/>
      <c r="K4048" s="94"/>
      <c r="M4048" s="94"/>
    </row>
    <row r="4049" s="93" customFormat="1" spans="3:13">
      <c r="C4049" s="94"/>
      <c r="E4049" s="94"/>
      <c r="G4049" s="94"/>
      <c r="I4049" s="94"/>
      <c r="K4049" s="94"/>
      <c r="M4049" s="94"/>
    </row>
    <row r="4050" s="93" customFormat="1" spans="3:13">
      <c r="C4050" s="94"/>
      <c r="E4050" s="94"/>
      <c r="G4050" s="94"/>
      <c r="I4050" s="94"/>
      <c r="K4050" s="94"/>
      <c r="M4050" s="94"/>
    </row>
    <row r="4051" s="93" customFormat="1" spans="3:13">
      <c r="C4051" s="94"/>
      <c r="E4051" s="94"/>
      <c r="G4051" s="94"/>
      <c r="I4051" s="94"/>
      <c r="K4051" s="94"/>
      <c r="M4051" s="94"/>
    </row>
    <row r="4052" s="93" customFormat="1" spans="3:13">
      <c r="C4052" s="94"/>
      <c r="E4052" s="94"/>
      <c r="G4052" s="94"/>
      <c r="I4052" s="94"/>
      <c r="K4052" s="94"/>
      <c r="M4052" s="94"/>
    </row>
    <row r="4053" s="93" customFormat="1" spans="3:13">
      <c r="C4053" s="94"/>
      <c r="E4053" s="94"/>
      <c r="G4053" s="94"/>
      <c r="I4053" s="94"/>
      <c r="K4053" s="94"/>
      <c r="M4053" s="94"/>
    </row>
    <row r="4054" s="93" customFormat="1" spans="3:13">
      <c r="C4054" s="94"/>
      <c r="E4054" s="94"/>
      <c r="G4054" s="94"/>
      <c r="I4054" s="94"/>
      <c r="K4054" s="94"/>
      <c r="M4054" s="94"/>
    </row>
    <row r="4055" s="93" customFormat="1" spans="3:13">
      <c r="C4055" s="94"/>
      <c r="E4055" s="94"/>
      <c r="G4055" s="94"/>
      <c r="I4055" s="94"/>
      <c r="K4055" s="94"/>
      <c r="M4055" s="94"/>
    </row>
    <row r="4056" s="93" customFormat="1" spans="3:13">
      <c r="C4056" s="94"/>
      <c r="E4056" s="94"/>
      <c r="G4056" s="94"/>
      <c r="I4056" s="94"/>
      <c r="K4056" s="94"/>
      <c r="M4056" s="94"/>
    </row>
    <row r="4057" s="93" customFormat="1" spans="3:13">
      <c r="C4057" s="94"/>
      <c r="E4057" s="94"/>
      <c r="G4057" s="94"/>
      <c r="I4057" s="94"/>
      <c r="K4057" s="94"/>
      <c r="M4057" s="94"/>
    </row>
    <row r="4058" s="93" customFormat="1" spans="3:13">
      <c r="C4058" s="94"/>
      <c r="E4058" s="94"/>
      <c r="G4058" s="94"/>
      <c r="I4058" s="94"/>
      <c r="K4058" s="94"/>
      <c r="M4058" s="94"/>
    </row>
    <row r="4059" s="93" customFormat="1" spans="3:13">
      <c r="C4059" s="94"/>
      <c r="E4059" s="94"/>
      <c r="G4059" s="94"/>
      <c r="I4059" s="94"/>
      <c r="K4059" s="94"/>
      <c r="M4059" s="94"/>
    </row>
    <row r="4060" s="93" customFormat="1" spans="3:13">
      <c r="C4060" s="94"/>
      <c r="E4060" s="94"/>
      <c r="G4060" s="94"/>
      <c r="I4060" s="94"/>
      <c r="K4060" s="94"/>
      <c r="M4060" s="94"/>
    </row>
    <row r="4061" s="93" customFormat="1" spans="3:13">
      <c r="C4061" s="94"/>
      <c r="E4061" s="94"/>
      <c r="G4061" s="94"/>
      <c r="I4061" s="94"/>
      <c r="K4061" s="94"/>
      <c r="M4061" s="94"/>
    </row>
    <row r="4062" s="93" customFormat="1" spans="3:13">
      <c r="C4062" s="94"/>
      <c r="E4062" s="94"/>
      <c r="G4062" s="94"/>
      <c r="I4062" s="94"/>
      <c r="K4062" s="94"/>
      <c r="M4062" s="94"/>
    </row>
    <row r="4063" s="93" customFormat="1" spans="3:13">
      <c r="C4063" s="94"/>
      <c r="E4063" s="94"/>
      <c r="G4063" s="94"/>
      <c r="I4063" s="94"/>
      <c r="K4063" s="94"/>
      <c r="M4063" s="94"/>
    </row>
    <row r="4064" s="93" customFormat="1" spans="3:13">
      <c r="C4064" s="94"/>
      <c r="E4064" s="94"/>
      <c r="G4064" s="94"/>
      <c r="I4064" s="94"/>
      <c r="K4064" s="94"/>
      <c r="M4064" s="94"/>
    </row>
    <row r="4065" s="93" customFormat="1" spans="3:13">
      <c r="C4065" s="94"/>
      <c r="E4065" s="94"/>
      <c r="G4065" s="94"/>
      <c r="I4065" s="94"/>
      <c r="K4065" s="94"/>
      <c r="M4065" s="94"/>
    </row>
    <row r="4066" s="93" customFormat="1" spans="3:13">
      <c r="C4066" s="94"/>
      <c r="E4066" s="94"/>
      <c r="G4066" s="94"/>
      <c r="I4066" s="94"/>
      <c r="K4066" s="94"/>
      <c r="M4066" s="94"/>
    </row>
    <row r="4067" s="93" customFormat="1" spans="3:13">
      <c r="C4067" s="94"/>
      <c r="E4067" s="94"/>
      <c r="G4067" s="94"/>
      <c r="I4067" s="94"/>
      <c r="K4067" s="94"/>
      <c r="M4067" s="94"/>
    </row>
    <row r="4068" s="93" customFormat="1" spans="3:13">
      <c r="C4068" s="94"/>
      <c r="E4068" s="94"/>
      <c r="G4068" s="94"/>
      <c r="I4068" s="94"/>
      <c r="K4068" s="94"/>
      <c r="M4068" s="94"/>
    </row>
    <row r="4069" s="93" customFormat="1" spans="3:13">
      <c r="C4069" s="94"/>
      <c r="E4069" s="94"/>
      <c r="G4069" s="94"/>
      <c r="I4069" s="94"/>
      <c r="K4069" s="94"/>
      <c r="M4069" s="94"/>
    </row>
    <row r="4070" s="93" customFormat="1" spans="3:13">
      <c r="C4070" s="94"/>
      <c r="E4070" s="94"/>
      <c r="G4070" s="94"/>
      <c r="I4070" s="94"/>
      <c r="K4070" s="94"/>
      <c r="M4070" s="94"/>
    </row>
    <row r="4071" s="93" customFormat="1" spans="3:13">
      <c r="C4071" s="94"/>
      <c r="E4071" s="94"/>
      <c r="G4071" s="94"/>
      <c r="I4071" s="94"/>
      <c r="K4071" s="94"/>
      <c r="M4071" s="94"/>
    </row>
    <row r="4072" s="93" customFormat="1" spans="3:13">
      <c r="C4072" s="94"/>
      <c r="E4072" s="94"/>
      <c r="G4072" s="94"/>
      <c r="I4072" s="94"/>
      <c r="K4072" s="94"/>
      <c r="M4072" s="94"/>
    </row>
    <row r="4073" s="93" customFormat="1" spans="3:13">
      <c r="C4073" s="94"/>
      <c r="E4073" s="94"/>
      <c r="G4073" s="94"/>
      <c r="I4073" s="94"/>
      <c r="K4073" s="94"/>
      <c r="M4073" s="94"/>
    </row>
    <row r="4074" s="93" customFormat="1" spans="3:13">
      <c r="C4074" s="94"/>
      <c r="E4074" s="94"/>
      <c r="G4074" s="94"/>
      <c r="I4074" s="94"/>
      <c r="K4074" s="94"/>
      <c r="M4074" s="94"/>
    </row>
    <row r="4075" s="93" customFormat="1" spans="3:13">
      <c r="C4075" s="94"/>
      <c r="E4075" s="94"/>
      <c r="G4075" s="94"/>
      <c r="I4075" s="94"/>
      <c r="K4075" s="94"/>
      <c r="M4075" s="94"/>
    </row>
    <row r="4076" s="93" customFormat="1" spans="3:13">
      <c r="C4076" s="94"/>
      <c r="E4076" s="94"/>
      <c r="G4076" s="94"/>
      <c r="I4076" s="94"/>
      <c r="K4076" s="94"/>
      <c r="M4076" s="94"/>
    </row>
    <row r="4077" s="93" customFormat="1" spans="3:13">
      <c r="C4077" s="94"/>
      <c r="E4077" s="94"/>
      <c r="G4077" s="94"/>
      <c r="I4077" s="94"/>
      <c r="K4077" s="94"/>
      <c r="M4077" s="94"/>
    </row>
    <row r="4078" s="93" customFormat="1" spans="3:13">
      <c r="C4078" s="94"/>
      <c r="E4078" s="94"/>
      <c r="G4078" s="94"/>
      <c r="I4078" s="94"/>
      <c r="K4078" s="94"/>
      <c r="M4078" s="94"/>
    </row>
    <row r="4079" s="93" customFormat="1" spans="3:13">
      <c r="C4079" s="94"/>
      <c r="E4079" s="94"/>
      <c r="G4079" s="94"/>
      <c r="I4079" s="94"/>
      <c r="K4079" s="94"/>
      <c r="M4079" s="94"/>
    </row>
    <row r="4080" s="93" customFormat="1" spans="3:13">
      <c r="C4080" s="94"/>
      <c r="E4080" s="94"/>
      <c r="G4080" s="94"/>
      <c r="I4080" s="94"/>
      <c r="K4080" s="94"/>
      <c r="M4080" s="94"/>
    </row>
    <row r="4081" s="93" customFormat="1" spans="3:13">
      <c r="C4081" s="94"/>
      <c r="E4081" s="94"/>
      <c r="G4081" s="94"/>
      <c r="I4081" s="94"/>
      <c r="K4081" s="94"/>
      <c r="M4081" s="94"/>
    </row>
    <row r="4082" s="93" customFormat="1" spans="3:13">
      <c r="C4082" s="94"/>
      <c r="E4082" s="94"/>
      <c r="G4082" s="94"/>
      <c r="I4082" s="94"/>
      <c r="K4082" s="94"/>
      <c r="M4082" s="94"/>
    </row>
    <row r="4083" s="93" customFormat="1" spans="3:13">
      <c r="C4083" s="94"/>
      <c r="E4083" s="94"/>
      <c r="G4083" s="94"/>
      <c r="I4083" s="94"/>
      <c r="K4083" s="94"/>
      <c r="M4083" s="94"/>
    </row>
    <row r="4084" s="93" customFormat="1" spans="3:13">
      <c r="C4084" s="94"/>
      <c r="E4084" s="94"/>
      <c r="G4084" s="94"/>
      <c r="I4084" s="94"/>
      <c r="K4084" s="94"/>
      <c r="M4084" s="94"/>
    </row>
    <row r="4085" s="93" customFormat="1" spans="3:13">
      <c r="C4085" s="94"/>
      <c r="E4085" s="94"/>
      <c r="G4085" s="94"/>
      <c r="I4085" s="94"/>
      <c r="K4085" s="94"/>
      <c r="M4085" s="94"/>
    </row>
    <row r="4086" s="93" customFormat="1" spans="3:13">
      <c r="C4086" s="94"/>
      <c r="E4086" s="94"/>
      <c r="G4086" s="94"/>
      <c r="I4086" s="94"/>
      <c r="K4086" s="94"/>
      <c r="M4086" s="94"/>
    </row>
    <row r="4087" s="93" customFormat="1" spans="3:13">
      <c r="C4087" s="94"/>
      <c r="E4087" s="94"/>
      <c r="G4087" s="94"/>
      <c r="I4087" s="94"/>
      <c r="K4087" s="94"/>
      <c r="M4087" s="94"/>
    </row>
    <row r="4088" s="93" customFormat="1" spans="3:13">
      <c r="C4088" s="94"/>
      <c r="E4088" s="94"/>
      <c r="G4088" s="94"/>
      <c r="I4088" s="94"/>
      <c r="K4088" s="94"/>
      <c r="M4088" s="94"/>
    </row>
    <row r="4089" s="93" customFormat="1" spans="3:13">
      <c r="C4089" s="94"/>
      <c r="E4089" s="94"/>
      <c r="G4089" s="94"/>
      <c r="I4089" s="94"/>
      <c r="K4089" s="94"/>
      <c r="M4089" s="94"/>
    </row>
    <row r="4090" s="93" customFormat="1" spans="3:13">
      <c r="C4090" s="94"/>
      <c r="E4090" s="94"/>
      <c r="G4090" s="94"/>
      <c r="I4090" s="94"/>
      <c r="K4090" s="94"/>
      <c r="M4090" s="94"/>
    </row>
    <row r="4091" s="93" customFormat="1" spans="3:13">
      <c r="C4091" s="94"/>
      <c r="E4091" s="94"/>
      <c r="G4091" s="94"/>
      <c r="I4091" s="94"/>
      <c r="K4091" s="94"/>
      <c r="M4091" s="94"/>
    </row>
    <row r="4092" s="93" customFormat="1" spans="3:13">
      <c r="C4092" s="94"/>
      <c r="E4092" s="94"/>
      <c r="G4092" s="94"/>
      <c r="I4092" s="94"/>
      <c r="K4092" s="94"/>
      <c r="M4092" s="94"/>
    </row>
    <row r="4093" s="93" customFormat="1" spans="3:13">
      <c r="C4093" s="94"/>
      <c r="E4093" s="94"/>
      <c r="G4093" s="94"/>
      <c r="I4093" s="94"/>
      <c r="K4093" s="94"/>
      <c r="M4093" s="94"/>
    </row>
    <row r="4094" s="93" customFormat="1" spans="3:13">
      <c r="C4094" s="94"/>
      <c r="E4094" s="94"/>
      <c r="G4094" s="94"/>
      <c r="I4094" s="94"/>
      <c r="K4094" s="94"/>
      <c r="M4094" s="94"/>
    </row>
    <row r="4095" s="93" customFormat="1" spans="3:13">
      <c r="C4095" s="94"/>
      <c r="E4095" s="94"/>
      <c r="G4095" s="94"/>
      <c r="I4095" s="94"/>
      <c r="K4095" s="94"/>
      <c r="M4095" s="94"/>
    </row>
    <row r="4096" s="93" customFormat="1" spans="3:13">
      <c r="C4096" s="94"/>
      <c r="E4096" s="94"/>
      <c r="G4096" s="94"/>
      <c r="I4096" s="94"/>
      <c r="K4096" s="94"/>
      <c r="M4096" s="94"/>
    </row>
    <row r="4097" s="93" customFormat="1" spans="3:13">
      <c r="C4097" s="94"/>
      <c r="E4097" s="94"/>
      <c r="G4097" s="94"/>
      <c r="I4097" s="94"/>
      <c r="K4097" s="94"/>
      <c r="M4097" s="94"/>
    </row>
    <row r="4098" s="93" customFormat="1" spans="3:13">
      <c r="C4098" s="94"/>
      <c r="E4098" s="94"/>
      <c r="G4098" s="94"/>
      <c r="I4098" s="94"/>
      <c r="K4098" s="94"/>
      <c r="M4098" s="94"/>
    </row>
    <row r="4099" s="93" customFormat="1" spans="3:13">
      <c r="C4099" s="94"/>
      <c r="E4099" s="94"/>
      <c r="G4099" s="94"/>
      <c r="I4099" s="94"/>
      <c r="K4099" s="94"/>
      <c r="M4099" s="94"/>
    </row>
    <row r="4100" s="93" customFormat="1" spans="3:13">
      <c r="C4100" s="94"/>
      <c r="E4100" s="94"/>
      <c r="G4100" s="94"/>
      <c r="I4100" s="94"/>
      <c r="K4100" s="94"/>
      <c r="M4100" s="94"/>
    </row>
    <row r="4101" s="93" customFormat="1" spans="3:13">
      <c r="C4101" s="94"/>
      <c r="E4101" s="94"/>
      <c r="G4101" s="94"/>
      <c r="I4101" s="94"/>
      <c r="K4101" s="94"/>
      <c r="M4101" s="94"/>
    </row>
    <row r="4102" s="93" customFormat="1" spans="3:13">
      <c r="C4102" s="94"/>
      <c r="E4102" s="94"/>
      <c r="G4102" s="94"/>
      <c r="I4102" s="94"/>
      <c r="K4102" s="94"/>
      <c r="M4102" s="94"/>
    </row>
    <row r="4103" s="93" customFormat="1" spans="3:13">
      <c r="C4103" s="94"/>
      <c r="E4103" s="94"/>
      <c r="G4103" s="94"/>
      <c r="I4103" s="94"/>
      <c r="K4103" s="94"/>
      <c r="M4103" s="94"/>
    </row>
    <row r="4104" s="93" customFormat="1" spans="3:13">
      <c r="C4104" s="94"/>
      <c r="E4104" s="94"/>
      <c r="G4104" s="94"/>
      <c r="I4104" s="94"/>
      <c r="K4104" s="94"/>
      <c r="M4104" s="94"/>
    </row>
    <row r="4105" s="93" customFormat="1" spans="3:13">
      <c r="C4105" s="94"/>
      <c r="E4105" s="94"/>
      <c r="G4105" s="94"/>
      <c r="I4105" s="94"/>
      <c r="K4105" s="94"/>
      <c r="M4105" s="94"/>
    </row>
    <row r="4106" s="93" customFormat="1" spans="3:13">
      <c r="C4106" s="94"/>
      <c r="E4106" s="94"/>
      <c r="G4106" s="94"/>
      <c r="I4106" s="94"/>
      <c r="K4106" s="94"/>
      <c r="M4106" s="94"/>
    </row>
    <row r="4107" s="93" customFormat="1" spans="3:13">
      <c r="C4107" s="94"/>
      <c r="E4107" s="94"/>
      <c r="G4107" s="94"/>
      <c r="I4107" s="94"/>
      <c r="K4107" s="94"/>
      <c r="M4107" s="94"/>
    </row>
    <row r="4108" s="93" customFormat="1" spans="3:13">
      <c r="C4108" s="94"/>
      <c r="E4108" s="94"/>
      <c r="G4108" s="94"/>
      <c r="I4108" s="94"/>
      <c r="K4108" s="94"/>
      <c r="M4108" s="94"/>
    </row>
    <row r="4109" s="93" customFormat="1" spans="3:13">
      <c r="C4109" s="94"/>
      <c r="E4109" s="94"/>
      <c r="G4109" s="94"/>
      <c r="I4109" s="94"/>
      <c r="K4109" s="94"/>
      <c r="M4109" s="94"/>
    </row>
    <row r="4110" s="93" customFormat="1" spans="3:13">
      <c r="C4110" s="94"/>
      <c r="E4110" s="94"/>
      <c r="G4110" s="94"/>
      <c r="I4110" s="94"/>
      <c r="K4110" s="94"/>
      <c r="M4110" s="94"/>
    </row>
    <row r="4111" s="93" customFormat="1" spans="3:13">
      <c r="C4111" s="94"/>
      <c r="E4111" s="94"/>
      <c r="G4111" s="94"/>
      <c r="I4111" s="94"/>
      <c r="K4111" s="94"/>
      <c r="M4111" s="94"/>
    </row>
    <row r="4112" s="93" customFormat="1" spans="3:13">
      <c r="C4112" s="94"/>
      <c r="E4112" s="94"/>
      <c r="G4112" s="94"/>
      <c r="I4112" s="94"/>
      <c r="K4112" s="94"/>
      <c r="M4112" s="94"/>
    </row>
    <row r="4113" s="93" customFormat="1" spans="3:13">
      <c r="C4113" s="94"/>
      <c r="E4113" s="94"/>
      <c r="G4113" s="94"/>
      <c r="I4113" s="94"/>
      <c r="K4113" s="94"/>
      <c r="M4113" s="94"/>
    </row>
    <row r="4114" s="93" customFormat="1" spans="3:13">
      <c r="C4114" s="94"/>
      <c r="E4114" s="94"/>
      <c r="G4114" s="94"/>
      <c r="I4114" s="94"/>
      <c r="K4114" s="94"/>
      <c r="M4114" s="94"/>
    </row>
    <row r="4115" s="93" customFormat="1" spans="3:13">
      <c r="C4115" s="94"/>
      <c r="E4115" s="94"/>
      <c r="G4115" s="94"/>
      <c r="I4115" s="94"/>
      <c r="K4115" s="94"/>
      <c r="M4115" s="94"/>
    </row>
    <row r="4116" s="93" customFormat="1" spans="3:13">
      <c r="C4116" s="94"/>
      <c r="E4116" s="94"/>
      <c r="G4116" s="94"/>
      <c r="I4116" s="94"/>
      <c r="K4116" s="94"/>
      <c r="M4116" s="94"/>
    </row>
    <row r="4117" s="93" customFormat="1" spans="3:13">
      <c r="C4117" s="94"/>
      <c r="E4117" s="94"/>
      <c r="G4117" s="94"/>
      <c r="I4117" s="94"/>
      <c r="K4117" s="94"/>
      <c r="M4117" s="94"/>
    </row>
    <row r="4118" s="93" customFormat="1" spans="3:13">
      <c r="C4118" s="94"/>
      <c r="E4118" s="94"/>
      <c r="G4118" s="94"/>
      <c r="I4118" s="94"/>
      <c r="K4118" s="94"/>
      <c r="M4118" s="94"/>
    </row>
    <row r="4119" s="93" customFormat="1" spans="3:13">
      <c r="C4119" s="94"/>
      <c r="E4119" s="94"/>
      <c r="G4119" s="94"/>
      <c r="I4119" s="94"/>
      <c r="K4119" s="94"/>
      <c r="M4119" s="94"/>
    </row>
    <row r="4120" s="93" customFormat="1" spans="3:13">
      <c r="C4120" s="94"/>
      <c r="E4120" s="94"/>
      <c r="G4120" s="94"/>
      <c r="I4120" s="94"/>
      <c r="K4120" s="94"/>
      <c r="M4120" s="94"/>
    </row>
    <row r="4121" s="93" customFormat="1" spans="3:13">
      <c r="C4121" s="94"/>
      <c r="E4121" s="94"/>
      <c r="G4121" s="94"/>
      <c r="I4121" s="94"/>
      <c r="K4121" s="94"/>
      <c r="M4121" s="94"/>
    </row>
    <row r="4122" s="93" customFormat="1" spans="3:13">
      <c r="C4122" s="94"/>
      <c r="E4122" s="94"/>
      <c r="G4122" s="94"/>
      <c r="I4122" s="94"/>
      <c r="K4122" s="94"/>
      <c r="M4122" s="94"/>
    </row>
    <row r="4123" s="93" customFormat="1" spans="3:13">
      <c r="C4123" s="94"/>
      <c r="E4123" s="94"/>
      <c r="G4123" s="94"/>
      <c r="I4123" s="94"/>
      <c r="K4123" s="94"/>
      <c r="M4123" s="94"/>
    </row>
    <row r="4124" s="93" customFormat="1" spans="3:13">
      <c r="C4124" s="94"/>
      <c r="E4124" s="94"/>
      <c r="G4124" s="94"/>
      <c r="I4124" s="94"/>
      <c r="K4124" s="94"/>
      <c r="M4124" s="94"/>
    </row>
    <row r="4125" s="93" customFormat="1" spans="3:13">
      <c r="C4125" s="94"/>
      <c r="E4125" s="94"/>
      <c r="G4125" s="94"/>
      <c r="I4125" s="94"/>
      <c r="K4125" s="94"/>
      <c r="M4125" s="94"/>
    </row>
    <row r="4126" s="93" customFormat="1" spans="3:13">
      <c r="C4126" s="94"/>
      <c r="E4126" s="94"/>
      <c r="G4126" s="94"/>
      <c r="I4126" s="94"/>
      <c r="K4126" s="94"/>
      <c r="M4126" s="94"/>
    </row>
    <row r="4127" s="93" customFormat="1" spans="3:13">
      <c r="C4127" s="94"/>
      <c r="E4127" s="94"/>
      <c r="G4127" s="94"/>
      <c r="I4127" s="94"/>
      <c r="K4127" s="94"/>
      <c r="M4127" s="94"/>
    </row>
    <row r="4128" s="93" customFormat="1" spans="3:13">
      <c r="C4128" s="94"/>
      <c r="E4128" s="94"/>
      <c r="G4128" s="94"/>
      <c r="I4128" s="94"/>
      <c r="K4128" s="94"/>
      <c r="M4128" s="94"/>
    </row>
    <row r="4129" s="93" customFormat="1" spans="3:13">
      <c r="C4129" s="94"/>
      <c r="E4129" s="94"/>
      <c r="G4129" s="94"/>
      <c r="I4129" s="94"/>
      <c r="K4129" s="94"/>
      <c r="M4129" s="94"/>
    </row>
    <row r="4130" s="93" customFormat="1" spans="3:13">
      <c r="C4130" s="94"/>
      <c r="E4130" s="94"/>
      <c r="G4130" s="94"/>
      <c r="I4130" s="94"/>
      <c r="K4130" s="94"/>
      <c r="M4130" s="94"/>
    </row>
    <row r="4131" s="93" customFormat="1" spans="3:13">
      <c r="C4131" s="94"/>
      <c r="E4131" s="94"/>
      <c r="G4131" s="94"/>
      <c r="I4131" s="94"/>
      <c r="K4131" s="94"/>
      <c r="M4131" s="94"/>
    </row>
    <row r="4132" s="93" customFormat="1" spans="3:13">
      <c r="C4132" s="94"/>
      <c r="E4132" s="94"/>
      <c r="G4132" s="94"/>
      <c r="I4132" s="94"/>
      <c r="K4132" s="94"/>
      <c r="M4132" s="94"/>
    </row>
    <row r="4133" s="93" customFormat="1" spans="3:13">
      <c r="C4133" s="94"/>
      <c r="E4133" s="94"/>
      <c r="G4133" s="94"/>
      <c r="I4133" s="94"/>
      <c r="K4133" s="94"/>
      <c r="M4133" s="94"/>
    </row>
    <row r="4134" s="93" customFormat="1" spans="3:13">
      <c r="C4134" s="94"/>
      <c r="E4134" s="94"/>
      <c r="G4134" s="94"/>
      <c r="I4134" s="94"/>
      <c r="K4134" s="94"/>
      <c r="M4134" s="94"/>
    </row>
    <row r="4135" s="93" customFormat="1" spans="3:13">
      <c r="C4135" s="94"/>
      <c r="E4135" s="94"/>
      <c r="G4135" s="94"/>
      <c r="I4135" s="94"/>
      <c r="K4135" s="94"/>
      <c r="M4135" s="94"/>
    </row>
    <row r="4136" s="93" customFormat="1" spans="3:13">
      <c r="C4136" s="94"/>
      <c r="E4136" s="94"/>
      <c r="G4136" s="94"/>
      <c r="I4136" s="94"/>
      <c r="K4136" s="94"/>
      <c r="M4136" s="94"/>
    </row>
    <row r="4137" s="93" customFormat="1" spans="3:13">
      <c r="C4137" s="94"/>
      <c r="E4137" s="94"/>
      <c r="G4137" s="94"/>
      <c r="I4137" s="94"/>
      <c r="K4137" s="94"/>
      <c r="M4137" s="94"/>
    </row>
    <row r="4138" s="93" customFormat="1" spans="3:13">
      <c r="C4138" s="94"/>
      <c r="E4138" s="94"/>
      <c r="G4138" s="94"/>
      <c r="I4138" s="94"/>
      <c r="K4138" s="94"/>
      <c r="M4138" s="94"/>
    </row>
    <row r="4139" s="93" customFormat="1" spans="3:13">
      <c r="C4139" s="94"/>
      <c r="E4139" s="94"/>
      <c r="G4139" s="94"/>
      <c r="I4139" s="94"/>
      <c r="K4139" s="94"/>
      <c r="M4139" s="94"/>
    </row>
    <row r="4140" s="93" customFormat="1" spans="3:13">
      <c r="C4140" s="94"/>
      <c r="E4140" s="94"/>
      <c r="G4140" s="94"/>
      <c r="I4140" s="94"/>
      <c r="K4140" s="94"/>
      <c r="M4140" s="94"/>
    </row>
    <row r="4141" s="93" customFormat="1" spans="3:13">
      <c r="C4141" s="94"/>
      <c r="E4141" s="94"/>
      <c r="G4141" s="94"/>
      <c r="I4141" s="94"/>
      <c r="K4141" s="94"/>
      <c r="M4141" s="94"/>
    </row>
    <row r="4142" s="93" customFormat="1" spans="3:13">
      <c r="C4142" s="94"/>
      <c r="E4142" s="94"/>
      <c r="G4142" s="94"/>
      <c r="I4142" s="94"/>
      <c r="K4142" s="94"/>
      <c r="M4142" s="94"/>
    </row>
    <row r="4143" s="93" customFormat="1" spans="3:13">
      <c r="C4143" s="94"/>
      <c r="E4143" s="94"/>
      <c r="G4143" s="94"/>
      <c r="I4143" s="94"/>
      <c r="K4143" s="94"/>
      <c r="M4143" s="94"/>
    </row>
    <row r="4144" s="93" customFormat="1" spans="3:13">
      <c r="C4144" s="94"/>
      <c r="E4144" s="94"/>
      <c r="G4144" s="94"/>
      <c r="I4144" s="94"/>
      <c r="K4144" s="94"/>
      <c r="M4144" s="94"/>
    </row>
    <row r="4145" s="93" customFormat="1" spans="3:13">
      <c r="C4145" s="94"/>
      <c r="E4145" s="94"/>
      <c r="G4145" s="94"/>
      <c r="I4145" s="94"/>
      <c r="K4145" s="94"/>
      <c r="M4145" s="94"/>
    </row>
    <row r="4146" s="93" customFormat="1" spans="3:13">
      <c r="C4146" s="94"/>
      <c r="E4146" s="94"/>
      <c r="G4146" s="94"/>
      <c r="I4146" s="94"/>
      <c r="K4146" s="94"/>
      <c r="M4146" s="94"/>
    </row>
    <row r="4147" s="93" customFormat="1" spans="3:13">
      <c r="C4147" s="94"/>
      <c r="E4147" s="94"/>
      <c r="G4147" s="94"/>
      <c r="I4147" s="94"/>
      <c r="K4147" s="94"/>
      <c r="M4147" s="94"/>
    </row>
    <row r="4148" s="93" customFormat="1" spans="3:13">
      <c r="C4148" s="94"/>
      <c r="E4148" s="94"/>
      <c r="G4148" s="94"/>
      <c r="I4148" s="94"/>
      <c r="K4148" s="94"/>
      <c r="M4148" s="94"/>
    </row>
    <row r="4149" s="93" customFormat="1" spans="3:13">
      <c r="C4149" s="94"/>
      <c r="E4149" s="94"/>
      <c r="G4149" s="94"/>
      <c r="I4149" s="94"/>
      <c r="K4149" s="94"/>
      <c r="M4149" s="94"/>
    </row>
    <row r="4150" s="93" customFormat="1" spans="3:13">
      <c r="C4150" s="94"/>
      <c r="E4150" s="94"/>
      <c r="G4150" s="94"/>
      <c r="I4150" s="94"/>
      <c r="K4150" s="94"/>
      <c r="M4150" s="94"/>
    </row>
    <row r="4151" s="93" customFormat="1" spans="3:13">
      <c r="C4151" s="94"/>
      <c r="E4151" s="94"/>
      <c r="G4151" s="94"/>
      <c r="I4151" s="94"/>
      <c r="K4151" s="94"/>
      <c r="M4151" s="94"/>
    </row>
    <row r="4152" s="93" customFormat="1" spans="3:13">
      <c r="C4152" s="94"/>
      <c r="E4152" s="94"/>
      <c r="G4152" s="94"/>
      <c r="I4152" s="94"/>
      <c r="K4152" s="94"/>
      <c r="M4152" s="94"/>
    </row>
    <row r="4153" s="93" customFormat="1" spans="3:13">
      <c r="C4153" s="94"/>
      <c r="E4153" s="94"/>
      <c r="G4153" s="94"/>
      <c r="I4153" s="94"/>
      <c r="K4153" s="94"/>
      <c r="M4153" s="94"/>
    </row>
    <row r="4154" s="93" customFormat="1" spans="3:13">
      <c r="C4154" s="94"/>
      <c r="E4154" s="94"/>
      <c r="G4154" s="94"/>
      <c r="I4154" s="94"/>
      <c r="K4154" s="94"/>
      <c r="M4154" s="94"/>
    </row>
    <row r="4155" s="93" customFormat="1" spans="3:13">
      <c r="C4155" s="94"/>
      <c r="E4155" s="94"/>
      <c r="G4155" s="94"/>
      <c r="I4155" s="94"/>
      <c r="K4155" s="94"/>
      <c r="M4155" s="94"/>
    </row>
    <row r="4156" s="93" customFormat="1" spans="3:13">
      <c r="C4156" s="94"/>
      <c r="E4156" s="94"/>
      <c r="G4156" s="94"/>
      <c r="I4156" s="94"/>
      <c r="K4156" s="94"/>
      <c r="M4156" s="94"/>
    </row>
    <row r="4157" s="93" customFormat="1" spans="3:13">
      <c r="C4157" s="94"/>
      <c r="E4157" s="94"/>
      <c r="G4157" s="94"/>
      <c r="I4157" s="94"/>
      <c r="K4157" s="94"/>
      <c r="M4157" s="94"/>
    </row>
    <row r="4158" s="93" customFormat="1" spans="3:13">
      <c r="C4158" s="94"/>
      <c r="E4158" s="94"/>
      <c r="G4158" s="94"/>
      <c r="I4158" s="94"/>
      <c r="K4158" s="94"/>
      <c r="M4158" s="94"/>
    </row>
    <row r="4159" s="93" customFormat="1" spans="3:13">
      <c r="C4159" s="94"/>
      <c r="E4159" s="94"/>
      <c r="G4159" s="94"/>
      <c r="I4159" s="94"/>
      <c r="K4159" s="94"/>
      <c r="M4159" s="94"/>
    </row>
    <row r="4160" s="93" customFormat="1" spans="3:13">
      <c r="C4160" s="94"/>
      <c r="E4160" s="94"/>
      <c r="G4160" s="94"/>
      <c r="I4160" s="94"/>
      <c r="K4160" s="94"/>
      <c r="M4160" s="94"/>
    </row>
    <row r="4161" s="93" customFormat="1" spans="3:13">
      <c r="C4161" s="94"/>
      <c r="E4161" s="94"/>
      <c r="G4161" s="94"/>
      <c r="I4161" s="94"/>
      <c r="K4161" s="94"/>
      <c r="M4161" s="94"/>
    </row>
    <row r="4162" s="93" customFormat="1" spans="3:13">
      <c r="C4162" s="94"/>
      <c r="E4162" s="94"/>
      <c r="G4162" s="94"/>
      <c r="I4162" s="94"/>
      <c r="K4162" s="94"/>
      <c r="M4162" s="94"/>
    </row>
    <row r="4163" s="93" customFormat="1" spans="3:13">
      <c r="C4163" s="94"/>
      <c r="E4163" s="94"/>
      <c r="G4163" s="94"/>
      <c r="I4163" s="94"/>
      <c r="K4163" s="94"/>
      <c r="M4163" s="94"/>
    </row>
    <row r="4164" s="93" customFormat="1" spans="3:13">
      <c r="C4164" s="94"/>
      <c r="E4164" s="94"/>
      <c r="G4164" s="94"/>
      <c r="I4164" s="94"/>
      <c r="K4164" s="94"/>
      <c r="M4164" s="94"/>
    </row>
    <row r="4165" s="93" customFormat="1" spans="3:13">
      <c r="C4165" s="94"/>
      <c r="E4165" s="94"/>
      <c r="G4165" s="94"/>
      <c r="I4165" s="94"/>
      <c r="K4165" s="94"/>
      <c r="M4165" s="94"/>
    </row>
    <row r="4166" s="93" customFormat="1" spans="3:13">
      <c r="C4166" s="94"/>
      <c r="E4166" s="94"/>
      <c r="G4166" s="94"/>
      <c r="I4166" s="94"/>
      <c r="K4166" s="94"/>
      <c r="M4166" s="94"/>
    </row>
    <row r="4167" s="93" customFormat="1" spans="3:13">
      <c r="C4167" s="94"/>
      <c r="E4167" s="94"/>
      <c r="G4167" s="94"/>
      <c r="I4167" s="94"/>
      <c r="K4167" s="94"/>
      <c r="M4167" s="94"/>
    </row>
    <row r="4168" s="93" customFormat="1" spans="3:13">
      <c r="C4168" s="94"/>
      <c r="E4168" s="94"/>
      <c r="G4168" s="94"/>
      <c r="I4168" s="94"/>
      <c r="K4168" s="94"/>
      <c r="M4168" s="94"/>
    </row>
    <row r="4169" s="93" customFormat="1" spans="3:13">
      <c r="C4169" s="94"/>
      <c r="E4169" s="94"/>
      <c r="G4169" s="94"/>
      <c r="I4169" s="94"/>
      <c r="K4169" s="94"/>
      <c r="M4169" s="94"/>
    </row>
    <row r="4170" s="93" customFormat="1" spans="3:13">
      <c r="C4170" s="94"/>
      <c r="E4170" s="94"/>
      <c r="G4170" s="94"/>
      <c r="I4170" s="94"/>
      <c r="K4170" s="94"/>
      <c r="M4170" s="94"/>
    </row>
    <row r="4171" s="93" customFormat="1" spans="3:13">
      <c r="C4171" s="94"/>
      <c r="E4171" s="94"/>
      <c r="G4171" s="94"/>
      <c r="I4171" s="94"/>
      <c r="K4171" s="94"/>
      <c r="M4171" s="94"/>
    </row>
    <row r="4172" s="93" customFormat="1" spans="3:13">
      <c r="C4172" s="94"/>
      <c r="E4172" s="94"/>
      <c r="G4172" s="94"/>
      <c r="I4172" s="94"/>
      <c r="K4172" s="94"/>
      <c r="M4172" s="94"/>
    </row>
    <row r="4173" s="93" customFormat="1" spans="3:13">
      <c r="C4173" s="94"/>
      <c r="E4173" s="94"/>
      <c r="G4173" s="94"/>
      <c r="I4173" s="94"/>
      <c r="K4173" s="94"/>
      <c r="M4173" s="94"/>
    </row>
    <row r="4174" s="93" customFormat="1" spans="3:13">
      <c r="C4174" s="94"/>
      <c r="E4174" s="94"/>
      <c r="G4174" s="94"/>
      <c r="I4174" s="94"/>
      <c r="K4174" s="94"/>
      <c r="M4174" s="94"/>
    </row>
    <row r="4175" s="93" customFormat="1" spans="3:13">
      <c r="C4175" s="94"/>
      <c r="E4175" s="94"/>
      <c r="G4175" s="94"/>
      <c r="I4175" s="94"/>
      <c r="K4175" s="94"/>
      <c r="M4175" s="94"/>
    </row>
    <row r="4176" s="93" customFormat="1" spans="3:13">
      <c r="C4176" s="94"/>
      <c r="E4176" s="94"/>
      <c r="G4176" s="94"/>
      <c r="I4176" s="94"/>
      <c r="K4176" s="94"/>
      <c r="M4176" s="94"/>
    </row>
    <row r="4177" s="93" customFormat="1" spans="3:13">
      <c r="C4177" s="94"/>
      <c r="E4177" s="94"/>
      <c r="G4177" s="94"/>
      <c r="I4177" s="94"/>
      <c r="K4177" s="94"/>
      <c r="M4177" s="94"/>
    </row>
    <row r="4178" s="93" customFormat="1" spans="3:13">
      <c r="C4178" s="94"/>
      <c r="E4178" s="94"/>
      <c r="G4178" s="94"/>
      <c r="I4178" s="94"/>
      <c r="K4178" s="94"/>
      <c r="M4178" s="94"/>
    </row>
    <row r="4179" s="93" customFormat="1" spans="3:13">
      <c r="C4179" s="94"/>
      <c r="E4179" s="94"/>
      <c r="G4179" s="94"/>
      <c r="I4179" s="94"/>
      <c r="K4179" s="94"/>
      <c r="M4179" s="94"/>
    </row>
    <row r="4180" s="93" customFormat="1" spans="3:13">
      <c r="C4180" s="94"/>
      <c r="E4180" s="94"/>
      <c r="G4180" s="94"/>
      <c r="I4180" s="94"/>
      <c r="K4180" s="94"/>
      <c r="M4180" s="94"/>
    </row>
    <row r="4181" s="93" customFormat="1" spans="3:13">
      <c r="C4181" s="94"/>
      <c r="E4181" s="94"/>
      <c r="G4181" s="94"/>
      <c r="I4181" s="94"/>
      <c r="K4181" s="94"/>
      <c r="M4181" s="94"/>
    </row>
    <row r="4182" s="93" customFormat="1" spans="3:13">
      <c r="C4182" s="94"/>
      <c r="E4182" s="94"/>
      <c r="G4182" s="94"/>
      <c r="I4182" s="94"/>
      <c r="K4182" s="94"/>
      <c r="M4182" s="94"/>
    </row>
    <row r="4183" s="93" customFormat="1" spans="3:13">
      <c r="C4183" s="94"/>
      <c r="E4183" s="94"/>
      <c r="G4183" s="94"/>
      <c r="I4183" s="94"/>
      <c r="K4183" s="94"/>
      <c r="M4183" s="94"/>
    </row>
    <row r="4184" s="93" customFormat="1" spans="3:13">
      <c r="C4184" s="94"/>
      <c r="E4184" s="94"/>
      <c r="G4184" s="94"/>
      <c r="I4184" s="94"/>
      <c r="K4184" s="94"/>
      <c r="M4184" s="94"/>
    </row>
    <row r="4185" s="93" customFormat="1" spans="3:13">
      <c r="C4185" s="94"/>
      <c r="E4185" s="94"/>
      <c r="G4185" s="94"/>
      <c r="I4185" s="94"/>
      <c r="K4185" s="94"/>
      <c r="M4185" s="94"/>
    </row>
    <row r="4186" s="93" customFormat="1" spans="3:13">
      <c r="C4186" s="94"/>
      <c r="E4186" s="94"/>
      <c r="G4186" s="94"/>
      <c r="I4186" s="94"/>
      <c r="K4186" s="94"/>
      <c r="M4186" s="94"/>
    </row>
    <row r="4187" s="93" customFormat="1" spans="3:13">
      <c r="C4187" s="94"/>
      <c r="E4187" s="94"/>
      <c r="G4187" s="94"/>
      <c r="I4187" s="94"/>
      <c r="K4187" s="94"/>
      <c r="M4187" s="94"/>
    </row>
    <row r="4188" s="93" customFormat="1" spans="3:13">
      <c r="C4188" s="94"/>
      <c r="E4188" s="94"/>
      <c r="G4188" s="94"/>
      <c r="I4188" s="94"/>
      <c r="K4188" s="94"/>
      <c r="M4188" s="94"/>
    </row>
    <row r="4189" s="93" customFormat="1" spans="3:13">
      <c r="C4189" s="94"/>
      <c r="E4189" s="94"/>
      <c r="G4189" s="94"/>
      <c r="I4189" s="94"/>
      <c r="K4189" s="94"/>
      <c r="M4189" s="94"/>
    </row>
    <row r="4190" s="93" customFormat="1" spans="3:13">
      <c r="C4190" s="94"/>
      <c r="E4190" s="94"/>
      <c r="G4190" s="94"/>
      <c r="I4190" s="94"/>
      <c r="K4190" s="94"/>
      <c r="M4190" s="94"/>
    </row>
    <row r="4191" s="93" customFormat="1" spans="3:13">
      <c r="C4191" s="94"/>
      <c r="E4191" s="94"/>
      <c r="G4191" s="94"/>
      <c r="I4191" s="94"/>
      <c r="K4191" s="94"/>
      <c r="M4191" s="94"/>
    </row>
    <row r="4192" s="93" customFormat="1" spans="3:13">
      <c r="C4192" s="94"/>
      <c r="E4192" s="94"/>
      <c r="G4192" s="94"/>
      <c r="I4192" s="94"/>
      <c r="K4192" s="94"/>
      <c r="M4192" s="94"/>
    </row>
    <row r="4193" s="93" customFormat="1" spans="3:13">
      <c r="C4193" s="94"/>
      <c r="E4193" s="94"/>
      <c r="G4193" s="94"/>
      <c r="I4193" s="94"/>
      <c r="K4193" s="94"/>
      <c r="M4193" s="94"/>
    </row>
    <row r="4194" s="93" customFormat="1" spans="3:13">
      <c r="C4194" s="94"/>
      <c r="E4194" s="94"/>
      <c r="G4194" s="94"/>
      <c r="I4194" s="94"/>
      <c r="K4194" s="94"/>
      <c r="M4194" s="94"/>
    </row>
    <row r="4195" s="93" customFormat="1" spans="3:13">
      <c r="C4195" s="94"/>
      <c r="E4195" s="94"/>
      <c r="G4195" s="94"/>
      <c r="I4195" s="94"/>
      <c r="K4195" s="94"/>
      <c r="M4195" s="94"/>
    </row>
    <row r="4196" s="93" customFormat="1" spans="3:13">
      <c r="C4196" s="94"/>
      <c r="E4196" s="94"/>
      <c r="G4196" s="94"/>
      <c r="I4196" s="94"/>
      <c r="K4196" s="94"/>
      <c r="M4196" s="94"/>
    </row>
    <row r="4197" s="93" customFormat="1" spans="3:13">
      <c r="C4197" s="94"/>
      <c r="E4197" s="94"/>
      <c r="G4197" s="94"/>
      <c r="I4197" s="94"/>
      <c r="K4197" s="94"/>
      <c r="M4197" s="94"/>
    </row>
    <row r="4198" s="93" customFormat="1" spans="3:13">
      <c r="C4198" s="94"/>
      <c r="E4198" s="94"/>
      <c r="G4198" s="94"/>
      <c r="I4198" s="94"/>
      <c r="K4198" s="94"/>
      <c r="M4198" s="94"/>
    </row>
    <row r="4199" s="93" customFormat="1" spans="3:13">
      <c r="C4199" s="94"/>
      <c r="E4199" s="94"/>
      <c r="G4199" s="94"/>
      <c r="I4199" s="94"/>
      <c r="K4199" s="94"/>
      <c r="M4199" s="94"/>
    </row>
    <row r="4200" s="93" customFormat="1" spans="3:13">
      <c r="C4200" s="94"/>
      <c r="E4200" s="94"/>
      <c r="G4200" s="94"/>
      <c r="I4200" s="94"/>
      <c r="K4200" s="94"/>
      <c r="M4200" s="94"/>
    </row>
    <row r="4201" s="93" customFormat="1" spans="3:13">
      <c r="C4201" s="94"/>
      <c r="E4201" s="94"/>
      <c r="G4201" s="94"/>
      <c r="I4201" s="94"/>
      <c r="K4201" s="94"/>
      <c r="M4201" s="94"/>
    </row>
    <row r="4202" s="93" customFormat="1" spans="3:13">
      <c r="C4202" s="94"/>
      <c r="E4202" s="94"/>
      <c r="G4202" s="94"/>
      <c r="I4202" s="94"/>
      <c r="K4202" s="94"/>
      <c r="M4202" s="94"/>
    </row>
    <row r="4203" s="93" customFormat="1" spans="3:13">
      <c r="C4203" s="94"/>
      <c r="E4203" s="94"/>
      <c r="G4203" s="94"/>
      <c r="I4203" s="94"/>
      <c r="K4203" s="94"/>
      <c r="M4203" s="94"/>
    </row>
    <row r="4204" s="93" customFormat="1" spans="3:13">
      <c r="C4204" s="94"/>
      <c r="E4204" s="94"/>
      <c r="G4204" s="94"/>
      <c r="I4204" s="94"/>
      <c r="K4204" s="94"/>
      <c r="M4204" s="94"/>
    </row>
    <row r="4205" s="93" customFormat="1" spans="3:13">
      <c r="C4205" s="94"/>
      <c r="E4205" s="94"/>
      <c r="G4205" s="94"/>
      <c r="I4205" s="94"/>
      <c r="K4205" s="94"/>
      <c r="M4205" s="94"/>
    </row>
    <row r="4206" s="93" customFormat="1" spans="3:13">
      <c r="C4206" s="94"/>
      <c r="E4206" s="94"/>
      <c r="G4206" s="94"/>
      <c r="I4206" s="94"/>
      <c r="K4206" s="94"/>
      <c r="M4206" s="94"/>
    </row>
    <row r="4207" s="93" customFormat="1" spans="3:13">
      <c r="C4207" s="94"/>
      <c r="E4207" s="94"/>
      <c r="G4207" s="94"/>
      <c r="I4207" s="94"/>
      <c r="K4207" s="94"/>
      <c r="M4207" s="94"/>
    </row>
    <row r="4208" s="93" customFormat="1" spans="3:13">
      <c r="C4208" s="94"/>
      <c r="E4208" s="94"/>
      <c r="G4208" s="94"/>
      <c r="I4208" s="94"/>
      <c r="K4208" s="94"/>
      <c r="M4208" s="94"/>
    </row>
    <row r="4209" s="93" customFormat="1" spans="3:13">
      <c r="C4209" s="94"/>
      <c r="E4209" s="94"/>
      <c r="G4209" s="94"/>
      <c r="I4209" s="94"/>
      <c r="K4209" s="94"/>
      <c r="M4209" s="94"/>
    </row>
    <row r="4210" s="93" customFormat="1" spans="3:13">
      <c r="C4210" s="94"/>
      <c r="E4210" s="94"/>
      <c r="G4210" s="94"/>
      <c r="I4210" s="94"/>
      <c r="K4210" s="94"/>
      <c r="M4210" s="94"/>
    </row>
    <row r="4211" s="93" customFormat="1" spans="3:13">
      <c r="C4211" s="94"/>
      <c r="E4211" s="94"/>
      <c r="G4211" s="94"/>
      <c r="I4211" s="94"/>
      <c r="K4211" s="94"/>
      <c r="M4211" s="94"/>
    </row>
    <row r="4212" s="93" customFormat="1" spans="3:13">
      <c r="C4212" s="94"/>
      <c r="E4212" s="94"/>
      <c r="G4212" s="94"/>
      <c r="I4212" s="94"/>
      <c r="K4212" s="94"/>
      <c r="M4212" s="94"/>
    </row>
    <row r="4213" s="93" customFormat="1" spans="3:13">
      <c r="C4213" s="94"/>
      <c r="E4213" s="94"/>
      <c r="G4213" s="94"/>
      <c r="I4213" s="94"/>
      <c r="K4213" s="94"/>
      <c r="M4213" s="94"/>
    </row>
    <row r="4214" s="93" customFormat="1" spans="3:13">
      <c r="C4214" s="94"/>
      <c r="E4214" s="94"/>
      <c r="G4214" s="94"/>
      <c r="I4214" s="94"/>
      <c r="K4214" s="94"/>
      <c r="M4214" s="94"/>
    </row>
    <row r="4215" s="93" customFormat="1" spans="3:13">
      <c r="C4215" s="94"/>
      <c r="E4215" s="94"/>
      <c r="G4215" s="94"/>
      <c r="I4215" s="94"/>
      <c r="K4215" s="94"/>
      <c r="M4215" s="94"/>
    </row>
    <row r="4216" s="93" customFormat="1" spans="3:13">
      <c r="C4216" s="94"/>
      <c r="E4216" s="94"/>
      <c r="G4216" s="94"/>
      <c r="I4216" s="94"/>
      <c r="K4216" s="94"/>
      <c r="M4216" s="94"/>
    </row>
    <row r="4217" s="93" customFormat="1" spans="3:13">
      <c r="C4217" s="94"/>
      <c r="E4217" s="94"/>
      <c r="G4217" s="94"/>
      <c r="I4217" s="94"/>
      <c r="K4217" s="94"/>
      <c r="M4217" s="94"/>
    </row>
    <row r="4218" s="93" customFormat="1" spans="3:13">
      <c r="C4218" s="94"/>
      <c r="E4218" s="94"/>
      <c r="G4218" s="94"/>
      <c r="I4218" s="94"/>
      <c r="K4218" s="94"/>
      <c r="M4218" s="94"/>
    </row>
    <row r="4219" s="93" customFormat="1" spans="3:13">
      <c r="C4219" s="94"/>
      <c r="E4219" s="94"/>
      <c r="G4219" s="94"/>
      <c r="I4219" s="94"/>
      <c r="K4219" s="94"/>
      <c r="M4219" s="94"/>
    </row>
    <row r="4220" s="93" customFormat="1" spans="3:13">
      <c r="C4220" s="94"/>
      <c r="E4220" s="94"/>
      <c r="G4220" s="94"/>
      <c r="I4220" s="94"/>
      <c r="K4220" s="94"/>
      <c r="M4220" s="94"/>
    </row>
    <row r="4221" s="93" customFormat="1" spans="3:13">
      <c r="C4221" s="94"/>
      <c r="E4221" s="94"/>
      <c r="G4221" s="94"/>
      <c r="I4221" s="94"/>
      <c r="K4221" s="94"/>
      <c r="M4221" s="94"/>
    </row>
    <row r="4222" s="93" customFormat="1" spans="3:13">
      <c r="C4222" s="94"/>
      <c r="E4222" s="94"/>
      <c r="G4222" s="94"/>
      <c r="I4222" s="94"/>
      <c r="K4222" s="94"/>
      <c r="M4222" s="94"/>
    </row>
    <row r="4223" s="93" customFormat="1" spans="3:13">
      <c r="C4223" s="94"/>
      <c r="E4223" s="94"/>
      <c r="G4223" s="94"/>
      <c r="I4223" s="94"/>
      <c r="K4223" s="94"/>
      <c r="M4223" s="94"/>
    </row>
    <row r="4224" s="93" customFormat="1" spans="3:13">
      <c r="C4224" s="94"/>
      <c r="E4224" s="94"/>
      <c r="G4224" s="94"/>
      <c r="I4224" s="94"/>
      <c r="K4224" s="94"/>
      <c r="M4224" s="94"/>
    </row>
    <row r="4225" s="93" customFormat="1" spans="3:13">
      <c r="C4225" s="94"/>
      <c r="E4225" s="94"/>
      <c r="G4225" s="94"/>
      <c r="I4225" s="94"/>
      <c r="K4225" s="94"/>
      <c r="M4225" s="94"/>
    </row>
    <row r="4226" s="93" customFormat="1" spans="3:13">
      <c r="C4226" s="94"/>
      <c r="E4226" s="94"/>
      <c r="G4226" s="94"/>
      <c r="I4226" s="94"/>
      <c r="K4226" s="94"/>
      <c r="M4226" s="94"/>
    </row>
    <row r="4227" s="93" customFormat="1" spans="3:13">
      <c r="C4227" s="94"/>
      <c r="E4227" s="94"/>
      <c r="G4227" s="94"/>
      <c r="I4227" s="94"/>
      <c r="K4227" s="94"/>
      <c r="M4227" s="94"/>
    </row>
    <row r="4228" s="93" customFormat="1" spans="3:13">
      <c r="C4228" s="94"/>
      <c r="E4228" s="94"/>
      <c r="G4228" s="94"/>
      <c r="I4228" s="94"/>
      <c r="K4228" s="94"/>
      <c r="M4228" s="94"/>
    </row>
    <row r="4229" s="93" customFormat="1" spans="3:13">
      <c r="C4229" s="94"/>
      <c r="E4229" s="94"/>
      <c r="G4229" s="94"/>
      <c r="I4229" s="94"/>
      <c r="K4229" s="94"/>
      <c r="M4229" s="94"/>
    </row>
    <row r="4230" s="93" customFormat="1" spans="3:13">
      <c r="C4230" s="94"/>
      <c r="E4230" s="94"/>
      <c r="G4230" s="94"/>
      <c r="I4230" s="94"/>
      <c r="K4230" s="94"/>
      <c r="M4230" s="94"/>
    </row>
    <row r="4231" s="93" customFormat="1" spans="3:13">
      <c r="C4231" s="94"/>
      <c r="E4231" s="94"/>
      <c r="G4231" s="94"/>
      <c r="I4231" s="94"/>
      <c r="K4231" s="94"/>
      <c r="M4231" s="94"/>
    </row>
    <row r="4232" s="93" customFormat="1" spans="3:13">
      <c r="C4232" s="94"/>
      <c r="E4232" s="94"/>
      <c r="G4232" s="94"/>
      <c r="I4232" s="94"/>
      <c r="K4232" s="94"/>
      <c r="M4232" s="94"/>
    </row>
    <row r="4233" s="93" customFormat="1" spans="3:13">
      <c r="C4233" s="94"/>
      <c r="E4233" s="94"/>
      <c r="G4233" s="94"/>
      <c r="I4233" s="94"/>
      <c r="K4233" s="94"/>
      <c r="M4233" s="94"/>
    </row>
    <row r="4234" s="93" customFormat="1" spans="3:13">
      <c r="C4234" s="94"/>
      <c r="E4234" s="94"/>
      <c r="G4234" s="94"/>
      <c r="I4234" s="94"/>
      <c r="K4234" s="94"/>
      <c r="M4234" s="94"/>
    </row>
    <row r="4235" s="93" customFormat="1" spans="3:13">
      <c r="C4235" s="94"/>
      <c r="E4235" s="94"/>
      <c r="G4235" s="94"/>
      <c r="I4235" s="94"/>
      <c r="K4235" s="94"/>
      <c r="M4235" s="94"/>
    </row>
    <row r="4236" s="93" customFormat="1" spans="3:13">
      <c r="C4236" s="94"/>
      <c r="E4236" s="94"/>
      <c r="G4236" s="94"/>
      <c r="I4236" s="94"/>
      <c r="K4236" s="94"/>
      <c r="M4236" s="94"/>
    </row>
    <row r="4237" s="93" customFormat="1" spans="3:13">
      <c r="C4237" s="94"/>
      <c r="E4237" s="94"/>
      <c r="G4237" s="94"/>
      <c r="I4237" s="94"/>
      <c r="K4237" s="94"/>
      <c r="M4237" s="94"/>
    </row>
    <row r="4238" s="93" customFormat="1" spans="3:13">
      <c r="C4238" s="94"/>
      <c r="E4238" s="94"/>
      <c r="G4238" s="94"/>
      <c r="I4238" s="94"/>
      <c r="K4238" s="94"/>
      <c r="M4238" s="94"/>
    </row>
    <row r="4239" s="93" customFormat="1" spans="3:13">
      <c r="C4239" s="94"/>
      <c r="E4239" s="94"/>
      <c r="G4239" s="94"/>
      <c r="I4239" s="94"/>
      <c r="K4239" s="94"/>
      <c r="M4239" s="94"/>
    </row>
    <row r="4240" s="93" customFormat="1" spans="3:13">
      <c r="C4240" s="94"/>
      <c r="E4240" s="94"/>
      <c r="G4240" s="94"/>
      <c r="I4240" s="94"/>
      <c r="K4240" s="94"/>
      <c r="M4240" s="94"/>
    </row>
    <row r="4241" s="93" customFormat="1" spans="3:13">
      <c r="C4241" s="94"/>
      <c r="E4241" s="94"/>
      <c r="G4241" s="94"/>
      <c r="I4241" s="94"/>
      <c r="K4241" s="94"/>
      <c r="M4241" s="94"/>
    </row>
    <row r="4242" s="93" customFormat="1" spans="3:13">
      <c r="C4242" s="94"/>
      <c r="E4242" s="94"/>
      <c r="G4242" s="94"/>
      <c r="I4242" s="94"/>
      <c r="K4242" s="94"/>
      <c r="M4242" s="94"/>
    </row>
    <row r="4243" s="93" customFormat="1" spans="3:13">
      <c r="C4243" s="94"/>
      <c r="E4243" s="94"/>
      <c r="G4243" s="94"/>
      <c r="I4243" s="94"/>
      <c r="K4243" s="94"/>
      <c r="M4243" s="94"/>
    </row>
    <row r="4244" s="93" customFormat="1" spans="3:13">
      <c r="C4244" s="94"/>
      <c r="E4244" s="94"/>
      <c r="G4244" s="94"/>
      <c r="I4244" s="94"/>
      <c r="K4244" s="94"/>
      <c r="M4244" s="94"/>
    </row>
    <row r="4245" s="93" customFormat="1" spans="3:13">
      <c r="C4245" s="94"/>
      <c r="E4245" s="94"/>
      <c r="G4245" s="94"/>
      <c r="I4245" s="94"/>
      <c r="K4245" s="94"/>
      <c r="M4245" s="94"/>
    </row>
    <row r="4246" s="93" customFormat="1" spans="3:13">
      <c r="C4246" s="94"/>
      <c r="E4246" s="94"/>
      <c r="G4246" s="94"/>
      <c r="I4246" s="94"/>
      <c r="K4246" s="94"/>
      <c r="M4246" s="94"/>
    </row>
    <row r="4247" s="93" customFormat="1" spans="3:13">
      <c r="C4247" s="94"/>
      <c r="E4247" s="94"/>
      <c r="G4247" s="94"/>
      <c r="I4247" s="94"/>
      <c r="K4247" s="94"/>
      <c r="M4247" s="94"/>
    </row>
    <row r="4248" s="93" customFormat="1" spans="3:13">
      <c r="C4248" s="94"/>
      <c r="E4248" s="94"/>
      <c r="G4248" s="94"/>
      <c r="I4248" s="94"/>
      <c r="K4248" s="94"/>
      <c r="M4248" s="94"/>
    </row>
    <row r="4249" s="93" customFormat="1" spans="3:13">
      <c r="C4249" s="94"/>
      <c r="E4249" s="94"/>
      <c r="G4249" s="94"/>
      <c r="I4249" s="94"/>
      <c r="K4249" s="94"/>
      <c r="M4249" s="94"/>
    </row>
    <row r="4250" s="93" customFormat="1" spans="3:13">
      <c r="C4250" s="94"/>
      <c r="E4250" s="94"/>
      <c r="G4250" s="94"/>
      <c r="I4250" s="94"/>
      <c r="K4250" s="94"/>
      <c r="M4250" s="94"/>
    </row>
    <row r="4251" s="93" customFormat="1" spans="3:13">
      <c r="C4251" s="94"/>
      <c r="E4251" s="94"/>
      <c r="G4251" s="94"/>
      <c r="I4251" s="94"/>
      <c r="K4251" s="94"/>
      <c r="M4251" s="94"/>
    </row>
    <row r="4252" s="93" customFormat="1" spans="3:13">
      <c r="C4252" s="94"/>
      <c r="E4252" s="94"/>
      <c r="G4252" s="94"/>
      <c r="I4252" s="94"/>
      <c r="K4252" s="94"/>
      <c r="M4252" s="94"/>
    </row>
    <row r="4253" s="93" customFormat="1" spans="3:13">
      <c r="C4253" s="94"/>
      <c r="E4253" s="94"/>
      <c r="G4253" s="94"/>
      <c r="I4253" s="94"/>
      <c r="K4253" s="94"/>
      <c r="M4253" s="94"/>
    </row>
    <row r="4254" s="93" customFormat="1" spans="3:13">
      <c r="C4254" s="94"/>
      <c r="E4254" s="94"/>
      <c r="G4254" s="94"/>
      <c r="I4254" s="94"/>
      <c r="K4254" s="94"/>
      <c r="M4254" s="94"/>
    </row>
    <row r="4255" s="93" customFormat="1" spans="3:13">
      <c r="C4255" s="94"/>
      <c r="E4255" s="94"/>
      <c r="G4255" s="94"/>
      <c r="I4255" s="94"/>
      <c r="K4255" s="94"/>
      <c r="M4255" s="94"/>
    </row>
    <row r="4256" s="93" customFormat="1" spans="3:13">
      <c r="C4256" s="94"/>
      <c r="E4256" s="94"/>
      <c r="G4256" s="94"/>
      <c r="I4256" s="94"/>
      <c r="K4256" s="94"/>
      <c r="M4256" s="94"/>
    </row>
    <row r="4257" s="93" customFormat="1" spans="3:13">
      <c r="C4257" s="94"/>
      <c r="E4257" s="94"/>
      <c r="G4257" s="94"/>
      <c r="I4257" s="94"/>
      <c r="K4257" s="94"/>
      <c r="M4257" s="94"/>
    </row>
    <row r="4258" s="93" customFormat="1" spans="3:13">
      <c r="C4258" s="94"/>
      <c r="E4258" s="94"/>
      <c r="G4258" s="94"/>
      <c r="I4258" s="94"/>
      <c r="K4258" s="94"/>
      <c r="M4258" s="94"/>
    </row>
    <row r="4259" s="93" customFormat="1" spans="3:13">
      <c r="C4259" s="94"/>
      <c r="E4259" s="94"/>
      <c r="G4259" s="94"/>
      <c r="I4259" s="94"/>
      <c r="K4259" s="94"/>
      <c r="M4259" s="94"/>
    </row>
    <row r="4260" s="93" customFormat="1" spans="3:13">
      <c r="C4260" s="94"/>
      <c r="E4260" s="94"/>
      <c r="G4260" s="94"/>
      <c r="I4260" s="94"/>
      <c r="K4260" s="94"/>
      <c r="M4260" s="94"/>
    </row>
    <row r="4261" s="93" customFormat="1" spans="3:13">
      <c r="C4261" s="94"/>
      <c r="E4261" s="94"/>
      <c r="G4261" s="94"/>
      <c r="I4261" s="94"/>
      <c r="K4261" s="94"/>
      <c r="M4261" s="94"/>
    </row>
    <row r="4262" s="93" customFormat="1" spans="3:13">
      <c r="C4262" s="94"/>
      <c r="E4262" s="94"/>
      <c r="G4262" s="94"/>
      <c r="I4262" s="94"/>
      <c r="K4262" s="94"/>
      <c r="M4262" s="94"/>
    </row>
    <row r="4263" s="93" customFormat="1" spans="3:13">
      <c r="C4263" s="94"/>
      <c r="E4263" s="94"/>
      <c r="G4263" s="94"/>
      <c r="I4263" s="94"/>
      <c r="K4263" s="94"/>
      <c r="M4263" s="94"/>
    </row>
    <row r="4264" s="93" customFormat="1" spans="3:13">
      <c r="C4264" s="94"/>
      <c r="E4264" s="94"/>
      <c r="G4264" s="94"/>
      <c r="I4264" s="94"/>
      <c r="K4264" s="94"/>
      <c r="M4264" s="94"/>
    </row>
    <row r="4265" s="93" customFormat="1" spans="3:13">
      <c r="C4265" s="94"/>
      <c r="E4265" s="94"/>
      <c r="G4265" s="94"/>
      <c r="I4265" s="94"/>
      <c r="K4265" s="94"/>
      <c r="M4265" s="94"/>
    </row>
    <row r="4266" s="93" customFormat="1" spans="3:13">
      <c r="C4266" s="94"/>
      <c r="E4266" s="94"/>
      <c r="G4266" s="94"/>
      <c r="I4266" s="94"/>
      <c r="K4266" s="94"/>
      <c r="M4266" s="94"/>
    </row>
    <row r="4267" s="93" customFormat="1" spans="3:13">
      <c r="C4267" s="94"/>
      <c r="E4267" s="94"/>
      <c r="G4267" s="94"/>
      <c r="I4267" s="94"/>
      <c r="K4267" s="94"/>
      <c r="M4267" s="94"/>
    </row>
    <row r="4268" s="93" customFormat="1" spans="3:13">
      <c r="C4268" s="94"/>
      <c r="E4268" s="94"/>
      <c r="G4268" s="94"/>
      <c r="I4268" s="94"/>
      <c r="K4268" s="94"/>
      <c r="M4268" s="94"/>
    </row>
    <row r="4269" s="93" customFormat="1" spans="3:13">
      <c r="C4269" s="94"/>
      <c r="E4269" s="94"/>
      <c r="G4269" s="94"/>
      <c r="I4269" s="94"/>
      <c r="K4269" s="94"/>
      <c r="M4269" s="94"/>
    </row>
    <row r="4270" s="93" customFormat="1" spans="3:13">
      <c r="C4270" s="94"/>
      <c r="E4270" s="94"/>
      <c r="G4270" s="94"/>
      <c r="I4270" s="94"/>
      <c r="K4270" s="94"/>
      <c r="M4270" s="94"/>
    </row>
    <row r="4271" s="93" customFormat="1" spans="3:13">
      <c r="C4271" s="94"/>
      <c r="E4271" s="94"/>
      <c r="G4271" s="94"/>
      <c r="I4271" s="94"/>
      <c r="K4271" s="94"/>
      <c r="M4271" s="94"/>
    </row>
    <row r="4272" s="93" customFormat="1" spans="3:13">
      <c r="C4272" s="94"/>
      <c r="E4272" s="94"/>
      <c r="G4272" s="94"/>
      <c r="I4272" s="94"/>
      <c r="K4272" s="94"/>
      <c r="M4272" s="94"/>
    </row>
    <row r="4273" s="93" customFormat="1" spans="3:13">
      <c r="C4273" s="94"/>
      <c r="E4273" s="94"/>
      <c r="G4273" s="94"/>
      <c r="I4273" s="94"/>
      <c r="K4273" s="94"/>
      <c r="M4273" s="94"/>
    </row>
    <row r="4274" s="93" customFormat="1" spans="3:13">
      <c r="C4274" s="94"/>
      <c r="E4274" s="94"/>
      <c r="G4274" s="94"/>
      <c r="I4274" s="94"/>
      <c r="K4274" s="94"/>
      <c r="M4274" s="94"/>
    </row>
    <row r="4275" s="93" customFormat="1" spans="3:13">
      <c r="C4275" s="94"/>
      <c r="E4275" s="94"/>
      <c r="G4275" s="94"/>
      <c r="I4275" s="94"/>
      <c r="K4275" s="94"/>
      <c r="M4275" s="94"/>
    </row>
    <row r="4276" s="93" customFormat="1" spans="3:13">
      <c r="C4276" s="94"/>
      <c r="E4276" s="94"/>
      <c r="G4276" s="94"/>
      <c r="I4276" s="94"/>
      <c r="K4276" s="94"/>
      <c r="M4276" s="94"/>
    </row>
    <row r="4277" s="93" customFormat="1" spans="3:13">
      <c r="C4277" s="94"/>
      <c r="E4277" s="94"/>
      <c r="G4277" s="94"/>
      <c r="I4277" s="94"/>
      <c r="K4277" s="94"/>
      <c r="M4277" s="94"/>
    </row>
    <row r="4278" s="93" customFormat="1" spans="3:13">
      <c r="C4278" s="94"/>
      <c r="E4278" s="94"/>
      <c r="G4278" s="94"/>
      <c r="I4278" s="94"/>
      <c r="K4278" s="94"/>
      <c r="M4278" s="94"/>
    </row>
    <row r="4279" s="93" customFormat="1" spans="3:13">
      <c r="C4279" s="94"/>
      <c r="E4279" s="94"/>
      <c r="G4279" s="94"/>
      <c r="I4279" s="94"/>
      <c r="K4279" s="94"/>
      <c r="M4279" s="94"/>
    </row>
    <row r="4280" s="93" customFormat="1" spans="3:13">
      <c r="C4280" s="94"/>
      <c r="E4280" s="94"/>
      <c r="G4280" s="94"/>
      <c r="I4280" s="94"/>
      <c r="K4280" s="94"/>
      <c r="M4280" s="94"/>
    </row>
    <row r="4281" s="93" customFormat="1" spans="3:13">
      <c r="C4281" s="94"/>
      <c r="E4281" s="94"/>
      <c r="G4281" s="94"/>
      <c r="I4281" s="94"/>
      <c r="K4281" s="94"/>
      <c r="M4281" s="94"/>
    </row>
    <row r="4282" s="93" customFormat="1" spans="3:13">
      <c r="C4282" s="94"/>
      <c r="E4282" s="94"/>
      <c r="G4282" s="94"/>
      <c r="I4282" s="94"/>
      <c r="K4282" s="94"/>
      <c r="M4282" s="94"/>
    </row>
    <row r="4283" s="93" customFormat="1" spans="3:13">
      <c r="C4283" s="94"/>
      <c r="E4283" s="94"/>
      <c r="G4283" s="94"/>
      <c r="I4283" s="94"/>
      <c r="K4283" s="94"/>
      <c r="M4283" s="94"/>
    </row>
    <row r="4284" s="93" customFormat="1" spans="3:13">
      <c r="C4284" s="94"/>
      <c r="E4284" s="94"/>
      <c r="G4284" s="94"/>
      <c r="I4284" s="94"/>
      <c r="K4284" s="94"/>
      <c r="M4284" s="94"/>
    </row>
    <row r="4285" s="93" customFormat="1" spans="3:13">
      <c r="C4285" s="94"/>
      <c r="E4285" s="94"/>
      <c r="G4285" s="94"/>
      <c r="I4285" s="94"/>
      <c r="K4285" s="94"/>
      <c r="M4285" s="94"/>
    </row>
    <row r="4286" s="93" customFormat="1" spans="3:13">
      <c r="C4286" s="94"/>
      <c r="E4286" s="94"/>
      <c r="G4286" s="94"/>
      <c r="I4286" s="94"/>
      <c r="K4286" s="94"/>
      <c r="M4286" s="94"/>
    </row>
    <row r="4287" s="93" customFormat="1" spans="3:13">
      <c r="C4287" s="94"/>
      <c r="E4287" s="94"/>
      <c r="G4287" s="94"/>
      <c r="I4287" s="94"/>
      <c r="K4287" s="94"/>
      <c r="M4287" s="94"/>
    </row>
    <row r="4288" s="93" customFormat="1" spans="3:13">
      <c r="C4288" s="94"/>
      <c r="E4288" s="94"/>
      <c r="G4288" s="94"/>
      <c r="I4288" s="94"/>
      <c r="K4288" s="94"/>
      <c r="M4288" s="94"/>
    </row>
    <row r="4289" s="93" customFormat="1" spans="3:13">
      <c r="C4289" s="94"/>
      <c r="E4289" s="94"/>
      <c r="G4289" s="94"/>
      <c r="I4289" s="94"/>
      <c r="K4289" s="94"/>
      <c r="M4289" s="94"/>
    </row>
    <row r="4290" s="93" customFormat="1" spans="3:13">
      <c r="C4290" s="94"/>
      <c r="E4290" s="94"/>
      <c r="G4290" s="94"/>
      <c r="I4290" s="94"/>
      <c r="K4290" s="94"/>
      <c r="M4290" s="94"/>
    </row>
    <row r="4291" s="93" customFormat="1" spans="3:13">
      <c r="C4291" s="94"/>
      <c r="E4291" s="94"/>
      <c r="G4291" s="94"/>
      <c r="I4291" s="94"/>
      <c r="K4291" s="94"/>
      <c r="M4291" s="94"/>
    </row>
    <row r="4292" s="93" customFormat="1" spans="3:13">
      <c r="C4292" s="94"/>
      <c r="E4292" s="94"/>
      <c r="G4292" s="94"/>
      <c r="I4292" s="94"/>
      <c r="K4292" s="94"/>
      <c r="M4292" s="94"/>
    </row>
    <row r="4293" s="93" customFormat="1" spans="3:13">
      <c r="C4293" s="94"/>
      <c r="E4293" s="94"/>
      <c r="G4293" s="94"/>
      <c r="I4293" s="94"/>
      <c r="K4293" s="94"/>
      <c r="M4293" s="94"/>
    </row>
    <row r="4294" s="93" customFormat="1" spans="3:13">
      <c r="C4294" s="94"/>
      <c r="E4294" s="94"/>
      <c r="G4294" s="94"/>
      <c r="I4294" s="94"/>
      <c r="K4294" s="94"/>
      <c r="M4294" s="94"/>
    </row>
    <row r="4295" s="93" customFormat="1" spans="3:13">
      <c r="C4295" s="94"/>
      <c r="E4295" s="94"/>
      <c r="G4295" s="94"/>
      <c r="I4295" s="94"/>
      <c r="K4295" s="94"/>
      <c r="M4295" s="94"/>
    </row>
    <row r="4296" s="93" customFormat="1" spans="3:13">
      <c r="C4296" s="94"/>
      <c r="E4296" s="94"/>
      <c r="G4296" s="94"/>
      <c r="I4296" s="94"/>
      <c r="K4296" s="94"/>
      <c r="M4296" s="94"/>
    </row>
    <row r="4297" s="93" customFormat="1" spans="3:13">
      <c r="C4297" s="94"/>
      <c r="E4297" s="94"/>
      <c r="G4297" s="94"/>
      <c r="I4297" s="94"/>
      <c r="K4297" s="94"/>
      <c r="M4297" s="94"/>
    </row>
    <row r="4298" s="93" customFormat="1" spans="3:13">
      <c r="C4298" s="94"/>
      <c r="E4298" s="94"/>
      <c r="G4298" s="94"/>
      <c r="I4298" s="94"/>
      <c r="K4298" s="94"/>
      <c r="M4298" s="94"/>
    </row>
    <row r="4299" s="93" customFormat="1" spans="3:13">
      <c r="C4299" s="94"/>
      <c r="E4299" s="94"/>
      <c r="G4299" s="94"/>
      <c r="I4299" s="94"/>
      <c r="K4299" s="94"/>
      <c r="M4299" s="94"/>
    </row>
    <row r="4300" s="93" customFormat="1" spans="3:13">
      <c r="C4300" s="94"/>
      <c r="E4300" s="94"/>
      <c r="G4300" s="94"/>
      <c r="I4300" s="94"/>
      <c r="K4300" s="94"/>
      <c r="M4300" s="94"/>
    </row>
    <row r="4301" s="93" customFormat="1" spans="3:13">
      <c r="C4301" s="94"/>
      <c r="E4301" s="94"/>
      <c r="G4301" s="94"/>
      <c r="I4301" s="94"/>
      <c r="K4301" s="94"/>
      <c r="M4301" s="94"/>
    </row>
    <row r="4302" s="93" customFormat="1" spans="3:13">
      <c r="C4302" s="94"/>
      <c r="E4302" s="94"/>
      <c r="G4302" s="94"/>
      <c r="I4302" s="94"/>
      <c r="K4302" s="94"/>
      <c r="M4302" s="94"/>
    </row>
    <row r="4303" s="93" customFormat="1" spans="3:13">
      <c r="C4303" s="94"/>
      <c r="E4303" s="94"/>
      <c r="G4303" s="94"/>
      <c r="I4303" s="94"/>
      <c r="K4303" s="94"/>
      <c r="M4303" s="94"/>
    </row>
    <row r="4304" s="93" customFormat="1" spans="3:13">
      <c r="C4304" s="94"/>
      <c r="E4304" s="94"/>
      <c r="G4304" s="94"/>
      <c r="I4304" s="94"/>
      <c r="K4304" s="94"/>
      <c r="M4304" s="94"/>
    </row>
    <row r="4305" s="93" customFormat="1" spans="3:13">
      <c r="C4305" s="94"/>
      <c r="E4305" s="94"/>
      <c r="G4305" s="94"/>
      <c r="I4305" s="94"/>
      <c r="K4305" s="94"/>
      <c r="M4305" s="94"/>
    </row>
    <row r="4306" s="93" customFormat="1" spans="3:13">
      <c r="C4306" s="94"/>
      <c r="E4306" s="94"/>
      <c r="G4306" s="94"/>
      <c r="I4306" s="94"/>
      <c r="K4306" s="94"/>
      <c r="M4306" s="94"/>
    </row>
    <row r="4307" s="93" customFormat="1" spans="3:13">
      <c r="C4307" s="94"/>
      <c r="E4307" s="94"/>
      <c r="G4307" s="94"/>
      <c r="I4307" s="94"/>
      <c r="K4307" s="94"/>
      <c r="M4307" s="94"/>
    </row>
    <row r="4308" s="93" customFormat="1" spans="3:13">
      <c r="C4308" s="94"/>
      <c r="E4308" s="94"/>
      <c r="G4308" s="94"/>
      <c r="I4308" s="94"/>
      <c r="K4308" s="94"/>
      <c r="M4308" s="94"/>
    </row>
    <row r="4309" s="93" customFormat="1" spans="3:13">
      <c r="C4309" s="94"/>
      <c r="E4309" s="94"/>
      <c r="G4309" s="94"/>
      <c r="I4309" s="94"/>
      <c r="K4309" s="94"/>
      <c r="M4309" s="94"/>
    </row>
    <row r="4310" s="93" customFormat="1" spans="3:13">
      <c r="C4310" s="94"/>
      <c r="E4310" s="94"/>
      <c r="G4310" s="94"/>
      <c r="I4310" s="94"/>
      <c r="K4310" s="94"/>
      <c r="M4310" s="94"/>
    </row>
    <row r="4311" s="93" customFormat="1" spans="3:13">
      <c r="C4311" s="94"/>
      <c r="E4311" s="94"/>
      <c r="G4311" s="94"/>
      <c r="I4311" s="94"/>
      <c r="K4311" s="94"/>
      <c r="M4311" s="94"/>
    </row>
    <row r="4312" s="93" customFormat="1" spans="3:13">
      <c r="C4312" s="94"/>
      <c r="E4312" s="94"/>
      <c r="G4312" s="94"/>
      <c r="I4312" s="94"/>
      <c r="K4312" s="94"/>
      <c r="M4312" s="94"/>
    </row>
    <row r="4313" s="93" customFormat="1" spans="3:13">
      <c r="C4313" s="94"/>
      <c r="E4313" s="94"/>
      <c r="G4313" s="94"/>
      <c r="I4313" s="94"/>
      <c r="K4313" s="94"/>
      <c r="M4313" s="94"/>
    </row>
    <row r="4314" s="93" customFormat="1" spans="3:13">
      <c r="C4314" s="94"/>
      <c r="E4314" s="94"/>
      <c r="G4314" s="94"/>
      <c r="I4314" s="94"/>
      <c r="K4314" s="94"/>
      <c r="M4314" s="94"/>
    </row>
    <row r="4315" s="93" customFormat="1" spans="3:13">
      <c r="C4315" s="94"/>
      <c r="E4315" s="94"/>
      <c r="G4315" s="94"/>
      <c r="I4315" s="94"/>
      <c r="K4315" s="94"/>
      <c r="M4315" s="94"/>
    </row>
    <row r="4316" s="93" customFormat="1" spans="3:13">
      <c r="C4316" s="94"/>
      <c r="E4316" s="94"/>
      <c r="G4316" s="94"/>
      <c r="I4316" s="94"/>
      <c r="K4316" s="94"/>
      <c r="M4316" s="94"/>
    </row>
    <row r="4317" s="93" customFormat="1" spans="3:13">
      <c r="C4317" s="94"/>
      <c r="E4317" s="94"/>
      <c r="G4317" s="94"/>
      <c r="I4317" s="94"/>
      <c r="K4317" s="94"/>
      <c r="M4317" s="94"/>
    </row>
    <row r="4318" s="93" customFormat="1" spans="3:13">
      <c r="C4318" s="94"/>
      <c r="E4318" s="94"/>
      <c r="G4318" s="94"/>
      <c r="I4318" s="94"/>
      <c r="K4318" s="94"/>
      <c r="M4318" s="94"/>
    </row>
    <row r="4319" s="93" customFormat="1" spans="3:13">
      <c r="C4319" s="94"/>
      <c r="E4319" s="94"/>
      <c r="G4319" s="94"/>
      <c r="I4319" s="94"/>
      <c r="K4319" s="94"/>
      <c r="M4319" s="94"/>
    </row>
    <row r="4320" s="93" customFormat="1" spans="3:13">
      <c r="C4320" s="94"/>
      <c r="E4320" s="94"/>
      <c r="G4320" s="94"/>
      <c r="I4320" s="94"/>
      <c r="K4320" s="94"/>
      <c r="M4320" s="94"/>
    </row>
    <row r="4321" s="93" customFormat="1" spans="3:13">
      <c r="C4321" s="94"/>
      <c r="E4321" s="94"/>
      <c r="G4321" s="94"/>
      <c r="I4321" s="94"/>
      <c r="K4321" s="94"/>
      <c r="M4321" s="94"/>
    </row>
    <row r="4322" s="93" customFormat="1" spans="3:13">
      <c r="C4322" s="94"/>
      <c r="E4322" s="94"/>
      <c r="G4322" s="94"/>
      <c r="I4322" s="94"/>
      <c r="K4322" s="94"/>
      <c r="M4322" s="94"/>
    </row>
    <row r="4323" s="93" customFormat="1" spans="3:13">
      <c r="C4323" s="94"/>
      <c r="E4323" s="94"/>
      <c r="G4323" s="94"/>
      <c r="I4323" s="94"/>
      <c r="K4323" s="94"/>
      <c r="M4323" s="94"/>
    </row>
    <row r="4324" s="93" customFormat="1" spans="3:13">
      <c r="C4324" s="94"/>
      <c r="E4324" s="94"/>
      <c r="G4324" s="94"/>
      <c r="I4324" s="94"/>
      <c r="K4324" s="94"/>
      <c r="M4324" s="94"/>
    </row>
    <row r="4325" s="93" customFormat="1" spans="3:13">
      <c r="C4325" s="94"/>
      <c r="E4325" s="94"/>
      <c r="G4325" s="94"/>
      <c r="I4325" s="94"/>
      <c r="K4325" s="94"/>
      <c r="M4325" s="94"/>
    </row>
    <row r="4326" s="93" customFormat="1" spans="3:13">
      <c r="C4326" s="94"/>
      <c r="E4326" s="94"/>
      <c r="G4326" s="94"/>
      <c r="I4326" s="94"/>
      <c r="K4326" s="94"/>
      <c r="M4326" s="94"/>
    </row>
    <row r="4327" s="93" customFormat="1" spans="3:13">
      <c r="C4327" s="94"/>
      <c r="E4327" s="94"/>
      <c r="G4327" s="94"/>
      <c r="I4327" s="94"/>
      <c r="K4327" s="94"/>
      <c r="M4327" s="94"/>
    </row>
    <row r="4328" s="93" customFormat="1" spans="3:13">
      <c r="C4328" s="94"/>
      <c r="E4328" s="94"/>
      <c r="G4328" s="94"/>
      <c r="I4328" s="94"/>
      <c r="K4328" s="94"/>
      <c r="M4328" s="94"/>
    </row>
    <row r="4329" s="93" customFormat="1" spans="3:13">
      <c r="C4329" s="94"/>
      <c r="E4329" s="94"/>
      <c r="G4329" s="94"/>
      <c r="I4329" s="94"/>
      <c r="K4329" s="94"/>
      <c r="M4329" s="94"/>
    </row>
    <row r="4330" s="93" customFormat="1" spans="3:13">
      <c r="C4330" s="94"/>
      <c r="E4330" s="94"/>
      <c r="G4330" s="94"/>
      <c r="I4330" s="94"/>
      <c r="K4330" s="94"/>
      <c r="M4330" s="94"/>
    </row>
    <row r="4331" s="93" customFormat="1" spans="3:13">
      <c r="C4331" s="94"/>
      <c r="E4331" s="94"/>
      <c r="G4331" s="94"/>
      <c r="I4331" s="94"/>
      <c r="K4331" s="94"/>
      <c r="M4331" s="94"/>
    </row>
    <row r="4332" s="93" customFormat="1" spans="3:13">
      <c r="C4332" s="94"/>
      <c r="E4332" s="94"/>
      <c r="G4332" s="94"/>
      <c r="I4332" s="94"/>
      <c r="K4332" s="94"/>
      <c r="M4332" s="94"/>
    </row>
    <row r="4333" s="93" customFormat="1" spans="3:13">
      <c r="C4333" s="94"/>
      <c r="E4333" s="94"/>
      <c r="G4333" s="94"/>
      <c r="I4333" s="94"/>
      <c r="K4333" s="94"/>
      <c r="M4333" s="94"/>
    </row>
    <row r="4334" s="93" customFormat="1" spans="3:13">
      <c r="C4334" s="94"/>
      <c r="E4334" s="94"/>
      <c r="G4334" s="94"/>
      <c r="I4334" s="94"/>
      <c r="K4334" s="94"/>
      <c r="M4334" s="94"/>
    </row>
    <row r="4335" s="93" customFormat="1" spans="3:13">
      <c r="C4335" s="94"/>
      <c r="E4335" s="94"/>
      <c r="G4335" s="94"/>
      <c r="I4335" s="94"/>
      <c r="K4335" s="94"/>
      <c r="M4335" s="94"/>
    </row>
    <row r="4336" s="93" customFormat="1" spans="3:13">
      <c r="C4336" s="94"/>
      <c r="E4336" s="94"/>
      <c r="G4336" s="94"/>
      <c r="I4336" s="94"/>
      <c r="K4336" s="94"/>
      <c r="M4336" s="94"/>
    </row>
    <row r="4337" s="93" customFormat="1" spans="3:13">
      <c r="C4337" s="94"/>
      <c r="E4337" s="94"/>
      <c r="G4337" s="94"/>
      <c r="I4337" s="94"/>
      <c r="K4337" s="94"/>
      <c r="M4337" s="94"/>
    </row>
    <row r="4338" s="93" customFormat="1" spans="3:13">
      <c r="C4338" s="94"/>
      <c r="E4338" s="94"/>
      <c r="G4338" s="94"/>
      <c r="I4338" s="94"/>
      <c r="K4338" s="94"/>
      <c r="M4338" s="94"/>
    </row>
    <row r="4339" s="93" customFormat="1" spans="3:13">
      <c r="C4339" s="94"/>
      <c r="E4339" s="94"/>
      <c r="G4339" s="94"/>
      <c r="I4339" s="94"/>
      <c r="K4339" s="94"/>
      <c r="M4339" s="94"/>
    </row>
    <row r="4340" s="93" customFormat="1" spans="3:13">
      <c r="C4340" s="94"/>
      <c r="E4340" s="94"/>
      <c r="G4340" s="94"/>
      <c r="I4340" s="94"/>
      <c r="K4340" s="94"/>
      <c r="M4340" s="94"/>
    </row>
    <row r="4341" s="93" customFormat="1" spans="3:13">
      <c r="C4341" s="94"/>
      <c r="E4341" s="94"/>
      <c r="G4341" s="94"/>
      <c r="I4341" s="94"/>
      <c r="K4341" s="94"/>
      <c r="M4341" s="94"/>
    </row>
    <row r="4342" s="93" customFormat="1" spans="3:13">
      <c r="C4342" s="94"/>
      <c r="E4342" s="94"/>
      <c r="G4342" s="94"/>
      <c r="I4342" s="94"/>
      <c r="K4342" s="94"/>
      <c r="M4342" s="94"/>
    </row>
    <row r="4343" s="93" customFormat="1" spans="3:13">
      <c r="C4343" s="94"/>
      <c r="E4343" s="94"/>
      <c r="G4343" s="94"/>
      <c r="I4343" s="94"/>
      <c r="K4343" s="94"/>
      <c r="M4343" s="94"/>
    </row>
    <row r="4344" s="93" customFormat="1" spans="3:13">
      <c r="C4344" s="94"/>
      <c r="E4344" s="94"/>
      <c r="G4344" s="94"/>
      <c r="I4344" s="94"/>
      <c r="K4344" s="94"/>
      <c r="M4344" s="94"/>
    </row>
    <row r="4345" s="93" customFormat="1" spans="3:13">
      <c r="C4345" s="94"/>
      <c r="E4345" s="94"/>
      <c r="G4345" s="94"/>
      <c r="I4345" s="94"/>
      <c r="K4345" s="94"/>
      <c r="M4345" s="94"/>
    </row>
    <row r="4346" s="93" customFormat="1" spans="3:13">
      <c r="C4346" s="94"/>
      <c r="E4346" s="94"/>
      <c r="G4346" s="94"/>
      <c r="I4346" s="94"/>
      <c r="K4346" s="94"/>
      <c r="M4346" s="94"/>
    </row>
    <row r="4347" s="93" customFormat="1" spans="3:13">
      <c r="C4347" s="94"/>
      <c r="E4347" s="94"/>
      <c r="G4347" s="94"/>
      <c r="I4347" s="94"/>
      <c r="K4347" s="94"/>
      <c r="M4347" s="94"/>
    </row>
    <row r="4348" s="93" customFormat="1" spans="3:13">
      <c r="C4348" s="94"/>
      <c r="E4348" s="94"/>
      <c r="G4348" s="94"/>
      <c r="I4348" s="94"/>
      <c r="K4348" s="94"/>
      <c r="M4348" s="94"/>
    </row>
    <row r="4349" s="93" customFormat="1" spans="3:13">
      <c r="C4349" s="94"/>
      <c r="E4349" s="94"/>
      <c r="G4349" s="94"/>
      <c r="I4349" s="94"/>
      <c r="K4349" s="94"/>
      <c r="M4349" s="94"/>
    </row>
    <row r="4350" s="93" customFormat="1" spans="3:13">
      <c r="C4350" s="94"/>
      <c r="E4350" s="94"/>
      <c r="G4350" s="94"/>
      <c r="I4350" s="94"/>
      <c r="K4350" s="94"/>
      <c r="M4350" s="94"/>
    </row>
    <row r="4351" s="93" customFormat="1" spans="3:13">
      <c r="C4351" s="94"/>
      <c r="E4351" s="94"/>
      <c r="G4351" s="94"/>
      <c r="I4351" s="94"/>
      <c r="K4351" s="94"/>
      <c r="M4351" s="94"/>
    </row>
    <row r="4352" s="93" customFormat="1" spans="3:13">
      <c r="C4352" s="94"/>
      <c r="E4352" s="94"/>
      <c r="G4352" s="94"/>
      <c r="I4352" s="94"/>
      <c r="K4352" s="94"/>
      <c r="M4352" s="94"/>
    </row>
    <row r="4353" s="93" customFormat="1" spans="3:13">
      <c r="C4353" s="94"/>
      <c r="E4353" s="94"/>
      <c r="G4353" s="94"/>
      <c r="I4353" s="94"/>
      <c r="K4353" s="94"/>
      <c r="M4353" s="94"/>
    </row>
    <row r="4354" s="93" customFormat="1" spans="3:13">
      <c r="C4354" s="94"/>
      <c r="E4354" s="94"/>
      <c r="G4354" s="94"/>
      <c r="I4354" s="94"/>
      <c r="K4354" s="94"/>
      <c r="M4354" s="94"/>
    </row>
    <row r="4355" s="93" customFormat="1" spans="3:13">
      <c r="C4355" s="94"/>
      <c r="E4355" s="94"/>
      <c r="G4355" s="94"/>
      <c r="I4355" s="94"/>
      <c r="K4355" s="94"/>
      <c r="M4355" s="94"/>
    </row>
    <row r="4356" s="93" customFormat="1" spans="3:13">
      <c r="C4356" s="94"/>
      <c r="E4356" s="94"/>
      <c r="G4356" s="94"/>
      <c r="I4356" s="94"/>
      <c r="K4356" s="94"/>
      <c r="M4356" s="94"/>
    </row>
    <row r="4357" s="93" customFormat="1" spans="3:13">
      <c r="C4357" s="94"/>
      <c r="E4357" s="94"/>
      <c r="G4357" s="94"/>
      <c r="I4357" s="94"/>
      <c r="K4357" s="94"/>
      <c r="M4357" s="94"/>
    </row>
    <row r="4358" s="93" customFormat="1" spans="3:13">
      <c r="C4358" s="94"/>
      <c r="E4358" s="94"/>
      <c r="G4358" s="94"/>
      <c r="I4358" s="94"/>
      <c r="K4358" s="94"/>
      <c r="M4358" s="94"/>
    </row>
    <row r="4359" s="93" customFormat="1" spans="3:13">
      <c r="C4359" s="94"/>
      <c r="E4359" s="94"/>
      <c r="G4359" s="94"/>
      <c r="I4359" s="94"/>
      <c r="K4359" s="94"/>
      <c r="M4359" s="94"/>
    </row>
    <row r="4360" s="93" customFormat="1" spans="3:13">
      <c r="C4360" s="94"/>
      <c r="E4360" s="94"/>
      <c r="G4360" s="94"/>
      <c r="I4360" s="94"/>
      <c r="K4360" s="94"/>
      <c r="M4360" s="94"/>
    </row>
    <row r="4361" s="93" customFormat="1" spans="3:13">
      <c r="C4361" s="94"/>
      <c r="E4361" s="94"/>
      <c r="G4361" s="94"/>
      <c r="I4361" s="94"/>
      <c r="K4361" s="94"/>
      <c r="M4361" s="94"/>
    </row>
    <row r="4362" s="93" customFormat="1" spans="3:13">
      <c r="C4362" s="94"/>
      <c r="E4362" s="94"/>
      <c r="G4362" s="94"/>
      <c r="I4362" s="94"/>
      <c r="K4362" s="94"/>
      <c r="M4362" s="94"/>
    </row>
    <row r="4363" s="93" customFormat="1" spans="3:13">
      <c r="C4363" s="94"/>
      <c r="E4363" s="94"/>
      <c r="G4363" s="94"/>
      <c r="I4363" s="94"/>
      <c r="K4363" s="94"/>
      <c r="M4363" s="94"/>
    </row>
    <row r="4364" s="93" customFormat="1" spans="3:13">
      <c r="C4364" s="94"/>
      <c r="E4364" s="94"/>
      <c r="G4364" s="94"/>
      <c r="I4364" s="94"/>
      <c r="K4364" s="94"/>
      <c r="M4364" s="94"/>
    </row>
    <row r="4365" s="93" customFormat="1" spans="3:13">
      <c r="C4365" s="94"/>
      <c r="E4365" s="94"/>
      <c r="G4365" s="94"/>
      <c r="I4365" s="94"/>
      <c r="K4365" s="94"/>
      <c r="M4365" s="94"/>
    </row>
    <row r="4366" s="93" customFormat="1" spans="3:13">
      <c r="C4366" s="94"/>
      <c r="E4366" s="94"/>
      <c r="G4366" s="94"/>
      <c r="I4366" s="94"/>
      <c r="K4366" s="94"/>
      <c r="M4366" s="94"/>
    </row>
    <row r="4367" s="93" customFormat="1" spans="3:13">
      <c r="C4367" s="94"/>
      <c r="E4367" s="94"/>
      <c r="G4367" s="94"/>
      <c r="I4367" s="94"/>
      <c r="K4367" s="94"/>
      <c r="M4367" s="94"/>
    </row>
    <row r="4368" s="93" customFormat="1" spans="3:13">
      <c r="C4368" s="94"/>
      <c r="E4368" s="94"/>
      <c r="G4368" s="94"/>
      <c r="I4368" s="94"/>
      <c r="K4368" s="94"/>
      <c r="M4368" s="94"/>
    </row>
    <row r="4369" s="93" customFormat="1" spans="3:13">
      <c r="C4369" s="94"/>
      <c r="E4369" s="94"/>
      <c r="G4369" s="94"/>
      <c r="I4369" s="94"/>
      <c r="K4369" s="94"/>
      <c r="M4369" s="94"/>
    </row>
    <row r="4370" s="93" customFormat="1" spans="3:13">
      <c r="C4370" s="94"/>
      <c r="E4370" s="94"/>
      <c r="G4370" s="94"/>
      <c r="I4370" s="94"/>
      <c r="K4370" s="94"/>
      <c r="M4370" s="94"/>
    </row>
    <row r="4371" s="93" customFormat="1" spans="3:13">
      <c r="C4371" s="94"/>
      <c r="E4371" s="94"/>
      <c r="G4371" s="94"/>
      <c r="I4371" s="94"/>
      <c r="K4371" s="94"/>
      <c r="M4371" s="94"/>
    </row>
    <row r="4372" s="93" customFormat="1" spans="3:13">
      <c r="C4372" s="94"/>
      <c r="E4372" s="94"/>
      <c r="G4372" s="94"/>
      <c r="I4372" s="94"/>
      <c r="K4372" s="94"/>
      <c r="M4372" s="94"/>
    </row>
    <row r="4373" s="93" customFormat="1" spans="3:13">
      <c r="C4373" s="94"/>
      <c r="E4373" s="94"/>
      <c r="G4373" s="94"/>
      <c r="I4373" s="94"/>
      <c r="K4373" s="94"/>
      <c r="M4373" s="94"/>
    </row>
    <row r="4374" s="93" customFormat="1" spans="3:13">
      <c r="C4374" s="94"/>
      <c r="E4374" s="94"/>
      <c r="G4374" s="94"/>
      <c r="I4374" s="94"/>
      <c r="K4374" s="94"/>
      <c r="M4374" s="94"/>
    </row>
    <row r="4375" s="93" customFormat="1" spans="3:13">
      <c r="C4375" s="94"/>
      <c r="E4375" s="94"/>
      <c r="G4375" s="94"/>
      <c r="I4375" s="94"/>
      <c r="K4375" s="94"/>
      <c r="M4375" s="94"/>
    </row>
    <row r="4376" s="93" customFormat="1" spans="3:13">
      <c r="C4376" s="94"/>
      <c r="E4376" s="94"/>
      <c r="G4376" s="94"/>
      <c r="I4376" s="94"/>
      <c r="K4376" s="94"/>
      <c r="M4376" s="94"/>
    </row>
    <row r="4377" s="93" customFormat="1" spans="3:13">
      <c r="C4377" s="94"/>
      <c r="E4377" s="94"/>
      <c r="G4377" s="94"/>
      <c r="I4377" s="94"/>
      <c r="K4377" s="94"/>
      <c r="M4377" s="94"/>
    </row>
    <row r="4378" s="93" customFormat="1" spans="3:13">
      <c r="C4378" s="94"/>
      <c r="E4378" s="94"/>
      <c r="G4378" s="94"/>
      <c r="I4378" s="94"/>
      <c r="K4378" s="94"/>
      <c r="M4378" s="94"/>
    </row>
    <row r="4379" s="93" customFormat="1" spans="3:13">
      <c r="C4379" s="94"/>
      <c r="E4379" s="94"/>
      <c r="G4379" s="94"/>
      <c r="I4379" s="94"/>
      <c r="K4379" s="94"/>
      <c r="M4379" s="94"/>
    </row>
    <row r="4380" s="93" customFormat="1" spans="3:13">
      <c r="C4380" s="94"/>
      <c r="E4380" s="94"/>
      <c r="G4380" s="94"/>
      <c r="I4380" s="94"/>
      <c r="K4380" s="94"/>
      <c r="M4380" s="94"/>
    </row>
    <row r="4381" s="93" customFormat="1" spans="3:13">
      <c r="C4381" s="94"/>
      <c r="E4381" s="94"/>
      <c r="G4381" s="94"/>
      <c r="I4381" s="94"/>
      <c r="K4381" s="94"/>
      <c r="M4381" s="94"/>
    </row>
    <row r="4382" s="93" customFormat="1" spans="3:13">
      <c r="C4382" s="94"/>
      <c r="E4382" s="94"/>
      <c r="G4382" s="94"/>
      <c r="I4382" s="94"/>
      <c r="K4382" s="94"/>
      <c r="M4382" s="94"/>
    </row>
    <row r="4383" s="93" customFormat="1" spans="3:13">
      <c r="C4383" s="94"/>
      <c r="E4383" s="94"/>
      <c r="G4383" s="94"/>
      <c r="I4383" s="94"/>
      <c r="K4383" s="94"/>
      <c r="M4383" s="94"/>
    </row>
    <row r="4384" s="93" customFormat="1" spans="3:13">
      <c r="C4384" s="94"/>
      <c r="E4384" s="94"/>
      <c r="G4384" s="94"/>
      <c r="I4384" s="94"/>
      <c r="K4384" s="94"/>
      <c r="M4384" s="94"/>
    </row>
    <row r="4385" s="93" customFormat="1" spans="3:13">
      <c r="C4385" s="94"/>
      <c r="E4385" s="94"/>
      <c r="G4385" s="94"/>
      <c r="I4385" s="94"/>
      <c r="K4385" s="94"/>
      <c r="M4385" s="94"/>
    </row>
    <row r="4386" s="93" customFormat="1" spans="3:13">
      <c r="C4386" s="94"/>
      <c r="E4386" s="94"/>
      <c r="G4386" s="94"/>
      <c r="I4386" s="94"/>
      <c r="K4386" s="94"/>
      <c r="M4386" s="94"/>
    </row>
    <row r="4387" s="93" customFormat="1" spans="3:13">
      <c r="C4387" s="94"/>
      <c r="E4387" s="94"/>
      <c r="G4387" s="94"/>
      <c r="I4387" s="94"/>
      <c r="K4387" s="94"/>
      <c r="M4387" s="94"/>
    </row>
    <row r="4388" s="93" customFormat="1" spans="3:13">
      <c r="C4388" s="94"/>
      <c r="E4388" s="94"/>
      <c r="G4388" s="94"/>
      <c r="I4388" s="94"/>
      <c r="K4388" s="94"/>
      <c r="M4388" s="94"/>
    </row>
    <row r="4389" s="93" customFormat="1" spans="3:13">
      <c r="C4389" s="94"/>
      <c r="E4389" s="94"/>
      <c r="G4389" s="94"/>
      <c r="I4389" s="94"/>
      <c r="K4389" s="94"/>
      <c r="M4389" s="94"/>
    </row>
    <row r="4390" s="93" customFormat="1" spans="3:13">
      <c r="C4390" s="94"/>
      <c r="E4390" s="94"/>
      <c r="G4390" s="94"/>
      <c r="I4390" s="94"/>
      <c r="K4390" s="94"/>
      <c r="M4390" s="94"/>
    </row>
    <row r="4391" s="93" customFormat="1" spans="3:13">
      <c r="C4391" s="94"/>
      <c r="E4391" s="94"/>
      <c r="G4391" s="94"/>
      <c r="I4391" s="94"/>
      <c r="K4391" s="94"/>
      <c r="M4391" s="94"/>
    </row>
    <row r="4392" s="93" customFormat="1" spans="3:13">
      <c r="C4392" s="94"/>
      <c r="E4392" s="94"/>
      <c r="G4392" s="94"/>
      <c r="I4392" s="94"/>
      <c r="K4392" s="94"/>
      <c r="M4392" s="94"/>
    </row>
    <row r="4393" s="93" customFormat="1" spans="3:13">
      <c r="C4393" s="94"/>
      <c r="E4393" s="94"/>
      <c r="G4393" s="94"/>
      <c r="I4393" s="94"/>
      <c r="K4393" s="94"/>
      <c r="M4393" s="94"/>
    </row>
    <row r="4394" s="93" customFormat="1" spans="3:13">
      <c r="C4394" s="94"/>
      <c r="E4394" s="94"/>
      <c r="G4394" s="94"/>
      <c r="I4394" s="94"/>
      <c r="K4394" s="94"/>
      <c r="M4394" s="94"/>
    </row>
    <row r="4395" s="93" customFormat="1" spans="3:13">
      <c r="C4395" s="94"/>
      <c r="E4395" s="94"/>
      <c r="G4395" s="94"/>
      <c r="I4395" s="94"/>
      <c r="K4395" s="94"/>
      <c r="M4395" s="94"/>
    </row>
    <row r="4396" s="93" customFormat="1" spans="3:13">
      <c r="C4396" s="94"/>
      <c r="E4396" s="94"/>
      <c r="G4396" s="94"/>
      <c r="I4396" s="94"/>
      <c r="K4396" s="94"/>
      <c r="M4396" s="94"/>
    </row>
    <row r="4397" s="93" customFormat="1" spans="3:13">
      <c r="C4397" s="94"/>
      <c r="E4397" s="94"/>
      <c r="G4397" s="94"/>
      <c r="I4397" s="94"/>
      <c r="K4397" s="94"/>
      <c r="M4397" s="94"/>
    </row>
    <row r="4398" s="93" customFormat="1" spans="3:13">
      <c r="C4398" s="94"/>
      <c r="E4398" s="94"/>
      <c r="G4398" s="94"/>
      <c r="I4398" s="94"/>
      <c r="K4398" s="94"/>
      <c r="M4398" s="94"/>
    </row>
    <row r="4399" s="93" customFormat="1" spans="3:13">
      <c r="C4399" s="94"/>
      <c r="E4399" s="94"/>
      <c r="G4399" s="94"/>
      <c r="I4399" s="94"/>
      <c r="K4399" s="94"/>
      <c r="M4399" s="94"/>
    </row>
    <row r="4400" s="93" customFormat="1" spans="3:13">
      <c r="C4400" s="94"/>
      <c r="E4400" s="94"/>
      <c r="G4400" s="94"/>
      <c r="I4400" s="94"/>
      <c r="K4400" s="94"/>
      <c r="M4400" s="94"/>
    </row>
    <row r="4401" s="93" customFormat="1" spans="3:13">
      <c r="C4401" s="94"/>
      <c r="E4401" s="94"/>
      <c r="G4401" s="94"/>
      <c r="I4401" s="94"/>
      <c r="K4401" s="94"/>
      <c r="M4401" s="94"/>
    </row>
    <row r="4402" s="93" customFormat="1" spans="3:13">
      <c r="C4402" s="94"/>
      <c r="E4402" s="94"/>
      <c r="G4402" s="94"/>
      <c r="I4402" s="94"/>
      <c r="K4402" s="94"/>
      <c r="M4402" s="94"/>
    </row>
    <row r="4403" s="93" customFormat="1" spans="3:13">
      <c r="C4403" s="94"/>
      <c r="E4403" s="94"/>
      <c r="G4403" s="94"/>
      <c r="I4403" s="94"/>
      <c r="K4403" s="94"/>
      <c r="M4403" s="94"/>
    </row>
    <row r="4404" s="93" customFormat="1" spans="3:13">
      <c r="C4404" s="94"/>
      <c r="E4404" s="94"/>
      <c r="G4404" s="94"/>
      <c r="I4404" s="94"/>
      <c r="K4404" s="94"/>
      <c r="M4404" s="94"/>
    </row>
    <row r="4405" s="93" customFormat="1" spans="3:13">
      <c r="C4405" s="94"/>
      <c r="E4405" s="94"/>
      <c r="G4405" s="94"/>
      <c r="I4405" s="94"/>
      <c r="K4405" s="94"/>
      <c r="M4405" s="94"/>
    </row>
    <row r="4406" s="93" customFormat="1" spans="3:13">
      <c r="C4406" s="94"/>
      <c r="E4406" s="94"/>
      <c r="G4406" s="94"/>
      <c r="I4406" s="94"/>
      <c r="K4406" s="94"/>
      <c r="M4406" s="94"/>
    </row>
    <row r="4407" s="93" customFormat="1" spans="3:13">
      <c r="C4407" s="94"/>
      <c r="E4407" s="94"/>
      <c r="G4407" s="94"/>
      <c r="I4407" s="94"/>
      <c r="K4407" s="94"/>
      <c r="M4407" s="94"/>
    </row>
    <row r="4408" s="93" customFormat="1" spans="3:13">
      <c r="C4408" s="94"/>
      <c r="E4408" s="94"/>
      <c r="G4408" s="94"/>
      <c r="I4408" s="94"/>
      <c r="K4408" s="94"/>
      <c r="M4408" s="94"/>
    </row>
    <row r="4409" s="93" customFormat="1" spans="3:13">
      <c r="C4409" s="94"/>
      <c r="E4409" s="94"/>
      <c r="G4409" s="94"/>
      <c r="I4409" s="94"/>
      <c r="K4409" s="94"/>
      <c r="M4409" s="94"/>
    </row>
    <row r="4410" s="93" customFormat="1" spans="3:13">
      <c r="C4410" s="94"/>
      <c r="E4410" s="94"/>
      <c r="G4410" s="94"/>
      <c r="I4410" s="94"/>
      <c r="K4410" s="94"/>
      <c r="M4410" s="94"/>
    </row>
    <row r="4411" s="93" customFormat="1" spans="3:13">
      <c r="C4411" s="94"/>
      <c r="E4411" s="94"/>
      <c r="G4411" s="94"/>
      <c r="I4411" s="94"/>
      <c r="K4411" s="94"/>
      <c r="M4411" s="94"/>
    </row>
    <row r="4412" s="93" customFormat="1" spans="3:13">
      <c r="C4412" s="94"/>
      <c r="E4412" s="94"/>
      <c r="G4412" s="94"/>
      <c r="I4412" s="94"/>
      <c r="K4412" s="94"/>
      <c r="M4412" s="94"/>
    </row>
    <row r="4413" s="93" customFormat="1" spans="3:13">
      <c r="C4413" s="94"/>
      <c r="E4413" s="94"/>
      <c r="G4413" s="94"/>
      <c r="I4413" s="94"/>
      <c r="K4413" s="94"/>
      <c r="M4413" s="94"/>
    </row>
    <row r="4414" s="93" customFormat="1" spans="3:13">
      <c r="C4414" s="94"/>
      <c r="E4414" s="94"/>
      <c r="G4414" s="94"/>
      <c r="I4414" s="94"/>
      <c r="K4414" s="94"/>
      <c r="M4414" s="94"/>
    </row>
    <row r="4415" s="93" customFormat="1" spans="3:13">
      <c r="C4415" s="94"/>
      <c r="E4415" s="94"/>
      <c r="G4415" s="94"/>
      <c r="I4415" s="94"/>
      <c r="K4415" s="94"/>
      <c r="M4415" s="94"/>
    </row>
    <row r="4416" s="93" customFormat="1" spans="3:13">
      <c r="C4416" s="94"/>
      <c r="E4416" s="94"/>
      <c r="G4416" s="94"/>
      <c r="I4416" s="94"/>
      <c r="K4416" s="94"/>
      <c r="M4416" s="94"/>
    </row>
    <row r="4417" s="93" customFormat="1" spans="3:13">
      <c r="C4417" s="94"/>
      <c r="E4417" s="94"/>
      <c r="G4417" s="94"/>
      <c r="I4417" s="94"/>
      <c r="K4417" s="94"/>
      <c r="M4417" s="94"/>
    </row>
    <row r="4418" s="93" customFormat="1" spans="3:13">
      <c r="C4418" s="94"/>
      <c r="E4418" s="94"/>
      <c r="G4418" s="94"/>
      <c r="I4418" s="94"/>
      <c r="K4418" s="94"/>
      <c r="M4418" s="94"/>
    </row>
    <row r="4419" s="93" customFormat="1" spans="3:13">
      <c r="C4419" s="94"/>
      <c r="E4419" s="94"/>
      <c r="G4419" s="94"/>
      <c r="I4419" s="94"/>
      <c r="K4419" s="94"/>
      <c r="M4419" s="94"/>
    </row>
    <row r="4420" s="93" customFormat="1" spans="3:13">
      <c r="C4420" s="94"/>
      <c r="E4420" s="94"/>
      <c r="G4420" s="94"/>
      <c r="I4420" s="94"/>
      <c r="K4420" s="94"/>
      <c r="M4420" s="94"/>
    </row>
    <row r="4421" s="93" customFormat="1" spans="3:13">
      <c r="C4421" s="94"/>
      <c r="E4421" s="94"/>
      <c r="G4421" s="94"/>
      <c r="I4421" s="94"/>
      <c r="K4421" s="94"/>
      <c r="M4421" s="94"/>
    </row>
    <row r="4422" s="93" customFormat="1" spans="3:13">
      <c r="C4422" s="94"/>
      <c r="E4422" s="94"/>
      <c r="G4422" s="94"/>
      <c r="I4422" s="94"/>
      <c r="K4422" s="94"/>
      <c r="M4422" s="94"/>
    </row>
    <row r="4423" s="93" customFormat="1" spans="3:13">
      <c r="C4423" s="94"/>
      <c r="E4423" s="94"/>
      <c r="G4423" s="94"/>
      <c r="I4423" s="94"/>
      <c r="K4423" s="94"/>
      <c r="M4423" s="94"/>
    </row>
    <row r="4424" s="93" customFormat="1" spans="3:13">
      <c r="C4424" s="94"/>
      <c r="E4424" s="94"/>
      <c r="G4424" s="94"/>
      <c r="I4424" s="94"/>
      <c r="K4424" s="94"/>
      <c r="M4424" s="94"/>
    </row>
    <row r="4425" s="93" customFormat="1" spans="3:13">
      <c r="C4425" s="94"/>
      <c r="E4425" s="94"/>
      <c r="G4425" s="94"/>
      <c r="I4425" s="94"/>
      <c r="K4425" s="94"/>
      <c r="M4425" s="94"/>
    </row>
    <row r="4426" s="93" customFormat="1" spans="3:13">
      <c r="C4426" s="94"/>
      <c r="E4426" s="94"/>
      <c r="G4426" s="94"/>
      <c r="I4426" s="94"/>
      <c r="K4426" s="94"/>
      <c r="M4426" s="94"/>
    </row>
    <row r="4427" s="93" customFormat="1" spans="3:13">
      <c r="C4427" s="94"/>
      <c r="E4427" s="94"/>
      <c r="G4427" s="94"/>
      <c r="I4427" s="94"/>
      <c r="K4427" s="94"/>
      <c r="M4427" s="94"/>
    </row>
    <row r="4428" s="93" customFormat="1" spans="3:13">
      <c r="C4428" s="94"/>
      <c r="E4428" s="94"/>
      <c r="G4428" s="94"/>
      <c r="I4428" s="94"/>
      <c r="K4428" s="94"/>
      <c r="M4428" s="94"/>
    </row>
    <row r="4429" s="93" customFormat="1" spans="3:13">
      <c r="C4429" s="94"/>
      <c r="E4429" s="94"/>
      <c r="G4429" s="94"/>
      <c r="I4429" s="94"/>
      <c r="K4429" s="94"/>
      <c r="M4429" s="94"/>
    </row>
    <row r="4430" s="93" customFormat="1" spans="3:13">
      <c r="C4430" s="94"/>
      <c r="E4430" s="94"/>
      <c r="G4430" s="94"/>
      <c r="I4430" s="94"/>
      <c r="K4430" s="94"/>
      <c r="M4430" s="94"/>
    </row>
    <row r="4431" s="93" customFormat="1" spans="3:13">
      <c r="C4431" s="94"/>
      <c r="E4431" s="94"/>
      <c r="G4431" s="94"/>
      <c r="I4431" s="94"/>
      <c r="K4431" s="94"/>
      <c r="M4431" s="94"/>
    </row>
    <row r="4432" s="93" customFormat="1" spans="3:13">
      <c r="C4432" s="94"/>
      <c r="E4432" s="94"/>
      <c r="G4432" s="94"/>
      <c r="I4432" s="94"/>
      <c r="K4432" s="94"/>
      <c r="M4432" s="94"/>
    </row>
    <row r="4433" s="93" customFormat="1" spans="3:13">
      <c r="C4433" s="94"/>
      <c r="E4433" s="94"/>
      <c r="G4433" s="94"/>
      <c r="I4433" s="94"/>
      <c r="K4433" s="94"/>
      <c r="M4433" s="94"/>
    </row>
    <row r="4434" s="93" customFormat="1" spans="3:13">
      <c r="C4434" s="94"/>
      <c r="E4434" s="94"/>
      <c r="G4434" s="94"/>
      <c r="I4434" s="94"/>
      <c r="K4434" s="94"/>
      <c r="M4434" s="94"/>
    </row>
    <row r="4435" s="93" customFormat="1" spans="3:13">
      <c r="C4435" s="94"/>
      <c r="E4435" s="94"/>
      <c r="G4435" s="94"/>
      <c r="I4435" s="94"/>
      <c r="K4435" s="94"/>
      <c r="M4435" s="94"/>
    </row>
    <row r="4436" s="93" customFormat="1" spans="3:13">
      <c r="C4436" s="94"/>
      <c r="E4436" s="94"/>
      <c r="G4436" s="94"/>
      <c r="I4436" s="94"/>
      <c r="K4436" s="94"/>
      <c r="M4436" s="94"/>
    </row>
    <row r="4437" s="93" customFormat="1" spans="3:13">
      <c r="C4437" s="94"/>
      <c r="E4437" s="94"/>
      <c r="G4437" s="94"/>
      <c r="I4437" s="94"/>
      <c r="K4437" s="94"/>
      <c r="M4437" s="94"/>
    </row>
    <row r="4438" s="93" customFormat="1" spans="3:13">
      <c r="C4438" s="94"/>
      <c r="E4438" s="94"/>
      <c r="G4438" s="94"/>
      <c r="I4438" s="94"/>
      <c r="K4438" s="94"/>
      <c r="M4438" s="94"/>
    </row>
    <row r="4439" s="93" customFormat="1" spans="3:13">
      <c r="C4439" s="94"/>
      <c r="E4439" s="94"/>
      <c r="G4439" s="94"/>
      <c r="I4439" s="94"/>
      <c r="K4439" s="94"/>
      <c r="M4439" s="94"/>
    </row>
    <row r="4440" s="93" customFormat="1" spans="3:13">
      <c r="C4440" s="94"/>
      <c r="E4440" s="94"/>
      <c r="G4440" s="94"/>
      <c r="I4440" s="94"/>
      <c r="K4440" s="94"/>
      <c r="M4440" s="94"/>
    </row>
    <row r="4441" s="93" customFormat="1" spans="3:13">
      <c r="C4441" s="94"/>
      <c r="E4441" s="94"/>
      <c r="G4441" s="94"/>
      <c r="I4441" s="94"/>
      <c r="K4441" s="94"/>
      <c r="M4441" s="94"/>
    </row>
    <row r="4442" s="93" customFormat="1" spans="3:13">
      <c r="C4442" s="94"/>
      <c r="E4442" s="94"/>
      <c r="G4442" s="94"/>
      <c r="I4442" s="94"/>
      <c r="K4442" s="94"/>
      <c r="M4442" s="94"/>
    </row>
    <row r="4443" s="93" customFormat="1" spans="3:13">
      <c r="C4443" s="94"/>
      <c r="E4443" s="94"/>
      <c r="G4443" s="94"/>
      <c r="I4443" s="94"/>
      <c r="K4443" s="94"/>
      <c r="M4443" s="94"/>
    </row>
    <row r="4444" s="93" customFormat="1" spans="3:13">
      <c r="C4444" s="94"/>
      <c r="E4444" s="94"/>
      <c r="G4444" s="94"/>
      <c r="I4444" s="94"/>
      <c r="K4444" s="94"/>
      <c r="M4444" s="94"/>
    </row>
    <row r="4445" s="93" customFormat="1" spans="3:13">
      <c r="C4445" s="94"/>
      <c r="E4445" s="94"/>
      <c r="G4445" s="94"/>
      <c r="I4445" s="94"/>
      <c r="K4445" s="94"/>
      <c r="M4445" s="94"/>
    </row>
    <row r="4446" s="93" customFormat="1" spans="3:13">
      <c r="C4446" s="94"/>
      <c r="E4446" s="94"/>
      <c r="G4446" s="94"/>
      <c r="I4446" s="94"/>
      <c r="K4446" s="94"/>
      <c r="M4446" s="94"/>
    </row>
    <row r="4447" s="93" customFormat="1" spans="3:13">
      <c r="C4447" s="94"/>
      <c r="E4447" s="94"/>
      <c r="G4447" s="94"/>
      <c r="I4447" s="94"/>
      <c r="K4447" s="94"/>
      <c r="M4447" s="94"/>
    </row>
    <row r="4448" s="93" customFormat="1" spans="3:13">
      <c r="C4448" s="94"/>
      <c r="E4448" s="94"/>
      <c r="G4448" s="94"/>
      <c r="I4448" s="94"/>
      <c r="K4448" s="94"/>
      <c r="M4448" s="94"/>
    </row>
    <row r="4449" s="93" customFormat="1" spans="3:13">
      <c r="C4449" s="94"/>
      <c r="E4449" s="94"/>
      <c r="G4449" s="94"/>
      <c r="I4449" s="94"/>
      <c r="K4449" s="94"/>
      <c r="M4449" s="94"/>
    </row>
    <row r="4450" s="93" customFormat="1" spans="3:13">
      <c r="C4450" s="94"/>
      <c r="E4450" s="94"/>
      <c r="G4450" s="94"/>
      <c r="I4450" s="94"/>
      <c r="K4450" s="94"/>
      <c r="M4450" s="94"/>
    </row>
    <row r="4451" s="93" customFormat="1" spans="3:13">
      <c r="C4451" s="94"/>
      <c r="E4451" s="94"/>
      <c r="G4451" s="94"/>
      <c r="I4451" s="94"/>
      <c r="K4451" s="94"/>
      <c r="M4451" s="94"/>
    </row>
    <row r="4452" s="93" customFormat="1" spans="3:13">
      <c r="C4452" s="94"/>
      <c r="E4452" s="94"/>
      <c r="G4452" s="94"/>
      <c r="I4452" s="94"/>
      <c r="K4452" s="94"/>
      <c r="M4452" s="94"/>
    </row>
    <row r="4453" s="93" customFormat="1" spans="3:13">
      <c r="C4453" s="94"/>
      <c r="E4453" s="94"/>
      <c r="G4453" s="94"/>
      <c r="I4453" s="94"/>
      <c r="K4453" s="94"/>
      <c r="M4453" s="94"/>
    </row>
    <row r="4454" s="93" customFormat="1" spans="3:13">
      <c r="C4454" s="94"/>
      <c r="E4454" s="94"/>
      <c r="G4454" s="94"/>
      <c r="I4454" s="94"/>
      <c r="K4454" s="94"/>
      <c r="M4454" s="94"/>
    </row>
    <row r="4455" s="93" customFormat="1" spans="3:13">
      <c r="C4455" s="94"/>
      <c r="E4455" s="94"/>
      <c r="G4455" s="94"/>
      <c r="I4455" s="94"/>
      <c r="K4455" s="94"/>
      <c r="M4455" s="94"/>
    </row>
    <row r="4456" s="93" customFormat="1" spans="3:13">
      <c r="C4456" s="94"/>
      <c r="E4456" s="94"/>
      <c r="G4456" s="94"/>
      <c r="I4456" s="94"/>
      <c r="K4456" s="94"/>
      <c r="M4456" s="94"/>
    </row>
    <row r="4457" s="93" customFormat="1" spans="3:13">
      <c r="C4457" s="94"/>
      <c r="E4457" s="94"/>
      <c r="G4457" s="94"/>
      <c r="I4457" s="94"/>
      <c r="K4457" s="94"/>
      <c r="M4457" s="94"/>
    </row>
    <row r="4458" s="93" customFormat="1" spans="3:13">
      <c r="C4458" s="94"/>
      <c r="E4458" s="94"/>
      <c r="G4458" s="94"/>
      <c r="I4458" s="94"/>
      <c r="K4458" s="94"/>
      <c r="M4458" s="94"/>
    </row>
    <row r="4459" s="93" customFormat="1" spans="3:13">
      <c r="C4459" s="94"/>
      <c r="E4459" s="94"/>
      <c r="G4459" s="94"/>
      <c r="I4459" s="94"/>
      <c r="K4459" s="94"/>
      <c r="M4459" s="94"/>
    </row>
    <row r="4460" s="93" customFormat="1" spans="3:13">
      <c r="C4460" s="94"/>
      <c r="E4460" s="94"/>
      <c r="G4460" s="94"/>
      <c r="I4460" s="94"/>
      <c r="K4460" s="94"/>
      <c r="M4460" s="94"/>
    </row>
    <row r="4461" s="93" customFormat="1" spans="3:13">
      <c r="C4461" s="94"/>
      <c r="E4461" s="94"/>
      <c r="G4461" s="94"/>
      <c r="I4461" s="94"/>
      <c r="K4461" s="94"/>
      <c r="M4461" s="94"/>
    </row>
    <row r="4462" s="93" customFormat="1" spans="3:13">
      <c r="C4462" s="94"/>
      <c r="E4462" s="94"/>
      <c r="G4462" s="94"/>
      <c r="I4462" s="94"/>
      <c r="K4462" s="94"/>
      <c r="M4462" s="94"/>
    </row>
    <row r="4463" s="93" customFormat="1" spans="3:13">
      <c r="C4463" s="94"/>
      <c r="E4463" s="94"/>
      <c r="G4463" s="94"/>
      <c r="I4463" s="94"/>
      <c r="K4463" s="94"/>
      <c r="M4463" s="94"/>
    </row>
    <row r="4464" s="93" customFormat="1" spans="3:13">
      <c r="C4464" s="94"/>
      <c r="E4464" s="94"/>
      <c r="G4464" s="94"/>
      <c r="I4464" s="94"/>
      <c r="K4464" s="94"/>
      <c r="M4464" s="94"/>
    </row>
    <row r="4465" s="93" customFormat="1" spans="3:13">
      <c r="C4465" s="94"/>
      <c r="E4465" s="94"/>
      <c r="G4465" s="94"/>
      <c r="I4465" s="94"/>
      <c r="K4465" s="94"/>
      <c r="M4465" s="94"/>
    </row>
    <row r="4466" s="93" customFormat="1" spans="3:13">
      <c r="C4466" s="94"/>
      <c r="E4466" s="94"/>
      <c r="G4466" s="94"/>
      <c r="I4466" s="94"/>
      <c r="K4466" s="94"/>
      <c r="M4466" s="94"/>
    </row>
    <row r="4467" s="93" customFormat="1" spans="3:13">
      <c r="C4467" s="94"/>
      <c r="E4467" s="94"/>
      <c r="G4467" s="94"/>
      <c r="I4467" s="94"/>
      <c r="K4467" s="94"/>
      <c r="M4467" s="94"/>
    </row>
    <row r="4468" s="93" customFormat="1" spans="3:13">
      <c r="C4468" s="94"/>
      <c r="E4468" s="94"/>
      <c r="G4468" s="94"/>
      <c r="I4468" s="94"/>
      <c r="K4468" s="94"/>
      <c r="M4468" s="94"/>
    </row>
    <row r="4469" s="93" customFormat="1" spans="3:13">
      <c r="C4469" s="94"/>
      <c r="E4469" s="94"/>
      <c r="G4469" s="94"/>
      <c r="I4469" s="94"/>
      <c r="K4469" s="94"/>
      <c r="M4469" s="94"/>
    </row>
    <row r="4470" s="93" customFormat="1" spans="3:13">
      <c r="C4470" s="94"/>
      <c r="E4470" s="94"/>
      <c r="G4470" s="94"/>
      <c r="I4470" s="94"/>
      <c r="K4470" s="94"/>
      <c r="M4470" s="94"/>
    </row>
    <row r="4471" s="93" customFormat="1" spans="3:13">
      <c r="C4471" s="94"/>
      <c r="E4471" s="94"/>
      <c r="G4471" s="94"/>
      <c r="I4471" s="94"/>
      <c r="K4471" s="94"/>
      <c r="M4471" s="94"/>
    </row>
    <row r="4472" s="93" customFormat="1" spans="3:13">
      <c r="C4472" s="94"/>
      <c r="E4472" s="94"/>
      <c r="G4472" s="94"/>
      <c r="I4472" s="94"/>
      <c r="K4472" s="94"/>
      <c r="M4472" s="94"/>
    </row>
    <row r="4473" s="93" customFormat="1" spans="3:13">
      <c r="C4473" s="94"/>
      <c r="E4473" s="94"/>
      <c r="G4473" s="94"/>
      <c r="I4473" s="94"/>
      <c r="K4473" s="94"/>
      <c r="M4473" s="94"/>
    </row>
    <row r="4474" s="93" customFormat="1" spans="3:13">
      <c r="C4474" s="94"/>
      <c r="E4474" s="94"/>
      <c r="G4474" s="94"/>
      <c r="I4474" s="94"/>
      <c r="K4474" s="94"/>
      <c r="M4474" s="94"/>
    </row>
    <row r="4475" s="93" customFormat="1" spans="3:13">
      <c r="C4475" s="94"/>
      <c r="E4475" s="94"/>
      <c r="G4475" s="94"/>
      <c r="I4475" s="94"/>
      <c r="K4475" s="94"/>
      <c r="M4475" s="94"/>
    </row>
    <row r="4476" s="93" customFormat="1" spans="3:13">
      <c r="C4476" s="94"/>
      <c r="E4476" s="94"/>
      <c r="G4476" s="94"/>
      <c r="I4476" s="94"/>
      <c r="K4476" s="94"/>
      <c r="M4476" s="94"/>
    </row>
    <row r="4477" s="93" customFormat="1" spans="3:13">
      <c r="C4477" s="94"/>
      <c r="E4477" s="94"/>
      <c r="G4477" s="94"/>
      <c r="I4477" s="94"/>
      <c r="K4477" s="94"/>
      <c r="M4477" s="94"/>
    </row>
    <row r="4478" s="93" customFormat="1" spans="3:13">
      <c r="C4478" s="94"/>
      <c r="E4478" s="94"/>
      <c r="G4478" s="94"/>
      <c r="I4478" s="94"/>
      <c r="K4478" s="94"/>
      <c r="M4478" s="94"/>
    </row>
    <row r="4479" s="93" customFormat="1" spans="3:13">
      <c r="C4479" s="94"/>
      <c r="E4479" s="94"/>
      <c r="G4479" s="94"/>
      <c r="I4479" s="94"/>
      <c r="K4479" s="94"/>
      <c r="M4479" s="94"/>
    </row>
    <row r="4480" s="93" customFormat="1" spans="3:13">
      <c r="C4480" s="94"/>
      <c r="E4480" s="94"/>
      <c r="G4480" s="94"/>
      <c r="I4480" s="94"/>
      <c r="K4480" s="94"/>
      <c r="M4480" s="94"/>
    </row>
    <row r="4481" s="93" customFormat="1" spans="3:13">
      <c r="C4481" s="94"/>
      <c r="E4481" s="94"/>
      <c r="G4481" s="94"/>
      <c r="I4481" s="94"/>
      <c r="K4481" s="94"/>
      <c r="M4481" s="94"/>
    </row>
    <row r="4482" s="93" customFormat="1" spans="3:13">
      <c r="C4482" s="94"/>
      <c r="E4482" s="94"/>
      <c r="G4482" s="94"/>
      <c r="I4482" s="94"/>
      <c r="K4482" s="94"/>
      <c r="M4482" s="94"/>
    </row>
    <row r="4483" s="93" customFormat="1" spans="3:13">
      <c r="C4483" s="94"/>
      <c r="E4483" s="94"/>
      <c r="G4483" s="94"/>
      <c r="I4483" s="94"/>
      <c r="K4483" s="94"/>
      <c r="M4483" s="94"/>
    </row>
    <row r="4484" s="93" customFormat="1" spans="3:13">
      <c r="C4484" s="94"/>
      <c r="E4484" s="94"/>
      <c r="G4484" s="94"/>
      <c r="I4484" s="94"/>
      <c r="K4484" s="94"/>
      <c r="M4484" s="94"/>
    </row>
    <row r="4485" s="93" customFormat="1" spans="3:13">
      <c r="C4485" s="94"/>
      <c r="E4485" s="94"/>
      <c r="G4485" s="94"/>
      <c r="I4485" s="94"/>
      <c r="K4485" s="94"/>
      <c r="M4485" s="94"/>
    </row>
    <row r="4486" s="93" customFormat="1" spans="3:13">
      <c r="C4486" s="94"/>
      <c r="E4486" s="94"/>
      <c r="G4486" s="94"/>
      <c r="I4486" s="94"/>
      <c r="K4486" s="94"/>
      <c r="M4486" s="94"/>
    </row>
    <row r="4487" s="93" customFormat="1" spans="3:13">
      <c r="C4487" s="94"/>
      <c r="E4487" s="94"/>
      <c r="G4487" s="94"/>
      <c r="I4487" s="94"/>
      <c r="K4487" s="94"/>
      <c r="M4487" s="94"/>
    </row>
    <row r="4488" s="93" customFormat="1" spans="3:13">
      <c r="C4488" s="94"/>
      <c r="E4488" s="94"/>
      <c r="G4488" s="94"/>
      <c r="I4488" s="94"/>
      <c r="K4488" s="94"/>
      <c r="M4488" s="94"/>
    </row>
    <row r="4489" s="93" customFormat="1" spans="3:13">
      <c r="C4489" s="94"/>
      <c r="E4489" s="94"/>
      <c r="G4489" s="94"/>
      <c r="I4489" s="94"/>
      <c r="K4489" s="94"/>
      <c r="M4489" s="94"/>
    </row>
    <row r="4490" s="93" customFormat="1" spans="3:13">
      <c r="C4490" s="94"/>
      <c r="E4490" s="94"/>
      <c r="G4490" s="94"/>
      <c r="I4490" s="94"/>
      <c r="K4490" s="94"/>
      <c r="M4490" s="94"/>
    </row>
    <row r="4491" s="93" customFormat="1" spans="3:13">
      <c r="C4491" s="94"/>
      <c r="E4491" s="94"/>
      <c r="G4491" s="94"/>
      <c r="I4491" s="94"/>
      <c r="K4491" s="94"/>
      <c r="M4491" s="94"/>
    </row>
    <row r="4492" s="93" customFormat="1" spans="3:13">
      <c r="C4492" s="94"/>
      <c r="E4492" s="94"/>
      <c r="G4492" s="94"/>
      <c r="I4492" s="94"/>
      <c r="K4492" s="94"/>
      <c r="M4492" s="94"/>
    </row>
    <row r="4493" s="93" customFormat="1" spans="3:13">
      <c r="C4493" s="94"/>
      <c r="E4493" s="94"/>
      <c r="G4493" s="94"/>
      <c r="I4493" s="94"/>
      <c r="K4493" s="94"/>
      <c r="M4493" s="94"/>
    </row>
    <row r="4494" s="93" customFormat="1" spans="3:13">
      <c r="C4494" s="94"/>
      <c r="E4494" s="94"/>
      <c r="G4494" s="94"/>
      <c r="I4494" s="94"/>
      <c r="K4494" s="94"/>
      <c r="M4494" s="94"/>
    </row>
    <row r="4495" s="93" customFormat="1" spans="3:13">
      <c r="C4495" s="94"/>
      <c r="E4495" s="94"/>
      <c r="G4495" s="94"/>
      <c r="I4495" s="94"/>
      <c r="K4495" s="94"/>
      <c r="M4495" s="94"/>
    </row>
    <row r="4496" s="93" customFormat="1" spans="3:13">
      <c r="C4496" s="94"/>
      <c r="E4496" s="94"/>
      <c r="G4496" s="94"/>
      <c r="I4496" s="94"/>
      <c r="K4496" s="94"/>
      <c r="M4496" s="94"/>
    </row>
    <row r="4497" s="93" customFormat="1" spans="3:13">
      <c r="C4497" s="94"/>
      <c r="E4497" s="94"/>
      <c r="G4497" s="94"/>
      <c r="I4497" s="94"/>
      <c r="K4497" s="94"/>
      <c r="M4497" s="94"/>
    </row>
    <row r="4498" s="93" customFormat="1" spans="3:13">
      <c r="C4498" s="94"/>
      <c r="E4498" s="94"/>
      <c r="G4498" s="94"/>
      <c r="I4498" s="94"/>
      <c r="K4498" s="94"/>
      <c r="M4498" s="94"/>
    </row>
    <row r="4499" s="93" customFormat="1" spans="3:13">
      <c r="C4499" s="94"/>
      <c r="E4499" s="94"/>
      <c r="G4499" s="94"/>
      <c r="I4499" s="94"/>
      <c r="K4499" s="94"/>
      <c r="M4499" s="94"/>
    </row>
    <row r="4500" s="93" customFormat="1" spans="3:13">
      <c r="C4500" s="94"/>
      <c r="E4500" s="94"/>
      <c r="G4500" s="94"/>
      <c r="I4500" s="94"/>
      <c r="K4500" s="94"/>
      <c r="M4500" s="94"/>
    </row>
    <row r="4501" s="93" customFormat="1" spans="3:13">
      <c r="C4501" s="94"/>
      <c r="E4501" s="94"/>
      <c r="G4501" s="94"/>
      <c r="I4501" s="94"/>
      <c r="K4501" s="94"/>
      <c r="M4501" s="94"/>
    </row>
    <row r="4502" s="93" customFormat="1" spans="3:13">
      <c r="C4502" s="94"/>
      <c r="E4502" s="94"/>
      <c r="G4502" s="94"/>
      <c r="I4502" s="94"/>
      <c r="K4502" s="94"/>
      <c r="M4502" s="94"/>
    </row>
    <row r="4503" s="93" customFormat="1" spans="3:13">
      <c r="C4503" s="94"/>
      <c r="E4503" s="94"/>
      <c r="G4503" s="94"/>
      <c r="I4503" s="94"/>
      <c r="K4503" s="94"/>
      <c r="M4503" s="94"/>
    </row>
    <row r="4504" s="93" customFormat="1" spans="3:13">
      <c r="C4504" s="94"/>
      <c r="E4504" s="94"/>
      <c r="G4504" s="94"/>
      <c r="I4504" s="94"/>
      <c r="K4504" s="94"/>
      <c r="M4504" s="94"/>
    </row>
    <row r="4505" s="93" customFormat="1" spans="3:13">
      <c r="C4505" s="94"/>
      <c r="E4505" s="94"/>
      <c r="G4505" s="94"/>
      <c r="I4505" s="94"/>
      <c r="K4505" s="94"/>
      <c r="M4505" s="94"/>
    </row>
    <row r="4506" s="93" customFormat="1" spans="3:13">
      <c r="C4506" s="94"/>
      <c r="E4506" s="94"/>
      <c r="G4506" s="94"/>
      <c r="I4506" s="94"/>
      <c r="K4506" s="94"/>
      <c r="M4506" s="94"/>
    </row>
    <row r="4507" s="93" customFormat="1" spans="3:13">
      <c r="C4507" s="94"/>
      <c r="E4507" s="94"/>
      <c r="G4507" s="94"/>
      <c r="I4507" s="94"/>
      <c r="K4507" s="94"/>
      <c r="M4507" s="94"/>
    </row>
    <row r="4508" s="93" customFormat="1" spans="3:13">
      <c r="C4508" s="94"/>
      <c r="E4508" s="94"/>
      <c r="G4508" s="94"/>
      <c r="I4508" s="94"/>
      <c r="K4508" s="94"/>
      <c r="M4508" s="94"/>
    </row>
    <row r="4509" s="93" customFormat="1" spans="3:13">
      <c r="C4509" s="94"/>
      <c r="E4509" s="94"/>
      <c r="G4509" s="94"/>
      <c r="I4509" s="94"/>
      <c r="K4509" s="94"/>
      <c r="M4509" s="94"/>
    </row>
    <row r="4510" s="93" customFormat="1" spans="3:13">
      <c r="C4510" s="94"/>
      <c r="E4510" s="94"/>
      <c r="G4510" s="94"/>
      <c r="I4510" s="94"/>
      <c r="K4510" s="94"/>
      <c r="M4510" s="94"/>
    </row>
    <row r="4511" s="93" customFormat="1" spans="3:13">
      <c r="C4511" s="94"/>
      <c r="E4511" s="94"/>
      <c r="G4511" s="94"/>
      <c r="I4511" s="94"/>
      <c r="K4511" s="94"/>
      <c r="M4511" s="94"/>
    </row>
    <row r="4512" s="93" customFormat="1" spans="3:13">
      <c r="C4512" s="94"/>
      <c r="E4512" s="94"/>
      <c r="G4512" s="94"/>
      <c r="I4512" s="94"/>
      <c r="K4512" s="94"/>
      <c r="M4512" s="94"/>
    </row>
    <row r="4513" s="93" customFormat="1" spans="3:13">
      <c r="C4513" s="94"/>
      <c r="E4513" s="94"/>
      <c r="G4513" s="94"/>
      <c r="I4513" s="94"/>
      <c r="K4513" s="94"/>
      <c r="M4513" s="94"/>
    </row>
    <row r="4514" s="93" customFormat="1" spans="3:13">
      <c r="C4514" s="94"/>
      <c r="E4514" s="94"/>
      <c r="G4514" s="94"/>
      <c r="I4514" s="94"/>
      <c r="K4514" s="94"/>
      <c r="M4514" s="94"/>
    </row>
    <row r="4515" s="93" customFormat="1" spans="3:13">
      <c r="C4515" s="94"/>
      <c r="E4515" s="94"/>
      <c r="G4515" s="94"/>
      <c r="I4515" s="94"/>
      <c r="K4515" s="94"/>
      <c r="M4515" s="94"/>
    </row>
    <row r="4516" s="93" customFormat="1" spans="3:13">
      <c r="C4516" s="94"/>
      <c r="E4516" s="94"/>
      <c r="G4516" s="94"/>
      <c r="I4516" s="94"/>
      <c r="K4516" s="94"/>
      <c r="M4516" s="94"/>
    </row>
    <row r="4517" s="93" customFormat="1" spans="3:13">
      <c r="C4517" s="94"/>
      <c r="E4517" s="94"/>
      <c r="G4517" s="94"/>
      <c r="I4517" s="94"/>
      <c r="K4517" s="94"/>
      <c r="M4517" s="94"/>
    </row>
    <row r="4518" s="93" customFormat="1" spans="3:13">
      <c r="C4518" s="94"/>
      <c r="E4518" s="94"/>
      <c r="G4518" s="94"/>
      <c r="I4518" s="94"/>
      <c r="K4518" s="94"/>
      <c r="M4518" s="94"/>
    </row>
    <row r="4519" s="93" customFormat="1" spans="3:13">
      <c r="C4519" s="94"/>
      <c r="E4519" s="94"/>
      <c r="G4519" s="94"/>
      <c r="I4519" s="94"/>
      <c r="K4519" s="94"/>
      <c r="M4519" s="94"/>
    </row>
    <row r="4520" s="93" customFormat="1" spans="3:13">
      <c r="C4520" s="94"/>
      <c r="E4520" s="94"/>
      <c r="G4520" s="94"/>
      <c r="I4520" s="94"/>
      <c r="K4520" s="94"/>
      <c r="M4520" s="94"/>
    </row>
    <row r="4521" s="93" customFormat="1" spans="3:13">
      <c r="C4521" s="94"/>
      <c r="E4521" s="94"/>
      <c r="G4521" s="94"/>
      <c r="I4521" s="94"/>
      <c r="K4521" s="94"/>
      <c r="M4521" s="94"/>
    </row>
    <row r="4522" s="93" customFormat="1" spans="3:13">
      <c r="C4522" s="94"/>
      <c r="E4522" s="94"/>
      <c r="G4522" s="94"/>
      <c r="I4522" s="94"/>
      <c r="K4522" s="94"/>
      <c r="M4522" s="94"/>
    </row>
    <row r="4523" s="93" customFormat="1" spans="3:13">
      <c r="C4523" s="94"/>
      <c r="E4523" s="94"/>
      <c r="G4523" s="94"/>
      <c r="I4523" s="94"/>
      <c r="K4523" s="94"/>
      <c r="M4523" s="94"/>
    </row>
    <row r="4524" s="93" customFormat="1" spans="3:13">
      <c r="C4524" s="94"/>
      <c r="E4524" s="94"/>
      <c r="G4524" s="94"/>
      <c r="I4524" s="94"/>
      <c r="K4524" s="94"/>
      <c r="M4524" s="94"/>
    </row>
    <row r="4525" s="93" customFormat="1" spans="3:13">
      <c r="C4525" s="94"/>
      <c r="E4525" s="94"/>
      <c r="G4525" s="94"/>
      <c r="I4525" s="94"/>
      <c r="K4525" s="94"/>
      <c r="M4525" s="94"/>
    </row>
    <row r="4526" s="93" customFormat="1" spans="3:13">
      <c r="C4526" s="94"/>
      <c r="E4526" s="94"/>
      <c r="G4526" s="94"/>
      <c r="I4526" s="94"/>
      <c r="K4526" s="94"/>
      <c r="M4526" s="94"/>
    </row>
    <row r="4527" s="93" customFormat="1" spans="3:13">
      <c r="C4527" s="94"/>
      <c r="E4527" s="94"/>
      <c r="G4527" s="94"/>
      <c r="I4527" s="94"/>
      <c r="K4527" s="94"/>
      <c r="M4527" s="94"/>
    </row>
    <row r="4528" s="93" customFormat="1" spans="3:13">
      <c r="C4528" s="94"/>
      <c r="E4528" s="94"/>
      <c r="G4528" s="94"/>
      <c r="I4528" s="94"/>
      <c r="K4528" s="94"/>
      <c r="M4528" s="94"/>
    </row>
    <row r="4529" s="93" customFormat="1" spans="3:13">
      <c r="C4529" s="94"/>
      <c r="E4529" s="94"/>
      <c r="G4529" s="94"/>
      <c r="I4529" s="94"/>
      <c r="K4529" s="94"/>
      <c r="M4529" s="94"/>
    </row>
    <row r="4530" s="93" customFormat="1" spans="3:13">
      <c r="C4530" s="94"/>
      <c r="E4530" s="94"/>
      <c r="G4530" s="94"/>
      <c r="I4530" s="94"/>
      <c r="K4530" s="94"/>
      <c r="M4530" s="94"/>
    </row>
    <row r="4531" s="93" customFormat="1" spans="3:13">
      <c r="C4531" s="94"/>
      <c r="E4531" s="94"/>
      <c r="G4531" s="94"/>
      <c r="I4531" s="94"/>
      <c r="K4531" s="94"/>
      <c r="M4531" s="94"/>
    </row>
    <row r="4532" s="93" customFormat="1" spans="3:13">
      <c r="C4532" s="94"/>
      <c r="E4532" s="94"/>
      <c r="G4532" s="94"/>
      <c r="I4532" s="94"/>
      <c r="K4532" s="94"/>
      <c r="M4532" s="94"/>
    </row>
    <row r="4533" s="93" customFormat="1" spans="3:13">
      <c r="C4533" s="94"/>
      <c r="E4533" s="94"/>
      <c r="G4533" s="94"/>
      <c r="I4533" s="94"/>
      <c r="K4533" s="94"/>
      <c r="M4533" s="94"/>
    </row>
    <row r="4534" s="93" customFormat="1" spans="3:13">
      <c r="C4534" s="94"/>
      <c r="E4534" s="94"/>
      <c r="G4534" s="94"/>
      <c r="I4534" s="94"/>
      <c r="K4534" s="94"/>
      <c r="M4534" s="94"/>
    </row>
    <row r="4535" s="93" customFormat="1" spans="3:13">
      <c r="C4535" s="94"/>
      <c r="E4535" s="94"/>
      <c r="G4535" s="94"/>
      <c r="I4535" s="94"/>
      <c r="K4535" s="94"/>
      <c r="M4535" s="94"/>
    </row>
    <row r="4536" s="93" customFormat="1" spans="3:13">
      <c r="C4536" s="94"/>
      <c r="E4536" s="94"/>
      <c r="G4536" s="94"/>
      <c r="I4536" s="94"/>
      <c r="K4536" s="94"/>
      <c r="M4536" s="94"/>
    </row>
    <row r="4537" s="93" customFormat="1" spans="3:13">
      <c r="C4537" s="94"/>
      <c r="E4537" s="94"/>
      <c r="G4537" s="94"/>
      <c r="I4537" s="94"/>
      <c r="K4537" s="94"/>
      <c r="M4537" s="94"/>
    </row>
    <row r="4538" s="93" customFormat="1" spans="3:13">
      <c r="C4538" s="94"/>
      <c r="E4538" s="94"/>
      <c r="G4538" s="94"/>
      <c r="I4538" s="94"/>
      <c r="K4538" s="94"/>
      <c r="M4538" s="94"/>
    </row>
    <row r="4539" s="93" customFormat="1" spans="3:13">
      <c r="C4539" s="94"/>
      <c r="E4539" s="94"/>
      <c r="G4539" s="94"/>
      <c r="I4539" s="94"/>
      <c r="K4539" s="94"/>
      <c r="M4539" s="94"/>
    </row>
    <row r="4540" s="93" customFormat="1" spans="3:13">
      <c r="C4540" s="94"/>
      <c r="E4540" s="94"/>
      <c r="G4540" s="94"/>
      <c r="I4540" s="94"/>
      <c r="K4540" s="94"/>
      <c r="M4540" s="94"/>
    </row>
    <row r="4541" s="93" customFormat="1" spans="3:13">
      <c r="C4541" s="94"/>
      <c r="E4541" s="94"/>
      <c r="G4541" s="94"/>
      <c r="I4541" s="94"/>
      <c r="K4541" s="94"/>
      <c r="M4541" s="94"/>
    </row>
    <row r="4542" s="93" customFormat="1" spans="3:13">
      <c r="C4542" s="94"/>
      <c r="E4542" s="94"/>
      <c r="G4542" s="94"/>
      <c r="I4542" s="94"/>
      <c r="K4542" s="94"/>
      <c r="M4542" s="94"/>
    </row>
    <row r="4543" s="93" customFormat="1" spans="3:13">
      <c r="C4543" s="94"/>
      <c r="E4543" s="94"/>
      <c r="G4543" s="94"/>
      <c r="I4543" s="94"/>
      <c r="K4543" s="94"/>
      <c r="M4543" s="94"/>
    </row>
    <row r="4544" s="93" customFormat="1" spans="3:13">
      <c r="C4544" s="94"/>
      <c r="E4544" s="94"/>
      <c r="G4544" s="94"/>
      <c r="I4544" s="94"/>
      <c r="K4544" s="94"/>
      <c r="M4544" s="94"/>
    </row>
    <row r="4545" s="93" customFormat="1" spans="3:13">
      <c r="C4545" s="94"/>
      <c r="E4545" s="94"/>
      <c r="G4545" s="94"/>
      <c r="I4545" s="94"/>
      <c r="K4545" s="94"/>
      <c r="M4545" s="94"/>
    </row>
    <row r="4546" s="93" customFormat="1" spans="3:13">
      <c r="C4546" s="94"/>
      <c r="E4546" s="94"/>
      <c r="G4546" s="94"/>
      <c r="I4546" s="94"/>
      <c r="K4546" s="94"/>
      <c r="M4546" s="94"/>
    </row>
    <row r="4547" s="93" customFormat="1" spans="3:13">
      <c r="C4547" s="94"/>
      <c r="E4547" s="94"/>
      <c r="G4547" s="94"/>
      <c r="I4547" s="94"/>
      <c r="K4547" s="94"/>
      <c r="M4547" s="94"/>
    </row>
    <row r="4548" s="93" customFormat="1" spans="3:13">
      <c r="C4548" s="94"/>
      <c r="E4548" s="94"/>
      <c r="G4548" s="94"/>
      <c r="I4548" s="94"/>
      <c r="K4548" s="94"/>
      <c r="M4548" s="94"/>
    </row>
    <row r="4549" s="93" customFormat="1" spans="3:13">
      <c r="C4549" s="94"/>
      <c r="E4549" s="94"/>
      <c r="G4549" s="94"/>
      <c r="I4549" s="94"/>
      <c r="K4549" s="94"/>
      <c r="M4549" s="94"/>
    </row>
    <row r="4550" s="93" customFormat="1" spans="3:13">
      <c r="C4550" s="94"/>
      <c r="E4550" s="94"/>
      <c r="G4550" s="94"/>
      <c r="I4550" s="94"/>
      <c r="K4550" s="94"/>
      <c r="M4550" s="94"/>
    </row>
    <row r="4551" s="93" customFormat="1" spans="3:13">
      <c r="C4551" s="94"/>
      <c r="E4551" s="94"/>
      <c r="G4551" s="94"/>
      <c r="I4551" s="94"/>
      <c r="K4551" s="94"/>
      <c r="M4551" s="94"/>
    </row>
    <row r="4552" s="93" customFormat="1" spans="3:13">
      <c r="C4552" s="94"/>
      <c r="E4552" s="94"/>
      <c r="G4552" s="94"/>
      <c r="I4552" s="94"/>
      <c r="K4552" s="94"/>
      <c r="M4552" s="94"/>
    </row>
    <row r="4553" s="93" customFormat="1" spans="3:13">
      <c r="C4553" s="94"/>
      <c r="E4553" s="94"/>
      <c r="G4553" s="94"/>
      <c r="I4553" s="94"/>
      <c r="K4553" s="94"/>
      <c r="M4553" s="94"/>
    </row>
    <row r="4554" s="93" customFormat="1" spans="3:13">
      <c r="C4554" s="94"/>
      <c r="E4554" s="94"/>
      <c r="G4554" s="94"/>
      <c r="I4554" s="94"/>
      <c r="K4554" s="94"/>
      <c r="M4554" s="94"/>
    </row>
    <row r="4555" s="93" customFormat="1" spans="3:13">
      <c r="C4555" s="94"/>
      <c r="E4555" s="94"/>
      <c r="G4555" s="94"/>
      <c r="I4555" s="94"/>
      <c r="K4555" s="94"/>
      <c r="M4555" s="94"/>
    </row>
    <row r="4556" s="93" customFormat="1" spans="3:13">
      <c r="C4556" s="94"/>
      <c r="E4556" s="94"/>
      <c r="G4556" s="94"/>
      <c r="I4556" s="94"/>
      <c r="K4556" s="94"/>
      <c r="M4556" s="94"/>
    </row>
    <row r="4557" s="93" customFormat="1" spans="3:13">
      <c r="C4557" s="94"/>
      <c r="E4557" s="94"/>
      <c r="G4557" s="94"/>
      <c r="I4557" s="94"/>
      <c r="K4557" s="94"/>
      <c r="M4557" s="94"/>
    </row>
    <row r="4558" s="93" customFormat="1" spans="3:13">
      <c r="C4558" s="94"/>
      <c r="E4558" s="94"/>
      <c r="G4558" s="94"/>
      <c r="I4558" s="94"/>
      <c r="K4558" s="94"/>
      <c r="M4558" s="94"/>
    </row>
    <row r="4559" s="93" customFormat="1" spans="3:13">
      <c r="C4559" s="94"/>
      <c r="E4559" s="94"/>
      <c r="G4559" s="94"/>
      <c r="I4559" s="94"/>
      <c r="K4559" s="94"/>
      <c r="M4559" s="94"/>
    </row>
    <row r="4560" s="93" customFormat="1" spans="3:13">
      <c r="C4560" s="94"/>
      <c r="E4560" s="94"/>
      <c r="G4560" s="94"/>
      <c r="I4560" s="94"/>
      <c r="K4560" s="94"/>
      <c r="M4560" s="94"/>
    </row>
    <row r="4561" s="93" customFormat="1" spans="3:13">
      <c r="C4561" s="94"/>
      <c r="E4561" s="94"/>
      <c r="G4561" s="94"/>
      <c r="I4561" s="94"/>
      <c r="K4561" s="94"/>
      <c r="M4561" s="94"/>
    </row>
    <row r="4562" s="93" customFormat="1" spans="3:13">
      <c r="C4562" s="94"/>
      <c r="E4562" s="94"/>
      <c r="G4562" s="94"/>
      <c r="I4562" s="94"/>
      <c r="K4562" s="94"/>
      <c r="M4562" s="94"/>
    </row>
    <row r="4563" s="93" customFormat="1" spans="3:13">
      <c r="C4563" s="94"/>
      <c r="E4563" s="94"/>
      <c r="G4563" s="94"/>
      <c r="I4563" s="94"/>
      <c r="K4563" s="94"/>
      <c r="M4563" s="94"/>
    </row>
    <row r="4564" s="93" customFormat="1" spans="3:13">
      <c r="C4564" s="94"/>
      <c r="E4564" s="94"/>
      <c r="G4564" s="94"/>
      <c r="I4564" s="94"/>
      <c r="K4564" s="94"/>
      <c r="M4564" s="94"/>
    </row>
    <row r="4565" s="93" customFormat="1" spans="3:13">
      <c r="C4565" s="94"/>
      <c r="E4565" s="94"/>
      <c r="G4565" s="94"/>
      <c r="I4565" s="94"/>
      <c r="K4565" s="94"/>
      <c r="M4565" s="94"/>
    </row>
    <row r="4566" s="93" customFormat="1" spans="3:13">
      <c r="C4566" s="94"/>
      <c r="E4566" s="94"/>
      <c r="G4566" s="94"/>
      <c r="I4566" s="94"/>
      <c r="K4566" s="94"/>
      <c r="M4566" s="94"/>
    </row>
    <row r="4567" s="93" customFormat="1" spans="3:13">
      <c r="C4567" s="94"/>
      <c r="E4567" s="94"/>
      <c r="G4567" s="94"/>
      <c r="I4567" s="94"/>
      <c r="K4567" s="94"/>
      <c r="M4567" s="94"/>
    </row>
    <row r="4568" s="93" customFormat="1" spans="3:13">
      <c r="C4568" s="94"/>
      <c r="E4568" s="94"/>
      <c r="G4568" s="94"/>
      <c r="I4568" s="94"/>
      <c r="K4568" s="94"/>
      <c r="M4568" s="94"/>
    </row>
    <row r="4569" s="93" customFormat="1" spans="3:13">
      <c r="C4569" s="94"/>
      <c r="E4569" s="94"/>
      <c r="G4569" s="94"/>
      <c r="I4569" s="94"/>
      <c r="K4569" s="94"/>
      <c r="M4569" s="94"/>
    </row>
    <row r="4570" s="93" customFormat="1" spans="3:13">
      <c r="C4570" s="94"/>
      <c r="E4570" s="94"/>
      <c r="G4570" s="94"/>
      <c r="I4570" s="94"/>
      <c r="K4570" s="94"/>
      <c r="M4570" s="94"/>
    </row>
    <row r="4571" s="93" customFormat="1" spans="3:13">
      <c r="C4571" s="94"/>
      <c r="E4571" s="94"/>
      <c r="G4571" s="94"/>
      <c r="I4571" s="94"/>
      <c r="K4571" s="94"/>
      <c r="M4571" s="94"/>
    </row>
    <row r="4572" s="93" customFormat="1" spans="3:13">
      <c r="C4572" s="94"/>
      <c r="E4572" s="94"/>
      <c r="G4572" s="94"/>
      <c r="I4572" s="94"/>
      <c r="K4572" s="94"/>
      <c r="M4572" s="94"/>
    </row>
    <row r="4573" s="93" customFormat="1" spans="3:13">
      <c r="C4573" s="94"/>
      <c r="E4573" s="94"/>
      <c r="G4573" s="94"/>
      <c r="I4573" s="94"/>
      <c r="K4573" s="94"/>
      <c r="M4573" s="94"/>
    </row>
    <row r="4574" s="93" customFormat="1" spans="3:13">
      <c r="C4574" s="94"/>
      <c r="E4574" s="94"/>
      <c r="G4574" s="94"/>
      <c r="I4574" s="94"/>
      <c r="K4574" s="94"/>
      <c r="M4574" s="94"/>
    </row>
    <row r="4575" s="93" customFormat="1" spans="3:13">
      <c r="C4575" s="94"/>
      <c r="E4575" s="94"/>
      <c r="G4575" s="94"/>
      <c r="I4575" s="94"/>
      <c r="K4575" s="94"/>
      <c r="M4575" s="94"/>
    </row>
    <row r="4576" s="93" customFormat="1" spans="3:13">
      <c r="C4576" s="94"/>
      <c r="E4576" s="94"/>
      <c r="G4576" s="94"/>
      <c r="I4576" s="94"/>
      <c r="K4576" s="94"/>
      <c r="M4576" s="94"/>
    </row>
    <row r="4577" s="93" customFormat="1" spans="3:13">
      <c r="C4577" s="94"/>
      <c r="E4577" s="94"/>
      <c r="G4577" s="94"/>
      <c r="I4577" s="94"/>
      <c r="K4577" s="94"/>
      <c r="M4577" s="94"/>
    </row>
    <row r="4578" s="93" customFormat="1" spans="3:13">
      <c r="C4578" s="94"/>
      <c r="E4578" s="94"/>
      <c r="G4578" s="94"/>
      <c r="I4578" s="94"/>
      <c r="K4578" s="94"/>
      <c r="M4578" s="94"/>
    </row>
    <row r="4579" s="93" customFormat="1" spans="3:13">
      <c r="C4579" s="94"/>
      <c r="E4579" s="94"/>
      <c r="G4579" s="94"/>
      <c r="I4579" s="94"/>
      <c r="K4579" s="94"/>
      <c r="M4579" s="94"/>
    </row>
    <row r="4580" s="93" customFormat="1" spans="3:13">
      <c r="C4580" s="94"/>
      <c r="E4580" s="94"/>
      <c r="G4580" s="94"/>
      <c r="I4580" s="94"/>
      <c r="K4580" s="94"/>
      <c r="M4580" s="94"/>
    </row>
    <row r="4581" s="93" customFormat="1" spans="3:13">
      <c r="C4581" s="94"/>
      <c r="E4581" s="94"/>
      <c r="G4581" s="94"/>
      <c r="I4581" s="94"/>
      <c r="K4581" s="94"/>
      <c r="M4581" s="94"/>
    </row>
    <row r="4582" s="93" customFormat="1" spans="3:13">
      <c r="C4582" s="94"/>
      <c r="E4582" s="94"/>
      <c r="G4582" s="94"/>
      <c r="I4582" s="94"/>
      <c r="K4582" s="94"/>
      <c r="M4582" s="94"/>
    </row>
    <row r="4583" s="93" customFormat="1" spans="3:13">
      <c r="C4583" s="94"/>
      <c r="E4583" s="94"/>
      <c r="G4583" s="94"/>
      <c r="I4583" s="94"/>
      <c r="K4583" s="94"/>
      <c r="M4583" s="94"/>
    </row>
    <row r="4584" s="93" customFormat="1" spans="3:13">
      <c r="C4584" s="94"/>
      <c r="E4584" s="94"/>
      <c r="G4584" s="94"/>
      <c r="I4584" s="94"/>
      <c r="K4584" s="94"/>
      <c r="M4584" s="94"/>
    </row>
    <row r="4585" s="93" customFormat="1" spans="3:13">
      <c r="C4585" s="94"/>
      <c r="E4585" s="94"/>
      <c r="G4585" s="94"/>
      <c r="I4585" s="94"/>
      <c r="K4585" s="94"/>
      <c r="M4585" s="94"/>
    </row>
    <row r="4586" s="93" customFormat="1" spans="3:13">
      <c r="C4586" s="94"/>
      <c r="E4586" s="94"/>
      <c r="G4586" s="94"/>
      <c r="I4586" s="94"/>
      <c r="K4586" s="94"/>
      <c r="M4586" s="94"/>
    </row>
    <row r="4587" s="93" customFormat="1" spans="3:13">
      <c r="C4587" s="94"/>
      <c r="E4587" s="94"/>
      <c r="G4587" s="94"/>
      <c r="I4587" s="94"/>
      <c r="K4587" s="94"/>
      <c r="M4587" s="94"/>
    </row>
    <row r="4588" s="93" customFormat="1" spans="3:13">
      <c r="C4588" s="94"/>
      <c r="E4588" s="94"/>
      <c r="G4588" s="94"/>
      <c r="I4588" s="94"/>
      <c r="K4588" s="94"/>
      <c r="M4588" s="94"/>
    </row>
    <row r="4589" s="93" customFormat="1" spans="3:13">
      <c r="C4589" s="94"/>
      <c r="E4589" s="94"/>
      <c r="G4589" s="94"/>
      <c r="I4589" s="94"/>
      <c r="K4589" s="94"/>
      <c r="M4589" s="94"/>
    </row>
    <row r="4590" s="93" customFormat="1" spans="3:13">
      <c r="C4590" s="94"/>
      <c r="E4590" s="94"/>
      <c r="G4590" s="94"/>
      <c r="I4590" s="94"/>
      <c r="K4590" s="94"/>
      <c r="M4590" s="94"/>
    </row>
    <row r="4591" s="93" customFormat="1" spans="3:13">
      <c r="C4591" s="94"/>
      <c r="E4591" s="94"/>
      <c r="G4591" s="94"/>
      <c r="I4591" s="94"/>
      <c r="K4591" s="94"/>
      <c r="M4591" s="94"/>
    </row>
    <row r="4592" s="93" customFormat="1" spans="3:13">
      <c r="C4592" s="94"/>
      <c r="E4592" s="94"/>
      <c r="G4592" s="94"/>
      <c r="I4592" s="94"/>
      <c r="K4592" s="94"/>
      <c r="M4592" s="94"/>
    </row>
    <row r="4593" s="93" customFormat="1" spans="3:13">
      <c r="C4593" s="94"/>
      <c r="E4593" s="94"/>
      <c r="G4593" s="94"/>
      <c r="I4593" s="94"/>
      <c r="K4593" s="94"/>
      <c r="M4593" s="94"/>
    </row>
    <row r="4594" s="93" customFormat="1" spans="3:13">
      <c r="C4594" s="94"/>
      <c r="E4594" s="94"/>
      <c r="G4594" s="94"/>
      <c r="I4594" s="94"/>
      <c r="K4594" s="94"/>
      <c r="M4594" s="94"/>
    </row>
    <row r="4595" s="93" customFormat="1" spans="3:13">
      <c r="C4595" s="94"/>
      <c r="E4595" s="94"/>
      <c r="G4595" s="94"/>
      <c r="I4595" s="94"/>
      <c r="K4595" s="94"/>
      <c r="M4595" s="94"/>
    </row>
    <row r="4596" s="93" customFormat="1" spans="3:13">
      <c r="C4596" s="94"/>
      <c r="E4596" s="94"/>
      <c r="G4596" s="94"/>
      <c r="I4596" s="94"/>
      <c r="K4596" s="94"/>
      <c r="M4596" s="94"/>
    </row>
    <row r="4597" s="93" customFormat="1" spans="3:13">
      <c r="C4597" s="94"/>
      <c r="E4597" s="94"/>
      <c r="G4597" s="94"/>
      <c r="I4597" s="94"/>
      <c r="K4597" s="94"/>
      <c r="M4597" s="94"/>
    </row>
    <row r="4598" s="93" customFormat="1" spans="3:13">
      <c r="C4598" s="94"/>
      <c r="E4598" s="94"/>
      <c r="G4598" s="94"/>
      <c r="I4598" s="94"/>
      <c r="K4598" s="94"/>
      <c r="M4598" s="94"/>
    </row>
    <row r="4599" s="93" customFormat="1" spans="3:13">
      <c r="C4599" s="94"/>
      <c r="E4599" s="94"/>
      <c r="G4599" s="94"/>
      <c r="I4599" s="94"/>
      <c r="K4599" s="94"/>
      <c r="M4599" s="94"/>
    </row>
    <row r="4600" s="93" customFormat="1" spans="3:13">
      <c r="C4600" s="94"/>
      <c r="E4600" s="94"/>
      <c r="G4600" s="94"/>
      <c r="I4600" s="94"/>
      <c r="K4600" s="94"/>
      <c r="M4600" s="94"/>
    </row>
    <row r="4601" s="93" customFormat="1" spans="3:13">
      <c r="C4601" s="94"/>
      <c r="E4601" s="94"/>
      <c r="G4601" s="94"/>
      <c r="I4601" s="94"/>
      <c r="K4601" s="94"/>
      <c r="M4601" s="94"/>
    </row>
    <row r="4602" s="93" customFormat="1" spans="3:13">
      <c r="C4602" s="94"/>
      <c r="E4602" s="94"/>
      <c r="G4602" s="94"/>
      <c r="I4602" s="94"/>
      <c r="K4602" s="94"/>
      <c r="M4602" s="94"/>
    </row>
    <row r="4603" s="93" customFormat="1" spans="3:13">
      <c r="C4603" s="94"/>
      <c r="E4603" s="94"/>
      <c r="G4603" s="94"/>
      <c r="I4603" s="94"/>
      <c r="K4603" s="94"/>
      <c r="M4603" s="94"/>
    </row>
    <row r="4604" s="93" customFormat="1" spans="3:13">
      <c r="C4604" s="94"/>
      <c r="E4604" s="94"/>
      <c r="G4604" s="94"/>
      <c r="I4604" s="94"/>
      <c r="K4604" s="94"/>
      <c r="M4604" s="94"/>
    </row>
    <row r="4605" s="93" customFormat="1" spans="3:13">
      <c r="C4605" s="94"/>
      <c r="E4605" s="94"/>
      <c r="G4605" s="94"/>
      <c r="I4605" s="94"/>
      <c r="K4605" s="94"/>
      <c r="M4605" s="94"/>
    </row>
    <row r="4606" s="93" customFormat="1" spans="3:13">
      <c r="C4606" s="94"/>
      <c r="E4606" s="94"/>
      <c r="G4606" s="94"/>
      <c r="I4606" s="94"/>
      <c r="K4606" s="94"/>
      <c r="M4606" s="94"/>
    </row>
    <row r="4607" s="93" customFormat="1" spans="3:13">
      <c r="C4607" s="94"/>
      <c r="E4607" s="94"/>
      <c r="G4607" s="94"/>
      <c r="I4607" s="94"/>
      <c r="K4607" s="94"/>
      <c r="M4607" s="94"/>
    </row>
    <row r="4608" s="93" customFormat="1" spans="3:13">
      <c r="C4608" s="94"/>
      <c r="E4608" s="94"/>
      <c r="G4608" s="94"/>
      <c r="I4608" s="94"/>
      <c r="K4608" s="94"/>
      <c r="M4608" s="94"/>
    </row>
    <row r="4609" s="93" customFormat="1" spans="3:13">
      <c r="C4609" s="94"/>
      <c r="E4609" s="94"/>
      <c r="G4609" s="94"/>
      <c r="I4609" s="94"/>
      <c r="K4609" s="94"/>
      <c r="M4609" s="94"/>
    </row>
    <row r="4610" s="93" customFormat="1" spans="3:13">
      <c r="C4610" s="94"/>
      <c r="E4610" s="94"/>
      <c r="G4610" s="94"/>
      <c r="I4610" s="94"/>
      <c r="K4610" s="94"/>
      <c r="M4610" s="94"/>
    </row>
    <row r="4611" s="93" customFormat="1" spans="3:13">
      <c r="C4611" s="94"/>
      <c r="E4611" s="94"/>
      <c r="G4611" s="94"/>
      <c r="I4611" s="94"/>
      <c r="K4611" s="94"/>
      <c r="M4611" s="94"/>
    </row>
    <row r="4612" s="93" customFormat="1" spans="3:13">
      <c r="C4612" s="94"/>
      <c r="E4612" s="94"/>
      <c r="G4612" s="94"/>
      <c r="I4612" s="94"/>
      <c r="K4612" s="94"/>
      <c r="M4612" s="94"/>
    </row>
    <row r="4613" s="93" customFormat="1" spans="3:13">
      <c r="C4613" s="94"/>
      <c r="E4613" s="94"/>
      <c r="G4613" s="94"/>
      <c r="I4613" s="94"/>
      <c r="K4613" s="94"/>
      <c r="M4613" s="94"/>
    </row>
    <row r="4614" s="93" customFormat="1" spans="3:13">
      <c r="C4614" s="94"/>
      <c r="E4614" s="94"/>
      <c r="G4614" s="94"/>
      <c r="I4614" s="94"/>
      <c r="K4614" s="94"/>
      <c r="M4614" s="94"/>
    </row>
    <row r="4615" s="93" customFormat="1" spans="3:13">
      <c r="C4615" s="94"/>
      <c r="E4615" s="94"/>
      <c r="G4615" s="94"/>
      <c r="I4615" s="94"/>
      <c r="K4615" s="94"/>
      <c r="M4615" s="94"/>
    </row>
    <row r="4616" s="93" customFormat="1" spans="3:13">
      <c r="C4616" s="94"/>
      <c r="E4616" s="94"/>
      <c r="G4616" s="94"/>
      <c r="I4616" s="94"/>
      <c r="K4616" s="94"/>
      <c r="M4616" s="94"/>
    </row>
    <row r="4617" s="93" customFormat="1" spans="3:13">
      <c r="C4617" s="94"/>
      <c r="E4617" s="94"/>
      <c r="G4617" s="94"/>
      <c r="I4617" s="94"/>
      <c r="K4617" s="94"/>
      <c r="M4617" s="94"/>
    </row>
    <row r="4618" s="93" customFormat="1" spans="3:13">
      <c r="C4618" s="94"/>
      <c r="E4618" s="94"/>
      <c r="G4618" s="94"/>
      <c r="I4618" s="94"/>
      <c r="K4618" s="94"/>
      <c r="M4618" s="94"/>
    </row>
    <row r="4619" s="93" customFormat="1" spans="3:13">
      <c r="C4619" s="94"/>
      <c r="E4619" s="94"/>
      <c r="G4619" s="94"/>
      <c r="I4619" s="94"/>
      <c r="K4619" s="94"/>
      <c r="M4619" s="94"/>
    </row>
    <row r="4620" s="93" customFormat="1" spans="3:13">
      <c r="C4620" s="94"/>
      <c r="E4620" s="94"/>
      <c r="G4620" s="94"/>
      <c r="I4620" s="94"/>
      <c r="K4620" s="94"/>
      <c r="M4620" s="94"/>
    </row>
    <row r="4621" s="93" customFormat="1" spans="3:13">
      <c r="C4621" s="94"/>
      <c r="E4621" s="94"/>
      <c r="G4621" s="94"/>
      <c r="I4621" s="94"/>
      <c r="K4621" s="94"/>
      <c r="M4621" s="94"/>
    </row>
    <row r="4622" s="93" customFormat="1" spans="3:13">
      <c r="C4622" s="94"/>
      <c r="E4622" s="94"/>
      <c r="G4622" s="94"/>
      <c r="I4622" s="94"/>
      <c r="K4622" s="94"/>
      <c r="M4622" s="94"/>
    </row>
    <row r="4623" s="93" customFormat="1" spans="3:13">
      <c r="C4623" s="94"/>
      <c r="E4623" s="94"/>
      <c r="G4623" s="94"/>
      <c r="I4623" s="94"/>
      <c r="K4623" s="94"/>
      <c r="M4623" s="94"/>
    </row>
    <row r="4624" s="93" customFormat="1" spans="3:13">
      <c r="C4624" s="94"/>
      <c r="E4624" s="94"/>
      <c r="G4624" s="94"/>
      <c r="I4624" s="94"/>
      <c r="K4624" s="94"/>
      <c r="M4624" s="94"/>
    </row>
    <row r="4625" s="93" customFormat="1" spans="3:13">
      <c r="C4625" s="94"/>
      <c r="E4625" s="94"/>
      <c r="G4625" s="94"/>
      <c r="I4625" s="94"/>
      <c r="K4625" s="94"/>
      <c r="M4625" s="94"/>
    </row>
    <row r="4626" s="93" customFormat="1" spans="3:13">
      <c r="C4626" s="94"/>
      <c r="E4626" s="94"/>
      <c r="G4626" s="94"/>
      <c r="I4626" s="94"/>
      <c r="K4626" s="94"/>
      <c r="M4626" s="94"/>
    </row>
    <row r="4627" s="93" customFormat="1" spans="3:13">
      <c r="C4627" s="94"/>
      <c r="E4627" s="94"/>
      <c r="G4627" s="94"/>
      <c r="I4627" s="94"/>
      <c r="K4627" s="94"/>
      <c r="M4627" s="94"/>
    </row>
    <row r="4628" s="93" customFormat="1" spans="3:13">
      <c r="C4628" s="94"/>
      <c r="E4628" s="94"/>
      <c r="G4628" s="94"/>
      <c r="I4628" s="94"/>
      <c r="K4628" s="94"/>
      <c r="M4628" s="94"/>
    </row>
    <row r="4629" s="93" customFormat="1" spans="3:13">
      <c r="C4629" s="94"/>
      <c r="E4629" s="94"/>
      <c r="G4629" s="94"/>
      <c r="I4629" s="94"/>
      <c r="K4629" s="94"/>
      <c r="M4629" s="94"/>
    </row>
    <row r="4630" s="93" customFormat="1" spans="3:13">
      <c r="C4630" s="94"/>
      <c r="E4630" s="94"/>
      <c r="G4630" s="94"/>
      <c r="I4630" s="94"/>
      <c r="K4630" s="94"/>
      <c r="M4630" s="94"/>
    </row>
    <row r="4631" s="93" customFormat="1" spans="3:13">
      <c r="C4631" s="94"/>
      <c r="E4631" s="94"/>
      <c r="G4631" s="94"/>
      <c r="I4631" s="94"/>
      <c r="K4631" s="94"/>
      <c r="M4631" s="94"/>
    </row>
    <row r="4632" s="93" customFormat="1" spans="3:13">
      <c r="C4632" s="94"/>
      <c r="E4632" s="94"/>
      <c r="G4632" s="94"/>
      <c r="I4632" s="94"/>
      <c r="K4632" s="94"/>
      <c r="M4632" s="94"/>
    </row>
    <row r="4633" s="93" customFormat="1" spans="3:13">
      <c r="C4633" s="94"/>
      <c r="E4633" s="94"/>
      <c r="G4633" s="94"/>
      <c r="I4633" s="94"/>
      <c r="K4633" s="94"/>
      <c r="M4633" s="94"/>
    </row>
    <row r="4634" s="93" customFormat="1" spans="3:13">
      <c r="C4634" s="94"/>
      <c r="E4634" s="94"/>
      <c r="G4634" s="94"/>
      <c r="I4634" s="94"/>
      <c r="K4634" s="94"/>
      <c r="M4634" s="94"/>
    </row>
    <row r="4635" s="93" customFormat="1" spans="3:13">
      <c r="C4635" s="94"/>
      <c r="E4635" s="94"/>
      <c r="G4635" s="94"/>
      <c r="I4635" s="94"/>
      <c r="K4635" s="94"/>
      <c r="M4635" s="94"/>
    </row>
    <row r="4636" s="93" customFormat="1" spans="3:13">
      <c r="C4636" s="94"/>
      <c r="E4636" s="94"/>
      <c r="G4636" s="94"/>
      <c r="I4636" s="94"/>
      <c r="K4636" s="94"/>
      <c r="M4636" s="94"/>
    </row>
    <row r="4637" s="93" customFormat="1" spans="3:13">
      <c r="C4637" s="94"/>
      <c r="E4637" s="94"/>
      <c r="G4637" s="94"/>
      <c r="I4637" s="94"/>
      <c r="K4637" s="94"/>
      <c r="M4637" s="94"/>
    </row>
    <row r="4638" s="93" customFormat="1" spans="3:13">
      <c r="C4638" s="94"/>
      <c r="E4638" s="94"/>
      <c r="G4638" s="94"/>
      <c r="I4638" s="94"/>
      <c r="K4638" s="94"/>
      <c r="M4638" s="94"/>
    </row>
    <row r="4639" s="93" customFormat="1" spans="3:13">
      <c r="C4639" s="94"/>
      <c r="E4639" s="94"/>
      <c r="G4639" s="94"/>
      <c r="I4639" s="94"/>
      <c r="K4639" s="94"/>
      <c r="M4639" s="94"/>
    </row>
    <row r="4640" s="93" customFormat="1" spans="3:13">
      <c r="C4640" s="94"/>
      <c r="E4640" s="94"/>
      <c r="G4640" s="94"/>
      <c r="I4640" s="94"/>
      <c r="K4640" s="94"/>
      <c r="M4640" s="94"/>
    </row>
    <row r="4641" s="93" customFormat="1" spans="3:13">
      <c r="C4641" s="94"/>
      <c r="E4641" s="94"/>
      <c r="G4641" s="94"/>
      <c r="I4641" s="94"/>
      <c r="K4641" s="94"/>
      <c r="M4641" s="94"/>
    </row>
    <row r="4642" s="93" customFormat="1" spans="3:13">
      <c r="C4642" s="94"/>
      <c r="E4642" s="94"/>
      <c r="G4642" s="94"/>
      <c r="I4642" s="94"/>
      <c r="K4642" s="94"/>
      <c r="M4642" s="94"/>
    </row>
    <row r="4643" s="93" customFormat="1" spans="3:13">
      <c r="C4643" s="94"/>
      <c r="E4643" s="94"/>
      <c r="G4643" s="94"/>
      <c r="I4643" s="94"/>
      <c r="K4643" s="94"/>
      <c r="M4643" s="94"/>
    </row>
    <row r="4644" s="93" customFormat="1" spans="3:13">
      <c r="C4644" s="94"/>
      <c r="E4644" s="94"/>
      <c r="G4644" s="94"/>
      <c r="I4644" s="94"/>
      <c r="K4644" s="94"/>
      <c r="M4644" s="94"/>
    </row>
    <row r="4645" s="93" customFormat="1" spans="3:13">
      <c r="C4645" s="94"/>
      <c r="E4645" s="94"/>
      <c r="G4645" s="94"/>
      <c r="I4645" s="94"/>
      <c r="K4645" s="94"/>
      <c r="M4645" s="94"/>
    </row>
    <row r="4646" s="93" customFormat="1" spans="3:13">
      <c r="C4646" s="94"/>
      <c r="E4646" s="94"/>
      <c r="G4646" s="94"/>
      <c r="I4646" s="94"/>
      <c r="K4646" s="94"/>
      <c r="M4646" s="94"/>
    </row>
    <row r="4647" s="93" customFormat="1" spans="3:13">
      <c r="C4647" s="94"/>
      <c r="E4647" s="94"/>
      <c r="G4647" s="94"/>
      <c r="I4647" s="94"/>
      <c r="K4647" s="94"/>
      <c r="M4647" s="94"/>
    </row>
    <row r="4648" s="93" customFormat="1" spans="3:13">
      <c r="C4648" s="94"/>
      <c r="E4648" s="94"/>
      <c r="G4648" s="94"/>
      <c r="I4648" s="94"/>
      <c r="K4648" s="94"/>
      <c r="M4648" s="94"/>
    </row>
    <row r="4649" s="93" customFormat="1" spans="3:13">
      <c r="C4649" s="94"/>
      <c r="E4649" s="94"/>
      <c r="G4649" s="94"/>
      <c r="I4649" s="94"/>
      <c r="K4649" s="94"/>
      <c r="M4649" s="94"/>
    </row>
    <row r="4650" s="93" customFormat="1" spans="3:13">
      <c r="C4650" s="94"/>
      <c r="E4650" s="94"/>
      <c r="G4650" s="94"/>
      <c r="I4650" s="94"/>
      <c r="K4650" s="94"/>
      <c r="M4650" s="94"/>
    </row>
    <row r="4651" s="93" customFormat="1" spans="3:13">
      <c r="C4651" s="94"/>
      <c r="E4651" s="94"/>
      <c r="G4651" s="94"/>
      <c r="I4651" s="94"/>
      <c r="K4651" s="94"/>
      <c r="M4651" s="94"/>
    </row>
    <row r="4652" s="93" customFormat="1" spans="3:13">
      <c r="C4652" s="94"/>
      <c r="E4652" s="94"/>
      <c r="G4652" s="94"/>
      <c r="I4652" s="94"/>
      <c r="K4652" s="94"/>
      <c r="M4652" s="94"/>
    </row>
    <row r="4653" s="93" customFormat="1" spans="3:13">
      <c r="C4653" s="94"/>
      <c r="E4653" s="94"/>
      <c r="G4653" s="94"/>
      <c r="I4653" s="94"/>
      <c r="K4653" s="94"/>
      <c r="M4653" s="94"/>
    </row>
    <row r="4654" s="93" customFormat="1" spans="3:13">
      <c r="C4654" s="94"/>
      <c r="E4654" s="94"/>
      <c r="G4654" s="94"/>
      <c r="I4654" s="94"/>
      <c r="K4654" s="94"/>
      <c r="M4654" s="94"/>
    </row>
    <row r="4655" s="93" customFormat="1" spans="3:13">
      <c r="C4655" s="94"/>
      <c r="E4655" s="94"/>
      <c r="G4655" s="94"/>
      <c r="I4655" s="94"/>
      <c r="K4655" s="94"/>
      <c r="M4655" s="94"/>
    </row>
    <row r="4656" s="93" customFormat="1" spans="3:13">
      <c r="C4656" s="94"/>
      <c r="E4656" s="94"/>
      <c r="G4656" s="94"/>
      <c r="I4656" s="94"/>
      <c r="K4656" s="94"/>
      <c r="M4656" s="94"/>
    </row>
    <row r="4657" s="93" customFormat="1" spans="3:13">
      <c r="C4657" s="94"/>
      <c r="E4657" s="94"/>
      <c r="G4657" s="94"/>
      <c r="I4657" s="94"/>
      <c r="K4657" s="94"/>
      <c r="M4657" s="94"/>
    </row>
    <row r="4658" s="93" customFormat="1" spans="3:13">
      <c r="C4658" s="94"/>
      <c r="E4658" s="94"/>
      <c r="G4658" s="94"/>
      <c r="I4658" s="94"/>
      <c r="K4658" s="94"/>
      <c r="M4658" s="94"/>
    </row>
    <row r="4659" s="93" customFormat="1" spans="3:13">
      <c r="C4659" s="94"/>
      <c r="E4659" s="94"/>
      <c r="G4659" s="94"/>
      <c r="I4659" s="94"/>
      <c r="K4659" s="94"/>
      <c r="M4659" s="94"/>
    </row>
    <row r="4660" s="93" customFormat="1" spans="3:13">
      <c r="C4660" s="94"/>
      <c r="E4660" s="94"/>
      <c r="G4660" s="94"/>
      <c r="I4660" s="94"/>
      <c r="K4660" s="94"/>
      <c r="M4660" s="94"/>
    </row>
    <row r="4661" s="93" customFormat="1" spans="3:13">
      <c r="C4661" s="94"/>
      <c r="E4661" s="94"/>
      <c r="G4661" s="94"/>
      <c r="I4661" s="94"/>
      <c r="K4661" s="94"/>
      <c r="M4661" s="94"/>
    </row>
    <row r="4662" s="93" customFormat="1" spans="3:13">
      <c r="C4662" s="94"/>
      <c r="E4662" s="94"/>
      <c r="G4662" s="94"/>
      <c r="I4662" s="94"/>
      <c r="K4662" s="94"/>
      <c r="M4662" s="94"/>
    </row>
    <row r="4663" s="93" customFormat="1" spans="3:13">
      <c r="C4663" s="94"/>
      <c r="E4663" s="94"/>
      <c r="G4663" s="94"/>
      <c r="I4663" s="94"/>
      <c r="K4663" s="94"/>
      <c r="M4663" s="94"/>
    </row>
    <row r="4664" s="93" customFormat="1" spans="3:13">
      <c r="C4664" s="94"/>
      <c r="E4664" s="94"/>
      <c r="G4664" s="94"/>
      <c r="I4664" s="94"/>
      <c r="K4664" s="94"/>
      <c r="M4664" s="94"/>
    </row>
    <row r="4665" s="93" customFormat="1" spans="3:13">
      <c r="C4665" s="94"/>
      <c r="E4665" s="94"/>
      <c r="G4665" s="94"/>
      <c r="I4665" s="94"/>
      <c r="K4665" s="94"/>
      <c r="M4665" s="94"/>
    </row>
    <row r="4666" s="93" customFormat="1" spans="3:13">
      <c r="C4666" s="94"/>
      <c r="E4666" s="94"/>
      <c r="G4666" s="94"/>
      <c r="I4666" s="94"/>
      <c r="K4666" s="94"/>
      <c r="M4666" s="94"/>
    </row>
    <row r="4667" s="93" customFormat="1" spans="3:13">
      <c r="C4667" s="94"/>
      <c r="E4667" s="94"/>
      <c r="G4667" s="94"/>
      <c r="I4667" s="94"/>
      <c r="K4667" s="94"/>
      <c r="M4667" s="94"/>
    </row>
    <row r="4668" s="93" customFormat="1" spans="3:13">
      <c r="C4668" s="94"/>
      <c r="E4668" s="94"/>
      <c r="G4668" s="94"/>
      <c r="I4668" s="94"/>
      <c r="K4668" s="94"/>
      <c r="M4668" s="94"/>
    </row>
    <row r="4669" s="93" customFormat="1" spans="3:13">
      <c r="C4669" s="94"/>
      <c r="E4669" s="94"/>
      <c r="G4669" s="94"/>
      <c r="I4669" s="94"/>
      <c r="K4669" s="94"/>
      <c r="M4669" s="94"/>
    </row>
    <row r="4670" s="93" customFormat="1" spans="3:13">
      <c r="C4670" s="94"/>
      <c r="E4670" s="94"/>
      <c r="G4670" s="94"/>
      <c r="I4670" s="94"/>
      <c r="K4670" s="94"/>
      <c r="M4670" s="94"/>
    </row>
    <row r="4671" s="93" customFormat="1" spans="3:13">
      <c r="C4671" s="94"/>
      <c r="E4671" s="94"/>
      <c r="G4671" s="94"/>
      <c r="I4671" s="94"/>
      <c r="K4671" s="94"/>
      <c r="M4671" s="94"/>
    </row>
    <row r="4672" s="93" customFormat="1" spans="3:13">
      <c r="C4672" s="94"/>
      <c r="E4672" s="94"/>
      <c r="G4672" s="94"/>
      <c r="I4672" s="94"/>
      <c r="K4672" s="94"/>
      <c r="M4672" s="94"/>
    </row>
    <row r="4673" s="93" customFormat="1" spans="3:13">
      <c r="C4673" s="94"/>
      <c r="E4673" s="94"/>
      <c r="G4673" s="94"/>
      <c r="I4673" s="94"/>
      <c r="K4673" s="94"/>
      <c r="M4673" s="94"/>
    </row>
    <row r="4674" s="93" customFormat="1" spans="3:13">
      <c r="C4674" s="94"/>
      <c r="E4674" s="94"/>
      <c r="G4674" s="94"/>
      <c r="I4674" s="94"/>
      <c r="K4674" s="94"/>
      <c r="M4674" s="94"/>
    </row>
    <row r="4675" s="93" customFormat="1" spans="3:13">
      <c r="C4675" s="94"/>
      <c r="E4675" s="94"/>
      <c r="G4675" s="94"/>
      <c r="I4675" s="94"/>
      <c r="K4675" s="94"/>
      <c r="M4675" s="94"/>
    </row>
    <row r="4676" s="93" customFormat="1" spans="3:13">
      <c r="C4676" s="94"/>
      <c r="E4676" s="94"/>
      <c r="G4676" s="94"/>
      <c r="I4676" s="94"/>
      <c r="K4676" s="94"/>
      <c r="M4676" s="94"/>
    </row>
    <row r="4677" s="93" customFormat="1" spans="3:13">
      <c r="C4677" s="94"/>
      <c r="E4677" s="94"/>
      <c r="G4677" s="94"/>
      <c r="I4677" s="94"/>
      <c r="K4677" s="94"/>
      <c r="M4677" s="94"/>
    </row>
    <row r="4678" s="93" customFormat="1" spans="3:13">
      <c r="C4678" s="94"/>
      <c r="E4678" s="94"/>
      <c r="G4678" s="94"/>
      <c r="I4678" s="94"/>
      <c r="K4678" s="94"/>
      <c r="M4678" s="94"/>
    </row>
    <row r="4679" s="93" customFormat="1" spans="3:13">
      <c r="C4679" s="94"/>
      <c r="E4679" s="94"/>
      <c r="G4679" s="94"/>
      <c r="I4679" s="94"/>
      <c r="K4679" s="94"/>
      <c r="M4679" s="94"/>
    </row>
    <row r="4680" s="93" customFormat="1" spans="3:13">
      <c r="C4680" s="94"/>
      <c r="E4680" s="94"/>
      <c r="G4680" s="94"/>
      <c r="I4680" s="94"/>
      <c r="K4680" s="94"/>
      <c r="M4680" s="94"/>
    </row>
    <row r="4681" s="93" customFormat="1" spans="3:13">
      <c r="C4681" s="94"/>
      <c r="E4681" s="94"/>
      <c r="G4681" s="94"/>
      <c r="I4681" s="94"/>
      <c r="K4681" s="94"/>
      <c r="M4681" s="94"/>
    </row>
    <row r="4682" s="93" customFormat="1" spans="3:13">
      <c r="C4682" s="94"/>
      <c r="E4682" s="94"/>
      <c r="G4682" s="94"/>
      <c r="I4682" s="94"/>
      <c r="K4682" s="94"/>
      <c r="M4682" s="94"/>
    </row>
    <row r="4683" s="93" customFormat="1" spans="3:13">
      <c r="C4683" s="94"/>
      <c r="E4683" s="94"/>
      <c r="G4683" s="94"/>
      <c r="I4683" s="94"/>
      <c r="K4683" s="94"/>
      <c r="M4683" s="94"/>
    </row>
    <row r="4684" s="93" customFormat="1" spans="3:13">
      <c r="C4684" s="94"/>
      <c r="E4684" s="94"/>
      <c r="G4684" s="94"/>
      <c r="I4684" s="94"/>
      <c r="K4684" s="94"/>
      <c r="M4684" s="94"/>
    </row>
    <row r="4685" s="93" customFormat="1" spans="3:13">
      <c r="C4685" s="94"/>
      <c r="E4685" s="94"/>
      <c r="G4685" s="94"/>
      <c r="I4685" s="94"/>
      <c r="K4685" s="94"/>
      <c r="M4685" s="94"/>
    </row>
    <row r="4686" s="93" customFormat="1" spans="3:13">
      <c r="C4686" s="94"/>
      <c r="E4686" s="94"/>
      <c r="G4686" s="94"/>
      <c r="I4686" s="94"/>
      <c r="K4686" s="94"/>
      <c r="M4686" s="94"/>
    </row>
    <row r="4687" s="93" customFormat="1" spans="3:13">
      <c r="C4687" s="94"/>
      <c r="E4687" s="94"/>
      <c r="G4687" s="94"/>
      <c r="I4687" s="94"/>
      <c r="K4687" s="94"/>
      <c r="M4687" s="94"/>
    </row>
    <row r="4688" s="93" customFormat="1" spans="3:13">
      <c r="C4688" s="94"/>
      <c r="E4688" s="94"/>
      <c r="G4688" s="94"/>
      <c r="I4688" s="94"/>
      <c r="K4688" s="94"/>
      <c r="M4688" s="94"/>
    </row>
    <row r="4689" s="93" customFormat="1" spans="3:13">
      <c r="C4689" s="94"/>
      <c r="E4689" s="94"/>
      <c r="G4689" s="94"/>
      <c r="I4689" s="94"/>
      <c r="K4689" s="94"/>
      <c r="M4689" s="94"/>
    </row>
    <row r="4690" s="93" customFormat="1" spans="3:13">
      <c r="C4690" s="94"/>
      <c r="E4690" s="94"/>
      <c r="G4690" s="94"/>
      <c r="I4690" s="94"/>
      <c r="K4690" s="94"/>
      <c r="M4690" s="94"/>
    </row>
    <row r="4691" s="93" customFormat="1" spans="3:13">
      <c r="C4691" s="94"/>
      <c r="E4691" s="94"/>
      <c r="G4691" s="94"/>
      <c r="I4691" s="94"/>
      <c r="K4691" s="94"/>
      <c r="M4691" s="94"/>
    </row>
    <row r="4692" s="93" customFormat="1" spans="3:13">
      <c r="C4692" s="94"/>
      <c r="E4692" s="94"/>
      <c r="G4692" s="94"/>
      <c r="I4692" s="94"/>
      <c r="K4692" s="94"/>
      <c r="M4692" s="94"/>
    </row>
    <row r="4693" s="93" customFormat="1" spans="3:13">
      <c r="C4693" s="94"/>
      <c r="E4693" s="94"/>
      <c r="G4693" s="94"/>
      <c r="I4693" s="94"/>
      <c r="K4693" s="94"/>
      <c r="M4693" s="94"/>
    </row>
    <row r="4694" s="93" customFormat="1" spans="3:13">
      <c r="C4694" s="94"/>
      <c r="E4694" s="94"/>
      <c r="G4694" s="94"/>
      <c r="I4694" s="94"/>
      <c r="K4694" s="94"/>
      <c r="M4694" s="94"/>
    </row>
    <row r="4695" s="93" customFormat="1" spans="3:13">
      <c r="C4695" s="94"/>
      <c r="E4695" s="94"/>
      <c r="G4695" s="94"/>
      <c r="I4695" s="94"/>
      <c r="K4695" s="94"/>
      <c r="M4695" s="94"/>
    </row>
    <row r="4696" s="93" customFormat="1" spans="3:13">
      <c r="C4696" s="94"/>
      <c r="E4696" s="94"/>
      <c r="G4696" s="94"/>
      <c r="I4696" s="94"/>
      <c r="K4696" s="94"/>
      <c r="M4696" s="94"/>
    </row>
    <row r="4697" s="93" customFormat="1" spans="3:13">
      <c r="C4697" s="94"/>
      <c r="E4697" s="94"/>
      <c r="G4697" s="94"/>
      <c r="I4697" s="94"/>
      <c r="K4697" s="94"/>
      <c r="M4697" s="94"/>
    </row>
    <row r="4698" s="93" customFormat="1" spans="3:13">
      <c r="C4698" s="94"/>
      <c r="E4698" s="94"/>
      <c r="G4698" s="94"/>
      <c r="I4698" s="94"/>
      <c r="K4698" s="94"/>
      <c r="M4698" s="94"/>
    </row>
    <row r="4699" s="93" customFormat="1" spans="3:13">
      <c r="C4699" s="94"/>
      <c r="E4699" s="94"/>
      <c r="G4699" s="94"/>
      <c r="I4699" s="94"/>
      <c r="K4699" s="94"/>
      <c r="M4699" s="94"/>
    </row>
    <row r="4700" s="93" customFormat="1" spans="3:13">
      <c r="C4700" s="94"/>
      <c r="E4700" s="94"/>
      <c r="G4700" s="94"/>
      <c r="I4700" s="94"/>
      <c r="K4700" s="94"/>
      <c r="M4700" s="94"/>
    </row>
    <row r="4701" s="93" customFormat="1" spans="3:13">
      <c r="C4701" s="94"/>
      <c r="E4701" s="94"/>
      <c r="G4701" s="94"/>
      <c r="I4701" s="94"/>
      <c r="K4701" s="94"/>
      <c r="M4701" s="94"/>
    </row>
    <row r="4702" s="93" customFormat="1" spans="3:13">
      <c r="C4702" s="94"/>
      <c r="E4702" s="94"/>
      <c r="G4702" s="94"/>
      <c r="I4702" s="94"/>
      <c r="K4702" s="94"/>
      <c r="M4702" s="94"/>
    </row>
    <row r="4703" s="93" customFormat="1" spans="3:13">
      <c r="C4703" s="94"/>
      <c r="E4703" s="94"/>
      <c r="G4703" s="94"/>
      <c r="I4703" s="94"/>
      <c r="K4703" s="94"/>
      <c r="M4703" s="94"/>
    </row>
    <row r="4704" s="93" customFormat="1" spans="3:13">
      <c r="C4704" s="94"/>
      <c r="E4704" s="94"/>
      <c r="G4704" s="94"/>
      <c r="I4704" s="94"/>
      <c r="K4704" s="94"/>
      <c r="M4704" s="94"/>
    </row>
    <row r="4705" s="93" customFormat="1" spans="3:13">
      <c r="C4705" s="94"/>
      <c r="E4705" s="94"/>
      <c r="G4705" s="94"/>
      <c r="I4705" s="94"/>
      <c r="K4705" s="94"/>
      <c r="M4705" s="94"/>
    </row>
    <row r="4706" s="93" customFormat="1" spans="3:13">
      <c r="C4706" s="94"/>
      <c r="E4706" s="94"/>
      <c r="G4706" s="94"/>
      <c r="I4706" s="94"/>
      <c r="K4706" s="94"/>
      <c r="M4706" s="94"/>
    </row>
    <row r="4707" s="93" customFormat="1" spans="3:13">
      <c r="C4707" s="94"/>
      <c r="E4707" s="94"/>
      <c r="G4707" s="94"/>
      <c r="I4707" s="94"/>
      <c r="K4707" s="94"/>
      <c r="M4707" s="94"/>
    </row>
    <row r="4708" s="93" customFormat="1" spans="3:13">
      <c r="C4708" s="94"/>
      <c r="E4708" s="94"/>
      <c r="G4708" s="94"/>
      <c r="I4708" s="94"/>
      <c r="K4708" s="94"/>
      <c r="M4708" s="94"/>
    </row>
    <row r="4709" s="93" customFormat="1" spans="3:13">
      <c r="C4709" s="94"/>
      <c r="E4709" s="94"/>
      <c r="G4709" s="94"/>
      <c r="I4709" s="94"/>
      <c r="K4709" s="94"/>
      <c r="M4709" s="94"/>
    </row>
    <row r="4710" s="93" customFormat="1" spans="3:13">
      <c r="C4710" s="94"/>
      <c r="E4710" s="94"/>
      <c r="G4710" s="94"/>
      <c r="I4710" s="94"/>
      <c r="K4710" s="94"/>
      <c r="M4710" s="94"/>
    </row>
    <row r="4711" s="93" customFormat="1" spans="3:13">
      <c r="C4711" s="94"/>
      <c r="E4711" s="94"/>
      <c r="G4711" s="94"/>
      <c r="I4711" s="94"/>
      <c r="K4711" s="94"/>
      <c r="M4711" s="94"/>
    </row>
    <row r="4712" s="93" customFormat="1" spans="3:13">
      <c r="C4712" s="94"/>
      <c r="E4712" s="94"/>
      <c r="G4712" s="94"/>
      <c r="I4712" s="94"/>
      <c r="K4712" s="94"/>
      <c r="M4712" s="94"/>
    </row>
    <row r="4713" s="93" customFormat="1" spans="3:13">
      <c r="C4713" s="94"/>
      <c r="E4713" s="94"/>
      <c r="G4713" s="94"/>
      <c r="I4713" s="94"/>
      <c r="K4713" s="94"/>
      <c r="M4713" s="94"/>
    </row>
    <row r="4714" s="93" customFormat="1" spans="3:13">
      <c r="C4714" s="94"/>
      <c r="E4714" s="94"/>
      <c r="G4714" s="94"/>
      <c r="I4714" s="94"/>
      <c r="K4714" s="94"/>
      <c r="M4714" s="94"/>
    </row>
    <row r="4715" s="93" customFormat="1" spans="3:13">
      <c r="C4715" s="94"/>
      <c r="E4715" s="94"/>
      <c r="G4715" s="94"/>
      <c r="I4715" s="94"/>
      <c r="K4715" s="94"/>
      <c r="M4715" s="94"/>
    </row>
    <row r="4716" s="93" customFormat="1" spans="3:13">
      <c r="C4716" s="94"/>
      <c r="E4716" s="94"/>
      <c r="G4716" s="94"/>
      <c r="I4716" s="94"/>
      <c r="K4716" s="94"/>
      <c r="M4716" s="94"/>
    </row>
    <row r="4717" s="93" customFormat="1" spans="3:13">
      <c r="C4717" s="94"/>
      <c r="E4717" s="94"/>
      <c r="G4717" s="94"/>
      <c r="I4717" s="94"/>
      <c r="K4717" s="94"/>
      <c r="M4717" s="94"/>
    </row>
    <row r="4718" s="93" customFormat="1" spans="3:13">
      <c r="C4718" s="94"/>
      <c r="E4718" s="94"/>
      <c r="G4718" s="94"/>
      <c r="I4718" s="94"/>
      <c r="K4718" s="94"/>
      <c r="M4718" s="94"/>
    </row>
    <row r="4719" s="93" customFormat="1" spans="3:13">
      <c r="C4719" s="94"/>
      <c r="E4719" s="94"/>
      <c r="G4719" s="94"/>
      <c r="I4719" s="94"/>
      <c r="K4719" s="94"/>
      <c r="M4719" s="94"/>
    </row>
    <row r="4720" s="93" customFormat="1" spans="3:13">
      <c r="C4720" s="94"/>
      <c r="E4720" s="94"/>
      <c r="G4720" s="94"/>
      <c r="I4720" s="94"/>
      <c r="K4720" s="94"/>
      <c r="M4720" s="94"/>
    </row>
    <row r="4721" s="93" customFormat="1" spans="3:13">
      <c r="C4721" s="94"/>
      <c r="E4721" s="94"/>
      <c r="G4721" s="94"/>
      <c r="I4721" s="94"/>
      <c r="K4721" s="94"/>
      <c r="M4721" s="94"/>
    </row>
    <row r="4722" s="93" customFormat="1" spans="3:13">
      <c r="C4722" s="94"/>
      <c r="E4722" s="94"/>
      <c r="G4722" s="94"/>
      <c r="I4722" s="94"/>
      <c r="K4722" s="94"/>
      <c r="M4722" s="94"/>
    </row>
    <row r="4723" s="93" customFormat="1" spans="3:13">
      <c r="C4723" s="94"/>
      <c r="E4723" s="94"/>
      <c r="G4723" s="94"/>
      <c r="I4723" s="94"/>
      <c r="K4723" s="94"/>
      <c r="M4723" s="94"/>
    </row>
    <row r="4724" s="93" customFormat="1" spans="3:13">
      <c r="C4724" s="94"/>
      <c r="E4724" s="94"/>
      <c r="G4724" s="94"/>
      <c r="I4724" s="94"/>
      <c r="K4724" s="94"/>
      <c r="M4724" s="94"/>
    </row>
    <row r="4725" s="93" customFormat="1" spans="3:13">
      <c r="C4725" s="94"/>
      <c r="E4725" s="94"/>
      <c r="G4725" s="94"/>
      <c r="I4725" s="94"/>
      <c r="K4725" s="94"/>
      <c r="M4725" s="94"/>
    </row>
    <row r="4726" s="93" customFormat="1" spans="3:13">
      <c r="C4726" s="94"/>
      <c r="E4726" s="94"/>
      <c r="G4726" s="94"/>
      <c r="I4726" s="94"/>
      <c r="K4726" s="94"/>
      <c r="M4726" s="94"/>
    </row>
    <row r="4727" s="93" customFormat="1" spans="3:13">
      <c r="C4727" s="94"/>
      <c r="E4727" s="94"/>
      <c r="G4727" s="94"/>
      <c r="I4727" s="94"/>
      <c r="K4727" s="94"/>
      <c r="M4727" s="94"/>
    </row>
    <row r="4728" s="93" customFormat="1" spans="3:13">
      <c r="C4728" s="94"/>
      <c r="E4728" s="94"/>
      <c r="G4728" s="94"/>
      <c r="I4728" s="94"/>
      <c r="K4728" s="94"/>
      <c r="M4728" s="94"/>
    </row>
    <row r="4729" s="93" customFormat="1" spans="3:13">
      <c r="C4729" s="94"/>
      <c r="E4729" s="94"/>
      <c r="G4729" s="94"/>
      <c r="I4729" s="94"/>
      <c r="K4729" s="94"/>
      <c r="M4729" s="94"/>
    </row>
    <row r="4730" s="93" customFormat="1" spans="3:13">
      <c r="C4730" s="94"/>
      <c r="E4730" s="94"/>
      <c r="G4730" s="94"/>
      <c r="I4730" s="94"/>
      <c r="K4730" s="94"/>
      <c r="M4730" s="94"/>
    </row>
    <row r="4731" s="93" customFormat="1" spans="3:13">
      <c r="C4731" s="94"/>
      <c r="E4731" s="94"/>
      <c r="G4731" s="94"/>
      <c r="I4731" s="94"/>
      <c r="K4731" s="94"/>
      <c r="M4731" s="94"/>
    </row>
    <row r="4732" s="93" customFormat="1" spans="3:13">
      <c r="C4732" s="94"/>
      <c r="E4732" s="94"/>
      <c r="G4732" s="94"/>
      <c r="I4732" s="94"/>
      <c r="K4732" s="94"/>
      <c r="M4732" s="94"/>
    </row>
    <row r="4733" s="93" customFormat="1" spans="3:13">
      <c r="C4733" s="94"/>
      <c r="E4733" s="94"/>
      <c r="G4733" s="94"/>
      <c r="I4733" s="94"/>
      <c r="K4733" s="94"/>
      <c r="M4733" s="94"/>
    </row>
    <row r="4734" s="93" customFormat="1" spans="3:13">
      <c r="C4734" s="94"/>
      <c r="E4734" s="94"/>
      <c r="G4734" s="94"/>
      <c r="I4734" s="94"/>
      <c r="K4734" s="94"/>
      <c r="M4734" s="94"/>
    </row>
    <row r="4735" s="93" customFormat="1" spans="3:13">
      <c r="C4735" s="94"/>
      <c r="E4735" s="94"/>
      <c r="G4735" s="94"/>
      <c r="I4735" s="94"/>
      <c r="K4735" s="94"/>
      <c r="M4735" s="94"/>
    </row>
    <row r="4736" s="93" customFormat="1" spans="3:13">
      <c r="C4736" s="94"/>
      <c r="E4736" s="94"/>
      <c r="G4736" s="94"/>
      <c r="I4736" s="94"/>
      <c r="K4736" s="94"/>
      <c r="M4736" s="94"/>
    </row>
    <row r="4737" s="93" customFormat="1" spans="3:13">
      <c r="C4737" s="94"/>
      <c r="E4737" s="94"/>
      <c r="G4737" s="94"/>
      <c r="I4737" s="94"/>
      <c r="K4737" s="94"/>
      <c r="M4737" s="94"/>
    </row>
    <row r="4738" s="93" customFormat="1" spans="3:13">
      <c r="C4738" s="94"/>
      <c r="E4738" s="94"/>
      <c r="G4738" s="94"/>
      <c r="I4738" s="94"/>
      <c r="K4738" s="94"/>
      <c r="M4738" s="94"/>
    </row>
    <row r="4739" s="93" customFormat="1" spans="3:13">
      <c r="C4739" s="94"/>
      <c r="E4739" s="94"/>
      <c r="G4739" s="94"/>
      <c r="I4739" s="94"/>
      <c r="K4739" s="94"/>
      <c r="M4739" s="94"/>
    </row>
    <row r="4740" s="93" customFormat="1" spans="3:13">
      <c r="C4740" s="94"/>
      <c r="E4740" s="94"/>
      <c r="G4740" s="94"/>
      <c r="I4740" s="94"/>
      <c r="K4740" s="94"/>
      <c r="M4740" s="94"/>
    </row>
    <row r="4741" s="93" customFormat="1" spans="3:13">
      <c r="C4741" s="94"/>
      <c r="E4741" s="94"/>
      <c r="G4741" s="94"/>
      <c r="I4741" s="94"/>
      <c r="K4741" s="94"/>
      <c r="M4741" s="94"/>
    </row>
    <row r="4742" s="93" customFormat="1" spans="3:13">
      <c r="C4742" s="94"/>
      <c r="E4742" s="94"/>
      <c r="G4742" s="94"/>
      <c r="I4742" s="94"/>
      <c r="K4742" s="94"/>
      <c r="M4742" s="94"/>
    </row>
    <row r="4743" s="93" customFormat="1" spans="3:13">
      <c r="C4743" s="94"/>
      <c r="E4743" s="94"/>
      <c r="G4743" s="94"/>
      <c r="I4743" s="94"/>
      <c r="K4743" s="94"/>
      <c r="M4743" s="94"/>
    </row>
    <row r="4744" s="93" customFormat="1" spans="3:13">
      <c r="C4744" s="94"/>
      <c r="E4744" s="94"/>
      <c r="G4744" s="94"/>
      <c r="I4744" s="94"/>
      <c r="K4744" s="94"/>
      <c r="M4744" s="94"/>
    </row>
    <row r="4745" s="93" customFormat="1" spans="3:13">
      <c r="C4745" s="94"/>
      <c r="E4745" s="94"/>
      <c r="G4745" s="94"/>
      <c r="I4745" s="94"/>
      <c r="K4745" s="94"/>
      <c r="M4745" s="94"/>
    </row>
    <row r="4746" s="93" customFormat="1" spans="3:13">
      <c r="C4746" s="94"/>
      <c r="E4746" s="94"/>
      <c r="G4746" s="94"/>
      <c r="I4746" s="94"/>
      <c r="K4746" s="94"/>
      <c r="M4746" s="94"/>
    </row>
    <row r="4747" s="93" customFormat="1" spans="3:13">
      <c r="C4747" s="94"/>
      <c r="E4747" s="94"/>
      <c r="G4747" s="94"/>
      <c r="I4747" s="94"/>
      <c r="K4747" s="94"/>
      <c r="M4747" s="94"/>
    </row>
    <row r="4748" s="93" customFormat="1" spans="3:13">
      <c r="C4748" s="94"/>
      <c r="E4748" s="94"/>
      <c r="G4748" s="94"/>
      <c r="I4748" s="94"/>
      <c r="K4748" s="94"/>
      <c r="M4748" s="94"/>
    </row>
    <row r="4749" s="93" customFormat="1" spans="3:13">
      <c r="C4749" s="94"/>
      <c r="E4749" s="94"/>
      <c r="G4749" s="94"/>
      <c r="I4749" s="94"/>
      <c r="K4749" s="94"/>
      <c r="M4749" s="94"/>
    </row>
    <row r="4750" s="93" customFormat="1" spans="3:13">
      <c r="C4750" s="94"/>
      <c r="E4750" s="94"/>
      <c r="G4750" s="94"/>
      <c r="I4750" s="94"/>
      <c r="K4750" s="94"/>
      <c r="M4750" s="94"/>
    </row>
    <row r="4751" s="93" customFormat="1" spans="3:13">
      <c r="C4751" s="94"/>
      <c r="E4751" s="94"/>
      <c r="G4751" s="94"/>
      <c r="I4751" s="94"/>
      <c r="K4751" s="94"/>
      <c r="M4751" s="94"/>
    </row>
    <row r="4752" s="93" customFormat="1" spans="3:13">
      <c r="C4752" s="94"/>
      <c r="E4752" s="94"/>
      <c r="G4752" s="94"/>
      <c r="I4752" s="94"/>
      <c r="K4752" s="94"/>
      <c r="M4752" s="94"/>
    </row>
    <row r="4753" s="93" customFormat="1" spans="3:13">
      <c r="C4753" s="94"/>
      <c r="E4753" s="94"/>
      <c r="G4753" s="94"/>
      <c r="I4753" s="94"/>
      <c r="K4753" s="94"/>
      <c r="M4753" s="94"/>
    </row>
    <row r="4754" s="93" customFormat="1" spans="3:13">
      <c r="C4754" s="94"/>
      <c r="E4754" s="94"/>
      <c r="G4754" s="94"/>
      <c r="I4754" s="94"/>
      <c r="K4754" s="94"/>
      <c r="M4754" s="94"/>
    </row>
    <row r="4755" s="93" customFormat="1" spans="3:13">
      <c r="C4755" s="94"/>
      <c r="E4755" s="94"/>
      <c r="G4755" s="94"/>
      <c r="I4755" s="94"/>
      <c r="K4755" s="94"/>
      <c r="M4755" s="94"/>
    </row>
    <row r="4756" s="93" customFormat="1" spans="3:13">
      <c r="C4756" s="94"/>
      <c r="E4756" s="94"/>
      <c r="G4756" s="94"/>
      <c r="I4756" s="94"/>
      <c r="K4756" s="94"/>
      <c r="M4756" s="94"/>
    </row>
    <row r="4757" s="93" customFormat="1" spans="3:13">
      <c r="C4757" s="94"/>
      <c r="E4757" s="94"/>
      <c r="G4757" s="94"/>
      <c r="I4757" s="94"/>
      <c r="K4757" s="94"/>
      <c r="M4757" s="94"/>
    </row>
    <row r="4758" s="93" customFormat="1" spans="3:13">
      <c r="C4758" s="94"/>
      <c r="E4758" s="94"/>
      <c r="G4758" s="94"/>
      <c r="I4758" s="94"/>
      <c r="K4758" s="94"/>
      <c r="M4758" s="94"/>
    </row>
    <row r="4759" s="93" customFormat="1" spans="3:13">
      <c r="C4759" s="94"/>
      <c r="E4759" s="94"/>
      <c r="G4759" s="94"/>
      <c r="I4759" s="94"/>
      <c r="K4759" s="94"/>
      <c r="M4759" s="94"/>
    </row>
    <row r="4760" s="93" customFormat="1" spans="3:13">
      <c r="C4760" s="94"/>
      <c r="E4760" s="94"/>
      <c r="G4760" s="94"/>
      <c r="I4760" s="94"/>
      <c r="K4760" s="94"/>
      <c r="M4760" s="94"/>
    </row>
    <row r="4761" s="93" customFormat="1" spans="3:13">
      <c r="C4761" s="94"/>
      <c r="E4761" s="94"/>
      <c r="G4761" s="94"/>
      <c r="I4761" s="94"/>
      <c r="K4761" s="94"/>
      <c r="M4761" s="94"/>
    </row>
    <row r="4762" s="93" customFormat="1" spans="3:13">
      <c r="C4762" s="94"/>
      <c r="E4762" s="94"/>
      <c r="G4762" s="94"/>
      <c r="I4762" s="94"/>
      <c r="K4762" s="94"/>
      <c r="M4762" s="94"/>
    </row>
    <row r="4763" s="93" customFormat="1" spans="3:13">
      <c r="C4763" s="94"/>
      <c r="E4763" s="94"/>
      <c r="G4763" s="94"/>
      <c r="I4763" s="94"/>
      <c r="K4763" s="94"/>
      <c r="M4763" s="94"/>
    </row>
    <row r="4764" s="93" customFormat="1" spans="3:13">
      <c r="C4764" s="94"/>
      <c r="E4764" s="94"/>
      <c r="G4764" s="94"/>
      <c r="I4764" s="94"/>
      <c r="K4764" s="94"/>
      <c r="M4764" s="94"/>
    </row>
    <row r="4765" s="93" customFormat="1" spans="3:13">
      <c r="C4765" s="94"/>
      <c r="E4765" s="94"/>
      <c r="G4765" s="94"/>
      <c r="I4765" s="94"/>
      <c r="K4765" s="94"/>
      <c r="M4765" s="94"/>
    </row>
    <row r="4766" s="93" customFormat="1" spans="3:13">
      <c r="C4766" s="94"/>
      <c r="E4766" s="94"/>
      <c r="G4766" s="94"/>
      <c r="I4766" s="94"/>
      <c r="K4766" s="94"/>
      <c r="M4766" s="94"/>
    </row>
    <row r="4767" s="93" customFormat="1" spans="3:13">
      <c r="C4767" s="94"/>
      <c r="E4767" s="94"/>
      <c r="G4767" s="94"/>
      <c r="I4767" s="94"/>
      <c r="K4767" s="94"/>
      <c r="M4767" s="94"/>
    </row>
    <row r="4768" s="93" customFormat="1" spans="3:13">
      <c r="C4768" s="94"/>
      <c r="E4768" s="94"/>
      <c r="G4768" s="94"/>
      <c r="I4768" s="94"/>
      <c r="K4768" s="94"/>
      <c r="M4768" s="94"/>
    </row>
    <row r="4769" s="93" customFormat="1" spans="3:13">
      <c r="C4769" s="94"/>
      <c r="E4769" s="94"/>
      <c r="G4769" s="94"/>
      <c r="I4769" s="94"/>
      <c r="K4769" s="94"/>
      <c r="M4769" s="94"/>
    </row>
    <row r="4770" s="93" customFormat="1" spans="3:13">
      <c r="C4770" s="94"/>
      <c r="E4770" s="94"/>
      <c r="G4770" s="94"/>
      <c r="I4770" s="94"/>
      <c r="K4770" s="94"/>
      <c r="M4770" s="94"/>
    </row>
    <row r="4771" s="93" customFormat="1" spans="3:13">
      <c r="C4771" s="94"/>
      <c r="E4771" s="94"/>
      <c r="G4771" s="94"/>
      <c r="I4771" s="94"/>
      <c r="K4771" s="94"/>
      <c r="M4771" s="94"/>
    </row>
    <row r="4772" s="93" customFormat="1" spans="3:13">
      <c r="C4772" s="94"/>
      <c r="E4772" s="94"/>
      <c r="G4772" s="94"/>
      <c r="I4772" s="94"/>
      <c r="K4772" s="94"/>
      <c r="M4772" s="94"/>
    </row>
    <row r="4773" s="93" customFormat="1" spans="3:13">
      <c r="C4773" s="94"/>
      <c r="E4773" s="94"/>
      <c r="G4773" s="94"/>
      <c r="I4773" s="94"/>
      <c r="K4773" s="94"/>
      <c r="M4773" s="94"/>
    </row>
    <row r="4774" s="93" customFormat="1" spans="3:13">
      <c r="C4774" s="94"/>
      <c r="E4774" s="94"/>
      <c r="G4774" s="94"/>
      <c r="I4774" s="94"/>
      <c r="K4774" s="94"/>
      <c r="M4774" s="94"/>
    </row>
    <row r="4775" s="93" customFormat="1" spans="3:13">
      <c r="C4775" s="94"/>
      <c r="E4775" s="94"/>
      <c r="G4775" s="94"/>
      <c r="I4775" s="94"/>
      <c r="K4775" s="94"/>
      <c r="M4775" s="94"/>
    </row>
    <row r="4776" s="93" customFormat="1" spans="3:13">
      <c r="C4776" s="94"/>
      <c r="E4776" s="94"/>
      <c r="G4776" s="94"/>
      <c r="I4776" s="94"/>
      <c r="K4776" s="94"/>
      <c r="M4776" s="94"/>
    </row>
    <row r="4777" s="93" customFormat="1" spans="3:13">
      <c r="C4777" s="94"/>
      <c r="E4777" s="94"/>
      <c r="G4777" s="94"/>
      <c r="I4777" s="94"/>
      <c r="K4777" s="94"/>
      <c r="M4777" s="94"/>
    </row>
    <row r="4778" s="93" customFormat="1" spans="3:13">
      <c r="C4778" s="94"/>
      <c r="E4778" s="94"/>
      <c r="G4778" s="94"/>
      <c r="I4778" s="94"/>
      <c r="K4778" s="94"/>
      <c r="M4778" s="94"/>
    </row>
    <row r="4779" s="93" customFormat="1" spans="3:13">
      <c r="C4779" s="94"/>
      <c r="E4779" s="94"/>
      <c r="G4779" s="94"/>
      <c r="I4779" s="94"/>
      <c r="K4779" s="94"/>
      <c r="M4779" s="94"/>
    </row>
    <row r="4780" s="93" customFormat="1" spans="3:13">
      <c r="C4780" s="94"/>
      <c r="E4780" s="94"/>
      <c r="G4780" s="94"/>
      <c r="I4780" s="94"/>
      <c r="K4780" s="94"/>
      <c r="M4780" s="94"/>
    </row>
    <row r="4781" s="93" customFormat="1" spans="3:13">
      <c r="C4781" s="94"/>
      <c r="E4781" s="94"/>
      <c r="G4781" s="94"/>
      <c r="I4781" s="94"/>
      <c r="K4781" s="94"/>
      <c r="M4781" s="94"/>
    </row>
    <row r="4782" s="93" customFormat="1" spans="3:13">
      <c r="C4782" s="94"/>
      <c r="E4782" s="94"/>
      <c r="G4782" s="94"/>
      <c r="I4782" s="94"/>
      <c r="K4782" s="94"/>
      <c r="M4782" s="94"/>
    </row>
    <row r="4783" s="93" customFormat="1" spans="3:13">
      <c r="C4783" s="94"/>
      <c r="E4783" s="94"/>
      <c r="G4783" s="94"/>
      <c r="I4783" s="94"/>
      <c r="K4783" s="94"/>
      <c r="M4783" s="94"/>
    </row>
    <row r="4784" s="93" customFormat="1" spans="3:13">
      <c r="C4784" s="94"/>
      <c r="E4784" s="94"/>
      <c r="G4784" s="94"/>
      <c r="I4784" s="94"/>
      <c r="K4784" s="94"/>
      <c r="M4784" s="94"/>
    </row>
    <row r="4785" s="93" customFormat="1" spans="3:13">
      <c r="C4785" s="94"/>
      <c r="E4785" s="94"/>
      <c r="G4785" s="94"/>
      <c r="I4785" s="94"/>
      <c r="K4785" s="94"/>
      <c r="M4785" s="94"/>
    </row>
    <row r="4786" s="93" customFormat="1" spans="3:13">
      <c r="C4786" s="94"/>
      <c r="E4786" s="94"/>
      <c r="G4786" s="94"/>
      <c r="I4786" s="94"/>
      <c r="K4786" s="94"/>
      <c r="M4786" s="94"/>
    </row>
    <row r="4787" s="93" customFormat="1" spans="3:13">
      <c r="C4787" s="94"/>
      <c r="E4787" s="94"/>
      <c r="G4787" s="94"/>
      <c r="I4787" s="94"/>
      <c r="K4787" s="94"/>
      <c r="M4787" s="94"/>
    </row>
    <row r="4788" s="93" customFormat="1" spans="3:13">
      <c r="C4788" s="94"/>
      <c r="E4788" s="94"/>
      <c r="G4788" s="94"/>
      <c r="I4788" s="94"/>
      <c r="K4788" s="94"/>
      <c r="M4788" s="94"/>
    </row>
    <row r="4789" s="93" customFormat="1" spans="3:13">
      <c r="C4789" s="94"/>
      <c r="E4789" s="94"/>
      <c r="G4789" s="94"/>
      <c r="I4789" s="94"/>
      <c r="K4789" s="94"/>
      <c r="M4789" s="94"/>
    </row>
    <row r="4790" s="93" customFormat="1" spans="3:13">
      <c r="C4790" s="94"/>
      <c r="E4790" s="94"/>
      <c r="G4790" s="94"/>
      <c r="I4790" s="94"/>
      <c r="K4790" s="94"/>
      <c r="M4790" s="94"/>
    </row>
    <row r="4791" s="93" customFormat="1" spans="3:13">
      <c r="C4791" s="94"/>
      <c r="E4791" s="94"/>
      <c r="G4791" s="94"/>
      <c r="I4791" s="94"/>
      <c r="K4791" s="94"/>
      <c r="M4791" s="94"/>
    </row>
    <row r="4792" s="93" customFormat="1" spans="3:13">
      <c r="C4792" s="94"/>
      <c r="E4792" s="94"/>
      <c r="G4792" s="94"/>
      <c r="I4792" s="94"/>
      <c r="K4792" s="94"/>
      <c r="M4792" s="94"/>
    </row>
    <row r="4793" s="93" customFormat="1" spans="3:13">
      <c r="C4793" s="94"/>
      <c r="E4793" s="94"/>
      <c r="G4793" s="94"/>
      <c r="I4793" s="94"/>
      <c r="K4793" s="94"/>
      <c r="M4793" s="94"/>
    </row>
    <row r="4794" s="93" customFormat="1" spans="3:13">
      <c r="C4794" s="94"/>
      <c r="E4794" s="94"/>
      <c r="G4794" s="94"/>
      <c r="I4794" s="94"/>
      <c r="K4794" s="94"/>
      <c r="M4794" s="94"/>
    </row>
    <row r="4795" s="93" customFormat="1" spans="3:13">
      <c r="C4795" s="94"/>
      <c r="E4795" s="94"/>
      <c r="G4795" s="94"/>
      <c r="I4795" s="94"/>
      <c r="K4795" s="94"/>
      <c r="M4795" s="94"/>
    </row>
    <row r="4796" s="93" customFormat="1" spans="3:13">
      <c r="C4796" s="94"/>
      <c r="E4796" s="94"/>
      <c r="G4796" s="94"/>
      <c r="I4796" s="94"/>
      <c r="K4796" s="94"/>
      <c r="M4796" s="94"/>
    </row>
    <row r="4797" s="93" customFormat="1" spans="3:13">
      <c r="C4797" s="94"/>
      <c r="E4797" s="94"/>
      <c r="G4797" s="94"/>
      <c r="I4797" s="94"/>
      <c r="K4797" s="94"/>
      <c r="M4797" s="94"/>
    </row>
    <row r="4798" s="93" customFormat="1" spans="3:13">
      <c r="C4798" s="94"/>
      <c r="E4798" s="94"/>
      <c r="G4798" s="94"/>
      <c r="I4798" s="94"/>
      <c r="K4798" s="94"/>
      <c r="M4798" s="94"/>
    </row>
    <row r="4799" s="93" customFormat="1" spans="3:13">
      <c r="C4799" s="94"/>
      <c r="E4799" s="94"/>
      <c r="G4799" s="94"/>
      <c r="I4799" s="94"/>
      <c r="K4799" s="94"/>
      <c r="M4799" s="94"/>
    </row>
    <row r="4800" s="93" customFormat="1" spans="3:13">
      <c r="C4800" s="94"/>
      <c r="E4800" s="94"/>
      <c r="G4800" s="94"/>
      <c r="I4800" s="94"/>
      <c r="K4800" s="94"/>
      <c r="M4800" s="94"/>
    </row>
    <row r="4801" s="93" customFormat="1" spans="3:13">
      <c r="C4801" s="94"/>
      <c r="E4801" s="94"/>
      <c r="G4801" s="94"/>
      <c r="I4801" s="94"/>
      <c r="K4801" s="94"/>
      <c r="M4801" s="94"/>
    </row>
    <row r="4802" s="93" customFormat="1" spans="3:13">
      <c r="C4802" s="94"/>
      <c r="E4802" s="94"/>
      <c r="G4802" s="94"/>
      <c r="I4802" s="94"/>
      <c r="K4802" s="94"/>
      <c r="M4802" s="94"/>
    </row>
    <row r="4803" s="93" customFormat="1" spans="3:13">
      <c r="C4803" s="94"/>
      <c r="E4803" s="94"/>
      <c r="G4803" s="94"/>
      <c r="I4803" s="94"/>
      <c r="K4803" s="94"/>
      <c r="M4803" s="94"/>
    </row>
    <row r="4804" s="93" customFormat="1" spans="3:13">
      <c r="C4804" s="94"/>
      <c r="E4804" s="94"/>
      <c r="G4804" s="94"/>
      <c r="I4804" s="94"/>
      <c r="K4804" s="94"/>
      <c r="M4804" s="94"/>
    </row>
    <row r="4805" s="93" customFormat="1" spans="3:13">
      <c r="C4805" s="94"/>
      <c r="E4805" s="94"/>
      <c r="G4805" s="94"/>
      <c r="I4805" s="94"/>
      <c r="K4805" s="94"/>
      <c r="M4805" s="94"/>
    </row>
    <row r="4806" s="93" customFormat="1" spans="3:13">
      <c r="C4806" s="94"/>
      <c r="E4806" s="94"/>
      <c r="G4806" s="94"/>
      <c r="I4806" s="94"/>
      <c r="K4806" s="94"/>
      <c r="M4806" s="94"/>
    </row>
    <row r="4807" s="93" customFormat="1" spans="3:13">
      <c r="C4807" s="94"/>
      <c r="E4807" s="94"/>
      <c r="G4807" s="94"/>
      <c r="I4807" s="94"/>
      <c r="K4807" s="94"/>
      <c r="M4807" s="94"/>
    </row>
    <row r="4808" s="93" customFormat="1" spans="3:13">
      <c r="C4808" s="94"/>
      <c r="E4808" s="94"/>
      <c r="G4808" s="94"/>
      <c r="I4808" s="94"/>
      <c r="K4808" s="94"/>
      <c r="M4808" s="94"/>
    </row>
    <row r="4809" s="93" customFormat="1" spans="3:13">
      <c r="C4809" s="94"/>
      <c r="E4809" s="94"/>
      <c r="G4809" s="94"/>
      <c r="I4809" s="94"/>
      <c r="K4809" s="94"/>
      <c r="M4809" s="94"/>
    </row>
    <row r="4810" s="93" customFormat="1" spans="3:13">
      <c r="C4810" s="94"/>
      <c r="E4810" s="94"/>
      <c r="G4810" s="94"/>
      <c r="I4810" s="94"/>
      <c r="K4810" s="94"/>
      <c r="M4810" s="94"/>
    </row>
    <row r="4811" s="93" customFormat="1" spans="3:13">
      <c r="C4811" s="94"/>
      <c r="E4811" s="94"/>
      <c r="G4811" s="94"/>
      <c r="I4811" s="94"/>
      <c r="K4811" s="94"/>
      <c r="M4811" s="94"/>
    </row>
    <row r="4812" s="93" customFormat="1" spans="3:13">
      <c r="C4812" s="94"/>
      <c r="E4812" s="94"/>
      <c r="G4812" s="94"/>
      <c r="I4812" s="94"/>
      <c r="K4812" s="94"/>
      <c r="M4812" s="94"/>
    </row>
    <row r="4813" s="93" customFormat="1" spans="3:13">
      <c r="C4813" s="94"/>
      <c r="E4813" s="94"/>
      <c r="G4813" s="94"/>
      <c r="I4813" s="94"/>
      <c r="K4813" s="94"/>
      <c r="M4813" s="94"/>
    </row>
    <row r="4814" s="93" customFormat="1" spans="3:13">
      <c r="C4814" s="94"/>
      <c r="E4814" s="94"/>
      <c r="G4814" s="94"/>
      <c r="I4814" s="94"/>
      <c r="K4814" s="94"/>
      <c r="M4814" s="94"/>
    </row>
    <row r="4815" s="93" customFormat="1" spans="3:13">
      <c r="C4815" s="94"/>
      <c r="E4815" s="94"/>
      <c r="G4815" s="94"/>
      <c r="I4815" s="94"/>
      <c r="K4815" s="94"/>
      <c r="M4815" s="94"/>
    </row>
    <row r="4816" s="93" customFormat="1" spans="3:13">
      <c r="C4816" s="94"/>
      <c r="E4816" s="94"/>
      <c r="G4816" s="94"/>
      <c r="I4816" s="94"/>
      <c r="K4816" s="94"/>
      <c r="M4816" s="94"/>
    </row>
    <row r="4817" s="93" customFormat="1" spans="3:13">
      <c r="C4817" s="94"/>
      <c r="E4817" s="94"/>
      <c r="G4817" s="94"/>
      <c r="I4817" s="94"/>
      <c r="K4817" s="94"/>
      <c r="M4817" s="94"/>
    </row>
    <row r="4818" s="93" customFormat="1" spans="3:13">
      <c r="C4818" s="94"/>
      <c r="E4818" s="94"/>
      <c r="G4818" s="94"/>
      <c r="I4818" s="94"/>
      <c r="K4818" s="94"/>
      <c r="M4818" s="94"/>
    </row>
    <row r="4819" s="93" customFormat="1" spans="3:13">
      <c r="C4819" s="94"/>
      <c r="E4819" s="94"/>
      <c r="G4819" s="94"/>
      <c r="I4819" s="94"/>
      <c r="K4819" s="94"/>
      <c r="M4819" s="94"/>
    </row>
    <row r="4820" s="93" customFormat="1" spans="3:13">
      <c r="C4820" s="94"/>
      <c r="E4820" s="94"/>
      <c r="G4820" s="94"/>
      <c r="I4820" s="94"/>
      <c r="K4820" s="94"/>
      <c r="M4820" s="94"/>
    </row>
    <row r="4821" s="93" customFormat="1" spans="3:13">
      <c r="C4821" s="94"/>
      <c r="E4821" s="94"/>
      <c r="G4821" s="94"/>
      <c r="I4821" s="94"/>
      <c r="K4821" s="94"/>
      <c r="M4821" s="94"/>
    </row>
    <row r="4822" s="93" customFormat="1" spans="3:13">
      <c r="C4822" s="94"/>
      <c r="E4822" s="94"/>
      <c r="G4822" s="94"/>
      <c r="I4822" s="94"/>
      <c r="K4822" s="94"/>
      <c r="M4822" s="94"/>
    </row>
    <row r="4823" s="93" customFormat="1" spans="3:13">
      <c r="C4823" s="94"/>
      <c r="E4823" s="94"/>
      <c r="G4823" s="94"/>
      <c r="I4823" s="94"/>
      <c r="K4823" s="94"/>
      <c r="M4823" s="94"/>
    </row>
    <row r="4824" s="93" customFormat="1" spans="3:13">
      <c r="C4824" s="94"/>
      <c r="E4824" s="94"/>
      <c r="G4824" s="94"/>
      <c r="I4824" s="94"/>
      <c r="K4824" s="94"/>
      <c r="M4824" s="94"/>
    </row>
    <row r="4825" s="93" customFormat="1" spans="3:13">
      <c r="C4825" s="94"/>
      <c r="E4825" s="94"/>
      <c r="G4825" s="94"/>
      <c r="I4825" s="94"/>
      <c r="K4825" s="94"/>
      <c r="M4825" s="94"/>
    </row>
    <row r="4826" s="93" customFormat="1" spans="3:13">
      <c r="C4826" s="94"/>
      <c r="E4826" s="94"/>
      <c r="G4826" s="94"/>
      <c r="I4826" s="94"/>
      <c r="K4826" s="94"/>
      <c r="M4826" s="94"/>
    </row>
    <row r="4827" s="93" customFormat="1" spans="3:13">
      <c r="C4827" s="94"/>
      <c r="E4827" s="94"/>
      <c r="G4827" s="94"/>
      <c r="I4827" s="94"/>
      <c r="K4827" s="94"/>
      <c r="M4827" s="94"/>
    </row>
    <row r="4828" s="93" customFormat="1" spans="3:13">
      <c r="C4828" s="94"/>
      <c r="E4828" s="94"/>
      <c r="G4828" s="94"/>
      <c r="I4828" s="94"/>
      <c r="K4828" s="94"/>
      <c r="M4828" s="94"/>
    </row>
    <row r="4829" s="93" customFormat="1" spans="3:13">
      <c r="C4829" s="94"/>
      <c r="E4829" s="94"/>
      <c r="G4829" s="94"/>
      <c r="I4829" s="94"/>
      <c r="K4829" s="94"/>
      <c r="M4829" s="94"/>
    </row>
    <row r="4830" s="93" customFormat="1" spans="3:13">
      <c r="C4830" s="94"/>
      <c r="E4830" s="94"/>
      <c r="G4830" s="94"/>
      <c r="I4830" s="94"/>
      <c r="K4830" s="94"/>
      <c r="M4830" s="94"/>
    </row>
    <row r="4831" s="93" customFormat="1" spans="3:13">
      <c r="C4831" s="94"/>
      <c r="E4831" s="94"/>
      <c r="G4831" s="94"/>
      <c r="I4831" s="94"/>
      <c r="K4831" s="94"/>
      <c r="M4831" s="94"/>
    </row>
    <row r="4832" s="93" customFormat="1" spans="3:13">
      <c r="C4832" s="94"/>
      <c r="E4832" s="94"/>
      <c r="G4832" s="94"/>
      <c r="I4832" s="94"/>
      <c r="K4832" s="94"/>
      <c r="M4832" s="94"/>
    </row>
    <row r="4833" s="93" customFormat="1" spans="3:13">
      <c r="C4833" s="94"/>
      <c r="E4833" s="94"/>
      <c r="G4833" s="94"/>
      <c r="I4833" s="94"/>
      <c r="K4833" s="94"/>
      <c r="M4833" s="94"/>
    </row>
    <row r="4834" s="93" customFormat="1" spans="3:13">
      <c r="C4834" s="94"/>
      <c r="E4834" s="94"/>
      <c r="G4834" s="94"/>
      <c r="I4834" s="94"/>
      <c r="K4834" s="94"/>
      <c r="M4834" s="94"/>
    </row>
    <row r="4835" s="93" customFormat="1" spans="3:13">
      <c r="C4835" s="94"/>
      <c r="E4835" s="94"/>
      <c r="G4835" s="94"/>
      <c r="I4835" s="94"/>
      <c r="K4835" s="94"/>
      <c r="M4835" s="94"/>
    </row>
    <row r="4836" s="93" customFormat="1" spans="3:13">
      <c r="C4836" s="94"/>
      <c r="E4836" s="94"/>
      <c r="G4836" s="94"/>
      <c r="I4836" s="94"/>
      <c r="K4836" s="94"/>
      <c r="M4836" s="94"/>
    </row>
    <row r="4837" s="93" customFormat="1" spans="3:13">
      <c r="C4837" s="94"/>
      <c r="E4837" s="94"/>
      <c r="G4837" s="94"/>
      <c r="I4837" s="94"/>
      <c r="K4837" s="94"/>
      <c r="M4837" s="94"/>
    </row>
    <row r="4838" s="93" customFormat="1" spans="3:13">
      <c r="C4838" s="94"/>
      <c r="E4838" s="94"/>
      <c r="G4838" s="94"/>
      <c r="I4838" s="94"/>
      <c r="K4838" s="94"/>
      <c r="M4838" s="94"/>
    </row>
    <row r="4839" s="93" customFormat="1" spans="3:13">
      <c r="C4839" s="94"/>
      <c r="E4839" s="94"/>
      <c r="G4839" s="94"/>
      <c r="I4839" s="94"/>
      <c r="K4839" s="94"/>
      <c r="M4839" s="94"/>
    </row>
    <row r="4840" s="93" customFormat="1" spans="3:13">
      <c r="C4840" s="94"/>
      <c r="E4840" s="94"/>
      <c r="G4840" s="94"/>
      <c r="I4840" s="94"/>
      <c r="K4840" s="94"/>
      <c r="M4840" s="94"/>
    </row>
    <row r="4841" s="93" customFormat="1" spans="3:13">
      <c r="C4841" s="94"/>
      <c r="E4841" s="94"/>
      <c r="G4841" s="94"/>
      <c r="I4841" s="94"/>
      <c r="K4841" s="94"/>
      <c r="M4841" s="94"/>
    </row>
    <row r="4842" s="93" customFormat="1" spans="3:13">
      <c r="C4842" s="94"/>
      <c r="E4842" s="94"/>
      <c r="G4842" s="94"/>
      <c r="I4842" s="94"/>
      <c r="K4842" s="94"/>
      <c r="M4842" s="94"/>
    </row>
    <row r="4843" s="93" customFormat="1" spans="3:13">
      <c r="C4843" s="94"/>
      <c r="E4843" s="94"/>
      <c r="G4843" s="94"/>
      <c r="I4843" s="94"/>
      <c r="K4843" s="94"/>
      <c r="M4843" s="94"/>
    </row>
    <row r="4844" s="93" customFormat="1" spans="3:13">
      <c r="C4844" s="94"/>
      <c r="E4844" s="94"/>
      <c r="G4844" s="94"/>
      <c r="I4844" s="94"/>
      <c r="K4844" s="94"/>
      <c r="M4844" s="94"/>
    </row>
    <row r="4845" s="93" customFormat="1" spans="3:13">
      <c r="C4845" s="94"/>
      <c r="E4845" s="94"/>
      <c r="G4845" s="94"/>
      <c r="I4845" s="94"/>
      <c r="K4845" s="94"/>
      <c r="M4845" s="94"/>
    </row>
    <row r="4846" s="93" customFormat="1" spans="3:13">
      <c r="C4846" s="94"/>
      <c r="E4846" s="94"/>
      <c r="G4846" s="94"/>
      <c r="I4846" s="94"/>
      <c r="K4846" s="94"/>
      <c r="M4846" s="94"/>
    </row>
    <row r="4847" s="93" customFormat="1" spans="3:13">
      <c r="C4847" s="94"/>
      <c r="E4847" s="94"/>
      <c r="G4847" s="94"/>
      <c r="I4847" s="94"/>
      <c r="K4847" s="94"/>
      <c r="M4847" s="94"/>
    </row>
    <row r="4848" s="93" customFormat="1" spans="3:13">
      <c r="C4848" s="94"/>
      <c r="E4848" s="94"/>
      <c r="G4848" s="94"/>
      <c r="I4848" s="94"/>
      <c r="K4848" s="94"/>
      <c r="M4848" s="94"/>
    </row>
    <row r="4849" s="93" customFormat="1" spans="3:13">
      <c r="C4849" s="94"/>
      <c r="E4849" s="94"/>
      <c r="G4849" s="94"/>
      <c r="I4849" s="94"/>
      <c r="K4849" s="94"/>
      <c r="M4849" s="94"/>
    </row>
    <row r="4850" s="93" customFormat="1" spans="3:13">
      <c r="C4850" s="94"/>
      <c r="E4850" s="94"/>
      <c r="G4850" s="94"/>
      <c r="I4850" s="94"/>
      <c r="K4850" s="94"/>
      <c r="M4850" s="94"/>
    </row>
    <row r="4851" s="93" customFormat="1" spans="3:13">
      <c r="C4851" s="94"/>
      <c r="E4851" s="94"/>
      <c r="G4851" s="94"/>
      <c r="I4851" s="94"/>
      <c r="K4851" s="94"/>
      <c r="M4851" s="94"/>
    </row>
    <row r="4852" s="93" customFormat="1" spans="3:13">
      <c r="C4852" s="94"/>
      <c r="E4852" s="94"/>
      <c r="G4852" s="94"/>
      <c r="I4852" s="94"/>
      <c r="K4852" s="94"/>
      <c r="M4852" s="94"/>
    </row>
    <row r="4853" s="93" customFormat="1" spans="3:13">
      <c r="C4853" s="94"/>
      <c r="E4853" s="94"/>
      <c r="G4853" s="94"/>
      <c r="I4853" s="94"/>
      <c r="K4853" s="94"/>
      <c r="M4853" s="94"/>
    </row>
    <row r="4854" s="93" customFormat="1" spans="3:13">
      <c r="C4854" s="94"/>
      <c r="E4854" s="94"/>
      <c r="G4854" s="94"/>
      <c r="I4854" s="94"/>
      <c r="K4854" s="94"/>
      <c r="M4854" s="94"/>
    </row>
    <row r="4855" s="93" customFormat="1" spans="3:13">
      <c r="C4855" s="94"/>
      <c r="E4855" s="94"/>
      <c r="G4855" s="94"/>
      <c r="I4855" s="94"/>
      <c r="K4855" s="94"/>
      <c r="M4855" s="94"/>
    </row>
    <row r="4856" s="93" customFormat="1" spans="3:13">
      <c r="C4856" s="94"/>
      <c r="E4856" s="94"/>
      <c r="G4856" s="94"/>
      <c r="I4856" s="94"/>
      <c r="K4856" s="94"/>
      <c r="M4856" s="94"/>
    </row>
    <row r="4857" s="93" customFormat="1" spans="3:13">
      <c r="C4857" s="94"/>
      <c r="E4857" s="94"/>
      <c r="G4857" s="94"/>
      <c r="I4857" s="94"/>
      <c r="K4857" s="94"/>
      <c r="M4857" s="94"/>
    </row>
    <row r="4858" s="93" customFormat="1" spans="3:13">
      <c r="C4858" s="94"/>
      <c r="E4858" s="94"/>
      <c r="G4858" s="94"/>
      <c r="I4858" s="94"/>
      <c r="K4858" s="94"/>
      <c r="M4858" s="94"/>
    </row>
    <row r="4859" s="93" customFormat="1" spans="3:13">
      <c r="C4859" s="94"/>
      <c r="E4859" s="94"/>
      <c r="G4859" s="94"/>
      <c r="I4859" s="94"/>
      <c r="K4859" s="94"/>
      <c r="M4859" s="94"/>
    </row>
    <row r="4860" s="93" customFormat="1" spans="3:13">
      <c r="C4860" s="94"/>
      <c r="E4860" s="94"/>
      <c r="G4860" s="94"/>
      <c r="I4860" s="94"/>
      <c r="K4860" s="94"/>
      <c r="M4860" s="94"/>
    </row>
    <row r="4861" s="93" customFormat="1" spans="3:13">
      <c r="C4861" s="94"/>
      <c r="E4861" s="94"/>
      <c r="G4861" s="94"/>
      <c r="I4861" s="94"/>
      <c r="K4861" s="94"/>
      <c r="M4861" s="94"/>
    </row>
    <row r="4862" s="93" customFormat="1" spans="3:13">
      <c r="C4862" s="94"/>
      <c r="E4862" s="94"/>
      <c r="G4862" s="94"/>
      <c r="I4862" s="94"/>
      <c r="K4862" s="94"/>
      <c r="M4862" s="94"/>
    </row>
    <row r="4863" s="93" customFormat="1" spans="3:13">
      <c r="C4863" s="94"/>
      <c r="E4863" s="94"/>
      <c r="G4863" s="94"/>
      <c r="I4863" s="94"/>
      <c r="K4863" s="94"/>
      <c r="M4863" s="94"/>
    </row>
    <row r="4864" s="93" customFormat="1" spans="3:13">
      <c r="C4864" s="94"/>
      <c r="E4864" s="94"/>
      <c r="G4864" s="94"/>
      <c r="I4864" s="94"/>
      <c r="K4864" s="94"/>
      <c r="M4864" s="94"/>
    </row>
    <row r="4865" s="93" customFormat="1" spans="3:13">
      <c r="C4865" s="94"/>
      <c r="E4865" s="94"/>
      <c r="G4865" s="94"/>
      <c r="I4865" s="94"/>
      <c r="K4865" s="94"/>
      <c r="M4865" s="94"/>
    </row>
    <row r="4866" s="93" customFormat="1" spans="3:13">
      <c r="C4866" s="94"/>
      <c r="E4866" s="94"/>
      <c r="G4866" s="94"/>
      <c r="I4866" s="94"/>
      <c r="K4866" s="94"/>
      <c r="M4866" s="94"/>
    </row>
    <row r="4867" s="93" customFormat="1" spans="3:13">
      <c r="C4867" s="94"/>
      <c r="E4867" s="94"/>
      <c r="G4867" s="94"/>
      <c r="I4867" s="94"/>
      <c r="K4867" s="94"/>
      <c r="M4867" s="94"/>
    </row>
    <row r="4868" s="93" customFormat="1" spans="3:13">
      <c r="C4868" s="94"/>
      <c r="E4868" s="94"/>
      <c r="G4868" s="94"/>
      <c r="I4868" s="94"/>
      <c r="K4868" s="94"/>
      <c r="M4868" s="94"/>
    </row>
    <row r="4869" s="93" customFormat="1" spans="3:13">
      <c r="C4869" s="94"/>
      <c r="E4869" s="94"/>
      <c r="G4869" s="94"/>
      <c r="I4869" s="94"/>
      <c r="K4869" s="94"/>
      <c r="M4869" s="94"/>
    </row>
    <row r="4870" s="93" customFormat="1" spans="3:13">
      <c r="C4870" s="94"/>
      <c r="E4870" s="94"/>
      <c r="G4870" s="94"/>
      <c r="I4870" s="94"/>
      <c r="K4870" s="94"/>
      <c r="M4870" s="94"/>
    </row>
    <row r="4871" s="93" customFormat="1" spans="3:13">
      <c r="C4871" s="94"/>
      <c r="E4871" s="94"/>
      <c r="G4871" s="94"/>
      <c r="I4871" s="94"/>
      <c r="K4871" s="94"/>
      <c r="M4871" s="94"/>
    </row>
    <row r="4872" s="93" customFormat="1" spans="3:13">
      <c r="C4872" s="94"/>
      <c r="E4872" s="94"/>
      <c r="G4872" s="94"/>
      <c r="I4872" s="94"/>
      <c r="K4872" s="94"/>
      <c r="M4872" s="94"/>
    </row>
    <row r="4873" s="93" customFormat="1" spans="3:13">
      <c r="C4873" s="94"/>
      <c r="E4873" s="94"/>
      <c r="G4873" s="94"/>
      <c r="I4873" s="94"/>
      <c r="K4873" s="94"/>
      <c r="M4873" s="94"/>
    </row>
    <row r="4874" s="93" customFormat="1" spans="3:13">
      <c r="C4874" s="94"/>
      <c r="E4874" s="94"/>
      <c r="G4874" s="94"/>
      <c r="I4874" s="94"/>
      <c r="K4874" s="94"/>
      <c r="M4874" s="94"/>
    </row>
    <row r="4875" s="93" customFormat="1" spans="3:13">
      <c r="C4875" s="94"/>
      <c r="E4875" s="94"/>
      <c r="G4875" s="94"/>
      <c r="I4875" s="94"/>
      <c r="K4875" s="94"/>
      <c r="M4875" s="94"/>
    </row>
    <row r="4876" s="93" customFormat="1" spans="3:13">
      <c r="C4876" s="94"/>
      <c r="E4876" s="94"/>
      <c r="G4876" s="94"/>
      <c r="I4876" s="94"/>
      <c r="K4876" s="94"/>
      <c r="M4876" s="94"/>
    </row>
    <row r="4877" s="93" customFormat="1" spans="3:13">
      <c r="C4877" s="94"/>
      <c r="E4877" s="94"/>
      <c r="G4877" s="94"/>
      <c r="I4877" s="94"/>
      <c r="K4877" s="94"/>
      <c r="M4877" s="94"/>
    </row>
    <row r="4878" s="93" customFormat="1" spans="3:13">
      <c r="C4878" s="94"/>
      <c r="E4878" s="94"/>
      <c r="G4878" s="94"/>
      <c r="I4878" s="94"/>
      <c r="K4878" s="94"/>
      <c r="M4878" s="94"/>
    </row>
    <row r="4879" s="93" customFormat="1" spans="3:13">
      <c r="C4879" s="94"/>
      <c r="E4879" s="94"/>
      <c r="G4879" s="94"/>
      <c r="I4879" s="94"/>
      <c r="K4879" s="94"/>
      <c r="M4879" s="94"/>
    </row>
    <row r="4880" s="93" customFormat="1" spans="3:13">
      <c r="C4880" s="94"/>
      <c r="E4880" s="94"/>
      <c r="G4880" s="94"/>
      <c r="I4880" s="94"/>
      <c r="K4880" s="94"/>
      <c r="M4880" s="94"/>
    </row>
    <row r="4881" s="93" customFormat="1" spans="3:13">
      <c r="C4881" s="94"/>
      <c r="E4881" s="94"/>
      <c r="G4881" s="94"/>
      <c r="I4881" s="94"/>
      <c r="K4881" s="94"/>
      <c r="M4881" s="94"/>
    </row>
    <row r="4882" s="93" customFormat="1" spans="3:13">
      <c r="C4882" s="94"/>
      <c r="E4882" s="94"/>
      <c r="G4882" s="94"/>
      <c r="I4882" s="94"/>
      <c r="K4882" s="94"/>
      <c r="M4882" s="94"/>
    </row>
    <row r="4883" s="93" customFormat="1" spans="3:13">
      <c r="C4883" s="94"/>
      <c r="E4883" s="94"/>
      <c r="G4883" s="94"/>
      <c r="I4883" s="94"/>
      <c r="K4883" s="94"/>
      <c r="M4883" s="94"/>
    </row>
    <row r="4884" s="93" customFormat="1" spans="3:13">
      <c r="C4884" s="94"/>
      <c r="E4884" s="94"/>
      <c r="G4884" s="94"/>
      <c r="I4884" s="94"/>
      <c r="K4884" s="94"/>
      <c r="M4884" s="94"/>
    </row>
    <row r="4885" s="93" customFormat="1" spans="3:13">
      <c r="C4885" s="94"/>
      <c r="E4885" s="94"/>
      <c r="G4885" s="94"/>
      <c r="I4885" s="94"/>
      <c r="K4885" s="94"/>
      <c r="M4885" s="94"/>
    </row>
    <row r="4886" s="93" customFormat="1" spans="3:13">
      <c r="C4886" s="94"/>
      <c r="E4886" s="94"/>
      <c r="G4886" s="94"/>
      <c r="I4886" s="94"/>
      <c r="K4886" s="94"/>
      <c r="M4886" s="94"/>
    </row>
    <row r="4887" s="93" customFormat="1" spans="3:13">
      <c r="C4887" s="94"/>
      <c r="E4887" s="94"/>
      <c r="G4887" s="94"/>
      <c r="I4887" s="94"/>
      <c r="K4887" s="94"/>
      <c r="M4887" s="94"/>
    </row>
    <row r="4888" s="93" customFormat="1" spans="3:13">
      <c r="C4888" s="94"/>
      <c r="E4888" s="94"/>
      <c r="G4888" s="94"/>
      <c r="I4888" s="94"/>
      <c r="K4888" s="94"/>
      <c r="M4888" s="94"/>
    </row>
    <row r="4889" s="93" customFormat="1" spans="3:13">
      <c r="C4889" s="94"/>
      <c r="E4889" s="94"/>
      <c r="G4889" s="94"/>
      <c r="I4889" s="94"/>
      <c r="K4889" s="94"/>
      <c r="M4889" s="94"/>
    </row>
    <row r="4890" s="93" customFormat="1" spans="3:13">
      <c r="C4890" s="94"/>
      <c r="E4890" s="94"/>
      <c r="G4890" s="94"/>
      <c r="I4890" s="94"/>
      <c r="K4890" s="94"/>
      <c r="M4890" s="94"/>
    </row>
    <row r="4891" s="93" customFormat="1" spans="3:13">
      <c r="C4891" s="94"/>
      <c r="E4891" s="94"/>
      <c r="G4891" s="94"/>
      <c r="I4891" s="94"/>
      <c r="K4891" s="94"/>
      <c r="M4891" s="94"/>
    </row>
    <row r="4892" s="93" customFormat="1" spans="3:13">
      <c r="C4892" s="94"/>
      <c r="E4892" s="94"/>
      <c r="G4892" s="94"/>
      <c r="I4892" s="94"/>
      <c r="K4892" s="94"/>
      <c r="M4892" s="94"/>
    </row>
    <row r="4893" s="93" customFormat="1" spans="3:13">
      <c r="C4893" s="94"/>
      <c r="E4893" s="94"/>
      <c r="G4893" s="94"/>
      <c r="I4893" s="94"/>
      <c r="K4893" s="94"/>
      <c r="M4893" s="94"/>
    </row>
    <row r="4894" s="93" customFormat="1" spans="3:13">
      <c r="C4894" s="94"/>
      <c r="E4894" s="94"/>
      <c r="G4894" s="94"/>
      <c r="I4894" s="94"/>
      <c r="K4894" s="94"/>
      <c r="M4894" s="94"/>
    </row>
    <row r="4895" s="93" customFormat="1" spans="3:13">
      <c r="C4895" s="94"/>
      <c r="E4895" s="94"/>
      <c r="G4895" s="94"/>
      <c r="I4895" s="94"/>
      <c r="K4895" s="94"/>
      <c r="M4895" s="94"/>
    </row>
    <row r="4896" s="93" customFormat="1" spans="3:13">
      <c r="C4896" s="94"/>
      <c r="E4896" s="94"/>
      <c r="G4896" s="94"/>
      <c r="I4896" s="94"/>
      <c r="K4896" s="94"/>
      <c r="M4896" s="94"/>
    </row>
    <row r="4897" s="93" customFormat="1" spans="3:13">
      <c r="C4897" s="94"/>
      <c r="E4897" s="94"/>
      <c r="G4897" s="94"/>
      <c r="I4897" s="94"/>
      <c r="K4897" s="94"/>
      <c r="M4897" s="94"/>
    </row>
    <row r="4898" s="93" customFormat="1" spans="3:13">
      <c r="C4898" s="94"/>
      <c r="E4898" s="94"/>
      <c r="G4898" s="94"/>
      <c r="I4898" s="94"/>
      <c r="K4898" s="94"/>
      <c r="M4898" s="94"/>
    </row>
    <row r="4899" s="93" customFormat="1" spans="3:13">
      <c r="C4899" s="94"/>
      <c r="E4899" s="94"/>
      <c r="G4899" s="94"/>
      <c r="I4899" s="94"/>
      <c r="K4899" s="94"/>
      <c r="M4899" s="94"/>
    </row>
    <row r="4900" s="93" customFormat="1" spans="3:13">
      <c r="C4900" s="94"/>
      <c r="E4900" s="94"/>
      <c r="G4900" s="94"/>
      <c r="I4900" s="94"/>
      <c r="K4900" s="94"/>
      <c r="M4900" s="94"/>
    </row>
    <row r="4901" s="93" customFormat="1" spans="3:13">
      <c r="C4901" s="94"/>
      <c r="E4901" s="94"/>
      <c r="G4901" s="94"/>
      <c r="I4901" s="94"/>
      <c r="K4901" s="94"/>
      <c r="M4901" s="94"/>
    </row>
    <row r="4902" s="93" customFormat="1" spans="3:13">
      <c r="C4902" s="94"/>
      <c r="E4902" s="94"/>
      <c r="G4902" s="94"/>
      <c r="I4902" s="94"/>
      <c r="K4902" s="94"/>
      <c r="M4902" s="94"/>
    </row>
    <row r="4903" s="93" customFormat="1" spans="3:13">
      <c r="C4903" s="94"/>
      <c r="E4903" s="94"/>
      <c r="G4903" s="94"/>
      <c r="I4903" s="94"/>
      <c r="K4903" s="94"/>
      <c r="M4903" s="94"/>
    </row>
    <row r="4904" s="93" customFormat="1" spans="3:13">
      <c r="C4904" s="94"/>
      <c r="E4904" s="94"/>
      <c r="G4904" s="94"/>
      <c r="I4904" s="94"/>
      <c r="K4904" s="94"/>
      <c r="M4904" s="94"/>
    </row>
    <row r="4905" s="93" customFormat="1" spans="3:13">
      <c r="C4905" s="94"/>
      <c r="E4905" s="94"/>
      <c r="G4905" s="94"/>
      <c r="I4905" s="94"/>
      <c r="K4905" s="94"/>
      <c r="M4905" s="94"/>
    </row>
    <row r="4906" s="93" customFormat="1" spans="3:13">
      <c r="C4906" s="94"/>
      <c r="E4906" s="94"/>
      <c r="G4906" s="94"/>
      <c r="I4906" s="94"/>
      <c r="K4906" s="94"/>
      <c r="M4906" s="94"/>
    </row>
    <row r="4907" s="93" customFormat="1" spans="3:13">
      <c r="C4907" s="94"/>
      <c r="E4907" s="94"/>
      <c r="G4907" s="94"/>
      <c r="I4907" s="94"/>
      <c r="K4907" s="94"/>
      <c r="M4907" s="94"/>
    </row>
    <row r="4908" s="93" customFormat="1" spans="3:13">
      <c r="C4908" s="94"/>
      <c r="E4908" s="94"/>
      <c r="G4908" s="94"/>
      <c r="I4908" s="94"/>
      <c r="K4908" s="94"/>
      <c r="M4908" s="94"/>
    </row>
    <row r="4909" s="93" customFormat="1" spans="3:13">
      <c r="C4909" s="94"/>
      <c r="E4909" s="94"/>
      <c r="G4909" s="94"/>
      <c r="I4909" s="94"/>
      <c r="K4909" s="94"/>
      <c r="M4909" s="94"/>
    </row>
    <row r="4910" s="93" customFormat="1" spans="3:13">
      <c r="C4910" s="94"/>
      <c r="E4910" s="94"/>
      <c r="G4910" s="94"/>
      <c r="I4910" s="94"/>
      <c r="K4910" s="94"/>
      <c r="M4910" s="94"/>
    </row>
    <row r="4911" s="93" customFormat="1" spans="3:13">
      <c r="C4911" s="94"/>
      <c r="E4911" s="94"/>
      <c r="G4911" s="94"/>
      <c r="I4911" s="94"/>
      <c r="K4911" s="94"/>
      <c r="M4911" s="94"/>
    </row>
    <row r="4912" s="93" customFormat="1" spans="3:13">
      <c r="C4912" s="94"/>
      <c r="E4912" s="94"/>
      <c r="G4912" s="94"/>
      <c r="I4912" s="94"/>
      <c r="K4912" s="94"/>
      <c r="M4912" s="94"/>
    </row>
    <row r="4913" s="93" customFormat="1" spans="3:13">
      <c r="C4913" s="94"/>
      <c r="E4913" s="94"/>
      <c r="G4913" s="94"/>
      <c r="I4913" s="94"/>
      <c r="K4913" s="94"/>
      <c r="M4913" s="94"/>
    </row>
    <row r="4914" s="93" customFormat="1" spans="3:13">
      <c r="C4914" s="94"/>
      <c r="E4914" s="94"/>
      <c r="G4914" s="94"/>
      <c r="I4914" s="94"/>
      <c r="K4914" s="94"/>
      <c r="M4914" s="94"/>
    </row>
    <row r="4915" s="93" customFormat="1" spans="3:13">
      <c r="C4915" s="94"/>
      <c r="E4915" s="94"/>
      <c r="G4915" s="94"/>
      <c r="I4915" s="94"/>
      <c r="K4915" s="94"/>
      <c r="M4915" s="94"/>
    </row>
    <row r="4916" s="93" customFormat="1" spans="3:13">
      <c r="C4916" s="94"/>
      <c r="E4916" s="94"/>
      <c r="G4916" s="94"/>
      <c r="I4916" s="94"/>
      <c r="K4916" s="94"/>
      <c r="M4916" s="94"/>
    </row>
    <row r="4917" s="93" customFormat="1" spans="3:13">
      <c r="C4917" s="94"/>
      <c r="E4917" s="94"/>
      <c r="G4917" s="94"/>
      <c r="I4917" s="94"/>
      <c r="K4917" s="94"/>
      <c r="M4917" s="94"/>
    </row>
    <row r="4918" s="93" customFormat="1" spans="3:13">
      <c r="C4918" s="94"/>
      <c r="E4918" s="94"/>
      <c r="G4918" s="94"/>
      <c r="I4918" s="94"/>
      <c r="K4918" s="94"/>
      <c r="M4918" s="94"/>
    </row>
    <row r="4919" s="93" customFormat="1" spans="3:13">
      <c r="C4919" s="94"/>
      <c r="E4919" s="94"/>
      <c r="G4919" s="94"/>
      <c r="I4919" s="94"/>
      <c r="K4919" s="94"/>
      <c r="M4919" s="94"/>
    </row>
    <row r="4920" s="93" customFormat="1" spans="3:13">
      <c r="C4920" s="94"/>
      <c r="E4920" s="94"/>
      <c r="G4920" s="94"/>
      <c r="I4920" s="94"/>
      <c r="K4920" s="94"/>
      <c r="M4920" s="94"/>
    </row>
    <row r="4921" s="93" customFormat="1" spans="3:13">
      <c r="C4921" s="94"/>
      <c r="E4921" s="94"/>
      <c r="G4921" s="94"/>
      <c r="I4921" s="94"/>
      <c r="K4921" s="94"/>
      <c r="M4921" s="94"/>
    </row>
    <row r="4922" s="93" customFormat="1" spans="3:13">
      <c r="C4922" s="94"/>
      <c r="E4922" s="94"/>
      <c r="G4922" s="94"/>
      <c r="I4922" s="94"/>
      <c r="K4922" s="94"/>
      <c r="M4922" s="94"/>
    </row>
    <row r="4923" s="93" customFormat="1" spans="3:13">
      <c r="C4923" s="94"/>
      <c r="E4923" s="94"/>
      <c r="G4923" s="94"/>
      <c r="I4923" s="94"/>
      <c r="K4923" s="94"/>
      <c r="M4923" s="94"/>
    </row>
    <row r="4924" s="93" customFormat="1" spans="3:13">
      <c r="C4924" s="94"/>
      <c r="E4924" s="94"/>
      <c r="G4924" s="94"/>
      <c r="I4924" s="94"/>
      <c r="K4924" s="94"/>
      <c r="M4924" s="94"/>
    </row>
    <row r="4925" s="93" customFormat="1" spans="3:13">
      <c r="C4925" s="94"/>
      <c r="E4925" s="94"/>
      <c r="G4925" s="94"/>
      <c r="I4925" s="94"/>
      <c r="K4925" s="94"/>
      <c r="M4925" s="94"/>
    </row>
    <row r="4926" s="93" customFormat="1" spans="3:13">
      <c r="C4926" s="94"/>
      <c r="E4926" s="94"/>
      <c r="G4926" s="94"/>
      <c r="I4926" s="94"/>
      <c r="K4926" s="94"/>
      <c r="M4926" s="94"/>
    </row>
    <row r="4927" s="93" customFormat="1" spans="3:13">
      <c r="C4927" s="94"/>
      <c r="E4927" s="94"/>
      <c r="G4927" s="94"/>
      <c r="I4927" s="94"/>
      <c r="K4927" s="94"/>
      <c r="M4927" s="94"/>
    </row>
    <row r="4928" s="93" customFormat="1" spans="3:13">
      <c r="C4928" s="94"/>
      <c r="E4928" s="94"/>
      <c r="G4928" s="94"/>
      <c r="I4928" s="94"/>
      <c r="K4928" s="94"/>
      <c r="M4928" s="94"/>
    </row>
    <row r="4929" s="93" customFormat="1" spans="3:13">
      <c r="C4929" s="94"/>
      <c r="E4929" s="94"/>
      <c r="G4929" s="94"/>
      <c r="I4929" s="94"/>
      <c r="K4929" s="94"/>
      <c r="M4929" s="94"/>
    </row>
    <row r="4930" s="93" customFormat="1" spans="3:13">
      <c r="C4930" s="94"/>
      <c r="E4930" s="94"/>
      <c r="G4930" s="94"/>
      <c r="I4930" s="94"/>
      <c r="K4930" s="94"/>
      <c r="M4930" s="94"/>
    </row>
    <row r="4931" s="93" customFormat="1" spans="3:13">
      <c r="C4931" s="94"/>
      <c r="E4931" s="94"/>
      <c r="G4931" s="94"/>
      <c r="I4931" s="94"/>
      <c r="K4931" s="94"/>
      <c r="M4931" s="94"/>
    </row>
    <row r="4932" s="93" customFormat="1" spans="3:13">
      <c r="C4932" s="94"/>
      <c r="E4932" s="94"/>
      <c r="G4932" s="94"/>
      <c r="I4932" s="94"/>
      <c r="K4932" s="94"/>
      <c r="M4932" s="94"/>
    </row>
    <row r="4933" s="93" customFormat="1" spans="3:13">
      <c r="C4933" s="94"/>
      <c r="E4933" s="94"/>
      <c r="G4933" s="94"/>
      <c r="I4933" s="94"/>
      <c r="K4933" s="94"/>
      <c r="M4933" s="94"/>
    </row>
    <row r="4934" s="93" customFormat="1" spans="3:13">
      <c r="C4934" s="94"/>
      <c r="E4934" s="94"/>
      <c r="G4934" s="94"/>
      <c r="I4934" s="94"/>
      <c r="K4934" s="94"/>
      <c r="M4934" s="94"/>
    </row>
    <row r="4935" s="93" customFormat="1" spans="3:13">
      <c r="C4935" s="94"/>
      <c r="E4935" s="94"/>
      <c r="G4935" s="94"/>
      <c r="I4935" s="94"/>
      <c r="K4935" s="94"/>
      <c r="M4935" s="94"/>
    </row>
    <row r="4936" s="93" customFormat="1" spans="3:13">
      <c r="C4936" s="94"/>
      <c r="E4936" s="94"/>
      <c r="G4936" s="94"/>
      <c r="I4936" s="94"/>
      <c r="K4936" s="94"/>
      <c r="M4936" s="94"/>
    </row>
    <row r="4937" s="93" customFormat="1" spans="3:13">
      <c r="C4937" s="94"/>
      <c r="E4937" s="94"/>
      <c r="G4937" s="94"/>
      <c r="I4937" s="94"/>
      <c r="K4937" s="94"/>
      <c r="M4937" s="94"/>
    </row>
    <row r="4938" s="93" customFormat="1" spans="3:13">
      <c r="C4938" s="94"/>
      <c r="E4938" s="94"/>
      <c r="G4938" s="94"/>
      <c r="I4938" s="94"/>
      <c r="K4938" s="94"/>
      <c r="M4938" s="94"/>
    </row>
    <row r="4939" s="93" customFormat="1" spans="3:13">
      <c r="C4939" s="94"/>
      <c r="E4939" s="94"/>
      <c r="G4939" s="94"/>
      <c r="I4939" s="94"/>
      <c r="K4939" s="94"/>
      <c r="M4939" s="94"/>
    </row>
    <row r="4940" s="93" customFormat="1" spans="3:13">
      <c r="C4940" s="94"/>
      <c r="E4940" s="94"/>
      <c r="G4940" s="94"/>
      <c r="I4940" s="94"/>
      <c r="K4940" s="94"/>
      <c r="M4940" s="94"/>
    </row>
    <row r="4941" s="93" customFormat="1" spans="3:13">
      <c r="C4941" s="94"/>
      <c r="E4941" s="94"/>
      <c r="G4941" s="94"/>
      <c r="I4941" s="94"/>
      <c r="K4941" s="94"/>
      <c r="M4941" s="94"/>
    </row>
    <row r="4942" s="93" customFormat="1" spans="3:13">
      <c r="C4942" s="94"/>
      <c r="E4942" s="94"/>
      <c r="G4942" s="94"/>
      <c r="I4942" s="94"/>
      <c r="K4942" s="94"/>
      <c r="M4942" s="94"/>
    </row>
    <row r="4943" s="93" customFormat="1" spans="3:13">
      <c r="C4943" s="94"/>
      <c r="E4943" s="94"/>
      <c r="G4943" s="94"/>
      <c r="I4943" s="94"/>
      <c r="K4943" s="94"/>
      <c r="M4943" s="94"/>
    </row>
    <row r="4944" s="93" customFormat="1" spans="3:13">
      <c r="C4944" s="94"/>
      <c r="E4944" s="94"/>
      <c r="G4944" s="94"/>
      <c r="I4944" s="94"/>
      <c r="K4944" s="94"/>
      <c r="M4944" s="94"/>
    </row>
    <row r="4945" s="93" customFormat="1" spans="3:13">
      <c r="C4945" s="94"/>
      <c r="E4945" s="94"/>
      <c r="G4945" s="94"/>
      <c r="I4945" s="94"/>
      <c r="K4945" s="94"/>
      <c r="M4945" s="94"/>
    </row>
    <row r="4946" s="93" customFormat="1" spans="3:13">
      <c r="C4946" s="94"/>
      <c r="E4946" s="94"/>
      <c r="G4946" s="94"/>
      <c r="I4946" s="94"/>
      <c r="K4946" s="94"/>
      <c r="M4946" s="94"/>
    </row>
    <row r="4947" s="93" customFormat="1" spans="3:13">
      <c r="C4947" s="94"/>
      <c r="E4947" s="94"/>
      <c r="G4947" s="94"/>
      <c r="I4947" s="94"/>
      <c r="K4947" s="94"/>
      <c r="M4947" s="94"/>
    </row>
    <row r="4948" s="93" customFormat="1" spans="3:13">
      <c r="C4948" s="94"/>
      <c r="E4948" s="94"/>
      <c r="G4948" s="94"/>
      <c r="I4948" s="94"/>
      <c r="K4948" s="94"/>
      <c r="M4948" s="94"/>
    </row>
    <row r="4949" s="93" customFormat="1" spans="3:13">
      <c r="C4949" s="94"/>
      <c r="E4949" s="94"/>
      <c r="G4949" s="94"/>
      <c r="I4949" s="94"/>
      <c r="K4949" s="94"/>
      <c r="M4949" s="94"/>
    </row>
    <row r="4950" s="93" customFormat="1" spans="3:13">
      <c r="C4950" s="94"/>
      <c r="E4950" s="94"/>
      <c r="G4950" s="94"/>
      <c r="I4950" s="94"/>
      <c r="K4950" s="94"/>
      <c r="M4950" s="94"/>
    </row>
    <row r="4951" s="93" customFormat="1" spans="3:13">
      <c r="C4951" s="94"/>
      <c r="E4951" s="94"/>
      <c r="G4951" s="94"/>
      <c r="I4951" s="94"/>
      <c r="K4951" s="94"/>
      <c r="M4951" s="94"/>
    </row>
    <row r="4952" s="93" customFormat="1" spans="3:13">
      <c r="C4952" s="94"/>
      <c r="E4952" s="94"/>
      <c r="G4952" s="94"/>
      <c r="I4952" s="94"/>
      <c r="K4952" s="94"/>
      <c r="M4952" s="94"/>
    </row>
    <row r="4953" s="93" customFormat="1" spans="3:13">
      <c r="C4953" s="94"/>
      <c r="E4953" s="94"/>
      <c r="G4953" s="94"/>
      <c r="I4953" s="94"/>
      <c r="K4953" s="94"/>
      <c r="M4953" s="94"/>
    </row>
    <row r="4954" s="93" customFormat="1" spans="3:13">
      <c r="C4954" s="94"/>
      <c r="E4954" s="94"/>
      <c r="G4954" s="94"/>
      <c r="I4954" s="94"/>
      <c r="K4954" s="94"/>
      <c r="M4954" s="94"/>
    </row>
    <row r="4955" s="93" customFormat="1" spans="3:13">
      <c r="C4955" s="94"/>
      <c r="E4955" s="94"/>
      <c r="G4955" s="94"/>
      <c r="I4955" s="94"/>
      <c r="K4955" s="94"/>
      <c r="M4955" s="94"/>
    </row>
    <row r="4956" s="93" customFormat="1" spans="3:13">
      <c r="C4956" s="94"/>
      <c r="E4956" s="94"/>
      <c r="G4956" s="94"/>
      <c r="I4956" s="94"/>
      <c r="K4956" s="94"/>
      <c r="M4956" s="94"/>
    </row>
    <row r="4957" s="93" customFormat="1" spans="3:13">
      <c r="C4957" s="94"/>
      <c r="E4957" s="94"/>
      <c r="G4957" s="94"/>
      <c r="I4957" s="94"/>
      <c r="K4957" s="94"/>
      <c r="M4957" s="94"/>
    </row>
    <row r="4958" s="93" customFormat="1" spans="3:13">
      <c r="C4958" s="94"/>
      <c r="E4958" s="94"/>
      <c r="G4958" s="94"/>
      <c r="I4958" s="94"/>
      <c r="K4958" s="94"/>
      <c r="M4958" s="94"/>
    </row>
    <row r="4959" s="93" customFormat="1" spans="3:13">
      <c r="C4959" s="94"/>
      <c r="E4959" s="94"/>
      <c r="G4959" s="94"/>
      <c r="I4959" s="94"/>
      <c r="K4959" s="94"/>
      <c r="M4959" s="94"/>
    </row>
    <row r="4960" s="93" customFormat="1" spans="3:13">
      <c r="C4960" s="94"/>
      <c r="E4960" s="94"/>
      <c r="G4960" s="94"/>
      <c r="I4960" s="94"/>
      <c r="K4960" s="94"/>
      <c r="M4960" s="94"/>
    </row>
    <row r="4961" s="93" customFormat="1" spans="3:13">
      <c r="C4961" s="94"/>
      <c r="E4961" s="94"/>
      <c r="G4961" s="94"/>
      <c r="I4961" s="94"/>
      <c r="K4961" s="94"/>
      <c r="M4961" s="94"/>
    </row>
    <row r="4962" s="93" customFormat="1" spans="3:13">
      <c r="C4962" s="94"/>
      <c r="E4962" s="94"/>
      <c r="G4962" s="94"/>
      <c r="I4962" s="94"/>
      <c r="K4962" s="94"/>
      <c r="M4962" s="94"/>
    </row>
    <row r="4963" s="93" customFormat="1" spans="3:13">
      <c r="C4963" s="94"/>
      <c r="E4963" s="94"/>
      <c r="G4963" s="94"/>
      <c r="I4963" s="94"/>
      <c r="K4963" s="94"/>
      <c r="M4963" s="94"/>
    </row>
    <row r="4964" s="93" customFormat="1" spans="3:13">
      <c r="C4964" s="94"/>
      <c r="E4964" s="94"/>
      <c r="G4964" s="94"/>
      <c r="I4964" s="94"/>
      <c r="K4964" s="94"/>
      <c r="M4964" s="94"/>
    </row>
    <row r="4965" s="93" customFormat="1" spans="3:13">
      <c r="C4965" s="94"/>
      <c r="E4965" s="94"/>
      <c r="G4965" s="94"/>
      <c r="I4965" s="94"/>
      <c r="K4965" s="94"/>
      <c r="M4965" s="94"/>
    </row>
    <row r="4966" s="93" customFormat="1" spans="3:13">
      <c r="C4966" s="94"/>
      <c r="E4966" s="94"/>
      <c r="G4966" s="94"/>
      <c r="I4966" s="94"/>
      <c r="K4966" s="94"/>
      <c r="M4966" s="94"/>
    </row>
    <row r="4967" s="93" customFormat="1" spans="3:13">
      <c r="C4967" s="94"/>
      <c r="E4967" s="94"/>
      <c r="G4967" s="94"/>
      <c r="I4967" s="94"/>
      <c r="K4967" s="94"/>
      <c r="M4967" s="94"/>
    </row>
    <row r="4968" s="93" customFormat="1" spans="3:13">
      <c r="C4968" s="94"/>
      <c r="E4968" s="94"/>
      <c r="G4968" s="94"/>
      <c r="I4968" s="94"/>
      <c r="K4968" s="94"/>
      <c r="M4968" s="94"/>
    </row>
    <row r="4969" s="93" customFormat="1" spans="3:13">
      <c r="C4969" s="94"/>
      <c r="E4969" s="94"/>
      <c r="G4969" s="94"/>
      <c r="I4969" s="94"/>
      <c r="K4969" s="94"/>
      <c r="M4969" s="94"/>
    </row>
    <row r="4970" s="93" customFormat="1" spans="3:13">
      <c r="C4970" s="94"/>
      <c r="E4970" s="94"/>
      <c r="G4970" s="94"/>
      <c r="I4970" s="94"/>
      <c r="K4970" s="94"/>
      <c r="M4970" s="94"/>
    </row>
    <row r="4971" s="93" customFormat="1" spans="3:13">
      <c r="C4971" s="94"/>
      <c r="E4971" s="94"/>
      <c r="G4971" s="94"/>
      <c r="I4971" s="94"/>
      <c r="K4971" s="94"/>
      <c r="M4971" s="94"/>
    </row>
    <row r="4972" s="93" customFormat="1" spans="3:13">
      <c r="C4972" s="94"/>
      <c r="E4972" s="94"/>
      <c r="G4972" s="94"/>
      <c r="I4972" s="94"/>
      <c r="K4972" s="94"/>
      <c r="M4972" s="94"/>
    </row>
    <row r="4973" s="93" customFormat="1" spans="3:13">
      <c r="C4973" s="94"/>
      <c r="E4973" s="94"/>
      <c r="G4973" s="94"/>
      <c r="I4973" s="94"/>
      <c r="K4973" s="94"/>
      <c r="M4973" s="94"/>
    </row>
    <row r="4974" s="93" customFormat="1" spans="3:13">
      <c r="C4974" s="94"/>
      <c r="E4974" s="94"/>
      <c r="G4974" s="94"/>
      <c r="I4974" s="94"/>
      <c r="K4974" s="94"/>
      <c r="M4974" s="94"/>
    </row>
    <row r="4975" s="93" customFormat="1" spans="3:13">
      <c r="C4975" s="94"/>
      <c r="E4975" s="94"/>
      <c r="G4975" s="94"/>
      <c r="I4975" s="94"/>
      <c r="K4975" s="94"/>
      <c r="M4975" s="94"/>
    </row>
    <row r="4976" s="93" customFormat="1" spans="3:13">
      <c r="C4976" s="94"/>
      <c r="E4976" s="94"/>
      <c r="G4976" s="94"/>
      <c r="I4976" s="94"/>
      <c r="K4976" s="94"/>
      <c r="M4976" s="94"/>
    </row>
    <row r="4977" s="93" customFormat="1" spans="3:13">
      <c r="C4977" s="94"/>
      <c r="E4977" s="94"/>
      <c r="G4977" s="94"/>
      <c r="I4977" s="94"/>
      <c r="K4977" s="94"/>
      <c r="M4977" s="94"/>
    </row>
    <row r="4978" s="93" customFormat="1" spans="3:13">
      <c r="C4978" s="94"/>
      <c r="E4978" s="94"/>
      <c r="G4978" s="94"/>
      <c r="I4978" s="94"/>
      <c r="K4978" s="94"/>
      <c r="M4978" s="94"/>
    </row>
    <row r="4979" s="93" customFormat="1" spans="3:13">
      <c r="C4979" s="94"/>
      <c r="E4979" s="94"/>
      <c r="G4979" s="94"/>
      <c r="I4979" s="94"/>
      <c r="K4979" s="94"/>
      <c r="M4979" s="94"/>
    </row>
    <row r="4980" s="93" customFormat="1" spans="3:13">
      <c r="C4980" s="94"/>
      <c r="E4980" s="94"/>
      <c r="G4980" s="94"/>
      <c r="I4980" s="94"/>
      <c r="K4980" s="94"/>
      <c r="M4980" s="94"/>
    </row>
    <row r="4981" s="93" customFormat="1" spans="3:13">
      <c r="C4981" s="94"/>
      <c r="E4981" s="94"/>
      <c r="G4981" s="94"/>
      <c r="I4981" s="94"/>
      <c r="K4981" s="94"/>
      <c r="M4981" s="94"/>
    </row>
    <row r="4982" s="93" customFormat="1" spans="3:13">
      <c r="C4982" s="94"/>
      <c r="E4982" s="94"/>
      <c r="G4982" s="94"/>
      <c r="I4982" s="94"/>
      <c r="K4982" s="94"/>
      <c r="M4982" s="94"/>
    </row>
    <row r="4983" s="93" customFormat="1" spans="3:13">
      <c r="C4983" s="94"/>
      <c r="E4983" s="94"/>
      <c r="G4983" s="94"/>
      <c r="I4983" s="94"/>
      <c r="K4983" s="94"/>
      <c r="M4983" s="94"/>
    </row>
    <row r="4984" s="93" customFormat="1" spans="3:13">
      <c r="C4984" s="94"/>
      <c r="E4984" s="94"/>
      <c r="G4984" s="94"/>
      <c r="I4984" s="94"/>
      <c r="K4984" s="94"/>
      <c r="M4984" s="94"/>
    </row>
    <row r="4985" s="93" customFormat="1" spans="3:13">
      <c r="C4985" s="94"/>
      <c r="E4985" s="94"/>
      <c r="G4985" s="94"/>
      <c r="I4985" s="94"/>
      <c r="K4985" s="94"/>
      <c r="M4985" s="94"/>
    </row>
    <row r="4986" s="93" customFormat="1" spans="3:13">
      <c r="C4986" s="94"/>
      <c r="E4986" s="94"/>
      <c r="G4986" s="94"/>
      <c r="I4986" s="94"/>
      <c r="K4986" s="94"/>
      <c r="M4986" s="94"/>
    </row>
    <row r="4987" s="93" customFormat="1" spans="3:13">
      <c r="C4987" s="94"/>
      <c r="E4987" s="94"/>
      <c r="G4987" s="94"/>
      <c r="I4987" s="94"/>
      <c r="K4987" s="94"/>
      <c r="M4987" s="94"/>
    </row>
    <row r="4988" s="93" customFormat="1" spans="3:13">
      <c r="C4988" s="94"/>
      <c r="E4988" s="94"/>
      <c r="G4988" s="94"/>
      <c r="I4988" s="94"/>
      <c r="K4988" s="94"/>
      <c r="M4988" s="94"/>
    </row>
    <row r="4989" s="93" customFormat="1" spans="3:13">
      <c r="C4989" s="94"/>
      <c r="E4989" s="94"/>
      <c r="G4989" s="94"/>
      <c r="I4989" s="94"/>
      <c r="K4989" s="94"/>
      <c r="M4989" s="94"/>
    </row>
    <row r="4990" s="93" customFormat="1" spans="3:13">
      <c r="C4990" s="94"/>
      <c r="E4990" s="94"/>
      <c r="G4990" s="94"/>
      <c r="I4990" s="94"/>
      <c r="K4990" s="94"/>
      <c r="M4990" s="94"/>
    </row>
    <row r="4991" s="93" customFormat="1" spans="3:13">
      <c r="C4991" s="94"/>
      <c r="E4991" s="94"/>
      <c r="G4991" s="94"/>
      <c r="I4991" s="94"/>
      <c r="K4991" s="94"/>
      <c r="M4991" s="94"/>
    </row>
    <row r="4992" s="93" customFormat="1" spans="3:13">
      <c r="C4992" s="94"/>
      <c r="E4992" s="94"/>
      <c r="G4992" s="94"/>
      <c r="I4992" s="94"/>
      <c r="K4992" s="94"/>
      <c r="M4992" s="94"/>
    </row>
    <row r="4993" s="93" customFormat="1" spans="3:13">
      <c r="C4993" s="94"/>
      <c r="E4993" s="94"/>
      <c r="G4993" s="94"/>
      <c r="I4993" s="94"/>
      <c r="K4993" s="94"/>
      <c r="M4993" s="94"/>
    </row>
    <row r="4994" s="93" customFormat="1" spans="3:13">
      <c r="C4994" s="94"/>
      <c r="E4994" s="94"/>
      <c r="G4994" s="94"/>
      <c r="I4994" s="94"/>
      <c r="K4994" s="94"/>
      <c r="M4994" s="94"/>
    </row>
    <row r="4995" s="93" customFormat="1" spans="3:13">
      <c r="C4995" s="94"/>
      <c r="E4995" s="94"/>
      <c r="G4995" s="94"/>
      <c r="I4995" s="94"/>
      <c r="K4995" s="94"/>
      <c r="M4995" s="94"/>
    </row>
    <row r="4996" s="93" customFormat="1" spans="3:13">
      <c r="C4996" s="94"/>
      <c r="E4996" s="94"/>
      <c r="G4996" s="94"/>
      <c r="I4996" s="94"/>
      <c r="K4996" s="94"/>
      <c r="M4996" s="94"/>
    </row>
    <row r="4997" s="93" customFormat="1" spans="3:13">
      <c r="C4997" s="94"/>
      <c r="E4997" s="94"/>
      <c r="G4997" s="94"/>
      <c r="I4997" s="94"/>
      <c r="K4997" s="94"/>
      <c r="M4997" s="94"/>
    </row>
    <row r="4998" s="93" customFormat="1" spans="3:13">
      <c r="C4998" s="94"/>
      <c r="E4998" s="94"/>
      <c r="G4998" s="94"/>
      <c r="I4998" s="94"/>
      <c r="K4998" s="94"/>
      <c r="M4998" s="94"/>
    </row>
    <row r="4999" s="93" customFormat="1" spans="3:13">
      <c r="C4999" s="94"/>
      <c r="E4999" s="94"/>
      <c r="G4999" s="94"/>
      <c r="I4999" s="94"/>
      <c r="K4999" s="94"/>
      <c r="M4999" s="94"/>
    </row>
    <row r="5000" s="93" customFormat="1" spans="3:13">
      <c r="C5000" s="94"/>
      <c r="E5000" s="94"/>
      <c r="G5000" s="94"/>
      <c r="I5000" s="94"/>
      <c r="K5000" s="94"/>
      <c r="M5000" s="94"/>
    </row>
    <row r="5001" s="93" customFormat="1" spans="3:13">
      <c r="C5001" s="94"/>
      <c r="E5001" s="94"/>
      <c r="G5001" s="94"/>
      <c r="I5001" s="94"/>
      <c r="K5001" s="94"/>
      <c r="M5001" s="94"/>
    </row>
    <row r="5002" s="93" customFormat="1" spans="3:13">
      <c r="C5002" s="94"/>
      <c r="E5002" s="94"/>
      <c r="G5002" s="94"/>
      <c r="I5002" s="94"/>
      <c r="K5002" s="94"/>
      <c r="M5002" s="94"/>
    </row>
    <row r="5003" s="93" customFormat="1" spans="3:13">
      <c r="C5003" s="94"/>
      <c r="E5003" s="94"/>
      <c r="G5003" s="94"/>
      <c r="I5003" s="94"/>
      <c r="K5003" s="94"/>
      <c r="M5003" s="94"/>
    </row>
    <row r="5004" s="93" customFormat="1" spans="3:13">
      <c r="C5004" s="94"/>
      <c r="E5004" s="94"/>
      <c r="G5004" s="94"/>
      <c r="I5004" s="94"/>
      <c r="K5004" s="94"/>
      <c r="M5004" s="94"/>
    </row>
    <row r="5005" s="93" customFormat="1" spans="3:13">
      <c r="C5005" s="94"/>
      <c r="E5005" s="94"/>
      <c r="G5005" s="94"/>
      <c r="I5005" s="94"/>
      <c r="K5005" s="94"/>
      <c r="M5005" s="94"/>
    </row>
    <row r="5006" s="93" customFormat="1" spans="3:13">
      <c r="C5006" s="94"/>
      <c r="E5006" s="94"/>
      <c r="G5006" s="94"/>
      <c r="I5006" s="94"/>
      <c r="K5006" s="94"/>
      <c r="M5006" s="94"/>
    </row>
    <row r="5007" s="93" customFormat="1" spans="3:13">
      <c r="C5007" s="94"/>
      <c r="E5007" s="94"/>
      <c r="G5007" s="94"/>
      <c r="I5007" s="94"/>
      <c r="K5007" s="94"/>
      <c r="M5007" s="94"/>
    </row>
    <row r="5008" s="93" customFormat="1" spans="3:13">
      <c r="C5008" s="94"/>
      <c r="E5008" s="94"/>
      <c r="G5008" s="94"/>
      <c r="I5008" s="94"/>
      <c r="K5008" s="94"/>
      <c r="M5008" s="94"/>
    </row>
    <row r="5009" s="93" customFormat="1" spans="3:13">
      <c r="C5009" s="94"/>
      <c r="E5009" s="94"/>
      <c r="G5009" s="94"/>
      <c r="I5009" s="94"/>
      <c r="K5009" s="94"/>
      <c r="M5009" s="94"/>
    </row>
    <row r="5010" s="93" customFormat="1" spans="3:13">
      <c r="C5010" s="94"/>
      <c r="E5010" s="94"/>
      <c r="G5010" s="94"/>
      <c r="I5010" s="94"/>
      <c r="K5010" s="94"/>
      <c r="M5010" s="94"/>
    </row>
    <row r="5011" s="93" customFormat="1" spans="3:13">
      <c r="C5011" s="94"/>
      <c r="E5011" s="94"/>
      <c r="G5011" s="94"/>
      <c r="I5011" s="94"/>
      <c r="K5011" s="94"/>
      <c r="M5011" s="94"/>
    </row>
    <row r="5012" s="93" customFormat="1" spans="3:13">
      <c r="C5012" s="94"/>
      <c r="E5012" s="94"/>
      <c r="G5012" s="94"/>
      <c r="I5012" s="94"/>
      <c r="K5012" s="94"/>
      <c r="M5012" s="94"/>
    </row>
    <row r="5013" s="93" customFormat="1" spans="3:13">
      <c r="C5013" s="94"/>
      <c r="E5013" s="94"/>
      <c r="G5013" s="94"/>
      <c r="I5013" s="94"/>
      <c r="K5013" s="94"/>
      <c r="M5013" s="94"/>
    </row>
    <row r="5014" s="93" customFormat="1" spans="3:13">
      <c r="C5014" s="94"/>
      <c r="E5014" s="94"/>
      <c r="G5014" s="94"/>
      <c r="I5014" s="94"/>
      <c r="K5014" s="94"/>
      <c r="M5014" s="94"/>
    </row>
    <row r="5015" s="93" customFormat="1" spans="3:13">
      <c r="C5015" s="94"/>
      <c r="E5015" s="94"/>
      <c r="G5015" s="94"/>
      <c r="I5015" s="94"/>
      <c r="K5015" s="94"/>
      <c r="M5015" s="94"/>
    </row>
    <row r="5016" s="93" customFormat="1" spans="3:13">
      <c r="C5016" s="94"/>
      <c r="E5016" s="94"/>
      <c r="G5016" s="94"/>
      <c r="I5016" s="94"/>
      <c r="K5016" s="94"/>
      <c r="M5016" s="94"/>
    </row>
    <row r="5017" s="93" customFormat="1" spans="3:13">
      <c r="C5017" s="94"/>
      <c r="E5017" s="94"/>
      <c r="G5017" s="94"/>
      <c r="I5017" s="94"/>
      <c r="K5017" s="94"/>
      <c r="M5017" s="94"/>
    </row>
    <row r="5018" s="93" customFormat="1" spans="3:13">
      <c r="C5018" s="94"/>
      <c r="E5018" s="94"/>
      <c r="G5018" s="94"/>
      <c r="I5018" s="94"/>
      <c r="K5018" s="94"/>
      <c r="M5018" s="94"/>
    </row>
    <row r="5019" s="93" customFormat="1" spans="3:13">
      <c r="C5019" s="94"/>
      <c r="E5019" s="94"/>
      <c r="G5019" s="94"/>
      <c r="I5019" s="94"/>
      <c r="K5019" s="94"/>
      <c r="M5019" s="94"/>
    </row>
    <row r="5020" s="93" customFormat="1" spans="3:13">
      <c r="C5020" s="94"/>
      <c r="E5020" s="94"/>
      <c r="G5020" s="94"/>
      <c r="I5020" s="94"/>
      <c r="K5020" s="94"/>
      <c r="M5020" s="94"/>
    </row>
    <row r="5021" s="93" customFormat="1" spans="3:13">
      <c r="C5021" s="94"/>
      <c r="E5021" s="94"/>
      <c r="G5021" s="94"/>
      <c r="I5021" s="94"/>
      <c r="K5021" s="94"/>
      <c r="M5021" s="94"/>
    </row>
    <row r="5022" s="93" customFormat="1" spans="3:13">
      <c r="C5022" s="94"/>
      <c r="E5022" s="94"/>
      <c r="G5022" s="94"/>
      <c r="I5022" s="94"/>
      <c r="K5022" s="94"/>
      <c r="M5022" s="94"/>
    </row>
    <row r="5023" s="93" customFormat="1" spans="3:13">
      <c r="C5023" s="94"/>
      <c r="E5023" s="94"/>
      <c r="G5023" s="94"/>
      <c r="I5023" s="94"/>
      <c r="K5023" s="94"/>
      <c r="M5023" s="94"/>
    </row>
    <row r="5024" s="93" customFormat="1" spans="3:13">
      <c r="C5024" s="94"/>
      <c r="E5024" s="94"/>
      <c r="G5024" s="94"/>
      <c r="I5024" s="94"/>
      <c r="K5024" s="94"/>
      <c r="M5024" s="94"/>
    </row>
    <row r="5025" s="93" customFormat="1" spans="3:13">
      <c r="C5025" s="94"/>
      <c r="E5025" s="94"/>
      <c r="G5025" s="94"/>
      <c r="I5025" s="94"/>
      <c r="K5025" s="94"/>
      <c r="M5025" s="94"/>
    </row>
    <row r="5026" s="93" customFormat="1" spans="3:13">
      <c r="C5026" s="94"/>
      <c r="E5026" s="94"/>
      <c r="G5026" s="94"/>
      <c r="I5026" s="94"/>
      <c r="K5026" s="94"/>
      <c r="M5026" s="94"/>
    </row>
    <row r="5027" s="93" customFormat="1" spans="3:13">
      <c r="C5027" s="94"/>
      <c r="E5027" s="94"/>
      <c r="G5027" s="94"/>
      <c r="I5027" s="94"/>
      <c r="K5027" s="94"/>
      <c r="M5027" s="94"/>
    </row>
    <row r="5028" s="93" customFormat="1" spans="3:13">
      <c r="C5028" s="94"/>
      <c r="E5028" s="94"/>
      <c r="G5028" s="94"/>
      <c r="I5028" s="94"/>
      <c r="K5028" s="94"/>
      <c r="M5028" s="94"/>
    </row>
    <row r="5029" s="93" customFormat="1" spans="3:13">
      <c r="C5029" s="94"/>
      <c r="E5029" s="94"/>
      <c r="G5029" s="94"/>
      <c r="I5029" s="94"/>
      <c r="K5029" s="94"/>
      <c r="M5029" s="94"/>
    </row>
    <row r="5030" s="93" customFormat="1" spans="3:13">
      <c r="C5030" s="94"/>
      <c r="E5030" s="94"/>
      <c r="G5030" s="94"/>
      <c r="I5030" s="94"/>
      <c r="K5030" s="94"/>
      <c r="M5030" s="94"/>
    </row>
    <row r="5031" s="93" customFormat="1" spans="3:13">
      <c r="C5031" s="94"/>
      <c r="E5031" s="94"/>
      <c r="G5031" s="94"/>
      <c r="I5031" s="94"/>
      <c r="K5031" s="94"/>
      <c r="M5031" s="94"/>
    </row>
    <row r="5032" s="93" customFormat="1" spans="3:13">
      <c r="C5032" s="94"/>
      <c r="E5032" s="94"/>
      <c r="G5032" s="94"/>
      <c r="I5032" s="94"/>
      <c r="K5032" s="94"/>
      <c r="M5032" s="94"/>
    </row>
    <row r="5033" s="93" customFormat="1" spans="3:13">
      <c r="C5033" s="94"/>
      <c r="E5033" s="94"/>
      <c r="G5033" s="94"/>
      <c r="I5033" s="94"/>
      <c r="K5033" s="94"/>
      <c r="M5033" s="94"/>
    </row>
    <row r="5034" s="93" customFormat="1" spans="3:13">
      <c r="C5034" s="94"/>
      <c r="E5034" s="94"/>
      <c r="G5034" s="94"/>
      <c r="I5034" s="94"/>
      <c r="K5034" s="94"/>
      <c r="M5034" s="94"/>
    </row>
    <row r="5035" s="93" customFormat="1" spans="3:13">
      <c r="C5035" s="94"/>
      <c r="E5035" s="94"/>
      <c r="G5035" s="94"/>
      <c r="I5035" s="94"/>
      <c r="K5035" s="94"/>
      <c r="M5035" s="94"/>
    </row>
    <row r="5036" s="93" customFormat="1" spans="3:13">
      <c r="C5036" s="94"/>
      <c r="E5036" s="94"/>
      <c r="G5036" s="94"/>
      <c r="I5036" s="94"/>
      <c r="K5036" s="94"/>
      <c r="M5036" s="94"/>
    </row>
    <row r="5037" s="93" customFormat="1" spans="3:13">
      <c r="C5037" s="94"/>
      <c r="E5037" s="94"/>
      <c r="G5037" s="94"/>
      <c r="I5037" s="94"/>
      <c r="K5037" s="94"/>
      <c r="M5037" s="94"/>
    </row>
    <row r="5038" s="93" customFormat="1" spans="3:13">
      <c r="C5038" s="94"/>
      <c r="E5038" s="94"/>
      <c r="G5038" s="94"/>
      <c r="I5038" s="94"/>
      <c r="K5038" s="94"/>
      <c r="M5038" s="94"/>
    </row>
    <row r="5039" s="93" customFormat="1" spans="3:13">
      <c r="C5039" s="94"/>
      <c r="E5039" s="94"/>
      <c r="G5039" s="94"/>
      <c r="I5039" s="94"/>
      <c r="K5039" s="94"/>
      <c r="M5039" s="94"/>
    </row>
    <row r="5040" s="93" customFormat="1" spans="3:13">
      <c r="C5040" s="94"/>
      <c r="E5040" s="94"/>
      <c r="G5040" s="94"/>
      <c r="I5040" s="94"/>
      <c r="K5040" s="94"/>
      <c r="M5040" s="94"/>
    </row>
    <row r="5041" s="93" customFormat="1" spans="3:13">
      <c r="C5041" s="94"/>
      <c r="E5041" s="94"/>
      <c r="G5041" s="94"/>
      <c r="I5041" s="94"/>
      <c r="K5041" s="94"/>
      <c r="M5041" s="94"/>
    </row>
    <row r="5042" s="93" customFormat="1" spans="3:13">
      <c r="C5042" s="94"/>
      <c r="E5042" s="94"/>
      <c r="G5042" s="94"/>
      <c r="I5042" s="94"/>
      <c r="K5042" s="94"/>
      <c r="M5042" s="94"/>
    </row>
    <row r="5043" s="93" customFormat="1" spans="3:13">
      <c r="C5043" s="94"/>
      <c r="E5043" s="94"/>
      <c r="G5043" s="94"/>
      <c r="I5043" s="94"/>
      <c r="K5043" s="94"/>
      <c r="M5043" s="94"/>
    </row>
    <row r="5044" s="93" customFormat="1" spans="3:13">
      <c r="C5044" s="94"/>
      <c r="E5044" s="94"/>
      <c r="G5044" s="94"/>
      <c r="I5044" s="94"/>
      <c r="K5044" s="94"/>
      <c r="M5044" s="94"/>
    </row>
    <row r="5045" s="93" customFormat="1" spans="3:13">
      <c r="C5045" s="94"/>
      <c r="E5045" s="94"/>
      <c r="G5045" s="94"/>
      <c r="I5045" s="94"/>
      <c r="K5045" s="94"/>
      <c r="M5045" s="94"/>
    </row>
    <row r="5046" s="93" customFormat="1" spans="3:13">
      <c r="C5046" s="94"/>
      <c r="E5046" s="94"/>
      <c r="G5046" s="94"/>
      <c r="I5046" s="94"/>
      <c r="K5046" s="94"/>
      <c r="M5046" s="94"/>
    </row>
    <row r="5047" s="93" customFormat="1" spans="3:13">
      <c r="C5047" s="94"/>
      <c r="E5047" s="94"/>
      <c r="G5047" s="94"/>
      <c r="I5047" s="94"/>
      <c r="K5047" s="94"/>
      <c r="M5047" s="94"/>
    </row>
    <row r="5048" s="93" customFormat="1" spans="3:13">
      <c r="C5048" s="94"/>
      <c r="E5048" s="94"/>
      <c r="G5048" s="94"/>
      <c r="I5048" s="94"/>
      <c r="K5048" s="94"/>
      <c r="M5048" s="94"/>
    </row>
    <row r="5049" s="93" customFormat="1" spans="3:13">
      <c r="C5049" s="94"/>
      <c r="E5049" s="94"/>
      <c r="G5049" s="94"/>
      <c r="I5049" s="94"/>
      <c r="K5049" s="94"/>
      <c r="M5049" s="94"/>
    </row>
    <row r="5050" s="93" customFormat="1" spans="3:13">
      <c r="C5050" s="94"/>
      <c r="E5050" s="94"/>
      <c r="G5050" s="94"/>
      <c r="I5050" s="94"/>
      <c r="K5050" s="94"/>
      <c r="M5050" s="94"/>
    </row>
    <row r="5051" s="93" customFormat="1" spans="3:13">
      <c r="C5051" s="94"/>
      <c r="E5051" s="94"/>
      <c r="G5051" s="94"/>
      <c r="I5051" s="94"/>
      <c r="K5051" s="94"/>
      <c r="M5051" s="94"/>
    </row>
    <row r="5052" s="93" customFormat="1" spans="3:13">
      <c r="C5052" s="94"/>
      <c r="E5052" s="94"/>
      <c r="G5052" s="94"/>
      <c r="I5052" s="94"/>
      <c r="K5052" s="94"/>
      <c r="M5052" s="94"/>
    </row>
    <row r="5053" s="93" customFormat="1" spans="3:13">
      <c r="C5053" s="94"/>
      <c r="E5053" s="94"/>
      <c r="G5053" s="94"/>
      <c r="I5053" s="94"/>
      <c r="K5053" s="94"/>
      <c r="M5053" s="94"/>
    </row>
    <row r="5054" s="93" customFormat="1" spans="3:13">
      <c r="C5054" s="94"/>
      <c r="E5054" s="94"/>
      <c r="G5054" s="94"/>
      <c r="I5054" s="94"/>
      <c r="K5054" s="94"/>
      <c r="M5054" s="94"/>
    </row>
    <row r="5055" s="93" customFormat="1" spans="3:13">
      <c r="C5055" s="94"/>
      <c r="E5055" s="94"/>
      <c r="G5055" s="94"/>
      <c r="I5055" s="94"/>
      <c r="K5055" s="94"/>
      <c r="M5055" s="94"/>
    </row>
    <row r="5056" s="93" customFormat="1" spans="3:13">
      <c r="C5056" s="94"/>
      <c r="E5056" s="94"/>
      <c r="G5056" s="94"/>
      <c r="I5056" s="94"/>
      <c r="K5056" s="94"/>
      <c r="M5056" s="94"/>
    </row>
    <row r="5057" s="93" customFormat="1" spans="3:13">
      <c r="C5057" s="94"/>
      <c r="E5057" s="94"/>
      <c r="G5057" s="94"/>
      <c r="I5057" s="94"/>
      <c r="K5057" s="94"/>
      <c r="M5057" s="94"/>
    </row>
    <row r="5058" s="93" customFormat="1" spans="3:13">
      <c r="C5058" s="94"/>
      <c r="E5058" s="94"/>
      <c r="G5058" s="94"/>
      <c r="I5058" s="94"/>
      <c r="K5058" s="94"/>
      <c r="M5058" s="94"/>
    </row>
    <row r="5059" s="93" customFormat="1" spans="3:13">
      <c r="C5059" s="94"/>
      <c r="E5059" s="94"/>
      <c r="G5059" s="94"/>
      <c r="I5059" s="94"/>
      <c r="K5059" s="94"/>
      <c r="M5059" s="94"/>
    </row>
    <row r="5060" s="93" customFormat="1" spans="3:13">
      <c r="C5060" s="94"/>
      <c r="E5060" s="94"/>
      <c r="G5060" s="94"/>
      <c r="I5060" s="94"/>
      <c r="K5060" s="94"/>
      <c r="M5060" s="94"/>
    </row>
    <row r="5061" s="93" customFormat="1" spans="3:13">
      <c r="C5061" s="94"/>
      <c r="E5061" s="94"/>
      <c r="G5061" s="94"/>
      <c r="I5061" s="94"/>
      <c r="K5061" s="94"/>
      <c r="M5061" s="94"/>
    </row>
    <row r="5062" s="93" customFormat="1" spans="3:13">
      <c r="C5062" s="94"/>
      <c r="E5062" s="94"/>
      <c r="G5062" s="94"/>
      <c r="I5062" s="94"/>
      <c r="K5062" s="94"/>
      <c r="M5062" s="94"/>
    </row>
    <row r="5063" s="93" customFormat="1" spans="3:13">
      <c r="C5063" s="94"/>
      <c r="E5063" s="94"/>
      <c r="G5063" s="94"/>
      <c r="I5063" s="94"/>
      <c r="K5063" s="94"/>
      <c r="M5063" s="94"/>
    </row>
    <row r="5064" s="93" customFormat="1" spans="3:13">
      <c r="C5064" s="94"/>
      <c r="E5064" s="94"/>
      <c r="G5064" s="94"/>
      <c r="I5064" s="94"/>
      <c r="K5064" s="94"/>
      <c r="M5064" s="94"/>
    </row>
    <row r="5065" s="93" customFormat="1" spans="3:13">
      <c r="C5065" s="94"/>
      <c r="E5065" s="94"/>
      <c r="G5065" s="94"/>
      <c r="I5065" s="94"/>
      <c r="K5065" s="94"/>
      <c r="M5065" s="94"/>
    </row>
    <row r="5066" s="93" customFormat="1" spans="3:13">
      <c r="C5066" s="94"/>
      <c r="E5066" s="94"/>
      <c r="G5066" s="94"/>
      <c r="I5066" s="94"/>
      <c r="K5066" s="94"/>
      <c r="M5066" s="94"/>
    </row>
    <row r="5067" s="93" customFormat="1" spans="3:13">
      <c r="C5067" s="94"/>
      <c r="E5067" s="94"/>
      <c r="G5067" s="94"/>
      <c r="I5067" s="94"/>
      <c r="K5067" s="94"/>
      <c r="M5067" s="94"/>
    </row>
    <row r="5068" s="93" customFormat="1" spans="3:13">
      <c r="C5068" s="94"/>
      <c r="E5068" s="94"/>
      <c r="G5068" s="94"/>
      <c r="I5068" s="94"/>
      <c r="K5068" s="94"/>
      <c r="M5068" s="94"/>
    </row>
    <row r="5069" s="93" customFormat="1" spans="3:13">
      <c r="C5069" s="94"/>
      <c r="E5069" s="94"/>
      <c r="G5069" s="94"/>
      <c r="I5069" s="94"/>
      <c r="K5069" s="94"/>
      <c r="M5069" s="94"/>
    </row>
    <row r="5070" s="93" customFormat="1" spans="3:13">
      <c r="C5070" s="94"/>
      <c r="E5070" s="94"/>
      <c r="G5070" s="94"/>
      <c r="I5070" s="94"/>
      <c r="K5070" s="94"/>
      <c r="M5070" s="94"/>
    </row>
    <row r="5071" s="93" customFormat="1" spans="3:13">
      <c r="C5071" s="94"/>
      <c r="E5071" s="94"/>
      <c r="G5071" s="94"/>
      <c r="I5071" s="94"/>
      <c r="K5071" s="94"/>
      <c r="M5071" s="94"/>
    </row>
    <row r="5072" s="93" customFormat="1" spans="3:13">
      <c r="C5072" s="94"/>
      <c r="E5072" s="94"/>
      <c r="G5072" s="94"/>
      <c r="I5072" s="94"/>
      <c r="K5072" s="94"/>
      <c r="M5072" s="94"/>
    </row>
    <row r="5073" s="93" customFormat="1" spans="3:13">
      <c r="C5073" s="94"/>
      <c r="E5073" s="94"/>
      <c r="G5073" s="94"/>
      <c r="I5073" s="94"/>
      <c r="K5073" s="94"/>
      <c r="M5073" s="94"/>
    </row>
    <row r="5074" s="93" customFormat="1" spans="3:13">
      <c r="C5074" s="94"/>
      <c r="E5074" s="94"/>
      <c r="G5074" s="94"/>
      <c r="I5074" s="94"/>
      <c r="K5074" s="94"/>
      <c r="M5074" s="94"/>
    </row>
    <row r="5075" s="93" customFormat="1" spans="3:13">
      <c r="C5075" s="94"/>
      <c r="E5075" s="94"/>
      <c r="G5075" s="94"/>
      <c r="I5075" s="94"/>
      <c r="K5075" s="94"/>
      <c r="M5075" s="94"/>
    </row>
    <row r="5076" s="93" customFormat="1" spans="3:13">
      <c r="C5076" s="94"/>
      <c r="E5076" s="94"/>
      <c r="G5076" s="94"/>
      <c r="I5076" s="94"/>
      <c r="K5076" s="94"/>
      <c r="M5076" s="94"/>
    </row>
    <row r="5077" s="93" customFormat="1" spans="3:13">
      <c r="C5077" s="94"/>
      <c r="E5077" s="94"/>
      <c r="G5077" s="94"/>
      <c r="I5077" s="94"/>
      <c r="K5077" s="94"/>
      <c r="M5077" s="94"/>
    </row>
    <row r="5078" s="93" customFormat="1" spans="3:13">
      <c r="C5078" s="94"/>
      <c r="E5078" s="94"/>
      <c r="G5078" s="94"/>
      <c r="I5078" s="94"/>
      <c r="K5078" s="94"/>
      <c r="M5078" s="94"/>
    </row>
    <row r="5079" s="93" customFormat="1" spans="3:13">
      <c r="C5079" s="94"/>
      <c r="E5079" s="94"/>
      <c r="G5079" s="94"/>
      <c r="I5079" s="94"/>
      <c r="K5079" s="94"/>
      <c r="M5079" s="94"/>
    </row>
    <row r="5080" s="93" customFormat="1" spans="3:13">
      <c r="C5080" s="94"/>
      <c r="E5080" s="94"/>
      <c r="G5080" s="94"/>
      <c r="I5080" s="94"/>
      <c r="K5080" s="94"/>
      <c r="M5080" s="94"/>
    </row>
    <row r="5081" s="93" customFormat="1" spans="3:13">
      <c r="C5081" s="94"/>
      <c r="E5081" s="94"/>
      <c r="G5081" s="94"/>
      <c r="I5081" s="94"/>
      <c r="K5081" s="94"/>
      <c r="M5081" s="94"/>
    </row>
    <row r="5082" s="93" customFormat="1" spans="3:13">
      <c r="C5082" s="94"/>
      <c r="E5082" s="94"/>
      <c r="G5082" s="94"/>
      <c r="I5082" s="94"/>
      <c r="K5082" s="94"/>
      <c r="M5082" s="94"/>
    </row>
    <row r="5083" s="93" customFormat="1" spans="3:13">
      <c r="C5083" s="94"/>
      <c r="E5083" s="94"/>
      <c r="G5083" s="94"/>
      <c r="I5083" s="94"/>
      <c r="K5083" s="94"/>
      <c r="M5083" s="94"/>
    </row>
    <row r="5084" s="93" customFormat="1" spans="3:13">
      <c r="C5084" s="94"/>
      <c r="E5084" s="94"/>
      <c r="G5084" s="94"/>
      <c r="I5084" s="94"/>
      <c r="K5084" s="94"/>
      <c r="M5084" s="94"/>
    </row>
    <row r="5085" s="93" customFormat="1" spans="3:13">
      <c r="C5085" s="94"/>
      <c r="E5085" s="94"/>
      <c r="G5085" s="94"/>
      <c r="I5085" s="94"/>
      <c r="K5085" s="94"/>
      <c r="M5085" s="94"/>
    </row>
    <row r="5086" s="93" customFormat="1" spans="3:13">
      <c r="C5086" s="94"/>
      <c r="E5086" s="94"/>
      <c r="G5086" s="94"/>
      <c r="I5086" s="94"/>
      <c r="K5086" s="94"/>
      <c r="M5086" s="94"/>
    </row>
    <row r="5087" s="93" customFormat="1" spans="3:13">
      <c r="C5087" s="94"/>
      <c r="E5087" s="94"/>
      <c r="G5087" s="94"/>
      <c r="I5087" s="94"/>
      <c r="K5087" s="94"/>
      <c r="M5087" s="94"/>
    </row>
    <row r="5088" s="93" customFormat="1" spans="3:13">
      <c r="C5088" s="94"/>
      <c r="E5088" s="94"/>
      <c r="G5088" s="94"/>
      <c r="I5088" s="94"/>
      <c r="K5088" s="94"/>
      <c r="M5088" s="94"/>
    </row>
    <row r="5089" s="93" customFormat="1" spans="3:13">
      <c r="C5089" s="94"/>
      <c r="E5089" s="94"/>
      <c r="G5089" s="94"/>
      <c r="I5089" s="94"/>
      <c r="K5089" s="94"/>
      <c r="M5089" s="94"/>
    </row>
    <row r="5090" s="93" customFormat="1" spans="3:13">
      <c r="C5090" s="94"/>
      <c r="E5090" s="94"/>
      <c r="G5090" s="94"/>
      <c r="I5090" s="94"/>
      <c r="K5090" s="94"/>
      <c r="M5090" s="94"/>
    </row>
    <row r="5091" s="93" customFormat="1" spans="3:13">
      <c r="C5091" s="94"/>
      <c r="E5091" s="94"/>
      <c r="G5091" s="94"/>
      <c r="I5091" s="94"/>
      <c r="K5091" s="94"/>
      <c r="M5091" s="94"/>
    </row>
    <row r="5092" s="93" customFormat="1" spans="3:13">
      <c r="C5092" s="94"/>
      <c r="E5092" s="94"/>
      <c r="G5092" s="94"/>
      <c r="I5092" s="94"/>
      <c r="K5092" s="94"/>
      <c r="M5092" s="94"/>
    </row>
    <row r="5093" s="93" customFormat="1" spans="3:13">
      <c r="C5093" s="94"/>
      <c r="E5093" s="94"/>
      <c r="G5093" s="94"/>
      <c r="I5093" s="94"/>
      <c r="K5093" s="94"/>
      <c r="M5093" s="94"/>
    </row>
    <row r="5094" s="93" customFormat="1" spans="3:13">
      <c r="C5094" s="94"/>
      <c r="E5094" s="94"/>
      <c r="G5094" s="94"/>
      <c r="I5094" s="94"/>
      <c r="K5094" s="94"/>
      <c r="M5094" s="94"/>
    </row>
    <row r="5095" s="93" customFormat="1" spans="3:13">
      <c r="C5095" s="94"/>
      <c r="E5095" s="94"/>
      <c r="G5095" s="94"/>
      <c r="I5095" s="94"/>
      <c r="K5095" s="94"/>
      <c r="M5095" s="94"/>
    </row>
    <row r="5096" s="93" customFormat="1" spans="3:13">
      <c r="C5096" s="94"/>
      <c r="E5096" s="94"/>
      <c r="G5096" s="94"/>
      <c r="I5096" s="94"/>
      <c r="K5096" s="94"/>
      <c r="M5096" s="94"/>
    </row>
    <row r="5097" s="93" customFormat="1" spans="3:13">
      <c r="C5097" s="94"/>
      <c r="E5097" s="94"/>
      <c r="G5097" s="94"/>
      <c r="I5097" s="94"/>
      <c r="K5097" s="94"/>
      <c r="M5097" s="94"/>
    </row>
    <row r="5098" s="93" customFormat="1" spans="3:13">
      <c r="C5098" s="94"/>
      <c r="E5098" s="94"/>
      <c r="G5098" s="94"/>
      <c r="I5098" s="94"/>
      <c r="K5098" s="94"/>
      <c r="M5098" s="94"/>
    </row>
    <row r="5099" s="93" customFormat="1" spans="3:13">
      <c r="C5099" s="94"/>
      <c r="E5099" s="94"/>
      <c r="G5099" s="94"/>
      <c r="I5099" s="94"/>
      <c r="K5099" s="94"/>
      <c r="M5099" s="94"/>
    </row>
    <row r="5100" s="93" customFormat="1" spans="3:13">
      <c r="C5100" s="94"/>
      <c r="E5100" s="94"/>
      <c r="G5100" s="94"/>
      <c r="I5100" s="94"/>
      <c r="K5100" s="94"/>
      <c r="M5100" s="94"/>
    </row>
    <row r="5101" s="93" customFormat="1" spans="3:13">
      <c r="C5101" s="94"/>
      <c r="E5101" s="94"/>
      <c r="G5101" s="94"/>
      <c r="I5101" s="94"/>
      <c r="K5101" s="94"/>
      <c r="M5101" s="94"/>
    </row>
    <row r="5102" s="93" customFormat="1" spans="3:13">
      <c r="C5102" s="94"/>
      <c r="E5102" s="94"/>
      <c r="G5102" s="94"/>
      <c r="I5102" s="94"/>
      <c r="K5102" s="94"/>
      <c r="M5102" s="94"/>
    </row>
    <row r="5103" s="93" customFormat="1" spans="3:13">
      <c r="C5103" s="94"/>
      <c r="E5103" s="94"/>
      <c r="G5103" s="94"/>
      <c r="I5103" s="94"/>
      <c r="K5103" s="94"/>
      <c r="M5103" s="94"/>
    </row>
    <row r="5104" s="93" customFormat="1" spans="3:13">
      <c r="C5104" s="94"/>
      <c r="E5104" s="94"/>
      <c r="G5104" s="94"/>
      <c r="I5104" s="94"/>
      <c r="K5104" s="94"/>
      <c r="M5104" s="94"/>
    </row>
    <row r="5105" s="93" customFormat="1" spans="3:13">
      <c r="C5105" s="94"/>
      <c r="E5105" s="94"/>
      <c r="G5105" s="94"/>
      <c r="I5105" s="94"/>
      <c r="K5105" s="94"/>
      <c r="M5105" s="94"/>
    </row>
    <row r="5106" s="93" customFormat="1" spans="3:13">
      <c r="C5106" s="94"/>
      <c r="E5106" s="94"/>
      <c r="G5106" s="94"/>
      <c r="I5106" s="94"/>
      <c r="K5106" s="94"/>
      <c r="M5106" s="94"/>
    </row>
    <row r="5107" s="93" customFormat="1" spans="3:13">
      <c r="C5107" s="94"/>
      <c r="E5107" s="94"/>
      <c r="G5107" s="94"/>
      <c r="I5107" s="94"/>
      <c r="K5107" s="94"/>
      <c r="M5107" s="94"/>
    </row>
    <row r="5108" s="93" customFormat="1" spans="3:13">
      <c r="C5108" s="94"/>
      <c r="E5108" s="94"/>
      <c r="G5108" s="94"/>
      <c r="I5108" s="94"/>
      <c r="K5108" s="94"/>
      <c r="M5108" s="94"/>
    </row>
    <row r="5109" s="93" customFormat="1" spans="3:13">
      <c r="C5109" s="94"/>
      <c r="E5109" s="94"/>
      <c r="G5109" s="94"/>
      <c r="I5109" s="94"/>
      <c r="K5109" s="94"/>
      <c r="M5109" s="94"/>
    </row>
    <row r="5110" s="93" customFormat="1" spans="3:13">
      <c r="C5110" s="94"/>
      <c r="E5110" s="94"/>
      <c r="G5110" s="94"/>
      <c r="I5110" s="94"/>
      <c r="K5110" s="94"/>
      <c r="M5110" s="94"/>
    </row>
    <row r="5111" s="93" customFormat="1" spans="3:13">
      <c r="C5111" s="94"/>
      <c r="E5111" s="94"/>
      <c r="G5111" s="94"/>
      <c r="I5111" s="94"/>
      <c r="K5111" s="94"/>
      <c r="M5111" s="94"/>
    </row>
    <row r="5112" s="93" customFormat="1" spans="3:13">
      <c r="C5112" s="94"/>
      <c r="E5112" s="94"/>
      <c r="G5112" s="94"/>
      <c r="I5112" s="94"/>
      <c r="K5112" s="94"/>
      <c r="M5112" s="94"/>
    </row>
    <row r="5113" s="93" customFormat="1" spans="3:13">
      <c r="C5113" s="94"/>
      <c r="E5113" s="94"/>
      <c r="G5113" s="94"/>
      <c r="I5113" s="94"/>
      <c r="K5113" s="94"/>
      <c r="M5113" s="94"/>
    </row>
    <row r="5114" s="93" customFormat="1" spans="3:13">
      <c r="C5114" s="94"/>
      <c r="E5114" s="94"/>
      <c r="G5114" s="94"/>
      <c r="I5114" s="94"/>
      <c r="K5114" s="94"/>
      <c r="M5114" s="94"/>
    </row>
    <row r="5115" s="93" customFormat="1" spans="3:13">
      <c r="C5115" s="94"/>
      <c r="E5115" s="94"/>
      <c r="G5115" s="94"/>
      <c r="I5115" s="94"/>
      <c r="K5115" s="94"/>
      <c r="M5115" s="94"/>
    </row>
    <row r="5116" s="93" customFormat="1" spans="3:13">
      <c r="C5116" s="94"/>
      <c r="E5116" s="94"/>
      <c r="G5116" s="94"/>
      <c r="I5116" s="94"/>
      <c r="K5116" s="94"/>
      <c r="M5116" s="94"/>
    </row>
    <row r="5117" s="93" customFormat="1" spans="3:13">
      <c r="C5117" s="94"/>
      <c r="E5117" s="94"/>
      <c r="G5117" s="94"/>
      <c r="I5117" s="94"/>
      <c r="K5117" s="94"/>
      <c r="M5117" s="94"/>
    </row>
    <row r="5118" s="93" customFormat="1" spans="3:13">
      <c r="C5118" s="94"/>
      <c r="E5118" s="94"/>
      <c r="G5118" s="94"/>
      <c r="I5118" s="94"/>
      <c r="K5118" s="94"/>
      <c r="M5118" s="94"/>
    </row>
    <row r="5119" s="93" customFormat="1" spans="3:13">
      <c r="C5119" s="94"/>
      <c r="E5119" s="94"/>
      <c r="G5119" s="94"/>
      <c r="I5119" s="94"/>
      <c r="K5119" s="94"/>
      <c r="M5119" s="94"/>
    </row>
    <row r="5120" s="93" customFormat="1" spans="3:13">
      <c r="C5120" s="94"/>
      <c r="E5120" s="94"/>
      <c r="G5120" s="94"/>
      <c r="I5120" s="94"/>
      <c r="K5120" s="94"/>
      <c r="M5120" s="94"/>
    </row>
    <row r="5121" s="93" customFormat="1" spans="3:13">
      <c r="C5121" s="94"/>
      <c r="E5121" s="94"/>
      <c r="G5121" s="94"/>
      <c r="I5121" s="94"/>
      <c r="K5121" s="94"/>
      <c r="M5121" s="94"/>
    </row>
    <row r="5122" s="93" customFormat="1" spans="3:13">
      <c r="C5122" s="94"/>
      <c r="E5122" s="94"/>
      <c r="G5122" s="94"/>
      <c r="I5122" s="94"/>
      <c r="K5122" s="94"/>
      <c r="M5122" s="94"/>
    </row>
    <row r="5123" s="93" customFormat="1" spans="3:13">
      <c r="C5123" s="94"/>
      <c r="E5123" s="94"/>
      <c r="G5123" s="94"/>
      <c r="I5123" s="94"/>
      <c r="K5123" s="94"/>
      <c r="M5123" s="94"/>
    </row>
    <row r="5124" s="93" customFormat="1" spans="3:13">
      <c r="C5124" s="94"/>
      <c r="E5124" s="94"/>
      <c r="G5124" s="94"/>
      <c r="I5124" s="94"/>
      <c r="K5124" s="94"/>
      <c r="M5124" s="94"/>
    </row>
    <row r="5125" s="93" customFormat="1" spans="3:13">
      <c r="C5125" s="94"/>
      <c r="E5125" s="94"/>
      <c r="G5125" s="94"/>
      <c r="I5125" s="94"/>
      <c r="K5125" s="94"/>
      <c r="M5125" s="94"/>
    </row>
    <row r="5126" s="93" customFormat="1" spans="3:13">
      <c r="C5126" s="94"/>
      <c r="E5126" s="94"/>
      <c r="G5126" s="94"/>
      <c r="I5126" s="94"/>
      <c r="K5126" s="94"/>
      <c r="M5126" s="94"/>
    </row>
    <row r="5127" s="93" customFormat="1" spans="3:13">
      <c r="C5127" s="94"/>
      <c r="E5127" s="94"/>
      <c r="G5127" s="94"/>
      <c r="I5127" s="94"/>
      <c r="K5127" s="94"/>
      <c r="M5127" s="94"/>
    </row>
    <row r="5128" s="93" customFormat="1" spans="3:13">
      <c r="C5128" s="94"/>
      <c r="E5128" s="94"/>
      <c r="G5128" s="94"/>
      <c r="I5128" s="94"/>
      <c r="K5128" s="94"/>
      <c r="M5128" s="94"/>
    </row>
    <row r="5129" s="93" customFormat="1" spans="3:13">
      <c r="C5129" s="94"/>
      <c r="E5129" s="94"/>
      <c r="G5129" s="94"/>
      <c r="I5129" s="94"/>
      <c r="K5129" s="94"/>
      <c r="M5129" s="94"/>
    </row>
    <row r="5130" s="93" customFormat="1" spans="3:13">
      <c r="C5130" s="94"/>
      <c r="E5130" s="94"/>
      <c r="G5130" s="94"/>
      <c r="I5130" s="94"/>
      <c r="K5130" s="94"/>
      <c r="M5130" s="94"/>
    </row>
    <row r="5131" s="93" customFormat="1" spans="3:13">
      <c r="C5131" s="94"/>
      <c r="E5131" s="94"/>
      <c r="G5131" s="94"/>
      <c r="I5131" s="94"/>
      <c r="K5131" s="94"/>
      <c r="M5131" s="94"/>
    </row>
    <row r="5132" s="93" customFormat="1" spans="3:13">
      <c r="C5132" s="94"/>
      <c r="E5132" s="94"/>
      <c r="G5132" s="94"/>
      <c r="I5132" s="94"/>
      <c r="K5132" s="94"/>
      <c r="M5132" s="94"/>
    </row>
    <row r="5133" s="93" customFormat="1" spans="3:13">
      <c r="C5133" s="94"/>
      <c r="E5133" s="94"/>
      <c r="G5133" s="94"/>
      <c r="I5133" s="94"/>
      <c r="K5133" s="94"/>
      <c r="M5133" s="94"/>
    </row>
    <row r="5134" s="93" customFormat="1" spans="3:13">
      <c r="C5134" s="94"/>
      <c r="E5134" s="94"/>
      <c r="G5134" s="94"/>
      <c r="I5134" s="94"/>
      <c r="K5134" s="94"/>
      <c r="M5134" s="94"/>
    </row>
    <row r="5135" s="93" customFormat="1" spans="3:13">
      <c r="C5135" s="94"/>
      <c r="E5135" s="94"/>
      <c r="G5135" s="94"/>
      <c r="I5135" s="94"/>
      <c r="K5135" s="94"/>
      <c r="M5135" s="94"/>
    </row>
    <row r="5136" s="93" customFormat="1" spans="3:13">
      <c r="C5136" s="94"/>
      <c r="E5136" s="94"/>
      <c r="G5136" s="94"/>
      <c r="I5136" s="94"/>
      <c r="K5136" s="94"/>
      <c r="M5136" s="94"/>
    </row>
    <row r="5137" s="93" customFormat="1" spans="3:13">
      <c r="C5137" s="94"/>
      <c r="E5137" s="94"/>
      <c r="G5137" s="94"/>
      <c r="I5137" s="94"/>
      <c r="K5137" s="94"/>
      <c r="M5137" s="94"/>
    </row>
    <row r="5138" s="93" customFormat="1" spans="3:13">
      <c r="C5138" s="94"/>
      <c r="E5138" s="94"/>
      <c r="G5138" s="94"/>
      <c r="I5138" s="94"/>
      <c r="K5138" s="94"/>
      <c r="M5138" s="94"/>
    </row>
    <row r="5139" s="93" customFormat="1" spans="3:13">
      <c r="C5139" s="94"/>
      <c r="E5139" s="94"/>
      <c r="G5139" s="94"/>
      <c r="I5139" s="94"/>
      <c r="K5139" s="94"/>
      <c r="M5139" s="94"/>
    </row>
    <row r="5140" s="93" customFormat="1" spans="3:13">
      <c r="C5140" s="94"/>
      <c r="E5140" s="94"/>
      <c r="G5140" s="94"/>
      <c r="I5140" s="94"/>
      <c r="K5140" s="94"/>
      <c r="M5140" s="94"/>
    </row>
    <row r="5141" s="93" customFormat="1" spans="3:13">
      <c r="C5141" s="94"/>
      <c r="E5141" s="94"/>
      <c r="G5141" s="94"/>
      <c r="I5141" s="94"/>
      <c r="K5141" s="94"/>
      <c r="M5141" s="94"/>
    </row>
    <row r="5142" s="93" customFormat="1" spans="3:13">
      <c r="C5142" s="94"/>
      <c r="E5142" s="94"/>
      <c r="G5142" s="94"/>
      <c r="I5142" s="94"/>
      <c r="K5142" s="94"/>
      <c r="M5142" s="94"/>
    </row>
    <row r="5143" s="93" customFormat="1" spans="3:13">
      <c r="C5143" s="94"/>
      <c r="E5143" s="94"/>
      <c r="G5143" s="94"/>
      <c r="I5143" s="94"/>
      <c r="K5143" s="94"/>
      <c r="M5143" s="94"/>
    </row>
    <row r="5144" s="93" customFormat="1" spans="3:13">
      <c r="C5144" s="94"/>
      <c r="E5144" s="94"/>
      <c r="G5144" s="94"/>
      <c r="I5144" s="94"/>
      <c r="K5144" s="94"/>
      <c r="M5144" s="94"/>
    </row>
    <row r="5145" s="93" customFormat="1" spans="3:13">
      <c r="C5145" s="94"/>
      <c r="E5145" s="94"/>
      <c r="G5145" s="94"/>
      <c r="I5145" s="94"/>
      <c r="K5145" s="94"/>
      <c r="M5145" s="94"/>
    </row>
    <row r="5146" s="93" customFormat="1" spans="3:13">
      <c r="C5146" s="94"/>
      <c r="E5146" s="94"/>
      <c r="G5146" s="94"/>
      <c r="I5146" s="94"/>
      <c r="K5146" s="94"/>
      <c r="M5146" s="94"/>
    </row>
    <row r="5147" s="93" customFormat="1" spans="3:13">
      <c r="C5147" s="94"/>
      <c r="E5147" s="94"/>
      <c r="G5147" s="94"/>
      <c r="I5147" s="94"/>
      <c r="K5147" s="94"/>
      <c r="M5147" s="94"/>
    </row>
    <row r="5148" s="93" customFormat="1" spans="3:13">
      <c r="C5148" s="94"/>
      <c r="E5148" s="94"/>
      <c r="G5148" s="94"/>
      <c r="I5148" s="94"/>
      <c r="K5148" s="94"/>
      <c r="M5148" s="94"/>
    </row>
    <row r="5149" s="93" customFormat="1" spans="3:13">
      <c r="C5149" s="94"/>
      <c r="E5149" s="94"/>
      <c r="G5149" s="94"/>
      <c r="I5149" s="94"/>
      <c r="K5149" s="94"/>
      <c r="M5149" s="94"/>
    </row>
    <row r="5150" s="93" customFormat="1" spans="3:13">
      <c r="C5150" s="94"/>
      <c r="E5150" s="94"/>
      <c r="G5150" s="94"/>
      <c r="I5150" s="94"/>
      <c r="K5150" s="94"/>
      <c r="M5150" s="94"/>
    </row>
    <row r="5151" s="93" customFormat="1" spans="3:13">
      <c r="C5151" s="94"/>
      <c r="E5151" s="94"/>
      <c r="G5151" s="94"/>
      <c r="I5151" s="94"/>
      <c r="K5151" s="94"/>
      <c r="M5151" s="94"/>
    </row>
    <row r="5152" s="93" customFormat="1" spans="3:13">
      <c r="C5152" s="94"/>
      <c r="E5152" s="94"/>
      <c r="G5152" s="94"/>
      <c r="I5152" s="94"/>
      <c r="K5152" s="94"/>
      <c r="M5152" s="94"/>
    </row>
    <row r="5153" s="93" customFormat="1" spans="3:13">
      <c r="C5153" s="94"/>
      <c r="E5153" s="94"/>
      <c r="G5153" s="94"/>
      <c r="I5153" s="94"/>
      <c r="K5153" s="94"/>
      <c r="M5153" s="94"/>
    </row>
    <row r="5154" s="93" customFormat="1" spans="3:13">
      <c r="C5154" s="94"/>
      <c r="E5154" s="94"/>
      <c r="G5154" s="94"/>
      <c r="I5154" s="94"/>
      <c r="K5154" s="94"/>
      <c r="M5154" s="94"/>
    </row>
    <row r="5155" s="93" customFormat="1" spans="3:13">
      <c r="C5155" s="94"/>
      <c r="E5155" s="94"/>
      <c r="G5155" s="94"/>
      <c r="I5155" s="94"/>
      <c r="K5155" s="94"/>
      <c r="M5155" s="94"/>
    </row>
    <row r="5156" s="93" customFormat="1" spans="3:13">
      <c r="C5156" s="94"/>
      <c r="E5156" s="94"/>
      <c r="G5156" s="94"/>
      <c r="I5156" s="94"/>
      <c r="K5156" s="94"/>
      <c r="M5156" s="94"/>
    </row>
    <row r="5157" s="93" customFormat="1" spans="3:13">
      <c r="C5157" s="94"/>
      <c r="E5157" s="94"/>
      <c r="G5157" s="94"/>
      <c r="I5157" s="94"/>
      <c r="K5157" s="94"/>
      <c r="M5157" s="94"/>
    </row>
    <row r="5158" s="93" customFormat="1" spans="3:13">
      <c r="C5158" s="94"/>
      <c r="E5158" s="94"/>
      <c r="G5158" s="94"/>
      <c r="I5158" s="94"/>
      <c r="K5158" s="94"/>
      <c r="M5158" s="94"/>
    </row>
    <row r="5159" s="93" customFormat="1" spans="3:13">
      <c r="C5159" s="94"/>
      <c r="E5159" s="94"/>
      <c r="G5159" s="94"/>
      <c r="I5159" s="94"/>
      <c r="K5159" s="94"/>
      <c r="M5159" s="94"/>
    </row>
    <row r="5160" s="93" customFormat="1" spans="3:13">
      <c r="C5160" s="94"/>
      <c r="E5160" s="94"/>
      <c r="G5160" s="94"/>
      <c r="I5160" s="94"/>
      <c r="K5160" s="94"/>
      <c r="M5160" s="94"/>
    </row>
    <row r="5161" s="93" customFormat="1" spans="3:13">
      <c r="C5161" s="94"/>
      <c r="E5161" s="94"/>
      <c r="G5161" s="94"/>
      <c r="I5161" s="94"/>
      <c r="K5161" s="94"/>
      <c r="M5161" s="94"/>
    </row>
    <row r="5162" s="93" customFormat="1" spans="3:13">
      <c r="C5162" s="94"/>
      <c r="E5162" s="94"/>
      <c r="G5162" s="94"/>
      <c r="I5162" s="94"/>
      <c r="K5162" s="94"/>
      <c r="M5162" s="94"/>
    </row>
    <row r="5163" s="93" customFormat="1" spans="3:13">
      <c r="C5163" s="94"/>
      <c r="E5163" s="94"/>
      <c r="G5163" s="94"/>
      <c r="I5163" s="94"/>
      <c r="K5163" s="94"/>
      <c r="M5163" s="94"/>
    </row>
    <row r="5164" s="93" customFormat="1" spans="3:13">
      <c r="C5164" s="94"/>
      <c r="E5164" s="94"/>
      <c r="G5164" s="94"/>
      <c r="I5164" s="94"/>
      <c r="K5164" s="94"/>
      <c r="M5164" s="94"/>
    </row>
    <row r="5165" s="93" customFormat="1" spans="3:13">
      <c r="C5165" s="94"/>
      <c r="E5165" s="94"/>
      <c r="G5165" s="94"/>
      <c r="I5165" s="94"/>
      <c r="K5165" s="94"/>
      <c r="M5165" s="94"/>
    </row>
    <row r="5166" s="93" customFormat="1" spans="3:13">
      <c r="C5166" s="94"/>
      <c r="E5166" s="94"/>
      <c r="G5166" s="94"/>
      <c r="I5166" s="94"/>
      <c r="K5166" s="94"/>
      <c r="M5166" s="94"/>
    </row>
    <row r="5167" s="93" customFormat="1" spans="3:13">
      <c r="C5167" s="94"/>
      <c r="E5167" s="94"/>
      <c r="G5167" s="94"/>
      <c r="I5167" s="94"/>
      <c r="K5167" s="94"/>
      <c r="M5167" s="94"/>
    </row>
    <row r="5168" s="93" customFormat="1" spans="3:13">
      <c r="C5168" s="94"/>
      <c r="E5168" s="94"/>
      <c r="G5168" s="94"/>
      <c r="I5168" s="94"/>
      <c r="K5168" s="94"/>
      <c r="M5168" s="94"/>
    </row>
    <row r="5169" s="93" customFormat="1" spans="3:13">
      <c r="C5169" s="94"/>
      <c r="E5169" s="94"/>
      <c r="G5169" s="94"/>
      <c r="I5169" s="94"/>
      <c r="K5169" s="94"/>
      <c r="M5169" s="94"/>
    </row>
    <row r="5170" s="93" customFormat="1" spans="3:13">
      <c r="C5170" s="94"/>
      <c r="E5170" s="94"/>
      <c r="G5170" s="94"/>
      <c r="I5170" s="94"/>
      <c r="K5170" s="94"/>
      <c r="M5170" s="94"/>
    </row>
    <row r="5171" s="93" customFormat="1" spans="3:13">
      <c r="C5171" s="94"/>
      <c r="E5171" s="94"/>
      <c r="G5171" s="94"/>
      <c r="I5171" s="94"/>
      <c r="K5171" s="94"/>
      <c r="M5171" s="94"/>
    </row>
    <row r="5172" s="93" customFormat="1" spans="3:13">
      <c r="C5172" s="94"/>
      <c r="E5172" s="94"/>
      <c r="G5172" s="94"/>
      <c r="I5172" s="94"/>
      <c r="K5172" s="94"/>
      <c r="M5172" s="94"/>
    </row>
    <row r="5173" s="93" customFormat="1" spans="3:13">
      <c r="C5173" s="94"/>
      <c r="E5173" s="94"/>
      <c r="G5173" s="94"/>
      <c r="I5173" s="94"/>
      <c r="K5173" s="94"/>
      <c r="M5173" s="94"/>
    </row>
    <row r="5174" s="93" customFormat="1" spans="3:13">
      <c r="C5174" s="94"/>
      <c r="E5174" s="94"/>
      <c r="G5174" s="94"/>
      <c r="I5174" s="94"/>
      <c r="K5174" s="94"/>
      <c r="M5174" s="94"/>
    </row>
    <row r="5175" s="93" customFormat="1" spans="3:13">
      <c r="C5175" s="94"/>
      <c r="E5175" s="94"/>
      <c r="G5175" s="94"/>
      <c r="I5175" s="94"/>
      <c r="K5175" s="94"/>
      <c r="M5175" s="94"/>
    </row>
    <row r="5176" s="93" customFormat="1" spans="3:13">
      <c r="C5176" s="94"/>
      <c r="E5176" s="94"/>
      <c r="G5176" s="94"/>
      <c r="I5176" s="94"/>
      <c r="K5176" s="94"/>
      <c r="M5176" s="94"/>
    </row>
    <row r="5177" s="93" customFormat="1" spans="3:13">
      <c r="C5177" s="94"/>
      <c r="E5177" s="94"/>
      <c r="G5177" s="94"/>
      <c r="I5177" s="94"/>
      <c r="K5177" s="94"/>
      <c r="M5177" s="94"/>
    </row>
    <row r="5178" s="93" customFormat="1" spans="3:13">
      <c r="C5178" s="94"/>
      <c r="E5178" s="94"/>
      <c r="G5178" s="94"/>
      <c r="I5178" s="94"/>
      <c r="K5178" s="94"/>
      <c r="M5178" s="94"/>
    </row>
    <row r="5179" s="93" customFormat="1" spans="3:13">
      <c r="C5179" s="94"/>
      <c r="E5179" s="94"/>
      <c r="G5179" s="94"/>
      <c r="I5179" s="94"/>
      <c r="K5179" s="94"/>
      <c r="M5179" s="94"/>
    </row>
    <row r="5180" s="93" customFormat="1" spans="3:13">
      <c r="C5180" s="94"/>
      <c r="E5180" s="94"/>
      <c r="G5180" s="94"/>
      <c r="I5180" s="94"/>
      <c r="K5180" s="94"/>
      <c r="M5180" s="94"/>
    </row>
    <row r="5181" s="93" customFormat="1" spans="3:13">
      <c r="C5181" s="94"/>
      <c r="E5181" s="94"/>
      <c r="G5181" s="94"/>
      <c r="I5181" s="94"/>
      <c r="K5181" s="94"/>
      <c r="M5181" s="94"/>
    </row>
    <row r="5182" s="93" customFormat="1" spans="3:13">
      <c r="C5182" s="94"/>
      <c r="E5182" s="94"/>
      <c r="G5182" s="94"/>
      <c r="I5182" s="94"/>
      <c r="K5182" s="94"/>
      <c r="M5182" s="94"/>
    </row>
    <row r="5183" s="93" customFormat="1" spans="3:13">
      <c r="C5183" s="94"/>
      <c r="E5183" s="94"/>
      <c r="G5183" s="94"/>
      <c r="I5183" s="94"/>
      <c r="K5183" s="94"/>
      <c r="M5183" s="94"/>
    </row>
    <row r="5184" s="93" customFormat="1" spans="3:13">
      <c r="C5184" s="94"/>
      <c r="E5184" s="94"/>
      <c r="G5184" s="94"/>
      <c r="I5184" s="94"/>
      <c r="K5184" s="94"/>
      <c r="M5184" s="94"/>
    </row>
    <row r="5185" s="93" customFormat="1" spans="3:13">
      <c r="C5185" s="94"/>
      <c r="E5185" s="94"/>
      <c r="G5185" s="94"/>
      <c r="I5185" s="94"/>
      <c r="K5185" s="94"/>
      <c r="M5185" s="94"/>
    </row>
    <row r="5186" s="93" customFormat="1" spans="3:13">
      <c r="C5186" s="94"/>
      <c r="E5186" s="94"/>
      <c r="G5186" s="94"/>
      <c r="I5186" s="94"/>
      <c r="K5186" s="94"/>
      <c r="M5186" s="94"/>
    </row>
    <row r="5187" s="93" customFormat="1" spans="3:13">
      <c r="C5187" s="94"/>
      <c r="E5187" s="94"/>
      <c r="G5187" s="94"/>
      <c r="I5187" s="94"/>
      <c r="K5187" s="94"/>
      <c r="M5187" s="94"/>
    </row>
    <row r="5188" s="93" customFormat="1" spans="3:13">
      <c r="C5188" s="94"/>
      <c r="E5188" s="94"/>
      <c r="G5188" s="94"/>
      <c r="I5188" s="94"/>
      <c r="K5188" s="94"/>
      <c r="M5188" s="94"/>
    </row>
    <row r="5189" s="93" customFormat="1" spans="3:13">
      <c r="C5189" s="94"/>
      <c r="E5189" s="94"/>
      <c r="G5189" s="94"/>
      <c r="I5189" s="94"/>
      <c r="K5189" s="94"/>
      <c r="M5189" s="94"/>
    </row>
    <row r="5190" s="93" customFormat="1" spans="3:13">
      <c r="C5190" s="94"/>
      <c r="E5190" s="94"/>
      <c r="G5190" s="94"/>
      <c r="I5190" s="94"/>
      <c r="K5190" s="94"/>
      <c r="M5190" s="94"/>
    </row>
    <row r="5191" s="93" customFormat="1" spans="3:13">
      <c r="C5191" s="94"/>
      <c r="E5191" s="94"/>
      <c r="G5191" s="94"/>
      <c r="I5191" s="94"/>
      <c r="K5191" s="94"/>
      <c r="M5191" s="94"/>
    </row>
    <row r="5192" s="93" customFormat="1" spans="3:13">
      <c r="C5192" s="94"/>
      <c r="E5192" s="94"/>
      <c r="G5192" s="94"/>
      <c r="I5192" s="94"/>
      <c r="K5192" s="94"/>
      <c r="M5192" s="94"/>
    </row>
    <row r="5193" s="93" customFormat="1" spans="3:13">
      <c r="C5193" s="94"/>
      <c r="E5193" s="94"/>
      <c r="G5193" s="94"/>
      <c r="I5193" s="94"/>
      <c r="K5193" s="94"/>
      <c r="M5193" s="94"/>
    </row>
    <row r="5194" s="93" customFormat="1" spans="3:13">
      <c r="C5194" s="94"/>
      <c r="E5194" s="94"/>
      <c r="G5194" s="94"/>
      <c r="I5194" s="94"/>
      <c r="K5194" s="94"/>
      <c r="M5194" s="94"/>
    </row>
    <row r="5195" s="93" customFormat="1" spans="3:13">
      <c r="C5195" s="94"/>
      <c r="E5195" s="94"/>
      <c r="G5195" s="94"/>
      <c r="I5195" s="94"/>
      <c r="K5195" s="94"/>
      <c r="M5195" s="94"/>
    </row>
    <row r="5196" s="93" customFormat="1" spans="3:13">
      <c r="C5196" s="94"/>
      <c r="E5196" s="94"/>
      <c r="G5196" s="94"/>
      <c r="I5196" s="94"/>
      <c r="K5196" s="94"/>
      <c r="M5196" s="94"/>
    </row>
    <row r="5197" s="93" customFormat="1" spans="3:13">
      <c r="C5197" s="94"/>
      <c r="E5197" s="94"/>
      <c r="G5197" s="94"/>
      <c r="I5197" s="94"/>
      <c r="K5197" s="94"/>
      <c r="M5197" s="94"/>
    </row>
    <row r="5198" s="93" customFormat="1" spans="3:13">
      <c r="C5198" s="94"/>
      <c r="E5198" s="94"/>
      <c r="G5198" s="94"/>
      <c r="I5198" s="94"/>
      <c r="K5198" s="94"/>
      <c r="M5198" s="94"/>
    </row>
    <row r="5199" s="93" customFormat="1" spans="3:13">
      <c r="C5199" s="94"/>
      <c r="E5199" s="94"/>
      <c r="G5199" s="94"/>
      <c r="I5199" s="94"/>
      <c r="K5199" s="94"/>
      <c r="M5199" s="94"/>
    </row>
    <row r="5200" s="93" customFormat="1" spans="3:13">
      <c r="C5200" s="94"/>
      <c r="E5200" s="94"/>
      <c r="G5200" s="94"/>
      <c r="I5200" s="94"/>
      <c r="K5200" s="94"/>
      <c r="M5200" s="94"/>
    </row>
    <row r="5201" s="93" customFormat="1" spans="3:13">
      <c r="C5201" s="94"/>
      <c r="E5201" s="94"/>
      <c r="G5201" s="94"/>
      <c r="I5201" s="94"/>
      <c r="K5201" s="94"/>
      <c r="M5201" s="94"/>
    </row>
    <row r="5202" s="93" customFormat="1" spans="3:13">
      <c r="C5202" s="94"/>
      <c r="E5202" s="94"/>
      <c r="G5202" s="94"/>
      <c r="I5202" s="94"/>
      <c r="K5202" s="94"/>
      <c r="M5202" s="94"/>
    </row>
    <row r="5203" s="93" customFormat="1" spans="3:13">
      <c r="C5203" s="94"/>
      <c r="E5203" s="94"/>
      <c r="G5203" s="94"/>
      <c r="I5203" s="94"/>
      <c r="K5203" s="94"/>
      <c r="M5203" s="94"/>
    </row>
    <row r="5204" s="93" customFormat="1" spans="3:13">
      <c r="C5204" s="94"/>
      <c r="E5204" s="94"/>
      <c r="G5204" s="94"/>
      <c r="I5204" s="94"/>
      <c r="K5204" s="94"/>
      <c r="M5204" s="94"/>
    </row>
    <row r="5205" s="93" customFormat="1" spans="3:13">
      <c r="C5205" s="94"/>
      <c r="E5205" s="94"/>
      <c r="G5205" s="94"/>
      <c r="I5205" s="94"/>
      <c r="K5205" s="94"/>
      <c r="M5205" s="94"/>
    </row>
    <row r="5206" s="93" customFormat="1" spans="3:13">
      <c r="C5206" s="94"/>
      <c r="E5206" s="94"/>
      <c r="G5206" s="94"/>
      <c r="I5206" s="94"/>
      <c r="K5206" s="94"/>
      <c r="M5206" s="94"/>
    </row>
    <row r="5207" s="93" customFormat="1" spans="3:13">
      <c r="C5207" s="94"/>
      <c r="E5207" s="94"/>
      <c r="G5207" s="94"/>
      <c r="I5207" s="94"/>
      <c r="K5207" s="94"/>
      <c r="M5207" s="94"/>
    </row>
    <row r="5208" s="93" customFormat="1" spans="3:13">
      <c r="C5208" s="94"/>
      <c r="E5208" s="94"/>
      <c r="G5208" s="94"/>
      <c r="I5208" s="94"/>
      <c r="K5208" s="94"/>
      <c r="M5208" s="94"/>
    </row>
    <row r="5209" s="93" customFormat="1" spans="3:13">
      <c r="C5209" s="94"/>
      <c r="E5209" s="94"/>
      <c r="G5209" s="94"/>
      <c r="I5209" s="94"/>
      <c r="K5209" s="94"/>
      <c r="M5209" s="94"/>
    </row>
    <row r="5210" s="93" customFormat="1" spans="3:13">
      <c r="C5210" s="94"/>
      <c r="E5210" s="94"/>
      <c r="G5210" s="94"/>
      <c r="I5210" s="94"/>
      <c r="K5210" s="94"/>
      <c r="M5210" s="94"/>
    </row>
    <row r="5211" s="93" customFormat="1" spans="3:13">
      <c r="C5211" s="94"/>
      <c r="E5211" s="94"/>
      <c r="G5211" s="94"/>
      <c r="I5211" s="94"/>
      <c r="K5211" s="94"/>
      <c r="M5211" s="94"/>
    </row>
    <row r="5212" s="93" customFormat="1" spans="3:13">
      <c r="C5212" s="94"/>
      <c r="E5212" s="94"/>
      <c r="G5212" s="94"/>
      <c r="I5212" s="94"/>
      <c r="K5212" s="94"/>
      <c r="M5212" s="94"/>
    </row>
    <row r="5213" s="93" customFormat="1" spans="3:13">
      <c r="C5213" s="94"/>
      <c r="E5213" s="94"/>
      <c r="G5213" s="94"/>
      <c r="I5213" s="94"/>
      <c r="K5213" s="94"/>
      <c r="M5213" s="94"/>
    </row>
    <row r="5214" s="93" customFormat="1" spans="3:13">
      <c r="C5214" s="94"/>
      <c r="E5214" s="94"/>
      <c r="G5214" s="94"/>
      <c r="I5214" s="94"/>
      <c r="K5214" s="94"/>
      <c r="M5214" s="94"/>
    </row>
    <row r="5215" s="93" customFormat="1" spans="3:13">
      <c r="C5215" s="94"/>
      <c r="E5215" s="94"/>
      <c r="G5215" s="94"/>
      <c r="I5215" s="94"/>
      <c r="K5215" s="94"/>
      <c r="M5215" s="94"/>
    </row>
    <row r="5216" s="93" customFormat="1" spans="3:13">
      <c r="C5216" s="94"/>
      <c r="E5216" s="94"/>
      <c r="G5216" s="94"/>
      <c r="I5216" s="94"/>
      <c r="K5216" s="94"/>
      <c r="M5216" s="94"/>
    </row>
    <row r="5217" s="93" customFormat="1" spans="3:13">
      <c r="C5217" s="94"/>
      <c r="E5217" s="94"/>
      <c r="G5217" s="94"/>
      <c r="I5217" s="94"/>
      <c r="K5217" s="94"/>
      <c r="M5217" s="94"/>
    </row>
    <row r="5218" s="93" customFormat="1" spans="3:13">
      <c r="C5218" s="94"/>
      <c r="E5218" s="94"/>
      <c r="G5218" s="94"/>
      <c r="I5218" s="94"/>
      <c r="K5218" s="94"/>
      <c r="M5218" s="94"/>
    </row>
    <row r="5219" s="93" customFormat="1" spans="3:13">
      <c r="C5219" s="94"/>
      <c r="E5219" s="94"/>
      <c r="G5219" s="94"/>
      <c r="I5219" s="94"/>
      <c r="K5219" s="94"/>
      <c r="M5219" s="94"/>
    </row>
    <row r="5220" s="93" customFormat="1" spans="3:13">
      <c r="C5220" s="94"/>
      <c r="E5220" s="94"/>
      <c r="G5220" s="94"/>
      <c r="I5220" s="94"/>
      <c r="K5220" s="94"/>
      <c r="M5220" s="94"/>
    </row>
    <row r="5221" s="93" customFormat="1" spans="3:13">
      <c r="C5221" s="94"/>
      <c r="E5221" s="94"/>
      <c r="G5221" s="94"/>
      <c r="I5221" s="94"/>
      <c r="K5221" s="94"/>
      <c r="M5221" s="94"/>
    </row>
    <row r="5222" s="93" customFormat="1" spans="3:13">
      <c r="C5222" s="94"/>
      <c r="E5222" s="94"/>
      <c r="G5222" s="94"/>
      <c r="I5222" s="94"/>
      <c r="K5222" s="94"/>
      <c r="M5222" s="94"/>
    </row>
    <row r="5223" s="93" customFormat="1" spans="3:13">
      <c r="C5223" s="94"/>
      <c r="E5223" s="94"/>
      <c r="G5223" s="94"/>
      <c r="I5223" s="94"/>
      <c r="K5223" s="94"/>
      <c r="M5223" s="94"/>
    </row>
    <row r="5224" s="93" customFormat="1" spans="3:13">
      <c r="C5224" s="94"/>
      <c r="E5224" s="94"/>
      <c r="G5224" s="94"/>
      <c r="I5224" s="94"/>
      <c r="K5224" s="94"/>
      <c r="M5224" s="94"/>
    </row>
    <row r="5225" s="93" customFormat="1" spans="3:13">
      <c r="C5225" s="94"/>
      <c r="E5225" s="94"/>
      <c r="G5225" s="94"/>
      <c r="I5225" s="94"/>
      <c r="K5225" s="94"/>
      <c r="M5225" s="94"/>
    </row>
    <row r="5226" s="93" customFormat="1" spans="3:13">
      <c r="C5226" s="94"/>
      <c r="E5226" s="94"/>
      <c r="G5226" s="94"/>
      <c r="I5226" s="94"/>
      <c r="K5226" s="94"/>
      <c r="M5226" s="94"/>
    </row>
    <row r="5227" s="93" customFormat="1" spans="3:13">
      <c r="C5227" s="94"/>
      <c r="E5227" s="94"/>
      <c r="G5227" s="94"/>
      <c r="I5227" s="94"/>
      <c r="K5227" s="94"/>
      <c r="M5227" s="94"/>
    </row>
    <row r="5228" s="93" customFormat="1" spans="3:13">
      <c r="C5228" s="94"/>
      <c r="E5228" s="94"/>
      <c r="G5228" s="94"/>
      <c r="I5228" s="94"/>
      <c r="K5228" s="94"/>
      <c r="M5228" s="94"/>
    </row>
    <row r="5229" s="93" customFormat="1" spans="3:13">
      <c r="C5229" s="94"/>
      <c r="E5229" s="94"/>
      <c r="G5229" s="94"/>
      <c r="I5229" s="94"/>
      <c r="K5229" s="94"/>
      <c r="M5229" s="94"/>
    </row>
    <row r="5230" s="93" customFormat="1" spans="3:13">
      <c r="C5230" s="94"/>
      <c r="E5230" s="94"/>
      <c r="G5230" s="94"/>
      <c r="I5230" s="94"/>
      <c r="K5230" s="94"/>
      <c r="M5230" s="94"/>
    </row>
    <row r="5231" s="93" customFormat="1" spans="3:13">
      <c r="C5231" s="94"/>
      <c r="E5231" s="94"/>
      <c r="G5231" s="94"/>
      <c r="I5231" s="94"/>
      <c r="K5231" s="94"/>
      <c r="M5231" s="94"/>
    </row>
    <row r="5232" s="93" customFormat="1" spans="3:13">
      <c r="C5232" s="94"/>
      <c r="E5232" s="94"/>
      <c r="G5232" s="94"/>
      <c r="I5232" s="94"/>
      <c r="K5232" s="94"/>
      <c r="M5232" s="94"/>
    </row>
    <row r="5233" s="93" customFormat="1" spans="3:13">
      <c r="C5233" s="94"/>
      <c r="E5233" s="94"/>
      <c r="G5233" s="94"/>
      <c r="I5233" s="94"/>
      <c r="K5233" s="94"/>
      <c r="M5233" s="94"/>
    </row>
    <row r="5234" s="93" customFormat="1" spans="3:13">
      <c r="C5234" s="94"/>
      <c r="E5234" s="94"/>
      <c r="G5234" s="94"/>
      <c r="I5234" s="94"/>
      <c r="K5234" s="94"/>
      <c r="M5234" s="94"/>
    </row>
    <row r="5235" s="93" customFormat="1" spans="3:13">
      <c r="C5235" s="94"/>
      <c r="E5235" s="94"/>
      <c r="G5235" s="94"/>
      <c r="I5235" s="94"/>
      <c r="K5235" s="94"/>
      <c r="M5235" s="94"/>
    </row>
    <row r="5236" s="93" customFormat="1" spans="3:13">
      <c r="C5236" s="94"/>
      <c r="E5236" s="94"/>
      <c r="G5236" s="94"/>
      <c r="I5236" s="94"/>
      <c r="K5236" s="94"/>
      <c r="M5236" s="94"/>
    </row>
    <row r="5237" s="93" customFormat="1" spans="3:13">
      <c r="C5237" s="94"/>
      <c r="E5237" s="94"/>
      <c r="G5237" s="94"/>
      <c r="I5237" s="94"/>
      <c r="K5237" s="94"/>
      <c r="M5237" s="94"/>
    </row>
    <row r="5238" s="93" customFormat="1" spans="3:13">
      <c r="C5238" s="94"/>
      <c r="E5238" s="94"/>
      <c r="G5238" s="94"/>
      <c r="I5238" s="94"/>
      <c r="K5238" s="94"/>
      <c r="M5238" s="94"/>
    </row>
    <row r="5239" s="93" customFormat="1" spans="3:13">
      <c r="C5239" s="94"/>
      <c r="E5239" s="94"/>
      <c r="G5239" s="94"/>
      <c r="I5239" s="94"/>
      <c r="K5239" s="94"/>
      <c r="M5239" s="94"/>
    </row>
    <row r="5240" s="93" customFormat="1" spans="3:13">
      <c r="C5240" s="94"/>
      <c r="E5240" s="94"/>
      <c r="G5240" s="94"/>
      <c r="I5240" s="94"/>
      <c r="K5240" s="94"/>
      <c r="M5240" s="94"/>
    </row>
    <row r="5241" s="93" customFormat="1" spans="3:13">
      <c r="C5241" s="94"/>
      <c r="E5241" s="94"/>
      <c r="G5241" s="94"/>
      <c r="I5241" s="94"/>
      <c r="K5241" s="94"/>
      <c r="M5241" s="94"/>
    </row>
    <row r="5242" s="93" customFormat="1" spans="3:13">
      <c r="C5242" s="94"/>
      <c r="E5242" s="94"/>
      <c r="G5242" s="94"/>
      <c r="I5242" s="94"/>
      <c r="K5242" s="94"/>
      <c r="M5242" s="94"/>
    </row>
    <row r="5243" s="93" customFormat="1" spans="3:13">
      <c r="C5243" s="94"/>
      <c r="E5243" s="94"/>
      <c r="G5243" s="94"/>
      <c r="I5243" s="94"/>
      <c r="K5243" s="94"/>
      <c r="M5243" s="94"/>
    </row>
    <row r="5244" s="93" customFormat="1" spans="3:13">
      <c r="C5244" s="94"/>
      <c r="E5244" s="94"/>
      <c r="G5244" s="94"/>
      <c r="I5244" s="94"/>
      <c r="K5244" s="94"/>
      <c r="M5244" s="94"/>
    </row>
    <row r="5245" s="93" customFormat="1" spans="3:13">
      <c r="C5245" s="94"/>
      <c r="E5245" s="94"/>
      <c r="G5245" s="94"/>
      <c r="I5245" s="94"/>
      <c r="K5245" s="94"/>
      <c r="M5245" s="94"/>
    </row>
    <row r="5246" s="93" customFormat="1" spans="3:13">
      <c r="C5246" s="94"/>
      <c r="E5246" s="94"/>
      <c r="G5246" s="94"/>
      <c r="I5246" s="94"/>
      <c r="K5246" s="94"/>
      <c r="M5246" s="94"/>
    </row>
    <row r="5247" s="93" customFormat="1" spans="3:13">
      <c r="C5247" s="94"/>
      <c r="E5247" s="94"/>
      <c r="G5247" s="94"/>
      <c r="I5247" s="94"/>
      <c r="K5247" s="94"/>
      <c r="M5247" s="94"/>
    </row>
    <row r="5248" s="93" customFormat="1" spans="3:13">
      <c r="C5248" s="94"/>
      <c r="E5248" s="94"/>
      <c r="G5248" s="94"/>
      <c r="I5248" s="94"/>
      <c r="K5248" s="94"/>
      <c r="M5248" s="94"/>
    </row>
    <row r="5249" s="93" customFormat="1" spans="3:13">
      <c r="C5249" s="94"/>
      <c r="E5249" s="94"/>
      <c r="G5249" s="94"/>
      <c r="I5249" s="94"/>
      <c r="K5249" s="94"/>
      <c r="M5249" s="94"/>
    </row>
    <row r="5250" s="93" customFormat="1" spans="3:13">
      <c r="C5250" s="94"/>
      <c r="E5250" s="94"/>
      <c r="G5250" s="94"/>
      <c r="I5250" s="94"/>
      <c r="K5250" s="94"/>
      <c r="M5250" s="94"/>
    </row>
    <row r="5251" s="93" customFormat="1" spans="3:13">
      <c r="C5251" s="94"/>
      <c r="E5251" s="94"/>
      <c r="G5251" s="94"/>
      <c r="I5251" s="94"/>
      <c r="K5251" s="94"/>
      <c r="M5251" s="94"/>
    </row>
    <row r="5252" s="93" customFormat="1" spans="3:13">
      <c r="C5252" s="94"/>
      <c r="E5252" s="94"/>
      <c r="G5252" s="94"/>
      <c r="I5252" s="94"/>
      <c r="K5252" s="94"/>
      <c r="M5252" s="94"/>
    </row>
    <row r="5253" s="93" customFormat="1" spans="3:13">
      <c r="C5253" s="94"/>
      <c r="E5253" s="94"/>
      <c r="G5253" s="94"/>
      <c r="I5253" s="94"/>
      <c r="K5253" s="94"/>
      <c r="M5253" s="94"/>
    </row>
    <row r="5254" s="93" customFormat="1" spans="3:13">
      <c r="C5254" s="94"/>
      <c r="E5254" s="94"/>
      <c r="G5254" s="94"/>
      <c r="I5254" s="94"/>
      <c r="K5254" s="94"/>
      <c r="M5254" s="94"/>
    </row>
    <row r="5255" s="93" customFormat="1" spans="3:13">
      <c r="C5255" s="94"/>
      <c r="E5255" s="94"/>
      <c r="G5255" s="94"/>
      <c r="I5255" s="94"/>
      <c r="K5255" s="94"/>
      <c r="M5255" s="94"/>
    </row>
    <row r="5256" s="93" customFormat="1" spans="3:13">
      <c r="C5256" s="94"/>
      <c r="E5256" s="94"/>
      <c r="G5256" s="94"/>
      <c r="I5256" s="94"/>
      <c r="K5256" s="94"/>
      <c r="M5256" s="94"/>
    </row>
    <row r="5257" s="93" customFormat="1" spans="3:13">
      <c r="C5257" s="94"/>
      <c r="E5257" s="94"/>
      <c r="G5257" s="94"/>
      <c r="I5257" s="94"/>
      <c r="K5257" s="94"/>
      <c r="M5257" s="94"/>
    </row>
    <row r="5258" s="93" customFormat="1" spans="3:13">
      <c r="C5258" s="94"/>
      <c r="E5258" s="94"/>
      <c r="G5258" s="94"/>
      <c r="I5258" s="94"/>
      <c r="K5258" s="94"/>
      <c r="M5258" s="94"/>
    </row>
    <row r="5259" s="93" customFormat="1" spans="3:13">
      <c r="C5259" s="94"/>
      <c r="E5259" s="94"/>
      <c r="G5259" s="94"/>
      <c r="I5259" s="94"/>
      <c r="K5259" s="94"/>
      <c r="M5259" s="94"/>
    </row>
    <row r="5260" s="93" customFormat="1" spans="3:13">
      <c r="C5260" s="94"/>
      <c r="E5260" s="94"/>
      <c r="G5260" s="94"/>
      <c r="I5260" s="94"/>
      <c r="K5260" s="94"/>
      <c r="M5260" s="94"/>
    </row>
    <row r="5261" s="93" customFormat="1" spans="3:13">
      <c r="C5261" s="94"/>
      <c r="E5261" s="94"/>
      <c r="G5261" s="94"/>
      <c r="I5261" s="94"/>
      <c r="K5261" s="94"/>
      <c r="M5261" s="94"/>
    </row>
    <row r="5262" s="93" customFormat="1" spans="3:13">
      <c r="C5262" s="94"/>
      <c r="E5262" s="94"/>
      <c r="G5262" s="94"/>
      <c r="I5262" s="94"/>
      <c r="K5262" s="94"/>
      <c r="M5262" s="94"/>
    </row>
    <row r="5263" s="93" customFormat="1" spans="3:13">
      <c r="C5263" s="94"/>
      <c r="E5263" s="94"/>
      <c r="G5263" s="94"/>
      <c r="I5263" s="94"/>
      <c r="K5263" s="94"/>
      <c r="M5263" s="94"/>
    </row>
    <row r="5264" s="93" customFormat="1" spans="3:13">
      <c r="C5264" s="94"/>
      <c r="E5264" s="94"/>
      <c r="G5264" s="94"/>
      <c r="I5264" s="94"/>
      <c r="K5264" s="94"/>
      <c r="M5264" s="94"/>
    </row>
    <row r="5265" s="93" customFormat="1" spans="3:13">
      <c r="C5265" s="94"/>
      <c r="E5265" s="94"/>
      <c r="G5265" s="94"/>
      <c r="I5265" s="94"/>
      <c r="K5265" s="94"/>
      <c r="M5265" s="94"/>
    </row>
    <row r="5266" s="93" customFormat="1" spans="3:13">
      <c r="C5266" s="94"/>
      <c r="E5266" s="94"/>
      <c r="G5266" s="94"/>
      <c r="I5266" s="94"/>
      <c r="K5266" s="94"/>
      <c r="M5266" s="94"/>
    </row>
    <row r="5267" s="93" customFormat="1" spans="3:13">
      <c r="C5267" s="94"/>
      <c r="E5267" s="94"/>
      <c r="G5267" s="94"/>
      <c r="I5267" s="94"/>
      <c r="K5267" s="94"/>
      <c r="M5267" s="94"/>
    </row>
    <row r="5268" s="93" customFormat="1" spans="3:13">
      <c r="C5268" s="94"/>
      <c r="E5268" s="94"/>
      <c r="G5268" s="94"/>
      <c r="I5268" s="94"/>
      <c r="K5268" s="94"/>
      <c r="M5268" s="94"/>
    </row>
    <row r="5269" s="93" customFormat="1" spans="3:13">
      <c r="C5269" s="94"/>
      <c r="E5269" s="94"/>
      <c r="G5269" s="94"/>
      <c r="I5269" s="94"/>
      <c r="K5269" s="94"/>
      <c r="M5269" s="94"/>
    </row>
    <row r="5270" s="93" customFormat="1" spans="3:13">
      <c r="C5270" s="94"/>
      <c r="E5270" s="94"/>
      <c r="G5270" s="94"/>
      <c r="I5270" s="94"/>
      <c r="K5270" s="94"/>
      <c r="M5270" s="94"/>
    </row>
    <row r="5271" s="93" customFormat="1" spans="3:13">
      <c r="C5271" s="94"/>
      <c r="E5271" s="94"/>
      <c r="G5271" s="94"/>
      <c r="I5271" s="94"/>
      <c r="K5271" s="94"/>
      <c r="M5271" s="94"/>
    </row>
    <row r="5272" s="93" customFormat="1" spans="3:13">
      <c r="C5272" s="94"/>
      <c r="E5272" s="94"/>
      <c r="G5272" s="94"/>
      <c r="I5272" s="94"/>
      <c r="K5272" s="94"/>
      <c r="M5272" s="94"/>
    </row>
    <row r="5273" s="93" customFormat="1" spans="3:13">
      <c r="C5273" s="94"/>
      <c r="E5273" s="94"/>
      <c r="G5273" s="94"/>
      <c r="I5273" s="94"/>
      <c r="K5273" s="94"/>
      <c r="M5273" s="94"/>
    </row>
    <row r="5274" s="93" customFormat="1" spans="3:13">
      <c r="C5274" s="94"/>
      <c r="E5274" s="94"/>
      <c r="G5274" s="94"/>
      <c r="I5274" s="94"/>
      <c r="K5274" s="94"/>
      <c r="M5274" s="94"/>
    </row>
    <row r="5275" s="93" customFormat="1" spans="3:13">
      <c r="C5275" s="94"/>
      <c r="E5275" s="94"/>
      <c r="G5275" s="94"/>
      <c r="I5275" s="94"/>
      <c r="K5275" s="94"/>
      <c r="M5275" s="94"/>
    </row>
    <row r="5276" s="93" customFormat="1" spans="3:13">
      <c r="C5276" s="94"/>
      <c r="E5276" s="94"/>
      <c r="G5276" s="94"/>
      <c r="I5276" s="94"/>
      <c r="K5276" s="94"/>
      <c r="M5276" s="94"/>
    </row>
    <row r="5277" s="93" customFormat="1" spans="3:13">
      <c r="C5277" s="94"/>
      <c r="E5277" s="94"/>
      <c r="G5277" s="94"/>
      <c r="I5277" s="94"/>
      <c r="K5277" s="94"/>
      <c r="M5277" s="94"/>
    </row>
    <row r="5278" s="93" customFormat="1" spans="3:13">
      <c r="C5278" s="94"/>
      <c r="E5278" s="94"/>
      <c r="G5278" s="94"/>
      <c r="I5278" s="94"/>
      <c r="K5278" s="94"/>
      <c r="M5278" s="94"/>
    </row>
    <row r="5279" s="93" customFormat="1" spans="3:13">
      <c r="C5279" s="94"/>
      <c r="E5279" s="94"/>
      <c r="G5279" s="94"/>
      <c r="I5279" s="94"/>
      <c r="K5279" s="94"/>
      <c r="M5279" s="94"/>
    </row>
    <row r="5280" s="93" customFormat="1" spans="3:13">
      <c r="C5280" s="94"/>
      <c r="E5280" s="94"/>
      <c r="G5280" s="94"/>
      <c r="I5280" s="94"/>
      <c r="K5280" s="94"/>
      <c r="M5280" s="94"/>
    </row>
    <row r="5281" s="93" customFormat="1" spans="3:13">
      <c r="C5281" s="94"/>
      <c r="E5281" s="94"/>
      <c r="G5281" s="94"/>
      <c r="I5281" s="94"/>
      <c r="K5281" s="94"/>
      <c r="M5281" s="94"/>
    </row>
    <row r="5282" s="93" customFormat="1" spans="3:13">
      <c r="C5282" s="94"/>
      <c r="E5282" s="94"/>
      <c r="G5282" s="94"/>
      <c r="I5282" s="94"/>
      <c r="K5282" s="94"/>
      <c r="M5282" s="94"/>
    </row>
    <row r="5283" s="93" customFormat="1" spans="3:13">
      <c r="C5283" s="94"/>
      <c r="E5283" s="94"/>
      <c r="G5283" s="94"/>
      <c r="I5283" s="94"/>
      <c r="K5283" s="94"/>
      <c r="M5283" s="94"/>
    </row>
    <row r="5284" s="93" customFormat="1" spans="3:13">
      <c r="C5284" s="94"/>
      <c r="E5284" s="94"/>
      <c r="G5284" s="94"/>
      <c r="I5284" s="94"/>
      <c r="K5284" s="94"/>
      <c r="M5284" s="94"/>
    </row>
    <row r="5285" s="93" customFormat="1" spans="3:13">
      <c r="C5285" s="94"/>
      <c r="E5285" s="94"/>
      <c r="G5285" s="94"/>
      <c r="I5285" s="94"/>
      <c r="K5285" s="94"/>
      <c r="M5285" s="94"/>
    </row>
    <row r="5286" s="93" customFormat="1" spans="3:13">
      <c r="C5286" s="94"/>
      <c r="E5286" s="94"/>
      <c r="G5286" s="94"/>
      <c r="I5286" s="94"/>
      <c r="K5286" s="94"/>
      <c r="M5286" s="94"/>
    </row>
    <row r="5287" s="93" customFormat="1" spans="3:13">
      <c r="C5287" s="94"/>
      <c r="E5287" s="94"/>
      <c r="G5287" s="94"/>
      <c r="I5287" s="94"/>
      <c r="K5287" s="94"/>
      <c r="M5287" s="94"/>
    </row>
    <row r="5288" s="93" customFormat="1" spans="3:13">
      <c r="C5288" s="94"/>
      <c r="E5288" s="94"/>
      <c r="G5288" s="94"/>
      <c r="I5288" s="94"/>
      <c r="K5288" s="94"/>
      <c r="M5288" s="94"/>
    </row>
    <row r="5289" s="93" customFormat="1" spans="3:13">
      <c r="C5289" s="94"/>
      <c r="E5289" s="94"/>
      <c r="G5289" s="94"/>
      <c r="I5289" s="94"/>
      <c r="K5289" s="94"/>
      <c r="M5289" s="94"/>
    </row>
    <row r="5290" s="93" customFormat="1" spans="3:13">
      <c r="C5290" s="94"/>
      <c r="E5290" s="94"/>
      <c r="G5290" s="94"/>
      <c r="I5290" s="94"/>
      <c r="K5290" s="94"/>
      <c r="M5290" s="94"/>
    </row>
    <row r="5291" s="93" customFormat="1" spans="3:13">
      <c r="C5291" s="94"/>
      <c r="E5291" s="94"/>
      <c r="G5291" s="94"/>
      <c r="I5291" s="94"/>
      <c r="K5291" s="94"/>
      <c r="M5291" s="94"/>
    </row>
    <row r="5292" s="93" customFormat="1" spans="3:13">
      <c r="C5292" s="94"/>
      <c r="E5292" s="94"/>
      <c r="G5292" s="94"/>
      <c r="I5292" s="94"/>
      <c r="K5292" s="94"/>
      <c r="M5292" s="94"/>
    </row>
    <row r="5293" s="93" customFormat="1" spans="3:13">
      <c r="C5293" s="94"/>
      <c r="E5293" s="94"/>
      <c r="G5293" s="94"/>
      <c r="I5293" s="94"/>
      <c r="K5293" s="94"/>
      <c r="M5293" s="94"/>
    </row>
    <row r="5294" s="93" customFormat="1" spans="3:13">
      <c r="C5294" s="94"/>
      <c r="E5294" s="94"/>
      <c r="G5294" s="94"/>
      <c r="I5294" s="94"/>
      <c r="K5294" s="94"/>
      <c r="M5294" s="94"/>
    </row>
    <row r="5295" s="93" customFormat="1" spans="3:13">
      <c r="C5295" s="94"/>
      <c r="E5295" s="94"/>
      <c r="G5295" s="94"/>
      <c r="I5295" s="94"/>
      <c r="K5295" s="94"/>
      <c r="M5295" s="94"/>
    </row>
    <row r="5296" s="93" customFormat="1" spans="3:13">
      <c r="C5296" s="94"/>
      <c r="E5296" s="94"/>
      <c r="G5296" s="94"/>
      <c r="I5296" s="94"/>
      <c r="K5296" s="94"/>
      <c r="M5296" s="94"/>
    </row>
    <row r="5297" s="93" customFormat="1" spans="3:13">
      <c r="C5297" s="94"/>
      <c r="E5297" s="94"/>
      <c r="G5297" s="94"/>
      <c r="I5297" s="94"/>
      <c r="K5297" s="94"/>
      <c r="M5297" s="94"/>
    </row>
    <row r="5298" s="93" customFormat="1" spans="3:13">
      <c r="C5298" s="94"/>
      <c r="E5298" s="94"/>
      <c r="G5298" s="94"/>
      <c r="I5298" s="94"/>
      <c r="K5298" s="94"/>
      <c r="M5298" s="94"/>
    </row>
    <row r="5299" s="93" customFormat="1" spans="3:13">
      <c r="C5299" s="94"/>
      <c r="E5299" s="94"/>
      <c r="G5299" s="94"/>
      <c r="I5299" s="94"/>
      <c r="K5299" s="94"/>
      <c r="M5299" s="94"/>
    </row>
    <row r="5300" s="93" customFormat="1" spans="3:13">
      <c r="C5300" s="94"/>
      <c r="E5300" s="94"/>
      <c r="G5300" s="94"/>
      <c r="I5300" s="94"/>
      <c r="K5300" s="94"/>
      <c r="M5300" s="94"/>
    </row>
    <row r="5301" s="93" customFormat="1" spans="3:13">
      <c r="C5301" s="94"/>
      <c r="E5301" s="94"/>
      <c r="G5301" s="94"/>
      <c r="I5301" s="94"/>
      <c r="K5301" s="94"/>
      <c r="M5301" s="94"/>
    </row>
    <row r="5302" s="93" customFormat="1" spans="3:13">
      <c r="C5302" s="94"/>
      <c r="E5302" s="94"/>
      <c r="G5302" s="94"/>
      <c r="I5302" s="94"/>
      <c r="K5302" s="94"/>
      <c r="M5302" s="94"/>
    </row>
    <row r="5303" s="93" customFormat="1" spans="3:13">
      <c r="C5303" s="94"/>
      <c r="E5303" s="94"/>
      <c r="G5303" s="94"/>
      <c r="I5303" s="94"/>
      <c r="K5303" s="94"/>
      <c r="M5303" s="94"/>
    </row>
    <row r="5304" s="93" customFormat="1" spans="3:13">
      <c r="C5304" s="94"/>
      <c r="E5304" s="94"/>
      <c r="G5304" s="94"/>
      <c r="I5304" s="94"/>
      <c r="K5304" s="94"/>
      <c r="M5304" s="94"/>
    </row>
    <row r="5305" s="93" customFormat="1" spans="3:13">
      <c r="C5305" s="94"/>
      <c r="E5305" s="94"/>
      <c r="G5305" s="94"/>
      <c r="I5305" s="94"/>
      <c r="K5305" s="94"/>
      <c r="M5305" s="94"/>
    </row>
    <row r="5306" s="93" customFormat="1" spans="3:13">
      <c r="C5306" s="94"/>
      <c r="E5306" s="94"/>
      <c r="G5306" s="94"/>
      <c r="I5306" s="94"/>
      <c r="K5306" s="94"/>
      <c r="M5306" s="94"/>
    </row>
    <row r="5307" s="93" customFormat="1" spans="3:13">
      <c r="C5307" s="94"/>
      <c r="E5307" s="94"/>
      <c r="G5307" s="94"/>
      <c r="I5307" s="94"/>
      <c r="K5307" s="94"/>
      <c r="M5307" s="94"/>
    </row>
    <row r="5308" s="93" customFormat="1" spans="3:13">
      <c r="C5308" s="94"/>
      <c r="E5308" s="94"/>
      <c r="G5308" s="94"/>
      <c r="I5308" s="94"/>
      <c r="K5308" s="94"/>
      <c r="M5308" s="94"/>
    </row>
    <row r="5309" s="93" customFormat="1" spans="3:13">
      <c r="C5309" s="94"/>
      <c r="E5309" s="94"/>
      <c r="G5309" s="94"/>
      <c r="I5309" s="94"/>
      <c r="K5309" s="94"/>
      <c r="M5309" s="94"/>
    </row>
    <row r="5310" s="93" customFormat="1" spans="3:13">
      <c r="C5310" s="94"/>
      <c r="E5310" s="94"/>
      <c r="G5310" s="94"/>
      <c r="I5310" s="94"/>
      <c r="K5310" s="94"/>
      <c r="M5310" s="94"/>
    </row>
    <row r="5311" s="93" customFormat="1" spans="3:13">
      <c r="C5311" s="94"/>
      <c r="E5311" s="94"/>
      <c r="G5311" s="94"/>
      <c r="I5311" s="94"/>
      <c r="K5311" s="94"/>
      <c r="M5311" s="94"/>
    </row>
    <row r="5312" s="93" customFormat="1" spans="3:13">
      <c r="C5312" s="94"/>
      <c r="E5312" s="94"/>
      <c r="G5312" s="94"/>
      <c r="I5312" s="94"/>
      <c r="K5312" s="94"/>
      <c r="M5312" s="94"/>
    </row>
    <row r="5313" s="93" customFormat="1" spans="3:13">
      <c r="C5313" s="94"/>
      <c r="E5313" s="94"/>
      <c r="G5313" s="94"/>
      <c r="I5313" s="94"/>
      <c r="K5313" s="94"/>
      <c r="M5313" s="94"/>
    </row>
    <row r="5314" s="93" customFormat="1" spans="3:13">
      <c r="C5314" s="94"/>
      <c r="E5314" s="94"/>
      <c r="G5314" s="94"/>
      <c r="I5314" s="94"/>
      <c r="K5314" s="94"/>
      <c r="M5314" s="94"/>
    </row>
    <row r="5315" s="93" customFormat="1" spans="3:13">
      <c r="C5315" s="94"/>
      <c r="E5315" s="94"/>
      <c r="G5315" s="94"/>
      <c r="I5315" s="94"/>
      <c r="K5315" s="94"/>
      <c r="M5315" s="94"/>
    </row>
    <row r="5316" s="93" customFormat="1" spans="3:13">
      <c r="C5316" s="94"/>
      <c r="E5316" s="94"/>
      <c r="G5316" s="94"/>
      <c r="I5316" s="94"/>
      <c r="K5316" s="94"/>
      <c r="M5316" s="94"/>
    </row>
    <row r="5317" s="93" customFormat="1" spans="3:13">
      <c r="C5317" s="94"/>
      <c r="E5317" s="94"/>
      <c r="G5317" s="94"/>
      <c r="I5317" s="94"/>
      <c r="K5317" s="94"/>
      <c r="M5317" s="94"/>
    </row>
    <row r="5318" s="93" customFormat="1" spans="3:13">
      <c r="C5318" s="94"/>
      <c r="E5318" s="94"/>
      <c r="G5318" s="94"/>
      <c r="I5318" s="94"/>
      <c r="K5318" s="94"/>
      <c r="M5318" s="94"/>
    </row>
    <row r="5319" s="93" customFormat="1" spans="3:13">
      <c r="C5319" s="94"/>
      <c r="E5319" s="94"/>
      <c r="G5319" s="94"/>
      <c r="I5319" s="94"/>
      <c r="K5319" s="94"/>
      <c r="M5319" s="94"/>
    </row>
    <row r="5320" s="93" customFormat="1" spans="3:13">
      <c r="C5320" s="94"/>
      <c r="E5320" s="94"/>
      <c r="G5320" s="94"/>
      <c r="I5320" s="94"/>
      <c r="K5320" s="94"/>
      <c r="M5320" s="94"/>
    </row>
    <row r="5321" s="93" customFormat="1" spans="3:13">
      <c r="C5321" s="94"/>
      <c r="E5321" s="94"/>
      <c r="G5321" s="94"/>
      <c r="I5321" s="94"/>
      <c r="K5321" s="94"/>
      <c r="M5321" s="94"/>
    </row>
    <row r="5322" s="93" customFormat="1" spans="3:13">
      <c r="C5322" s="94"/>
      <c r="E5322" s="94"/>
      <c r="G5322" s="94"/>
      <c r="I5322" s="94"/>
      <c r="K5322" s="94"/>
      <c r="M5322" s="94"/>
    </row>
    <row r="5323" s="93" customFormat="1" spans="3:13">
      <c r="C5323" s="94"/>
      <c r="E5323" s="94"/>
      <c r="G5323" s="94"/>
      <c r="I5323" s="94"/>
      <c r="K5323" s="94"/>
      <c r="M5323" s="94"/>
    </row>
    <row r="5324" s="93" customFormat="1" spans="3:13">
      <c r="C5324" s="94"/>
      <c r="E5324" s="94"/>
      <c r="G5324" s="94"/>
      <c r="I5324" s="94"/>
      <c r="K5324" s="94"/>
      <c r="M5324" s="94"/>
    </row>
    <row r="5325" s="93" customFormat="1" spans="3:13">
      <c r="C5325" s="94"/>
      <c r="E5325" s="94"/>
      <c r="G5325" s="94"/>
      <c r="I5325" s="94"/>
      <c r="K5325" s="94"/>
      <c r="M5325" s="94"/>
    </row>
    <row r="5326" s="93" customFormat="1" spans="3:13">
      <c r="C5326" s="94"/>
      <c r="E5326" s="94"/>
      <c r="G5326" s="94"/>
      <c r="I5326" s="94"/>
      <c r="K5326" s="94"/>
      <c r="M5326" s="94"/>
    </row>
    <row r="5327" s="93" customFormat="1" spans="3:13">
      <c r="C5327" s="94"/>
      <c r="E5327" s="94"/>
      <c r="G5327" s="94"/>
      <c r="I5327" s="94"/>
      <c r="K5327" s="94"/>
      <c r="M5327" s="94"/>
    </row>
    <row r="5328" s="93" customFormat="1" spans="3:13">
      <c r="C5328" s="94"/>
      <c r="E5328" s="94"/>
      <c r="G5328" s="94"/>
      <c r="I5328" s="94"/>
      <c r="K5328" s="94"/>
      <c r="M5328" s="94"/>
    </row>
    <row r="5329" s="93" customFormat="1" spans="3:13">
      <c r="C5329" s="94"/>
      <c r="E5329" s="94"/>
      <c r="G5329" s="94"/>
      <c r="I5329" s="94"/>
      <c r="K5329" s="94"/>
      <c r="M5329" s="94"/>
    </row>
    <row r="5330" s="93" customFormat="1" spans="3:13">
      <c r="C5330" s="94"/>
      <c r="E5330" s="94"/>
      <c r="G5330" s="94"/>
      <c r="I5330" s="94"/>
      <c r="K5330" s="94"/>
      <c r="M5330" s="94"/>
    </row>
    <row r="5331" s="93" customFormat="1" spans="3:13">
      <c r="C5331" s="94"/>
      <c r="E5331" s="94"/>
      <c r="G5331" s="94"/>
      <c r="I5331" s="94"/>
      <c r="K5331" s="94"/>
      <c r="M5331" s="94"/>
    </row>
    <row r="5332" s="93" customFormat="1" spans="3:13">
      <c r="C5332" s="94"/>
      <c r="E5332" s="94"/>
      <c r="G5332" s="94"/>
      <c r="I5332" s="94"/>
      <c r="K5332" s="94"/>
      <c r="M5332" s="94"/>
    </row>
    <row r="5333" s="93" customFormat="1" spans="3:13">
      <c r="C5333" s="94"/>
      <c r="E5333" s="94"/>
      <c r="G5333" s="94"/>
      <c r="I5333" s="94"/>
      <c r="K5333" s="94"/>
      <c r="M5333" s="94"/>
    </row>
    <row r="5334" s="93" customFormat="1" spans="3:13">
      <c r="C5334" s="94"/>
      <c r="E5334" s="94"/>
      <c r="G5334" s="94"/>
      <c r="I5334" s="94"/>
      <c r="K5334" s="94"/>
      <c r="M5334" s="94"/>
    </row>
    <row r="5335" s="93" customFormat="1" spans="3:13">
      <c r="C5335" s="94"/>
      <c r="E5335" s="94"/>
      <c r="G5335" s="94"/>
      <c r="I5335" s="94"/>
      <c r="K5335" s="94"/>
      <c r="M5335" s="94"/>
    </row>
    <row r="5336" s="93" customFormat="1" spans="3:13">
      <c r="C5336" s="94"/>
      <c r="E5336" s="94"/>
      <c r="G5336" s="94"/>
      <c r="I5336" s="94"/>
      <c r="K5336" s="94"/>
      <c r="M5336" s="94"/>
    </row>
    <row r="5337" s="93" customFormat="1" spans="3:13">
      <c r="C5337" s="94"/>
      <c r="E5337" s="94"/>
      <c r="G5337" s="94"/>
      <c r="I5337" s="94"/>
      <c r="K5337" s="94"/>
      <c r="M5337" s="94"/>
    </row>
    <row r="5338" s="93" customFormat="1" spans="3:13">
      <c r="C5338" s="94"/>
      <c r="E5338" s="94"/>
      <c r="G5338" s="94"/>
      <c r="I5338" s="94"/>
      <c r="K5338" s="94"/>
      <c r="M5338" s="94"/>
    </row>
    <row r="5339" s="93" customFormat="1" spans="3:13">
      <c r="C5339" s="94"/>
      <c r="E5339" s="94"/>
      <c r="G5339" s="94"/>
      <c r="I5339" s="94"/>
      <c r="K5339" s="94"/>
      <c r="M5339" s="94"/>
    </row>
    <row r="5340" s="93" customFormat="1" spans="3:13">
      <c r="C5340" s="94"/>
      <c r="E5340" s="94"/>
      <c r="G5340" s="94"/>
      <c r="I5340" s="94"/>
      <c r="K5340" s="94"/>
      <c r="M5340" s="94"/>
    </row>
    <row r="5341" s="93" customFormat="1" spans="3:13">
      <c r="C5341" s="94"/>
      <c r="E5341" s="94"/>
      <c r="G5341" s="94"/>
      <c r="I5341" s="94"/>
      <c r="K5341" s="94"/>
      <c r="M5341" s="94"/>
    </row>
    <row r="5342" s="93" customFormat="1" spans="3:13">
      <c r="C5342" s="94"/>
      <c r="E5342" s="94"/>
      <c r="G5342" s="94"/>
      <c r="I5342" s="94"/>
      <c r="K5342" s="94"/>
      <c r="M5342" s="94"/>
    </row>
    <row r="5343" s="93" customFormat="1" spans="3:13">
      <c r="C5343" s="94"/>
      <c r="E5343" s="94"/>
      <c r="G5343" s="94"/>
      <c r="I5343" s="94"/>
      <c r="K5343" s="94"/>
      <c r="M5343" s="94"/>
    </row>
    <row r="5344" s="93" customFormat="1" spans="3:13">
      <c r="C5344" s="94"/>
      <c r="E5344" s="94"/>
      <c r="G5344" s="94"/>
      <c r="I5344" s="94"/>
      <c r="K5344" s="94"/>
      <c r="M5344" s="94"/>
    </row>
    <row r="5345" s="93" customFormat="1" spans="3:13">
      <c r="C5345" s="94"/>
      <c r="E5345" s="94"/>
      <c r="G5345" s="94"/>
      <c r="I5345" s="94"/>
      <c r="K5345" s="94"/>
      <c r="M5345" s="94"/>
    </row>
    <row r="5346" s="93" customFormat="1" spans="3:13">
      <c r="C5346" s="94"/>
      <c r="E5346" s="94"/>
      <c r="G5346" s="94"/>
      <c r="I5346" s="94"/>
      <c r="K5346" s="94"/>
      <c r="M5346" s="94"/>
    </row>
    <row r="5347" s="93" customFormat="1" spans="3:13">
      <c r="C5347" s="94"/>
      <c r="E5347" s="94"/>
      <c r="G5347" s="94"/>
      <c r="I5347" s="94"/>
      <c r="K5347" s="94"/>
      <c r="M5347" s="94"/>
    </row>
    <row r="5348" s="93" customFormat="1" spans="3:13">
      <c r="C5348" s="94"/>
      <c r="E5348" s="94"/>
      <c r="G5348" s="94"/>
      <c r="I5348" s="94"/>
      <c r="K5348" s="94"/>
      <c r="M5348" s="94"/>
    </row>
    <row r="5349" s="93" customFormat="1" spans="3:13">
      <c r="C5349" s="94"/>
      <c r="E5349" s="94"/>
      <c r="G5349" s="94"/>
      <c r="I5349" s="94"/>
      <c r="K5349" s="94"/>
      <c r="M5349" s="94"/>
    </row>
    <row r="5350" s="93" customFormat="1" spans="3:13">
      <c r="C5350" s="94"/>
      <c r="E5350" s="94"/>
      <c r="G5350" s="94"/>
      <c r="I5350" s="94"/>
      <c r="K5350" s="94"/>
      <c r="M5350" s="94"/>
    </row>
    <row r="5351" s="93" customFormat="1" spans="3:13">
      <c r="C5351" s="94"/>
      <c r="E5351" s="94"/>
      <c r="G5351" s="94"/>
      <c r="I5351" s="94"/>
      <c r="K5351" s="94"/>
      <c r="M5351" s="94"/>
    </row>
    <row r="5352" s="93" customFormat="1" spans="3:13">
      <c r="C5352" s="94"/>
      <c r="E5352" s="94"/>
      <c r="G5352" s="94"/>
      <c r="I5352" s="94"/>
      <c r="K5352" s="94"/>
      <c r="M5352" s="94"/>
    </row>
    <row r="5353" s="93" customFormat="1" spans="3:13">
      <c r="C5353" s="94"/>
      <c r="E5353" s="94"/>
      <c r="G5353" s="94"/>
      <c r="I5353" s="94"/>
      <c r="K5353" s="94"/>
      <c r="M5353" s="94"/>
    </row>
    <row r="5354" s="93" customFormat="1" spans="3:13">
      <c r="C5354" s="94"/>
      <c r="E5354" s="94"/>
      <c r="G5354" s="94"/>
      <c r="I5354" s="94"/>
      <c r="K5354" s="94"/>
      <c r="M5354" s="94"/>
    </row>
    <row r="5355" s="93" customFormat="1" spans="3:13">
      <c r="C5355" s="94"/>
      <c r="E5355" s="94"/>
      <c r="G5355" s="94"/>
      <c r="I5355" s="94"/>
      <c r="K5355" s="94"/>
      <c r="M5355" s="94"/>
    </row>
    <row r="5356" s="93" customFormat="1" spans="3:13">
      <c r="C5356" s="94"/>
      <c r="E5356" s="94"/>
      <c r="G5356" s="94"/>
      <c r="I5356" s="94"/>
      <c r="K5356" s="94"/>
      <c r="M5356" s="94"/>
    </row>
    <row r="5357" s="93" customFormat="1" spans="3:13">
      <c r="C5357" s="94"/>
      <c r="E5357" s="94"/>
      <c r="G5357" s="94"/>
      <c r="I5357" s="94"/>
      <c r="K5357" s="94"/>
      <c r="M5357" s="94"/>
    </row>
    <row r="5358" s="93" customFormat="1" spans="3:13">
      <c r="C5358" s="94"/>
      <c r="E5358" s="94"/>
      <c r="G5358" s="94"/>
      <c r="I5358" s="94"/>
      <c r="K5358" s="94"/>
      <c r="M5358" s="94"/>
    </row>
    <row r="5359" s="93" customFormat="1" spans="3:13">
      <c r="C5359" s="94"/>
      <c r="E5359" s="94"/>
      <c r="G5359" s="94"/>
      <c r="I5359" s="94"/>
      <c r="K5359" s="94"/>
      <c r="M5359" s="94"/>
    </row>
    <row r="5360" s="93" customFormat="1" spans="3:13">
      <c r="C5360" s="94"/>
      <c r="E5360" s="94"/>
      <c r="G5360" s="94"/>
      <c r="I5360" s="94"/>
      <c r="K5360" s="94"/>
      <c r="M5360" s="94"/>
    </row>
    <row r="5361" s="93" customFormat="1" spans="3:13">
      <c r="C5361" s="94"/>
      <c r="E5361" s="94"/>
      <c r="G5361" s="94"/>
      <c r="I5361" s="94"/>
      <c r="K5361" s="94"/>
      <c r="M5361" s="94"/>
    </row>
    <row r="5362" s="93" customFormat="1" spans="3:13">
      <c r="C5362" s="94"/>
      <c r="E5362" s="94"/>
      <c r="G5362" s="94"/>
      <c r="I5362" s="94"/>
      <c r="K5362" s="94"/>
      <c r="M5362" s="94"/>
    </row>
    <row r="5363" s="93" customFormat="1" spans="3:13">
      <c r="C5363" s="94"/>
      <c r="E5363" s="94"/>
      <c r="G5363" s="94"/>
      <c r="I5363" s="94"/>
      <c r="K5363" s="94"/>
      <c r="M5363" s="94"/>
    </row>
    <row r="5364" s="93" customFormat="1" spans="3:13">
      <c r="C5364" s="94"/>
      <c r="E5364" s="94"/>
      <c r="G5364" s="94"/>
      <c r="I5364" s="94"/>
      <c r="K5364" s="94"/>
      <c r="M5364" s="94"/>
    </row>
    <row r="5365" s="93" customFormat="1" spans="3:13">
      <c r="C5365" s="94"/>
      <c r="E5365" s="94"/>
      <c r="G5365" s="94"/>
      <c r="I5365" s="94"/>
      <c r="K5365" s="94"/>
      <c r="M5365" s="94"/>
    </row>
    <row r="5366" s="93" customFormat="1" spans="3:13">
      <c r="C5366" s="94"/>
      <c r="E5366" s="94"/>
      <c r="G5366" s="94"/>
      <c r="I5366" s="94"/>
      <c r="K5366" s="94"/>
      <c r="M5366" s="94"/>
    </row>
    <row r="5367" s="93" customFormat="1" spans="3:13">
      <c r="C5367" s="94"/>
      <c r="E5367" s="94"/>
      <c r="G5367" s="94"/>
      <c r="I5367" s="94"/>
      <c r="K5367" s="94"/>
      <c r="M5367" s="94"/>
    </row>
    <row r="5368" s="93" customFormat="1" spans="3:13">
      <c r="C5368" s="94"/>
      <c r="E5368" s="94"/>
      <c r="G5368" s="94"/>
      <c r="I5368" s="94"/>
      <c r="K5368" s="94"/>
      <c r="M5368" s="94"/>
    </row>
    <row r="5369" s="93" customFormat="1" spans="3:13">
      <c r="C5369" s="94"/>
      <c r="E5369" s="94"/>
      <c r="G5369" s="94"/>
      <c r="I5369" s="94"/>
      <c r="K5369" s="94"/>
      <c r="M5369" s="94"/>
    </row>
    <row r="5370" s="93" customFormat="1" spans="3:13">
      <c r="C5370" s="94"/>
      <c r="E5370" s="94"/>
      <c r="G5370" s="94"/>
      <c r="I5370" s="94"/>
      <c r="K5370" s="94"/>
      <c r="M5370" s="94"/>
    </row>
    <row r="5371" s="93" customFormat="1" spans="3:13">
      <c r="C5371" s="94"/>
      <c r="E5371" s="94"/>
      <c r="G5371" s="94"/>
      <c r="I5371" s="94"/>
      <c r="K5371" s="94"/>
      <c r="M5371" s="94"/>
    </row>
    <row r="5372" s="93" customFormat="1" spans="3:13">
      <c r="C5372" s="94"/>
      <c r="E5372" s="94"/>
      <c r="G5372" s="94"/>
      <c r="I5372" s="94"/>
      <c r="K5372" s="94"/>
      <c r="M5372" s="94"/>
    </row>
    <row r="5373" s="93" customFormat="1" spans="3:13">
      <c r="C5373" s="94"/>
      <c r="E5373" s="94"/>
      <c r="G5373" s="94"/>
      <c r="I5373" s="94"/>
      <c r="K5373" s="94"/>
      <c r="M5373" s="94"/>
    </row>
    <row r="5374" s="93" customFormat="1" spans="3:13">
      <c r="C5374" s="94"/>
      <c r="E5374" s="94"/>
      <c r="G5374" s="94"/>
      <c r="I5374" s="94"/>
      <c r="K5374" s="94"/>
      <c r="M5374" s="94"/>
    </row>
    <row r="5375" s="93" customFormat="1" spans="3:13">
      <c r="C5375" s="94"/>
      <c r="E5375" s="94"/>
      <c r="G5375" s="94"/>
      <c r="I5375" s="94"/>
      <c r="K5375" s="94"/>
      <c r="M5375" s="94"/>
    </row>
    <row r="5376" s="93" customFormat="1" spans="3:13">
      <c r="C5376" s="94"/>
      <c r="E5376" s="94"/>
      <c r="G5376" s="94"/>
      <c r="I5376" s="94"/>
      <c r="K5376" s="94"/>
      <c r="M5376" s="94"/>
    </row>
    <row r="5377" s="93" customFormat="1" spans="3:13">
      <c r="C5377" s="94"/>
      <c r="E5377" s="94"/>
      <c r="G5377" s="94"/>
      <c r="I5377" s="94"/>
      <c r="K5377" s="94"/>
      <c r="M5377" s="94"/>
    </row>
    <row r="5378" s="93" customFormat="1" spans="3:13">
      <c r="C5378" s="94"/>
      <c r="E5378" s="94"/>
      <c r="G5378" s="94"/>
      <c r="I5378" s="94"/>
      <c r="K5378" s="94"/>
      <c r="M5378" s="94"/>
    </row>
    <row r="5379" s="93" customFormat="1" spans="3:13">
      <c r="C5379" s="94"/>
      <c r="E5379" s="94"/>
      <c r="G5379" s="94"/>
      <c r="I5379" s="94"/>
      <c r="K5379" s="94"/>
      <c r="M5379" s="94"/>
    </row>
    <row r="5380" s="93" customFormat="1" spans="3:13">
      <c r="C5380" s="94"/>
      <c r="E5380" s="94"/>
      <c r="G5380" s="94"/>
      <c r="I5380" s="94"/>
      <c r="K5380" s="94"/>
      <c r="M5380" s="94"/>
    </row>
    <row r="5381" s="93" customFormat="1" spans="3:13">
      <c r="C5381" s="94"/>
      <c r="E5381" s="94"/>
      <c r="G5381" s="94"/>
      <c r="I5381" s="94"/>
      <c r="K5381" s="94"/>
      <c r="M5381" s="94"/>
    </row>
    <row r="5382" s="93" customFormat="1" spans="3:13">
      <c r="C5382" s="94"/>
      <c r="E5382" s="94"/>
      <c r="G5382" s="94"/>
      <c r="I5382" s="94"/>
      <c r="K5382" s="94"/>
      <c r="M5382" s="94"/>
    </row>
    <row r="5383" s="93" customFormat="1" spans="3:13">
      <c r="C5383" s="94"/>
      <c r="E5383" s="94"/>
      <c r="G5383" s="94"/>
      <c r="I5383" s="94"/>
      <c r="K5383" s="94"/>
      <c r="M5383" s="94"/>
    </row>
    <row r="5384" s="93" customFormat="1" spans="3:13">
      <c r="C5384" s="94"/>
      <c r="E5384" s="94"/>
      <c r="G5384" s="94"/>
      <c r="I5384" s="94"/>
      <c r="K5384" s="94"/>
      <c r="M5384" s="94"/>
    </row>
    <row r="5385" s="93" customFormat="1" spans="3:13">
      <c r="C5385" s="94"/>
      <c r="E5385" s="94"/>
      <c r="G5385" s="94"/>
      <c r="I5385" s="94"/>
      <c r="K5385" s="94"/>
      <c r="M5385" s="94"/>
    </row>
    <row r="5386" s="93" customFormat="1" spans="3:13">
      <c r="C5386" s="94"/>
      <c r="E5386" s="94"/>
      <c r="G5386" s="94"/>
      <c r="I5386" s="94"/>
      <c r="K5386" s="94"/>
      <c r="M5386" s="94"/>
    </row>
    <row r="5387" s="93" customFormat="1" spans="3:13">
      <c r="C5387" s="94"/>
      <c r="E5387" s="94"/>
      <c r="G5387" s="94"/>
      <c r="I5387" s="94"/>
      <c r="K5387" s="94"/>
      <c r="M5387" s="94"/>
    </row>
    <row r="5388" s="93" customFormat="1" spans="3:13">
      <c r="C5388" s="94"/>
      <c r="E5388" s="94"/>
      <c r="G5388" s="94"/>
      <c r="I5388" s="94"/>
      <c r="K5388" s="94"/>
      <c r="M5388" s="94"/>
    </row>
    <row r="5389" s="93" customFormat="1" spans="3:13">
      <c r="C5389" s="94"/>
      <c r="E5389" s="94"/>
      <c r="G5389" s="94"/>
      <c r="I5389" s="94"/>
      <c r="K5389" s="94"/>
      <c r="M5389" s="94"/>
    </row>
    <row r="5390" s="93" customFormat="1" spans="3:13">
      <c r="C5390" s="94"/>
      <c r="E5390" s="94"/>
      <c r="G5390" s="94"/>
      <c r="I5390" s="94"/>
      <c r="K5390" s="94"/>
      <c r="M5390" s="94"/>
    </row>
    <row r="5391" s="93" customFormat="1" spans="3:13">
      <c r="C5391" s="94"/>
      <c r="E5391" s="94"/>
      <c r="G5391" s="94"/>
      <c r="I5391" s="94"/>
      <c r="K5391" s="94"/>
      <c r="M5391" s="94"/>
    </row>
    <row r="5392" s="93" customFormat="1" spans="3:13">
      <c r="C5392" s="94"/>
      <c r="E5392" s="94"/>
      <c r="G5392" s="94"/>
      <c r="I5392" s="94"/>
      <c r="K5392" s="94"/>
      <c r="M5392" s="94"/>
    </row>
    <row r="5393" s="93" customFormat="1" spans="3:13">
      <c r="C5393" s="94"/>
      <c r="E5393" s="94"/>
      <c r="G5393" s="94"/>
      <c r="I5393" s="94"/>
      <c r="K5393" s="94"/>
      <c r="M5393" s="94"/>
    </row>
    <row r="5394" s="93" customFormat="1" spans="3:13">
      <c r="C5394" s="94"/>
      <c r="E5394" s="94"/>
      <c r="G5394" s="94"/>
      <c r="I5394" s="94"/>
      <c r="K5394" s="94"/>
      <c r="M5394" s="94"/>
    </row>
    <row r="5395" s="93" customFormat="1" spans="3:13">
      <c r="C5395" s="94"/>
      <c r="E5395" s="94"/>
      <c r="G5395" s="94"/>
      <c r="I5395" s="94"/>
      <c r="K5395" s="94"/>
      <c r="M5395" s="94"/>
    </row>
    <row r="5396" s="93" customFormat="1" spans="3:13">
      <c r="C5396" s="94"/>
      <c r="E5396" s="94"/>
      <c r="G5396" s="94"/>
      <c r="I5396" s="94"/>
      <c r="K5396" s="94"/>
      <c r="M5396" s="94"/>
    </row>
    <row r="5397" s="93" customFormat="1" spans="3:13">
      <c r="C5397" s="94"/>
      <c r="E5397" s="94"/>
      <c r="G5397" s="94"/>
      <c r="I5397" s="94"/>
      <c r="K5397" s="94"/>
      <c r="M5397" s="94"/>
    </row>
    <row r="5398" s="93" customFormat="1" spans="3:13">
      <c r="C5398" s="94"/>
      <c r="E5398" s="94"/>
      <c r="G5398" s="94"/>
      <c r="I5398" s="94"/>
      <c r="K5398" s="94"/>
      <c r="M5398" s="94"/>
    </row>
    <row r="5399" s="93" customFormat="1" spans="3:13">
      <c r="C5399" s="94"/>
      <c r="E5399" s="94"/>
      <c r="G5399" s="94"/>
      <c r="I5399" s="94"/>
      <c r="K5399" s="94"/>
      <c r="M5399" s="94"/>
    </row>
    <row r="5400" s="93" customFormat="1" spans="3:13">
      <c r="C5400" s="94"/>
      <c r="E5400" s="94"/>
      <c r="G5400" s="94"/>
      <c r="I5400" s="94"/>
      <c r="K5400" s="94"/>
      <c r="M5400" s="94"/>
    </row>
    <row r="5401" s="93" customFormat="1" spans="3:13">
      <c r="C5401" s="94"/>
      <c r="E5401" s="94"/>
      <c r="G5401" s="94"/>
      <c r="I5401" s="94"/>
      <c r="K5401" s="94"/>
      <c r="M5401" s="94"/>
    </row>
    <row r="5402" s="93" customFormat="1" spans="3:13">
      <c r="C5402" s="94"/>
      <c r="E5402" s="94"/>
      <c r="G5402" s="94"/>
      <c r="I5402" s="94"/>
      <c r="K5402" s="94"/>
      <c r="M5402" s="94"/>
    </row>
    <row r="5403" s="93" customFormat="1" spans="3:13">
      <c r="C5403" s="94"/>
      <c r="E5403" s="94"/>
      <c r="G5403" s="94"/>
      <c r="I5403" s="94"/>
      <c r="K5403" s="94"/>
      <c r="M5403" s="94"/>
    </row>
    <row r="5404" s="93" customFormat="1" spans="3:13">
      <c r="C5404" s="94"/>
      <c r="E5404" s="94"/>
      <c r="G5404" s="94"/>
      <c r="I5404" s="94"/>
      <c r="K5404" s="94"/>
      <c r="M5404" s="94"/>
    </row>
    <row r="5405" s="93" customFormat="1" spans="3:13">
      <c r="C5405" s="94"/>
      <c r="E5405" s="94"/>
      <c r="G5405" s="94"/>
      <c r="I5405" s="94"/>
      <c r="K5405" s="94"/>
      <c r="M5405" s="94"/>
    </row>
    <row r="5406" s="93" customFormat="1" spans="3:13">
      <c r="C5406" s="94"/>
      <c r="E5406" s="94"/>
      <c r="G5406" s="94"/>
      <c r="I5406" s="94"/>
      <c r="K5406" s="94"/>
      <c r="M5406" s="94"/>
    </row>
    <row r="5407" s="93" customFormat="1" spans="3:13">
      <c r="C5407" s="94"/>
      <c r="E5407" s="94"/>
      <c r="G5407" s="94"/>
      <c r="I5407" s="94"/>
      <c r="K5407" s="94"/>
      <c r="M5407" s="94"/>
    </row>
    <row r="5408" s="93" customFormat="1" spans="3:13">
      <c r="C5408" s="94"/>
      <c r="E5408" s="94"/>
      <c r="G5408" s="94"/>
      <c r="I5408" s="94"/>
      <c r="K5408" s="94"/>
      <c r="M5408" s="94"/>
    </row>
    <row r="5409" s="93" customFormat="1" spans="3:13">
      <c r="C5409" s="94"/>
      <c r="E5409" s="94"/>
      <c r="G5409" s="94"/>
      <c r="I5409" s="94"/>
      <c r="K5409" s="94"/>
      <c r="M5409" s="94"/>
    </row>
    <row r="5410" s="93" customFormat="1" spans="3:13">
      <c r="C5410" s="94"/>
      <c r="E5410" s="94"/>
      <c r="G5410" s="94"/>
      <c r="I5410" s="94"/>
      <c r="K5410" s="94"/>
      <c r="M5410" s="94"/>
    </row>
    <row r="5411" s="93" customFormat="1" spans="3:13">
      <c r="C5411" s="94"/>
      <c r="E5411" s="94"/>
      <c r="G5411" s="94"/>
      <c r="I5411" s="94"/>
      <c r="K5411" s="94"/>
      <c r="M5411" s="94"/>
    </row>
    <row r="5412" s="93" customFormat="1" spans="3:13">
      <c r="C5412" s="94"/>
      <c r="E5412" s="94"/>
      <c r="G5412" s="94"/>
      <c r="I5412" s="94"/>
      <c r="K5412" s="94"/>
      <c r="M5412" s="94"/>
    </row>
    <row r="5413" s="93" customFormat="1" spans="3:13">
      <c r="C5413" s="94"/>
      <c r="E5413" s="94"/>
      <c r="G5413" s="94"/>
      <c r="I5413" s="94"/>
      <c r="K5413" s="94"/>
      <c r="M5413" s="94"/>
    </row>
    <row r="5414" s="93" customFormat="1" spans="3:13">
      <c r="C5414" s="94"/>
      <c r="E5414" s="94"/>
      <c r="G5414" s="94"/>
      <c r="I5414" s="94"/>
      <c r="K5414" s="94"/>
      <c r="M5414" s="94"/>
    </row>
    <row r="5415" s="93" customFormat="1" spans="3:13">
      <c r="C5415" s="94"/>
      <c r="E5415" s="94"/>
      <c r="G5415" s="94"/>
      <c r="I5415" s="94"/>
      <c r="K5415" s="94"/>
      <c r="M5415" s="94"/>
    </row>
    <row r="5416" s="93" customFormat="1" spans="3:13">
      <c r="C5416" s="94"/>
      <c r="E5416" s="94"/>
      <c r="G5416" s="94"/>
      <c r="I5416" s="94"/>
      <c r="K5416" s="94"/>
      <c r="M5416" s="94"/>
    </row>
    <row r="5417" s="93" customFormat="1" spans="3:13">
      <c r="C5417" s="94"/>
      <c r="E5417" s="94"/>
      <c r="G5417" s="94"/>
      <c r="I5417" s="94"/>
      <c r="K5417" s="94"/>
      <c r="M5417" s="94"/>
    </row>
    <row r="5418" s="93" customFormat="1" spans="3:13">
      <c r="C5418" s="94"/>
      <c r="E5418" s="94"/>
      <c r="G5418" s="94"/>
      <c r="I5418" s="94"/>
      <c r="K5418" s="94"/>
      <c r="M5418" s="94"/>
    </row>
    <row r="5419" s="93" customFormat="1" spans="3:13">
      <c r="C5419" s="94"/>
      <c r="E5419" s="94"/>
      <c r="G5419" s="94"/>
      <c r="I5419" s="94"/>
      <c r="K5419" s="94"/>
      <c r="M5419" s="94"/>
    </row>
    <row r="5420" s="93" customFormat="1" spans="3:13">
      <c r="C5420" s="94"/>
      <c r="E5420" s="94"/>
      <c r="G5420" s="94"/>
      <c r="I5420" s="94"/>
      <c r="K5420" s="94"/>
      <c r="M5420" s="94"/>
    </row>
    <row r="5421" s="93" customFormat="1" spans="3:13">
      <c r="C5421" s="94"/>
      <c r="E5421" s="94"/>
      <c r="G5421" s="94"/>
      <c r="I5421" s="94"/>
      <c r="K5421" s="94"/>
      <c r="M5421" s="94"/>
    </row>
    <row r="5422" s="93" customFormat="1" spans="3:13">
      <c r="C5422" s="94"/>
      <c r="E5422" s="94"/>
      <c r="G5422" s="94"/>
      <c r="I5422" s="94"/>
      <c r="K5422" s="94"/>
      <c r="M5422" s="94"/>
    </row>
    <row r="5423" s="93" customFormat="1" spans="3:13">
      <c r="C5423" s="94"/>
      <c r="E5423" s="94"/>
      <c r="G5423" s="94"/>
      <c r="I5423" s="94"/>
      <c r="K5423" s="94"/>
      <c r="M5423" s="94"/>
    </row>
    <row r="5424" s="93" customFormat="1" spans="3:13">
      <c r="C5424" s="94"/>
      <c r="E5424" s="94"/>
      <c r="G5424" s="94"/>
      <c r="I5424" s="94"/>
      <c r="K5424" s="94"/>
      <c r="M5424" s="94"/>
    </row>
    <row r="5425" s="93" customFormat="1" spans="3:13">
      <c r="C5425" s="94"/>
      <c r="E5425" s="94"/>
      <c r="G5425" s="94"/>
      <c r="I5425" s="94"/>
      <c r="K5425" s="94"/>
      <c r="M5425" s="94"/>
    </row>
    <row r="5426" s="93" customFormat="1" spans="3:13">
      <c r="C5426" s="94"/>
      <c r="E5426" s="94"/>
      <c r="G5426" s="94"/>
      <c r="I5426" s="94"/>
      <c r="K5426" s="94"/>
      <c r="M5426" s="94"/>
    </row>
    <row r="5427" s="93" customFormat="1" spans="3:13">
      <c r="C5427" s="94"/>
      <c r="E5427" s="94"/>
      <c r="G5427" s="94"/>
      <c r="I5427" s="94"/>
      <c r="K5427" s="94"/>
      <c r="M5427" s="94"/>
    </row>
    <row r="5428" s="93" customFormat="1" spans="3:13">
      <c r="C5428" s="94"/>
      <c r="E5428" s="94"/>
      <c r="G5428" s="94"/>
      <c r="I5428" s="94"/>
      <c r="K5428" s="94"/>
      <c r="M5428" s="94"/>
    </row>
    <row r="5429" s="93" customFormat="1" spans="3:13">
      <c r="C5429" s="94"/>
      <c r="E5429" s="94"/>
      <c r="G5429" s="94"/>
      <c r="I5429" s="94"/>
      <c r="K5429" s="94"/>
      <c r="M5429" s="94"/>
    </row>
    <row r="5430" s="93" customFormat="1" spans="3:13">
      <c r="C5430" s="94"/>
      <c r="E5430" s="94"/>
      <c r="G5430" s="94"/>
      <c r="I5430" s="94"/>
      <c r="K5430" s="94"/>
      <c r="M5430" s="94"/>
    </row>
    <row r="5431" s="93" customFormat="1" spans="3:13">
      <c r="C5431" s="94"/>
      <c r="E5431" s="94"/>
      <c r="G5431" s="94"/>
      <c r="I5431" s="94"/>
      <c r="K5431" s="94"/>
      <c r="M5431" s="94"/>
    </row>
    <row r="5432" s="93" customFormat="1" spans="3:13">
      <c r="C5432" s="94"/>
      <c r="E5432" s="94"/>
      <c r="G5432" s="94"/>
      <c r="I5432" s="94"/>
      <c r="K5432" s="94"/>
      <c r="M5432" s="94"/>
    </row>
    <row r="5433" s="93" customFormat="1" spans="3:13">
      <c r="C5433" s="94"/>
      <c r="E5433" s="94"/>
      <c r="G5433" s="94"/>
      <c r="I5433" s="94"/>
      <c r="K5433" s="94"/>
      <c r="M5433" s="94"/>
    </row>
    <row r="5434" s="93" customFormat="1" spans="3:13">
      <c r="C5434" s="94"/>
      <c r="E5434" s="94"/>
      <c r="G5434" s="94"/>
      <c r="I5434" s="94"/>
      <c r="K5434" s="94"/>
      <c r="M5434" s="94"/>
    </row>
    <row r="5435" s="93" customFormat="1" spans="3:13">
      <c r="C5435" s="94"/>
      <c r="E5435" s="94"/>
      <c r="G5435" s="94"/>
      <c r="I5435" s="94"/>
      <c r="K5435" s="94"/>
      <c r="M5435" s="94"/>
    </row>
    <row r="5436" s="93" customFormat="1" spans="3:13">
      <c r="C5436" s="94"/>
      <c r="E5436" s="94"/>
      <c r="G5436" s="94"/>
      <c r="I5436" s="94"/>
      <c r="K5436" s="94"/>
      <c r="M5436" s="94"/>
    </row>
    <row r="5437" s="93" customFormat="1" spans="3:13">
      <c r="C5437" s="94"/>
      <c r="E5437" s="94"/>
      <c r="G5437" s="94"/>
      <c r="I5437" s="94"/>
      <c r="K5437" s="94"/>
      <c r="M5437" s="94"/>
    </row>
    <row r="5438" s="93" customFormat="1" spans="3:13">
      <c r="C5438" s="94"/>
      <c r="E5438" s="94"/>
      <c r="G5438" s="94"/>
      <c r="I5438" s="94"/>
      <c r="K5438" s="94"/>
      <c r="M5438" s="94"/>
    </row>
    <row r="5439" s="93" customFormat="1" spans="3:13">
      <c r="C5439" s="94"/>
      <c r="E5439" s="94"/>
      <c r="G5439" s="94"/>
      <c r="I5439" s="94"/>
      <c r="K5439" s="94"/>
      <c r="M5439" s="94"/>
    </row>
    <row r="5440" s="93" customFormat="1" spans="3:13">
      <c r="C5440" s="94"/>
      <c r="E5440" s="94"/>
      <c r="G5440" s="94"/>
      <c r="I5440" s="94"/>
      <c r="K5440" s="94"/>
      <c r="M5440" s="94"/>
    </row>
    <row r="5441" s="93" customFormat="1" spans="3:13">
      <c r="C5441" s="94"/>
      <c r="E5441" s="94"/>
      <c r="G5441" s="94"/>
      <c r="I5441" s="94"/>
      <c r="K5441" s="94"/>
      <c r="M5441" s="94"/>
    </row>
    <row r="5442" s="93" customFormat="1" spans="3:13">
      <c r="C5442" s="94"/>
      <c r="E5442" s="94"/>
      <c r="G5442" s="94"/>
      <c r="I5442" s="94"/>
      <c r="K5442" s="94"/>
      <c r="M5442" s="94"/>
    </row>
    <row r="5443" s="93" customFormat="1" spans="3:13">
      <c r="C5443" s="94"/>
      <c r="E5443" s="94"/>
      <c r="G5443" s="94"/>
      <c r="I5443" s="94"/>
      <c r="K5443" s="94"/>
      <c r="M5443" s="94"/>
    </row>
    <row r="5444" s="93" customFormat="1" spans="3:13">
      <c r="C5444" s="94"/>
      <c r="E5444" s="94"/>
      <c r="G5444" s="94"/>
      <c r="I5444" s="94"/>
      <c r="K5444" s="94"/>
      <c r="M5444" s="94"/>
    </row>
    <row r="5445" s="93" customFormat="1" spans="3:13">
      <c r="C5445" s="94"/>
      <c r="E5445" s="94"/>
      <c r="G5445" s="94"/>
      <c r="I5445" s="94"/>
      <c r="K5445" s="94"/>
      <c r="M5445" s="94"/>
    </row>
    <row r="5446" s="93" customFormat="1" spans="3:13">
      <c r="C5446" s="94"/>
      <c r="E5446" s="94"/>
      <c r="G5446" s="94"/>
      <c r="I5446" s="94"/>
      <c r="K5446" s="94"/>
      <c r="M5446" s="94"/>
    </row>
    <row r="5447" s="93" customFormat="1" spans="3:13">
      <c r="C5447" s="94"/>
      <c r="E5447" s="94"/>
      <c r="G5447" s="94"/>
      <c r="I5447" s="94"/>
      <c r="K5447" s="94"/>
      <c r="M5447" s="94"/>
    </row>
    <row r="5448" s="93" customFormat="1" spans="3:13">
      <c r="C5448" s="94"/>
      <c r="E5448" s="94"/>
      <c r="G5448" s="94"/>
      <c r="I5448" s="94"/>
      <c r="K5448" s="94"/>
      <c r="M5448" s="94"/>
    </row>
    <row r="5449" s="93" customFormat="1" spans="3:13">
      <c r="C5449" s="94"/>
      <c r="E5449" s="94"/>
      <c r="G5449" s="94"/>
      <c r="I5449" s="94"/>
      <c r="K5449" s="94"/>
      <c r="M5449" s="94"/>
    </row>
    <row r="5450" s="93" customFormat="1" spans="3:13">
      <c r="C5450" s="94"/>
      <c r="E5450" s="94"/>
      <c r="G5450" s="94"/>
      <c r="I5450" s="94"/>
      <c r="K5450" s="94"/>
      <c r="M5450" s="94"/>
    </row>
    <row r="5451" s="93" customFormat="1" spans="3:13">
      <c r="C5451" s="94"/>
      <c r="E5451" s="94"/>
      <c r="G5451" s="94"/>
      <c r="I5451" s="94"/>
      <c r="K5451" s="94"/>
      <c r="M5451" s="94"/>
    </row>
    <row r="5452" s="93" customFormat="1" spans="3:13">
      <c r="C5452" s="94"/>
      <c r="E5452" s="94"/>
      <c r="G5452" s="94"/>
      <c r="I5452" s="94"/>
      <c r="K5452" s="94"/>
      <c r="M5452" s="94"/>
    </row>
    <row r="5453" s="93" customFormat="1" spans="3:13">
      <c r="C5453" s="94"/>
      <c r="E5453" s="94"/>
      <c r="G5453" s="94"/>
      <c r="I5453" s="94"/>
      <c r="K5453" s="94"/>
      <c r="M5453" s="94"/>
    </row>
    <row r="5454" s="93" customFormat="1" spans="3:13">
      <c r="C5454" s="94"/>
      <c r="E5454" s="94"/>
      <c r="G5454" s="94"/>
      <c r="I5454" s="94"/>
      <c r="K5454" s="94"/>
      <c r="M5454" s="94"/>
    </row>
    <row r="5455" s="93" customFormat="1" spans="3:13">
      <c r="C5455" s="94"/>
      <c r="E5455" s="94"/>
      <c r="G5455" s="94"/>
      <c r="I5455" s="94"/>
      <c r="K5455" s="94"/>
      <c r="M5455" s="94"/>
    </row>
    <row r="5456" s="93" customFormat="1" spans="3:13">
      <c r="C5456" s="94"/>
      <c r="E5456" s="94"/>
      <c r="G5456" s="94"/>
      <c r="I5456" s="94"/>
      <c r="K5456" s="94"/>
      <c r="M5456" s="94"/>
    </row>
    <row r="5457" s="93" customFormat="1" spans="3:13">
      <c r="C5457" s="94"/>
      <c r="E5457" s="94"/>
      <c r="G5457" s="94"/>
      <c r="I5457" s="94"/>
      <c r="K5457" s="94"/>
      <c r="M5457" s="94"/>
    </row>
    <row r="5458" s="93" customFormat="1" spans="3:13">
      <c r="C5458" s="94"/>
      <c r="E5458" s="94"/>
      <c r="G5458" s="94"/>
      <c r="I5458" s="94"/>
      <c r="K5458" s="94"/>
      <c r="M5458" s="94"/>
    </row>
    <row r="5459" s="93" customFormat="1" spans="3:13">
      <c r="C5459" s="94"/>
      <c r="E5459" s="94"/>
      <c r="G5459" s="94"/>
      <c r="I5459" s="94"/>
      <c r="K5459" s="94"/>
      <c r="M5459" s="94"/>
    </row>
    <row r="5460" s="93" customFormat="1" spans="3:13">
      <c r="C5460" s="94"/>
      <c r="E5460" s="94"/>
      <c r="G5460" s="94"/>
      <c r="I5460" s="94"/>
      <c r="K5460" s="94"/>
      <c r="M5460" s="94"/>
    </row>
    <row r="5461" s="93" customFormat="1" spans="3:13">
      <c r="C5461" s="94"/>
      <c r="E5461" s="94"/>
      <c r="G5461" s="94"/>
      <c r="I5461" s="94"/>
      <c r="K5461" s="94"/>
      <c r="M5461" s="94"/>
    </row>
    <row r="5462" s="93" customFormat="1" spans="3:13">
      <c r="C5462" s="94"/>
      <c r="E5462" s="94"/>
      <c r="G5462" s="94"/>
      <c r="I5462" s="94"/>
      <c r="K5462" s="94"/>
      <c r="M5462" s="94"/>
    </row>
    <row r="5463" s="93" customFormat="1" spans="3:13">
      <c r="C5463" s="94"/>
      <c r="E5463" s="94"/>
      <c r="G5463" s="94"/>
      <c r="I5463" s="94"/>
      <c r="K5463" s="94"/>
      <c r="M5463" s="94"/>
    </row>
    <row r="5464" s="93" customFormat="1" spans="3:13">
      <c r="C5464" s="94"/>
      <c r="E5464" s="94"/>
      <c r="G5464" s="94"/>
      <c r="I5464" s="94"/>
      <c r="K5464" s="94"/>
      <c r="M5464" s="94"/>
    </row>
    <row r="5465" s="93" customFormat="1" spans="3:13">
      <c r="C5465" s="94"/>
      <c r="E5465" s="94"/>
      <c r="G5465" s="94"/>
      <c r="I5465" s="94"/>
      <c r="K5465" s="94"/>
      <c r="M5465" s="94"/>
    </row>
    <row r="5466" s="93" customFormat="1" spans="3:13">
      <c r="C5466" s="94"/>
      <c r="E5466" s="94"/>
      <c r="G5466" s="94"/>
      <c r="I5466" s="94"/>
      <c r="K5466" s="94"/>
      <c r="M5466" s="94"/>
    </row>
    <row r="5467" s="93" customFormat="1" spans="3:13">
      <c r="C5467" s="94"/>
      <c r="E5467" s="94"/>
      <c r="G5467" s="94"/>
      <c r="I5467" s="94"/>
      <c r="K5467" s="94"/>
      <c r="M5467" s="94"/>
    </row>
    <row r="5468" s="93" customFormat="1" spans="3:13">
      <c r="C5468" s="94"/>
      <c r="E5468" s="94"/>
      <c r="G5468" s="94"/>
      <c r="I5468" s="94"/>
      <c r="K5468" s="94"/>
      <c r="M5468" s="94"/>
    </row>
    <row r="5469" s="93" customFormat="1" spans="3:13">
      <c r="C5469" s="94"/>
      <c r="E5469" s="94"/>
      <c r="G5469" s="94"/>
      <c r="I5469" s="94"/>
      <c r="K5469" s="94"/>
      <c r="M5469" s="94"/>
    </row>
    <row r="5470" s="93" customFormat="1" spans="3:13">
      <c r="C5470" s="94"/>
      <c r="E5470" s="94"/>
      <c r="G5470" s="94"/>
      <c r="I5470" s="94"/>
      <c r="K5470" s="94"/>
      <c r="M5470" s="94"/>
    </row>
    <row r="5471" s="93" customFormat="1" spans="3:13">
      <c r="C5471" s="94"/>
      <c r="E5471" s="94"/>
      <c r="G5471" s="94"/>
      <c r="I5471" s="94"/>
      <c r="K5471" s="94"/>
      <c r="M5471" s="94"/>
    </row>
    <row r="5472" s="93" customFormat="1" spans="3:13">
      <c r="C5472" s="94"/>
      <c r="E5472" s="94"/>
      <c r="G5472" s="94"/>
      <c r="I5472" s="94"/>
      <c r="K5472" s="94"/>
      <c r="M5472" s="94"/>
    </row>
    <row r="5473" s="93" customFormat="1" spans="3:13">
      <c r="C5473" s="94"/>
      <c r="E5473" s="94"/>
      <c r="G5473" s="94"/>
      <c r="I5473" s="94"/>
      <c r="K5473" s="94"/>
      <c r="M5473" s="94"/>
    </row>
    <row r="5474" s="93" customFormat="1" spans="3:13">
      <c r="C5474" s="94"/>
      <c r="E5474" s="94"/>
      <c r="G5474" s="94"/>
      <c r="I5474" s="94"/>
      <c r="K5474" s="94"/>
      <c r="M5474" s="94"/>
    </row>
    <row r="5475" s="93" customFormat="1" spans="3:13">
      <c r="C5475" s="94"/>
      <c r="E5475" s="94"/>
      <c r="G5475" s="94"/>
      <c r="I5475" s="94"/>
      <c r="K5475" s="94"/>
      <c r="M5475" s="94"/>
    </row>
    <row r="5476" s="93" customFormat="1" spans="3:13">
      <c r="C5476" s="94"/>
      <c r="E5476" s="94"/>
      <c r="G5476" s="94"/>
      <c r="I5476" s="94"/>
      <c r="K5476" s="94"/>
      <c r="M5476" s="94"/>
    </row>
    <row r="5477" s="93" customFormat="1" spans="3:13">
      <c r="C5477" s="94"/>
      <c r="E5477" s="94"/>
      <c r="G5477" s="94"/>
      <c r="I5477" s="94"/>
      <c r="K5477" s="94"/>
      <c r="M5477" s="94"/>
    </row>
    <row r="5478" s="93" customFormat="1" spans="3:13">
      <c r="C5478" s="94"/>
      <c r="E5478" s="94"/>
      <c r="G5478" s="94"/>
      <c r="I5478" s="94"/>
      <c r="K5478" s="94"/>
      <c r="M5478" s="94"/>
    </row>
    <row r="5479" s="93" customFormat="1" spans="3:13">
      <c r="C5479" s="94"/>
      <c r="E5479" s="94"/>
      <c r="G5479" s="94"/>
      <c r="I5479" s="94"/>
      <c r="K5479" s="94"/>
      <c r="M5479" s="94"/>
    </row>
    <row r="5480" s="93" customFormat="1" spans="3:13">
      <c r="C5480" s="94"/>
      <c r="E5480" s="94"/>
      <c r="G5480" s="94"/>
      <c r="I5480" s="94"/>
      <c r="K5480" s="94"/>
      <c r="M5480" s="94"/>
    </row>
    <row r="5481" s="93" customFormat="1" spans="3:13">
      <c r="C5481" s="94"/>
      <c r="E5481" s="94"/>
      <c r="G5481" s="94"/>
      <c r="I5481" s="94"/>
      <c r="K5481" s="94"/>
      <c r="M5481" s="94"/>
    </row>
    <row r="5482" s="93" customFormat="1" spans="3:13">
      <c r="C5482" s="94"/>
      <c r="E5482" s="94"/>
      <c r="G5482" s="94"/>
      <c r="I5482" s="94"/>
      <c r="K5482" s="94"/>
      <c r="M5482" s="94"/>
    </row>
    <row r="5483" s="93" customFormat="1" spans="3:13">
      <c r="C5483" s="94"/>
      <c r="E5483" s="94"/>
      <c r="G5483" s="94"/>
      <c r="I5483" s="94"/>
      <c r="K5483" s="94"/>
      <c r="M5483" s="94"/>
    </row>
    <row r="5484" s="93" customFormat="1" spans="3:13">
      <c r="C5484" s="94"/>
      <c r="E5484" s="94"/>
      <c r="G5484" s="94"/>
      <c r="I5484" s="94"/>
      <c r="K5484" s="94"/>
      <c r="M5484" s="94"/>
    </row>
    <row r="5485" s="93" customFormat="1" spans="3:13">
      <c r="C5485" s="94"/>
      <c r="E5485" s="94"/>
      <c r="G5485" s="94"/>
      <c r="I5485" s="94"/>
      <c r="K5485" s="94"/>
      <c r="M5485" s="94"/>
    </row>
    <row r="5486" s="93" customFormat="1" spans="3:13">
      <c r="C5486" s="94"/>
      <c r="E5486" s="94"/>
      <c r="G5486" s="94"/>
      <c r="I5486" s="94"/>
      <c r="K5486" s="94"/>
      <c r="M5486" s="94"/>
    </row>
    <row r="5487" s="93" customFormat="1" spans="3:13">
      <c r="C5487" s="94"/>
      <c r="E5487" s="94"/>
      <c r="G5487" s="94"/>
      <c r="I5487" s="94"/>
      <c r="K5487" s="94"/>
      <c r="M5487" s="94"/>
    </row>
    <row r="5488" s="93" customFormat="1" spans="3:13">
      <c r="C5488" s="94"/>
      <c r="E5488" s="94"/>
      <c r="G5488" s="94"/>
      <c r="I5488" s="94"/>
      <c r="K5488" s="94"/>
      <c r="M5488" s="94"/>
    </row>
    <row r="5489" s="93" customFormat="1" spans="3:13">
      <c r="C5489" s="94"/>
      <c r="E5489" s="94"/>
      <c r="G5489" s="94"/>
      <c r="I5489" s="94"/>
      <c r="K5489" s="94"/>
      <c r="M5489" s="94"/>
    </row>
    <row r="5490" s="93" customFormat="1" spans="3:13">
      <c r="C5490" s="94"/>
      <c r="E5490" s="94"/>
      <c r="G5490" s="94"/>
      <c r="I5490" s="94"/>
      <c r="K5490" s="94"/>
      <c r="M5490" s="94"/>
    </row>
    <row r="5491" s="93" customFormat="1" spans="3:13">
      <c r="C5491" s="94"/>
      <c r="E5491" s="94"/>
      <c r="G5491" s="94"/>
      <c r="I5491" s="94"/>
      <c r="K5491" s="94"/>
      <c r="M5491" s="94"/>
    </row>
    <row r="5492" s="93" customFormat="1" spans="3:13">
      <c r="C5492" s="94"/>
      <c r="E5492" s="94"/>
      <c r="G5492" s="94"/>
      <c r="I5492" s="94"/>
      <c r="K5492" s="94"/>
      <c r="M5492" s="94"/>
    </row>
    <row r="5493" s="93" customFormat="1" spans="3:13">
      <c r="C5493" s="94"/>
      <c r="E5493" s="94"/>
      <c r="G5493" s="94"/>
      <c r="I5493" s="94"/>
      <c r="K5493" s="94"/>
      <c r="M5493" s="94"/>
    </row>
    <row r="5494" s="93" customFormat="1" spans="3:13">
      <c r="C5494" s="94"/>
      <c r="E5494" s="94"/>
      <c r="G5494" s="94"/>
      <c r="I5494" s="94"/>
      <c r="K5494" s="94"/>
      <c r="M5494" s="94"/>
    </row>
    <row r="5495" s="93" customFormat="1" spans="3:13">
      <c r="C5495" s="94"/>
      <c r="E5495" s="94"/>
      <c r="G5495" s="94"/>
      <c r="I5495" s="94"/>
      <c r="K5495" s="94"/>
      <c r="M5495" s="94"/>
    </row>
    <row r="5496" s="93" customFormat="1" spans="3:13">
      <c r="C5496" s="94"/>
      <c r="E5496" s="94"/>
      <c r="G5496" s="94"/>
      <c r="I5496" s="94"/>
      <c r="K5496" s="94"/>
      <c r="M5496" s="94"/>
    </row>
    <row r="5497" s="93" customFormat="1" spans="3:13">
      <c r="C5497" s="94"/>
      <c r="E5497" s="94"/>
      <c r="G5497" s="94"/>
      <c r="I5497" s="94"/>
      <c r="K5497" s="94"/>
      <c r="M5497" s="94"/>
    </row>
    <row r="5498" s="93" customFormat="1" spans="3:13">
      <c r="C5498" s="94"/>
      <c r="E5498" s="94"/>
      <c r="G5498" s="94"/>
      <c r="I5498" s="94"/>
      <c r="K5498" s="94"/>
      <c r="M5498" s="94"/>
    </row>
    <row r="5499" s="93" customFormat="1" spans="3:13">
      <c r="C5499" s="94"/>
      <c r="E5499" s="94"/>
      <c r="G5499" s="94"/>
      <c r="I5499" s="94"/>
      <c r="K5499" s="94"/>
      <c r="M5499" s="94"/>
    </row>
    <row r="5500" s="93" customFormat="1" spans="3:13">
      <c r="C5500" s="94"/>
      <c r="E5500" s="94"/>
      <c r="G5500" s="94"/>
      <c r="I5500" s="94"/>
      <c r="K5500" s="94"/>
      <c r="M5500" s="94"/>
    </row>
    <row r="5501" s="93" customFormat="1" spans="3:13">
      <c r="C5501" s="94"/>
      <c r="E5501" s="94"/>
      <c r="G5501" s="94"/>
      <c r="I5501" s="94"/>
      <c r="K5501" s="94"/>
      <c r="M5501" s="94"/>
    </row>
    <row r="5502" s="93" customFormat="1" spans="3:13">
      <c r="C5502" s="94"/>
      <c r="E5502" s="94"/>
      <c r="G5502" s="94"/>
      <c r="I5502" s="94"/>
      <c r="K5502" s="94"/>
      <c r="M5502" s="94"/>
    </row>
    <row r="5503" s="93" customFormat="1" spans="3:13">
      <c r="C5503" s="94"/>
      <c r="E5503" s="94"/>
      <c r="G5503" s="94"/>
      <c r="I5503" s="94"/>
      <c r="K5503" s="94"/>
      <c r="M5503" s="94"/>
    </row>
    <row r="5504" s="93" customFormat="1" spans="3:13">
      <c r="C5504" s="94"/>
      <c r="E5504" s="94"/>
      <c r="G5504" s="94"/>
      <c r="I5504" s="94"/>
      <c r="K5504" s="94"/>
      <c r="M5504" s="94"/>
    </row>
    <row r="5505" s="93" customFormat="1" spans="3:13">
      <c r="C5505" s="94"/>
      <c r="E5505" s="94"/>
      <c r="G5505" s="94"/>
      <c r="I5505" s="94"/>
      <c r="K5505" s="94"/>
      <c r="M5505" s="94"/>
    </row>
    <row r="5506" s="93" customFormat="1" spans="3:13">
      <c r="C5506" s="94"/>
      <c r="E5506" s="94"/>
      <c r="G5506" s="94"/>
      <c r="I5506" s="94"/>
      <c r="K5506" s="94"/>
      <c r="M5506" s="94"/>
    </row>
    <row r="5507" s="93" customFormat="1" spans="3:13">
      <c r="C5507" s="94"/>
      <c r="E5507" s="94"/>
      <c r="G5507" s="94"/>
      <c r="I5507" s="94"/>
      <c r="K5507" s="94"/>
      <c r="M5507" s="94"/>
    </row>
    <row r="5508" s="93" customFormat="1" spans="3:13">
      <c r="C5508" s="94"/>
      <c r="E5508" s="94"/>
      <c r="G5508" s="94"/>
      <c r="I5508" s="94"/>
      <c r="K5508" s="94"/>
      <c r="M5508" s="94"/>
    </row>
    <row r="5509" s="93" customFormat="1" spans="3:13">
      <c r="C5509" s="94"/>
      <c r="E5509" s="94"/>
      <c r="G5509" s="94"/>
      <c r="I5509" s="94"/>
      <c r="K5509" s="94"/>
      <c r="M5509" s="94"/>
    </row>
    <row r="5510" s="93" customFormat="1" spans="3:13">
      <c r="C5510" s="94"/>
      <c r="E5510" s="94"/>
      <c r="G5510" s="94"/>
      <c r="I5510" s="94"/>
      <c r="K5510" s="94"/>
      <c r="M5510" s="94"/>
    </row>
    <row r="5511" s="93" customFormat="1" spans="3:13">
      <c r="C5511" s="94"/>
      <c r="E5511" s="94"/>
      <c r="G5511" s="94"/>
      <c r="I5511" s="94"/>
      <c r="K5511" s="94"/>
      <c r="M5511" s="94"/>
    </row>
    <row r="5512" s="93" customFormat="1" spans="3:13">
      <c r="C5512" s="94"/>
      <c r="E5512" s="94"/>
      <c r="G5512" s="94"/>
      <c r="I5512" s="94"/>
      <c r="K5512" s="94"/>
      <c r="M5512" s="94"/>
    </row>
    <row r="5513" s="93" customFormat="1" spans="3:13">
      <c r="C5513" s="94"/>
      <c r="E5513" s="94"/>
      <c r="G5513" s="94"/>
      <c r="I5513" s="94"/>
      <c r="K5513" s="94"/>
      <c r="M5513" s="94"/>
    </row>
    <row r="5514" s="93" customFormat="1" spans="3:13">
      <c r="C5514" s="94"/>
      <c r="E5514" s="94"/>
      <c r="G5514" s="94"/>
      <c r="I5514" s="94"/>
      <c r="K5514" s="94"/>
      <c r="M5514" s="94"/>
    </row>
    <row r="5515" s="93" customFormat="1" spans="3:13">
      <c r="C5515" s="94"/>
      <c r="E5515" s="94"/>
      <c r="G5515" s="94"/>
      <c r="I5515" s="94"/>
      <c r="K5515" s="94"/>
      <c r="M5515" s="94"/>
    </row>
    <row r="5516" s="93" customFormat="1" spans="3:13">
      <c r="C5516" s="94"/>
      <c r="E5516" s="94"/>
      <c r="G5516" s="94"/>
      <c r="I5516" s="94"/>
      <c r="K5516" s="94"/>
      <c r="M5516" s="94"/>
    </row>
    <row r="5517" s="93" customFormat="1" spans="3:13">
      <c r="C5517" s="94"/>
      <c r="E5517" s="94"/>
      <c r="G5517" s="94"/>
      <c r="I5517" s="94"/>
      <c r="K5517" s="94"/>
      <c r="M5517" s="94"/>
    </row>
    <row r="5518" s="93" customFormat="1" spans="3:13">
      <c r="C5518" s="94"/>
      <c r="E5518" s="94"/>
      <c r="G5518" s="94"/>
      <c r="I5518" s="94"/>
      <c r="K5518" s="94"/>
      <c r="M5518" s="94"/>
    </row>
    <row r="5519" s="93" customFormat="1" spans="3:13">
      <c r="C5519" s="94"/>
      <c r="E5519" s="94"/>
      <c r="G5519" s="94"/>
      <c r="I5519" s="94"/>
      <c r="K5519" s="94"/>
      <c r="M5519" s="94"/>
    </row>
    <row r="5520" s="93" customFormat="1" spans="3:13">
      <c r="C5520" s="94"/>
      <c r="E5520" s="94"/>
      <c r="G5520" s="94"/>
      <c r="I5520" s="94"/>
      <c r="K5520" s="94"/>
      <c r="M5520" s="94"/>
    </row>
    <row r="5521" s="93" customFormat="1" spans="3:13">
      <c r="C5521" s="94"/>
      <c r="E5521" s="94"/>
      <c r="G5521" s="94"/>
      <c r="I5521" s="94"/>
      <c r="K5521" s="94"/>
      <c r="M5521" s="94"/>
    </row>
    <row r="5522" s="93" customFormat="1" spans="3:13">
      <c r="C5522" s="94"/>
      <c r="E5522" s="94"/>
      <c r="G5522" s="94"/>
      <c r="I5522" s="94"/>
      <c r="K5522" s="94"/>
      <c r="M5522" s="94"/>
    </row>
    <row r="5523" s="93" customFormat="1" spans="3:13">
      <c r="C5523" s="94"/>
      <c r="E5523" s="94"/>
      <c r="G5523" s="94"/>
      <c r="I5523" s="94"/>
      <c r="K5523" s="94"/>
      <c r="M5523" s="94"/>
    </row>
    <row r="5524" s="93" customFormat="1" spans="3:13">
      <c r="C5524" s="94"/>
      <c r="E5524" s="94"/>
      <c r="G5524" s="94"/>
      <c r="I5524" s="94"/>
      <c r="K5524" s="94"/>
      <c r="M5524" s="94"/>
    </row>
    <row r="5525" s="93" customFormat="1" spans="3:13">
      <c r="C5525" s="94"/>
      <c r="E5525" s="94"/>
      <c r="G5525" s="94"/>
      <c r="I5525" s="94"/>
      <c r="K5525" s="94"/>
      <c r="M5525" s="94"/>
    </row>
    <row r="5526" s="93" customFormat="1" spans="3:13">
      <c r="C5526" s="94"/>
      <c r="E5526" s="94"/>
      <c r="G5526" s="94"/>
      <c r="I5526" s="94"/>
      <c r="K5526" s="94"/>
      <c r="M5526" s="94"/>
    </row>
    <row r="5527" s="93" customFormat="1" spans="3:13">
      <c r="C5527" s="94"/>
      <c r="E5527" s="94"/>
      <c r="G5527" s="94"/>
      <c r="I5527" s="94"/>
      <c r="K5527" s="94"/>
      <c r="M5527" s="94"/>
    </row>
    <row r="5528" s="93" customFormat="1" spans="3:13">
      <c r="C5528" s="94"/>
      <c r="E5528" s="94"/>
      <c r="G5528" s="94"/>
      <c r="I5528" s="94"/>
      <c r="K5528" s="94"/>
      <c r="M5528" s="94"/>
    </row>
    <row r="5529" s="93" customFormat="1" spans="3:13">
      <c r="C5529" s="94"/>
      <c r="E5529" s="94"/>
      <c r="G5529" s="94"/>
      <c r="I5529" s="94"/>
      <c r="K5529" s="94"/>
      <c r="M5529" s="94"/>
    </row>
    <row r="5530" s="93" customFormat="1" spans="3:13">
      <c r="C5530" s="94"/>
      <c r="E5530" s="94"/>
      <c r="G5530" s="94"/>
      <c r="I5530" s="94"/>
      <c r="K5530" s="94"/>
      <c r="M5530" s="94"/>
    </row>
    <row r="5531" s="93" customFormat="1" spans="3:13">
      <c r="C5531" s="94"/>
      <c r="E5531" s="94"/>
      <c r="G5531" s="94"/>
      <c r="I5531" s="94"/>
      <c r="K5531" s="94"/>
      <c r="M5531" s="94"/>
    </row>
    <row r="5532" s="93" customFormat="1" spans="3:13">
      <c r="C5532" s="94"/>
      <c r="E5532" s="94"/>
      <c r="G5532" s="94"/>
      <c r="I5532" s="94"/>
      <c r="K5532" s="94"/>
      <c r="M5532" s="94"/>
    </row>
    <row r="5533" s="93" customFormat="1" spans="3:13">
      <c r="C5533" s="94"/>
      <c r="E5533" s="94"/>
      <c r="G5533" s="94"/>
      <c r="I5533" s="94"/>
      <c r="K5533" s="94"/>
      <c r="M5533" s="94"/>
    </row>
    <row r="5534" s="93" customFormat="1" spans="3:13">
      <c r="C5534" s="94"/>
      <c r="E5534" s="94"/>
      <c r="G5534" s="94"/>
      <c r="I5534" s="94"/>
      <c r="K5534" s="94"/>
      <c r="M5534" s="94"/>
    </row>
    <row r="5535" s="93" customFormat="1" spans="3:13">
      <c r="C5535" s="94"/>
      <c r="E5535" s="94"/>
      <c r="G5535" s="94"/>
      <c r="I5535" s="94"/>
      <c r="K5535" s="94"/>
      <c r="M5535" s="94"/>
    </row>
    <row r="5536" s="93" customFormat="1" spans="3:13">
      <c r="C5536" s="94"/>
      <c r="E5536" s="94"/>
      <c r="G5536" s="94"/>
      <c r="I5536" s="94"/>
      <c r="K5536" s="94"/>
      <c r="M5536" s="94"/>
    </row>
    <row r="5537" s="93" customFormat="1" spans="3:13">
      <c r="C5537" s="94"/>
      <c r="E5537" s="94"/>
      <c r="G5537" s="94"/>
      <c r="I5537" s="94"/>
      <c r="K5537" s="94"/>
      <c r="M5537" s="94"/>
    </row>
    <row r="5538" s="93" customFormat="1" spans="3:13">
      <c r="C5538" s="94"/>
      <c r="E5538" s="94"/>
      <c r="G5538" s="94"/>
      <c r="I5538" s="94"/>
      <c r="K5538" s="94"/>
      <c r="M5538" s="94"/>
    </row>
    <row r="5539" s="93" customFormat="1" spans="3:13">
      <c r="C5539" s="94"/>
      <c r="E5539" s="94"/>
      <c r="G5539" s="94"/>
      <c r="I5539" s="94"/>
      <c r="K5539" s="94"/>
      <c r="M5539" s="94"/>
    </row>
    <row r="5540" s="93" customFormat="1" spans="3:13">
      <c r="C5540" s="94"/>
      <c r="E5540" s="94"/>
      <c r="G5540" s="94"/>
      <c r="I5540" s="94"/>
      <c r="K5540" s="94"/>
      <c r="M5540" s="94"/>
    </row>
    <row r="5541" s="93" customFormat="1" spans="3:13">
      <c r="C5541" s="94"/>
      <c r="E5541" s="94"/>
      <c r="G5541" s="94"/>
      <c r="I5541" s="94"/>
      <c r="K5541" s="94"/>
      <c r="M5541" s="94"/>
    </row>
    <row r="5542" s="93" customFormat="1" spans="3:13">
      <c r="C5542" s="94"/>
      <c r="E5542" s="94"/>
      <c r="G5542" s="94"/>
      <c r="I5542" s="94"/>
      <c r="K5542" s="94"/>
      <c r="M5542" s="94"/>
    </row>
    <row r="5543" s="93" customFormat="1" spans="3:13">
      <c r="C5543" s="94"/>
      <c r="E5543" s="94"/>
      <c r="G5543" s="94"/>
      <c r="I5543" s="94"/>
      <c r="K5543" s="94"/>
      <c r="M5543" s="94"/>
    </row>
    <row r="5544" s="93" customFormat="1" spans="3:13">
      <c r="C5544" s="94"/>
      <c r="E5544" s="94"/>
      <c r="G5544" s="94"/>
      <c r="I5544" s="94"/>
      <c r="K5544" s="94"/>
      <c r="M5544" s="94"/>
    </row>
    <row r="5545" s="93" customFormat="1" spans="3:13">
      <c r="C5545" s="94"/>
      <c r="E5545" s="94"/>
      <c r="G5545" s="94"/>
      <c r="I5545" s="94"/>
      <c r="K5545" s="94"/>
      <c r="M5545" s="94"/>
    </row>
    <row r="5546" s="93" customFormat="1" spans="3:13">
      <c r="C5546" s="94"/>
      <c r="E5546" s="94"/>
      <c r="G5546" s="94"/>
      <c r="I5546" s="94"/>
      <c r="K5546" s="94"/>
      <c r="M5546" s="94"/>
    </row>
    <row r="5547" s="93" customFormat="1" spans="3:13">
      <c r="C5547" s="94"/>
      <c r="E5547" s="94"/>
      <c r="G5547" s="94"/>
      <c r="I5547" s="94"/>
      <c r="K5547" s="94"/>
      <c r="M5547" s="94"/>
    </row>
    <row r="5548" s="93" customFormat="1" spans="3:13">
      <c r="C5548" s="94"/>
      <c r="E5548" s="94"/>
      <c r="G5548" s="94"/>
      <c r="I5548" s="94"/>
      <c r="K5548" s="94"/>
      <c r="M5548" s="94"/>
    </row>
    <row r="5549" s="93" customFormat="1" spans="3:13">
      <c r="C5549" s="94"/>
      <c r="E5549" s="94"/>
      <c r="G5549" s="94"/>
      <c r="I5549" s="94"/>
      <c r="K5549" s="94"/>
      <c r="M5549" s="94"/>
    </row>
    <row r="5550" s="93" customFormat="1" spans="3:13">
      <c r="C5550" s="94"/>
      <c r="E5550" s="94"/>
      <c r="G5550" s="94"/>
      <c r="I5550" s="94"/>
      <c r="K5550" s="94"/>
      <c r="M5550" s="94"/>
    </row>
    <row r="5551" s="93" customFormat="1" spans="3:13">
      <c r="C5551" s="94"/>
      <c r="E5551" s="94"/>
      <c r="G5551" s="94"/>
      <c r="I5551" s="94"/>
      <c r="K5551" s="94"/>
      <c r="M5551" s="94"/>
    </row>
    <row r="5552" s="93" customFormat="1" spans="3:13">
      <c r="C5552" s="94"/>
      <c r="E5552" s="94"/>
      <c r="G5552" s="94"/>
      <c r="I5552" s="94"/>
      <c r="K5552" s="94"/>
      <c r="M5552" s="94"/>
    </row>
    <row r="5553" s="93" customFormat="1" spans="3:13">
      <c r="C5553" s="94"/>
      <c r="E5553" s="94"/>
      <c r="G5553" s="94"/>
      <c r="I5553" s="94"/>
      <c r="K5553" s="94"/>
      <c r="M5553" s="94"/>
    </row>
    <row r="5554" s="93" customFormat="1" spans="3:13">
      <c r="C5554" s="94"/>
      <c r="E5554" s="94"/>
      <c r="G5554" s="94"/>
      <c r="I5554" s="94"/>
      <c r="K5554" s="94"/>
      <c r="M5554" s="94"/>
    </row>
    <row r="5555" s="93" customFormat="1" spans="3:13">
      <c r="C5555" s="94"/>
      <c r="E5555" s="94"/>
      <c r="G5555" s="94"/>
      <c r="I5555" s="94"/>
      <c r="K5555" s="94"/>
      <c r="M5555" s="94"/>
    </row>
    <row r="5556" s="93" customFormat="1" spans="3:13">
      <c r="C5556" s="94"/>
      <c r="E5556" s="94"/>
      <c r="G5556" s="94"/>
      <c r="I5556" s="94"/>
      <c r="K5556" s="94"/>
      <c r="M5556" s="94"/>
    </row>
    <row r="5557" s="93" customFormat="1" spans="3:13">
      <c r="C5557" s="94"/>
      <c r="E5557" s="94"/>
      <c r="G5557" s="94"/>
      <c r="I5557" s="94"/>
      <c r="K5557" s="94"/>
      <c r="M5557" s="94"/>
    </row>
    <row r="5558" s="93" customFormat="1" spans="3:13">
      <c r="C5558" s="94"/>
      <c r="E5558" s="94"/>
      <c r="G5558" s="94"/>
      <c r="I5558" s="94"/>
      <c r="K5558" s="94"/>
      <c r="M5558" s="94"/>
    </row>
    <row r="5559" s="93" customFormat="1" spans="3:13">
      <c r="C5559" s="94"/>
      <c r="E5559" s="94"/>
      <c r="G5559" s="94"/>
      <c r="I5559" s="94"/>
      <c r="K5559" s="94"/>
      <c r="M5559" s="94"/>
    </row>
    <row r="5560" s="93" customFormat="1" spans="3:13">
      <c r="C5560" s="94"/>
      <c r="E5560" s="94"/>
      <c r="G5560" s="94"/>
      <c r="I5560" s="94"/>
      <c r="K5560" s="94"/>
      <c r="M5560" s="94"/>
    </row>
    <row r="5561" s="93" customFormat="1" spans="3:13">
      <c r="C5561" s="94"/>
      <c r="E5561" s="94"/>
      <c r="G5561" s="94"/>
      <c r="I5561" s="94"/>
      <c r="K5561" s="94"/>
      <c r="M5561" s="94"/>
    </row>
    <row r="5562" s="93" customFormat="1" spans="3:13">
      <c r="C5562" s="94"/>
      <c r="E5562" s="94"/>
      <c r="G5562" s="94"/>
      <c r="I5562" s="94"/>
      <c r="K5562" s="94"/>
      <c r="M5562" s="94"/>
    </row>
    <row r="5563" s="93" customFormat="1" spans="3:13">
      <c r="C5563" s="94"/>
      <c r="E5563" s="94"/>
      <c r="G5563" s="94"/>
      <c r="I5563" s="94"/>
      <c r="K5563" s="94"/>
      <c r="M5563" s="94"/>
    </row>
    <row r="5564" s="93" customFormat="1" spans="3:13">
      <c r="C5564" s="94"/>
      <c r="E5564" s="94"/>
      <c r="G5564" s="94"/>
      <c r="I5564" s="94"/>
      <c r="K5564" s="94"/>
      <c r="M5564" s="94"/>
    </row>
    <row r="5565" s="93" customFormat="1" spans="3:13">
      <c r="C5565" s="94"/>
      <c r="E5565" s="94"/>
      <c r="G5565" s="94"/>
      <c r="I5565" s="94"/>
      <c r="K5565" s="94"/>
      <c r="M5565" s="94"/>
    </row>
    <row r="5566" s="93" customFormat="1" spans="3:13">
      <c r="C5566" s="94"/>
      <c r="E5566" s="94"/>
      <c r="G5566" s="94"/>
      <c r="I5566" s="94"/>
      <c r="K5566" s="94"/>
      <c r="M5566" s="94"/>
    </row>
    <row r="5567" s="93" customFormat="1" spans="3:13">
      <c r="C5567" s="94"/>
      <c r="E5567" s="94"/>
      <c r="G5567" s="94"/>
      <c r="I5567" s="94"/>
      <c r="K5567" s="94"/>
      <c r="M5567" s="94"/>
    </row>
    <row r="5568" s="93" customFormat="1" spans="3:13">
      <c r="C5568" s="94"/>
      <c r="E5568" s="94"/>
      <c r="G5568" s="94"/>
      <c r="I5568" s="94"/>
      <c r="K5568" s="94"/>
      <c r="M5568" s="94"/>
    </row>
    <row r="5569" s="93" customFormat="1" spans="3:13">
      <c r="C5569" s="94"/>
      <c r="E5569" s="94"/>
      <c r="G5569" s="94"/>
      <c r="I5569" s="94"/>
      <c r="K5569" s="94"/>
      <c r="M5569" s="94"/>
    </row>
    <row r="5570" s="93" customFormat="1" spans="3:13">
      <c r="C5570" s="94"/>
      <c r="E5570" s="94"/>
      <c r="G5570" s="94"/>
      <c r="I5570" s="94"/>
      <c r="K5570" s="94"/>
      <c r="M5570" s="94"/>
    </row>
    <row r="5571" s="93" customFormat="1" spans="3:13">
      <c r="C5571" s="94"/>
      <c r="E5571" s="94"/>
      <c r="G5571" s="94"/>
      <c r="I5571" s="94"/>
      <c r="K5571" s="94"/>
      <c r="M5571" s="94"/>
    </row>
    <row r="5572" s="93" customFormat="1" spans="3:13">
      <c r="C5572" s="94"/>
      <c r="E5572" s="94"/>
      <c r="G5572" s="94"/>
      <c r="I5572" s="94"/>
      <c r="K5572" s="94"/>
      <c r="M5572" s="94"/>
    </row>
    <row r="5573" s="93" customFormat="1" spans="3:13">
      <c r="C5573" s="94"/>
      <c r="E5573" s="94"/>
      <c r="G5573" s="94"/>
      <c r="I5573" s="94"/>
      <c r="K5573" s="94"/>
      <c r="M5573" s="94"/>
    </row>
    <row r="5574" s="93" customFormat="1" spans="3:13">
      <c r="C5574" s="94"/>
      <c r="E5574" s="94"/>
      <c r="G5574" s="94"/>
      <c r="I5574" s="94"/>
      <c r="K5574" s="94"/>
      <c r="M5574" s="94"/>
    </row>
    <row r="5575" s="93" customFormat="1" spans="3:13">
      <c r="C5575" s="94"/>
      <c r="E5575" s="94"/>
      <c r="G5575" s="94"/>
      <c r="I5575" s="94"/>
      <c r="K5575" s="94"/>
      <c r="M5575" s="94"/>
    </row>
    <row r="5576" s="93" customFormat="1" spans="3:13">
      <c r="C5576" s="94"/>
      <c r="E5576" s="94"/>
      <c r="G5576" s="94"/>
      <c r="I5576" s="94"/>
      <c r="K5576" s="94"/>
      <c r="M5576" s="94"/>
    </row>
    <row r="5577" s="93" customFormat="1" spans="3:13">
      <c r="C5577" s="94"/>
      <c r="E5577" s="94"/>
      <c r="G5577" s="94"/>
      <c r="I5577" s="94"/>
      <c r="K5577" s="94"/>
      <c r="M5577" s="94"/>
    </row>
    <row r="5578" s="93" customFormat="1" spans="3:13">
      <c r="C5578" s="94"/>
      <c r="E5578" s="94"/>
      <c r="G5578" s="94"/>
      <c r="I5578" s="94"/>
      <c r="K5578" s="94"/>
      <c r="M5578" s="94"/>
    </row>
    <row r="5579" s="93" customFormat="1" spans="3:13">
      <c r="C5579" s="94"/>
      <c r="E5579" s="94"/>
      <c r="G5579" s="94"/>
      <c r="I5579" s="94"/>
      <c r="K5579" s="94"/>
      <c r="M5579" s="94"/>
    </row>
    <row r="5580" s="93" customFormat="1" spans="3:13">
      <c r="C5580" s="94"/>
      <c r="E5580" s="94"/>
      <c r="G5580" s="94"/>
      <c r="I5580" s="94"/>
      <c r="K5580" s="94"/>
      <c r="M5580" s="94"/>
    </row>
    <row r="5581" s="93" customFormat="1" spans="3:13">
      <c r="C5581" s="94"/>
      <c r="E5581" s="94"/>
      <c r="G5581" s="94"/>
      <c r="I5581" s="94"/>
      <c r="K5581" s="94"/>
      <c r="M5581" s="94"/>
    </row>
    <row r="5582" s="93" customFormat="1" spans="3:13">
      <c r="C5582" s="94"/>
      <c r="E5582" s="94"/>
      <c r="G5582" s="94"/>
      <c r="I5582" s="94"/>
      <c r="K5582" s="94"/>
      <c r="M5582" s="94"/>
    </row>
    <row r="5583" s="93" customFormat="1" spans="3:13">
      <c r="C5583" s="94"/>
      <c r="E5583" s="94"/>
      <c r="G5583" s="94"/>
      <c r="I5583" s="94"/>
      <c r="K5583" s="94"/>
      <c r="M5583" s="94"/>
    </row>
    <row r="5584" s="93" customFormat="1" spans="3:13">
      <c r="C5584" s="94"/>
      <c r="E5584" s="94"/>
      <c r="G5584" s="94"/>
      <c r="I5584" s="94"/>
      <c r="K5584" s="94"/>
      <c r="M5584" s="94"/>
    </row>
    <row r="5585" s="93" customFormat="1" spans="3:13">
      <c r="C5585" s="94"/>
      <c r="E5585" s="94"/>
      <c r="G5585" s="94"/>
      <c r="I5585" s="94"/>
      <c r="K5585" s="94"/>
      <c r="M5585" s="94"/>
    </row>
    <row r="5586" s="93" customFormat="1" spans="3:13">
      <c r="C5586" s="94"/>
      <c r="E5586" s="94"/>
      <c r="G5586" s="94"/>
      <c r="I5586" s="94"/>
      <c r="K5586" s="94"/>
      <c r="M5586" s="94"/>
    </row>
    <row r="5587" s="93" customFormat="1" spans="3:13">
      <c r="C5587" s="94"/>
      <c r="E5587" s="94"/>
      <c r="G5587" s="94"/>
      <c r="I5587" s="94"/>
      <c r="K5587" s="94"/>
      <c r="M5587" s="94"/>
    </row>
    <row r="5588" s="93" customFormat="1" spans="3:13">
      <c r="C5588" s="94"/>
      <c r="E5588" s="94"/>
      <c r="G5588" s="94"/>
      <c r="I5588" s="94"/>
      <c r="K5588" s="94"/>
      <c r="M5588" s="94"/>
    </row>
    <row r="5589" s="93" customFormat="1" spans="3:13">
      <c r="C5589" s="94"/>
      <c r="E5589" s="94"/>
      <c r="G5589" s="94"/>
      <c r="I5589" s="94"/>
      <c r="K5589" s="94"/>
      <c r="M5589" s="94"/>
    </row>
    <row r="5590" s="93" customFormat="1" spans="3:13">
      <c r="C5590" s="94"/>
      <c r="E5590" s="94"/>
      <c r="G5590" s="94"/>
      <c r="I5590" s="94"/>
      <c r="K5590" s="94"/>
      <c r="M5590" s="94"/>
    </row>
    <row r="5591" s="93" customFormat="1" spans="3:13">
      <c r="C5591" s="94"/>
      <c r="E5591" s="94"/>
      <c r="G5591" s="94"/>
      <c r="I5591" s="94"/>
      <c r="K5591" s="94"/>
      <c r="M5591" s="94"/>
    </row>
    <row r="5592" s="93" customFormat="1" spans="3:13">
      <c r="C5592" s="94"/>
      <c r="E5592" s="94"/>
      <c r="G5592" s="94"/>
      <c r="I5592" s="94"/>
      <c r="K5592" s="94"/>
      <c r="M5592" s="94"/>
    </row>
    <row r="5593" s="93" customFormat="1" spans="3:13">
      <c r="C5593" s="94"/>
      <c r="E5593" s="94"/>
      <c r="G5593" s="94"/>
      <c r="I5593" s="94"/>
      <c r="K5593" s="94"/>
      <c r="M5593" s="94"/>
    </row>
    <row r="5594" s="93" customFormat="1" spans="3:13">
      <c r="C5594" s="94"/>
      <c r="E5594" s="94"/>
      <c r="G5594" s="94"/>
      <c r="I5594" s="94"/>
      <c r="K5594" s="94"/>
      <c r="M5594" s="94"/>
    </row>
    <row r="5595" s="93" customFormat="1" spans="3:13">
      <c r="C5595" s="94"/>
      <c r="E5595" s="94"/>
      <c r="G5595" s="94"/>
      <c r="I5595" s="94"/>
      <c r="K5595" s="94"/>
      <c r="M5595" s="94"/>
    </row>
    <row r="5596" s="93" customFormat="1" spans="3:13">
      <c r="C5596" s="94"/>
      <c r="E5596" s="94"/>
      <c r="G5596" s="94"/>
      <c r="I5596" s="94"/>
      <c r="K5596" s="94"/>
      <c r="M5596" s="94"/>
    </row>
    <row r="5597" s="93" customFormat="1" spans="3:13">
      <c r="C5597" s="94"/>
      <c r="E5597" s="94"/>
      <c r="G5597" s="94"/>
      <c r="I5597" s="94"/>
      <c r="K5597" s="94"/>
      <c r="M5597" s="94"/>
    </row>
    <row r="5598" s="93" customFormat="1" spans="3:13">
      <c r="C5598" s="94"/>
      <c r="E5598" s="94"/>
      <c r="G5598" s="94"/>
      <c r="I5598" s="94"/>
      <c r="K5598" s="94"/>
      <c r="M5598" s="94"/>
    </row>
    <row r="5599" s="93" customFormat="1" spans="3:13">
      <c r="C5599" s="94"/>
      <c r="E5599" s="94"/>
      <c r="G5599" s="94"/>
      <c r="I5599" s="94"/>
      <c r="K5599" s="94"/>
      <c r="M5599" s="94"/>
    </row>
    <row r="5600" s="93" customFormat="1" spans="3:13">
      <c r="C5600" s="94"/>
      <c r="E5600" s="94"/>
      <c r="G5600" s="94"/>
      <c r="I5600" s="94"/>
      <c r="K5600" s="94"/>
      <c r="M5600" s="94"/>
    </row>
    <row r="5601" s="93" customFormat="1" spans="3:13">
      <c r="C5601" s="94"/>
      <c r="E5601" s="94"/>
      <c r="G5601" s="94"/>
      <c r="I5601" s="94"/>
      <c r="K5601" s="94"/>
      <c r="M5601" s="94"/>
    </row>
    <row r="5602" s="93" customFormat="1" spans="3:13">
      <c r="C5602" s="94"/>
      <c r="E5602" s="94"/>
      <c r="G5602" s="94"/>
      <c r="I5602" s="94"/>
      <c r="K5602" s="94"/>
      <c r="M5602" s="94"/>
    </row>
    <row r="5603" s="93" customFormat="1" spans="3:13">
      <c r="C5603" s="94"/>
      <c r="E5603" s="94"/>
      <c r="G5603" s="94"/>
      <c r="I5603" s="94"/>
      <c r="K5603" s="94"/>
      <c r="M5603" s="94"/>
    </row>
    <row r="5604" s="93" customFormat="1" spans="3:13">
      <c r="C5604" s="94"/>
      <c r="E5604" s="94"/>
      <c r="G5604" s="94"/>
      <c r="I5604" s="94"/>
      <c r="K5604" s="94"/>
      <c r="M5604" s="94"/>
    </row>
    <row r="5605" s="93" customFormat="1" spans="3:13">
      <c r="C5605" s="94"/>
      <c r="E5605" s="94"/>
      <c r="G5605" s="94"/>
      <c r="I5605" s="94"/>
      <c r="K5605" s="94"/>
      <c r="M5605" s="94"/>
    </row>
    <row r="5606" s="93" customFormat="1" spans="3:13">
      <c r="C5606" s="94"/>
      <c r="E5606" s="94"/>
      <c r="G5606" s="94"/>
      <c r="I5606" s="94"/>
      <c r="K5606" s="94"/>
      <c r="M5606" s="94"/>
    </row>
    <row r="5607" s="93" customFormat="1" spans="3:13">
      <c r="C5607" s="94"/>
      <c r="E5607" s="94"/>
      <c r="G5607" s="94"/>
      <c r="I5607" s="94"/>
      <c r="K5607" s="94"/>
      <c r="M5607" s="94"/>
    </row>
    <row r="5608" s="93" customFormat="1" spans="3:13">
      <c r="C5608" s="94"/>
      <c r="E5608" s="94"/>
      <c r="G5608" s="94"/>
      <c r="I5608" s="94"/>
      <c r="K5608" s="94"/>
      <c r="M5608" s="94"/>
    </row>
    <row r="5609" s="93" customFormat="1" spans="3:13">
      <c r="C5609" s="94"/>
      <c r="E5609" s="94"/>
      <c r="G5609" s="94"/>
      <c r="I5609" s="94"/>
      <c r="K5609" s="94"/>
      <c r="M5609" s="94"/>
    </row>
    <row r="5610" s="93" customFormat="1" spans="3:13">
      <c r="C5610" s="94"/>
      <c r="E5610" s="94"/>
      <c r="G5610" s="94"/>
      <c r="I5610" s="94"/>
      <c r="K5610" s="94"/>
      <c r="M5610" s="94"/>
    </row>
    <row r="5611" s="93" customFormat="1" spans="3:13">
      <c r="C5611" s="94"/>
      <c r="E5611" s="94"/>
      <c r="G5611" s="94"/>
      <c r="I5611" s="94"/>
      <c r="K5611" s="94"/>
      <c r="M5611" s="94"/>
    </row>
    <row r="5612" s="93" customFormat="1" spans="3:13">
      <c r="C5612" s="94"/>
      <c r="E5612" s="94"/>
      <c r="G5612" s="94"/>
      <c r="I5612" s="94"/>
      <c r="K5612" s="94"/>
      <c r="M5612" s="94"/>
    </row>
    <row r="5613" s="93" customFormat="1" spans="3:13">
      <c r="C5613" s="94"/>
      <c r="E5613" s="94"/>
      <c r="G5613" s="94"/>
      <c r="I5613" s="94"/>
      <c r="K5613" s="94"/>
      <c r="M5613" s="94"/>
    </row>
    <row r="5614" s="93" customFormat="1" spans="3:13">
      <c r="C5614" s="94"/>
      <c r="E5614" s="94"/>
      <c r="G5614" s="94"/>
      <c r="I5614" s="94"/>
      <c r="K5614" s="94"/>
      <c r="M5614" s="94"/>
    </row>
    <row r="5615" s="93" customFormat="1" spans="3:13">
      <c r="C5615" s="94"/>
      <c r="E5615" s="94"/>
      <c r="G5615" s="94"/>
      <c r="I5615" s="94"/>
      <c r="K5615" s="94"/>
      <c r="M5615" s="94"/>
    </row>
    <row r="5616" s="93" customFormat="1" spans="3:13">
      <c r="C5616" s="94"/>
      <c r="E5616" s="94"/>
      <c r="G5616" s="94"/>
      <c r="I5616" s="94"/>
      <c r="K5616" s="94"/>
      <c r="M5616" s="94"/>
    </row>
    <row r="5617" s="93" customFormat="1" spans="3:13">
      <c r="C5617" s="94"/>
      <c r="E5617" s="94"/>
      <c r="G5617" s="94"/>
      <c r="I5617" s="94"/>
      <c r="K5617" s="94"/>
      <c r="M5617" s="94"/>
    </row>
    <row r="5618" s="93" customFormat="1" spans="3:13">
      <c r="C5618" s="94"/>
      <c r="E5618" s="94"/>
      <c r="G5618" s="94"/>
      <c r="I5618" s="94"/>
      <c r="K5618" s="94"/>
      <c r="M5618" s="94"/>
    </row>
    <row r="5619" s="93" customFormat="1" spans="3:13">
      <c r="C5619" s="94"/>
      <c r="E5619" s="94"/>
      <c r="G5619" s="94"/>
      <c r="I5619" s="94"/>
      <c r="K5619" s="94"/>
      <c r="M5619" s="94"/>
    </row>
    <row r="5620" s="93" customFormat="1" spans="3:13">
      <c r="C5620" s="94"/>
      <c r="E5620" s="94"/>
      <c r="G5620" s="94"/>
      <c r="I5620" s="94"/>
      <c r="K5620" s="94"/>
      <c r="M5620" s="94"/>
    </row>
    <row r="5621" s="93" customFormat="1" spans="3:13">
      <c r="C5621" s="94"/>
      <c r="E5621" s="94"/>
      <c r="G5621" s="94"/>
      <c r="I5621" s="94"/>
      <c r="K5621" s="94"/>
      <c r="M5621" s="94"/>
    </row>
    <row r="5622" s="93" customFormat="1" spans="3:13">
      <c r="C5622" s="94"/>
      <c r="E5622" s="94"/>
      <c r="G5622" s="94"/>
      <c r="I5622" s="94"/>
      <c r="K5622" s="94"/>
      <c r="M5622" s="94"/>
    </row>
    <row r="5623" s="93" customFormat="1" spans="3:13">
      <c r="C5623" s="94"/>
      <c r="E5623" s="94"/>
      <c r="G5623" s="94"/>
      <c r="I5623" s="94"/>
      <c r="K5623" s="94"/>
      <c r="M5623" s="94"/>
    </row>
    <row r="5624" s="93" customFormat="1" spans="3:13">
      <c r="C5624" s="94"/>
      <c r="E5624" s="94"/>
      <c r="G5624" s="94"/>
      <c r="I5624" s="94"/>
      <c r="K5624" s="94"/>
      <c r="M5624" s="94"/>
    </row>
    <row r="5625" s="93" customFormat="1" spans="3:13">
      <c r="C5625" s="94"/>
      <c r="E5625" s="94"/>
      <c r="G5625" s="94"/>
      <c r="I5625" s="94"/>
      <c r="K5625" s="94"/>
      <c r="M5625" s="94"/>
    </row>
    <row r="5626" s="93" customFormat="1" spans="3:13">
      <c r="C5626" s="94"/>
      <c r="E5626" s="94"/>
      <c r="G5626" s="94"/>
      <c r="I5626" s="94"/>
      <c r="K5626" s="94"/>
      <c r="M5626" s="94"/>
    </row>
    <row r="5627" s="93" customFormat="1" spans="3:13">
      <c r="C5627" s="94"/>
      <c r="E5627" s="94"/>
      <c r="G5627" s="94"/>
      <c r="I5627" s="94"/>
      <c r="K5627" s="94"/>
      <c r="M5627" s="94"/>
    </row>
    <row r="5628" s="93" customFormat="1" spans="3:13">
      <c r="C5628" s="94"/>
      <c r="E5628" s="94"/>
      <c r="G5628" s="94"/>
      <c r="I5628" s="94"/>
      <c r="K5628" s="94"/>
      <c r="M5628" s="94"/>
    </row>
    <row r="5629" s="93" customFormat="1" spans="3:13">
      <c r="C5629" s="94"/>
      <c r="E5629" s="94"/>
      <c r="G5629" s="94"/>
      <c r="I5629" s="94"/>
      <c r="K5629" s="94"/>
      <c r="M5629" s="94"/>
    </row>
    <row r="5630" s="93" customFormat="1" spans="3:13">
      <c r="C5630" s="94"/>
      <c r="E5630" s="94"/>
      <c r="G5630" s="94"/>
      <c r="I5630" s="94"/>
      <c r="K5630" s="94"/>
      <c r="M5630" s="94"/>
    </row>
    <row r="5631" s="93" customFormat="1" spans="3:13">
      <c r="C5631" s="94"/>
      <c r="E5631" s="94"/>
      <c r="G5631" s="94"/>
      <c r="I5631" s="94"/>
      <c r="K5631" s="94"/>
      <c r="M5631" s="94"/>
    </row>
    <row r="5632" s="93" customFormat="1" spans="3:13">
      <c r="C5632" s="94"/>
      <c r="E5632" s="94"/>
      <c r="G5632" s="94"/>
      <c r="I5632" s="94"/>
      <c r="K5632" s="94"/>
      <c r="M5632" s="94"/>
    </row>
    <row r="5633" s="93" customFormat="1" spans="3:13">
      <c r="C5633" s="94"/>
      <c r="E5633" s="94"/>
      <c r="G5633" s="94"/>
      <c r="I5633" s="94"/>
      <c r="K5633" s="94"/>
      <c r="M5633" s="94"/>
    </row>
    <row r="5634" s="93" customFormat="1" spans="3:13">
      <c r="C5634" s="94"/>
      <c r="E5634" s="94"/>
      <c r="G5634" s="94"/>
      <c r="I5634" s="94"/>
      <c r="K5634" s="94"/>
      <c r="M5634" s="94"/>
    </row>
    <row r="5635" s="93" customFormat="1" spans="3:13">
      <c r="C5635" s="94"/>
      <c r="E5635" s="94"/>
      <c r="G5635" s="94"/>
      <c r="I5635" s="94"/>
      <c r="K5635" s="94"/>
      <c r="M5635" s="94"/>
    </row>
    <row r="5636" s="93" customFormat="1" spans="3:13">
      <c r="C5636" s="94"/>
      <c r="E5636" s="94"/>
      <c r="G5636" s="94"/>
      <c r="I5636" s="94"/>
      <c r="K5636" s="94"/>
      <c r="M5636" s="94"/>
    </row>
    <row r="5637" s="93" customFormat="1" spans="3:13">
      <c r="C5637" s="94"/>
      <c r="E5637" s="94"/>
      <c r="G5637" s="94"/>
      <c r="I5637" s="94"/>
      <c r="K5637" s="94"/>
      <c r="M5637" s="94"/>
    </row>
    <row r="5638" s="93" customFormat="1" spans="3:13">
      <c r="C5638" s="94"/>
      <c r="E5638" s="94"/>
      <c r="G5638" s="94"/>
      <c r="I5638" s="94"/>
      <c r="K5638" s="94"/>
      <c r="M5638" s="94"/>
    </row>
    <row r="5639" s="93" customFormat="1" spans="3:13">
      <c r="C5639" s="94"/>
      <c r="E5639" s="94"/>
      <c r="G5639" s="94"/>
      <c r="I5639" s="94"/>
      <c r="K5639" s="94"/>
      <c r="M5639" s="94"/>
    </row>
    <row r="5640" s="93" customFormat="1" spans="3:13">
      <c r="C5640" s="94"/>
      <c r="E5640" s="94"/>
      <c r="G5640" s="94"/>
      <c r="I5640" s="94"/>
      <c r="K5640" s="94"/>
      <c r="M5640" s="94"/>
    </row>
    <row r="5641" s="93" customFormat="1" spans="3:13">
      <c r="C5641" s="94"/>
      <c r="E5641" s="94"/>
      <c r="G5641" s="94"/>
      <c r="I5641" s="94"/>
      <c r="K5641" s="94"/>
      <c r="M5641" s="94"/>
    </row>
    <row r="5642" s="93" customFormat="1" spans="3:13">
      <c r="C5642" s="94"/>
      <c r="E5642" s="94"/>
      <c r="G5642" s="94"/>
      <c r="I5642" s="94"/>
      <c r="K5642" s="94"/>
      <c r="M5642" s="94"/>
    </row>
    <row r="5643" s="93" customFormat="1" spans="3:13">
      <c r="C5643" s="94"/>
      <c r="E5643" s="94"/>
      <c r="G5643" s="94"/>
      <c r="I5643" s="94"/>
      <c r="K5643" s="94"/>
      <c r="M5643" s="94"/>
    </row>
    <row r="5644" s="93" customFormat="1" spans="3:13">
      <c r="C5644" s="94"/>
      <c r="E5644" s="94"/>
      <c r="G5644" s="94"/>
      <c r="I5644" s="94"/>
      <c r="K5644" s="94"/>
      <c r="M5644" s="94"/>
    </row>
    <row r="5645" s="93" customFormat="1" spans="3:13">
      <c r="C5645" s="94"/>
      <c r="E5645" s="94"/>
      <c r="G5645" s="94"/>
      <c r="I5645" s="94"/>
      <c r="K5645" s="94"/>
      <c r="M5645" s="94"/>
    </row>
    <row r="5646" s="93" customFormat="1" spans="3:13">
      <c r="C5646" s="94"/>
      <c r="E5646" s="94"/>
      <c r="G5646" s="94"/>
      <c r="I5646" s="94"/>
      <c r="K5646" s="94"/>
      <c r="M5646" s="94"/>
    </row>
    <row r="5647" s="93" customFormat="1" spans="3:13">
      <c r="C5647" s="94"/>
      <c r="E5647" s="94"/>
      <c r="G5647" s="94"/>
      <c r="I5647" s="94"/>
      <c r="K5647" s="94"/>
      <c r="M5647" s="94"/>
    </row>
    <row r="5648" s="93" customFormat="1" spans="3:13">
      <c r="C5648" s="94"/>
      <c r="E5648" s="94"/>
      <c r="G5648" s="94"/>
      <c r="I5648" s="94"/>
      <c r="K5648" s="94"/>
      <c r="M5648" s="94"/>
    </row>
    <row r="5649" s="93" customFormat="1" spans="3:13">
      <c r="C5649" s="94"/>
      <c r="E5649" s="94"/>
      <c r="G5649" s="94"/>
      <c r="I5649" s="94"/>
      <c r="K5649" s="94"/>
      <c r="M5649" s="94"/>
    </row>
    <row r="5650" s="93" customFormat="1" spans="3:13">
      <c r="C5650" s="94"/>
      <c r="E5650" s="94"/>
      <c r="G5650" s="94"/>
      <c r="I5650" s="94"/>
      <c r="K5650" s="94"/>
      <c r="M5650" s="94"/>
    </row>
    <row r="5651" s="93" customFormat="1" spans="3:13">
      <c r="C5651" s="94"/>
      <c r="E5651" s="94"/>
      <c r="G5651" s="94"/>
      <c r="I5651" s="94"/>
      <c r="K5651" s="94"/>
      <c r="M5651" s="94"/>
    </row>
    <row r="5652" s="93" customFormat="1" spans="3:13">
      <c r="C5652" s="94"/>
      <c r="E5652" s="94"/>
      <c r="G5652" s="94"/>
      <c r="I5652" s="94"/>
      <c r="K5652" s="94"/>
      <c r="M5652" s="94"/>
    </row>
    <row r="5653" s="93" customFormat="1" spans="3:13">
      <c r="C5653" s="94"/>
      <c r="E5653" s="94"/>
      <c r="G5653" s="94"/>
      <c r="I5653" s="94"/>
      <c r="K5653" s="94"/>
      <c r="M5653" s="94"/>
    </row>
    <row r="5654" s="93" customFormat="1" spans="3:13">
      <c r="C5654" s="94"/>
      <c r="E5654" s="94"/>
      <c r="G5654" s="94"/>
      <c r="I5654" s="94"/>
      <c r="K5654" s="94"/>
      <c r="M5654" s="94"/>
    </row>
    <row r="5655" s="93" customFormat="1" spans="3:13">
      <c r="C5655" s="94"/>
      <c r="E5655" s="94"/>
      <c r="G5655" s="94"/>
      <c r="I5655" s="94"/>
      <c r="K5655" s="94"/>
      <c r="M5655" s="94"/>
    </row>
    <row r="5656" s="93" customFormat="1" spans="3:13">
      <c r="C5656" s="94"/>
      <c r="E5656" s="94"/>
      <c r="G5656" s="94"/>
      <c r="I5656" s="94"/>
      <c r="K5656" s="94"/>
      <c r="M5656" s="94"/>
    </row>
    <row r="5657" s="93" customFormat="1" spans="3:13">
      <c r="C5657" s="94"/>
      <c r="E5657" s="94"/>
      <c r="G5657" s="94"/>
      <c r="I5657" s="94"/>
      <c r="K5657" s="94"/>
      <c r="M5657" s="94"/>
    </row>
    <row r="5658" s="93" customFormat="1" spans="3:13">
      <c r="C5658" s="94"/>
      <c r="E5658" s="94"/>
      <c r="G5658" s="94"/>
      <c r="I5658" s="94"/>
      <c r="K5658" s="94"/>
      <c r="M5658" s="94"/>
    </row>
    <row r="5659" s="93" customFormat="1" spans="3:13">
      <c r="C5659" s="94"/>
      <c r="E5659" s="94"/>
      <c r="G5659" s="94"/>
      <c r="I5659" s="94"/>
      <c r="K5659" s="94"/>
      <c r="M5659" s="94"/>
    </row>
    <row r="5660" s="93" customFormat="1" spans="3:13">
      <c r="C5660" s="94"/>
      <c r="E5660" s="94"/>
      <c r="G5660" s="94"/>
      <c r="I5660" s="94"/>
      <c r="K5660" s="94"/>
      <c r="M5660" s="94"/>
    </row>
    <row r="5661" s="93" customFormat="1" spans="3:13">
      <c r="C5661" s="94"/>
      <c r="E5661" s="94"/>
      <c r="G5661" s="94"/>
      <c r="I5661" s="94"/>
      <c r="K5661" s="94"/>
      <c r="M5661" s="94"/>
    </row>
    <row r="5662" s="93" customFormat="1" spans="3:13">
      <c r="C5662" s="94"/>
      <c r="E5662" s="94"/>
      <c r="G5662" s="94"/>
      <c r="I5662" s="94"/>
      <c r="K5662" s="94"/>
      <c r="M5662" s="94"/>
    </row>
    <row r="5663" s="93" customFormat="1" spans="3:13">
      <c r="C5663" s="94"/>
      <c r="E5663" s="94"/>
      <c r="G5663" s="94"/>
      <c r="I5663" s="94"/>
      <c r="K5663" s="94"/>
      <c r="M5663" s="94"/>
    </row>
    <row r="5664" s="93" customFormat="1" spans="3:13">
      <c r="C5664" s="94"/>
      <c r="E5664" s="94"/>
      <c r="G5664" s="94"/>
      <c r="I5664" s="94"/>
      <c r="K5664" s="94"/>
      <c r="M5664" s="94"/>
    </row>
    <row r="5665" s="93" customFormat="1" spans="3:13">
      <c r="C5665" s="94"/>
      <c r="E5665" s="94"/>
      <c r="G5665" s="94"/>
      <c r="I5665" s="94"/>
      <c r="K5665" s="94"/>
      <c r="M5665" s="94"/>
    </row>
    <row r="5666" s="93" customFormat="1" spans="3:13">
      <c r="C5666" s="94"/>
      <c r="E5666" s="94"/>
      <c r="G5666" s="94"/>
      <c r="I5666" s="94"/>
      <c r="K5666" s="94"/>
      <c r="M5666" s="94"/>
    </row>
    <row r="5667" s="93" customFormat="1" spans="3:13">
      <c r="C5667" s="94"/>
      <c r="E5667" s="94"/>
      <c r="G5667" s="94"/>
      <c r="I5667" s="94"/>
      <c r="K5667" s="94"/>
      <c r="M5667" s="94"/>
    </row>
    <row r="5668" s="93" customFormat="1" spans="3:13">
      <c r="C5668" s="94"/>
      <c r="E5668" s="94"/>
      <c r="G5668" s="94"/>
      <c r="I5668" s="94"/>
      <c r="K5668" s="94"/>
      <c r="M5668" s="94"/>
    </row>
    <row r="5669" s="93" customFormat="1" spans="3:13">
      <c r="C5669" s="94"/>
      <c r="E5669" s="94"/>
      <c r="G5669" s="94"/>
      <c r="I5669" s="94"/>
      <c r="K5669" s="94"/>
      <c r="M5669" s="94"/>
    </row>
    <row r="5670" s="93" customFormat="1" spans="3:13">
      <c r="C5670" s="94"/>
      <c r="E5670" s="94"/>
      <c r="G5670" s="94"/>
      <c r="I5670" s="94"/>
      <c r="K5670" s="94"/>
      <c r="M5670" s="94"/>
    </row>
    <row r="5671" s="93" customFormat="1" spans="3:13">
      <c r="C5671" s="94"/>
      <c r="E5671" s="94"/>
      <c r="G5671" s="94"/>
      <c r="I5671" s="94"/>
      <c r="K5671" s="94"/>
      <c r="M5671" s="94"/>
    </row>
    <row r="5672" s="93" customFormat="1" spans="3:13">
      <c r="C5672" s="94"/>
      <c r="E5672" s="94"/>
      <c r="G5672" s="94"/>
      <c r="I5672" s="94"/>
      <c r="K5672" s="94"/>
      <c r="M5672" s="94"/>
    </row>
    <row r="5673" s="93" customFormat="1" spans="3:13">
      <c r="C5673" s="94"/>
      <c r="E5673" s="94"/>
      <c r="G5673" s="94"/>
      <c r="I5673" s="94"/>
      <c r="K5673" s="94"/>
      <c r="M5673" s="94"/>
    </row>
    <row r="5674" s="93" customFormat="1" spans="3:13">
      <c r="C5674" s="94"/>
      <c r="E5674" s="94"/>
      <c r="G5674" s="94"/>
      <c r="I5674" s="94"/>
      <c r="K5674" s="94"/>
      <c r="M5674" s="94"/>
    </row>
    <row r="5675" s="93" customFormat="1" spans="3:13">
      <c r="C5675" s="94"/>
      <c r="E5675" s="94"/>
      <c r="G5675" s="94"/>
      <c r="I5675" s="94"/>
      <c r="K5675" s="94"/>
      <c r="M5675" s="94"/>
    </row>
    <row r="5676" s="93" customFormat="1" spans="3:13">
      <c r="C5676" s="94"/>
      <c r="E5676" s="94"/>
      <c r="G5676" s="94"/>
      <c r="I5676" s="94"/>
      <c r="K5676" s="94"/>
      <c r="M5676" s="94"/>
    </row>
    <row r="5677" s="93" customFormat="1" spans="3:13">
      <c r="C5677" s="94"/>
      <c r="E5677" s="94"/>
      <c r="G5677" s="94"/>
      <c r="I5677" s="94"/>
      <c r="K5677" s="94"/>
      <c r="M5677" s="94"/>
    </row>
    <row r="5678" s="93" customFormat="1" spans="3:13">
      <c r="C5678" s="94"/>
      <c r="E5678" s="94"/>
      <c r="G5678" s="94"/>
      <c r="I5678" s="94"/>
      <c r="K5678" s="94"/>
      <c r="M5678" s="94"/>
    </row>
    <row r="5679" s="93" customFormat="1" spans="3:13">
      <c r="C5679" s="94"/>
      <c r="E5679" s="94"/>
      <c r="G5679" s="94"/>
      <c r="I5679" s="94"/>
      <c r="K5679" s="94"/>
      <c r="M5679" s="94"/>
    </row>
    <row r="5680" s="93" customFormat="1" spans="3:13">
      <c r="C5680" s="94"/>
      <c r="E5680" s="94"/>
      <c r="G5680" s="94"/>
      <c r="I5680" s="94"/>
      <c r="K5680" s="94"/>
      <c r="M5680" s="94"/>
    </row>
    <row r="5681" s="93" customFormat="1" spans="3:13">
      <c r="C5681" s="94"/>
      <c r="E5681" s="94"/>
      <c r="G5681" s="94"/>
      <c r="I5681" s="94"/>
      <c r="K5681" s="94"/>
      <c r="M5681" s="94"/>
    </row>
    <row r="5682" s="93" customFormat="1" spans="3:13">
      <c r="C5682" s="94"/>
      <c r="E5682" s="94"/>
      <c r="G5682" s="94"/>
      <c r="I5682" s="94"/>
      <c r="K5682" s="94"/>
      <c r="M5682" s="94"/>
    </row>
    <row r="5683" s="93" customFormat="1" spans="3:13">
      <c r="C5683" s="94"/>
      <c r="E5683" s="94"/>
      <c r="G5683" s="94"/>
      <c r="I5683" s="94"/>
      <c r="K5683" s="94"/>
      <c r="M5683" s="94"/>
    </row>
    <row r="5684" s="93" customFormat="1" spans="3:13">
      <c r="C5684" s="94"/>
      <c r="E5684" s="94"/>
      <c r="G5684" s="94"/>
      <c r="I5684" s="94"/>
      <c r="K5684" s="94"/>
      <c r="M5684" s="94"/>
    </row>
    <row r="5685" s="93" customFormat="1" spans="3:13">
      <c r="C5685" s="94"/>
      <c r="E5685" s="94"/>
      <c r="G5685" s="94"/>
      <c r="I5685" s="94"/>
      <c r="K5685" s="94"/>
      <c r="M5685" s="94"/>
    </row>
    <row r="5686" s="93" customFormat="1" spans="3:13">
      <c r="C5686" s="94"/>
      <c r="E5686" s="94"/>
      <c r="G5686" s="94"/>
      <c r="I5686" s="94"/>
      <c r="K5686" s="94"/>
      <c r="M5686" s="94"/>
    </row>
    <row r="5687" s="93" customFormat="1" spans="3:13">
      <c r="C5687" s="94"/>
      <c r="E5687" s="94"/>
      <c r="G5687" s="94"/>
      <c r="I5687" s="94"/>
      <c r="K5687" s="94"/>
      <c r="M5687" s="94"/>
    </row>
    <row r="5688" s="93" customFormat="1" spans="3:13">
      <c r="C5688" s="94"/>
      <c r="E5688" s="94"/>
      <c r="G5688" s="94"/>
      <c r="I5688" s="94"/>
      <c r="K5688" s="94"/>
      <c r="M5688" s="94"/>
    </row>
    <row r="5689" s="93" customFormat="1" spans="3:13">
      <c r="C5689" s="94"/>
      <c r="E5689" s="94"/>
      <c r="G5689" s="94"/>
      <c r="I5689" s="94"/>
      <c r="K5689" s="94"/>
      <c r="M5689" s="94"/>
    </row>
    <row r="5690" s="93" customFormat="1" spans="3:13">
      <c r="C5690" s="94"/>
      <c r="E5690" s="94"/>
      <c r="G5690" s="94"/>
      <c r="I5690" s="94"/>
      <c r="K5690" s="94"/>
      <c r="M5690" s="94"/>
    </row>
    <row r="5691" s="93" customFormat="1" spans="3:13">
      <c r="C5691" s="94"/>
      <c r="E5691" s="94"/>
      <c r="G5691" s="94"/>
      <c r="I5691" s="94"/>
      <c r="K5691" s="94"/>
      <c r="M5691" s="94"/>
    </row>
    <row r="5692" s="93" customFormat="1" spans="3:13">
      <c r="C5692" s="94"/>
      <c r="E5692" s="94"/>
      <c r="G5692" s="94"/>
      <c r="I5692" s="94"/>
      <c r="K5692" s="94"/>
      <c r="M5692" s="94"/>
    </row>
    <row r="5693" s="93" customFormat="1" spans="3:13">
      <c r="C5693" s="94"/>
      <c r="E5693" s="94"/>
      <c r="G5693" s="94"/>
      <c r="I5693" s="94"/>
      <c r="K5693" s="94"/>
      <c r="M5693" s="94"/>
    </row>
    <row r="5694" s="93" customFormat="1" spans="3:13">
      <c r="C5694" s="94"/>
      <c r="E5694" s="94"/>
      <c r="G5694" s="94"/>
      <c r="I5694" s="94"/>
      <c r="K5694" s="94"/>
      <c r="M5694" s="94"/>
    </row>
    <row r="5695" s="93" customFormat="1" spans="3:13">
      <c r="C5695" s="94"/>
      <c r="E5695" s="94"/>
      <c r="G5695" s="94"/>
      <c r="I5695" s="94"/>
      <c r="K5695" s="94"/>
      <c r="M5695" s="94"/>
    </row>
    <row r="5696" s="93" customFormat="1" spans="3:13">
      <c r="C5696" s="94"/>
      <c r="E5696" s="94"/>
      <c r="G5696" s="94"/>
      <c r="I5696" s="94"/>
      <c r="K5696" s="94"/>
      <c r="M5696" s="94"/>
    </row>
    <row r="5697" s="93" customFormat="1" spans="3:13">
      <c r="C5697" s="94"/>
      <c r="E5697" s="94"/>
      <c r="G5697" s="94"/>
      <c r="I5697" s="94"/>
      <c r="K5697" s="94"/>
      <c r="M5697" s="94"/>
    </row>
    <row r="5698" s="93" customFormat="1" spans="3:13">
      <c r="C5698" s="94"/>
      <c r="E5698" s="94"/>
      <c r="G5698" s="94"/>
      <c r="I5698" s="94"/>
      <c r="K5698" s="94"/>
      <c r="M5698" s="94"/>
    </row>
    <row r="5699" s="93" customFormat="1" spans="3:13">
      <c r="C5699" s="94"/>
      <c r="E5699" s="94"/>
      <c r="G5699" s="94"/>
      <c r="I5699" s="94"/>
      <c r="K5699" s="94"/>
      <c r="M5699" s="94"/>
    </row>
    <row r="5700" s="93" customFormat="1" spans="3:13">
      <c r="C5700" s="94"/>
      <c r="E5700" s="94"/>
      <c r="G5700" s="94"/>
      <c r="I5700" s="94"/>
      <c r="K5700" s="94"/>
      <c r="M5700" s="94"/>
    </row>
    <row r="5701" s="93" customFormat="1" spans="3:13">
      <c r="C5701" s="94"/>
      <c r="E5701" s="94"/>
      <c r="G5701" s="94"/>
      <c r="I5701" s="94"/>
      <c r="K5701" s="94"/>
      <c r="M5701" s="94"/>
    </row>
    <row r="5702" s="93" customFormat="1" spans="3:13">
      <c r="C5702" s="94"/>
      <c r="E5702" s="94"/>
      <c r="G5702" s="94"/>
      <c r="I5702" s="94"/>
      <c r="K5702" s="94"/>
      <c r="M5702" s="94"/>
    </row>
    <row r="5703" s="93" customFormat="1" spans="3:13">
      <c r="C5703" s="94"/>
      <c r="E5703" s="94"/>
      <c r="G5703" s="94"/>
      <c r="I5703" s="94"/>
      <c r="K5703" s="94"/>
      <c r="M5703" s="94"/>
    </row>
    <row r="5704" s="93" customFormat="1" spans="3:13">
      <c r="C5704" s="94"/>
      <c r="E5704" s="94"/>
      <c r="G5704" s="94"/>
      <c r="I5704" s="94"/>
      <c r="K5704" s="94"/>
      <c r="M5704" s="94"/>
    </row>
    <row r="5705" s="93" customFormat="1" spans="3:13">
      <c r="C5705" s="94"/>
      <c r="E5705" s="94"/>
      <c r="G5705" s="94"/>
      <c r="I5705" s="94"/>
      <c r="K5705" s="94"/>
      <c r="M5705" s="94"/>
    </row>
    <row r="5706" s="93" customFormat="1" spans="3:13">
      <c r="C5706" s="94"/>
      <c r="E5706" s="94"/>
      <c r="G5706" s="94"/>
      <c r="I5706" s="94"/>
      <c r="K5706" s="94"/>
      <c r="M5706" s="94"/>
    </row>
    <row r="5707" s="93" customFormat="1" spans="3:13">
      <c r="C5707" s="94"/>
      <c r="E5707" s="94"/>
      <c r="G5707" s="94"/>
      <c r="I5707" s="94"/>
      <c r="K5707" s="94"/>
      <c r="M5707" s="94"/>
    </row>
    <row r="5708" s="93" customFormat="1" spans="3:13">
      <c r="C5708" s="94"/>
      <c r="E5708" s="94"/>
      <c r="G5708" s="94"/>
      <c r="I5708" s="94"/>
      <c r="K5708" s="94"/>
      <c r="M5708" s="94"/>
    </row>
    <row r="5709" s="93" customFormat="1" spans="3:13">
      <c r="C5709" s="94"/>
      <c r="E5709" s="94"/>
      <c r="G5709" s="94"/>
      <c r="I5709" s="94"/>
      <c r="K5709" s="94"/>
      <c r="M5709" s="94"/>
    </row>
    <row r="5710" s="93" customFormat="1" spans="3:13">
      <c r="C5710" s="94"/>
      <c r="E5710" s="94"/>
      <c r="G5710" s="94"/>
      <c r="I5710" s="94"/>
      <c r="K5710" s="94"/>
      <c r="M5710" s="94"/>
    </row>
    <row r="5711" s="93" customFormat="1" spans="3:13">
      <c r="C5711" s="94"/>
      <c r="E5711" s="94"/>
      <c r="G5711" s="94"/>
      <c r="I5711" s="94"/>
      <c r="K5711" s="94"/>
      <c r="M5711" s="94"/>
    </row>
    <row r="5712" s="93" customFormat="1" spans="3:13">
      <c r="C5712" s="94"/>
      <c r="E5712" s="94"/>
      <c r="G5712" s="94"/>
      <c r="I5712" s="94"/>
      <c r="K5712" s="94"/>
      <c r="M5712" s="94"/>
    </row>
    <row r="5713" s="93" customFormat="1" spans="3:13">
      <c r="C5713" s="94"/>
      <c r="E5713" s="94"/>
      <c r="G5713" s="94"/>
      <c r="I5713" s="94"/>
      <c r="K5713" s="94"/>
      <c r="M5713" s="94"/>
    </row>
    <row r="5714" s="93" customFormat="1" spans="3:13">
      <c r="C5714" s="94"/>
      <c r="E5714" s="94"/>
      <c r="G5714" s="94"/>
      <c r="I5714" s="94"/>
      <c r="K5714" s="94"/>
      <c r="M5714" s="94"/>
    </row>
    <row r="5715" s="93" customFormat="1" spans="3:13">
      <c r="C5715" s="94"/>
      <c r="E5715" s="94"/>
      <c r="G5715" s="94"/>
      <c r="I5715" s="94"/>
      <c r="K5715" s="94"/>
      <c r="M5715" s="94"/>
    </row>
    <row r="5716" s="93" customFormat="1" spans="3:13">
      <c r="C5716" s="94"/>
      <c r="E5716" s="94"/>
      <c r="G5716" s="94"/>
      <c r="I5716" s="94"/>
      <c r="K5716" s="94"/>
      <c r="M5716" s="94"/>
    </row>
    <row r="5717" s="93" customFormat="1" spans="3:13">
      <c r="C5717" s="94"/>
      <c r="E5717" s="94"/>
      <c r="G5717" s="94"/>
      <c r="I5717" s="94"/>
      <c r="K5717" s="94"/>
      <c r="M5717" s="94"/>
    </row>
    <row r="5718" s="93" customFormat="1" spans="3:13">
      <c r="C5718" s="94"/>
      <c r="E5718" s="94"/>
      <c r="G5718" s="94"/>
      <c r="I5718" s="94"/>
      <c r="K5718" s="94"/>
      <c r="M5718" s="94"/>
    </row>
    <row r="5719" s="93" customFormat="1" spans="3:13">
      <c r="C5719" s="94"/>
      <c r="E5719" s="94"/>
      <c r="G5719" s="94"/>
      <c r="I5719" s="94"/>
      <c r="K5719" s="94"/>
      <c r="M5719" s="94"/>
    </row>
    <row r="5720" s="93" customFormat="1" spans="3:13">
      <c r="C5720" s="94"/>
      <c r="E5720" s="94"/>
      <c r="G5720" s="94"/>
      <c r="I5720" s="94"/>
      <c r="K5720" s="94"/>
      <c r="M5720" s="94"/>
    </row>
    <row r="5721" s="93" customFormat="1" spans="3:13">
      <c r="C5721" s="94"/>
      <c r="E5721" s="94"/>
      <c r="G5721" s="94"/>
      <c r="I5721" s="94"/>
      <c r="K5721" s="94"/>
      <c r="M5721" s="94"/>
    </row>
    <row r="5722" s="93" customFormat="1" spans="3:13">
      <c r="C5722" s="94"/>
      <c r="E5722" s="94"/>
      <c r="G5722" s="94"/>
      <c r="I5722" s="94"/>
      <c r="K5722" s="94"/>
      <c r="M5722" s="94"/>
    </row>
    <row r="5723" s="93" customFormat="1" spans="3:13">
      <c r="C5723" s="94"/>
      <c r="E5723" s="94"/>
      <c r="G5723" s="94"/>
      <c r="I5723" s="94"/>
      <c r="K5723" s="94"/>
      <c r="M5723" s="94"/>
    </row>
    <row r="5724" s="93" customFormat="1" spans="3:13">
      <c r="C5724" s="94"/>
      <c r="E5724" s="94"/>
      <c r="G5724" s="94"/>
      <c r="I5724" s="94"/>
      <c r="K5724" s="94"/>
      <c r="M5724" s="94"/>
    </row>
    <row r="5725" s="93" customFormat="1" spans="3:13">
      <c r="C5725" s="94"/>
      <c r="E5725" s="94"/>
      <c r="G5725" s="94"/>
      <c r="I5725" s="94"/>
      <c r="K5725" s="94"/>
      <c r="M5725" s="94"/>
    </row>
    <row r="5726" s="93" customFormat="1" spans="3:13">
      <c r="C5726" s="94"/>
      <c r="E5726" s="94"/>
      <c r="G5726" s="94"/>
      <c r="I5726" s="94"/>
      <c r="K5726" s="94"/>
      <c r="M5726" s="94"/>
    </row>
    <row r="5727" s="93" customFormat="1" spans="3:13">
      <c r="C5727" s="94"/>
      <c r="E5727" s="94"/>
      <c r="G5727" s="94"/>
      <c r="I5727" s="94"/>
      <c r="K5727" s="94"/>
      <c r="M5727" s="94"/>
    </row>
    <row r="5728" s="93" customFormat="1" spans="3:13">
      <c r="C5728" s="94"/>
      <c r="E5728" s="94"/>
      <c r="G5728" s="94"/>
      <c r="I5728" s="94"/>
      <c r="K5728" s="94"/>
      <c r="M5728" s="94"/>
    </row>
    <row r="5729" s="93" customFormat="1" spans="3:13">
      <c r="C5729" s="94"/>
      <c r="E5729" s="94"/>
      <c r="G5729" s="94"/>
      <c r="I5729" s="94"/>
      <c r="K5729" s="94"/>
      <c r="M5729" s="94"/>
    </row>
    <row r="5730" s="93" customFormat="1" spans="3:13">
      <c r="C5730" s="94"/>
      <c r="E5730" s="94"/>
      <c r="G5730" s="94"/>
      <c r="I5730" s="94"/>
      <c r="K5730" s="94"/>
      <c r="M5730" s="94"/>
    </row>
    <row r="5731" s="93" customFormat="1" spans="3:13">
      <c r="C5731" s="94"/>
      <c r="E5731" s="94"/>
      <c r="G5731" s="94"/>
      <c r="I5731" s="94"/>
      <c r="K5731" s="94"/>
      <c r="M5731" s="94"/>
    </row>
    <row r="5732" s="93" customFormat="1" spans="3:13">
      <c r="C5732" s="94"/>
      <c r="E5732" s="94"/>
      <c r="G5732" s="94"/>
      <c r="I5732" s="94"/>
      <c r="K5732" s="94"/>
      <c r="M5732" s="94"/>
    </row>
    <row r="5733" s="93" customFormat="1" spans="3:13">
      <c r="C5733" s="94"/>
      <c r="E5733" s="94"/>
      <c r="G5733" s="94"/>
      <c r="I5733" s="94"/>
      <c r="K5733" s="94"/>
      <c r="M5733" s="94"/>
    </row>
    <row r="5734" s="93" customFormat="1" spans="3:13">
      <c r="C5734" s="94"/>
      <c r="E5734" s="94"/>
      <c r="G5734" s="94"/>
      <c r="I5734" s="94"/>
      <c r="K5734" s="94"/>
      <c r="M5734" s="94"/>
    </row>
    <row r="5735" s="93" customFormat="1" spans="3:13">
      <c r="C5735" s="94"/>
      <c r="E5735" s="94"/>
      <c r="G5735" s="94"/>
      <c r="I5735" s="94"/>
      <c r="K5735" s="94"/>
      <c r="M5735" s="94"/>
    </row>
    <row r="5736" s="93" customFormat="1" spans="3:13">
      <c r="C5736" s="94"/>
      <c r="E5736" s="94"/>
      <c r="G5736" s="94"/>
      <c r="I5736" s="94"/>
      <c r="K5736" s="94"/>
      <c r="M5736" s="94"/>
    </row>
    <row r="5737" s="93" customFormat="1" spans="3:13">
      <c r="C5737" s="94"/>
      <c r="E5737" s="94"/>
      <c r="G5737" s="94"/>
      <c r="I5737" s="94"/>
      <c r="K5737" s="94"/>
      <c r="M5737" s="94"/>
    </row>
    <row r="5738" s="93" customFormat="1" spans="3:13">
      <c r="C5738" s="94"/>
      <c r="E5738" s="94"/>
      <c r="G5738" s="94"/>
      <c r="I5738" s="94"/>
      <c r="K5738" s="94"/>
      <c r="M5738" s="94"/>
    </row>
    <row r="5739" s="93" customFormat="1" spans="3:13">
      <c r="C5739" s="94"/>
      <c r="E5739" s="94"/>
      <c r="G5739" s="94"/>
      <c r="I5739" s="94"/>
      <c r="K5739" s="94"/>
      <c r="M5739" s="94"/>
    </row>
    <row r="5740" s="93" customFormat="1" spans="3:13">
      <c r="C5740" s="94"/>
      <c r="E5740" s="94"/>
      <c r="G5740" s="94"/>
      <c r="I5740" s="94"/>
      <c r="K5740" s="94"/>
      <c r="M5740" s="94"/>
    </row>
    <row r="5741" s="93" customFormat="1" spans="3:13">
      <c r="C5741" s="94"/>
      <c r="E5741" s="94"/>
      <c r="G5741" s="94"/>
      <c r="I5741" s="94"/>
      <c r="K5741" s="94"/>
      <c r="M5741" s="94"/>
    </row>
    <row r="5742" s="93" customFormat="1" spans="3:13">
      <c r="C5742" s="94"/>
      <c r="E5742" s="94"/>
      <c r="G5742" s="94"/>
      <c r="I5742" s="94"/>
      <c r="K5742" s="94"/>
      <c r="M5742" s="94"/>
    </row>
    <row r="5743" s="93" customFormat="1" spans="3:13">
      <c r="C5743" s="94"/>
      <c r="E5743" s="94"/>
      <c r="G5743" s="94"/>
      <c r="I5743" s="94"/>
      <c r="K5743" s="94"/>
      <c r="M5743" s="94"/>
    </row>
    <row r="5744" s="93" customFormat="1" spans="3:13">
      <c r="C5744" s="94"/>
      <c r="E5744" s="94"/>
      <c r="G5744" s="94"/>
      <c r="I5744" s="94"/>
      <c r="K5744" s="94"/>
      <c r="M5744" s="94"/>
    </row>
    <row r="5745" s="93" customFormat="1" spans="3:13">
      <c r="C5745" s="94"/>
      <c r="E5745" s="94"/>
      <c r="G5745" s="94"/>
      <c r="I5745" s="94"/>
      <c r="K5745" s="94"/>
      <c r="M5745" s="94"/>
    </row>
    <row r="5746" s="93" customFormat="1" spans="3:13">
      <c r="C5746" s="94"/>
      <c r="E5746" s="94"/>
      <c r="G5746" s="94"/>
      <c r="I5746" s="94"/>
      <c r="K5746" s="94"/>
      <c r="M5746" s="94"/>
    </row>
    <row r="5747" s="93" customFormat="1" spans="3:13">
      <c r="C5747" s="94"/>
      <c r="E5747" s="94"/>
      <c r="G5747" s="94"/>
      <c r="I5747" s="94"/>
      <c r="K5747" s="94"/>
      <c r="M5747" s="94"/>
    </row>
    <row r="5748" s="93" customFormat="1" spans="3:13">
      <c r="C5748" s="94"/>
      <c r="E5748" s="94"/>
      <c r="G5748" s="94"/>
      <c r="I5748" s="94"/>
      <c r="K5748" s="94"/>
      <c r="M5748" s="94"/>
    </row>
    <row r="5749" s="93" customFormat="1" spans="3:13">
      <c r="C5749" s="94"/>
      <c r="E5749" s="94"/>
      <c r="G5749" s="94"/>
      <c r="I5749" s="94"/>
      <c r="K5749" s="94"/>
      <c r="M5749" s="94"/>
    </row>
    <row r="5750" s="93" customFormat="1" spans="3:13">
      <c r="C5750" s="94"/>
      <c r="E5750" s="94"/>
      <c r="G5750" s="94"/>
      <c r="I5750" s="94"/>
      <c r="K5750" s="94"/>
      <c r="M5750" s="94"/>
    </row>
    <row r="5751" s="93" customFormat="1" spans="3:13">
      <c r="C5751" s="94"/>
      <c r="E5751" s="94"/>
      <c r="G5751" s="94"/>
      <c r="I5751" s="94"/>
      <c r="K5751" s="94"/>
      <c r="M5751" s="94"/>
    </row>
    <row r="5752" s="93" customFormat="1" spans="3:13">
      <c r="C5752" s="94"/>
      <c r="E5752" s="94"/>
      <c r="G5752" s="94"/>
      <c r="I5752" s="94"/>
      <c r="K5752" s="94"/>
      <c r="M5752" s="94"/>
    </row>
    <row r="5753" s="93" customFormat="1" spans="3:13">
      <c r="C5753" s="94"/>
      <c r="E5753" s="94"/>
      <c r="G5753" s="94"/>
      <c r="I5753" s="94"/>
      <c r="K5753" s="94"/>
      <c r="M5753" s="94"/>
    </row>
    <row r="5754" s="93" customFormat="1" spans="3:13">
      <c r="C5754" s="94"/>
      <c r="E5754" s="94"/>
      <c r="G5754" s="94"/>
      <c r="I5754" s="94"/>
      <c r="K5754" s="94"/>
      <c r="M5754" s="94"/>
    </row>
    <row r="5755" s="93" customFormat="1" spans="3:13">
      <c r="C5755" s="94"/>
      <c r="E5755" s="94"/>
      <c r="G5755" s="94"/>
      <c r="I5755" s="94"/>
      <c r="K5755" s="94"/>
      <c r="M5755" s="94"/>
    </row>
    <row r="5756" s="93" customFormat="1" spans="3:13">
      <c r="C5756" s="94"/>
      <c r="E5756" s="94"/>
      <c r="G5756" s="94"/>
      <c r="I5756" s="94"/>
      <c r="K5756" s="94"/>
      <c r="M5756" s="94"/>
    </row>
    <row r="5757" s="93" customFormat="1" spans="3:13">
      <c r="C5757" s="94"/>
      <c r="E5757" s="94"/>
      <c r="G5757" s="94"/>
      <c r="I5757" s="94"/>
      <c r="K5757" s="94"/>
      <c r="M5757" s="94"/>
    </row>
    <row r="5758" s="93" customFormat="1" spans="3:13">
      <c r="C5758" s="94"/>
      <c r="E5758" s="94"/>
      <c r="G5758" s="94"/>
      <c r="I5758" s="94"/>
      <c r="K5758" s="94"/>
      <c r="M5758" s="94"/>
    </row>
    <row r="5759" s="93" customFormat="1" spans="3:13">
      <c r="C5759" s="94"/>
      <c r="E5759" s="94"/>
      <c r="G5759" s="94"/>
      <c r="I5759" s="94"/>
      <c r="K5759" s="94"/>
      <c r="M5759" s="94"/>
    </row>
    <row r="5760" s="93" customFormat="1" spans="3:13">
      <c r="C5760" s="94"/>
      <c r="E5760" s="94"/>
      <c r="G5760" s="94"/>
      <c r="I5760" s="94"/>
      <c r="K5760" s="94"/>
      <c r="M5760" s="94"/>
    </row>
    <row r="5761" s="93" customFormat="1" spans="3:13">
      <c r="C5761" s="94"/>
      <c r="E5761" s="94"/>
      <c r="G5761" s="94"/>
      <c r="I5761" s="94"/>
      <c r="K5761" s="94"/>
      <c r="M5761" s="94"/>
    </row>
    <row r="5762" s="93" customFormat="1" spans="3:13">
      <c r="C5762" s="94"/>
      <c r="E5762" s="94"/>
      <c r="G5762" s="94"/>
      <c r="I5762" s="94"/>
      <c r="K5762" s="94"/>
      <c r="M5762" s="94"/>
    </row>
    <row r="5763" s="93" customFormat="1" spans="3:13">
      <c r="C5763" s="94"/>
      <c r="E5763" s="94"/>
      <c r="G5763" s="94"/>
      <c r="I5763" s="94"/>
      <c r="K5763" s="94"/>
      <c r="M5763" s="94"/>
    </row>
    <row r="5764" s="93" customFormat="1" spans="3:13">
      <c r="C5764" s="94"/>
      <c r="E5764" s="94"/>
      <c r="G5764" s="94"/>
      <c r="I5764" s="94"/>
      <c r="K5764" s="94"/>
      <c r="M5764" s="94"/>
    </row>
    <row r="5765" s="93" customFormat="1" spans="3:13">
      <c r="C5765" s="94"/>
      <c r="E5765" s="94"/>
      <c r="G5765" s="94"/>
      <c r="I5765" s="94"/>
      <c r="K5765" s="94"/>
      <c r="M5765" s="94"/>
    </row>
    <row r="5766" s="93" customFormat="1" spans="3:13">
      <c r="C5766" s="94"/>
      <c r="E5766" s="94"/>
      <c r="G5766" s="94"/>
      <c r="I5766" s="94"/>
      <c r="K5766" s="94"/>
      <c r="M5766" s="94"/>
    </row>
    <row r="5767" s="93" customFormat="1" spans="3:13">
      <c r="C5767" s="94"/>
      <c r="E5767" s="94"/>
      <c r="G5767" s="94"/>
      <c r="I5767" s="94"/>
      <c r="K5767" s="94"/>
      <c r="M5767" s="94"/>
    </row>
    <row r="5768" s="93" customFormat="1" spans="3:13">
      <c r="C5768" s="94"/>
      <c r="E5768" s="94"/>
      <c r="G5768" s="94"/>
      <c r="I5768" s="94"/>
      <c r="K5768" s="94"/>
      <c r="M5768" s="94"/>
    </row>
    <row r="5769" s="93" customFormat="1" spans="3:13">
      <c r="C5769" s="94"/>
      <c r="E5769" s="94"/>
      <c r="G5769" s="94"/>
      <c r="I5769" s="94"/>
      <c r="K5769" s="94"/>
      <c r="M5769" s="94"/>
    </row>
    <row r="5770" s="93" customFormat="1" spans="3:13">
      <c r="C5770" s="94"/>
      <c r="E5770" s="94"/>
      <c r="G5770" s="94"/>
      <c r="I5770" s="94"/>
      <c r="K5770" s="94"/>
      <c r="M5770" s="94"/>
    </row>
    <row r="5771" s="93" customFormat="1" spans="3:13">
      <c r="C5771" s="94"/>
      <c r="E5771" s="94"/>
      <c r="G5771" s="94"/>
      <c r="I5771" s="94"/>
      <c r="K5771" s="94"/>
      <c r="M5771" s="94"/>
    </row>
    <row r="5772" s="93" customFormat="1" spans="3:13">
      <c r="C5772" s="94"/>
      <c r="E5772" s="94"/>
      <c r="G5772" s="94"/>
      <c r="I5772" s="94"/>
      <c r="K5772" s="94"/>
      <c r="M5772" s="94"/>
    </row>
    <row r="5773" s="93" customFormat="1" spans="3:13">
      <c r="C5773" s="94"/>
      <c r="E5773" s="94"/>
      <c r="G5773" s="94"/>
      <c r="I5773" s="94"/>
      <c r="K5773" s="94"/>
      <c r="M5773" s="94"/>
    </row>
    <row r="5774" s="93" customFormat="1" spans="3:13">
      <c r="C5774" s="94"/>
      <c r="E5774" s="94"/>
      <c r="G5774" s="94"/>
      <c r="I5774" s="94"/>
      <c r="K5774" s="94"/>
      <c r="M5774" s="94"/>
    </row>
    <row r="5775" s="93" customFormat="1" spans="3:13">
      <c r="C5775" s="94"/>
      <c r="E5775" s="94"/>
      <c r="G5775" s="94"/>
      <c r="I5775" s="94"/>
      <c r="K5775" s="94"/>
      <c r="M5775" s="94"/>
    </row>
    <row r="5776" s="93" customFormat="1" spans="3:13">
      <c r="C5776" s="94"/>
      <c r="E5776" s="94"/>
      <c r="G5776" s="94"/>
      <c r="I5776" s="94"/>
      <c r="K5776" s="94"/>
      <c r="M5776" s="94"/>
    </row>
    <row r="5777" s="93" customFormat="1" spans="3:13">
      <c r="C5777" s="94"/>
      <c r="E5777" s="94"/>
      <c r="G5777" s="94"/>
      <c r="I5777" s="94"/>
      <c r="K5777" s="94"/>
      <c r="M5777" s="94"/>
    </row>
    <row r="5778" s="93" customFormat="1" spans="3:13">
      <c r="C5778" s="94"/>
      <c r="E5778" s="94"/>
      <c r="G5778" s="94"/>
      <c r="I5778" s="94"/>
      <c r="K5778" s="94"/>
      <c r="M5778" s="94"/>
    </row>
    <row r="5779" s="93" customFormat="1" spans="3:13">
      <c r="C5779" s="94"/>
      <c r="E5779" s="94"/>
      <c r="G5779" s="94"/>
      <c r="I5779" s="94"/>
      <c r="K5779" s="94"/>
      <c r="M5779" s="94"/>
    </row>
    <row r="5780" s="93" customFormat="1" spans="3:13">
      <c r="C5780" s="94"/>
      <c r="E5780" s="94"/>
      <c r="G5780" s="94"/>
      <c r="I5780" s="94"/>
      <c r="K5780" s="94"/>
      <c r="M5780" s="94"/>
    </row>
    <row r="5781" s="93" customFormat="1" spans="3:13">
      <c r="C5781" s="94"/>
      <c r="E5781" s="94"/>
      <c r="G5781" s="94"/>
      <c r="I5781" s="94"/>
      <c r="K5781" s="94"/>
      <c r="M5781" s="94"/>
    </row>
    <row r="5782" s="93" customFormat="1" spans="3:13">
      <c r="C5782" s="94"/>
      <c r="E5782" s="94"/>
      <c r="G5782" s="94"/>
      <c r="I5782" s="94"/>
      <c r="K5782" s="94"/>
      <c r="M5782" s="94"/>
    </row>
    <row r="5783" s="93" customFormat="1" spans="3:13">
      <c r="C5783" s="94"/>
      <c r="E5783" s="94"/>
      <c r="G5783" s="94"/>
      <c r="I5783" s="94"/>
      <c r="K5783" s="94"/>
      <c r="M5783" s="94"/>
    </row>
    <row r="5784" s="93" customFormat="1" spans="3:13">
      <c r="C5784" s="94"/>
      <c r="E5784" s="94"/>
      <c r="G5784" s="94"/>
      <c r="I5784" s="94"/>
      <c r="K5784" s="94"/>
      <c r="M5784" s="94"/>
    </row>
    <row r="5785" s="93" customFormat="1" spans="3:13">
      <c r="C5785" s="94"/>
      <c r="E5785" s="94"/>
      <c r="G5785" s="94"/>
      <c r="I5785" s="94"/>
      <c r="K5785" s="94"/>
      <c r="M5785" s="94"/>
    </row>
    <row r="5786" s="93" customFormat="1" spans="3:13">
      <c r="C5786" s="94"/>
      <c r="E5786" s="94"/>
      <c r="G5786" s="94"/>
      <c r="I5786" s="94"/>
      <c r="K5786" s="94"/>
      <c r="M5786" s="94"/>
    </row>
    <row r="5787" s="93" customFormat="1" spans="3:13">
      <c r="C5787" s="94"/>
      <c r="E5787" s="94"/>
      <c r="G5787" s="94"/>
      <c r="I5787" s="94"/>
      <c r="K5787" s="94"/>
      <c r="M5787" s="94"/>
    </row>
    <row r="5788" s="93" customFormat="1" spans="3:13">
      <c r="C5788" s="94"/>
      <c r="E5788" s="94"/>
      <c r="G5788" s="94"/>
      <c r="I5788" s="94"/>
      <c r="K5788" s="94"/>
      <c r="M5788" s="94"/>
    </row>
    <row r="5789" s="93" customFormat="1" spans="3:13">
      <c r="C5789" s="94"/>
      <c r="E5789" s="94"/>
      <c r="G5789" s="94"/>
      <c r="I5789" s="94"/>
      <c r="K5789" s="94"/>
      <c r="M5789" s="94"/>
    </row>
    <row r="5790" s="93" customFormat="1" spans="3:13">
      <c r="C5790" s="94"/>
      <c r="E5790" s="94"/>
      <c r="G5790" s="94"/>
      <c r="I5790" s="94"/>
      <c r="K5790" s="94"/>
      <c r="M5790" s="94"/>
    </row>
    <row r="5791" s="93" customFormat="1" spans="3:13">
      <c r="C5791" s="94"/>
      <c r="E5791" s="94"/>
      <c r="G5791" s="94"/>
      <c r="I5791" s="94"/>
      <c r="K5791" s="94"/>
      <c r="M5791" s="94"/>
    </row>
    <row r="5792" s="93" customFormat="1" spans="3:13">
      <c r="C5792" s="94"/>
      <c r="E5792" s="94"/>
      <c r="G5792" s="94"/>
      <c r="I5792" s="94"/>
      <c r="K5792" s="94"/>
      <c r="M5792" s="94"/>
    </row>
    <row r="5793" s="93" customFormat="1" spans="3:13">
      <c r="C5793" s="94"/>
      <c r="E5793" s="94"/>
      <c r="G5793" s="94"/>
      <c r="I5793" s="94"/>
      <c r="K5793" s="94"/>
      <c r="M5793" s="94"/>
    </row>
    <row r="5794" s="93" customFormat="1" spans="3:13">
      <c r="C5794" s="94"/>
      <c r="E5794" s="94"/>
      <c r="G5794" s="94"/>
      <c r="I5794" s="94"/>
      <c r="K5794" s="94"/>
      <c r="M5794" s="94"/>
    </row>
    <row r="5795" s="93" customFormat="1" spans="3:13">
      <c r="C5795" s="94"/>
      <c r="E5795" s="94"/>
      <c r="G5795" s="94"/>
      <c r="I5795" s="94"/>
      <c r="K5795" s="94"/>
      <c r="M5795" s="94"/>
    </row>
    <row r="5796" s="93" customFormat="1" spans="3:13">
      <c r="C5796" s="94"/>
      <c r="E5796" s="94"/>
      <c r="G5796" s="94"/>
      <c r="I5796" s="94"/>
      <c r="K5796" s="94"/>
      <c r="M5796" s="94"/>
    </row>
    <row r="5797" s="93" customFormat="1" spans="3:13">
      <c r="C5797" s="94"/>
      <c r="E5797" s="94"/>
      <c r="G5797" s="94"/>
      <c r="I5797" s="94"/>
      <c r="K5797" s="94"/>
      <c r="M5797" s="94"/>
    </row>
    <row r="5798" s="93" customFormat="1" spans="3:13">
      <c r="C5798" s="94"/>
      <c r="E5798" s="94"/>
      <c r="G5798" s="94"/>
      <c r="I5798" s="94"/>
      <c r="K5798" s="94"/>
      <c r="M5798" s="94"/>
    </row>
    <row r="5799" s="93" customFormat="1" spans="3:13">
      <c r="C5799" s="94"/>
      <c r="E5799" s="94"/>
      <c r="G5799" s="94"/>
      <c r="I5799" s="94"/>
      <c r="K5799" s="94"/>
      <c r="M5799" s="94"/>
    </row>
    <row r="5800" s="93" customFormat="1" spans="3:13">
      <c r="C5800" s="94"/>
      <c r="E5800" s="94"/>
      <c r="G5800" s="94"/>
      <c r="I5800" s="94"/>
      <c r="K5800" s="94"/>
      <c r="M5800" s="94"/>
    </row>
    <row r="5801" s="93" customFormat="1" spans="3:13">
      <c r="C5801" s="94"/>
      <c r="E5801" s="94"/>
      <c r="G5801" s="94"/>
      <c r="I5801" s="94"/>
      <c r="K5801" s="94"/>
      <c r="M5801" s="94"/>
    </row>
    <row r="5802" s="93" customFormat="1" spans="3:13">
      <c r="C5802" s="94"/>
      <c r="E5802" s="94"/>
      <c r="G5802" s="94"/>
      <c r="I5802" s="94"/>
      <c r="K5802" s="94"/>
      <c r="M5802" s="94"/>
    </row>
    <row r="5803" s="93" customFormat="1" spans="3:13">
      <c r="C5803" s="94"/>
      <c r="E5803" s="94"/>
      <c r="G5803" s="94"/>
      <c r="I5803" s="94"/>
      <c r="K5803" s="94"/>
      <c r="M5803" s="94"/>
    </row>
    <row r="5804" s="93" customFormat="1" spans="3:13">
      <c r="C5804" s="94"/>
      <c r="E5804" s="94"/>
      <c r="G5804" s="94"/>
      <c r="I5804" s="94"/>
      <c r="K5804" s="94"/>
      <c r="M5804" s="94"/>
    </row>
    <row r="5805" s="93" customFormat="1" spans="3:13">
      <c r="C5805" s="94"/>
      <c r="E5805" s="94"/>
      <c r="G5805" s="94"/>
      <c r="I5805" s="94"/>
      <c r="K5805" s="94"/>
      <c r="M5805" s="94"/>
    </row>
    <row r="5806" s="93" customFormat="1" spans="3:13">
      <c r="C5806" s="94"/>
      <c r="E5806" s="94"/>
      <c r="G5806" s="94"/>
      <c r="I5806" s="94"/>
      <c r="K5806" s="94"/>
      <c r="M5806" s="94"/>
    </row>
    <row r="5807" s="93" customFormat="1" spans="3:13">
      <c r="C5807" s="94"/>
      <c r="E5807" s="94"/>
      <c r="G5807" s="94"/>
      <c r="I5807" s="94"/>
      <c r="K5807" s="94"/>
      <c r="M5807" s="94"/>
    </row>
    <row r="5808" s="93" customFormat="1" spans="3:13">
      <c r="C5808" s="94"/>
      <c r="E5808" s="94"/>
      <c r="G5808" s="94"/>
      <c r="I5808" s="94"/>
      <c r="K5808" s="94"/>
      <c r="M5808" s="94"/>
    </row>
    <row r="5809" s="93" customFormat="1" spans="3:13">
      <c r="C5809" s="94"/>
      <c r="E5809" s="94"/>
      <c r="G5809" s="94"/>
      <c r="I5809" s="94"/>
      <c r="K5809" s="94"/>
      <c r="M5809" s="94"/>
    </row>
    <row r="5810" s="93" customFormat="1" spans="3:13">
      <c r="C5810" s="94"/>
      <c r="E5810" s="94"/>
      <c r="G5810" s="94"/>
      <c r="I5810" s="94"/>
      <c r="K5810" s="94"/>
      <c r="M5810" s="94"/>
    </row>
    <row r="5811" s="93" customFormat="1" spans="3:13">
      <c r="C5811" s="94"/>
      <c r="E5811" s="94"/>
      <c r="G5811" s="94"/>
      <c r="I5811" s="94"/>
      <c r="K5811" s="94"/>
      <c r="M5811" s="94"/>
    </row>
    <row r="5812" s="93" customFormat="1" spans="3:13">
      <c r="C5812" s="94"/>
      <c r="E5812" s="94"/>
      <c r="G5812" s="94"/>
      <c r="I5812" s="94"/>
      <c r="K5812" s="94"/>
      <c r="M5812" s="94"/>
    </row>
    <row r="5813" s="93" customFormat="1" spans="3:13">
      <c r="C5813" s="94"/>
      <c r="E5813" s="94"/>
      <c r="G5813" s="94"/>
      <c r="I5813" s="94"/>
      <c r="K5813" s="94"/>
      <c r="M5813" s="94"/>
    </row>
    <row r="5814" s="93" customFormat="1" spans="3:13">
      <c r="C5814" s="94"/>
      <c r="E5814" s="94"/>
      <c r="G5814" s="94"/>
      <c r="I5814" s="94"/>
      <c r="K5814" s="94"/>
      <c r="M5814" s="94"/>
    </row>
    <row r="5815" s="93" customFormat="1" spans="3:13">
      <c r="C5815" s="94"/>
      <c r="E5815" s="94"/>
      <c r="G5815" s="94"/>
      <c r="I5815" s="94"/>
      <c r="K5815" s="94"/>
      <c r="M5815" s="94"/>
    </row>
    <row r="5816" s="93" customFormat="1" spans="3:13">
      <c r="C5816" s="94"/>
      <c r="E5816" s="94"/>
      <c r="G5816" s="94"/>
      <c r="I5816" s="94"/>
      <c r="K5816" s="94"/>
      <c r="M5816" s="94"/>
    </row>
    <row r="5817" s="93" customFormat="1" spans="3:13">
      <c r="C5817" s="94"/>
      <c r="E5817" s="94"/>
      <c r="G5817" s="94"/>
      <c r="I5817" s="94"/>
      <c r="K5817" s="94"/>
      <c r="M5817" s="94"/>
    </row>
    <row r="5818" s="93" customFormat="1" spans="3:13">
      <c r="C5818" s="94"/>
      <c r="E5818" s="94"/>
      <c r="G5818" s="94"/>
      <c r="I5818" s="94"/>
      <c r="K5818" s="94"/>
      <c r="M5818" s="94"/>
    </row>
    <row r="5819" s="93" customFormat="1" spans="3:13">
      <c r="C5819" s="94"/>
      <c r="E5819" s="94"/>
      <c r="G5819" s="94"/>
      <c r="I5819" s="94"/>
      <c r="K5819" s="94"/>
      <c r="M5819" s="94"/>
    </row>
    <row r="5820" s="93" customFormat="1" spans="3:13">
      <c r="C5820" s="94"/>
      <c r="E5820" s="94"/>
      <c r="G5820" s="94"/>
      <c r="I5820" s="94"/>
      <c r="K5820" s="94"/>
      <c r="M5820" s="94"/>
    </row>
    <row r="5821" s="93" customFormat="1" spans="3:13">
      <c r="C5821" s="94"/>
      <c r="E5821" s="94"/>
      <c r="G5821" s="94"/>
      <c r="I5821" s="94"/>
      <c r="K5821" s="94"/>
      <c r="M5821" s="94"/>
    </row>
    <row r="5822" s="93" customFormat="1" spans="3:13">
      <c r="C5822" s="94"/>
      <c r="E5822" s="94"/>
      <c r="G5822" s="94"/>
      <c r="I5822" s="94"/>
      <c r="K5822" s="94"/>
      <c r="M5822" s="94"/>
    </row>
    <row r="5823" s="93" customFormat="1" spans="3:13">
      <c r="C5823" s="94"/>
      <c r="E5823" s="94"/>
      <c r="G5823" s="94"/>
      <c r="I5823" s="94"/>
      <c r="K5823" s="94"/>
      <c r="M5823" s="94"/>
    </row>
    <row r="5824" s="93" customFormat="1" spans="3:13">
      <c r="C5824" s="94"/>
      <c r="E5824" s="94"/>
      <c r="G5824" s="94"/>
      <c r="I5824" s="94"/>
      <c r="K5824" s="94"/>
      <c r="M5824" s="94"/>
    </row>
    <row r="5825" s="93" customFormat="1" spans="3:13">
      <c r="C5825" s="94"/>
      <c r="E5825" s="94"/>
      <c r="G5825" s="94"/>
      <c r="I5825" s="94"/>
      <c r="K5825" s="94"/>
      <c r="M5825" s="94"/>
    </row>
    <row r="5826" s="93" customFormat="1" spans="3:13">
      <c r="C5826" s="94"/>
      <c r="E5826" s="94"/>
      <c r="G5826" s="94"/>
      <c r="I5826" s="94"/>
      <c r="K5826" s="94"/>
      <c r="M5826" s="94"/>
    </row>
    <row r="5827" s="93" customFormat="1" spans="3:13">
      <c r="C5827" s="94"/>
      <c r="E5827" s="94"/>
      <c r="G5827" s="94"/>
      <c r="I5827" s="94"/>
      <c r="K5827" s="94"/>
      <c r="M5827" s="94"/>
    </row>
    <row r="5828" s="93" customFormat="1" spans="3:13">
      <c r="C5828" s="94"/>
      <c r="E5828" s="94"/>
      <c r="G5828" s="94"/>
      <c r="I5828" s="94"/>
      <c r="K5828" s="94"/>
      <c r="M5828" s="94"/>
    </row>
    <row r="5829" s="93" customFormat="1" spans="3:13">
      <c r="C5829" s="94"/>
      <c r="E5829" s="94"/>
      <c r="G5829" s="94"/>
      <c r="I5829" s="94"/>
      <c r="K5829" s="94"/>
      <c r="M5829" s="94"/>
    </row>
    <row r="5830" s="93" customFormat="1" spans="3:13">
      <c r="C5830" s="94"/>
      <c r="E5830" s="94"/>
      <c r="G5830" s="94"/>
      <c r="I5830" s="94"/>
      <c r="K5830" s="94"/>
      <c r="M5830" s="94"/>
    </row>
    <row r="5831" s="93" customFormat="1" spans="3:13">
      <c r="C5831" s="94"/>
      <c r="E5831" s="94"/>
      <c r="G5831" s="94"/>
      <c r="I5831" s="94"/>
      <c r="K5831" s="94"/>
      <c r="M5831" s="94"/>
    </row>
    <row r="5832" s="93" customFormat="1" spans="3:13">
      <c r="C5832" s="94"/>
      <c r="E5832" s="94"/>
      <c r="G5832" s="94"/>
      <c r="I5832" s="94"/>
      <c r="K5832" s="94"/>
      <c r="M5832" s="94"/>
    </row>
    <row r="5833" s="93" customFormat="1" spans="3:13">
      <c r="C5833" s="94"/>
      <c r="E5833" s="94"/>
      <c r="G5833" s="94"/>
      <c r="I5833" s="94"/>
      <c r="K5833" s="94"/>
      <c r="M5833" s="94"/>
    </row>
    <row r="5834" s="93" customFormat="1" spans="3:13">
      <c r="C5834" s="94"/>
      <c r="E5834" s="94"/>
      <c r="G5834" s="94"/>
      <c r="I5834" s="94"/>
      <c r="K5834" s="94"/>
      <c r="M5834" s="94"/>
    </row>
    <row r="5835" s="93" customFormat="1" spans="3:13">
      <c r="C5835" s="94"/>
      <c r="E5835" s="94"/>
      <c r="G5835" s="94"/>
      <c r="I5835" s="94"/>
      <c r="K5835" s="94"/>
      <c r="M5835" s="94"/>
    </row>
    <row r="5836" s="93" customFormat="1" spans="3:13">
      <c r="C5836" s="94"/>
      <c r="E5836" s="94"/>
      <c r="G5836" s="94"/>
      <c r="I5836" s="94"/>
      <c r="K5836" s="94"/>
      <c r="M5836" s="94"/>
    </row>
    <row r="5837" s="93" customFormat="1" spans="3:13">
      <c r="C5837" s="94"/>
      <c r="E5837" s="94"/>
      <c r="G5837" s="94"/>
      <c r="I5837" s="94"/>
      <c r="K5837" s="94"/>
      <c r="M5837" s="94"/>
    </row>
    <row r="5838" s="93" customFormat="1" spans="3:13">
      <c r="C5838" s="94"/>
      <c r="E5838" s="94"/>
      <c r="G5838" s="94"/>
      <c r="I5838" s="94"/>
      <c r="K5838" s="94"/>
      <c r="M5838" s="94"/>
    </row>
    <row r="5839" s="93" customFormat="1" spans="3:13">
      <c r="C5839" s="94"/>
      <c r="E5839" s="94"/>
      <c r="G5839" s="94"/>
      <c r="I5839" s="94"/>
      <c r="K5839" s="94"/>
      <c r="M5839" s="94"/>
    </row>
    <row r="5840" s="93" customFormat="1" spans="3:13">
      <c r="C5840" s="94"/>
      <c r="E5840" s="94"/>
      <c r="G5840" s="94"/>
      <c r="I5840" s="94"/>
      <c r="K5840" s="94"/>
      <c r="M5840" s="94"/>
    </row>
    <row r="5841" s="93" customFormat="1" spans="3:13">
      <c r="C5841" s="94"/>
      <c r="E5841" s="94"/>
      <c r="G5841" s="94"/>
      <c r="I5841" s="94"/>
      <c r="K5841" s="94"/>
      <c r="M5841" s="94"/>
    </row>
    <row r="5842" s="93" customFormat="1" spans="3:13">
      <c r="C5842" s="94"/>
      <c r="E5842" s="94"/>
      <c r="G5842" s="94"/>
      <c r="I5842" s="94"/>
      <c r="K5842" s="94"/>
      <c r="M5842" s="94"/>
    </row>
    <row r="5843" s="93" customFormat="1" spans="3:13">
      <c r="C5843" s="94"/>
      <c r="E5843" s="94"/>
      <c r="G5843" s="94"/>
      <c r="I5843" s="94"/>
      <c r="K5843" s="94"/>
      <c r="M5843" s="94"/>
    </row>
    <row r="5844" s="93" customFormat="1" spans="3:13">
      <c r="C5844" s="94"/>
      <c r="E5844" s="94"/>
      <c r="G5844" s="94"/>
      <c r="I5844" s="94"/>
      <c r="K5844" s="94"/>
      <c r="M5844" s="94"/>
    </row>
    <row r="5845" s="93" customFormat="1" spans="3:13">
      <c r="C5845" s="94"/>
      <c r="E5845" s="94"/>
      <c r="G5845" s="94"/>
      <c r="I5845" s="94"/>
      <c r="K5845" s="94"/>
      <c r="M5845" s="94"/>
    </row>
    <row r="5846" s="93" customFormat="1" spans="3:13">
      <c r="C5846" s="94"/>
      <c r="E5846" s="94"/>
      <c r="G5846" s="94"/>
      <c r="I5846" s="94"/>
      <c r="K5846" s="94"/>
      <c r="M5846" s="94"/>
    </row>
    <row r="5847" s="93" customFormat="1" spans="3:13">
      <c r="C5847" s="94"/>
      <c r="E5847" s="94"/>
      <c r="G5847" s="94"/>
      <c r="I5847" s="94"/>
      <c r="K5847" s="94"/>
      <c r="M5847" s="94"/>
    </row>
    <row r="5848" s="93" customFormat="1" spans="3:13">
      <c r="C5848" s="94"/>
      <c r="E5848" s="94"/>
      <c r="G5848" s="94"/>
      <c r="I5848" s="94"/>
      <c r="K5848" s="94"/>
      <c r="M5848" s="94"/>
    </row>
    <row r="5849" s="93" customFormat="1" spans="3:13">
      <c r="C5849" s="94"/>
      <c r="E5849" s="94"/>
      <c r="G5849" s="94"/>
      <c r="I5849" s="94"/>
      <c r="K5849" s="94"/>
      <c r="M5849" s="94"/>
    </row>
    <row r="5850" s="93" customFormat="1" spans="3:13">
      <c r="C5850" s="94"/>
      <c r="E5850" s="94"/>
      <c r="G5850" s="94"/>
      <c r="I5850" s="94"/>
      <c r="K5850" s="94"/>
      <c r="M5850" s="94"/>
    </row>
    <row r="5851" s="93" customFormat="1" spans="3:13">
      <c r="C5851" s="94"/>
      <c r="E5851" s="94"/>
      <c r="G5851" s="94"/>
      <c r="I5851" s="94"/>
      <c r="K5851" s="94"/>
      <c r="M5851" s="94"/>
    </row>
    <row r="5852" s="93" customFormat="1" spans="3:13">
      <c r="C5852" s="94"/>
      <c r="E5852" s="94"/>
      <c r="G5852" s="94"/>
      <c r="I5852" s="94"/>
      <c r="K5852" s="94"/>
      <c r="M5852" s="94"/>
    </row>
    <row r="5853" s="93" customFormat="1" spans="3:13">
      <c r="C5853" s="94"/>
      <c r="E5853" s="94"/>
      <c r="G5853" s="94"/>
      <c r="I5853" s="94"/>
      <c r="K5853" s="94"/>
      <c r="M5853" s="94"/>
    </row>
    <row r="5854" s="93" customFormat="1" spans="3:13">
      <c r="C5854" s="94"/>
      <c r="E5854" s="94"/>
      <c r="G5854" s="94"/>
      <c r="I5854" s="94"/>
      <c r="K5854" s="94"/>
      <c r="M5854" s="94"/>
    </row>
    <row r="5855" s="93" customFormat="1" spans="3:13">
      <c r="C5855" s="94"/>
      <c r="E5855" s="94"/>
      <c r="G5855" s="94"/>
      <c r="I5855" s="94"/>
      <c r="K5855" s="94"/>
      <c r="M5855" s="94"/>
    </row>
    <row r="5856" s="93" customFormat="1" spans="3:13">
      <c r="C5856" s="94"/>
      <c r="E5856" s="94"/>
      <c r="G5856" s="94"/>
      <c r="I5856" s="94"/>
      <c r="K5856" s="94"/>
      <c r="M5856" s="94"/>
    </row>
    <row r="5857" s="93" customFormat="1" spans="3:13">
      <c r="C5857" s="94"/>
      <c r="E5857" s="94"/>
      <c r="G5857" s="94"/>
      <c r="I5857" s="94"/>
      <c r="K5857" s="94"/>
      <c r="M5857" s="94"/>
    </row>
    <row r="5858" s="93" customFormat="1" spans="3:13">
      <c r="C5858" s="94"/>
      <c r="E5858" s="94"/>
      <c r="G5858" s="94"/>
      <c r="I5858" s="94"/>
      <c r="K5858" s="94"/>
      <c r="M5858" s="94"/>
    </row>
    <row r="5859" s="93" customFormat="1" spans="3:13">
      <c r="C5859" s="94"/>
      <c r="E5859" s="94"/>
      <c r="G5859" s="94"/>
      <c r="I5859" s="94"/>
      <c r="K5859" s="94"/>
      <c r="M5859" s="94"/>
    </row>
    <row r="5860" s="93" customFormat="1" spans="3:13">
      <c r="C5860" s="94"/>
      <c r="E5860" s="94"/>
      <c r="G5860" s="94"/>
      <c r="I5860" s="94"/>
      <c r="K5860" s="94"/>
      <c r="M5860" s="94"/>
    </row>
    <row r="5861" s="93" customFormat="1" spans="3:13">
      <c r="C5861" s="94"/>
      <c r="E5861" s="94"/>
      <c r="G5861" s="94"/>
      <c r="I5861" s="94"/>
      <c r="K5861" s="94"/>
      <c r="M5861" s="94"/>
    </row>
    <row r="5862" s="93" customFormat="1" spans="3:13">
      <c r="C5862" s="94"/>
      <c r="E5862" s="94"/>
      <c r="G5862" s="94"/>
      <c r="I5862" s="94"/>
      <c r="K5862" s="94"/>
      <c r="M5862" s="94"/>
    </row>
    <row r="5863" s="93" customFormat="1" spans="3:13">
      <c r="C5863" s="94"/>
      <c r="E5863" s="94"/>
      <c r="G5863" s="94"/>
      <c r="I5863" s="94"/>
      <c r="K5863" s="94"/>
      <c r="M5863" s="94"/>
    </row>
    <row r="5864" s="93" customFormat="1" spans="3:13">
      <c r="C5864" s="94"/>
      <c r="E5864" s="94"/>
      <c r="G5864" s="94"/>
      <c r="I5864" s="94"/>
      <c r="K5864" s="94"/>
      <c r="M5864" s="94"/>
    </row>
    <row r="5865" s="93" customFormat="1" spans="3:13">
      <c r="C5865" s="94"/>
      <c r="E5865" s="94"/>
      <c r="G5865" s="94"/>
      <c r="I5865" s="94"/>
      <c r="K5865" s="94"/>
      <c r="M5865" s="94"/>
    </row>
    <row r="5866" s="93" customFormat="1" spans="3:13">
      <c r="C5866" s="94"/>
      <c r="E5866" s="94"/>
      <c r="G5866" s="94"/>
      <c r="I5866" s="94"/>
      <c r="K5866" s="94"/>
      <c r="M5866" s="94"/>
    </row>
    <row r="5867" s="93" customFormat="1" spans="3:13">
      <c r="C5867" s="94"/>
      <c r="E5867" s="94"/>
      <c r="G5867" s="94"/>
      <c r="I5867" s="94"/>
      <c r="K5867" s="94"/>
      <c r="M5867" s="94"/>
    </row>
    <row r="5868" s="93" customFormat="1" spans="3:13">
      <c r="C5868" s="94"/>
      <c r="E5868" s="94"/>
      <c r="G5868" s="94"/>
      <c r="I5868" s="94"/>
      <c r="K5868" s="94"/>
      <c r="M5868" s="94"/>
    </row>
    <row r="5869" s="93" customFormat="1" spans="3:13">
      <c r="C5869" s="94"/>
      <c r="E5869" s="94"/>
      <c r="G5869" s="94"/>
      <c r="I5869" s="94"/>
      <c r="K5869" s="94"/>
      <c r="M5869" s="94"/>
    </row>
    <row r="5870" s="93" customFormat="1" spans="3:13">
      <c r="C5870" s="94"/>
      <c r="E5870" s="94"/>
      <c r="G5870" s="94"/>
      <c r="I5870" s="94"/>
      <c r="K5870" s="94"/>
      <c r="M5870" s="94"/>
    </row>
    <row r="5871" s="93" customFormat="1" spans="3:13">
      <c r="C5871" s="94"/>
      <c r="E5871" s="94"/>
      <c r="G5871" s="94"/>
      <c r="I5871" s="94"/>
      <c r="K5871" s="94"/>
      <c r="M5871" s="94"/>
    </row>
    <row r="5872" s="93" customFormat="1" spans="3:13">
      <c r="C5872" s="94"/>
      <c r="E5872" s="94"/>
      <c r="G5872" s="94"/>
      <c r="I5872" s="94"/>
      <c r="K5872" s="94"/>
      <c r="M5872" s="94"/>
    </row>
    <row r="5873" s="93" customFormat="1" spans="3:13">
      <c r="C5873" s="94"/>
      <c r="E5873" s="94"/>
      <c r="G5873" s="94"/>
      <c r="I5873" s="94"/>
      <c r="K5873" s="94"/>
      <c r="M5873" s="94"/>
    </row>
    <row r="5874" s="93" customFormat="1" spans="3:13">
      <c r="C5874" s="94"/>
      <c r="E5874" s="94"/>
      <c r="G5874" s="94"/>
      <c r="I5874" s="94"/>
      <c r="K5874" s="94"/>
      <c r="M5874" s="94"/>
    </row>
    <row r="5875" s="93" customFormat="1" spans="3:13">
      <c r="C5875" s="94"/>
      <c r="E5875" s="94"/>
      <c r="G5875" s="94"/>
      <c r="I5875" s="94"/>
      <c r="K5875" s="94"/>
      <c r="M5875" s="94"/>
    </row>
    <row r="5876" s="93" customFormat="1" spans="3:13">
      <c r="C5876" s="94"/>
      <c r="E5876" s="94"/>
      <c r="G5876" s="94"/>
      <c r="I5876" s="94"/>
      <c r="K5876" s="94"/>
      <c r="M5876" s="94"/>
    </row>
    <row r="5877" s="93" customFormat="1" spans="3:13">
      <c r="C5877" s="94"/>
      <c r="E5877" s="94"/>
      <c r="G5877" s="94"/>
      <c r="I5877" s="94"/>
      <c r="K5877" s="94"/>
      <c r="M5877" s="94"/>
    </row>
    <row r="5878" s="93" customFormat="1" spans="3:13">
      <c r="C5878" s="94"/>
      <c r="E5878" s="94"/>
      <c r="G5878" s="94"/>
      <c r="I5878" s="94"/>
      <c r="K5878" s="94"/>
      <c r="M5878" s="94"/>
    </row>
    <row r="5879" s="93" customFormat="1" spans="3:13">
      <c r="C5879" s="94"/>
      <c r="E5879" s="94"/>
      <c r="G5879" s="94"/>
      <c r="I5879" s="94"/>
      <c r="K5879" s="94"/>
      <c r="M5879" s="94"/>
    </row>
    <row r="5880" s="93" customFormat="1" spans="3:13">
      <c r="C5880" s="94"/>
      <c r="E5880" s="94"/>
      <c r="G5880" s="94"/>
      <c r="I5880" s="94"/>
      <c r="K5880" s="94"/>
      <c r="M5880" s="94"/>
    </row>
    <row r="5881" s="93" customFormat="1" spans="3:13">
      <c r="C5881" s="94"/>
      <c r="E5881" s="94"/>
      <c r="G5881" s="94"/>
      <c r="I5881" s="94"/>
      <c r="K5881" s="94"/>
      <c r="M5881" s="94"/>
    </row>
    <row r="5882" s="93" customFormat="1" spans="3:13">
      <c r="C5882" s="94"/>
      <c r="E5882" s="94"/>
      <c r="G5882" s="94"/>
      <c r="I5882" s="94"/>
      <c r="K5882" s="94"/>
      <c r="M5882" s="94"/>
    </row>
    <row r="5883" s="93" customFormat="1" spans="3:13">
      <c r="C5883" s="94"/>
      <c r="E5883" s="94"/>
      <c r="G5883" s="94"/>
      <c r="I5883" s="94"/>
      <c r="K5883" s="94"/>
      <c r="M5883" s="94"/>
    </row>
    <row r="5884" s="93" customFormat="1" spans="3:13">
      <c r="C5884" s="94"/>
      <c r="E5884" s="94"/>
      <c r="G5884" s="94"/>
      <c r="I5884" s="94"/>
      <c r="K5884" s="94"/>
      <c r="M5884" s="94"/>
    </row>
    <row r="5885" s="93" customFormat="1" spans="3:13">
      <c r="C5885" s="94"/>
      <c r="E5885" s="94"/>
      <c r="G5885" s="94"/>
      <c r="I5885" s="94"/>
      <c r="K5885" s="94"/>
      <c r="M5885" s="94"/>
    </row>
    <row r="5886" s="93" customFormat="1" spans="3:13">
      <c r="C5886" s="94"/>
      <c r="E5886" s="94"/>
      <c r="G5886" s="94"/>
      <c r="I5886" s="94"/>
      <c r="K5886" s="94"/>
      <c r="M5886" s="94"/>
    </row>
    <row r="5887" s="93" customFormat="1" spans="3:13">
      <c r="C5887" s="94"/>
      <c r="E5887" s="94"/>
      <c r="G5887" s="94"/>
      <c r="I5887" s="94"/>
      <c r="K5887" s="94"/>
      <c r="M5887" s="94"/>
    </row>
    <row r="5888" s="93" customFormat="1" spans="3:13">
      <c r="C5888" s="94"/>
      <c r="E5888" s="94"/>
      <c r="G5888" s="94"/>
      <c r="I5888" s="94"/>
      <c r="K5888" s="94"/>
      <c r="M5888" s="94"/>
    </row>
    <row r="5889" s="93" customFormat="1" spans="3:13">
      <c r="C5889" s="94"/>
      <c r="E5889" s="94"/>
      <c r="G5889" s="94"/>
      <c r="I5889" s="94"/>
      <c r="K5889" s="94"/>
      <c r="M5889" s="94"/>
    </row>
    <row r="5890" s="93" customFormat="1" spans="3:13">
      <c r="C5890" s="94"/>
      <c r="E5890" s="94"/>
      <c r="G5890" s="94"/>
      <c r="I5890" s="94"/>
      <c r="K5890" s="94"/>
      <c r="M5890" s="94"/>
    </row>
    <row r="5891" s="93" customFormat="1" spans="3:13">
      <c r="C5891" s="94"/>
      <c r="E5891" s="94"/>
      <c r="G5891" s="94"/>
      <c r="I5891" s="94"/>
      <c r="K5891" s="94"/>
      <c r="M5891" s="94"/>
    </row>
    <row r="5892" s="93" customFormat="1" spans="3:13">
      <c r="C5892" s="94"/>
      <c r="E5892" s="94"/>
      <c r="G5892" s="94"/>
      <c r="I5892" s="94"/>
      <c r="K5892" s="94"/>
      <c r="M5892" s="94"/>
    </row>
    <row r="5893" s="93" customFormat="1" spans="3:13">
      <c r="C5893" s="94"/>
      <c r="E5893" s="94"/>
      <c r="G5893" s="94"/>
      <c r="I5893" s="94"/>
      <c r="K5893" s="94"/>
      <c r="M5893" s="94"/>
    </row>
    <row r="5894" s="93" customFormat="1" spans="3:13">
      <c r="C5894" s="94"/>
      <c r="E5894" s="94"/>
      <c r="G5894" s="94"/>
      <c r="I5894" s="94"/>
      <c r="K5894" s="94"/>
      <c r="M5894" s="94"/>
    </row>
    <row r="5895" s="93" customFormat="1" spans="3:13">
      <c r="C5895" s="94"/>
      <c r="E5895" s="94"/>
      <c r="G5895" s="94"/>
      <c r="I5895" s="94"/>
      <c r="K5895" s="94"/>
      <c r="M5895" s="94"/>
    </row>
    <row r="5896" s="93" customFormat="1" spans="3:13">
      <c r="C5896" s="94"/>
      <c r="E5896" s="94"/>
      <c r="G5896" s="94"/>
      <c r="I5896" s="94"/>
      <c r="K5896" s="94"/>
      <c r="M5896" s="94"/>
    </row>
    <row r="5897" s="93" customFormat="1" spans="3:13">
      <c r="C5897" s="94"/>
      <c r="E5897" s="94"/>
      <c r="G5897" s="94"/>
      <c r="I5897" s="94"/>
      <c r="K5897" s="94"/>
      <c r="M5897" s="94"/>
    </row>
    <row r="5898" s="93" customFormat="1" spans="3:13">
      <c r="C5898" s="94"/>
      <c r="E5898" s="94"/>
      <c r="G5898" s="94"/>
      <c r="I5898" s="94"/>
      <c r="K5898" s="94"/>
      <c r="M5898" s="94"/>
    </row>
    <row r="5899" s="93" customFormat="1" spans="3:13">
      <c r="C5899" s="94"/>
      <c r="E5899" s="94"/>
      <c r="G5899" s="94"/>
      <c r="I5899" s="94"/>
      <c r="K5899" s="94"/>
      <c r="M5899" s="94"/>
    </row>
    <row r="5900" s="93" customFormat="1" spans="3:13">
      <c r="C5900" s="94"/>
      <c r="E5900" s="94"/>
      <c r="G5900" s="94"/>
      <c r="I5900" s="94"/>
      <c r="K5900" s="94"/>
      <c r="M5900" s="94"/>
    </row>
    <row r="5901" s="93" customFormat="1" spans="3:13">
      <c r="C5901" s="94"/>
      <c r="E5901" s="94"/>
      <c r="G5901" s="94"/>
      <c r="I5901" s="94"/>
      <c r="K5901" s="94"/>
      <c r="M5901" s="94"/>
    </row>
    <row r="5902" s="93" customFormat="1" spans="3:13">
      <c r="C5902" s="94"/>
      <c r="E5902" s="94"/>
      <c r="G5902" s="94"/>
      <c r="I5902" s="94"/>
      <c r="K5902" s="94"/>
      <c r="M5902" s="94"/>
    </row>
    <row r="5903" s="93" customFormat="1" spans="3:13">
      <c r="C5903" s="94"/>
      <c r="E5903" s="94"/>
      <c r="G5903" s="94"/>
      <c r="I5903" s="94"/>
      <c r="K5903" s="94"/>
      <c r="M5903" s="94"/>
    </row>
    <row r="5904" s="93" customFormat="1" spans="3:13">
      <c r="C5904" s="94"/>
      <c r="E5904" s="94"/>
      <c r="G5904" s="94"/>
      <c r="I5904" s="94"/>
      <c r="K5904" s="94"/>
      <c r="M5904" s="94"/>
    </row>
    <row r="5905" s="93" customFormat="1" spans="3:13">
      <c r="C5905" s="94"/>
      <c r="E5905" s="94"/>
      <c r="G5905" s="94"/>
      <c r="I5905" s="94"/>
      <c r="K5905" s="94"/>
      <c r="M5905" s="94"/>
    </row>
    <row r="5906" s="93" customFormat="1" spans="3:13">
      <c r="C5906" s="94"/>
      <c r="E5906" s="94"/>
      <c r="G5906" s="94"/>
      <c r="I5906" s="94"/>
      <c r="K5906" s="94"/>
      <c r="M5906" s="94"/>
    </row>
    <row r="5907" s="93" customFormat="1" spans="3:13">
      <c r="C5907" s="94"/>
      <c r="E5907" s="94"/>
      <c r="G5907" s="94"/>
      <c r="I5907" s="94"/>
      <c r="K5907" s="94"/>
      <c r="M5907" s="94"/>
    </row>
    <row r="5908" s="93" customFormat="1" spans="3:13">
      <c r="C5908" s="94"/>
      <c r="E5908" s="94"/>
      <c r="G5908" s="94"/>
      <c r="I5908" s="94"/>
      <c r="K5908" s="94"/>
      <c r="M5908" s="94"/>
    </row>
    <row r="5909" s="93" customFormat="1" spans="3:13">
      <c r="C5909" s="94"/>
      <c r="E5909" s="94"/>
      <c r="G5909" s="94"/>
      <c r="I5909" s="94"/>
      <c r="K5909" s="94"/>
      <c r="M5909" s="94"/>
    </row>
    <row r="5910" s="93" customFormat="1" spans="3:13">
      <c r="C5910" s="94"/>
      <c r="E5910" s="94"/>
      <c r="G5910" s="94"/>
      <c r="I5910" s="94"/>
      <c r="K5910" s="94"/>
      <c r="M5910" s="94"/>
    </row>
    <row r="5911" s="93" customFormat="1" spans="3:13">
      <c r="C5911" s="94"/>
      <c r="E5911" s="94"/>
      <c r="G5911" s="94"/>
      <c r="I5911" s="94"/>
      <c r="K5911" s="94"/>
      <c r="M5911" s="94"/>
    </row>
    <row r="5912" s="93" customFormat="1" spans="3:13">
      <c r="C5912" s="94"/>
      <c r="E5912" s="94"/>
      <c r="G5912" s="94"/>
      <c r="I5912" s="94"/>
      <c r="K5912" s="94"/>
      <c r="M5912" s="94"/>
    </row>
    <row r="5913" s="93" customFormat="1" spans="3:13">
      <c r="C5913" s="94"/>
      <c r="E5913" s="94"/>
      <c r="G5913" s="94"/>
      <c r="I5913" s="94"/>
      <c r="K5913" s="94"/>
      <c r="M5913" s="94"/>
    </row>
    <row r="5914" s="93" customFormat="1" spans="3:13">
      <c r="C5914" s="94"/>
      <c r="E5914" s="94"/>
      <c r="G5914" s="94"/>
      <c r="I5914" s="94"/>
      <c r="K5914" s="94"/>
      <c r="M5914" s="94"/>
    </row>
    <row r="5915" s="93" customFormat="1" spans="3:13">
      <c r="C5915" s="94"/>
      <c r="E5915" s="94"/>
      <c r="G5915" s="94"/>
      <c r="I5915" s="94"/>
      <c r="K5915" s="94"/>
      <c r="M5915" s="94"/>
    </row>
    <row r="5916" s="93" customFormat="1" spans="3:13">
      <c r="C5916" s="94"/>
      <c r="E5916" s="94"/>
      <c r="G5916" s="94"/>
      <c r="I5916" s="94"/>
      <c r="K5916" s="94"/>
      <c r="M5916" s="94"/>
    </row>
    <row r="5917" s="93" customFormat="1" spans="3:13">
      <c r="C5917" s="94"/>
      <c r="E5917" s="94"/>
      <c r="G5917" s="94"/>
      <c r="I5917" s="94"/>
      <c r="K5917" s="94"/>
      <c r="M5917" s="94"/>
    </row>
    <row r="5918" s="93" customFormat="1" spans="3:13">
      <c r="C5918" s="94"/>
      <c r="E5918" s="94"/>
      <c r="G5918" s="94"/>
      <c r="I5918" s="94"/>
      <c r="K5918" s="94"/>
      <c r="M5918" s="94"/>
    </row>
    <row r="5919" s="93" customFormat="1" spans="3:13">
      <c r="C5919" s="94"/>
      <c r="E5919" s="94"/>
      <c r="G5919" s="94"/>
      <c r="I5919" s="94"/>
      <c r="K5919" s="94"/>
      <c r="M5919" s="94"/>
    </row>
    <row r="5920" s="93" customFormat="1" spans="3:13">
      <c r="C5920" s="94"/>
      <c r="E5920" s="94"/>
      <c r="G5920" s="94"/>
      <c r="I5920" s="94"/>
      <c r="K5920" s="94"/>
      <c r="M5920" s="94"/>
    </row>
    <row r="5921" s="93" customFormat="1" spans="3:13">
      <c r="C5921" s="94"/>
      <c r="E5921" s="94"/>
      <c r="G5921" s="94"/>
      <c r="I5921" s="94"/>
      <c r="K5921" s="94"/>
      <c r="M5921" s="94"/>
    </row>
    <row r="5922" s="93" customFormat="1" spans="3:13">
      <c r="C5922" s="94"/>
      <c r="E5922" s="94"/>
      <c r="G5922" s="94"/>
      <c r="I5922" s="94"/>
      <c r="K5922" s="94"/>
      <c r="M5922" s="94"/>
    </row>
    <row r="5923" s="93" customFormat="1" spans="3:13">
      <c r="C5923" s="94"/>
      <c r="E5923" s="94"/>
      <c r="G5923" s="94"/>
      <c r="I5923" s="94"/>
      <c r="K5923" s="94"/>
      <c r="M5923" s="94"/>
    </row>
    <row r="5924" s="93" customFormat="1" spans="3:13">
      <c r="C5924" s="94"/>
      <c r="E5924" s="94"/>
      <c r="G5924" s="94"/>
      <c r="I5924" s="94"/>
      <c r="K5924" s="94"/>
      <c r="M5924" s="94"/>
    </row>
    <row r="5925" s="93" customFormat="1" spans="3:13">
      <c r="C5925" s="94"/>
      <c r="E5925" s="94"/>
      <c r="G5925" s="94"/>
      <c r="I5925" s="94"/>
      <c r="K5925" s="94"/>
      <c r="M5925" s="94"/>
    </row>
    <row r="5926" s="93" customFormat="1" spans="3:13">
      <c r="C5926" s="94"/>
      <c r="E5926" s="94"/>
      <c r="G5926" s="94"/>
      <c r="I5926" s="94"/>
      <c r="K5926" s="94"/>
      <c r="M5926" s="94"/>
    </row>
    <row r="5927" s="93" customFormat="1" spans="3:13">
      <c r="C5927" s="94"/>
      <c r="E5927" s="94"/>
      <c r="G5927" s="94"/>
      <c r="I5927" s="94"/>
      <c r="K5927" s="94"/>
      <c r="M5927" s="94"/>
    </row>
    <row r="5928" s="93" customFormat="1" spans="3:13">
      <c r="C5928" s="94"/>
      <c r="E5928" s="94"/>
      <c r="G5928" s="94"/>
      <c r="I5928" s="94"/>
      <c r="K5928" s="94"/>
      <c r="M5928" s="94"/>
    </row>
    <row r="5929" s="93" customFormat="1" spans="3:13">
      <c r="C5929" s="94"/>
      <c r="E5929" s="94"/>
      <c r="G5929" s="94"/>
      <c r="I5929" s="94"/>
      <c r="K5929" s="94"/>
      <c r="M5929" s="94"/>
    </row>
    <row r="5930" s="93" customFormat="1" spans="3:13">
      <c r="C5930" s="94"/>
      <c r="E5930" s="94"/>
      <c r="G5930" s="94"/>
      <c r="I5930" s="94"/>
      <c r="K5930" s="94"/>
      <c r="M5930" s="94"/>
    </row>
    <row r="5931" s="93" customFormat="1" spans="3:13">
      <c r="C5931" s="94"/>
      <c r="E5931" s="94"/>
      <c r="G5931" s="94"/>
      <c r="I5931" s="94"/>
      <c r="K5931" s="94"/>
      <c r="M5931" s="94"/>
    </row>
    <row r="5932" s="93" customFormat="1" spans="3:13">
      <c r="C5932" s="94"/>
      <c r="E5932" s="94"/>
      <c r="G5932" s="94"/>
      <c r="I5932" s="94"/>
      <c r="K5932" s="94"/>
      <c r="M5932" s="94"/>
    </row>
    <row r="5933" s="93" customFormat="1" spans="3:13">
      <c r="C5933" s="94"/>
      <c r="E5933" s="94"/>
      <c r="G5933" s="94"/>
      <c r="I5933" s="94"/>
      <c r="K5933" s="94"/>
      <c r="M5933" s="94"/>
    </row>
    <row r="5934" s="93" customFormat="1" spans="3:13">
      <c r="C5934" s="94"/>
      <c r="E5934" s="94"/>
      <c r="G5934" s="94"/>
      <c r="I5934" s="94"/>
      <c r="K5934" s="94"/>
      <c r="M5934" s="94"/>
    </row>
    <row r="5935" s="93" customFormat="1" spans="3:13">
      <c r="C5935" s="94"/>
      <c r="E5935" s="94"/>
      <c r="G5935" s="94"/>
      <c r="I5935" s="94"/>
      <c r="K5935" s="94"/>
      <c r="M5935" s="94"/>
    </row>
    <row r="5936" s="93" customFormat="1" spans="3:13">
      <c r="C5936" s="94"/>
      <c r="E5936" s="94"/>
      <c r="G5936" s="94"/>
      <c r="I5936" s="94"/>
      <c r="K5936" s="94"/>
      <c r="M5936" s="94"/>
    </row>
    <row r="5937" s="93" customFormat="1" spans="3:13">
      <c r="C5937" s="94"/>
      <c r="E5937" s="94"/>
      <c r="G5937" s="94"/>
      <c r="I5937" s="94"/>
      <c r="K5937" s="94"/>
      <c r="M5937" s="94"/>
    </row>
    <row r="5938" s="93" customFormat="1" spans="3:13">
      <c r="C5938" s="94"/>
      <c r="E5938" s="94"/>
      <c r="G5938" s="94"/>
      <c r="I5938" s="94"/>
      <c r="K5938" s="94"/>
      <c r="M5938" s="94"/>
    </row>
    <row r="5939" s="93" customFormat="1" spans="3:13">
      <c r="C5939" s="94"/>
      <c r="E5939" s="94"/>
      <c r="G5939" s="94"/>
      <c r="I5939" s="94"/>
      <c r="K5939" s="94"/>
      <c r="M5939" s="94"/>
    </row>
    <row r="5940" s="93" customFormat="1" spans="3:13">
      <c r="C5940" s="94"/>
      <c r="E5940" s="94"/>
      <c r="G5940" s="94"/>
      <c r="I5940" s="94"/>
      <c r="K5940" s="94"/>
      <c r="M5940" s="94"/>
    </row>
    <row r="5941" s="93" customFormat="1" spans="3:13">
      <c r="C5941" s="94"/>
      <c r="E5941" s="94"/>
      <c r="G5941" s="94"/>
      <c r="I5941" s="94"/>
      <c r="K5941" s="94"/>
      <c r="M5941" s="94"/>
    </row>
    <row r="5942" s="93" customFormat="1" spans="3:13">
      <c r="C5942" s="94"/>
      <c r="E5942" s="94"/>
      <c r="G5942" s="94"/>
      <c r="I5942" s="94"/>
      <c r="K5942" s="94"/>
      <c r="M5942" s="94"/>
    </row>
    <row r="5943" s="93" customFormat="1" spans="3:13">
      <c r="C5943" s="94"/>
      <c r="E5943" s="94"/>
      <c r="G5943" s="94"/>
      <c r="I5943" s="94"/>
      <c r="K5943" s="94"/>
      <c r="M5943" s="94"/>
    </row>
    <row r="5944" s="93" customFormat="1" spans="3:13">
      <c r="C5944" s="94"/>
      <c r="E5944" s="94"/>
      <c r="G5944" s="94"/>
      <c r="I5944" s="94"/>
      <c r="K5944" s="94"/>
      <c r="M5944" s="94"/>
    </row>
    <row r="5945" s="93" customFormat="1" spans="3:13">
      <c r="C5945" s="94"/>
      <c r="E5945" s="94"/>
      <c r="G5945" s="94"/>
      <c r="I5945" s="94"/>
      <c r="K5945" s="94"/>
      <c r="M5945" s="94"/>
    </row>
    <row r="5946" s="93" customFormat="1" spans="3:13">
      <c r="C5946" s="94"/>
      <c r="E5946" s="94"/>
      <c r="G5946" s="94"/>
      <c r="I5946" s="94"/>
      <c r="K5946" s="94"/>
      <c r="M5946" s="94"/>
    </row>
    <row r="5947" s="93" customFormat="1" spans="3:13">
      <c r="C5947" s="94"/>
      <c r="E5947" s="94"/>
      <c r="G5947" s="94"/>
      <c r="I5947" s="94"/>
      <c r="K5947" s="94"/>
      <c r="M5947" s="94"/>
    </row>
    <row r="5948" s="93" customFormat="1" spans="3:13">
      <c r="C5948" s="94"/>
      <c r="E5948" s="94"/>
      <c r="G5948" s="94"/>
      <c r="I5948" s="94"/>
      <c r="K5948" s="94"/>
      <c r="M5948" s="94"/>
    </row>
    <row r="5949" s="93" customFormat="1" spans="3:13">
      <c r="C5949" s="94"/>
      <c r="E5949" s="94"/>
      <c r="G5949" s="94"/>
      <c r="I5949" s="94"/>
      <c r="K5949" s="94"/>
      <c r="M5949" s="94"/>
    </row>
    <row r="5950" s="93" customFormat="1" spans="3:13">
      <c r="C5950" s="94"/>
      <c r="E5950" s="94"/>
      <c r="G5950" s="94"/>
      <c r="I5950" s="94"/>
      <c r="K5950" s="94"/>
      <c r="M5950" s="94"/>
    </row>
    <row r="5951" s="93" customFormat="1" spans="3:13">
      <c r="C5951" s="94"/>
      <c r="E5951" s="94"/>
      <c r="G5951" s="94"/>
      <c r="I5951" s="94"/>
      <c r="K5951" s="94"/>
      <c r="M5951" s="94"/>
    </row>
    <row r="5952" s="93" customFormat="1" spans="3:13">
      <c r="C5952" s="94"/>
      <c r="E5952" s="94"/>
      <c r="G5952" s="94"/>
      <c r="I5952" s="94"/>
      <c r="K5952" s="94"/>
      <c r="M5952" s="94"/>
    </row>
    <row r="5953" s="93" customFormat="1" spans="3:13">
      <c r="C5953" s="94"/>
      <c r="E5953" s="94"/>
      <c r="G5953" s="94"/>
      <c r="I5953" s="94"/>
      <c r="K5953" s="94"/>
      <c r="M5953" s="94"/>
    </row>
    <row r="5954" s="93" customFormat="1" spans="3:13">
      <c r="C5954" s="94"/>
      <c r="E5954" s="94"/>
      <c r="G5954" s="94"/>
      <c r="I5954" s="94"/>
      <c r="K5954" s="94"/>
      <c r="M5954" s="94"/>
    </row>
    <row r="5955" s="93" customFormat="1" spans="3:13">
      <c r="C5955" s="94"/>
      <c r="E5955" s="94"/>
      <c r="G5955" s="94"/>
      <c r="I5955" s="94"/>
      <c r="K5955" s="94"/>
      <c r="M5955" s="94"/>
    </row>
    <row r="5956" s="93" customFormat="1" spans="3:13">
      <c r="C5956" s="94"/>
      <c r="E5956" s="94"/>
      <c r="G5956" s="94"/>
      <c r="I5956" s="94"/>
      <c r="K5956" s="94"/>
      <c r="M5956" s="94"/>
    </row>
    <row r="5957" s="93" customFormat="1" spans="3:13">
      <c r="C5957" s="94"/>
      <c r="E5957" s="94"/>
      <c r="G5957" s="94"/>
      <c r="I5957" s="94"/>
      <c r="K5957" s="94"/>
      <c r="M5957" s="94"/>
    </row>
    <row r="5958" s="93" customFormat="1" spans="3:13">
      <c r="C5958" s="94"/>
      <c r="E5958" s="94"/>
      <c r="G5958" s="94"/>
      <c r="I5958" s="94"/>
      <c r="K5958" s="94"/>
      <c r="M5958" s="94"/>
    </row>
    <row r="5959" s="93" customFormat="1" spans="3:13">
      <c r="C5959" s="94"/>
      <c r="E5959" s="94"/>
      <c r="G5959" s="94"/>
      <c r="I5959" s="94"/>
      <c r="K5959" s="94"/>
      <c r="M5959" s="94"/>
    </row>
    <row r="5960" s="93" customFormat="1" spans="3:13">
      <c r="C5960" s="94"/>
      <c r="E5960" s="94"/>
      <c r="G5960" s="94"/>
      <c r="I5960" s="94"/>
      <c r="K5960" s="94"/>
      <c r="M5960" s="94"/>
    </row>
    <row r="5961" s="93" customFormat="1" spans="3:13">
      <c r="C5961" s="94"/>
      <c r="E5961" s="94"/>
      <c r="G5961" s="94"/>
      <c r="I5961" s="94"/>
      <c r="K5961" s="94"/>
      <c r="M5961" s="94"/>
    </row>
    <row r="5962" s="93" customFormat="1" spans="3:13">
      <c r="C5962" s="94"/>
      <c r="E5962" s="94"/>
      <c r="G5962" s="94"/>
      <c r="I5962" s="94"/>
      <c r="K5962" s="94"/>
      <c r="M5962" s="94"/>
    </row>
    <row r="5963" s="93" customFormat="1" spans="3:13">
      <c r="C5963" s="94"/>
      <c r="E5963" s="94"/>
      <c r="G5963" s="94"/>
      <c r="I5963" s="94"/>
      <c r="K5963" s="94"/>
      <c r="M5963" s="94"/>
    </row>
    <row r="5964" s="93" customFormat="1" spans="3:13">
      <c r="C5964" s="94"/>
      <c r="E5964" s="94"/>
      <c r="G5964" s="94"/>
      <c r="I5964" s="94"/>
      <c r="K5964" s="94"/>
      <c r="M5964" s="94"/>
    </row>
    <row r="5965" s="93" customFormat="1" spans="3:13">
      <c r="C5965" s="94"/>
      <c r="E5965" s="94"/>
      <c r="G5965" s="94"/>
      <c r="I5965" s="94"/>
      <c r="K5965" s="94"/>
      <c r="M5965" s="94"/>
    </row>
    <row r="5966" s="93" customFormat="1" spans="3:13">
      <c r="C5966" s="94"/>
      <c r="E5966" s="94"/>
      <c r="G5966" s="94"/>
      <c r="I5966" s="94"/>
      <c r="K5966" s="94"/>
      <c r="M5966" s="94"/>
    </row>
    <row r="5967" s="93" customFormat="1" spans="3:13">
      <c r="C5967" s="94"/>
      <c r="E5967" s="94"/>
      <c r="G5967" s="94"/>
      <c r="I5967" s="94"/>
      <c r="K5967" s="94"/>
      <c r="M5967" s="94"/>
    </row>
    <row r="5968" s="93" customFormat="1" spans="3:13">
      <c r="C5968" s="94"/>
      <c r="E5968" s="94"/>
      <c r="G5968" s="94"/>
      <c r="I5968" s="94"/>
      <c r="K5968" s="94"/>
      <c r="M5968" s="94"/>
    </row>
    <row r="5969" s="93" customFormat="1" spans="3:13">
      <c r="C5969" s="94"/>
      <c r="E5969" s="94"/>
      <c r="G5969" s="94"/>
      <c r="I5969" s="94"/>
      <c r="K5969" s="94"/>
      <c r="M5969" s="94"/>
    </row>
    <row r="5970" s="93" customFormat="1" spans="3:13">
      <c r="C5970" s="94"/>
      <c r="E5970" s="94"/>
      <c r="G5970" s="94"/>
      <c r="I5970" s="94"/>
      <c r="K5970" s="94"/>
      <c r="M5970" s="94"/>
    </row>
    <row r="5971" s="93" customFormat="1" spans="3:13">
      <c r="C5971" s="94"/>
      <c r="E5971" s="94"/>
      <c r="G5971" s="94"/>
      <c r="I5971" s="94"/>
      <c r="K5971" s="94"/>
      <c r="M5971" s="94"/>
    </row>
    <row r="5972" s="93" customFormat="1" spans="3:13">
      <c r="C5972" s="94"/>
      <c r="E5972" s="94"/>
      <c r="G5972" s="94"/>
      <c r="I5972" s="94"/>
      <c r="K5972" s="94"/>
      <c r="M5972" s="94"/>
    </row>
    <row r="5973" s="93" customFormat="1" spans="3:13">
      <c r="C5973" s="94"/>
      <c r="E5973" s="94"/>
      <c r="G5973" s="94"/>
      <c r="I5973" s="94"/>
      <c r="K5973" s="94"/>
      <c r="M5973" s="94"/>
    </row>
    <row r="5974" s="93" customFormat="1" spans="3:13">
      <c r="C5974" s="94"/>
      <c r="E5974" s="94"/>
      <c r="G5974" s="94"/>
      <c r="I5974" s="94"/>
      <c r="K5974" s="94"/>
      <c r="M5974" s="94"/>
    </row>
    <row r="5975" s="93" customFormat="1" spans="3:13">
      <c r="C5975" s="94"/>
      <c r="E5975" s="94"/>
      <c r="G5975" s="94"/>
      <c r="I5975" s="94"/>
      <c r="K5975" s="94"/>
      <c r="M5975" s="94"/>
    </row>
    <row r="5976" s="93" customFormat="1" spans="3:13">
      <c r="C5976" s="94"/>
      <c r="E5976" s="94"/>
      <c r="G5976" s="94"/>
      <c r="I5976" s="94"/>
      <c r="K5976" s="94"/>
      <c r="M5976" s="94"/>
    </row>
    <row r="5977" s="93" customFormat="1" spans="3:13">
      <c r="C5977" s="94"/>
      <c r="E5977" s="94"/>
      <c r="G5977" s="94"/>
      <c r="I5977" s="94"/>
      <c r="K5977" s="94"/>
      <c r="M5977" s="94"/>
    </row>
    <row r="5978" s="93" customFormat="1" spans="3:13">
      <c r="C5978" s="94"/>
      <c r="E5978" s="94"/>
      <c r="G5978" s="94"/>
      <c r="I5978" s="94"/>
      <c r="K5978" s="94"/>
      <c r="M5978" s="94"/>
    </row>
    <row r="5979" s="93" customFormat="1" spans="3:13">
      <c r="C5979" s="94"/>
      <c r="E5979" s="94"/>
      <c r="G5979" s="94"/>
      <c r="I5979" s="94"/>
      <c r="K5979" s="94"/>
      <c r="M5979" s="94"/>
    </row>
    <row r="5980" s="93" customFormat="1" spans="3:13">
      <c r="C5980" s="94"/>
      <c r="E5980" s="94"/>
      <c r="G5980" s="94"/>
      <c r="I5980" s="94"/>
      <c r="K5980" s="94"/>
      <c r="M5980" s="94"/>
    </row>
    <row r="5981" s="93" customFormat="1" spans="3:13">
      <c r="C5981" s="94"/>
      <c r="E5981" s="94"/>
      <c r="G5981" s="94"/>
      <c r="I5981" s="94"/>
      <c r="K5981" s="94"/>
      <c r="M5981" s="94"/>
    </row>
    <row r="5982" s="93" customFormat="1" spans="3:13">
      <c r="C5982" s="94"/>
      <c r="E5982" s="94"/>
      <c r="G5982" s="94"/>
      <c r="I5982" s="94"/>
      <c r="K5982" s="94"/>
      <c r="M5982" s="94"/>
    </row>
    <row r="5983" s="93" customFormat="1" spans="3:13">
      <c r="C5983" s="94"/>
      <c r="E5983" s="94"/>
      <c r="G5983" s="94"/>
      <c r="I5983" s="94"/>
      <c r="K5983" s="94"/>
      <c r="M5983" s="94"/>
    </row>
    <row r="5984" s="93" customFormat="1" spans="3:13">
      <c r="C5984" s="94"/>
      <c r="E5984" s="94"/>
      <c r="G5984" s="94"/>
      <c r="I5984" s="94"/>
      <c r="K5984" s="94"/>
      <c r="M5984" s="94"/>
    </row>
    <row r="5985" s="93" customFormat="1" spans="3:13">
      <c r="C5985" s="94"/>
      <c r="E5985" s="94"/>
      <c r="G5985" s="94"/>
      <c r="I5985" s="94"/>
      <c r="K5985" s="94"/>
      <c r="M5985" s="94"/>
    </row>
    <row r="5986" s="93" customFormat="1" spans="3:13">
      <c r="C5986" s="94"/>
      <c r="E5986" s="94"/>
      <c r="G5986" s="94"/>
      <c r="I5986" s="94"/>
      <c r="K5986" s="94"/>
      <c r="M5986" s="94"/>
    </row>
    <row r="5987" s="93" customFormat="1" spans="3:13">
      <c r="C5987" s="94"/>
      <c r="E5987" s="94"/>
      <c r="G5987" s="94"/>
      <c r="I5987" s="94"/>
      <c r="K5987" s="94"/>
      <c r="M5987" s="94"/>
    </row>
    <row r="5988" s="93" customFormat="1" spans="3:13">
      <c r="C5988" s="94"/>
      <c r="E5988" s="94"/>
      <c r="G5988" s="94"/>
      <c r="I5988" s="94"/>
      <c r="K5988" s="94"/>
      <c r="M5988" s="94"/>
    </row>
    <row r="5989" s="93" customFormat="1" spans="3:13">
      <c r="C5989" s="94"/>
      <c r="E5989" s="94"/>
      <c r="G5989" s="94"/>
      <c r="I5989" s="94"/>
      <c r="K5989" s="94"/>
      <c r="M5989" s="94"/>
    </row>
    <row r="5990" s="93" customFormat="1" spans="3:13">
      <c r="C5990" s="94"/>
      <c r="E5990" s="94"/>
      <c r="G5990" s="94"/>
      <c r="I5990" s="94"/>
      <c r="K5990" s="94"/>
      <c r="M5990" s="94"/>
    </row>
    <row r="5991" s="93" customFormat="1" spans="3:13">
      <c r="C5991" s="94"/>
      <c r="E5991" s="94"/>
      <c r="G5991" s="94"/>
      <c r="I5991" s="94"/>
      <c r="K5991" s="94"/>
      <c r="M5991" s="94"/>
    </row>
    <row r="5992" s="93" customFormat="1" spans="3:13">
      <c r="C5992" s="94"/>
      <c r="E5992" s="94"/>
      <c r="G5992" s="94"/>
      <c r="I5992" s="94"/>
      <c r="K5992" s="94"/>
      <c r="M5992" s="94"/>
    </row>
    <row r="5993" s="93" customFormat="1" spans="3:13">
      <c r="C5993" s="94"/>
      <c r="E5993" s="94"/>
      <c r="G5993" s="94"/>
      <c r="I5993" s="94"/>
      <c r="K5993" s="94"/>
      <c r="M5993" s="94"/>
    </row>
    <row r="5994" s="93" customFormat="1" spans="3:13">
      <c r="C5994" s="94"/>
      <c r="E5994" s="94"/>
      <c r="G5994" s="94"/>
      <c r="I5994" s="94"/>
      <c r="K5994" s="94"/>
      <c r="M5994" s="94"/>
    </row>
    <row r="5995" s="93" customFormat="1" spans="3:13">
      <c r="C5995" s="94"/>
      <c r="E5995" s="94"/>
      <c r="G5995" s="94"/>
      <c r="I5995" s="94"/>
      <c r="K5995" s="94"/>
      <c r="M5995" s="94"/>
    </row>
    <row r="5996" s="93" customFormat="1" spans="3:13">
      <c r="C5996" s="94"/>
      <c r="E5996" s="94"/>
      <c r="G5996" s="94"/>
      <c r="I5996" s="94"/>
      <c r="K5996" s="94"/>
      <c r="M5996" s="94"/>
    </row>
    <row r="5997" s="93" customFormat="1" spans="3:13">
      <c r="C5997" s="94"/>
      <c r="E5997" s="94"/>
      <c r="G5997" s="94"/>
      <c r="I5997" s="94"/>
      <c r="K5997" s="94"/>
      <c r="M5997" s="94"/>
    </row>
    <row r="5998" s="93" customFormat="1" spans="3:13">
      <c r="C5998" s="94"/>
      <c r="E5998" s="94"/>
      <c r="G5998" s="94"/>
      <c r="I5998" s="94"/>
      <c r="K5998" s="94"/>
      <c r="M5998" s="94"/>
    </row>
    <row r="5999" s="93" customFormat="1" spans="3:13">
      <c r="C5999" s="94"/>
      <c r="E5999" s="94"/>
      <c r="G5999" s="94"/>
      <c r="I5999" s="94"/>
      <c r="K5999" s="94"/>
      <c r="M5999" s="94"/>
    </row>
    <row r="6000" s="93" customFormat="1" spans="3:13">
      <c r="C6000" s="94"/>
      <c r="E6000" s="94"/>
      <c r="G6000" s="94"/>
      <c r="I6000" s="94"/>
      <c r="K6000" s="94"/>
      <c r="M6000" s="94"/>
    </row>
    <row r="6001" s="93" customFormat="1" spans="3:13">
      <c r="C6001" s="94"/>
      <c r="E6001" s="94"/>
      <c r="G6001" s="94"/>
      <c r="I6001" s="94"/>
      <c r="K6001" s="94"/>
      <c r="M6001" s="94"/>
    </row>
    <row r="6002" s="93" customFormat="1" spans="3:13">
      <c r="C6002" s="94"/>
      <c r="E6002" s="94"/>
      <c r="G6002" s="94"/>
      <c r="I6002" s="94"/>
      <c r="K6002" s="94"/>
      <c r="M6002" s="94"/>
    </row>
    <row r="6003" s="93" customFormat="1" spans="3:13">
      <c r="C6003" s="94"/>
      <c r="E6003" s="94"/>
      <c r="G6003" s="94"/>
      <c r="I6003" s="94"/>
      <c r="K6003" s="94"/>
      <c r="M6003" s="94"/>
    </row>
    <row r="6004" s="93" customFormat="1" spans="3:13">
      <c r="C6004" s="94"/>
      <c r="E6004" s="94"/>
      <c r="G6004" s="94"/>
      <c r="I6004" s="94"/>
      <c r="K6004" s="94"/>
      <c r="M6004" s="94"/>
    </row>
    <row r="6005" s="93" customFormat="1" spans="3:13">
      <c r="C6005" s="94"/>
      <c r="E6005" s="94"/>
      <c r="G6005" s="94"/>
      <c r="I6005" s="94"/>
      <c r="K6005" s="94"/>
      <c r="M6005" s="94"/>
    </row>
    <row r="6006" s="93" customFormat="1" spans="3:13">
      <c r="C6006" s="94"/>
      <c r="E6006" s="94"/>
      <c r="G6006" s="94"/>
      <c r="I6006" s="94"/>
      <c r="K6006" s="94"/>
      <c r="M6006" s="94"/>
    </row>
    <row r="6007" s="93" customFormat="1" spans="3:13">
      <c r="C6007" s="94"/>
      <c r="E6007" s="94"/>
      <c r="G6007" s="94"/>
      <c r="I6007" s="94"/>
      <c r="K6007" s="94"/>
      <c r="M6007" s="94"/>
    </row>
    <row r="6008" s="93" customFormat="1" spans="3:13">
      <c r="C6008" s="94"/>
      <c r="E6008" s="94"/>
      <c r="G6008" s="94"/>
      <c r="I6008" s="94"/>
      <c r="K6008" s="94"/>
      <c r="M6008" s="94"/>
    </row>
    <row r="6009" s="93" customFormat="1" spans="3:13">
      <c r="C6009" s="94"/>
      <c r="E6009" s="94"/>
      <c r="G6009" s="94"/>
      <c r="I6009" s="94"/>
      <c r="K6009" s="94"/>
      <c r="M6009" s="94"/>
    </row>
    <row r="6010" s="93" customFormat="1" spans="3:13">
      <c r="C6010" s="94"/>
      <c r="E6010" s="94"/>
      <c r="G6010" s="94"/>
      <c r="I6010" s="94"/>
      <c r="K6010" s="94"/>
      <c r="M6010" s="94"/>
    </row>
    <row r="6011" s="93" customFormat="1" spans="3:13">
      <c r="C6011" s="94"/>
      <c r="E6011" s="94"/>
      <c r="G6011" s="94"/>
      <c r="I6011" s="94"/>
      <c r="K6011" s="94"/>
      <c r="M6011" s="94"/>
    </row>
    <row r="6012" s="93" customFormat="1" spans="3:13">
      <c r="C6012" s="94"/>
      <c r="E6012" s="94"/>
      <c r="G6012" s="94"/>
      <c r="I6012" s="94"/>
      <c r="K6012" s="94"/>
      <c r="M6012" s="94"/>
    </row>
    <row r="6013" s="93" customFormat="1" spans="3:13">
      <c r="C6013" s="94"/>
      <c r="E6013" s="94"/>
      <c r="G6013" s="94"/>
      <c r="I6013" s="94"/>
      <c r="K6013" s="94"/>
      <c r="M6013" s="94"/>
    </row>
    <row r="6014" s="93" customFormat="1" spans="3:13">
      <c r="C6014" s="94"/>
      <c r="E6014" s="94"/>
      <c r="G6014" s="94"/>
      <c r="I6014" s="94"/>
      <c r="K6014" s="94"/>
      <c r="M6014" s="94"/>
    </row>
    <row r="6015" s="93" customFormat="1" spans="3:13">
      <c r="C6015" s="94"/>
      <c r="E6015" s="94"/>
      <c r="G6015" s="94"/>
      <c r="I6015" s="94"/>
      <c r="K6015" s="94"/>
      <c r="M6015" s="94"/>
    </row>
    <row r="6016" s="93" customFormat="1" spans="3:13">
      <c r="C6016" s="94"/>
      <c r="E6016" s="94"/>
      <c r="G6016" s="94"/>
      <c r="I6016" s="94"/>
      <c r="K6016" s="94"/>
      <c r="M6016" s="94"/>
    </row>
    <row r="6017" s="93" customFormat="1" spans="3:13">
      <c r="C6017" s="94"/>
      <c r="E6017" s="94"/>
      <c r="G6017" s="94"/>
      <c r="I6017" s="94"/>
      <c r="K6017" s="94"/>
      <c r="M6017" s="94"/>
    </row>
    <row r="6018" s="93" customFormat="1" spans="3:13">
      <c r="C6018" s="94"/>
      <c r="E6018" s="94"/>
      <c r="G6018" s="94"/>
      <c r="I6018" s="94"/>
      <c r="K6018" s="94"/>
      <c r="M6018" s="94"/>
    </row>
    <row r="6019" s="93" customFormat="1" spans="3:13">
      <c r="C6019" s="94"/>
      <c r="E6019" s="94"/>
      <c r="G6019" s="94"/>
      <c r="I6019" s="94"/>
      <c r="K6019" s="94"/>
      <c r="M6019" s="94"/>
    </row>
    <row r="6020" s="93" customFormat="1" spans="3:13">
      <c r="C6020" s="94"/>
      <c r="E6020" s="94"/>
      <c r="G6020" s="94"/>
      <c r="I6020" s="94"/>
      <c r="K6020" s="94"/>
      <c r="M6020" s="94"/>
    </row>
    <row r="6021" s="93" customFormat="1" spans="3:13">
      <c r="C6021" s="94"/>
      <c r="E6021" s="94"/>
      <c r="G6021" s="94"/>
      <c r="I6021" s="94"/>
      <c r="K6021" s="94"/>
      <c r="M6021" s="94"/>
    </row>
    <row r="6022" s="93" customFormat="1" spans="3:13">
      <c r="C6022" s="94"/>
      <c r="E6022" s="94"/>
      <c r="G6022" s="94"/>
      <c r="I6022" s="94"/>
      <c r="K6022" s="94"/>
      <c r="M6022" s="94"/>
    </row>
    <row r="6023" s="93" customFormat="1" spans="3:13">
      <c r="C6023" s="94"/>
      <c r="E6023" s="94"/>
      <c r="G6023" s="94"/>
      <c r="I6023" s="94"/>
      <c r="K6023" s="94"/>
      <c r="M6023" s="94"/>
    </row>
    <row r="6024" s="93" customFormat="1" spans="3:13">
      <c r="C6024" s="94"/>
      <c r="E6024" s="94"/>
      <c r="G6024" s="94"/>
      <c r="I6024" s="94"/>
      <c r="K6024" s="94"/>
      <c r="M6024" s="94"/>
    </row>
    <row r="6025" s="93" customFormat="1" spans="3:13">
      <c r="C6025" s="94"/>
      <c r="E6025" s="94"/>
      <c r="G6025" s="94"/>
      <c r="I6025" s="94"/>
      <c r="K6025" s="94"/>
      <c r="M6025" s="94"/>
    </row>
    <row r="6026" s="93" customFormat="1" spans="3:13">
      <c r="C6026" s="94"/>
      <c r="E6026" s="94"/>
      <c r="G6026" s="94"/>
      <c r="I6026" s="94"/>
      <c r="K6026" s="94"/>
      <c r="M6026" s="94"/>
    </row>
    <row r="6027" s="93" customFormat="1" spans="3:13">
      <c r="C6027" s="94"/>
      <c r="E6027" s="94"/>
      <c r="G6027" s="94"/>
      <c r="I6027" s="94"/>
      <c r="K6027" s="94"/>
      <c r="M6027" s="94"/>
    </row>
    <row r="6028" s="93" customFormat="1" spans="3:13">
      <c r="C6028" s="94"/>
      <c r="E6028" s="94"/>
      <c r="G6028" s="94"/>
      <c r="I6028" s="94"/>
      <c r="K6028" s="94"/>
      <c r="M6028" s="94"/>
    </row>
    <row r="6029" s="93" customFormat="1" spans="3:13">
      <c r="C6029" s="94"/>
      <c r="E6029" s="94"/>
      <c r="G6029" s="94"/>
      <c r="I6029" s="94"/>
      <c r="K6029" s="94"/>
      <c r="M6029" s="94"/>
    </row>
    <row r="6030" s="93" customFormat="1" spans="3:13">
      <c r="C6030" s="94"/>
      <c r="E6030" s="94"/>
      <c r="G6030" s="94"/>
      <c r="I6030" s="94"/>
      <c r="K6030" s="94"/>
      <c r="M6030" s="94"/>
    </row>
    <row r="6031" s="93" customFormat="1" spans="3:13">
      <c r="C6031" s="94"/>
      <c r="E6031" s="94"/>
      <c r="G6031" s="94"/>
      <c r="I6031" s="94"/>
      <c r="K6031" s="94"/>
      <c r="M6031" s="94"/>
    </row>
    <row r="6032" s="93" customFormat="1" spans="3:13">
      <c r="C6032" s="94"/>
      <c r="E6032" s="94"/>
      <c r="G6032" s="94"/>
      <c r="I6032" s="94"/>
      <c r="K6032" s="94"/>
      <c r="M6032" s="94"/>
    </row>
    <row r="6033" s="93" customFormat="1" spans="3:13">
      <c r="C6033" s="94"/>
      <c r="E6033" s="94"/>
      <c r="G6033" s="94"/>
      <c r="I6033" s="94"/>
      <c r="K6033" s="94"/>
      <c r="M6033" s="94"/>
    </row>
    <row r="6034" s="93" customFormat="1" spans="3:13">
      <c r="C6034" s="94"/>
      <c r="E6034" s="94"/>
      <c r="G6034" s="94"/>
      <c r="I6034" s="94"/>
      <c r="K6034" s="94"/>
      <c r="M6034" s="94"/>
    </row>
    <row r="6035" s="93" customFormat="1" spans="3:13">
      <c r="C6035" s="94"/>
      <c r="E6035" s="94"/>
      <c r="G6035" s="94"/>
      <c r="I6035" s="94"/>
      <c r="K6035" s="94"/>
      <c r="M6035" s="94"/>
    </row>
    <row r="6036" s="93" customFormat="1" spans="3:13">
      <c r="C6036" s="94"/>
      <c r="E6036" s="94"/>
      <c r="G6036" s="94"/>
      <c r="I6036" s="94"/>
      <c r="K6036" s="94"/>
      <c r="M6036" s="94"/>
    </row>
    <row r="6037" s="93" customFormat="1" spans="3:13">
      <c r="C6037" s="94"/>
      <c r="E6037" s="94"/>
      <c r="G6037" s="94"/>
      <c r="I6037" s="94"/>
      <c r="K6037" s="94"/>
      <c r="M6037" s="94"/>
    </row>
    <row r="6038" s="93" customFormat="1" spans="3:13">
      <c r="C6038" s="94"/>
      <c r="E6038" s="94"/>
      <c r="G6038" s="94"/>
      <c r="I6038" s="94"/>
      <c r="K6038" s="94"/>
      <c r="M6038" s="94"/>
    </row>
    <row r="6039" s="93" customFormat="1" spans="3:13">
      <c r="C6039" s="94"/>
      <c r="E6039" s="94"/>
      <c r="G6039" s="94"/>
      <c r="I6039" s="94"/>
      <c r="K6039" s="94"/>
      <c r="M6039" s="94"/>
    </row>
    <row r="6040" s="93" customFormat="1" spans="3:13">
      <c r="C6040" s="94"/>
      <c r="E6040" s="94"/>
      <c r="G6040" s="94"/>
      <c r="I6040" s="94"/>
      <c r="K6040" s="94"/>
      <c r="M6040" s="94"/>
    </row>
    <row r="6041" s="93" customFormat="1" spans="3:13">
      <c r="C6041" s="94"/>
      <c r="E6041" s="94"/>
      <c r="G6041" s="94"/>
      <c r="I6041" s="94"/>
      <c r="K6041" s="94"/>
      <c r="M6041" s="94"/>
    </row>
    <row r="6042" s="93" customFormat="1" spans="3:13">
      <c r="C6042" s="94"/>
      <c r="E6042" s="94"/>
      <c r="G6042" s="94"/>
      <c r="I6042" s="94"/>
      <c r="K6042" s="94"/>
      <c r="M6042" s="94"/>
    </row>
    <row r="6043" s="93" customFormat="1" spans="3:13">
      <c r="C6043" s="94"/>
      <c r="E6043" s="94"/>
      <c r="G6043" s="94"/>
      <c r="I6043" s="94"/>
      <c r="K6043" s="94"/>
      <c r="M6043" s="94"/>
    </row>
    <row r="6044" s="93" customFormat="1" spans="3:13">
      <c r="C6044" s="94"/>
      <c r="E6044" s="94"/>
      <c r="G6044" s="94"/>
      <c r="I6044" s="94"/>
      <c r="K6044" s="94"/>
      <c r="M6044" s="94"/>
    </row>
    <row r="6045" s="93" customFormat="1" spans="3:13">
      <c r="C6045" s="94"/>
      <c r="E6045" s="94"/>
      <c r="G6045" s="94"/>
      <c r="I6045" s="94"/>
      <c r="K6045" s="94"/>
      <c r="M6045" s="94"/>
    </row>
    <row r="6046" s="93" customFormat="1" spans="3:13">
      <c r="C6046" s="94"/>
      <c r="E6046" s="94"/>
      <c r="G6046" s="94"/>
      <c r="I6046" s="94"/>
      <c r="K6046" s="94"/>
      <c r="M6046" s="94"/>
    </row>
    <row r="6047" s="93" customFormat="1" spans="3:13">
      <c r="C6047" s="94"/>
      <c r="E6047" s="94"/>
      <c r="G6047" s="94"/>
      <c r="I6047" s="94"/>
      <c r="K6047" s="94"/>
      <c r="M6047" s="94"/>
    </row>
    <row r="6048" s="93" customFormat="1" spans="3:13">
      <c r="C6048" s="94"/>
      <c r="E6048" s="94"/>
      <c r="G6048" s="94"/>
      <c r="I6048" s="94"/>
      <c r="K6048" s="94"/>
      <c r="M6048" s="94"/>
    </row>
    <row r="6049" s="93" customFormat="1" spans="3:13">
      <c r="C6049" s="94"/>
      <c r="E6049" s="94"/>
      <c r="G6049" s="94"/>
      <c r="I6049" s="94"/>
      <c r="K6049" s="94"/>
      <c r="M6049" s="94"/>
    </row>
    <row r="6050" s="93" customFormat="1" spans="3:13">
      <c r="C6050" s="94"/>
      <c r="E6050" s="94"/>
      <c r="G6050" s="94"/>
      <c r="I6050" s="94"/>
      <c r="K6050" s="94"/>
      <c r="M6050" s="94"/>
    </row>
    <row r="6051" s="93" customFormat="1" spans="3:13">
      <c r="C6051" s="94"/>
      <c r="E6051" s="94"/>
      <c r="G6051" s="94"/>
      <c r="I6051" s="94"/>
      <c r="K6051" s="94"/>
      <c r="M6051" s="94"/>
    </row>
    <row r="6052" s="93" customFormat="1" spans="3:13">
      <c r="C6052" s="94"/>
      <c r="E6052" s="94"/>
      <c r="G6052" s="94"/>
      <c r="I6052" s="94"/>
      <c r="K6052" s="94"/>
      <c r="M6052" s="94"/>
    </row>
    <row r="6053" s="93" customFormat="1" spans="3:13">
      <c r="C6053" s="94"/>
      <c r="E6053" s="94"/>
      <c r="G6053" s="94"/>
      <c r="I6053" s="94"/>
      <c r="K6053" s="94"/>
      <c r="M6053" s="94"/>
    </row>
    <row r="6054" s="93" customFormat="1" spans="3:13">
      <c r="C6054" s="94"/>
      <c r="E6054" s="94"/>
      <c r="G6054" s="94"/>
      <c r="I6054" s="94"/>
      <c r="K6054" s="94"/>
      <c r="M6054" s="94"/>
    </row>
    <row r="6055" s="93" customFormat="1" spans="3:13">
      <c r="C6055" s="94"/>
      <c r="E6055" s="94"/>
      <c r="G6055" s="94"/>
      <c r="I6055" s="94"/>
      <c r="K6055" s="94"/>
      <c r="M6055" s="94"/>
    </row>
    <row r="6056" s="93" customFormat="1" spans="3:13">
      <c r="C6056" s="94"/>
      <c r="E6056" s="94"/>
      <c r="G6056" s="94"/>
      <c r="I6056" s="94"/>
      <c r="K6056" s="94"/>
      <c r="M6056" s="94"/>
    </row>
    <row r="6057" s="93" customFormat="1" spans="3:13">
      <c r="C6057" s="94"/>
      <c r="E6057" s="94"/>
      <c r="G6057" s="94"/>
      <c r="I6057" s="94"/>
      <c r="K6057" s="94"/>
      <c r="M6057" s="94"/>
    </row>
    <row r="6058" s="93" customFormat="1" spans="3:13">
      <c r="C6058" s="94"/>
      <c r="E6058" s="94"/>
      <c r="G6058" s="94"/>
      <c r="I6058" s="94"/>
      <c r="K6058" s="94"/>
      <c r="M6058" s="94"/>
    </row>
    <row r="6059" s="93" customFormat="1" spans="3:13">
      <c r="C6059" s="94"/>
      <c r="E6059" s="94"/>
      <c r="G6059" s="94"/>
      <c r="I6059" s="94"/>
      <c r="K6059" s="94"/>
      <c r="M6059" s="94"/>
    </row>
    <row r="6060" s="93" customFormat="1" spans="3:13">
      <c r="C6060" s="94"/>
      <c r="E6060" s="94"/>
      <c r="G6060" s="94"/>
      <c r="I6060" s="94"/>
      <c r="K6060" s="94"/>
      <c r="M6060" s="94"/>
    </row>
    <row r="6061" s="93" customFormat="1" spans="3:13">
      <c r="C6061" s="94"/>
      <c r="E6061" s="94"/>
      <c r="G6061" s="94"/>
      <c r="I6061" s="94"/>
      <c r="K6061" s="94"/>
      <c r="M6061" s="94"/>
    </row>
    <row r="6062" s="93" customFormat="1" spans="3:13">
      <c r="C6062" s="94"/>
      <c r="E6062" s="94"/>
      <c r="G6062" s="94"/>
      <c r="I6062" s="94"/>
      <c r="K6062" s="94"/>
      <c r="M6062" s="94"/>
    </row>
    <row r="6063" s="93" customFormat="1" spans="3:13">
      <c r="C6063" s="94"/>
      <c r="E6063" s="94"/>
      <c r="G6063" s="94"/>
      <c r="I6063" s="94"/>
      <c r="K6063" s="94"/>
      <c r="M6063" s="94"/>
    </row>
    <row r="6064" s="93" customFormat="1" spans="3:13">
      <c r="C6064" s="94"/>
      <c r="E6064" s="94"/>
      <c r="G6064" s="94"/>
      <c r="I6064" s="94"/>
      <c r="K6064" s="94"/>
      <c r="M6064" s="94"/>
    </row>
    <row r="6065" s="93" customFormat="1" spans="3:13">
      <c r="C6065" s="94"/>
      <c r="E6065" s="94"/>
      <c r="G6065" s="94"/>
      <c r="I6065" s="94"/>
      <c r="K6065" s="94"/>
      <c r="M6065" s="94"/>
    </row>
    <row r="6066" s="93" customFormat="1" spans="3:13">
      <c r="C6066" s="94"/>
      <c r="E6066" s="94"/>
      <c r="G6066" s="94"/>
      <c r="I6066" s="94"/>
      <c r="K6066" s="94"/>
      <c r="M6066" s="94"/>
    </row>
    <row r="6067" s="93" customFormat="1" spans="3:13">
      <c r="C6067" s="94"/>
      <c r="E6067" s="94"/>
      <c r="G6067" s="94"/>
      <c r="I6067" s="94"/>
      <c r="K6067" s="94"/>
      <c r="M6067" s="94"/>
    </row>
    <row r="6068" s="93" customFormat="1" spans="3:13">
      <c r="C6068" s="94"/>
      <c r="E6068" s="94"/>
      <c r="G6068" s="94"/>
      <c r="I6068" s="94"/>
      <c r="K6068" s="94"/>
      <c r="M6068" s="94"/>
    </row>
    <row r="6069" s="93" customFormat="1" spans="3:13">
      <c r="C6069" s="94"/>
      <c r="E6069" s="94"/>
      <c r="G6069" s="94"/>
      <c r="I6069" s="94"/>
      <c r="K6069" s="94"/>
      <c r="M6069" s="94"/>
    </row>
    <row r="6070" s="93" customFormat="1" spans="3:13">
      <c r="C6070" s="94"/>
      <c r="E6070" s="94"/>
      <c r="G6070" s="94"/>
      <c r="I6070" s="94"/>
      <c r="K6070" s="94"/>
      <c r="M6070" s="94"/>
    </row>
    <row r="6071" s="93" customFormat="1" spans="3:13">
      <c r="C6071" s="94"/>
      <c r="E6071" s="94"/>
      <c r="G6071" s="94"/>
      <c r="I6071" s="94"/>
      <c r="K6071" s="94"/>
      <c r="M6071" s="94"/>
    </row>
    <row r="6072" s="93" customFormat="1" spans="3:13">
      <c r="C6072" s="94"/>
      <c r="E6072" s="94"/>
      <c r="G6072" s="94"/>
      <c r="I6072" s="94"/>
      <c r="K6072" s="94"/>
      <c r="M6072" s="94"/>
    </row>
    <row r="6073" s="93" customFormat="1" spans="3:13">
      <c r="C6073" s="94"/>
      <c r="E6073" s="94"/>
      <c r="G6073" s="94"/>
      <c r="I6073" s="94"/>
      <c r="K6073" s="94"/>
      <c r="M6073" s="94"/>
    </row>
    <row r="6074" s="93" customFormat="1" spans="3:13">
      <c r="C6074" s="94"/>
      <c r="E6074" s="94"/>
      <c r="G6074" s="94"/>
      <c r="I6074" s="94"/>
      <c r="K6074" s="94"/>
      <c r="M6074" s="94"/>
    </row>
    <row r="6075" s="93" customFormat="1" spans="3:13">
      <c r="C6075" s="94"/>
      <c r="E6075" s="94"/>
      <c r="G6075" s="94"/>
      <c r="I6075" s="94"/>
      <c r="K6075" s="94"/>
      <c r="M6075" s="94"/>
    </row>
    <row r="6076" s="93" customFormat="1" spans="3:13">
      <c r="C6076" s="94"/>
      <c r="E6076" s="94"/>
      <c r="G6076" s="94"/>
      <c r="I6076" s="94"/>
      <c r="K6076" s="94"/>
      <c r="M6076" s="94"/>
    </row>
    <row r="6077" s="93" customFormat="1" spans="3:13">
      <c r="C6077" s="94"/>
      <c r="E6077" s="94"/>
      <c r="G6077" s="94"/>
      <c r="I6077" s="94"/>
      <c r="K6077" s="94"/>
      <c r="M6077" s="94"/>
    </row>
    <row r="6078" s="93" customFormat="1" spans="3:13">
      <c r="C6078" s="94"/>
      <c r="E6078" s="94"/>
      <c r="G6078" s="94"/>
      <c r="I6078" s="94"/>
      <c r="K6078" s="94"/>
      <c r="M6078" s="94"/>
    </row>
    <row r="6079" s="93" customFormat="1" spans="3:13">
      <c r="C6079" s="94"/>
      <c r="E6079" s="94"/>
      <c r="G6079" s="94"/>
      <c r="I6079" s="94"/>
      <c r="K6079" s="94"/>
      <c r="M6079" s="94"/>
    </row>
    <row r="6080" s="93" customFormat="1" spans="3:13">
      <c r="C6080" s="94"/>
      <c r="E6080" s="94"/>
      <c r="G6080" s="94"/>
      <c r="I6080" s="94"/>
      <c r="K6080" s="94"/>
      <c r="M6080" s="94"/>
    </row>
    <row r="6081" s="93" customFormat="1" spans="3:13">
      <c r="C6081" s="94"/>
      <c r="E6081" s="94"/>
      <c r="G6081" s="94"/>
      <c r="I6081" s="94"/>
      <c r="K6081" s="94"/>
      <c r="M6081" s="94"/>
    </row>
    <row r="6082" s="93" customFormat="1" spans="3:13">
      <c r="C6082" s="94"/>
      <c r="E6082" s="94"/>
      <c r="G6082" s="94"/>
      <c r="I6082" s="94"/>
      <c r="K6082" s="94"/>
      <c r="M6082" s="94"/>
    </row>
    <row r="6083" s="93" customFormat="1" spans="3:13">
      <c r="C6083" s="94"/>
      <c r="E6083" s="94"/>
      <c r="G6083" s="94"/>
      <c r="I6083" s="94"/>
      <c r="K6083" s="94"/>
      <c r="M6083" s="94"/>
    </row>
    <row r="6084" s="93" customFormat="1" spans="3:13">
      <c r="C6084" s="94"/>
      <c r="E6084" s="94"/>
      <c r="G6084" s="94"/>
      <c r="I6084" s="94"/>
      <c r="K6084" s="94"/>
      <c r="M6084" s="94"/>
    </row>
    <row r="6085" s="93" customFormat="1" spans="3:13">
      <c r="C6085" s="94"/>
      <c r="E6085" s="94"/>
      <c r="G6085" s="94"/>
      <c r="I6085" s="94"/>
      <c r="K6085" s="94"/>
      <c r="M6085" s="94"/>
    </row>
    <row r="6086" s="93" customFormat="1" spans="3:13">
      <c r="C6086" s="94"/>
      <c r="E6086" s="94"/>
      <c r="G6086" s="94"/>
      <c r="I6086" s="94"/>
      <c r="K6086" s="94"/>
      <c r="M6086" s="94"/>
    </row>
    <row r="6087" s="93" customFormat="1" spans="3:13">
      <c r="C6087" s="94"/>
      <c r="E6087" s="94"/>
      <c r="G6087" s="94"/>
      <c r="I6087" s="94"/>
      <c r="K6087" s="94"/>
      <c r="M6087" s="94"/>
    </row>
    <row r="6088" s="93" customFormat="1" spans="3:13">
      <c r="C6088" s="94"/>
      <c r="E6088" s="94"/>
      <c r="G6088" s="94"/>
      <c r="I6088" s="94"/>
      <c r="K6088" s="94"/>
      <c r="M6088" s="94"/>
    </row>
    <row r="6089" s="93" customFormat="1" spans="3:13">
      <c r="C6089" s="94"/>
      <c r="E6089" s="94"/>
      <c r="G6089" s="94"/>
      <c r="I6089" s="94"/>
      <c r="K6089" s="94"/>
      <c r="M6089" s="94"/>
    </row>
    <row r="6090" s="93" customFormat="1" spans="3:13">
      <c r="C6090" s="94"/>
      <c r="E6090" s="94"/>
      <c r="G6090" s="94"/>
      <c r="I6090" s="94"/>
      <c r="K6090" s="94"/>
      <c r="M6090" s="94"/>
    </row>
    <row r="6091" s="93" customFormat="1" spans="3:13">
      <c r="C6091" s="94"/>
      <c r="E6091" s="94"/>
      <c r="G6091" s="94"/>
      <c r="I6091" s="94"/>
      <c r="K6091" s="94"/>
      <c r="M6091" s="94"/>
    </row>
    <row r="6092" s="93" customFormat="1" spans="3:13">
      <c r="C6092" s="94"/>
      <c r="E6092" s="94"/>
      <c r="G6092" s="94"/>
      <c r="I6092" s="94"/>
      <c r="K6092" s="94"/>
      <c r="M6092" s="94"/>
    </row>
    <row r="6093" s="93" customFormat="1" spans="3:13">
      <c r="C6093" s="94"/>
      <c r="E6093" s="94"/>
      <c r="G6093" s="94"/>
      <c r="I6093" s="94"/>
      <c r="K6093" s="94"/>
      <c r="M6093" s="94"/>
    </row>
    <row r="6094" s="93" customFormat="1" spans="3:13">
      <c r="C6094" s="94"/>
      <c r="E6094" s="94"/>
      <c r="G6094" s="94"/>
      <c r="I6094" s="94"/>
      <c r="K6094" s="94"/>
      <c r="M6094" s="94"/>
    </row>
    <row r="6095" s="93" customFormat="1" spans="3:13">
      <c r="C6095" s="94"/>
      <c r="E6095" s="94"/>
      <c r="G6095" s="94"/>
      <c r="I6095" s="94"/>
      <c r="K6095" s="94"/>
      <c r="M6095" s="94"/>
    </row>
    <row r="6096" s="93" customFormat="1" spans="3:13">
      <c r="C6096" s="94"/>
      <c r="E6096" s="94"/>
      <c r="G6096" s="94"/>
      <c r="I6096" s="94"/>
      <c r="K6096" s="94"/>
      <c r="M6096" s="94"/>
    </row>
    <row r="6097" s="93" customFormat="1" spans="3:13">
      <c r="C6097" s="94"/>
      <c r="E6097" s="94"/>
      <c r="G6097" s="94"/>
      <c r="I6097" s="94"/>
      <c r="K6097" s="94"/>
      <c r="M6097" s="94"/>
    </row>
    <row r="6098" s="93" customFormat="1" spans="3:13">
      <c r="C6098" s="94"/>
      <c r="E6098" s="94"/>
      <c r="G6098" s="94"/>
      <c r="I6098" s="94"/>
      <c r="K6098" s="94"/>
      <c r="M6098" s="94"/>
    </row>
    <row r="6099" s="93" customFormat="1" spans="3:13">
      <c r="C6099" s="94"/>
      <c r="E6099" s="94"/>
      <c r="G6099" s="94"/>
      <c r="I6099" s="94"/>
      <c r="K6099" s="94"/>
      <c r="M6099" s="94"/>
    </row>
    <row r="6100" s="93" customFormat="1" spans="3:13">
      <c r="C6100" s="94"/>
      <c r="E6100" s="94"/>
      <c r="G6100" s="94"/>
      <c r="I6100" s="94"/>
      <c r="K6100" s="94"/>
      <c r="M6100" s="94"/>
    </row>
    <row r="6101" s="93" customFormat="1" spans="3:13">
      <c r="C6101" s="94"/>
      <c r="E6101" s="94"/>
      <c r="G6101" s="94"/>
      <c r="I6101" s="94"/>
      <c r="K6101" s="94"/>
      <c r="M6101" s="94"/>
    </row>
    <row r="6102" s="93" customFormat="1" spans="3:13">
      <c r="C6102" s="94"/>
      <c r="E6102" s="94"/>
      <c r="G6102" s="94"/>
      <c r="I6102" s="94"/>
      <c r="K6102" s="94"/>
      <c r="M6102" s="94"/>
    </row>
    <row r="6103" s="93" customFormat="1" spans="3:13">
      <c r="C6103" s="94"/>
      <c r="E6103" s="94"/>
      <c r="G6103" s="94"/>
      <c r="I6103" s="94"/>
      <c r="K6103" s="94"/>
      <c r="M6103" s="94"/>
    </row>
    <row r="6104" s="93" customFormat="1" spans="3:13">
      <c r="C6104" s="94"/>
      <c r="E6104" s="94"/>
      <c r="G6104" s="94"/>
      <c r="I6104" s="94"/>
      <c r="K6104" s="94"/>
      <c r="M6104" s="94"/>
    </row>
    <row r="6105" s="93" customFormat="1" spans="3:13">
      <c r="C6105" s="94"/>
      <c r="E6105" s="94"/>
      <c r="G6105" s="94"/>
      <c r="I6105" s="94"/>
      <c r="K6105" s="94"/>
      <c r="M6105" s="94"/>
    </row>
    <row r="6106" s="93" customFormat="1" spans="3:13">
      <c r="C6106" s="94"/>
      <c r="E6106" s="94"/>
      <c r="G6106" s="94"/>
      <c r="I6106" s="94"/>
      <c r="K6106" s="94"/>
      <c r="M6106" s="94"/>
    </row>
    <row r="6107" s="93" customFormat="1" spans="3:13">
      <c r="C6107" s="94"/>
      <c r="E6107" s="94"/>
      <c r="G6107" s="94"/>
      <c r="I6107" s="94"/>
      <c r="K6107" s="94"/>
      <c r="M6107" s="94"/>
    </row>
    <row r="6108" s="93" customFormat="1" spans="3:13">
      <c r="C6108" s="94"/>
      <c r="E6108" s="94"/>
      <c r="G6108" s="94"/>
      <c r="I6108" s="94"/>
      <c r="K6108" s="94"/>
      <c r="M6108" s="94"/>
    </row>
    <row r="6109" s="93" customFormat="1" spans="3:13">
      <c r="C6109" s="94"/>
      <c r="E6109" s="94"/>
      <c r="G6109" s="94"/>
      <c r="I6109" s="94"/>
      <c r="K6109" s="94"/>
      <c r="M6109" s="94"/>
    </row>
    <row r="6110" s="93" customFormat="1" spans="3:13">
      <c r="C6110" s="94"/>
      <c r="E6110" s="94"/>
      <c r="G6110" s="94"/>
      <c r="I6110" s="94"/>
      <c r="K6110" s="94"/>
      <c r="M6110" s="94"/>
    </row>
    <row r="6111" s="93" customFormat="1" spans="3:13">
      <c r="C6111" s="94"/>
      <c r="E6111" s="94"/>
      <c r="G6111" s="94"/>
      <c r="I6111" s="94"/>
      <c r="K6111" s="94"/>
      <c r="M6111" s="94"/>
    </row>
    <row r="6112" s="93" customFormat="1" spans="3:13">
      <c r="C6112" s="94"/>
      <c r="E6112" s="94"/>
      <c r="G6112" s="94"/>
      <c r="I6112" s="94"/>
      <c r="K6112" s="94"/>
      <c r="M6112" s="94"/>
    </row>
    <row r="6113" s="93" customFormat="1" spans="3:13">
      <c r="C6113" s="94"/>
      <c r="E6113" s="94"/>
      <c r="G6113" s="94"/>
      <c r="I6113" s="94"/>
      <c r="K6113" s="94"/>
      <c r="M6113" s="94"/>
    </row>
    <row r="6114" s="93" customFormat="1" spans="3:13">
      <c r="C6114" s="94"/>
      <c r="E6114" s="94"/>
      <c r="G6114" s="94"/>
      <c r="I6114" s="94"/>
      <c r="K6114" s="94"/>
      <c r="M6114" s="94"/>
    </row>
    <row r="6115" s="93" customFormat="1" spans="3:13">
      <c r="C6115" s="94"/>
      <c r="E6115" s="94"/>
      <c r="G6115" s="94"/>
      <c r="I6115" s="94"/>
      <c r="K6115" s="94"/>
      <c r="M6115" s="94"/>
    </row>
    <row r="6116" s="93" customFormat="1" spans="3:13">
      <c r="C6116" s="94"/>
      <c r="E6116" s="94"/>
      <c r="G6116" s="94"/>
      <c r="I6116" s="94"/>
      <c r="K6116" s="94"/>
      <c r="M6116" s="94"/>
    </row>
    <row r="6117" s="93" customFormat="1" spans="3:13">
      <c r="C6117" s="94"/>
      <c r="E6117" s="94"/>
      <c r="G6117" s="94"/>
      <c r="I6117" s="94"/>
      <c r="K6117" s="94"/>
      <c r="M6117" s="94"/>
    </row>
    <row r="6118" s="93" customFormat="1" spans="3:13">
      <c r="C6118" s="94"/>
      <c r="E6118" s="94"/>
      <c r="G6118" s="94"/>
      <c r="I6118" s="94"/>
      <c r="K6118" s="94"/>
      <c r="M6118" s="94"/>
    </row>
    <row r="6119" s="93" customFormat="1" spans="3:13">
      <c r="C6119" s="94"/>
      <c r="E6119" s="94"/>
      <c r="G6119" s="94"/>
      <c r="I6119" s="94"/>
      <c r="K6119" s="94"/>
      <c r="M6119" s="94"/>
    </row>
    <row r="6120" s="93" customFormat="1" spans="3:13">
      <c r="C6120" s="94"/>
      <c r="E6120" s="94"/>
      <c r="G6120" s="94"/>
      <c r="I6120" s="94"/>
      <c r="K6120" s="94"/>
      <c r="M6120" s="94"/>
    </row>
    <row r="6121" s="93" customFormat="1" spans="3:13">
      <c r="C6121" s="94"/>
      <c r="E6121" s="94"/>
      <c r="G6121" s="94"/>
      <c r="I6121" s="94"/>
      <c r="K6121" s="94"/>
      <c r="M6121" s="94"/>
    </row>
    <row r="6122" s="93" customFormat="1" spans="3:13">
      <c r="C6122" s="94"/>
      <c r="E6122" s="94"/>
      <c r="G6122" s="94"/>
      <c r="I6122" s="94"/>
      <c r="K6122" s="94"/>
      <c r="M6122" s="94"/>
    </row>
    <row r="6123" s="93" customFormat="1" spans="3:13">
      <c r="C6123" s="94"/>
      <c r="E6123" s="94"/>
      <c r="G6123" s="94"/>
      <c r="I6123" s="94"/>
      <c r="K6123" s="94"/>
      <c r="M6123" s="94"/>
    </row>
    <row r="6124" s="93" customFormat="1" spans="3:13">
      <c r="C6124" s="94"/>
      <c r="E6124" s="94"/>
      <c r="G6124" s="94"/>
      <c r="I6124" s="94"/>
      <c r="K6124" s="94"/>
      <c r="M6124" s="94"/>
    </row>
    <row r="6125" s="93" customFormat="1" spans="3:13">
      <c r="C6125" s="94"/>
      <c r="E6125" s="94"/>
      <c r="G6125" s="94"/>
      <c r="I6125" s="94"/>
      <c r="K6125" s="94"/>
      <c r="M6125" s="94"/>
    </row>
    <row r="6126" s="93" customFormat="1" spans="3:13">
      <c r="C6126" s="94"/>
      <c r="E6126" s="94"/>
      <c r="G6126" s="94"/>
      <c r="I6126" s="94"/>
      <c r="K6126" s="94"/>
      <c r="M6126" s="94"/>
    </row>
    <row r="6127" s="93" customFormat="1" spans="3:13">
      <c r="C6127" s="94"/>
      <c r="E6127" s="94"/>
      <c r="G6127" s="94"/>
      <c r="I6127" s="94"/>
      <c r="K6127" s="94"/>
      <c r="M6127" s="94"/>
    </row>
    <row r="6128" s="93" customFormat="1" spans="3:13">
      <c r="C6128" s="94"/>
      <c r="E6128" s="94"/>
      <c r="G6128" s="94"/>
      <c r="I6128" s="94"/>
      <c r="K6128" s="94"/>
      <c r="M6128" s="94"/>
    </row>
    <row r="6129" s="93" customFormat="1" spans="3:13">
      <c r="C6129" s="94"/>
      <c r="E6129" s="94"/>
      <c r="G6129" s="94"/>
      <c r="I6129" s="94"/>
      <c r="K6129" s="94"/>
      <c r="M6129" s="94"/>
    </row>
    <row r="6130" s="93" customFormat="1" spans="3:13">
      <c r="C6130" s="94"/>
      <c r="E6130" s="94"/>
      <c r="G6130" s="94"/>
      <c r="I6130" s="94"/>
      <c r="K6130" s="94"/>
      <c r="M6130" s="94"/>
    </row>
    <row r="6131" s="93" customFormat="1" spans="3:13">
      <c r="C6131" s="94"/>
      <c r="E6131" s="94"/>
      <c r="G6131" s="94"/>
      <c r="I6131" s="94"/>
      <c r="K6131" s="94"/>
      <c r="M6131" s="94"/>
    </row>
    <row r="6132" s="93" customFormat="1" spans="3:13">
      <c r="C6132" s="94"/>
      <c r="E6132" s="94"/>
      <c r="G6132" s="94"/>
      <c r="I6132" s="94"/>
      <c r="K6132" s="94"/>
      <c r="M6132" s="94"/>
    </row>
    <row r="6133" s="93" customFormat="1" spans="3:13">
      <c r="C6133" s="94"/>
      <c r="E6133" s="94"/>
      <c r="G6133" s="94"/>
      <c r="I6133" s="94"/>
      <c r="K6133" s="94"/>
      <c r="M6133" s="94"/>
    </row>
    <row r="6134" s="93" customFormat="1" spans="3:13">
      <c r="C6134" s="94"/>
      <c r="E6134" s="94"/>
      <c r="G6134" s="94"/>
      <c r="I6134" s="94"/>
      <c r="K6134" s="94"/>
      <c r="M6134" s="94"/>
    </row>
    <row r="6135" s="93" customFormat="1" spans="3:13">
      <c r="C6135" s="94"/>
      <c r="E6135" s="94"/>
      <c r="G6135" s="94"/>
      <c r="I6135" s="94"/>
      <c r="K6135" s="94"/>
      <c r="M6135" s="94"/>
    </row>
    <row r="6136" s="93" customFormat="1" spans="3:13">
      <c r="C6136" s="94"/>
      <c r="E6136" s="94"/>
      <c r="G6136" s="94"/>
      <c r="I6136" s="94"/>
      <c r="K6136" s="94"/>
      <c r="M6136" s="94"/>
    </row>
    <row r="6137" s="93" customFormat="1" spans="3:13">
      <c r="C6137" s="94"/>
      <c r="E6137" s="94"/>
      <c r="G6137" s="94"/>
      <c r="I6137" s="94"/>
      <c r="K6137" s="94"/>
      <c r="M6137" s="94"/>
    </row>
    <row r="6138" s="93" customFormat="1" spans="3:13">
      <c r="C6138" s="94"/>
      <c r="E6138" s="94"/>
      <c r="G6138" s="94"/>
      <c r="I6138" s="94"/>
      <c r="K6138" s="94"/>
      <c r="M6138" s="94"/>
    </row>
    <row r="6139" s="93" customFormat="1" spans="3:13">
      <c r="C6139" s="94"/>
      <c r="E6139" s="94"/>
      <c r="G6139" s="94"/>
      <c r="I6139" s="94"/>
      <c r="K6139" s="94"/>
      <c r="M6139" s="94"/>
    </row>
    <row r="6140" s="93" customFormat="1" spans="3:13">
      <c r="C6140" s="94"/>
      <c r="E6140" s="94"/>
      <c r="G6140" s="94"/>
      <c r="I6140" s="94"/>
      <c r="K6140" s="94"/>
      <c r="M6140" s="94"/>
    </row>
    <row r="6141" s="93" customFormat="1" spans="3:13">
      <c r="C6141" s="94"/>
      <c r="E6141" s="94"/>
      <c r="G6141" s="94"/>
      <c r="I6141" s="94"/>
      <c r="K6141" s="94"/>
      <c r="M6141" s="94"/>
    </row>
    <row r="6142" s="93" customFormat="1" spans="3:13">
      <c r="C6142" s="94"/>
      <c r="E6142" s="94"/>
      <c r="G6142" s="94"/>
      <c r="I6142" s="94"/>
      <c r="K6142" s="94"/>
      <c r="M6142" s="94"/>
    </row>
    <row r="6143" s="93" customFormat="1" spans="3:13">
      <c r="C6143" s="94"/>
      <c r="E6143" s="94"/>
      <c r="G6143" s="94"/>
      <c r="I6143" s="94"/>
      <c r="K6143" s="94"/>
      <c r="M6143" s="94"/>
    </row>
    <row r="6144" s="93" customFormat="1" spans="3:13">
      <c r="C6144" s="94"/>
      <c r="E6144" s="94"/>
      <c r="G6144" s="94"/>
      <c r="I6144" s="94"/>
      <c r="K6144" s="94"/>
      <c r="M6144" s="94"/>
    </row>
    <row r="6145" s="93" customFormat="1" spans="3:13">
      <c r="C6145" s="94"/>
      <c r="E6145" s="94"/>
      <c r="G6145" s="94"/>
      <c r="I6145" s="94"/>
      <c r="K6145" s="94"/>
      <c r="M6145" s="94"/>
    </row>
    <row r="6146" s="93" customFormat="1" spans="3:13">
      <c r="C6146" s="94"/>
      <c r="E6146" s="94"/>
      <c r="G6146" s="94"/>
      <c r="I6146" s="94"/>
      <c r="K6146" s="94"/>
      <c r="M6146" s="94"/>
    </row>
    <row r="6147" s="93" customFormat="1" spans="3:13">
      <c r="C6147" s="94"/>
      <c r="E6147" s="94"/>
      <c r="G6147" s="94"/>
      <c r="I6147" s="94"/>
      <c r="K6147" s="94"/>
      <c r="M6147" s="94"/>
    </row>
    <row r="6148" s="93" customFormat="1" spans="3:13">
      <c r="C6148" s="94"/>
      <c r="E6148" s="94"/>
      <c r="G6148" s="94"/>
      <c r="I6148" s="94"/>
      <c r="K6148" s="94"/>
      <c r="M6148" s="94"/>
    </row>
    <row r="6149" s="93" customFormat="1" spans="3:13">
      <c r="C6149" s="94"/>
      <c r="E6149" s="94"/>
      <c r="G6149" s="94"/>
      <c r="I6149" s="94"/>
      <c r="K6149" s="94"/>
      <c r="M6149" s="94"/>
    </row>
    <row r="6150" s="93" customFormat="1" spans="3:13">
      <c r="C6150" s="94"/>
      <c r="E6150" s="94"/>
      <c r="G6150" s="94"/>
      <c r="I6150" s="94"/>
      <c r="K6150" s="94"/>
      <c r="M6150" s="94"/>
    </row>
    <row r="6151" s="93" customFormat="1" spans="3:13">
      <c r="C6151" s="94"/>
      <c r="E6151" s="94"/>
      <c r="G6151" s="94"/>
      <c r="I6151" s="94"/>
      <c r="K6151" s="94"/>
      <c r="M6151" s="94"/>
    </row>
    <row r="6152" s="93" customFormat="1" spans="3:13">
      <c r="C6152" s="94"/>
      <c r="E6152" s="94"/>
      <c r="G6152" s="94"/>
      <c r="I6152" s="94"/>
      <c r="K6152" s="94"/>
      <c r="M6152" s="94"/>
    </row>
    <row r="6153" s="93" customFormat="1" spans="3:13">
      <c r="C6153" s="94"/>
      <c r="E6153" s="94"/>
      <c r="G6153" s="94"/>
      <c r="I6153" s="94"/>
      <c r="K6153" s="94"/>
      <c r="M6153" s="94"/>
    </row>
    <row r="6154" s="93" customFormat="1" spans="3:13">
      <c r="C6154" s="94"/>
      <c r="E6154" s="94"/>
      <c r="G6154" s="94"/>
      <c r="I6154" s="94"/>
      <c r="K6154" s="94"/>
      <c r="M6154" s="94"/>
    </row>
    <row r="6155" s="93" customFormat="1" spans="3:13">
      <c r="C6155" s="94"/>
      <c r="E6155" s="94"/>
      <c r="G6155" s="94"/>
      <c r="I6155" s="94"/>
      <c r="K6155" s="94"/>
      <c r="M6155" s="94"/>
    </row>
    <row r="6156" s="93" customFormat="1" spans="3:13">
      <c r="C6156" s="94"/>
      <c r="E6156" s="94"/>
      <c r="G6156" s="94"/>
      <c r="I6156" s="94"/>
      <c r="K6156" s="94"/>
      <c r="M6156" s="94"/>
    </row>
    <row r="6157" s="93" customFormat="1" spans="3:13">
      <c r="C6157" s="94"/>
      <c r="E6157" s="94"/>
      <c r="G6157" s="94"/>
      <c r="I6157" s="94"/>
      <c r="K6157" s="94"/>
      <c r="M6157" s="94"/>
    </row>
    <row r="6158" s="93" customFormat="1" spans="3:13">
      <c r="C6158" s="94"/>
      <c r="E6158" s="94"/>
      <c r="G6158" s="94"/>
      <c r="I6158" s="94"/>
      <c r="K6158" s="94"/>
      <c r="M6158" s="94"/>
    </row>
    <row r="6159" s="93" customFormat="1" spans="3:13">
      <c r="C6159" s="94"/>
      <c r="E6159" s="94"/>
      <c r="G6159" s="94"/>
      <c r="I6159" s="94"/>
      <c r="K6159" s="94"/>
      <c r="M6159" s="94"/>
    </row>
    <row r="6160" s="93" customFormat="1" spans="3:13">
      <c r="C6160" s="94"/>
      <c r="E6160" s="94"/>
      <c r="G6160" s="94"/>
      <c r="I6160" s="94"/>
      <c r="K6160" s="94"/>
      <c r="M6160" s="94"/>
    </row>
    <row r="6161" s="93" customFormat="1" spans="3:13">
      <c r="C6161" s="94"/>
      <c r="E6161" s="94"/>
      <c r="G6161" s="94"/>
      <c r="I6161" s="94"/>
      <c r="K6161" s="94"/>
      <c r="M6161" s="94"/>
    </row>
    <row r="6162" s="93" customFormat="1" spans="3:13">
      <c r="C6162" s="94"/>
      <c r="E6162" s="94"/>
      <c r="G6162" s="94"/>
      <c r="I6162" s="94"/>
      <c r="K6162" s="94"/>
      <c r="M6162" s="94"/>
    </row>
    <row r="6163" s="93" customFormat="1" spans="3:13">
      <c r="C6163" s="94"/>
      <c r="E6163" s="94"/>
      <c r="G6163" s="94"/>
      <c r="I6163" s="94"/>
      <c r="K6163" s="94"/>
      <c r="M6163" s="94"/>
    </row>
    <row r="6164" s="93" customFormat="1" spans="3:13">
      <c r="C6164" s="94"/>
      <c r="E6164" s="94"/>
      <c r="G6164" s="94"/>
      <c r="I6164" s="94"/>
      <c r="K6164" s="94"/>
      <c r="M6164" s="94"/>
    </row>
    <row r="6165" s="93" customFormat="1" spans="3:13">
      <c r="C6165" s="94"/>
      <c r="E6165" s="94"/>
      <c r="G6165" s="94"/>
      <c r="I6165" s="94"/>
      <c r="K6165" s="94"/>
      <c r="M6165" s="94"/>
    </row>
    <row r="6166" s="93" customFormat="1" spans="3:13">
      <c r="C6166" s="94"/>
      <c r="E6166" s="94"/>
      <c r="G6166" s="94"/>
      <c r="I6166" s="94"/>
      <c r="K6166" s="94"/>
      <c r="M6166" s="94"/>
    </row>
    <row r="6167" s="93" customFormat="1" spans="3:13">
      <c r="C6167" s="94"/>
      <c r="E6167" s="94"/>
      <c r="G6167" s="94"/>
      <c r="I6167" s="94"/>
      <c r="K6167" s="94"/>
      <c r="M6167" s="94"/>
    </row>
    <row r="6168" s="93" customFormat="1" spans="3:13">
      <c r="C6168" s="94"/>
      <c r="E6168" s="94"/>
      <c r="G6168" s="94"/>
      <c r="I6168" s="94"/>
      <c r="K6168" s="94"/>
      <c r="M6168" s="94"/>
    </row>
    <row r="6169" s="93" customFormat="1" spans="3:13">
      <c r="C6169" s="94"/>
      <c r="E6169" s="94"/>
      <c r="G6169" s="94"/>
      <c r="I6169" s="94"/>
      <c r="K6169" s="94"/>
      <c r="M6169" s="94"/>
    </row>
    <row r="6170" s="93" customFormat="1" spans="3:13">
      <c r="C6170" s="94"/>
      <c r="E6170" s="94"/>
      <c r="G6170" s="94"/>
      <c r="I6170" s="94"/>
      <c r="K6170" s="94"/>
      <c r="M6170" s="94"/>
    </row>
    <row r="6171" s="93" customFormat="1" spans="3:13">
      <c r="C6171" s="94"/>
      <c r="E6171" s="94"/>
      <c r="G6171" s="94"/>
      <c r="I6171" s="94"/>
      <c r="K6171" s="94"/>
      <c r="M6171" s="94"/>
    </row>
    <row r="6172" s="93" customFormat="1" spans="3:13">
      <c r="C6172" s="94"/>
      <c r="E6172" s="94"/>
      <c r="G6172" s="94"/>
      <c r="I6172" s="94"/>
      <c r="K6172" s="94"/>
      <c r="M6172" s="94"/>
    </row>
    <row r="6173" s="93" customFormat="1" spans="3:13">
      <c r="C6173" s="94"/>
      <c r="E6173" s="94"/>
      <c r="G6173" s="94"/>
      <c r="I6173" s="94"/>
      <c r="K6173" s="94"/>
      <c r="M6173" s="94"/>
    </row>
    <row r="6174" s="93" customFormat="1" spans="3:13">
      <c r="C6174" s="94"/>
      <c r="E6174" s="94"/>
      <c r="G6174" s="94"/>
      <c r="I6174" s="94"/>
      <c r="K6174" s="94"/>
      <c r="M6174" s="94"/>
    </row>
    <row r="6175" s="93" customFormat="1" spans="3:13">
      <c r="C6175" s="94"/>
      <c r="E6175" s="94"/>
      <c r="G6175" s="94"/>
      <c r="I6175" s="94"/>
      <c r="K6175" s="94"/>
      <c r="M6175" s="94"/>
    </row>
    <row r="6176" s="93" customFormat="1" spans="3:13">
      <c r="C6176" s="94"/>
      <c r="E6176" s="94"/>
      <c r="G6176" s="94"/>
      <c r="I6176" s="94"/>
      <c r="K6176" s="94"/>
      <c r="M6176" s="94"/>
    </row>
    <row r="6177" s="93" customFormat="1" spans="3:13">
      <c r="C6177" s="94"/>
      <c r="E6177" s="94"/>
      <c r="G6177" s="94"/>
      <c r="I6177" s="94"/>
      <c r="K6177" s="94"/>
      <c r="M6177" s="94"/>
    </row>
    <row r="6178" s="93" customFormat="1" spans="3:13">
      <c r="C6178" s="94"/>
      <c r="E6178" s="94"/>
      <c r="G6178" s="94"/>
      <c r="I6178" s="94"/>
      <c r="K6178" s="94"/>
      <c r="M6178" s="94"/>
    </row>
    <row r="6179" s="93" customFormat="1" spans="3:13">
      <c r="C6179" s="94"/>
      <c r="E6179" s="94"/>
      <c r="G6179" s="94"/>
      <c r="I6179" s="94"/>
      <c r="K6179" s="94"/>
      <c r="M6179" s="94"/>
    </row>
    <row r="6180" s="93" customFormat="1" spans="3:13">
      <c r="C6180" s="94"/>
      <c r="E6180" s="94"/>
      <c r="G6180" s="94"/>
      <c r="I6180" s="94"/>
      <c r="K6180" s="94"/>
      <c r="M6180" s="94"/>
    </row>
    <row r="6181" s="93" customFormat="1" spans="3:13">
      <c r="C6181" s="94"/>
      <c r="E6181" s="94"/>
      <c r="G6181" s="94"/>
      <c r="I6181" s="94"/>
      <c r="K6181" s="94"/>
      <c r="M6181" s="94"/>
    </row>
    <row r="6182" s="93" customFormat="1" spans="3:13">
      <c r="C6182" s="94"/>
      <c r="E6182" s="94"/>
      <c r="G6182" s="94"/>
      <c r="I6182" s="94"/>
      <c r="K6182" s="94"/>
      <c r="M6182" s="94"/>
    </row>
    <row r="6183" s="93" customFormat="1" spans="3:13">
      <c r="C6183" s="94"/>
      <c r="E6183" s="94"/>
      <c r="G6183" s="94"/>
      <c r="I6183" s="94"/>
      <c r="K6183" s="94"/>
      <c r="M6183" s="94"/>
    </row>
    <row r="6184" s="93" customFormat="1" spans="3:13">
      <c r="C6184" s="94"/>
      <c r="E6184" s="94"/>
      <c r="G6184" s="94"/>
      <c r="I6184" s="94"/>
      <c r="K6184" s="94"/>
      <c r="M6184" s="94"/>
    </row>
    <row r="6185" s="93" customFormat="1" spans="3:13">
      <c r="C6185" s="94"/>
      <c r="E6185" s="94"/>
      <c r="G6185" s="94"/>
      <c r="I6185" s="94"/>
      <c r="K6185" s="94"/>
      <c r="M6185" s="94"/>
    </row>
    <row r="6186" s="93" customFormat="1" spans="3:13">
      <c r="C6186" s="94"/>
      <c r="E6186" s="94"/>
      <c r="G6186" s="94"/>
      <c r="I6186" s="94"/>
      <c r="K6186" s="94"/>
      <c r="M6186" s="94"/>
    </row>
    <row r="6187" s="93" customFormat="1" spans="3:13">
      <c r="C6187" s="94"/>
      <c r="E6187" s="94"/>
      <c r="G6187" s="94"/>
      <c r="I6187" s="94"/>
      <c r="K6187" s="94"/>
      <c r="M6187" s="94"/>
    </row>
    <row r="6188" s="93" customFormat="1" spans="3:13">
      <c r="C6188" s="94"/>
      <c r="E6188" s="94"/>
      <c r="G6188" s="94"/>
      <c r="I6188" s="94"/>
      <c r="K6188" s="94"/>
      <c r="M6188" s="94"/>
    </row>
    <row r="6189" s="93" customFormat="1" spans="3:13">
      <c r="C6189" s="94"/>
      <c r="E6189" s="94"/>
      <c r="G6189" s="94"/>
      <c r="I6189" s="94"/>
      <c r="K6189" s="94"/>
      <c r="M6189" s="94"/>
    </row>
    <row r="6190" s="93" customFormat="1" spans="3:13">
      <c r="C6190" s="94"/>
      <c r="E6190" s="94"/>
      <c r="G6190" s="94"/>
      <c r="I6190" s="94"/>
      <c r="K6190" s="94"/>
      <c r="M6190" s="94"/>
    </row>
    <row r="6191" s="93" customFormat="1" spans="3:13">
      <c r="C6191" s="94"/>
      <c r="E6191" s="94"/>
      <c r="G6191" s="94"/>
      <c r="I6191" s="94"/>
      <c r="K6191" s="94"/>
      <c r="M6191" s="94"/>
    </row>
    <row r="6192" s="93" customFormat="1" spans="3:13">
      <c r="C6192" s="94"/>
      <c r="E6192" s="94"/>
      <c r="G6192" s="94"/>
      <c r="I6192" s="94"/>
      <c r="K6192" s="94"/>
      <c r="M6192" s="94"/>
    </row>
    <row r="6193" s="93" customFormat="1" spans="3:13">
      <c r="C6193" s="94"/>
      <c r="E6193" s="94"/>
      <c r="G6193" s="94"/>
      <c r="I6193" s="94"/>
      <c r="K6193" s="94"/>
      <c r="M6193" s="94"/>
    </row>
    <row r="6194" s="93" customFormat="1" spans="3:13">
      <c r="C6194" s="94"/>
      <c r="E6194" s="94"/>
      <c r="G6194" s="94"/>
      <c r="I6194" s="94"/>
      <c r="K6194" s="94"/>
      <c r="M6194" s="94"/>
    </row>
    <row r="6195" s="93" customFormat="1" spans="3:13">
      <c r="C6195" s="94"/>
      <c r="E6195" s="94"/>
      <c r="G6195" s="94"/>
      <c r="I6195" s="94"/>
      <c r="K6195" s="94"/>
      <c r="M6195" s="94"/>
    </row>
    <row r="6196" s="93" customFormat="1" spans="3:13">
      <c r="C6196" s="94"/>
      <c r="E6196" s="94"/>
      <c r="G6196" s="94"/>
      <c r="I6196" s="94"/>
      <c r="K6196" s="94"/>
      <c r="M6196" s="94"/>
    </row>
    <row r="6197" s="93" customFormat="1" spans="3:13">
      <c r="C6197" s="94"/>
      <c r="E6197" s="94"/>
      <c r="G6197" s="94"/>
      <c r="I6197" s="94"/>
      <c r="K6197" s="94"/>
      <c r="M6197" s="94"/>
    </row>
    <row r="6198" s="93" customFormat="1" spans="3:13">
      <c r="C6198" s="94"/>
      <c r="E6198" s="94"/>
      <c r="G6198" s="94"/>
      <c r="I6198" s="94"/>
      <c r="K6198" s="94"/>
      <c r="M6198" s="94"/>
    </row>
    <row r="6199" s="93" customFormat="1" spans="3:13">
      <c r="C6199" s="94"/>
      <c r="E6199" s="94"/>
      <c r="G6199" s="94"/>
      <c r="I6199" s="94"/>
      <c r="K6199" s="94"/>
      <c r="M6199" s="94"/>
    </row>
    <row r="6200" s="93" customFormat="1" spans="3:13">
      <c r="C6200" s="94"/>
      <c r="E6200" s="94"/>
      <c r="G6200" s="94"/>
      <c r="I6200" s="94"/>
      <c r="K6200" s="94"/>
      <c r="M6200" s="94"/>
    </row>
    <row r="6201" s="93" customFormat="1" spans="3:13">
      <c r="C6201" s="94"/>
      <c r="E6201" s="94"/>
      <c r="G6201" s="94"/>
      <c r="I6201" s="94"/>
      <c r="K6201" s="94"/>
      <c r="M6201" s="94"/>
    </row>
    <row r="6202" s="93" customFormat="1" spans="3:13">
      <c r="C6202" s="94"/>
      <c r="E6202" s="94"/>
      <c r="G6202" s="94"/>
      <c r="I6202" s="94"/>
      <c r="K6202" s="94"/>
      <c r="M6202" s="94"/>
    </row>
    <row r="6203" s="93" customFormat="1" spans="3:13">
      <c r="C6203" s="94"/>
      <c r="E6203" s="94"/>
      <c r="G6203" s="94"/>
      <c r="I6203" s="94"/>
      <c r="K6203" s="94"/>
      <c r="M6203" s="94"/>
    </row>
    <row r="6204" s="93" customFormat="1" spans="3:13">
      <c r="C6204" s="94"/>
      <c r="E6204" s="94"/>
      <c r="G6204" s="94"/>
      <c r="I6204" s="94"/>
      <c r="K6204" s="94"/>
      <c r="M6204" s="94"/>
    </row>
    <row r="6205" s="93" customFormat="1" spans="3:13">
      <c r="C6205" s="94"/>
      <c r="E6205" s="94"/>
      <c r="G6205" s="94"/>
      <c r="I6205" s="94"/>
      <c r="K6205" s="94"/>
      <c r="M6205" s="94"/>
    </row>
    <row r="6206" s="93" customFormat="1" spans="3:13">
      <c r="C6206" s="94"/>
      <c r="E6206" s="94"/>
      <c r="G6206" s="94"/>
      <c r="I6206" s="94"/>
      <c r="K6206" s="94"/>
      <c r="M6206" s="94"/>
    </row>
    <row r="6207" s="93" customFormat="1" spans="3:13">
      <c r="C6207" s="94"/>
      <c r="E6207" s="94"/>
      <c r="G6207" s="94"/>
      <c r="I6207" s="94"/>
      <c r="K6207" s="94"/>
      <c r="M6207" s="94"/>
    </row>
    <row r="6208" s="93" customFormat="1" spans="3:13">
      <c r="C6208" s="94"/>
      <c r="E6208" s="94"/>
      <c r="G6208" s="94"/>
      <c r="I6208" s="94"/>
      <c r="K6208" s="94"/>
      <c r="M6208" s="94"/>
    </row>
    <row r="6209" s="93" customFormat="1" spans="3:13">
      <c r="C6209" s="94"/>
      <c r="E6209" s="94"/>
      <c r="G6209" s="94"/>
      <c r="I6209" s="94"/>
      <c r="K6209" s="94"/>
      <c r="M6209" s="94"/>
    </row>
    <row r="6210" s="93" customFormat="1" spans="3:13">
      <c r="C6210" s="94"/>
      <c r="E6210" s="94"/>
      <c r="G6210" s="94"/>
      <c r="I6210" s="94"/>
      <c r="K6210" s="94"/>
      <c r="M6210" s="94"/>
    </row>
    <row r="6211" s="93" customFormat="1" spans="3:13">
      <c r="C6211" s="94"/>
      <c r="E6211" s="94"/>
      <c r="G6211" s="94"/>
      <c r="I6211" s="94"/>
      <c r="K6211" s="94"/>
      <c r="M6211" s="94"/>
    </row>
    <row r="6212" s="93" customFormat="1" spans="3:13">
      <c r="C6212" s="94"/>
      <c r="E6212" s="94"/>
      <c r="G6212" s="94"/>
      <c r="I6212" s="94"/>
      <c r="K6212" s="94"/>
      <c r="M6212" s="94"/>
    </row>
    <row r="6213" s="93" customFormat="1" spans="3:13">
      <c r="C6213" s="94"/>
      <c r="E6213" s="94"/>
      <c r="G6213" s="94"/>
      <c r="I6213" s="94"/>
      <c r="K6213" s="94"/>
      <c r="M6213" s="94"/>
    </row>
    <row r="6214" s="93" customFormat="1" spans="3:13">
      <c r="C6214" s="94"/>
      <c r="E6214" s="94"/>
      <c r="G6214" s="94"/>
      <c r="I6214" s="94"/>
      <c r="K6214" s="94"/>
      <c r="M6214" s="94"/>
    </row>
    <row r="6215" s="93" customFormat="1" spans="3:13">
      <c r="C6215" s="94"/>
      <c r="E6215" s="94"/>
      <c r="G6215" s="94"/>
      <c r="I6215" s="94"/>
      <c r="K6215" s="94"/>
      <c r="M6215" s="94"/>
    </row>
    <row r="6216" s="93" customFormat="1" spans="3:13">
      <c r="C6216" s="94"/>
      <c r="E6216" s="94"/>
      <c r="G6216" s="94"/>
      <c r="I6216" s="94"/>
      <c r="K6216" s="94"/>
      <c r="M6216" s="94"/>
    </row>
    <row r="6217" s="93" customFormat="1" spans="3:13">
      <c r="C6217" s="94"/>
      <c r="E6217" s="94"/>
      <c r="G6217" s="94"/>
      <c r="I6217" s="94"/>
      <c r="K6217" s="94"/>
      <c r="M6217" s="94"/>
    </row>
    <row r="6218" s="93" customFormat="1" spans="3:13">
      <c r="C6218" s="94"/>
      <c r="E6218" s="94"/>
      <c r="G6218" s="94"/>
      <c r="I6218" s="94"/>
      <c r="K6218" s="94"/>
      <c r="M6218" s="94"/>
    </row>
    <row r="6219" s="93" customFormat="1" spans="3:13">
      <c r="C6219" s="94"/>
      <c r="E6219" s="94"/>
      <c r="G6219" s="94"/>
      <c r="I6219" s="94"/>
      <c r="K6219" s="94"/>
      <c r="M6219" s="94"/>
    </row>
    <row r="6220" s="93" customFormat="1" spans="3:13">
      <c r="C6220" s="94"/>
      <c r="E6220" s="94"/>
      <c r="G6220" s="94"/>
      <c r="I6220" s="94"/>
      <c r="K6220" s="94"/>
      <c r="M6220" s="94"/>
    </row>
    <row r="6221" s="93" customFormat="1" spans="3:13">
      <c r="C6221" s="94"/>
      <c r="E6221" s="94"/>
      <c r="G6221" s="94"/>
      <c r="I6221" s="94"/>
      <c r="K6221" s="94"/>
      <c r="M6221" s="94"/>
    </row>
    <row r="6222" s="93" customFormat="1" spans="3:13">
      <c r="C6222" s="94"/>
      <c r="E6222" s="94"/>
      <c r="G6222" s="94"/>
      <c r="I6222" s="94"/>
      <c r="K6222" s="94"/>
      <c r="M6222" s="94"/>
    </row>
    <row r="6223" s="93" customFormat="1" spans="3:13">
      <c r="C6223" s="94"/>
      <c r="E6223" s="94"/>
      <c r="G6223" s="94"/>
      <c r="I6223" s="94"/>
      <c r="K6223" s="94"/>
      <c r="M6223" s="94"/>
    </row>
    <row r="6224" s="93" customFormat="1" spans="3:13">
      <c r="C6224" s="94"/>
      <c r="E6224" s="94"/>
      <c r="G6224" s="94"/>
      <c r="I6224" s="94"/>
      <c r="K6224" s="94"/>
      <c r="M6224" s="94"/>
    </row>
    <row r="6225" s="93" customFormat="1" spans="3:13">
      <c r="C6225" s="94"/>
      <c r="E6225" s="94"/>
      <c r="G6225" s="94"/>
      <c r="I6225" s="94"/>
      <c r="K6225" s="94"/>
      <c r="M6225" s="94"/>
    </row>
    <row r="6226" s="93" customFormat="1" spans="3:13">
      <c r="C6226" s="94"/>
      <c r="E6226" s="94"/>
      <c r="G6226" s="94"/>
      <c r="I6226" s="94"/>
      <c r="K6226" s="94"/>
      <c r="M6226" s="94"/>
    </row>
    <row r="6227" s="93" customFormat="1" spans="3:13">
      <c r="C6227" s="94"/>
      <c r="E6227" s="94"/>
      <c r="G6227" s="94"/>
      <c r="I6227" s="94"/>
      <c r="K6227" s="94"/>
      <c r="M6227" s="94"/>
    </row>
    <row r="6228" s="93" customFormat="1" spans="3:13">
      <c r="C6228" s="94"/>
      <c r="E6228" s="94"/>
      <c r="G6228" s="94"/>
      <c r="I6228" s="94"/>
      <c r="K6228" s="94"/>
      <c r="M6228" s="94"/>
    </row>
    <row r="6229" s="93" customFormat="1" spans="3:13">
      <c r="C6229" s="94"/>
      <c r="E6229" s="94"/>
      <c r="G6229" s="94"/>
      <c r="I6229" s="94"/>
      <c r="K6229" s="94"/>
      <c r="M6229" s="94"/>
    </row>
    <row r="6230" s="93" customFormat="1" spans="3:13">
      <c r="C6230" s="94"/>
      <c r="E6230" s="94"/>
      <c r="G6230" s="94"/>
      <c r="I6230" s="94"/>
      <c r="K6230" s="94"/>
      <c r="M6230" s="94"/>
    </row>
    <row r="6231" s="93" customFormat="1" spans="3:13">
      <c r="C6231" s="94"/>
      <c r="E6231" s="94"/>
      <c r="G6231" s="94"/>
      <c r="I6231" s="94"/>
      <c r="K6231" s="94"/>
      <c r="M6231" s="94"/>
    </row>
    <row r="6232" s="93" customFormat="1" spans="3:13">
      <c r="C6232" s="94"/>
      <c r="E6232" s="94"/>
      <c r="G6232" s="94"/>
      <c r="I6232" s="94"/>
      <c r="K6232" s="94"/>
      <c r="M6232" s="94"/>
    </row>
    <row r="6233" s="93" customFormat="1" spans="3:13">
      <c r="C6233" s="94"/>
      <c r="E6233" s="94"/>
      <c r="G6233" s="94"/>
      <c r="I6233" s="94"/>
      <c r="K6233" s="94"/>
      <c r="M6233" s="94"/>
    </row>
    <row r="6234" s="93" customFormat="1" spans="3:13">
      <c r="C6234" s="94"/>
      <c r="E6234" s="94"/>
      <c r="G6234" s="94"/>
      <c r="I6234" s="94"/>
      <c r="K6234" s="94"/>
      <c r="M6234" s="94"/>
    </row>
    <row r="6235" s="93" customFormat="1" spans="3:13">
      <c r="C6235" s="94"/>
      <c r="E6235" s="94"/>
      <c r="G6235" s="94"/>
      <c r="I6235" s="94"/>
      <c r="K6235" s="94"/>
      <c r="M6235" s="94"/>
    </row>
    <row r="6236" s="93" customFormat="1" spans="3:13">
      <c r="C6236" s="94"/>
      <c r="E6236" s="94"/>
      <c r="G6236" s="94"/>
      <c r="I6236" s="94"/>
      <c r="K6236" s="94"/>
      <c r="M6236" s="94"/>
    </row>
    <row r="6237" s="93" customFormat="1" spans="3:13">
      <c r="C6237" s="94"/>
      <c r="E6237" s="94"/>
      <c r="G6237" s="94"/>
      <c r="I6237" s="94"/>
      <c r="K6237" s="94"/>
      <c r="M6237" s="94"/>
    </row>
    <row r="6238" s="93" customFormat="1" spans="3:13">
      <c r="C6238" s="94"/>
      <c r="E6238" s="94"/>
      <c r="G6238" s="94"/>
      <c r="I6238" s="94"/>
      <c r="K6238" s="94"/>
      <c r="M6238" s="94"/>
    </row>
    <row r="6239" s="93" customFormat="1" spans="3:13">
      <c r="C6239" s="94"/>
      <c r="E6239" s="94"/>
      <c r="G6239" s="94"/>
      <c r="I6239" s="94"/>
      <c r="K6239" s="94"/>
      <c r="M6239" s="94"/>
    </row>
    <row r="6240" s="93" customFormat="1" spans="3:13">
      <c r="C6240" s="94"/>
      <c r="E6240" s="94"/>
      <c r="G6240" s="94"/>
      <c r="I6240" s="94"/>
      <c r="K6240" s="94"/>
      <c r="M6240" s="94"/>
    </row>
    <row r="6241" s="93" customFormat="1" spans="3:13">
      <c r="C6241" s="94"/>
      <c r="E6241" s="94"/>
      <c r="G6241" s="94"/>
      <c r="I6241" s="94"/>
      <c r="K6241" s="94"/>
      <c r="M6241" s="94"/>
    </row>
    <row r="6242" s="93" customFormat="1" spans="3:13">
      <c r="C6242" s="94"/>
      <c r="E6242" s="94"/>
      <c r="G6242" s="94"/>
      <c r="I6242" s="94"/>
      <c r="K6242" s="94"/>
      <c r="M6242" s="94"/>
    </row>
    <row r="6243" s="93" customFormat="1" spans="3:13">
      <c r="C6243" s="94"/>
      <c r="E6243" s="94"/>
      <c r="G6243" s="94"/>
      <c r="I6243" s="94"/>
      <c r="K6243" s="94"/>
      <c r="M6243" s="94"/>
    </row>
    <row r="6244" s="93" customFormat="1" spans="3:13">
      <c r="C6244" s="94"/>
      <c r="E6244" s="94"/>
      <c r="G6244" s="94"/>
      <c r="I6244" s="94"/>
      <c r="K6244" s="94"/>
      <c r="M6244" s="94"/>
    </row>
    <row r="6245" s="93" customFormat="1" spans="3:13">
      <c r="C6245" s="94"/>
      <c r="E6245" s="94"/>
      <c r="G6245" s="94"/>
      <c r="I6245" s="94"/>
      <c r="K6245" s="94"/>
      <c r="M6245" s="94"/>
    </row>
    <row r="6246" s="93" customFormat="1" spans="3:13">
      <c r="C6246" s="94"/>
      <c r="E6246" s="94"/>
      <c r="G6246" s="94"/>
      <c r="I6246" s="94"/>
      <c r="K6246" s="94"/>
      <c r="M6246" s="94"/>
    </row>
    <row r="6247" s="93" customFormat="1" spans="3:13">
      <c r="C6247" s="94"/>
      <c r="E6247" s="94"/>
      <c r="G6247" s="94"/>
      <c r="I6247" s="94"/>
      <c r="K6247" s="94"/>
      <c r="M6247" s="94"/>
    </row>
    <row r="6248" s="93" customFormat="1" spans="3:13">
      <c r="C6248" s="94"/>
      <c r="E6248" s="94"/>
      <c r="G6248" s="94"/>
      <c r="I6248" s="94"/>
      <c r="K6248" s="94"/>
      <c r="M6248" s="94"/>
    </row>
    <row r="6249" s="93" customFormat="1" spans="3:13">
      <c r="C6249" s="94"/>
      <c r="E6249" s="94"/>
      <c r="G6249" s="94"/>
      <c r="I6249" s="94"/>
      <c r="K6249" s="94"/>
      <c r="M6249" s="94"/>
    </row>
    <row r="6250" s="93" customFormat="1" spans="3:13">
      <c r="C6250" s="94"/>
      <c r="E6250" s="94"/>
      <c r="G6250" s="94"/>
      <c r="I6250" s="94"/>
      <c r="K6250" s="94"/>
      <c r="M6250" s="94"/>
    </row>
    <row r="6251" s="93" customFormat="1" spans="3:13">
      <c r="C6251" s="94"/>
      <c r="E6251" s="94"/>
      <c r="G6251" s="94"/>
      <c r="I6251" s="94"/>
      <c r="K6251" s="94"/>
      <c r="M6251" s="94"/>
    </row>
    <row r="6252" s="93" customFormat="1" spans="3:13">
      <c r="C6252" s="94"/>
      <c r="E6252" s="94"/>
      <c r="G6252" s="94"/>
      <c r="I6252" s="94"/>
      <c r="K6252" s="94"/>
      <c r="M6252" s="94"/>
    </row>
    <row r="6253" s="93" customFormat="1" spans="3:13">
      <c r="C6253" s="94"/>
      <c r="E6253" s="94"/>
      <c r="G6253" s="94"/>
      <c r="I6253" s="94"/>
      <c r="K6253" s="94"/>
      <c r="M6253" s="94"/>
    </row>
    <row r="6254" s="93" customFormat="1" spans="3:13">
      <c r="C6254" s="94"/>
      <c r="E6254" s="94"/>
      <c r="G6254" s="94"/>
      <c r="I6254" s="94"/>
      <c r="K6254" s="94"/>
      <c r="M6254" s="94"/>
    </row>
    <row r="6255" s="93" customFormat="1" spans="3:13">
      <c r="C6255" s="94"/>
      <c r="E6255" s="94"/>
      <c r="G6255" s="94"/>
      <c r="I6255" s="94"/>
      <c r="K6255" s="94"/>
      <c r="M6255" s="94"/>
    </row>
    <row r="6256" s="93" customFormat="1" spans="3:13">
      <c r="C6256" s="94"/>
      <c r="E6256" s="94"/>
      <c r="G6256" s="94"/>
      <c r="I6256" s="94"/>
      <c r="K6256" s="94"/>
      <c r="M6256" s="94"/>
    </row>
    <row r="6257" s="93" customFormat="1" spans="3:13">
      <c r="C6257" s="94"/>
      <c r="E6257" s="94"/>
      <c r="G6257" s="94"/>
      <c r="I6257" s="94"/>
      <c r="K6257" s="94"/>
      <c r="M6257" s="94"/>
    </row>
    <row r="6258" s="93" customFormat="1" spans="3:13">
      <c r="C6258" s="94"/>
      <c r="E6258" s="94"/>
      <c r="G6258" s="94"/>
      <c r="I6258" s="94"/>
      <c r="K6258" s="94"/>
      <c r="M6258" s="94"/>
    </row>
    <row r="6259" s="93" customFormat="1" spans="3:13">
      <c r="C6259" s="94"/>
      <c r="E6259" s="94"/>
      <c r="G6259" s="94"/>
      <c r="I6259" s="94"/>
      <c r="K6259" s="94"/>
      <c r="M6259" s="94"/>
    </row>
    <row r="6260" s="93" customFormat="1" spans="3:13">
      <c r="C6260" s="94"/>
      <c r="E6260" s="94"/>
      <c r="G6260" s="94"/>
      <c r="I6260" s="94"/>
      <c r="K6260" s="94"/>
      <c r="M6260" s="94"/>
    </row>
    <row r="6261" s="93" customFormat="1" spans="3:13">
      <c r="C6261" s="94"/>
      <c r="E6261" s="94"/>
      <c r="G6261" s="94"/>
      <c r="I6261" s="94"/>
      <c r="K6261" s="94"/>
      <c r="M6261" s="94"/>
    </row>
    <row r="6262" s="93" customFormat="1" spans="3:13">
      <c r="C6262" s="94"/>
      <c r="E6262" s="94"/>
      <c r="G6262" s="94"/>
      <c r="I6262" s="94"/>
      <c r="K6262" s="94"/>
      <c r="M6262" s="94"/>
    </row>
    <row r="6263" s="93" customFormat="1" spans="3:13">
      <c r="C6263" s="94"/>
      <c r="E6263" s="94"/>
      <c r="G6263" s="94"/>
      <c r="I6263" s="94"/>
      <c r="K6263" s="94"/>
      <c r="M6263" s="94"/>
    </row>
    <row r="6264" s="93" customFormat="1" spans="3:13">
      <c r="C6264" s="94"/>
      <c r="E6264" s="94"/>
      <c r="G6264" s="94"/>
      <c r="I6264" s="94"/>
      <c r="K6264" s="94"/>
      <c r="M6264" s="94"/>
    </row>
    <row r="6265" s="93" customFormat="1" spans="3:13">
      <c r="C6265" s="94"/>
      <c r="E6265" s="94"/>
      <c r="G6265" s="94"/>
      <c r="I6265" s="94"/>
      <c r="K6265" s="94"/>
      <c r="M6265" s="94"/>
    </row>
    <row r="6266" s="93" customFormat="1" spans="3:13">
      <c r="C6266" s="94"/>
      <c r="E6266" s="94"/>
      <c r="G6266" s="94"/>
      <c r="I6266" s="94"/>
      <c r="K6266" s="94"/>
      <c r="M6266" s="94"/>
    </row>
    <row r="6267" s="93" customFormat="1" spans="3:13">
      <c r="C6267" s="94"/>
      <c r="E6267" s="94"/>
      <c r="G6267" s="94"/>
      <c r="I6267" s="94"/>
      <c r="K6267" s="94"/>
      <c r="M6267" s="94"/>
    </row>
    <row r="6268" s="93" customFormat="1" spans="3:13">
      <c r="C6268" s="94"/>
      <c r="E6268" s="94"/>
      <c r="G6268" s="94"/>
      <c r="I6268" s="94"/>
      <c r="K6268" s="94"/>
      <c r="M6268" s="94"/>
    </row>
    <row r="6269" s="93" customFormat="1" spans="3:13">
      <c r="C6269" s="94"/>
      <c r="E6269" s="94"/>
      <c r="G6269" s="94"/>
      <c r="I6269" s="94"/>
      <c r="K6269" s="94"/>
      <c r="M6269" s="94"/>
    </row>
    <row r="6270" s="93" customFormat="1" spans="3:13">
      <c r="C6270" s="94"/>
      <c r="E6270" s="94"/>
      <c r="G6270" s="94"/>
      <c r="I6270" s="94"/>
      <c r="K6270" s="94"/>
      <c r="M6270" s="94"/>
    </row>
    <row r="6271" s="93" customFormat="1" spans="3:13">
      <c r="C6271" s="94"/>
      <c r="E6271" s="94"/>
      <c r="G6271" s="94"/>
      <c r="I6271" s="94"/>
      <c r="K6271" s="94"/>
      <c r="M6271" s="94"/>
    </row>
    <row r="6272" s="93" customFormat="1" spans="3:13">
      <c r="C6272" s="94"/>
      <c r="E6272" s="94"/>
      <c r="G6272" s="94"/>
      <c r="I6272" s="94"/>
      <c r="K6272" s="94"/>
      <c r="M6272" s="94"/>
    </row>
    <row r="6273" s="93" customFormat="1" spans="3:13">
      <c r="C6273" s="94"/>
      <c r="E6273" s="94"/>
      <c r="G6273" s="94"/>
      <c r="I6273" s="94"/>
      <c r="K6273" s="94"/>
      <c r="M6273" s="94"/>
    </row>
    <row r="6274" s="93" customFormat="1" spans="3:13">
      <c r="C6274" s="94"/>
      <c r="E6274" s="94"/>
      <c r="G6274" s="94"/>
      <c r="I6274" s="94"/>
      <c r="K6274" s="94"/>
      <c r="M6274" s="94"/>
    </row>
    <row r="6275" s="93" customFormat="1" spans="3:13">
      <c r="C6275" s="94"/>
      <c r="E6275" s="94"/>
      <c r="G6275" s="94"/>
      <c r="I6275" s="94"/>
      <c r="K6275" s="94"/>
      <c r="M6275" s="94"/>
    </row>
    <row r="6276" s="93" customFormat="1" spans="3:13">
      <c r="C6276" s="94"/>
      <c r="E6276" s="94"/>
      <c r="G6276" s="94"/>
      <c r="I6276" s="94"/>
      <c r="K6276" s="94"/>
      <c r="M6276" s="94"/>
    </row>
    <row r="6277" s="93" customFormat="1" spans="3:13">
      <c r="C6277" s="94"/>
      <c r="E6277" s="94"/>
      <c r="G6277" s="94"/>
      <c r="I6277" s="94"/>
      <c r="K6277" s="94"/>
      <c r="M6277" s="94"/>
    </row>
    <row r="6278" s="93" customFormat="1" spans="3:13">
      <c r="C6278" s="94"/>
      <c r="E6278" s="94"/>
      <c r="G6278" s="94"/>
      <c r="I6278" s="94"/>
      <c r="K6278" s="94"/>
      <c r="M6278" s="94"/>
    </row>
    <row r="6279" s="93" customFormat="1" spans="3:13">
      <c r="C6279" s="94"/>
      <c r="E6279" s="94"/>
      <c r="G6279" s="94"/>
      <c r="I6279" s="94"/>
      <c r="K6279" s="94"/>
      <c r="M6279" s="94"/>
    </row>
    <row r="6280" s="93" customFormat="1" spans="3:13">
      <c r="C6280" s="94"/>
      <c r="E6280" s="94"/>
      <c r="G6280" s="94"/>
      <c r="I6280" s="94"/>
      <c r="K6280" s="94"/>
      <c r="M6280" s="94"/>
    </row>
    <row r="6281" s="93" customFormat="1" spans="3:13">
      <c r="C6281" s="94"/>
      <c r="E6281" s="94"/>
      <c r="G6281" s="94"/>
      <c r="I6281" s="94"/>
      <c r="K6281" s="94"/>
      <c r="M6281" s="94"/>
    </row>
    <row r="6282" s="93" customFormat="1" spans="3:13">
      <c r="C6282" s="94"/>
      <c r="E6282" s="94"/>
      <c r="G6282" s="94"/>
      <c r="I6282" s="94"/>
      <c r="K6282" s="94"/>
      <c r="M6282" s="94"/>
    </row>
    <row r="6283" s="93" customFormat="1" spans="3:13">
      <c r="C6283" s="94"/>
      <c r="E6283" s="94"/>
      <c r="G6283" s="94"/>
      <c r="I6283" s="94"/>
      <c r="K6283" s="94"/>
      <c r="M6283" s="94"/>
    </row>
    <row r="6284" s="93" customFormat="1" spans="3:13">
      <c r="C6284" s="94"/>
      <c r="E6284" s="94"/>
      <c r="G6284" s="94"/>
      <c r="I6284" s="94"/>
      <c r="K6284" s="94"/>
      <c r="M6284" s="94"/>
    </row>
    <row r="6285" s="93" customFormat="1" spans="3:13">
      <c r="C6285" s="94"/>
      <c r="E6285" s="94"/>
      <c r="G6285" s="94"/>
      <c r="I6285" s="94"/>
      <c r="K6285" s="94"/>
      <c r="M6285" s="94"/>
    </row>
    <row r="6286" s="93" customFormat="1" spans="3:13">
      <c r="C6286" s="94"/>
      <c r="E6286" s="94"/>
      <c r="G6286" s="94"/>
      <c r="I6286" s="94"/>
      <c r="K6286" s="94"/>
      <c r="M6286" s="94"/>
    </row>
    <row r="6287" s="93" customFormat="1" spans="3:13">
      <c r="C6287" s="94"/>
      <c r="E6287" s="94"/>
      <c r="G6287" s="94"/>
      <c r="I6287" s="94"/>
      <c r="K6287" s="94"/>
      <c r="M6287" s="94"/>
    </row>
    <row r="6288" s="93" customFormat="1" spans="3:13">
      <c r="C6288" s="94"/>
      <c r="E6288" s="94"/>
      <c r="G6288" s="94"/>
      <c r="I6288" s="94"/>
      <c r="K6288" s="94"/>
      <c r="M6288" s="94"/>
    </row>
    <row r="6289" s="93" customFormat="1" spans="3:13">
      <c r="C6289" s="94"/>
      <c r="E6289" s="94"/>
      <c r="G6289" s="94"/>
      <c r="I6289" s="94"/>
      <c r="K6289" s="94"/>
      <c r="M6289" s="94"/>
    </row>
    <row r="6290" s="93" customFormat="1" spans="3:13">
      <c r="C6290" s="94"/>
      <c r="E6290" s="94"/>
      <c r="G6290" s="94"/>
      <c r="I6290" s="94"/>
      <c r="K6290" s="94"/>
      <c r="M6290" s="94"/>
    </row>
    <row r="6291" s="93" customFormat="1" spans="3:13">
      <c r="C6291" s="94"/>
      <c r="E6291" s="94"/>
      <c r="G6291" s="94"/>
      <c r="I6291" s="94"/>
      <c r="K6291" s="94"/>
      <c r="M6291" s="94"/>
    </row>
    <row r="6292" s="93" customFormat="1" spans="3:13">
      <c r="C6292" s="94"/>
      <c r="E6292" s="94"/>
      <c r="G6292" s="94"/>
      <c r="I6292" s="94"/>
      <c r="K6292" s="94"/>
      <c r="M6292" s="94"/>
    </row>
    <row r="6293" s="93" customFormat="1" spans="3:13">
      <c r="C6293" s="94"/>
      <c r="E6293" s="94"/>
      <c r="G6293" s="94"/>
      <c r="I6293" s="94"/>
      <c r="K6293" s="94"/>
      <c r="M6293" s="94"/>
    </row>
    <row r="6294" s="93" customFormat="1" spans="3:13">
      <c r="C6294" s="94"/>
      <c r="E6294" s="94"/>
      <c r="G6294" s="94"/>
      <c r="I6294" s="94"/>
      <c r="K6294" s="94"/>
      <c r="M6294" s="94"/>
    </row>
    <row r="6295" s="93" customFormat="1" spans="3:13">
      <c r="C6295" s="94"/>
      <c r="E6295" s="94"/>
      <c r="G6295" s="94"/>
      <c r="I6295" s="94"/>
      <c r="K6295" s="94"/>
      <c r="M6295" s="94"/>
    </row>
    <row r="6296" s="93" customFormat="1" spans="3:13">
      <c r="C6296" s="94"/>
      <c r="E6296" s="94"/>
      <c r="G6296" s="94"/>
      <c r="I6296" s="94"/>
      <c r="K6296" s="94"/>
      <c r="M6296" s="94"/>
    </row>
    <row r="6297" s="93" customFormat="1" spans="3:13">
      <c r="C6297" s="94"/>
      <c r="E6297" s="94"/>
      <c r="G6297" s="94"/>
      <c r="I6297" s="94"/>
      <c r="K6297" s="94"/>
      <c r="M6297" s="94"/>
    </row>
    <row r="6298" s="93" customFormat="1" spans="3:13">
      <c r="C6298" s="94"/>
      <c r="E6298" s="94"/>
      <c r="G6298" s="94"/>
      <c r="I6298" s="94"/>
      <c r="K6298" s="94"/>
      <c r="M6298" s="94"/>
    </row>
    <row r="6299" s="93" customFormat="1" spans="3:13">
      <c r="C6299" s="94"/>
      <c r="E6299" s="94"/>
      <c r="G6299" s="94"/>
      <c r="I6299" s="94"/>
      <c r="K6299" s="94"/>
      <c r="M6299" s="94"/>
    </row>
    <row r="6300" s="93" customFormat="1" spans="3:13">
      <c r="C6300" s="94"/>
      <c r="E6300" s="94"/>
      <c r="G6300" s="94"/>
      <c r="I6300" s="94"/>
      <c r="K6300" s="94"/>
      <c r="M6300" s="94"/>
    </row>
    <row r="6301" s="93" customFormat="1" spans="3:13">
      <c r="C6301" s="94"/>
      <c r="E6301" s="94"/>
      <c r="G6301" s="94"/>
      <c r="I6301" s="94"/>
      <c r="K6301" s="94"/>
      <c r="M6301" s="94"/>
    </row>
    <row r="6302" s="93" customFormat="1" spans="3:13">
      <c r="C6302" s="94"/>
      <c r="E6302" s="94"/>
      <c r="G6302" s="94"/>
      <c r="I6302" s="94"/>
      <c r="K6302" s="94"/>
      <c r="M6302" s="94"/>
    </row>
    <row r="6303" s="93" customFormat="1" spans="3:13">
      <c r="C6303" s="94"/>
      <c r="E6303" s="94"/>
      <c r="G6303" s="94"/>
      <c r="I6303" s="94"/>
      <c r="K6303" s="94"/>
      <c r="M6303" s="94"/>
    </row>
    <row r="6304" s="93" customFormat="1" spans="3:13">
      <c r="C6304" s="94"/>
      <c r="E6304" s="94"/>
      <c r="G6304" s="94"/>
      <c r="I6304" s="94"/>
      <c r="K6304" s="94"/>
      <c r="M6304" s="94"/>
    </row>
    <row r="6305" s="93" customFormat="1" spans="3:13">
      <c r="C6305" s="94"/>
      <c r="E6305" s="94"/>
      <c r="G6305" s="94"/>
      <c r="I6305" s="94"/>
      <c r="K6305" s="94"/>
      <c r="M6305" s="94"/>
    </row>
    <row r="6306" s="93" customFormat="1" spans="3:13">
      <c r="C6306" s="94"/>
      <c r="E6306" s="94"/>
      <c r="G6306" s="94"/>
      <c r="I6306" s="94"/>
      <c r="K6306" s="94"/>
      <c r="M6306" s="94"/>
    </row>
    <row r="6307" s="93" customFormat="1" spans="3:13">
      <c r="C6307" s="94"/>
      <c r="E6307" s="94"/>
      <c r="G6307" s="94"/>
      <c r="I6307" s="94"/>
      <c r="K6307" s="94"/>
      <c r="M6307" s="94"/>
    </row>
    <row r="6308" s="93" customFormat="1" spans="3:13">
      <c r="C6308" s="94"/>
      <c r="E6308" s="94"/>
      <c r="G6308" s="94"/>
      <c r="I6308" s="94"/>
      <c r="K6308" s="94"/>
      <c r="M6308" s="94"/>
    </row>
    <row r="6309" s="93" customFormat="1" spans="3:13">
      <c r="C6309" s="94"/>
      <c r="E6309" s="94"/>
      <c r="G6309" s="94"/>
      <c r="I6309" s="94"/>
      <c r="K6309" s="94"/>
      <c r="M6309" s="94"/>
    </row>
    <row r="6310" s="93" customFormat="1" spans="3:13">
      <c r="C6310" s="94"/>
      <c r="E6310" s="94"/>
      <c r="G6310" s="94"/>
      <c r="I6310" s="94"/>
      <c r="K6310" s="94"/>
      <c r="M6310" s="94"/>
    </row>
    <row r="6311" s="93" customFormat="1" spans="3:13">
      <c r="C6311" s="94"/>
      <c r="E6311" s="94"/>
      <c r="G6311" s="94"/>
      <c r="I6311" s="94"/>
      <c r="K6311" s="94"/>
      <c r="M6311" s="94"/>
    </row>
    <row r="6312" s="93" customFormat="1" spans="3:13">
      <c r="C6312" s="94"/>
      <c r="E6312" s="94"/>
      <c r="G6312" s="94"/>
      <c r="I6312" s="94"/>
      <c r="K6312" s="94"/>
      <c r="M6312" s="94"/>
    </row>
    <row r="6313" s="93" customFormat="1" spans="3:13">
      <c r="C6313" s="94"/>
      <c r="E6313" s="94"/>
      <c r="G6313" s="94"/>
      <c r="I6313" s="94"/>
      <c r="K6313" s="94"/>
      <c r="M6313" s="94"/>
    </row>
    <row r="6314" s="93" customFormat="1" spans="3:13">
      <c r="C6314" s="94"/>
      <c r="E6314" s="94"/>
      <c r="G6314" s="94"/>
      <c r="I6314" s="94"/>
      <c r="K6314" s="94"/>
      <c r="M6314" s="94"/>
    </row>
    <row r="6315" s="93" customFormat="1" spans="3:13">
      <c r="C6315" s="94"/>
      <c r="E6315" s="94"/>
      <c r="G6315" s="94"/>
      <c r="I6315" s="94"/>
      <c r="K6315" s="94"/>
      <c r="M6315" s="94"/>
    </row>
    <row r="6316" s="93" customFormat="1" spans="3:13">
      <c r="C6316" s="94"/>
      <c r="E6316" s="94"/>
      <c r="G6316" s="94"/>
      <c r="I6316" s="94"/>
      <c r="K6316" s="94"/>
      <c r="M6316" s="94"/>
    </row>
    <row r="6317" s="93" customFormat="1" spans="3:13">
      <c r="C6317" s="94"/>
      <c r="E6317" s="94"/>
      <c r="G6317" s="94"/>
      <c r="I6317" s="94"/>
      <c r="K6317" s="94"/>
      <c r="M6317" s="94"/>
    </row>
    <row r="6318" s="93" customFormat="1" spans="3:13">
      <c r="C6318" s="94"/>
      <c r="E6318" s="94"/>
      <c r="G6318" s="94"/>
      <c r="I6318" s="94"/>
      <c r="K6318" s="94"/>
      <c r="M6318" s="94"/>
    </row>
    <row r="6319" s="93" customFormat="1" spans="3:13">
      <c r="C6319" s="94"/>
      <c r="E6319" s="94"/>
      <c r="G6319" s="94"/>
      <c r="I6319" s="94"/>
      <c r="K6319" s="94"/>
      <c r="M6319" s="94"/>
    </row>
    <row r="6320" s="93" customFormat="1" spans="3:13">
      <c r="C6320" s="94"/>
      <c r="E6320" s="94"/>
      <c r="G6320" s="94"/>
      <c r="I6320" s="94"/>
      <c r="K6320" s="94"/>
      <c r="M6320" s="94"/>
    </row>
    <row r="6321" s="93" customFormat="1" spans="3:13">
      <c r="C6321" s="94"/>
      <c r="E6321" s="94"/>
      <c r="G6321" s="94"/>
      <c r="I6321" s="94"/>
      <c r="K6321" s="94"/>
      <c r="M6321" s="94"/>
    </row>
    <row r="6322" s="93" customFormat="1" spans="3:13">
      <c r="C6322" s="94"/>
      <c r="E6322" s="94"/>
      <c r="G6322" s="94"/>
      <c r="I6322" s="94"/>
      <c r="K6322" s="94"/>
      <c r="M6322" s="94"/>
    </row>
    <row r="6323" s="93" customFormat="1" spans="3:13">
      <c r="C6323" s="94"/>
      <c r="E6323" s="94"/>
      <c r="G6323" s="94"/>
      <c r="I6323" s="94"/>
      <c r="K6323" s="94"/>
      <c r="M6323" s="94"/>
    </row>
    <row r="6324" s="93" customFormat="1" spans="3:13">
      <c r="C6324" s="94"/>
      <c r="E6324" s="94"/>
      <c r="G6324" s="94"/>
      <c r="I6324" s="94"/>
      <c r="K6324" s="94"/>
      <c r="M6324" s="94"/>
    </row>
    <row r="6325" s="93" customFormat="1" spans="3:13">
      <c r="C6325" s="94"/>
      <c r="E6325" s="94"/>
      <c r="G6325" s="94"/>
      <c r="I6325" s="94"/>
      <c r="K6325" s="94"/>
      <c r="M6325" s="94"/>
    </row>
    <row r="6326" s="93" customFormat="1" spans="3:13">
      <c r="C6326" s="94"/>
      <c r="E6326" s="94"/>
      <c r="G6326" s="94"/>
      <c r="I6326" s="94"/>
      <c r="K6326" s="94"/>
      <c r="M6326" s="94"/>
    </row>
    <row r="6327" s="93" customFormat="1" spans="3:13">
      <c r="C6327" s="94"/>
      <c r="E6327" s="94"/>
      <c r="G6327" s="94"/>
      <c r="I6327" s="94"/>
      <c r="K6327" s="94"/>
      <c r="M6327" s="94"/>
    </row>
    <row r="6328" s="93" customFormat="1" spans="3:13">
      <c r="C6328" s="94"/>
      <c r="E6328" s="94"/>
      <c r="G6328" s="94"/>
      <c r="I6328" s="94"/>
      <c r="K6328" s="94"/>
      <c r="M6328" s="94"/>
    </row>
    <row r="6329" s="93" customFormat="1" spans="3:13">
      <c r="C6329" s="94"/>
      <c r="E6329" s="94"/>
      <c r="G6329" s="94"/>
      <c r="I6329" s="94"/>
      <c r="K6329" s="94"/>
      <c r="M6329" s="94"/>
    </row>
    <row r="6330" s="93" customFormat="1" spans="3:13">
      <c r="C6330" s="94"/>
      <c r="E6330" s="94"/>
      <c r="G6330" s="94"/>
      <c r="I6330" s="94"/>
      <c r="K6330" s="94"/>
      <c r="M6330" s="94"/>
    </row>
    <row r="6331" s="93" customFormat="1" spans="3:13">
      <c r="C6331" s="94"/>
      <c r="E6331" s="94"/>
      <c r="G6331" s="94"/>
      <c r="I6331" s="94"/>
      <c r="K6331" s="94"/>
      <c r="M6331" s="94"/>
    </row>
    <row r="6332" s="93" customFormat="1" spans="3:13">
      <c r="C6332" s="94"/>
      <c r="E6332" s="94"/>
      <c r="G6332" s="94"/>
      <c r="I6332" s="94"/>
      <c r="K6332" s="94"/>
      <c r="M6332" s="94"/>
    </row>
    <row r="6333" s="93" customFormat="1" spans="3:13">
      <c r="C6333" s="94"/>
      <c r="E6333" s="94"/>
      <c r="G6333" s="94"/>
      <c r="I6333" s="94"/>
      <c r="K6333" s="94"/>
      <c r="M6333" s="94"/>
    </row>
    <row r="6334" s="93" customFormat="1" spans="3:13">
      <c r="C6334" s="94"/>
      <c r="E6334" s="94"/>
      <c r="G6334" s="94"/>
      <c r="I6334" s="94"/>
      <c r="K6334" s="94"/>
      <c r="M6334" s="94"/>
    </row>
    <row r="6335" s="93" customFormat="1" spans="3:13">
      <c r="C6335" s="94"/>
      <c r="E6335" s="94"/>
      <c r="G6335" s="94"/>
      <c r="I6335" s="94"/>
      <c r="K6335" s="94"/>
      <c r="M6335" s="94"/>
    </row>
    <row r="6336" s="93" customFormat="1" spans="3:13">
      <c r="C6336" s="94"/>
      <c r="E6336" s="94"/>
      <c r="G6336" s="94"/>
      <c r="I6336" s="94"/>
      <c r="K6336" s="94"/>
      <c r="M6336" s="94"/>
    </row>
    <row r="6337" s="93" customFormat="1" spans="3:13">
      <c r="C6337" s="94"/>
      <c r="E6337" s="94"/>
      <c r="G6337" s="94"/>
      <c r="I6337" s="94"/>
      <c r="K6337" s="94"/>
      <c r="M6337" s="94"/>
    </row>
    <row r="6338" s="93" customFormat="1" spans="3:13">
      <c r="C6338" s="94"/>
      <c r="E6338" s="94"/>
      <c r="G6338" s="94"/>
      <c r="I6338" s="94"/>
      <c r="K6338" s="94"/>
      <c r="M6338" s="94"/>
    </row>
    <row r="6339" s="93" customFormat="1" spans="3:13">
      <c r="C6339" s="94"/>
      <c r="E6339" s="94"/>
      <c r="G6339" s="94"/>
      <c r="I6339" s="94"/>
      <c r="K6339" s="94"/>
      <c r="M6339" s="94"/>
    </row>
    <row r="6340" s="93" customFormat="1" spans="3:13">
      <c r="C6340" s="94"/>
      <c r="E6340" s="94"/>
      <c r="G6340" s="94"/>
      <c r="I6340" s="94"/>
      <c r="K6340" s="94"/>
      <c r="M6340" s="94"/>
    </row>
    <row r="6341" s="93" customFormat="1" spans="3:13">
      <c r="C6341" s="94"/>
      <c r="E6341" s="94"/>
      <c r="G6341" s="94"/>
      <c r="I6341" s="94"/>
      <c r="K6341" s="94"/>
      <c r="M6341" s="94"/>
    </row>
    <row r="6342" s="93" customFormat="1" spans="3:13">
      <c r="C6342" s="94"/>
      <c r="E6342" s="94"/>
      <c r="G6342" s="94"/>
      <c r="I6342" s="94"/>
      <c r="K6342" s="94"/>
      <c r="M6342" s="94"/>
    </row>
    <row r="6343" s="93" customFormat="1" spans="3:13">
      <c r="C6343" s="94"/>
      <c r="E6343" s="94"/>
      <c r="G6343" s="94"/>
      <c r="I6343" s="94"/>
      <c r="K6343" s="94"/>
      <c r="M6343" s="94"/>
    </row>
    <row r="6344" s="93" customFormat="1" spans="3:13">
      <c r="C6344" s="94"/>
      <c r="E6344" s="94"/>
      <c r="G6344" s="94"/>
      <c r="I6344" s="94"/>
      <c r="K6344" s="94"/>
      <c r="M6344" s="94"/>
    </row>
    <row r="6345" s="93" customFormat="1" spans="3:13">
      <c r="C6345" s="94"/>
      <c r="E6345" s="94"/>
      <c r="G6345" s="94"/>
      <c r="I6345" s="94"/>
      <c r="K6345" s="94"/>
      <c r="M6345" s="94"/>
    </row>
    <row r="6346" s="93" customFormat="1" spans="3:13">
      <c r="C6346" s="94"/>
      <c r="E6346" s="94"/>
      <c r="G6346" s="94"/>
      <c r="I6346" s="94"/>
      <c r="K6346" s="94"/>
      <c r="M6346" s="94"/>
    </row>
    <row r="6347" s="93" customFormat="1" spans="3:13">
      <c r="C6347" s="94"/>
      <c r="E6347" s="94"/>
      <c r="G6347" s="94"/>
      <c r="I6347" s="94"/>
      <c r="K6347" s="94"/>
      <c r="M6347" s="94"/>
    </row>
    <row r="6348" s="93" customFormat="1" spans="3:13">
      <c r="C6348" s="94"/>
      <c r="E6348" s="94"/>
      <c r="G6348" s="94"/>
      <c r="I6348" s="94"/>
      <c r="K6348" s="94"/>
      <c r="M6348" s="94"/>
    </row>
    <row r="6349" s="93" customFormat="1" spans="3:13">
      <c r="C6349" s="94"/>
      <c r="E6349" s="94"/>
      <c r="G6349" s="94"/>
      <c r="I6349" s="94"/>
      <c r="K6349" s="94"/>
      <c r="M6349" s="94"/>
    </row>
    <row r="6350" s="93" customFormat="1" spans="3:13">
      <c r="C6350" s="94"/>
      <c r="E6350" s="94"/>
      <c r="G6350" s="94"/>
      <c r="I6350" s="94"/>
      <c r="K6350" s="94"/>
      <c r="M6350" s="94"/>
    </row>
    <row r="6351" s="93" customFormat="1" spans="3:13">
      <c r="C6351" s="94"/>
      <c r="E6351" s="94"/>
      <c r="G6351" s="94"/>
      <c r="I6351" s="94"/>
      <c r="K6351" s="94"/>
      <c r="M6351" s="94"/>
    </row>
    <row r="6352" s="93" customFormat="1" spans="3:13">
      <c r="C6352" s="94"/>
      <c r="E6352" s="94"/>
      <c r="G6352" s="94"/>
      <c r="I6352" s="94"/>
      <c r="K6352" s="94"/>
      <c r="M6352" s="94"/>
    </row>
    <row r="6353" s="93" customFormat="1" spans="3:13">
      <c r="C6353" s="94"/>
      <c r="E6353" s="94"/>
      <c r="G6353" s="94"/>
      <c r="I6353" s="94"/>
      <c r="K6353" s="94"/>
      <c r="M6353" s="94"/>
    </row>
    <row r="6354" s="93" customFormat="1" spans="3:13">
      <c r="C6354" s="94"/>
      <c r="E6354" s="94"/>
      <c r="G6354" s="94"/>
      <c r="I6354" s="94"/>
      <c r="K6354" s="94"/>
      <c r="M6354" s="94"/>
    </row>
    <row r="6355" s="93" customFormat="1" spans="3:13">
      <c r="C6355" s="94"/>
      <c r="E6355" s="94"/>
      <c r="G6355" s="94"/>
      <c r="I6355" s="94"/>
      <c r="K6355" s="94"/>
      <c r="M6355" s="94"/>
    </row>
    <row r="6356" s="93" customFormat="1" spans="3:13">
      <c r="C6356" s="94"/>
      <c r="E6356" s="94"/>
      <c r="G6356" s="94"/>
      <c r="I6356" s="94"/>
      <c r="K6356" s="94"/>
      <c r="M6356" s="94"/>
    </row>
    <row r="6357" s="93" customFormat="1" spans="3:13">
      <c r="C6357" s="94"/>
      <c r="E6357" s="94"/>
      <c r="G6357" s="94"/>
      <c r="I6357" s="94"/>
      <c r="K6357" s="94"/>
      <c r="M6357" s="94"/>
    </row>
    <row r="6358" s="93" customFormat="1" spans="3:13">
      <c r="C6358" s="94"/>
      <c r="E6358" s="94"/>
      <c r="G6358" s="94"/>
      <c r="I6358" s="94"/>
      <c r="K6358" s="94"/>
      <c r="M6358" s="94"/>
    </row>
    <row r="6359" s="93" customFormat="1" spans="3:13">
      <c r="C6359" s="94"/>
      <c r="E6359" s="94"/>
      <c r="G6359" s="94"/>
      <c r="I6359" s="94"/>
      <c r="K6359" s="94"/>
      <c r="M6359" s="94"/>
    </row>
    <row r="6360" s="93" customFormat="1" spans="3:13">
      <c r="C6360" s="94"/>
      <c r="E6360" s="94"/>
      <c r="G6360" s="94"/>
      <c r="I6360" s="94"/>
      <c r="K6360" s="94"/>
      <c r="M6360" s="94"/>
    </row>
    <row r="6361" s="93" customFormat="1" spans="3:13">
      <c r="C6361" s="94"/>
      <c r="E6361" s="94"/>
      <c r="G6361" s="94"/>
      <c r="I6361" s="94"/>
      <c r="K6361" s="94"/>
      <c r="M6361" s="94"/>
    </row>
    <row r="6362" s="93" customFormat="1" spans="3:13">
      <c r="C6362" s="94"/>
      <c r="E6362" s="94"/>
      <c r="G6362" s="94"/>
      <c r="I6362" s="94"/>
      <c r="K6362" s="94"/>
      <c r="M6362" s="94"/>
    </row>
    <row r="6363" s="93" customFormat="1" spans="3:13">
      <c r="C6363" s="94"/>
      <c r="E6363" s="94"/>
      <c r="G6363" s="94"/>
      <c r="I6363" s="94"/>
      <c r="K6363" s="94"/>
      <c r="M6363" s="94"/>
    </row>
    <row r="6364" s="93" customFormat="1" spans="3:13">
      <c r="C6364" s="94"/>
      <c r="E6364" s="94"/>
      <c r="G6364" s="94"/>
      <c r="I6364" s="94"/>
      <c r="K6364" s="94"/>
      <c r="M6364" s="94"/>
    </row>
    <row r="6365" s="93" customFormat="1" spans="3:13">
      <c r="C6365" s="94"/>
      <c r="E6365" s="94"/>
      <c r="G6365" s="94"/>
      <c r="I6365" s="94"/>
      <c r="K6365" s="94"/>
      <c r="M6365" s="94"/>
    </row>
    <row r="6366" s="93" customFormat="1" spans="3:13">
      <c r="C6366" s="94"/>
      <c r="E6366" s="94"/>
      <c r="G6366" s="94"/>
      <c r="I6366" s="94"/>
      <c r="K6366" s="94"/>
      <c r="M6366" s="94"/>
    </row>
    <row r="6367" s="93" customFormat="1" spans="3:13">
      <c r="C6367" s="94"/>
      <c r="E6367" s="94"/>
      <c r="G6367" s="94"/>
      <c r="I6367" s="94"/>
      <c r="K6367" s="94"/>
      <c r="M6367" s="94"/>
    </row>
    <row r="6368" s="93" customFormat="1" spans="3:13">
      <c r="C6368" s="94"/>
      <c r="E6368" s="94"/>
      <c r="G6368" s="94"/>
      <c r="I6368" s="94"/>
      <c r="K6368" s="94"/>
      <c r="M6368" s="94"/>
    </row>
    <row r="6369" s="93" customFormat="1" spans="3:13">
      <c r="C6369" s="94"/>
      <c r="E6369" s="94"/>
      <c r="G6369" s="94"/>
      <c r="I6369" s="94"/>
      <c r="K6369" s="94"/>
      <c r="M6369" s="94"/>
    </row>
    <row r="6370" s="93" customFormat="1" spans="3:13">
      <c r="C6370" s="94"/>
      <c r="E6370" s="94"/>
      <c r="G6370" s="94"/>
      <c r="I6370" s="94"/>
      <c r="K6370" s="94"/>
      <c r="M6370" s="94"/>
    </row>
    <row r="6371" s="93" customFormat="1" spans="3:13">
      <c r="C6371" s="94"/>
      <c r="E6371" s="94"/>
      <c r="G6371" s="94"/>
      <c r="I6371" s="94"/>
      <c r="K6371" s="94"/>
      <c r="M6371" s="94"/>
    </row>
    <row r="6372" s="93" customFormat="1" spans="3:13">
      <c r="C6372" s="94"/>
      <c r="E6372" s="94"/>
      <c r="G6372" s="94"/>
      <c r="I6372" s="94"/>
      <c r="K6372" s="94"/>
      <c r="M6372" s="94"/>
    </row>
    <row r="6373" s="93" customFormat="1" spans="3:13">
      <c r="C6373" s="94"/>
      <c r="E6373" s="94"/>
      <c r="G6373" s="94"/>
      <c r="I6373" s="94"/>
      <c r="K6373" s="94"/>
      <c r="M6373" s="94"/>
    </row>
    <row r="6374" s="93" customFormat="1" spans="3:13">
      <c r="C6374" s="94"/>
      <c r="E6374" s="94"/>
      <c r="G6374" s="94"/>
      <c r="I6374" s="94"/>
      <c r="K6374" s="94"/>
      <c r="M6374" s="94"/>
    </row>
    <row r="6375" s="93" customFormat="1" spans="3:13">
      <c r="C6375" s="94"/>
      <c r="E6375" s="94"/>
      <c r="G6375" s="94"/>
      <c r="I6375" s="94"/>
      <c r="K6375" s="94"/>
      <c r="M6375" s="94"/>
    </row>
    <row r="6376" s="93" customFormat="1" spans="3:13">
      <c r="C6376" s="94"/>
      <c r="E6376" s="94"/>
      <c r="G6376" s="94"/>
      <c r="I6376" s="94"/>
      <c r="K6376" s="94"/>
      <c r="M6376" s="94"/>
    </row>
    <row r="6377" s="93" customFormat="1" spans="3:13">
      <c r="C6377" s="94"/>
      <c r="E6377" s="94"/>
      <c r="G6377" s="94"/>
      <c r="I6377" s="94"/>
      <c r="K6377" s="94"/>
      <c r="M6377" s="94"/>
    </row>
    <row r="6378" s="93" customFormat="1" spans="3:13">
      <c r="C6378" s="94"/>
      <c r="E6378" s="94"/>
      <c r="G6378" s="94"/>
      <c r="I6378" s="94"/>
      <c r="K6378" s="94"/>
      <c r="M6378" s="94"/>
    </row>
    <row r="6379" s="93" customFormat="1" spans="3:13">
      <c r="C6379" s="94"/>
      <c r="E6379" s="94"/>
      <c r="G6379" s="94"/>
      <c r="I6379" s="94"/>
      <c r="K6379" s="94"/>
      <c r="M6379" s="94"/>
    </row>
    <row r="6380" s="93" customFormat="1" spans="3:13">
      <c r="C6380" s="94"/>
      <c r="E6380" s="94"/>
      <c r="G6380" s="94"/>
      <c r="I6380" s="94"/>
      <c r="K6380" s="94"/>
      <c r="M6380" s="94"/>
    </row>
    <row r="6381" s="93" customFormat="1" spans="3:13">
      <c r="C6381" s="94"/>
      <c r="E6381" s="94"/>
      <c r="G6381" s="94"/>
      <c r="I6381" s="94"/>
      <c r="K6381" s="94"/>
      <c r="M6381" s="94"/>
    </row>
    <row r="6382" s="93" customFormat="1" spans="3:13">
      <c r="C6382" s="94"/>
      <c r="E6382" s="94"/>
      <c r="G6382" s="94"/>
      <c r="I6382" s="94"/>
      <c r="K6382" s="94"/>
      <c r="M6382" s="94"/>
    </row>
    <row r="6383" s="93" customFormat="1" spans="3:13">
      <c r="C6383" s="94"/>
      <c r="E6383" s="94"/>
      <c r="G6383" s="94"/>
      <c r="I6383" s="94"/>
      <c r="K6383" s="94"/>
      <c r="M6383" s="94"/>
    </row>
    <row r="6384" s="93" customFormat="1" spans="3:13">
      <c r="C6384" s="94"/>
      <c r="E6384" s="94"/>
      <c r="G6384" s="94"/>
      <c r="I6384" s="94"/>
      <c r="K6384" s="94"/>
      <c r="M6384" s="94"/>
    </row>
    <row r="6385" s="93" customFormat="1" spans="3:13">
      <c r="C6385" s="94"/>
      <c r="E6385" s="94"/>
      <c r="G6385" s="94"/>
      <c r="I6385" s="94"/>
      <c r="K6385" s="94"/>
      <c r="M6385" s="94"/>
    </row>
    <row r="6386" s="93" customFormat="1" spans="3:13">
      <c r="C6386" s="94"/>
      <c r="E6386" s="94"/>
      <c r="G6386" s="94"/>
      <c r="I6386" s="94"/>
      <c r="K6386" s="94"/>
      <c r="M6386" s="94"/>
    </row>
    <row r="6387" s="93" customFormat="1" spans="3:13">
      <c r="C6387" s="94"/>
      <c r="E6387" s="94"/>
      <c r="G6387" s="94"/>
      <c r="I6387" s="94"/>
      <c r="K6387" s="94"/>
      <c r="M6387" s="94"/>
    </row>
    <row r="6388" s="93" customFormat="1" spans="3:13">
      <c r="C6388" s="94"/>
      <c r="E6388" s="94"/>
      <c r="G6388" s="94"/>
      <c r="I6388" s="94"/>
      <c r="K6388" s="94"/>
      <c r="M6388" s="94"/>
    </row>
    <row r="6389" s="93" customFormat="1" spans="3:13">
      <c r="C6389" s="94"/>
      <c r="E6389" s="94"/>
      <c r="G6389" s="94"/>
      <c r="I6389" s="94"/>
      <c r="K6389" s="94"/>
      <c r="M6389" s="94"/>
    </row>
    <row r="6390" s="93" customFormat="1" spans="3:13">
      <c r="C6390" s="94"/>
      <c r="E6390" s="94"/>
      <c r="G6390" s="94"/>
      <c r="I6390" s="94"/>
      <c r="K6390" s="94"/>
      <c r="M6390" s="94"/>
    </row>
    <row r="6391" s="93" customFormat="1" spans="3:13">
      <c r="C6391" s="94"/>
      <c r="E6391" s="94"/>
      <c r="G6391" s="94"/>
      <c r="I6391" s="94"/>
      <c r="K6391" s="94"/>
      <c r="M6391" s="94"/>
    </row>
    <row r="6392" s="93" customFormat="1" spans="3:13">
      <c r="C6392" s="94"/>
      <c r="E6392" s="94"/>
      <c r="G6392" s="94"/>
      <c r="I6392" s="94"/>
      <c r="K6392" s="94"/>
      <c r="M6392" s="94"/>
    </row>
    <row r="6393" s="93" customFormat="1" spans="3:13">
      <c r="C6393" s="94"/>
      <c r="E6393" s="94"/>
      <c r="G6393" s="94"/>
      <c r="I6393" s="94"/>
      <c r="K6393" s="94"/>
      <c r="M6393" s="94"/>
    </row>
    <row r="6394" s="93" customFormat="1" spans="3:13">
      <c r="C6394" s="94"/>
      <c r="E6394" s="94"/>
      <c r="G6394" s="94"/>
      <c r="I6394" s="94"/>
      <c r="K6394" s="94"/>
      <c r="M6394" s="94"/>
    </row>
    <row r="6395" s="93" customFormat="1" spans="3:13">
      <c r="C6395" s="94"/>
      <c r="E6395" s="94"/>
      <c r="G6395" s="94"/>
      <c r="I6395" s="94"/>
      <c r="K6395" s="94"/>
      <c r="M6395" s="94"/>
    </row>
    <row r="6396" s="93" customFormat="1" spans="3:13">
      <c r="C6396" s="94"/>
      <c r="E6396" s="94"/>
      <c r="G6396" s="94"/>
      <c r="I6396" s="94"/>
      <c r="K6396" s="94"/>
      <c r="M6396" s="94"/>
    </row>
    <row r="6397" s="93" customFormat="1" spans="3:13">
      <c r="C6397" s="94"/>
      <c r="E6397" s="94"/>
      <c r="G6397" s="94"/>
      <c r="I6397" s="94"/>
      <c r="K6397" s="94"/>
      <c r="M6397" s="94"/>
    </row>
    <row r="6398" s="93" customFormat="1" spans="3:13">
      <c r="C6398" s="94"/>
      <c r="E6398" s="94"/>
      <c r="G6398" s="94"/>
      <c r="I6398" s="94"/>
      <c r="K6398" s="94"/>
      <c r="M6398" s="94"/>
    </row>
    <row r="6399" s="93" customFormat="1" spans="3:13">
      <c r="C6399" s="94"/>
      <c r="E6399" s="94"/>
      <c r="G6399" s="94"/>
      <c r="I6399" s="94"/>
      <c r="K6399" s="94"/>
      <c r="M6399" s="94"/>
    </row>
    <row r="6400" s="93" customFormat="1" spans="3:13">
      <c r="C6400" s="94"/>
      <c r="E6400" s="94"/>
      <c r="G6400" s="94"/>
      <c r="I6400" s="94"/>
      <c r="K6400" s="94"/>
      <c r="M6400" s="94"/>
    </row>
    <row r="6401" s="93" customFormat="1" spans="3:13">
      <c r="C6401" s="94"/>
      <c r="E6401" s="94"/>
      <c r="G6401" s="94"/>
      <c r="I6401" s="94"/>
      <c r="K6401" s="94"/>
      <c r="M6401" s="94"/>
    </row>
    <row r="6402" s="93" customFormat="1" spans="3:13">
      <c r="C6402" s="94"/>
      <c r="E6402" s="94"/>
      <c r="G6402" s="94"/>
      <c r="I6402" s="94"/>
      <c r="K6402" s="94"/>
      <c r="M6402" s="94"/>
    </row>
    <row r="6403" s="93" customFormat="1" spans="3:13">
      <c r="C6403" s="94"/>
      <c r="E6403" s="94"/>
      <c r="G6403" s="94"/>
      <c r="I6403" s="94"/>
      <c r="K6403" s="94"/>
      <c r="M6403" s="94"/>
    </row>
    <row r="6404" s="93" customFormat="1" spans="3:13">
      <c r="C6404" s="94"/>
      <c r="E6404" s="94"/>
      <c r="G6404" s="94"/>
      <c r="I6404" s="94"/>
      <c r="K6404" s="94"/>
      <c r="M6404" s="94"/>
    </row>
    <row r="6405" s="93" customFormat="1" spans="3:13">
      <c r="C6405" s="94"/>
      <c r="E6405" s="94"/>
      <c r="G6405" s="94"/>
      <c r="I6405" s="94"/>
      <c r="K6405" s="94"/>
      <c r="M6405" s="94"/>
    </row>
    <row r="6406" s="93" customFormat="1" spans="3:13">
      <c r="C6406" s="94"/>
      <c r="E6406" s="94"/>
      <c r="G6406" s="94"/>
      <c r="I6406" s="94"/>
      <c r="K6406" s="94"/>
      <c r="M6406" s="94"/>
    </row>
    <row r="6407" s="93" customFormat="1" spans="3:13">
      <c r="C6407" s="94"/>
      <c r="E6407" s="94"/>
      <c r="G6407" s="94"/>
      <c r="I6407" s="94"/>
      <c r="K6407" s="94"/>
      <c r="M6407" s="94"/>
    </row>
    <row r="6408" s="93" customFormat="1" spans="3:13">
      <c r="C6408" s="94"/>
      <c r="E6408" s="94"/>
      <c r="G6408" s="94"/>
      <c r="I6408" s="94"/>
      <c r="K6408" s="94"/>
      <c r="M6408" s="94"/>
    </row>
    <row r="6409" s="93" customFormat="1" spans="3:13">
      <c r="C6409" s="94"/>
      <c r="E6409" s="94"/>
      <c r="G6409" s="94"/>
      <c r="I6409" s="94"/>
      <c r="K6409" s="94"/>
      <c r="M6409" s="94"/>
    </row>
    <row r="6410" s="93" customFormat="1" spans="3:13">
      <c r="C6410" s="94"/>
      <c r="E6410" s="94"/>
      <c r="G6410" s="94"/>
      <c r="I6410" s="94"/>
      <c r="K6410" s="94"/>
      <c r="M6410" s="94"/>
    </row>
    <row r="6411" s="93" customFormat="1" spans="3:13">
      <c r="C6411" s="94"/>
      <c r="E6411" s="94"/>
      <c r="G6411" s="94"/>
      <c r="I6411" s="94"/>
      <c r="K6411" s="94"/>
      <c r="M6411" s="94"/>
    </row>
    <row r="6412" s="93" customFormat="1" spans="3:13">
      <c r="C6412" s="94"/>
      <c r="E6412" s="94"/>
      <c r="G6412" s="94"/>
      <c r="I6412" s="94"/>
      <c r="K6412" s="94"/>
      <c r="M6412" s="94"/>
    </row>
    <row r="6413" s="93" customFormat="1" spans="3:13">
      <c r="C6413" s="94"/>
      <c r="E6413" s="94"/>
      <c r="G6413" s="94"/>
      <c r="I6413" s="94"/>
      <c r="K6413" s="94"/>
      <c r="M6413" s="94"/>
    </row>
    <row r="6414" s="93" customFormat="1" spans="3:13">
      <c r="C6414" s="94"/>
      <c r="E6414" s="94"/>
      <c r="G6414" s="94"/>
      <c r="I6414" s="94"/>
      <c r="K6414" s="94"/>
      <c r="M6414" s="94"/>
    </row>
    <row r="6415" s="93" customFormat="1" spans="3:13">
      <c r="C6415" s="94"/>
      <c r="E6415" s="94"/>
      <c r="G6415" s="94"/>
      <c r="I6415" s="94"/>
      <c r="K6415" s="94"/>
      <c r="M6415" s="94"/>
    </row>
    <row r="6416" s="93" customFormat="1" spans="3:13">
      <c r="C6416" s="94"/>
      <c r="E6416" s="94"/>
      <c r="G6416" s="94"/>
      <c r="I6416" s="94"/>
      <c r="K6416" s="94"/>
      <c r="M6416" s="94"/>
    </row>
    <row r="6417" s="93" customFormat="1" spans="3:13">
      <c r="C6417" s="94"/>
      <c r="E6417" s="94"/>
      <c r="G6417" s="94"/>
      <c r="I6417" s="94"/>
      <c r="K6417" s="94"/>
      <c r="M6417" s="94"/>
    </row>
    <row r="6418" s="93" customFormat="1" spans="3:13">
      <c r="C6418" s="94"/>
      <c r="E6418" s="94"/>
      <c r="G6418" s="94"/>
      <c r="I6418" s="94"/>
      <c r="K6418" s="94"/>
      <c r="M6418" s="94"/>
    </row>
    <row r="6419" s="93" customFormat="1" spans="3:13">
      <c r="C6419" s="94"/>
      <c r="E6419" s="94"/>
      <c r="G6419" s="94"/>
      <c r="I6419" s="94"/>
      <c r="K6419" s="94"/>
      <c r="M6419" s="94"/>
    </row>
    <row r="6420" s="93" customFormat="1" spans="3:13">
      <c r="C6420" s="94"/>
      <c r="E6420" s="94"/>
      <c r="G6420" s="94"/>
      <c r="I6420" s="94"/>
      <c r="K6420" s="94"/>
      <c r="M6420" s="94"/>
    </row>
    <row r="6421" s="93" customFormat="1" spans="3:13">
      <c r="C6421" s="94"/>
      <c r="E6421" s="94"/>
      <c r="G6421" s="94"/>
      <c r="I6421" s="94"/>
      <c r="K6421" s="94"/>
      <c r="M6421" s="94"/>
    </row>
    <row r="6422" s="93" customFormat="1" spans="3:13">
      <c r="C6422" s="94"/>
      <c r="E6422" s="94"/>
      <c r="G6422" s="94"/>
      <c r="I6422" s="94"/>
      <c r="K6422" s="94"/>
      <c r="M6422" s="94"/>
    </row>
    <row r="6423" s="93" customFormat="1" spans="3:13">
      <c r="C6423" s="94"/>
      <c r="E6423" s="94"/>
      <c r="G6423" s="94"/>
      <c r="I6423" s="94"/>
      <c r="K6423" s="94"/>
      <c r="M6423" s="94"/>
    </row>
    <row r="6424" s="93" customFormat="1" spans="3:13">
      <c r="C6424" s="94"/>
      <c r="E6424" s="94"/>
      <c r="G6424" s="94"/>
      <c r="I6424" s="94"/>
      <c r="K6424" s="94"/>
      <c r="M6424" s="94"/>
    </row>
    <row r="6425" s="93" customFormat="1" spans="3:13">
      <c r="C6425" s="94"/>
      <c r="E6425" s="94"/>
      <c r="G6425" s="94"/>
      <c r="I6425" s="94"/>
      <c r="K6425" s="94"/>
      <c r="M6425" s="94"/>
    </row>
    <row r="6426" s="93" customFormat="1" spans="3:13">
      <c r="C6426" s="94"/>
      <c r="E6426" s="94"/>
      <c r="G6426" s="94"/>
      <c r="I6426" s="94"/>
      <c r="K6426" s="94"/>
      <c r="M6426" s="94"/>
    </row>
    <row r="6427" s="93" customFormat="1" spans="3:13">
      <c r="C6427" s="94"/>
      <c r="E6427" s="94"/>
      <c r="G6427" s="94"/>
      <c r="I6427" s="94"/>
      <c r="K6427" s="94"/>
      <c r="M6427" s="94"/>
    </row>
    <row r="6428" s="93" customFormat="1" spans="3:13">
      <c r="C6428" s="94"/>
      <c r="E6428" s="94"/>
      <c r="G6428" s="94"/>
      <c r="I6428" s="94"/>
      <c r="K6428" s="94"/>
      <c r="M6428" s="94"/>
    </row>
    <row r="6429" s="93" customFormat="1" spans="3:13">
      <c r="C6429" s="94"/>
      <c r="E6429" s="94"/>
      <c r="G6429" s="94"/>
      <c r="I6429" s="94"/>
      <c r="K6429" s="94"/>
      <c r="M6429" s="94"/>
    </row>
    <row r="6430" s="93" customFormat="1" spans="3:13">
      <c r="C6430" s="94"/>
      <c r="E6430" s="94"/>
      <c r="G6430" s="94"/>
      <c r="I6430" s="94"/>
      <c r="K6430" s="94"/>
      <c r="M6430" s="94"/>
    </row>
    <row r="6431" s="93" customFormat="1" spans="3:13">
      <c r="C6431" s="94"/>
      <c r="E6431" s="94"/>
      <c r="G6431" s="94"/>
      <c r="I6431" s="94"/>
      <c r="K6431" s="94"/>
      <c r="M6431" s="94"/>
    </row>
    <row r="6432" s="93" customFormat="1" spans="3:13">
      <c r="C6432" s="94"/>
      <c r="E6432" s="94"/>
      <c r="G6432" s="94"/>
      <c r="I6432" s="94"/>
      <c r="K6432" s="94"/>
      <c r="M6432" s="94"/>
    </row>
    <row r="6433" s="93" customFormat="1" spans="3:13">
      <c r="C6433" s="94"/>
      <c r="E6433" s="94"/>
      <c r="G6433" s="94"/>
      <c r="I6433" s="94"/>
      <c r="K6433" s="94"/>
      <c r="M6433" s="94"/>
    </row>
    <row r="6434" s="93" customFormat="1" spans="3:13">
      <c r="C6434" s="94"/>
      <c r="E6434" s="94"/>
      <c r="G6434" s="94"/>
      <c r="I6434" s="94"/>
      <c r="K6434" s="94"/>
      <c r="M6434" s="94"/>
    </row>
    <row r="6435" s="93" customFormat="1" spans="3:13">
      <c r="C6435" s="94"/>
      <c r="E6435" s="94"/>
      <c r="G6435" s="94"/>
      <c r="I6435" s="94"/>
      <c r="K6435" s="94"/>
      <c r="M6435" s="94"/>
    </row>
    <row r="6436" s="93" customFormat="1" spans="3:13">
      <c r="C6436" s="94"/>
      <c r="E6436" s="94"/>
      <c r="G6436" s="94"/>
      <c r="I6436" s="94"/>
      <c r="K6436" s="94"/>
      <c r="M6436" s="94"/>
    </row>
    <row r="6437" s="93" customFormat="1" spans="3:13">
      <c r="C6437" s="94"/>
      <c r="E6437" s="94"/>
      <c r="G6437" s="94"/>
      <c r="I6437" s="94"/>
      <c r="K6437" s="94"/>
      <c r="M6437" s="94"/>
    </row>
    <row r="6438" s="93" customFormat="1" spans="3:13">
      <c r="C6438" s="94"/>
      <c r="E6438" s="94"/>
      <c r="G6438" s="94"/>
      <c r="I6438" s="94"/>
      <c r="K6438" s="94"/>
      <c r="M6438" s="94"/>
    </row>
    <row r="6439" s="93" customFormat="1" spans="3:13">
      <c r="C6439" s="94"/>
      <c r="E6439" s="94"/>
      <c r="G6439" s="94"/>
      <c r="I6439" s="94"/>
      <c r="K6439" s="94"/>
      <c r="M6439" s="94"/>
    </row>
    <row r="6440" s="93" customFormat="1" spans="3:13">
      <c r="C6440" s="94"/>
      <c r="E6440" s="94"/>
      <c r="G6440" s="94"/>
      <c r="I6440" s="94"/>
      <c r="K6440" s="94"/>
      <c r="M6440" s="94"/>
    </row>
    <row r="6441" s="93" customFormat="1" spans="3:13">
      <c r="C6441" s="94"/>
      <c r="E6441" s="94"/>
      <c r="G6441" s="94"/>
      <c r="I6441" s="94"/>
      <c r="K6441" s="94"/>
      <c r="M6441" s="94"/>
    </row>
    <row r="6442" s="93" customFormat="1" spans="3:13">
      <c r="C6442" s="94"/>
      <c r="E6442" s="94"/>
      <c r="G6442" s="94"/>
      <c r="I6442" s="94"/>
      <c r="K6442" s="94"/>
      <c r="M6442" s="94"/>
    </row>
    <row r="6443" s="93" customFormat="1" spans="3:13">
      <c r="C6443" s="94"/>
      <c r="E6443" s="94"/>
      <c r="G6443" s="94"/>
      <c r="I6443" s="94"/>
      <c r="K6443" s="94"/>
      <c r="M6443" s="94"/>
    </row>
    <row r="6444" s="93" customFormat="1" spans="3:13">
      <c r="C6444" s="94"/>
      <c r="E6444" s="94"/>
      <c r="G6444" s="94"/>
      <c r="I6444" s="94"/>
      <c r="K6444" s="94"/>
      <c r="M6444" s="94"/>
    </row>
    <row r="6445" s="93" customFormat="1" spans="3:13">
      <c r="C6445" s="94"/>
      <c r="E6445" s="94"/>
      <c r="G6445" s="94"/>
      <c r="I6445" s="94"/>
      <c r="K6445" s="94"/>
      <c r="M6445" s="94"/>
    </row>
    <row r="6446" s="93" customFormat="1" spans="3:13">
      <c r="C6446" s="94"/>
      <c r="E6446" s="94"/>
      <c r="G6446" s="94"/>
      <c r="I6446" s="94"/>
      <c r="K6446" s="94"/>
      <c r="M6446" s="94"/>
    </row>
    <row r="6447" s="93" customFormat="1" spans="3:13">
      <c r="C6447" s="94"/>
      <c r="E6447" s="94"/>
      <c r="G6447" s="94"/>
      <c r="I6447" s="94"/>
      <c r="K6447" s="94"/>
      <c r="M6447" s="94"/>
    </row>
    <row r="6448" s="93" customFormat="1" spans="3:13">
      <c r="C6448" s="94"/>
      <c r="E6448" s="94"/>
      <c r="G6448" s="94"/>
      <c r="I6448" s="94"/>
      <c r="K6448" s="94"/>
      <c r="M6448" s="94"/>
    </row>
    <row r="6449" s="93" customFormat="1" spans="3:13">
      <c r="C6449" s="94"/>
      <c r="E6449" s="94"/>
      <c r="G6449" s="94"/>
      <c r="I6449" s="94"/>
      <c r="K6449" s="94"/>
      <c r="M6449" s="94"/>
    </row>
    <row r="6450" s="93" customFormat="1" spans="3:13">
      <c r="C6450" s="94"/>
      <c r="E6450" s="94"/>
      <c r="G6450" s="94"/>
      <c r="I6450" s="94"/>
      <c r="K6450" s="94"/>
      <c r="M6450" s="94"/>
    </row>
    <row r="6451" s="93" customFormat="1" spans="3:13">
      <c r="C6451" s="94"/>
      <c r="E6451" s="94"/>
      <c r="G6451" s="94"/>
      <c r="I6451" s="94"/>
      <c r="K6451" s="94"/>
      <c r="M6451" s="94"/>
    </row>
    <row r="6452" s="93" customFormat="1" spans="3:13">
      <c r="C6452" s="94"/>
      <c r="E6452" s="94"/>
      <c r="G6452" s="94"/>
      <c r="I6452" s="94"/>
      <c r="K6452" s="94"/>
      <c r="M6452" s="94"/>
    </row>
    <row r="6453" s="93" customFormat="1" spans="3:13">
      <c r="C6453" s="94"/>
      <c r="E6453" s="94"/>
      <c r="G6453" s="94"/>
      <c r="I6453" s="94"/>
      <c r="K6453" s="94"/>
      <c r="M6453" s="94"/>
    </row>
    <row r="6454" s="93" customFormat="1" spans="3:13">
      <c r="C6454" s="94"/>
      <c r="E6454" s="94"/>
      <c r="G6454" s="94"/>
      <c r="I6454" s="94"/>
      <c r="K6454" s="94"/>
      <c r="M6454" s="94"/>
    </row>
    <row r="6455" s="93" customFormat="1" spans="3:13">
      <c r="C6455" s="94"/>
      <c r="E6455" s="94"/>
      <c r="G6455" s="94"/>
      <c r="I6455" s="94"/>
      <c r="K6455" s="94"/>
      <c r="M6455" s="94"/>
    </row>
    <row r="6456" s="93" customFormat="1" spans="3:13">
      <c r="C6456" s="94"/>
      <c r="E6456" s="94"/>
      <c r="G6456" s="94"/>
      <c r="I6456" s="94"/>
      <c r="K6456" s="94"/>
      <c r="M6456" s="94"/>
    </row>
    <row r="6457" s="93" customFormat="1" spans="3:13">
      <c r="C6457" s="94"/>
      <c r="E6457" s="94"/>
      <c r="G6457" s="94"/>
      <c r="I6457" s="94"/>
      <c r="K6457" s="94"/>
      <c r="M6457" s="94"/>
    </row>
    <row r="6458" s="93" customFormat="1" spans="3:13">
      <c r="C6458" s="94"/>
      <c r="E6458" s="94"/>
      <c r="G6458" s="94"/>
      <c r="I6458" s="94"/>
      <c r="K6458" s="94"/>
      <c r="M6458" s="94"/>
    </row>
    <row r="6459" s="93" customFormat="1" spans="3:13">
      <c r="C6459" s="94"/>
      <c r="E6459" s="94"/>
      <c r="G6459" s="94"/>
      <c r="I6459" s="94"/>
      <c r="K6459" s="94"/>
      <c r="M6459" s="94"/>
    </row>
    <row r="6460" s="93" customFormat="1" spans="3:13">
      <c r="C6460" s="94"/>
      <c r="E6460" s="94"/>
      <c r="G6460" s="94"/>
      <c r="I6460" s="94"/>
      <c r="K6460" s="94"/>
      <c r="M6460" s="94"/>
    </row>
    <row r="6461" s="93" customFormat="1" spans="3:13">
      <c r="C6461" s="94"/>
      <c r="E6461" s="94"/>
      <c r="G6461" s="94"/>
      <c r="I6461" s="94"/>
      <c r="K6461" s="94"/>
      <c r="M6461" s="94"/>
    </row>
    <row r="6462" s="93" customFormat="1" spans="3:13">
      <c r="C6462" s="94"/>
      <c r="E6462" s="94"/>
      <c r="G6462" s="94"/>
      <c r="I6462" s="94"/>
      <c r="K6462" s="94"/>
      <c r="M6462" s="94"/>
    </row>
    <row r="6463" s="93" customFormat="1" spans="3:13">
      <c r="C6463" s="94"/>
      <c r="E6463" s="94"/>
      <c r="G6463" s="94"/>
      <c r="I6463" s="94"/>
      <c r="K6463" s="94"/>
      <c r="M6463" s="94"/>
    </row>
    <row r="6464" s="93" customFormat="1" spans="3:13">
      <c r="C6464" s="94"/>
      <c r="E6464" s="94"/>
      <c r="G6464" s="94"/>
      <c r="I6464" s="94"/>
      <c r="K6464" s="94"/>
      <c r="M6464" s="94"/>
    </row>
    <row r="6465" s="93" customFormat="1" spans="3:13">
      <c r="C6465" s="94"/>
      <c r="E6465" s="94"/>
      <c r="G6465" s="94"/>
      <c r="I6465" s="94"/>
      <c r="K6465" s="94"/>
      <c r="M6465" s="94"/>
    </row>
    <row r="6466" s="93" customFormat="1" spans="3:13">
      <c r="C6466" s="94"/>
      <c r="E6466" s="94"/>
      <c r="G6466" s="94"/>
      <c r="I6466" s="94"/>
      <c r="K6466" s="94"/>
      <c r="M6466" s="94"/>
    </row>
    <row r="6467" s="93" customFormat="1" spans="3:13">
      <c r="C6467" s="94"/>
      <c r="E6467" s="94"/>
      <c r="G6467" s="94"/>
      <c r="I6467" s="94"/>
      <c r="K6467" s="94"/>
      <c r="M6467" s="94"/>
    </row>
    <row r="6468" s="93" customFormat="1" spans="3:13">
      <c r="C6468" s="94"/>
      <c r="E6468" s="94"/>
      <c r="G6468" s="94"/>
      <c r="I6468" s="94"/>
      <c r="K6468" s="94"/>
      <c r="M6468" s="94"/>
    </row>
    <row r="6469" s="93" customFormat="1" spans="3:13">
      <c r="C6469" s="94"/>
      <c r="E6469" s="94"/>
      <c r="G6469" s="94"/>
      <c r="I6469" s="94"/>
      <c r="K6469" s="94"/>
      <c r="M6469" s="94"/>
    </row>
    <row r="6470" s="93" customFormat="1" spans="3:13">
      <c r="C6470" s="94"/>
      <c r="E6470" s="94"/>
      <c r="G6470" s="94"/>
      <c r="I6470" s="94"/>
      <c r="K6470" s="94"/>
      <c r="M6470" s="94"/>
    </row>
    <row r="6471" s="93" customFormat="1" spans="3:13">
      <c r="C6471" s="94"/>
      <c r="E6471" s="94"/>
      <c r="G6471" s="94"/>
      <c r="I6471" s="94"/>
      <c r="K6471" s="94"/>
      <c r="M6471" s="94"/>
    </row>
    <row r="6472" s="93" customFormat="1" spans="3:13">
      <c r="C6472" s="94"/>
      <c r="E6472" s="94"/>
      <c r="G6472" s="94"/>
      <c r="I6472" s="94"/>
      <c r="K6472" s="94"/>
      <c r="M6472" s="94"/>
    </row>
    <row r="6473" s="93" customFormat="1" spans="3:13">
      <c r="C6473" s="94"/>
      <c r="E6473" s="94"/>
      <c r="G6473" s="94"/>
      <c r="I6473" s="94"/>
      <c r="K6473" s="94"/>
      <c r="M6473" s="94"/>
    </row>
    <row r="6474" s="93" customFormat="1" spans="3:13">
      <c r="C6474" s="94"/>
      <c r="E6474" s="94"/>
      <c r="G6474" s="94"/>
      <c r="I6474" s="94"/>
      <c r="K6474" s="94"/>
      <c r="M6474" s="94"/>
    </row>
    <row r="6475" s="93" customFormat="1" spans="3:13">
      <c r="C6475" s="94"/>
      <c r="E6475" s="94"/>
      <c r="G6475" s="94"/>
      <c r="I6475" s="94"/>
      <c r="K6475" s="94"/>
      <c r="M6475" s="94"/>
    </row>
    <row r="6476" s="93" customFormat="1" spans="3:13">
      <c r="C6476" s="94"/>
      <c r="E6476" s="94"/>
      <c r="G6476" s="94"/>
      <c r="I6476" s="94"/>
      <c r="K6476" s="94"/>
      <c r="M6476" s="94"/>
    </row>
    <row r="6477" s="93" customFormat="1" spans="3:13">
      <c r="C6477" s="94"/>
      <c r="E6477" s="94"/>
      <c r="G6477" s="94"/>
      <c r="I6477" s="94"/>
      <c r="K6477" s="94"/>
      <c r="M6477" s="94"/>
    </row>
    <row r="6478" s="93" customFormat="1" spans="3:13">
      <c r="C6478" s="94"/>
      <c r="E6478" s="94"/>
      <c r="G6478" s="94"/>
      <c r="I6478" s="94"/>
      <c r="K6478" s="94"/>
      <c r="M6478" s="94"/>
    </row>
    <row r="6479" s="93" customFormat="1" spans="3:13">
      <c r="C6479" s="94"/>
      <c r="E6479" s="94"/>
      <c r="G6479" s="94"/>
      <c r="I6479" s="94"/>
      <c r="K6479" s="94"/>
      <c r="M6479" s="94"/>
    </row>
    <row r="6480" s="93" customFormat="1" spans="3:13">
      <c r="C6480" s="94"/>
      <c r="E6480" s="94"/>
      <c r="G6480" s="94"/>
      <c r="I6480" s="94"/>
      <c r="K6480" s="94"/>
      <c r="M6480" s="94"/>
    </row>
    <row r="6481" s="93" customFormat="1" spans="3:13">
      <c r="C6481" s="94"/>
      <c r="E6481" s="94"/>
      <c r="G6481" s="94"/>
      <c r="I6481" s="94"/>
      <c r="K6481" s="94"/>
      <c r="M6481" s="94"/>
    </row>
    <row r="6482" s="93" customFormat="1" spans="3:13">
      <c r="C6482" s="94"/>
      <c r="E6482" s="94"/>
      <c r="G6482" s="94"/>
      <c r="I6482" s="94"/>
      <c r="K6482" s="94"/>
      <c r="M6482" s="94"/>
    </row>
    <row r="6483" s="93" customFormat="1" spans="3:13">
      <c r="C6483" s="94"/>
      <c r="E6483" s="94"/>
      <c r="G6483" s="94"/>
      <c r="I6483" s="94"/>
      <c r="K6483" s="94"/>
      <c r="M6483" s="94"/>
    </row>
    <row r="6484" s="93" customFormat="1" spans="3:13">
      <c r="C6484" s="94"/>
      <c r="E6484" s="94"/>
      <c r="G6484" s="94"/>
      <c r="I6484" s="94"/>
      <c r="K6484" s="94"/>
      <c r="M6484" s="94"/>
    </row>
    <row r="6485" s="93" customFormat="1" spans="3:13">
      <c r="C6485" s="94"/>
      <c r="E6485" s="94"/>
      <c r="G6485" s="94"/>
      <c r="I6485" s="94"/>
      <c r="K6485" s="94"/>
      <c r="M6485" s="94"/>
    </row>
    <row r="6486" s="93" customFormat="1" spans="3:13">
      <c r="C6486" s="94"/>
      <c r="E6486" s="94"/>
      <c r="G6486" s="94"/>
      <c r="I6486" s="94"/>
      <c r="K6486" s="94"/>
      <c r="M6486" s="94"/>
    </row>
    <row r="6487" s="93" customFormat="1" spans="3:13">
      <c r="C6487" s="94"/>
      <c r="E6487" s="94"/>
      <c r="G6487" s="94"/>
      <c r="I6487" s="94"/>
      <c r="K6487" s="94"/>
      <c r="M6487" s="94"/>
    </row>
    <row r="6488" s="93" customFormat="1" spans="3:13">
      <c r="C6488" s="94"/>
      <c r="E6488" s="94"/>
      <c r="G6488" s="94"/>
      <c r="I6488" s="94"/>
      <c r="K6488" s="94"/>
      <c r="M6488" s="94"/>
    </row>
    <row r="6489" s="93" customFormat="1" spans="3:13">
      <c r="C6489" s="94"/>
      <c r="E6489" s="94"/>
      <c r="G6489" s="94"/>
      <c r="I6489" s="94"/>
      <c r="K6489" s="94"/>
      <c r="M6489" s="94"/>
    </row>
    <row r="6490" s="93" customFormat="1" spans="3:13">
      <c r="C6490" s="94"/>
      <c r="E6490" s="94"/>
      <c r="G6490" s="94"/>
      <c r="I6490" s="94"/>
      <c r="K6490" s="94"/>
      <c r="M6490" s="94"/>
    </row>
    <row r="6491" s="93" customFormat="1" spans="3:13">
      <c r="C6491" s="94"/>
      <c r="E6491" s="94"/>
      <c r="G6491" s="94"/>
      <c r="I6491" s="94"/>
      <c r="K6491" s="94"/>
      <c r="M6491" s="94"/>
    </row>
    <row r="6492" s="93" customFormat="1" spans="3:13">
      <c r="C6492" s="94"/>
      <c r="E6492" s="94"/>
      <c r="G6492" s="94"/>
      <c r="I6492" s="94"/>
      <c r="K6492" s="94"/>
      <c r="M6492" s="94"/>
    </row>
    <row r="6493" s="93" customFormat="1" spans="3:13">
      <c r="C6493" s="94"/>
      <c r="E6493" s="94"/>
      <c r="G6493" s="94"/>
      <c r="I6493" s="94"/>
      <c r="K6493" s="94"/>
      <c r="M6493" s="94"/>
    </row>
    <row r="6494" s="93" customFormat="1" spans="3:13">
      <c r="C6494" s="94"/>
      <c r="E6494" s="94"/>
      <c r="G6494" s="94"/>
      <c r="I6494" s="94"/>
      <c r="K6494" s="94"/>
      <c r="M6494" s="94"/>
    </row>
    <row r="6495" s="93" customFormat="1" spans="3:13">
      <c r="C6495" s="94"/>
      <c r="E6495" s="94"/>
      <c r="G6495" s="94"/>
      <c r="I6495" s="94"/>
      <c r="K6495" s="94"/>
      <c r="M6495" s="94"/>
    </row>
    <row r="6496" s="93" customFormat="1" spans="3:13">
      <c r="C6496" s="94"/>
      <c r="E6496" s="94"/>
      <c r="G6496" s="94"/>
      <c r="I6496" s="94"/>
      <c r="K6496" s="94"/>
      <c r="M6496" s="94"/>
    </row>
    <row r="6497" s="93" customFormat="1" spans="3:13">
      <c r="C6497" s="94"/>
      <c r="E6497" s="94"/>
      <c r="G6497" s="94"/>
      <c r="I6497" s="94"/>
      <c r="K6497" s="94"/>
      <c r="M6497" s="94"/>
    </row>
    <row r="6498" s="93" customFormat="1" spans="3:13">
      <c r="C6498" s="94"/>
      <c r="E6498" s="94"/>
      <c r="G6498" s="94"/>
      <c r="I6498" s="94"/>
      <c r="K6498" s="94"/>
      <c r="M6498" s="94"/>
    </row>
    <row r="6499" s="93" customFormat="1" spans="3:13">
      <c r="C6499" s="94"/>
      <c r="E6499" s="94"/>
      <c r="G6499" s="94"/>
      <c r="I6499" s="94"/>
      <c r="K6499" s="94"/>
      <c r="M6499" s="94"/>
    </row>
    <row r="6500" s="93" customFormat="1" spans="3:13">
      <c r="C6500" s="94"/>
      <c r="E6500" s="94"/>
      <c r="G6500" s="94"/>
      <c r="I6500" s="94"/>
      <c r="K6500" s="94"/>
      <c r="M6500" s="94"/>
    </row>
    <row r="6501" s="93" customFormat="1" spans="3:13">
      <c r="C6501" s="94"/>
      <c r="E6501" s="94"/>
      <c r="G6501" s="94"/>
      <c r="I6501" s="94"/>
      <c r="K6501" s="94"/>
      <c r="M6501" s="94"/>
    </row>
    <row r="6502" s="93" customFormat="1" spans="3:13">
      <c r="C6502" s="94"/>
      <c r="E6502" s="94"/>
      <c r="G6502" s="94"/>
      <c r="I6502" s="94"/>
      <c r="K6502" s="94"/>
      <c r="M6502" s="94"/>
    </row>
    <row r="6503" s="93" customFormat="1" spans="3:13">
      <c r="C6503" s="94"/>
      <c r="E6503" s="94"/>
      <c r="G6503" s="94"/>
      <c r="I6503" s="94"/>
      <c r="K6503" s="94"/>
      <c r="M6503" s="94"/>
    </row>
    <row r="6504" s="93" customFormat="1" spans="3:13">
      <c r="C6504" s="94"/>
      <c r="E6504" s="94"/>
      <c r="G6504" s="94"/>
      <c r="I6504" s="94"/>
      <c r="K6504" s="94"/>
      <c r="M6504" s="94"/>
    </row>
    <row r="6505" s="93" customFormat="1" spans="3:13">
      <c r="C6505" s="94"/>
      <c r="E6505" s="94"/>
      <c r="G6505" s="94"/>
      <c r="I6505" s="94"/>
      <c r="K6505" s="94"/>
      <c r="M6505" s="94"/>
    </row>
    <row r="6506" s="93" customFormat="1" spans="3:13">
      <c r="C6506" s="94"/>
      <c r="E6506" s="94"/>
      <c r="G6506" s="94"/>
      <c r="I6506" s="94"/>
      <c r="K6506" s="94"/>
      <c r="M6506" s="94"/>
    </row>
    <row r="6507" s="93" customFormat="1" spans="3:13">
      <c r="C6507" s="94"/>
      <c r="E6507" s="94"/>
      <c r="G6507" s="94"/>
      <c r="I6507" s="94"/>
      <c r="K6507" s="94"/>
      <c r="M6507" s="94"/>
    </row>
    <row r="6508" s="93" customFormat="1" spans="3:13">
      <c r="C6508" s="94"/>
      <c r="E6508" s="94"/>
      <c r="G6508" s="94"/>
      <c r="I6508" s="94"/>
      <c r="K6508" s="94"/>
      <c r="M6508" s="94"/>
    </row>
    <row r="6509" s="93" customFormat="1" spans="3:13">
      <c r="C6509" s="94"/>
      <c r="E6509" s="94"/>
      <c r="G6509" s="94"/>
      <c r="I6509" s="94"/>
      <c r="K6509" s="94"/>
      <c r="M6509" s="94"/>
    </row>
    <row r="6510" s="93" customFormat="1" spans="3:13">
      <c r="C6510" s="94"/>
      <c r="E6510" s="94"/>
      <c r="G6510" s="94"/>
      <c r="I6510" s="94"/>
      <c r="K6510" s="94"/>
      <c r="M6510" s="94"/>
    </row>
    <row r="6511" s="93" customFormat="1" spans="3:13">
      <c r="C6511" s="94"/>
      <c r="E6511" s="94"/>
      <c r="G6511" s="94"/>
      <c r="I6511" s="94"/>
      <c r="K6511" s="94"/>
      <c r="M6511" s="94"/>
    </row>
    <row r="6512" s="93" customFormat="1" spans="3:13">
      <c r="C6512" s="94"/>
      <c r="E6512" s="94"/>
      <c r="G6512" s="94"/>
      <c r="I6512" s="94"/>
      <c r="K6512" s="94"/>
      <c r="M6512" s="94"/>
    </row>
    <row r="6513" s="93" customFormat="1" spans="3:13">
      <c r="C6513" s="94"/>
      <c r="E6513" s="94"/>
      <c r="G6513" s="94"/>
      <c r="I6513" s="94"/>
      <c r="K6513" s="94"/>
      <c r="M6513" s="94"/>
    </row>
    <row r="6514" s="93" customFormat="1" spans="3:13">
      <c r="C6514" s="94"/>
      <c r="E6514" s="94"/>
      <c r="G6514" s="94"/>
      <c r="I6514" s="94"/>
      <c r="K6514" s="94"/>
      <c r="M6514" s="94"/>
    </row>
    <row r="6515" s="93" customFormat="1" spans="3:13">
      <c r="C6515" s="94"/>
      <c r="E6515" s="94"/>
      <c r="G6515" s="94"/>
      <c r="I6515" s="94"/>
      <c r="K6515" s="94"/>
      <c r="M6515" s="94"/>
    </row>
    <row r="6516" s="93" customFormat="1" spans="3:13">
      <c r="C6516" s="94"/>
      <c r="E6516" s="94"/>
      <c r="G6516" s="94"/>
      <c r="I6516" s="94"/>
      <c r="K6516" s="94"/>
      <c r="M6516" s="94"/>
    </row>
    <row r="6517" s="93" customFormat="1" spans="3:13">
      <c r="C6517" s="94"/>
      <c r="E6517" s="94"/>
      <c r="G6517" s="94"/>
      <c r="I6517" s="94"/>
      <c r="K6517" s="94"/>
      <c r="M6517" s="94"/>
    </row>
    <row r="6518" s="93" customFormat="1" spans="3:13">
      <c r="C6518" s="94"/>
      <c r="E6518" s="94"/>
      <c r="G6518" s="94"/>
      <c r="I6518" s="94"/>
      <c r="K6518" s="94"/>
      <c r="M6518" s="94"/>
    </row>
    <row r="6519" s="93" customFormat="1" spans="3:13">
      <c r="C6519" s="94"/>
      <c r="E6519" s="94"/>
      <c r="G6519" s="94"/>
      <c r="I6519" s="94"/>
      <c r="K6519" s="94"/>
      <c r="M6519" s="94"/>
    </row>
    <row r="6520" s="93" customFormat="1" spans="3:13">
      <c r="C6520" s="94"/>
      <c r="E6520" s="94"/>
      <c r="G6520" s="94"/>
      <c r="I6520" s="94"/>
      <c r="K6520" s="94"/>
      <c r="M6520" s="94"/>
    </row>
    <row r="6521" s="93" customFormat="1" spans="3:13">
      <c r="C6521" s="94"/>
      <c r="E6521" s="94"/>
      <c r="G6521" s="94"/>
      <c r="I6521" s="94"/>
      <c r="K6521" s="94"/>
      <c r="M6521" s="94"/>
    </row>
    <row r="6522" s="93" customFormat="1" spans="3:13">
      <c r="C6522" s="94"/>
      <c r="E6522" s="94"/>
      <c r="G6522" s="94"/>
      <c r="I6522" s="94"/>
      <c r="K6522" s="94"/>
      <c r="M6522" s="94"/>
    </row>
    <row r="6523" s="93" customFormat="1" spans="3:13">
      <c r="C6523" s="94"/>
      <c r="E6523" s="94"/>
      <c r="G6523" s="94"/>
      <c r="I6523" s="94"/>
      <c r="K6523" s="94"/>
      <c r="M6523" s="94"/>
    </row>
    <row r="6524" s="93" customFormat="1" spans="3:13">
      <c r="C6524" s="94"/>
      <c r="E6524" s="94"/>
      <c r="G6524" s="94"/>
      <c r="I6524" s="94"/>
      <c r="K6524" s="94"/>
      <c r="M6524" s="94"/>
    </row>
    <row r="6525" s="93" customFormat="1" spans="3:13">
      <c r="C6525" s="94"/>
      <c r="E6525" s="94"/>
      <c r="G6525" s="94"/>
      <c r="I6525" s="94"/>
      <c r="K6525" s="94"/>
      <c r="M6525" s="94"/>
    </row>
    <row r="6526" s="93" customFormat="1" spans="3:13">
      <c r="C6526" s="94"/>
      <c r="E6526" s="94"/>
      <c r="G6526" s="94"/>
      <c r="I6526" s="94"/>
      <c r="K6526" s="94"/>
      <c r="M6526" s="94"/>
    </row>
    <row r="6527" s="93" customFormat="1" spans="3:13">
      <c r="C6527" s="94"/>
      <c r="E6527" s="94"/>
      <c r="G6527" s="94"/>
      <c r="I6527" s="94"/>
      <c r="K6527" s="94"/>
      <c r="M6527" s="94"/>
    </row>
    <row r="6528" s="93" customFormat="1" spans="3:13">
      <c r="C6528" s="94"/>
      <c r="E6528" s="94"/>
      <c r="G6528" s="94"/>
      <c r="I6528" s="94"/>
      <c r="K6528" s="94"/>
      <c r="M6528" s="94"/>
    </row>
    <row r="6529" s="93" customFormat="1" spans="3:13">
      <c r="C6529" s="94"/>
      <c r="E6529" s="94"/>
      <c r="G6529" s="94"/>
      <c r="I6529" s="94"/>
      <c r="K6529" s="94"/>
      <c r="M6529" s="94"/>
    </row>
    <row r="6530" s="93" customFormat="1" spans="3:13">
      <c r="C6530" s="94"/>
      <c r="E6530" s="94"/>
      <c r="G6530" s="94"/>
      <c r="I6530" s="94"/>
      <c r="K6530" s="94"/>
      <c r="M6530" s="94"/>
    </row>
    <row r="6531" s="93" customFormat="1" spans="3:13">
      <c r="C6531" s="94"/>
      <c r="E6531" s="94"/>
      <c r="G6531" s="94"/>
      <c r="I6531" s="94"/>
      <c r="K6531" s="94"/>
      <c r="M6531" s="94"/>
    </row>
    <row r="6532" s="93" customFormat="1" spans="3:13">
      <c r="C6532" s="94"/>
      <c r="E6532" s="94"/>
      <c r="G6532" s="94"/>
      <c r="I6532" s="94"/>
      <c r="K6532" s="94"/>
      <c r="M6532" s="94"/>
    </row>
    <row r="6533" s="93" customFormat="1" spans="3:13">
      <c r="C6533" s="94"/>
      <c r="E6533" s="94"/>
      <c r="G6533" s="94"/>
      <c r="I6533" s="94"/>
      <c r="K6533" s="94"/>
      <c r="M6533" s="94"/>
    </row>
    <row r="6534" s="93" customFormat="1" spans="3:13">
      <c r="C6534" s="94"/>
      <c r="E6534" s="94"/>
      <c r="G6534" s="94"/>
      <c r="I6534" s="94"/>
      <c r="K6534" s="94"/>
      <c r="M6534" s="94"/>
    </row>
    <row r="6535" s="93" customFormat="1" spans="3:13">
      <c r="C6535" s="94"/>
      <c r="E6535" s="94"/>
      <c r="G6535" s="94"/>
      <c r="I6535" s="94"/>
      <c r="K6535" s="94"/>
      <c r="M6535" s="94"/>
    </row>
    <row r="6536" s="93" customFormat="1" spans="3:13">
      <c r="C6536" s="94"/>
      <c r="E6536" s="94"/>
      <c r="G6536" s="94"/>
      <c r="I6536" s="94"/>
      <c r="K6536" s="94"/>
      <c r="M6536" s="94"/>
    </row>
    <row r="6537" s="93" customFormat="1" spans="3:13">
      <c r="C6537" s="94"/>
      <c r="E6537" s="94"/>
      <c r="G6537" s="94"/>
      <c r="I6537" s="94"/>
      <c r="K6537" s="94"/>
      <c r="M6537" s="94"/>
    </row>
    <row r="6538" s="93" customFormat="1" spans="3:13">
      <c r="C6538" s="94"/>
      <c r="E6538" s="94"/>
      <c r="G6538" s="94"/>
      <c r="I6538" s="94"/>
      <c r="K6538" s="94"/>
      <c r="M6538" s="94"/>
    </row>
    <row r="6539" s="93" customFormat="1" spans="3:13">
      <c r="C6539" s="94"/>
      <c r="E6539" s="94"/>
      <c r="G6539" s="94"/>
      <c r="I6539" s="94"/>
      <c r="K6539" s="94"/>
      <c r="M6539" s="94"/>
    </row>
    <row r="6540" s="93" customFormat="1" spans="3:13">
      <c r="C6540" s="94"/>
      <c r="E6540" s="94"/>
      <c r="G6540" s="94"/>
      <c r="I6540" s="94"/>
      <c r="K6540" s="94"/>
      <c r="M6540" s="94"/>
    </row>
    <row r="6541" s="93" customFormat="1" spans="3:13">
      <c r="C6541" s="94"/>
      <c r="E6541" s="94"/>
      <c r="G6541" s="94"/>
      <c r="I6541" s="94"/>
      <c r="K6541" s="94"/>
      <c r="M6541" s="94"/>
    </row>
    <row r="6542" s="93" customFormat="1" spans="3:13">
      <c r="C6542" s="94"/>
      <c r="E6542" s="94"/>
      <c r="G6542" s="94"/>
      <c r="I6542" s="94"/>
      <c r="K6542" s="94"/>
      <c r="M6542" s="94"/>
    </row>
    <row r="6543" s="93" customFormat="1" spans="3:13">
      <c r="C6543" s="94"/>
      <c r="E6543" s="94"/>
      <c r="G6543" s="94"/>
      <c r="I6543" s="94"/>
      <c r="K6543" s="94"/>
      <c r="M6543" s="94"/>
    </row>
    <row r="6544" s="93" customFormat="1" spans="3:13">
      <c r="C6544" s="94"/>
      <c r="E6544" s="94"/>
      <c r="G6544" s="94"/>
      <c r="I6544" s="94"/>
      <c r="K6544" s="94"/>
      <c r="M6544" s="94"/>
    </row>
    <row r="6545" s="93" customFormat="1" spans="3:13">
      <c r="C6545" s="94"/>
      <c r="E6545" s="94"/>
      <c r="G6545" s="94"/>
      <c r="I6545" s="94"/>
      <c r="K6545" s="94"/>
      <c r="M6545" s="94"/>
    </row>
    <row r="6546" s="93" customFormat="1" spans="3:13">
      <c r="C6546" s="94"/>
      <c r="E6546" s="94"/>
      <c r="G6546" s="94"/>
      <c r="I6546" s="94"/>
      <c r="K6546" s="94"/>
      <c r="M6546" s="94"/>
    </row>
    <row r="6547" s="93" customFormat="1" spans="3:13">
      <c r="C6547" s="94"/>
      <c r="E6547" s="94"/>
      <c r="G6547" s="94"/>
      <c r="I6547" s="94"/>
      <c r="K6547" s="94"/>
      <c r="M6547" s="94"/>
    </row>
    <row r="6548" s="93" customFormat="1" spans="3:13">
      <c r="C6548" s="94"/>
      <c r="E6548" s="94"/>
      <c r="G6548" s="94"/>
      <c r="I6548" s="94"/>
      <c r="K6548" s="94"/>
      <c r="M6548" s="94"/>
    </row>
    <row r="6549" s="93" customFormat="1" spans="3:13">
      <c r="C6549" s="94"/>
      <c r="E6549" s="94"/>
      <c r="G6549" s="94"/>
      <c r="I6549" s="94"/>
      <c r="K6549" s="94"/>
      <c r="M6549" s="94"/>
    </row>
    <row r="6550" s="93" customFormat="1" spans="3:13">
      <c r="C6550" s="94"/>
      <c r="E6550" s="94"/>
      <c r="G6550" s="94"/>
      <c r="I6550" s="94"/>
      <c r="K6550" s="94"/>
      <c r="M6550" s="94"/>
    </row>
    <row r="6551" s="93" customFormat="1" spans="3:13">
      <c r="C6551" s="94"/>
      <c r="E6551" s="94"/>
      <c r="G6551" s="94"/>
      <c r="I6551" s="94"/>
      <c r="K6551" s="94"/>
      <c r="M6551" s="94"/>
    </row>
    <row r="6552" s="93" customFormat="1" spans="3:13">
      <c r="C6552" s="94"/>
      <c r="E6552" s="94"/>
      <c r="G6552" s="94"/>
      <c r="I6552" s="94"/>
      <c r="K6552" s="94"/>
      <c r="M6552" s="94"/>
    </row>
    <row r="6553" s="93" customFormat="1" spans="3:13">
      <c r="C6553" s="94"/>
      <c r="E6553" s="94"/>
      <c r="G6553" s="94"/>
      <c r="I6553" s="94"/>
      <c r="K6553" s="94"/>
      <c r="M6553" s="94"/>
    </row>
    <row r="6554" s="93" customFormat="1" spans="3:13">
      <c r="C6554" s="94"/>
      <c r="E6554" s="94"/>
      <c r="G6554" s="94"/>
      <c r="I6554" s="94"/>
      <c r="K6554" s="94"/>
      <c r="M6554" s="94"/>
    </row>
    <row r="6555" s="93" customFormat="1" spans="3:13">
      <c r="C6555" s="94"/>
      <c r="E6555" s="94"/>
      <c r="G6555" s="94"/>
      <c r="I6555" s="94"/>
      <c r="K6555" s="94"/>
      <c r="M6555" s="94"/>
    </row>
    <row r="6556" s="93" customFormat="1" spans="3:13">
      <c r="C6556" s="94"/>
      <c r="E6556" s="94"/>
      <c r="G6556" s="94"/>
      <c r="I6556" s="94"/>
      <c r="K6556" s="94"/>
      <c r="M6556" s="94"/>
    </row>
    <row r="6557" s="93" customFormat="1" spans="3:13">
      <c r="C6557" s="94"/>
      <c r="E6557" s="94"/>
      <c r="G6557" s="94"/>
      <c r="I6557" s="94"/>
      <c r="K6557" s="94"/>
      <c r="M6557" s="94"/>
    </row>
    <row r="6558" s="93" customFormat="1" spans="3:13">
      <c r="C6558" s="94"/>
      <c r="E6558" s="94"/>
      <c r="G6558" s="94"/>
      <c r="I6558" s="94"/>
      <c r="K6558" s="94"/>
      <c r="M6558" s="94"/>
    </row>
    <row r="6559" s="93" customFormat="1" spans="3:13">
      <c r="C6559" s="94"/>
      <c r="E6559" s="94"/>
      <c r="G6559" s="94"/>
      <c r="I6559" s="94"/>
      <c r="K6559" s="94"/>
      <c r="M6559" s="94"/>
    </row>
    <row r="6560" s="93" customFormat="1" spans="3:13">
      <c r="C6560" s="94"/>
      <c r="E6560" s="94"/>
      <c r="G6560" s="94"/>
      <c r="I6560" s="94"/>
      <c r="K6560" s="94"/>
      <c r="M6560" s="94"/>
    </row>
    <row r="6561" s="93" customFormat="1" spans="3:13">
      <c r="C6561" s="94"/>
      <c r="E6561" s="94"/>
      <c r="G6561" s="94"/>
      <c r="I6561" s="94"/>
      <c r="K6561" s="94"/>
      <c r="M6561" s="94"/>
    </row>
    <row r="6562" s="93" customFormat="1" spans="3:13">
      <c r="C6562" s="94"/>
      <c r="E6562" s="94"/>
      <c r="G6562" s="94"/>
      <c r="I6562" s="94"/>
      <c r="K6562" s="94"/>
      <c r="M6562" s="94"/>
    </row>
    <row r="6563" s="93" customFormat="1" spans="3:13">
      <c r="C6563" s="94"/>
      <c r="E6563" s="94"/>
      <c r="G6563" s="94"/>
      <c r="I6563" s="94"/>
      <c r="K6563" s="94"/>
      <c r="M6563" s="94"/>
    </row>
    <row r="6564" s="93" customFormat="1" spans="3:13">
      <c r="C6564" s="94"/>
      <c r="E6564" s="94"/>
      <c r="G6564" s="94"/>
      <c r="I6564" s="94"/>
      <c r="K6564" s="94"/>
      <c r="M6564" s="94"/>
    </row>
    <row r="6565" s="93" customFormat="1" spans="3:13">
      <c r="C6565" s="94"/>
      <c r="E6565" s="94"/>
      <c r="G6565" s="94"/>
      <c r="I6565" s="94"/>
      <c r="K6565" s="94"/>
      <c r="M6565" s="94"/>
    </row>
    <row r="6566" s="93" customFormat="1" spans="3:13">
      <c r="C6566" s="94"/>
      <c r="E6566" s="94"/>
      <c r="G6566" s="94"/>
      <c r="I6566" s="94"/>
      <c r="K6566" s="94"/>
      <c r="M6566" s="94"/>
    </row>
    <row r="6567" s="93" customFormat="1" spans="3:13">
      <c r="C6567" s="94"/>
      <c r="E6567" s="94"/>
      <c r="G6567" s="94"/>
      <c r="I6567" s="94"/>
      <c r="K6567" s="94"/>
      <c r="M6567" s="94"/>
    </row>
    <row r="6568" s="93" customFormat="1" spans="3:13">
      <c r="C6568" s="94"/>
      <c r="E6568" s="94"/>
      <c r="G6568" s="94"/>
      <c r="I6568" s="94"/>
      <c r="K6568" s="94"/>
      <c r="M6568" s="94"/>
    </row>
    <row r="6569" s="93" customFormat="1" spans="3:13">
      <c r="C6569" s="94"/>
      <c r="E6569" s="94"/>
      <c r="G6569" s="94"/>
      <c r="I6569" s="94"/>
      <c r="K6569" s="94"/>
      <c r="M6569" s="94"/>
    </row>
    <row r="6570" s="93" customFormat="1" spans="3:13">
      <c r="C6570" s="94"/>
      <c r="E6570" s="94"/>
      <c r="G6570" s="94"/>
      <c r="I6570" s="94"/>
      <c r="K6570" s="94"/>
      <c r="M6570" s="94"/>
    </row>
    <row r="6571" s="93" customFormat="1" spans="3:13">
      <c r="C6571" s="94"/>
      <c r="E6571" s="94"/>
      <c r="G6571" s="94"/>
      <c r="I6571" s="94"/>
      <c r="K6571" s="94"/>
      <c r="M6571" s="94"/>
    </row>
    <row r="6572" s="93" customFormat="1" spans="3:13">
      <c r="C6572" s="94"/>
      <c r="E6572" s="94"/>
      <c r="G6572" s="94"/>
      <c r="I6572" s="94"/>
      <c r="K6572" s="94"/>
      <c r="M6572" s="94"/>
    </row>
    <row r="6573" s="93" customFormat="1" spans="3:13">
      <c r="C6573" s="94"/>
      <c r="E6573" s="94"/>
      <c r="G6573" s="94"/>
      <c r="I6573" s="94"/>
      <c r="K6573" s="94"/>
      <c r="M6573" s="94"/>
    </row>
    <row r="6574" s="93" customFormat="1" spans="3:13">
      <c r="C6574" s="94"/>
      <c r="E6574" s="94"/>
      <c r="G6574" s="94"/>
      <c r="I6574" s="94"/>
      <c r="K6574" s="94"/>
      <c r="M6574" s="94"/>
    </row>
    <row r="6575" s="93" customFormat="1" spans="3:13">
      <c r="C6575" s="94"/>
      <c r="E6575" s="94"/>
      <c r="G6575" s="94"/>
      <c r="I6575" s="94"/>
      <c r="K6575" s="94"/>
      <c r="M6575" s="94"/>
    </row>
    <row r="6576" s="93" customFormat="1" spans="3:13">
      <c r="C6576" s="94"/>
      <c r="E6576" s="94"/>
      <c r="G6576" s="94"/>
      <c r="I6576" s="94"/>
      <c r="K6576" s="94"/>
      <c r="M6576" s="94"/>
    </row>
    <row r="6577" s="93" customFormat="1" spans="3:13">
      <c r="C6577" s="94"/>
      <c r="E6577" s="94"/>
      <c r="G6577" s="94"/>
      <c r="I6577" s="94"/>
      <c r="K6577" s="94"/>
      <c r="M6577" s="94"/>
    </row>
    <row r="6578" s="93" customFormat="1" spans="3:13">
      <c r="C6578" s="94"/>
      <c r="E6578" s="94"/>
      <c r="G6578" s="94"/>
      <c r="I6578" s="94"/>
      <c r="K6578" s="94"/>
      <c r="M6578" s="94"/>
    </row>
    <row r="6579" s="93" customFormat="1" spans="3:13">
      <c r="C6579" s="94"/>
      <c r="E6579" s="94"/>
      <c r="G6579" s="94"/>
      <c r="I6579" s="94"/>
      <c r="K6579" s="94"/>
      <c r="M6579" s="94"/>
    </row>
    <row r="6580" s="93" customFormat="1" spans="3:13">
      <c r="C6580" s="94"/>
      <c r="E6580" s="94"/>
      <c r="G6580" s="94"/>
      <c r="I6580" s="94"/>
      <c r="K6580" s="94"/>
      <c r="M6580" s="94"/>
    </row>
    <row r="6581" s="93" customFormat="1" spans="3:13">
      <c r="C6581" s="94"/>
      <c r="E6581" s="94"/>
      <c r="G6581" s="94"/>
      <c r="I6581" s="94"/>
      <c r="K6581" s="94"/>
      <c r="M6581" s="94"/>
    </row>
    <row r="6582" s="93" customFormat="1" spans="3:13">
      <c r="C6582" s="94"/>
      <c r="E6582" s="94"/>
      <c r="G6582" s="94"/>
      <c r="I6582" s="94"/>
      <c r="K6582" s="94"/>
      <c r="M6582" s="94"/>
    </row>
    <row r="6583" s="93" customFormat="1" spans="3:13">
      <c r="C6583" s="94"/>
      <c r="E6583" s="94"/>
      <c r="G6583" s="94"/>
      <c r="I6583" s="94"/>
      <c r="K6583" s="94"/>
      <c r="M6583" s="94"/>
    </row>
    <row r="6584" s="93" customFormat="1" spans="3:13">
      <c r="C6584" s="94"/>
      <c r="E6584" s="94"/>
      <c r="G6584" s="94"/>
      <c r="I6584" s="94"/>
      <c r="K6584" s="94"/>
      <c r="M6584" s="94"/>
    </row>
    <row r="6585" s="93" customFormat="1" spans="3:13">
      <c r="C6585" s="94"/>
      <c r="E6585" s="94"/>
      <c r="G6585" s="94"/>
      <c r="I6585" s="94"/>
      <c r="K6585" s="94"/>
      <c r="M6585" s="94"/>
    </row>
    <row r="6586" s="93" customFormat="1" spans="3:13">
      <c r="C6586" s="94"/>
      <c r="E6586" s="94"/>
      <c r="G6586" s="94"/>
      <c r="I6586" s="94"/>
      <c r="K6586" s="94"/>
      <c r="M6586" s="94"/>
    </row>
    <row r="6587" s="93" customFormat="1" spans="3:13">
      <c r="C6587" s="94"/>
      <c r="E6587" s="94"/>
      <c r="G6587" s="94"/>
      <c r="I6587" s="94"/>
      <c r="K6587" s="94"/>
      <c r="M6587" s="94"/>
    </row>
    <row r="6588" s="93" customFormat="1" spans="3:13">
      <c r="C6588" s="94"/>
      <c r="E6588" s="94"/>
      <c r="G6588" s="94"/>
      <c r="I6588" s="94"/>
      <c r="K6588" s="94"/>
      <c r="M6588" s="94"/>
    </row>
    <row r="6589" s="93" customFormat="1" spans="3:13">
      <c r="C6589" s="94"/>
      <c r="E6589" s="94"/>
      <c r="G6589" s="94"/>
      <c r="I6589" s="94"/>
      <c r="K6589" s="94"/>
      <c r="M6589" s="94"/>
    </row>
    <row r="6590" s="93" customFormat="1" spans="3:13">
      <c r="C6590" s="94"/>
      <c r="E6590" s="94"/>
      <c r="G6590" s="94"/>
      <c r="I6590" s="94"/>
      <c r="K6590" s="94"/>
      <c r="M6590" s="94"/>
    </row>
    <row r="6591" s="93" customFormat="1" spans="3:13">
      <c r="C6591" s="94"/>
      <c r="E6591" s="94"/>
      <c r="G6591" s="94"/>
      <c r="I6591" s="94"/>
      <c r="K6591" s="94"/>
      <c r="M6591" s="94"/>
    </row>
    <row r="6592" s="93" customFormat="1" spans="3:13">
      <c r="C6592" s="94"/>
      <c r="E6592" s="94"/>
      <c r="G6592" s="94"/>
      <c r="I6592" s="94"/>
      <c r="K6592" s="94"/>
      <c r="M6592" s="94"/>
    </row>
    <row r="6593" s="93" customFormat="1" spans="3:13">
      <c r="C6593" s="94"/>
      <c r="E6593" s="94"/>
      <c r="G6593" s="94"/>
      <c r="I6593" s="94"/>
      <c r="K6593" s="94"/>
      <c r="M6593" s="94"/>
    </row>
    <row r="6594" s="93" customFormat="1" spans="3:13">
      <c r="C6594" s="94"/>
      <c r="E6594" s="94"/>
      <c r="G6594" s="94"/>
      <c r="I6594" s="94"/>
      <c r="K6594" s="94"/>
      <c r="M6594" s="94"/>
    </row>
    <row r="6595" s="93" customFormat="1" spans="3:13">
      <c r="C6595" s="94"/>
      <c r="E6595" s="94"/>
      <c r="G6595" s="94"/>
      <c r="I6595" s="94"/>
      <c r="K6595" s="94"/>
      <c r="M6595" s="94"/>
    </row>
    <row r="6596" s="93" customFormat="1" spans="3:13">
      <c r="C6596" s="94"/>
      <c r="E6596" s="94"/>
      <c r="G6596" s="94"/>
      <c r="I6596" s="94"/>
      <c r="K6596" s="94"/>
      <c r="M6596" s="94"/>
    </row>
    <row r="6597" s="93" customFormat="1" spans="3:13">
      <c r="C6597" s="94"/>
      <c r="E6597" s="94"/>
      <c r="G6597" s="94"/>
      <c r="I6597" s="94"/>
      <c r="K6597" s="94"/>
      <c r="M6597" s="94"/>
    </row>
    <row r="6598" s="93" customFormat="1" spans="3:13">
      <c r="C6598" s="94"/>
      <c r="E6598" s="94"/>
      <c r="G6598" s="94"/>
      <c r="I6598" s="94"/>
      <c r="K6598" s="94"/>
      <c r="M6598" s="94"/>
    </row>
    <row r="6599" s="93" customFormat="1" spans="3:13">
      <c r="C6599" s="94"/>
      <c r="E6599" s="94"/>
      <c r="G6599" s="94"/>
      <c r="I6599" s="94"/>
      <c r="K6599" s="94"/>
      <c r="M6599" s="94"/>
    </row>
    <row r="6600" s="93" customFormat="1" spans="3:13">
      <c r="C6600" s="94"/>
      <c r="E6600" s="94"/>
      <c r="G6600" s="94"/>
      <c r="I6600" s="94"/>
      <c r="K6600" s="94"/>
      <c r="M6600" s="94"/>
    </row>
    <row r="6601" s="93" customFormat="1" spans="3:13">
      <c r="C6601" s="94"/>
      <c r="E6601" s="94"/>
      <c r="G6601" s="94"/>
      <c r="I6601" s="94"/>
      <c r="K6601" s="94"/>
      <c r="M6601" s="94"/>
    </row>
    <row r="6602" s="93" customFormat="1" spans="3:13">
      <c r="C6602" s="94"/>
      <c r="E6602" s="94"/>
      <c r="G6602" s="94"/>
      <c r="I6602" s="94"/>
      <c r="K6602" s="94"/>
      <c r="M6602" s="94"/>
    </row>
    <row r="6603" s="93" customFormat="1" spans="3:13">
      <c r="C6603" s="94"/>
      <c r="E6603" s="94"/>
      <c r="G6603" s="94"/>
      <c r="I6603" s="94"/>
      <c r="K6603" s="94"/>
      <c r="M6603" s="94"/>
    </row>
    <row r="6604" s="93" customFormat="1" spans="3:13">
      <c r="C6604" s="94"/>
      <c r="E6604" s="94"/>
      <c r="G6604" s="94"/>
      <c r="I6604" s="94"/>
      <c r="K6604" s="94"/>
      <c r="M6604" s="94"/>
    </row>
    <row r="6605" s="93" customFormat="1" spans="3:13">
      <c r="C6605" s="94"/>
      <c r="E6605" s="94"/>
      <c r="G6605" s="94"/>
      <c r="I6605" s="94"/>
      <c r="K6605" s="94"/>
      <c r="M6605" s="94"/>
    </row>
    <row r="6606" s="93" customFormat="1" spans="3:13">
      <c r="C6606" s="94"/>
      <c r="E6606" s="94"/>
      <c r="G6606" s="94"/>
      <c r="I6606" s="94"/>
      <c r="K6606" s="94"/>
      <c r="M6606" s="94"/>
    </row>
    <row r="6607" s="93" customFormat="1" spans="3:13">
      <c r="C6607" s="94"/>
      <c r="E6607" s="94"/>
      <c r="G6607" s="94"/>
      <c r="I6607" s="94"/>
      <c r="K6607" s="94"/>
      <c r="M6607" s="94"/>
    </row>
    <row r="6608" s="93" customFormat="1" spans="3:13">
      <c r="C6608" s="94"/>
      <c r="E6608" s="94"/>
      <c r="G6608" s="94"/>
      <c r="I6608" s="94"/>
      <c r="K6608" s="94"/>
      <c r="M6608" s="94"/>
    </row>
    <row r="6609" s="93" customFormat="1" spans="3:13">
      <c r="C6609" s="94"/>
      <c r="E6609" s="94"/>
      <c r="G6609" s="94"/>
      <c r="I6609" s="94"/>
      <c r="K6609" s="94"/>
      <c r="M6609" s="94"/>
    </row>
    <row r="6610" s="93" customFormat="1" spans="3:13">
      <c r="C6610" s="94"/>
      <c r="E6610" s="94"/>
      <c r="G6610" s="94"/>
      <c r="I6610" s="94"/>
      <c r="K6610" s="94"/>
      <c r="M6610" s="94"/>
    </row>
    <row r="6611" s="93" customFormat="1" spans="3:13">
      <c r="C6611" s="94"/>
      <c r="E6611" s="94"/>
      <c r="G6611" s="94"/>
      <c r="I6611" s="94"/>
      <c r="K6611" s="94"/>
      <c r="M6611" s="94"/>
    </row>
    <row r="6612" s="93" customFormat="1" spans="3:13">
      <c r="C6612" s="94"/>
      <c r="E6612" s="94"/>
      <c r="G6612" s="94"/>
      <c r="I6612" s="94"/>
      <c r="K6612" s="94"/>
      <c r="M6612" s="94"/>
    </row>
    <row r="6613" s="93" customFormat="1" spans="3:13">
      <c r="C6613" s="94"/>
      <c r="E6613" s="94"/>
      <c r="G6613" s="94"/>
      <c r="I6613" s="94"/>
      <c r="K6613" s="94"/>
      <c r="M6613" s="94"/>
    </row>
    <row r="6614" s="93" customFormat="1" spans="3:13">
      <c r="C6614" s="94"/>
      <c r="E6614" s="94"/>
      <c r="G6614" s="94"/>
      <c r="I6614" s="94"/>
      <c r="K6614" s="94"/>
      <c r="M6614" s="94"/>
    </row>
    <row r="6615" s="93" customFormat="1" spans="3:13">
      <c r="C6615" s="94"/>
      <c r="E6615" s="94"/>
      <c r="G6615" s="94"/>
      <c r="I6615" s="94"/>
      <c r="K6615" s="94"/>
      <c r="M6615" s="94"/>
    </row>
    <row r="6616" s="93" customFormat="1" spans="3:13">
      <c r="C6616" s="94"/>
      <c r="E6616" s="94"/>
      <c r="G6616" s="94"/>
      <c r="I6616" s="94"/>
      <c r="K6616" s="94"/>
      <c r="M6616" s="94"/>
    </row>
    <row r="6617" s="93" customFormat="1" spans="3:13">
      <c r="C6617" s="94"/>
      <c r="E6617" s="94"/>
      <c r="G6617" s="94"/>
      <c r="I6617" s="94"/>
      <c r="K6617" s="94"/>
      <c r="M6617" s="94"/>
    </row>
    <row r="6618" s="93" customFormat="1" spans="3:13">
      <c r="C6618" s="94"/>
      <c r="E6618" s="94"/>
      <c r="G6618" s="94"/>
      <c r="I6618" s="94"/>
      <c r="K6618" s="94"/>
      <c r="M6618" s="94"/>
    </row>
    <row r="6619" s="93" customFormat="1" spans="3:13">
      <c r="C6619" s="94"/>
      <c r="E6619" s="94"/>
      <c r="G6619" s="94"/>
      <c r="I6619" s="94"/>
      <c r="K6619" s="94"/>
      <c r="M6619" s="94"/>
    </row>
    <row r="6620" s="93" customFormat="1" spans="3:13">
      <c r="C6620" s="94"/>
      <c r="E6620" s="94"/>
      <c r="G6620" s="94"/>
      <c r="I6620" s="94"/>
      <c r="K6620" s="94"/>
      <c r="M6620" s="94"/>
    </row>
    <row r="6621" s="93" customFormat="1" spans="3:13">
      <c r="C6621" s="94"/>
      <c r="E6621" s="94"/>
      <c r="G6621" s="94"/>
      <c r="I6621" s="94"/>
      <c r="K6621" s="94"/>
      <c r="M6621" s="94"/>
    </row>
    <row r="6622" s="93" customFormat="1" spans="3:13">
      <c r="C6622" s="94"/>
      <c r="E6622" s="94"/>
      <c r="G6622" s="94"/>
      <c r="I6622" s="94"/>
      <c r="K6622" s="94"/>
      <c r="M6622" s="94"/>
    </row>
    <row r="6623" s="93" customFormat="1" spans="3:13">
      <c r="C6623" s="94"/>
      <c r="E6623" s="94"/>
      <c r="G6623" s="94"/>
      <c r="I6623" s="94"/>
      <c r="K6623" s="94"/>
      <c r="M6623" s="94"/>
    </row>
    <row r="6624" s="93" customFormat="1" spans="3:13">
      <c r="C6624" s="94"/>
      <c r="E6624" s="94"/>
      <c r="G6624" s="94"/>
      <c r="I6624" s="94"/>
      <c r="K6624" s="94"/>
      <c r="M6624" s="94"/>
    </row>
    <row r="6625" s="93" customFormat="1" spans="3:13">
      <c r="C6625" s="94"/>
      <c r="E6625" s="94"/>
      <c r="G6625" s="94"/>
      <c r="I6625" s="94"/>
      <c r="K6625" s="94"/>
      <c r="M6625" s="94"/>
    </row>
    <row r="6626" s="93" customFormat="1" spans="3:13">
      <c r="C6626" s="94"/>
      <c r="E6626" s="94"/>
      <c r="G6626" s="94"/>
      <c r="I6626" s="94"/>
      <c r="K6626" s="94"/>
      <c r="M6626" s="94"/>
    </row>
    <row r="6627" s="93" customFormat="1" spans="3:13">
      <c r="C6627" s="94"/>
      <c r="E6627" s="94"/>
      <c r="G6627" s="94"/>
      <c r="I6627" s="94"/>
      <c r="K6627" s="94"/>
      <c r="M6627" s="94"/>
    </row>
    <row r="6628" s="93" customFormat="1" spans="3:13">
      <c r="C6628" s="94"/>
      <c r="E6628" s="94"/>
      <c r="G6628" s="94"/>
      <c r="I6628" s="94"/>
      <c r="K6628" s="94"/>
      <c r="M6628" s="94"/>
    </row>
    <row r="6629" s="93" customFormat="1" spans="3:13">
      <c r="C6629" s="94"/>
      <c r="E6629" s="94"/>
      <c r="G6629" s="94"/>
      <c r="I6629" s="94"/>
      <c r="K6629" s="94"/>
      <c r="M6629" s="94"/>
    </row>
    <row r="6630" s="93" customFormat="1" spans="3:13">
      <c r="C6630" s="94"/>
      <c r="E6630" s="94"/>
      <c r="G6630" s="94"/>
      <c r="I6630" s="94"/>
      <c r="K6630" s="94"/>
      <c r="M6630" s="94"/>
    </row>
    <row r="6631" s="93" customFormat="1" spans="3:13">
      <c r="C6631" s="94"/>
      <c r="E6631" s="94"/>
      <c r="G6631" s="94"/>
      <c r="I6631" s="94"/>
      <c r="K6631" s="94"/>
      <c r="M6631" s="94"/>
    </row>
    <row r="6632" s="93" customFormat="1" spans="3:13">
      <c r="C6632" s="94"/>
      <c r="E6632" s="94"/>
      <c r="G6632" s="94"/>
      <c r="I6632" s="94"/>
      <c r="K6632" s="94"/>
      <c r="M6632" s="94"/>
    </row>
    <row r="6633" s="93" customFormat="1" spans="3:13">
      <c r="C6633" s="94"/>
      <c r="E6633" s="94"/>
      <c r="G6633" s="94"/>
      <c r="I6633" s="94"/>
      <c r="K6633" s="94"/>
      <c r="M6633" s="94"/>
    </row>
    <row r="6634" s="93" customFormat="1" spans="3:13">
      <c r="C6634" s="94"/>
      <c r="E6634" s="94"/>
      <c r="G6634" s="94"/>
      <c r="I6634" s="94"/>
      <c r="K6634" s="94"/>
      <c r="M6634" s="94"/>
    </row>
    <row r="6635" s="93" customFormat="1" spans="3:13">
      <c r="C6635" s="94"/>
      <c r="E6635" s="94"/>
      <c r="G6635" s="94"/>
      <c r="I6635" s="94"/>
      <c r="K6635" s="94"/>
      <c r="M6635" s="94"/>
    </row>
    <row r="6636" s="93" customFormat="1" spans="3:13">
      <c r="C6636" s="94"/>
      <c r="E6636" s="94"/>
      <c r="G6636" s="94"/>
      <c r="I6636" s="94"/>
      <c r="K6636" s="94"/>
      <c r="M6636" s="94"/>
    </row>
    <row r="6637" s="93" customFormat="1" spans="3:13">
      <c r="C6637" s="94"/>
      <c r="E6637" s="94"/>
      <c r="G6637" s="94"/>
      <c r="I6637" s="94"/>
      <c r="K6637" s="94"/>
      <c r="M6637" s="94"/>
    </row>
    <row r="6638" s="93" customFormat="1" spans="3:13">
      <c r="C6638" s="94"/>
      <c r="E6638" s="94"/>
      <c r="G6638" s="94"/>
      <c r="I6638" s="94"/>
      <c r="K6638" s="94"/>
      <c r="M6638" s="94"/>
    </row>
    <row r="6639" s="93" customFormat="1" spans="3:13">
      <c r="C6639" s="94"/>
      <c r="E6639" s="94"/>
      <c r="G6639" s="94"/>
      <c r="I6639" s="94"/>
      <c r="K6639" s="94"/>
      <c r="M6639" s="94"/>
    </row>
    <row r="6640" s="93" customFormat="1" spans="3:13">
      <c r="C6640" s="94"/>
      <c r="E6640" s="94"/>
      <c r="G6640" s="94"/>
      <c r="I6640" s="94"/>
      <c r="K6640" s="94"/>
      <c r="M6640" s="94"/>
    </row>
    <row r="6641" s="93" customFormat="1" spans="3:13">
      <c r="C6641" s="94"/>
      <c r="E6641" s="94"/>
      <c r="G6641" s="94"/>
      <c r="I6641" s="94"/>
      <c r="K6641" s="94"/>
      <c r="M6641" s="94"/>
    </row>
    <row r="6642" s="93" customFormat="1" spans="3:13">
      <c r="C6642" s="94"/>
      <c r="E6642" s="94"/>
      <c r="G6642" s="94"/>
      <c r="I6642" s="94"/>
      <c r="K6642" s="94"/>
      <c r="M6642" s="94"/>
    </row>
    <row r="6643" s="93" customFormat="1" spans="3:13">
      <c r="C6643" s="94"/>
      <c r="E6643" s="94"/>
      <c r="G6643" s="94"/>
      <c r="I6643" s="94"/>
      <c r="K6643" s="94"/>
      <c r="M6643" s="94"/>
    </row>
    <row r="6644" s="93" customFormat="1" spans="3:13">
      <c r="C6644" s="94"/>
      <c r="E6644" s="94"/>
      <c r="G6644" s="94"/>
      <c r="I6644" s="94"/>
      <c r="K6644" s="94"/>
      <c r="M6644" s="94"/>
    </row>
    <row r="6645" s="93" customFormat="1" spans="3:13">
      <c r="C6645" s="94"/>
      <c r="E6645" s="94"/>
      <c r="G6645" s="94"/>
      <c r="I6645" s="94"/>
      <c r="K6645" s="94"/>
      <c r="M6645" s="94"/>
    </row>
    <row r="6646" s="93" customFormat="1" spans="3:13">
      <c r="C6646" s="94"/>
      <c r="E6646" s="94"/>
      <c r="G6646" s="94"/>
      <c r="I6646" s="94"/>
      <c r="K6646" s="94"/>
      <c r="M6646" s="94"/>
    </row>
    <row r="6647" s="93" customFormat="1" spans="3:13">
      <c r="C6647" s="94"/>
      <c r="E6647" s="94"/>
      <c r="G6647" s="94"/>
      <c r="I6647" s="94"/>
      <c r="K6647" s="94"/>
      <c r="M6647" s="94"/>
    </row>
    <row r="6648" s="93" customFormat="1" spans="3:13">
      <c r="C6648" s="94"/>
      <c r="E6648" s="94"/>
      <c r="G6648" s="94"/>
      <c r="I6648" s="94"/>
      <c r="K6648" s="94"/>
      <c r="M6648" s="94"/>
    </row>
    <row r="6649" s="93" customFormat="1" spans="3:13">
      <c r="C6649" s="94"/>
      <c r="E6649" s="94"/>
      <c r="G6649" s="94"/>
      <c r="I6649" s="94"/>
      <c r="K6649" s="94"/>
      <c r="M6649" s="94"/>
    </row>
    <row r="6650" s="93" customFormat="1" spans="3:13">
      <c r="C6650" s="94"/>
      <c r="E6650" s="94"/>
      <c r="G6650" s="94"/>
      <c r="I6650" s="94"/>
      <c r="K6650" s="94"/>
      <c r="M6650" s="94"/>
    </row>
    <row r="6651" s="93" customFormat="1" spans="3:13">
      <c r="C6651" s="94"/>
      <c r="E6651" s="94"/>
      <c r="G6651" s="94"/>
      <c r="I6651" s="94"/>
      <c r="K6651" s="94"/>
      <c r="M6651" s="94"/>
    </row>
    <row r="6652" s="93" customFormat="1" spans="3:13">
      <c r="C6652" s="94"/>
      <c r="E6652" s="94"/>
      <c r="G6652" s="94"/>
      <c r="I6652" s="94"/>
      <c r="K6652" s="94"/>
      <c r="M6652" s="94"/>
    </row>
    <row r="6653" s="93" customFormat="1" spans="3:13">
      <c r="C6653" s="94"/>
      <c r="E6653" s="94"/>
      <c r="G6653" s="94"/>
      <c r="I6653" s="94"/>
      <c r="K6653" s="94"/>
      <c r="M6653" s="94"/>
    </row>
    <row r="6654" s="93" customFormat="1" spans="3:13">
      <c r="C6654" s="94"/>
      <c r="E6654" s="94"/>
      <c r="G6654" s="94"/>
      <c r="I6654" s="94"/>
      <c r="K6654" s="94"/>
      <c r="M6654" s="94"/>
    </row>
    <row r="6655" s="93" customFormat="1" spans="3:13">
      <c r="C6655" s="94"/>
      <c r="E6655" s="94"/>
      <c r="G6655" s="94"/>
      <c r="I6655" s="94"/>
      <c r="K6655" s="94"/>
      <c r="M6655" s="94"/>
    </row>
    <row r="6656" s="93" customFormat="1" spans="3:13">
      <c r="C6656" s="94"/>
      <c r="E6656" s="94"/>
      <c r="G6656" s="94"/>
      <c r="I6656" s="94"/>
      <c r="K6656" s="94"/>
      <c r="M6656" s="94"/>
    </row>
    <row r="6657" s="93" customFormat="1" spans="3:13">
      <c r="C6657" s="94"/>
      <c r="E6657" s="94"/>
      <c r="G6657" s="94"/>
      <c r="I6657" s="94"/>
      <c r="K6657" s="94"/>
      <c r="M6657" s="94"/>
    </row>
    <row r="6658" s="93" customFormat="1" spans="3:13">
      <c r="C6658" s="94"/>
      <c r="E6658" s="94"/>
      <c r="G6658" s="94"/>
      <c r="I6658" s="94"/>
      <c r="K6658" s="94"/>
      <c r="M6658" s="94"/>
    </row>
    <row r="6659" s="93" customFormat="1" spans="3:13">
      <c r="C6659" s="94"/>
      <c r="E6659" s="94"/>
      <c r="G6659" s="94"/>
      <c r="I6659" s="94"/>
      <c r="K6659" s="94"/>
      <c r="M6659" s="94"/>
    </row>
    <row r="6660" s="93" customFormat="1" spans="3:13">
      <c r="C6660" s="94"/>
      <c r="E6660" s="94"/>
      <c r="G6660" s="94"/>
      <c r="I6660" s="94"/>
      <c r="K6660" s="94"/>
      <c r="M6660" s="94"/>
    </row>
    <row r="6661" s="93" customFormat="1" spans="3:13">
      <c r="C6661" s="94"/>
      <c r="E6661" s="94"/>
      <c r="G6661" s="94"/>
      <c r="I6661" s="94"/>
      <c r="K6661" s="94"/>
      <c r="M6661" s="94"/>
    </row>
    <row r="6662" s="93" customFormat="1" spans="3:13">
      <c r="C6662" s="94"/>
      <c r="E6662" s="94"/>
      <c r="G6662" s="94"/>
      <c r="I6662" s="94"/>
      <c r="K6662" s="94"/>
      <c r="M6662" s="94"/>
    </row>
    <row r="6663" s="93" customFormat="1" spans="3:13">
      <c r="C6663" s="94"/>
      <c r="E6663" s="94"/>
      <c r="G6663" s="94"/>
      <c r="I6663" s="94"/>
      <c r="K6663" s="94"/>
      <c r="M6663" s="94"/>
    </row>
    <row r="6664" s="93" customFormat="1" spans="3:13">
      <c r="C6664" s="94"/>
      <c r="E6664" s="94"/>
      <c r="G6664" s="94"/>
      <c r="I6664" s="94"/>
      <c r="K6664" s="94"/>
      <c r="M6664" s="94"/>
    </row>
    <row r="6665" s="93" customFormat="1" spans="3:13">
      <c r="C6665" s="94"/>
      <c r="E6665" s="94"/>
      <c r="G6665" s="94"/>
      <c r="I6665" s="94"/>
      <c r="K6665" s="94"/>
      <c r="M6665" s="94"/>
    </row>
    <row r="6666" s="93" customFormat="1" spans="3:13">
      <c r="C6666" s="94"/>
      <c r="E6666" s="94"/>
      <c r="G6666" s="94"/>
      <c r="I6666" s="94"/>
      <c r="K6666" s="94"/>
      <c r="M6666" s="94"/>
    </row>
    <row r="6667" s="93" customFormat="1" spans="3:13">
      <c r="C6667" s="94"/>
      <c r="E6667" s="94"/>
      <c r="G6667" s="94"/>
      <c r="I6667" s="94"/>
      <c r="K6667" s="94"/>
      <c r="M6667" s="94"/>
    </row>
    <row r="6668" s="93" customFormat="1" spans="3:13">
      <c r="C6668" s="94"/>
      <c r="E6668" s="94"/>
      <c r="G6668" s="94"/>
      <c r="I6668" s="94"/>
      <c r="K6668" s="94"/>
      <c r="M6668" s="94"/>
    </row>
    <row r="6669" s="93" customFormat="1" spans="3:13">
      <c r="C6669" s="94"/>
      <c r="E6669" s="94"/>
      <c r="G6669" s="94"/>
      <c r="I6669" s="94"/>
      <c r="K6669" s="94"/>
      <c r="M6669" s="94"/>
    </row>
    <row r="6670" s="93" customFormat="1" spans="3:13">
      <c r="C6670" s="94"/>
      <c r="E6670" s="94"/>
      <c r="G6670" s="94"/>
      <c r="I6670" s="94"/>
      <c r="K6670" s="94"/>
      <c r="M6670" s="94"/>
    </row>
    <row r="6671" s="93" customFormat="1" spans="3:13">
      <c r="C6671" s="94"/>
      <c r="E6671" s="94"/>
      <c r="G6671" s="94"/>
      <c r="I6671" s="94"/>
      <c r="K6671" s="94"/>
      <c r="M6671" s="94"/>
    </row>
    <row r="6672" s="93" customFormat="1" spans="3:13">
      <c r="C6672" s="94"/>
      <c r="E6672" s="94"/>
      <c r="G6672" s="94"/>
      <c r="I6672" s="94"/>
      <c r="K6672" s="94"/>
      <c r="M6672" s="94"/>
    </row>
    <row r="6673" s="93" customFormat="1" spans="3:13">
      <c r="C6673" s="94"/>
      <c r="E6673" s="94"/>
      <c r="G6673" s="94"/>
      <c r="I6673" s="94"/>
      <c r="K6673" s="94"/>
      <c r="M6673" s="94"/>
    </row>
    <row r="6674" s="93" customFormat="1" spans="3:13">
      <c r="C6674" s="94"/>
      <c r="E6674" s="94"/>
      <c r="G6674" s="94"/>
      <c r="I6674" s="94"/>
      <c r="K6674" s="94"/>
      <c r="M6674" s="94"/>
    </row>
    <row r="6675" s="93" customFormat="1" spans="3:13">
      <c r="C6675" s="94"/>
      <c r="E6675" s="94"/>
      <c r="G6675" s="94"/>
      <c r="I6675" s="94"/>
      <c r="K6675" s="94"/>
      <c r="M6675" s="94"/>
    </row>
    <row r="6676" s="93" customFormat="1" spans="3:13">
      <c r="C6676" s="94"/>
      <c r="E6676" s="94"/>
      <c r="G6676" s="94"/>
      <c r="I6676" s="94"/>
      <c r="K6676" s="94"/>
      <c r="M6676" s="94"/>
    </row>
    <row r="6677" s="93" customFormat="1" spans="3:13">
      <c r="C6677" s="94"/>
      <c r="E6677" s="94"/>
      <c r="G6677" s="94"/>
      <c r="I6677" s="94"/>
      <c r="K6677" s="94"/>
      <c r="M6677" s="94"/>
    </row>
    <row r="6678" s="93" customFormat="1" spans="3:13">
      <c r="C6678" s="94"/>
      <c r="E6678" s="94"/>
      <c r="G6678" s="94"/>
      <c r="I6678" s="94"/>
      <c r="K6678" s="94"/>
      <c r="M6678" s="94"/>
    </row>
    <row r="6679" s="93" customFormat="1" spans="3:13">
      <c r="C6679" s="94"/>
      <c r="E6679" s="94"/>
      <c r="G6679" s="94"/>
      <c r="I6679" s="94"/>
      <c r="K6679" s="94"/>
      <c r="M6679" s="94"/>
    </row>
    <row r="6680" s="93" customFormat="1" spans="3:13">
      <c r="C6680" s="94"/>
      <c r="E6680" s="94"/>
      <c r="G6680" s="94"/>
      <c r="I6680" s="94"/>
      <c r="K6680" s="94"/>
      <c r="M6680" s="94"/>
    </row>
    <row r="6681" s="93" customFormat="1" spans="3:13">
      <c r="C6681" s="94"/>
      <c r="E6681" s="94"/>
      <c r="G6681" s="94"/>
      <c r="I6681" s="94"/>
      <c r="K6681" s="94"/>
      <c r="M6681" s="94"/>
    </row>
    <row r="6682" s="93" customFormat="1" spans="3:13">
      <c r="C6682" s="94"/>
      <c r="E6682" s="94"/>
      <c r="G6682" s="94"/>
      <c r="I6682" s="94"/>
      <c r="K6682" s="94"/>
      <c r="M6682" s="94"/>
    </row>
    <row r="6683" s="93" customFormat="1" spans="3:13">
      <c r="C6683" s="94"/>
      <c r="E6683" s="94"/>
      <c r="G6683" s="94"/>
      <c r="I6683" s="94"/>
      <c r="K6683" s="94"/>
      <c r="M6683" s="94"/>
    </row>
    <row r="6684" s="93" customFormat="1" spans="3:13">
      <c r="C6684" s="94"/>
      <c r="E6684" s="94"/>
      <c r="G6684" s="94"/>
      <c r="I6684" s="94"/>
      <c r="K6684" s="94"/>
      <c r="M6684" s="94"/>
    </row>
    <row r="6685" s="93" customFormat="1" spans="3:13">
      <c r="C6685" s="94"/>
      <c r="E6685" s="94"/>
      <c r="G6685" s="94"/>
      <c r="I6685" s="94"/>
      <c r="K6685" s="94"/>
      <c r="M6685" s="94"/>
    </row>
    <row r="6686" s="93" customFormat="1" spans="3:13">
      <c r="C6686" s="94"/>
      <c r="E6686" s="94"/>
      <c r="G6686" s="94"/>
      <c r="I6686" s="94"/>
      <c r="K6686" s="94"/>
      <c r="M6686" s="94"/>
    </row>
    <row r="6687" s="93" customFormat="1" spans="3:13">
      <c r="C6687" s="94"/>
      <c r="E6687" s="94"/>
      <c r="G6687" s="94"/>
      <c r="I6687" s="94"/>
      <c r="K6687" s="94"/>
      <c r="M6687" s="94"/>
    </row>
    <row r="6688" s="93" customFormat="1" spans="3:13">
      <c r="C6688" s="94"/>
      <c r="E6688" s="94"/>
      <c r="G6688" s="94"/>
      <c r="I6688" s="94"/>
      <c r="K6688" s="94"/>
      <c r="M6688" s="94"/>
    </row>
    <row r="6689" s="93" customFormat="1" spans="3:13">
      <c r="C6689" s="94"/>
      <c r="E6689" s="94"/>
      <c r="G6689" s="94"/>
      <c r="I6689" s="94"/>
      <c r="K6689" s="94"/>
      <c r="M6689" s="94"/>
    </row>
    <row r="6690" s="93" customFormat="1" spans="3:13">
      <c r="C6690" s="94"/>
      <c r="E6690" s="94"/>
      <c r="G6690" s="94"/>
      <c r="I6690" s="94"/>
      <c r="K6690" s="94"/>
      <c r="M6690" s="94"/>
    </row>
    <row r="6691" s="93" customFormat="1" spans="3:13">
      <c r="C6691" s="94"/>
      <c r="E6691" s="94"/>
      <c r="G6691" s="94"/>
      <c r="I6691" s="94"/>
      <c r="K6691" s="94"/>
      <c r="M6691" s="94"/>
    </row>
    <row r="6692" s="93" customFormat="1" spans="3:13">
      <c r="C6692" s="94"/>
      <c r="E6692" s="94"/>
      <c r="G6692" s="94"/>
      <c r="I6692" s="94"/>
      <c r="K6692" s="94"/>
      <c r="M6692" s="94"/>
    </row>
    <row r="6693" s="93" customFormat="1" spans="3:13">
      <c r="C6693" s="94"/>
      <c r="E6693" s="94"/>
      <c r="G6693" s="94"/>
      <c r="I6693" s="94"/>
      <c r="K6693" s="94"/>
      <c r="M6693" s="94"/>
    </row>
    <row r="6694" s="93" customFormat="1" spans="3:13">
      <c r="C6694" s="94"/>
      <c r="E6694" s="94"/>
      <c r="G6694" s="94"/>
      <c r="I6694" s="94"/>
      <c r="K6694" s="94"/>
      <c r="M6694" s="94"/>
    </row>
    <row r="6695" s="93" customFormat="1" spans="3:13">
      <c r="C6695" s="94"/>
      <c r="E6695" s="94"/>
      <c r="G6695" s="94"/>
      <c r="I6695" s="94"/>
      <c r="K6695" s="94"/>
      <c r="M6695" s="94"/>
    </row>
    <row r="6696" s="93" customFormat="1" spans="3:13">
      <c r="C6696" s="94"/>
      <c r="E6696" s="94"/>
      <c r="G6696" s="94"/>
      <c r="I6696" s="94"/>
      <c r="K6696" s="94"/>
      <c r="M6696" s="94"/>
    </row>
    <row r="6697" s="93" customFormat="1" spans="3:13">
      <c r="C6697" s="94"/>
      <c r="E6697" s="94"/>
      <c r="G6697" s="94"/>
      <c r="I6697" s="94"/>
      <c r="K6697" s="94"/>
      <c r="M6697" s="94"/>
    </row>
    <row r="6698" s="93" customFormat="1" spans="3:13">
      <c r="C6698" s="94"/>
      <c r="E6698" s="94"/>
      <c r="G6698" s="94"/>
      <c r="I6698" s="94"/>
      <c r="K6698" s="94"/>
      <c r="M6698" s="94"/>
    </row>
    <row r="6699" s="93" customFormat="1" spans="3:13">
      <c r="C6699" s="94"/>
      <c r="E6699" s="94"/>
      <c r="G6699" s="94"/>
      <c r="I6699" s="94"/>
      <c r="K6699" s="94"/>
      <c r="M6699" s="94"/>
    </row>
    <row r="6700" s="93" customFormat="1" spans="3:13">
      <c r="C6700" s="94"/>
      <c r="E6700" s="94"/>
      <c r="G6700" s="94"/>
      <c r="I6700" s="94"/>
      <c r="K6700" s="94"/>
      <c r="M6700" s="94"/>
    </row>
    <row r="6701" s="93" customFormat="1" spans="3:13">
      <c r="C6701" s="94"/>
      <c r="E6701" s="94"/>
      <c r="G6701" s="94"/>
      <c r="I6701" s="94"/>
      <c r="K6701" s="94"/>
      <c r="M6701" s="94"/>
    </row>
    <row r="6702" s="93" customFormat="1" spans="3:13">
      <c r="C6702" s="94"/>
      <c r="E6702" s="94"/>
      <c r="G6702" s="94"/>
      <c r="I6702" s="94"/>
      <c r="K6702" s="94"/>
      <c r="M6702" s="94"/>
    </row>
    <row r="6703" s="93" customFormat="1" spans="3:13">
      <c r="C6703" s="94"/>
      <c r="E6703" s="94"/>
      <c r="G6703" s="94"/>
      <c r="I6703" s="94"/>
      <c r="K6703" s="94"/>
      <c r="M6703" s="94"/>
    </row>
    <row r="6704" s="93" customFormat="1" spans="3:13">
      <c r="C6704" s="94"/>
      <c r="E6704" s="94"/>
      <c r="G6704" s="94"/>
      <c r="I6704" s="94"/>
      <c r="K6704" s="94"/>
      <c r="M6704" s="94"/>
    </row>
    <row r="6705" s="93" customFormat="1" spans="3:13">
      <c r="C6705" s="94"/>
      <c r="E6705" s="94"/>
      <c r="G6705" s="94"/>
      <c r="I6705" s="94"/>
      <c r="K6705" s="94"/>
      <c r="M6705" s="94"/>
    </row>
    <row r="6706" s="93" customFormat="1" spans="3:13">
      <c r="C6706" s="94"/>
      <c r="E6706" s="94"/>
      <c r="G6706" s="94"/>
      <c r="I6706" s="94"/>
      <c r="K6706" s="94"/>
      <c r="M6706" s="94"/>
    </row>
    <row r="6707" s="93" customFormat="1" spans="3:13">
      <c r="C6707" s="94"/>
      <c r="E6707" s="94"/>
      <c r="G6707" s="94"/>
      <c r="I6707" s="94"/>
      <c r="K6707" s="94"/>
      <c r="M6707" s="94"/>
    </row>
    <row r="6708" s="93" customFormat="1" spans="3:13">
      <c r="C6708" s="94"/>
      <c r="E6708" s="94"/>
      <c r="G6708" s="94"/>
      <c r="I6708" s="94"/>
      <c r="K6708" s="94"/>
      <c r="M6708" s="94"/>
    </row>
    <row r="6709" s="93" customFormat="1" spans="3:13">
      <c r="C6709" s="94"/>
      <c r="E6709" s="94"/>
      <c r="G6709" s="94"/>
      <c r="I6709" s="94"/>
      <c r="K6709" s="94"/>
      <c r="M6709" s="94"/>
    </row>
    <row r="6710" s="93" customFormat="1" spans="3:13">
      <c r="C6710" s="94"/>
      <c r="E6710" s="94"/>
      <c r="G6710" s="94"/>
      <c r="I6710" s="94"/>
      <c r="K6710" s="94"/>
      <c r="M6710" s="94"/>
    </row>
    <row r="6711" s="93" customFormat="1" spans="3:13">
      <c r="C6711" s="94"/>
      <c r="E6711" s="94"/>
      <c r="G6711" s="94"/>
      <c r="I6711" s="94"/>
      <c r="K6711" s="94"/>
      <c r="M6711" s="94"/>
    </row>
    <row r="6712" s="93" customFormat="1" spans="3:13">
      <c r="C6712" s="94"/>
      <c r="E6712" s="94"/>
      <c r="G6712" s="94"/>
      <c r="I6712" s="94"/>
      <c r="K6712" s="94"/>
      <c r="M6712" s="94"/>
    </row>
    <row r="6713" s="93" customFormat="1" spans="3:13">
      <c r="C6713" s="94"/>
      <c r="E6713" s="94"/>
      <c r="G6713" s="94"/>
      <c r="I6713" s="94"/>
      <c r="K6713" s="94"/>
      <c r="M6713" s="94"/>
    </row>
    <row r="6714" s="93" customFormat="1" spans="3:13">
      <c r="C6714" s="94"/>
      <c r="E6714" s="94"/>
      <c r="G6714" s="94"/>
      <c r="I6714" s="94"/>
      <c r="K6714" s="94"/>
      <c r="M6714" s="94"/>
    </row>
    <row r="6715" s="93" customFormat="1" spans="3:13">
      <c r="C6715" s="94"/>
      <c r="E6715" s="94"/>
      <c r="G6715" s="94"/>
      <c r="I6715" s="94"/>
      <c r="K6715" s="94"/>
      <c r="M6715" s="94"/>
    </row>
    <row r="6716" s="93" customFormat="1" spans="3:13">
      <c r="C6716" s="94"/>
      <c r="E6716" s="94"/>
      <c r="G6716" s="94"/>
      <c r="I6716" s="94"/>
      <c r="K6716" s="94"/>
      <c r="M6716" s="94"/>
    </row>
    <row r="6717" s="93" customFormat="1" spans="3:13">
      <c r="C6717" s="94"/>
      <c r="E6717" s="94"/>
      <c r="G6717" s="94"/>
      <c r="I6717" s="94"/>
      <c r="K6717" s="94"/>
      <c r="M6717" s="94"/>
    </row>
    <row r="6718" s="93" customFormat="1" spans="3:13">
      <c r="C6718" s="94"/>
      <c r="E6718" s="94"/>
      <c r="G6718" s="94"/>
      <c r="I6718" s="94"/>
      <c r="K6718" s="94"/>
      <c r="M6718" s="94"/>
    </row>
    <row r="6719" s="93" customFormat="1" spans="3:13">
      <c r="C6719" s="94"/>
      <c r="E6719" s="94"/>
      <c r="G6719" s="94"/>
      <c r="I6719" s="94"/>
      <c r="K6719" s="94"/>
      <c r="M6719" s="94"/>
    </row>
    <row r="6720" s="93" customFormat="1" spans="3:13">
      <c r="C6720" s="94"/>
      <c r="E6720" s="94"/>
      <c r="G6720" s="94"/>
      <c r="I6720" s="94"/>
      <c r="K6720" s="94"/>
      <c r="M6720" s="94"/>
    </row>
    <row r="6721" s="93" customFormat="1" spans="3:13">
      <c r="C6721" s="94"/>
      <c r="E6721" s="94"/>
      <c r="G6721" s="94"/>
      <c r="I6721" s="94"/>
      <c r="K6721" s="94"/>
      <c r="M6721" s="94"/>
    </row>
    <row r="6722" s="93" customFormat="1" spans="3:13">
      <c r="C6722" s="94"/>
      <c r="E6722" s="94"/>
      <c r="G6722" s="94"/>
      <c r="I6722" s="94"/>
      <c r="K6722" s="94"/>
      <c r="M6722" s="94"/>
    </row>
    <row r="6723" s="93" customFormat="1" spans="3:13">
      <c r="C6723" s="94"/>
      <c r="E6723" s="94"/>
      <c r="G6723" s="94"/>
      <c r="I6723" s="94"/>
      <c r="K6723" s="94"/>
      <c r="M6723" s="94"/>
    </row>
    <row r="6724" s="93" customFormat="1" spans="3:13">
      <c r="C6724" s="94"/>
      <c r="E6724" s="94"/>
      <c r="G6724" s="94"/>
      <c r="I6724" s="94"/>
      <c r="K6724" s="94"/>
      <c r="M6724" s="94"/>
    </row>
    <row r="6725" s="93" customFormat="1" spans="3:13">
      <c r="C6725" s="94"/>
      <c r="E6725" s="94"/>
      <c r="G6725" s="94"/>
      <c r="I6725" s="94"/>
      <c r="K6725" s="94"/>
      <c r="M6725" s="94"/>
    </row>
    <row r="6726" s="93" customFormat="1" spans="3:13">
      <c r="C6726" s="94"/>
      <c r="E6726" s="94"/>
      <c r="G6726" s="94"/>
      <c r="I6726" s="94"/>
      <c r="K6726" s="94"/>
      <c r="M6726" s="94"/>
    </row>
    <row r="6727" s="93" customFormat="1" spans="3:13">
      <c r="C6727" s="94"/>
      <c r="E6727" s="94"/>
      <c r="G6727" s="94"/>
      <c r="I6727" s="94"/>
      <c r="K6727" s="94"/>
      <c r="M6727" s="94"/>
    </row>
    <row r="6728" s="93" customFormat="1" spans="3:13">
      <c r="C6728" s="94"/>
      <c r="E6728" s="94"/>
      <c r="G6728" s="94"/>
      <c r="I6728" s="94"/>
      <c r="K6728" s="94"/>
      <c r="M6728" s="94"/>
    </row>
    <row r="6729" s="93" customFormat="1" spans="3:13">
      <c r="C6729" s="94"/>
      <c r="E6729" s="94"/>
      <c r="G6729" s="94"/>
      <c r="I6729" s="94"/>
      <c r="K6729" s="94"/>
      <c r="M6729" s="94"/>
    </row>
    <row r="6730" s="93" customFormat="1" spans="3:13">
      <c r="C6730" s="94"/>
      <c r="E6730" s="94"/>
      <c r="G6730" s="94"/>
      <c r="I6730" s="94"/>
      <c r="K6730" s="94"/>
      <c r="M6730" s="94"/>
    </row>
    <row r="6731" s="93" customFormat="1" spans="3:13">
      <c r="C6731" s="94"/>
      <c r="E6731" s="94"/>
      <c r="G6731" s="94"/>
      <c r="I6731" s="94"/>
      <c r="K6731" s="94"/>
      <c r="M6731" s="94"/>
    </row>
    <row r="6732" s="93" customFormat="1" spans="3:13">
      <c r="C6732" s="94"/>
      <c r="E6732" s="94"/>
      <c r="G6732" s="94"/>
      <c r="I6732" s="94"/>
      <c r="K6732" s="94"/>
      <c r="M6732" s="94"/>
    </row>
    <row r="6733" s="93" customFormat="1" spans="3:13">
      <c r="C6733" s="94"/>
      <c r="E6733" s="94"/>
      <c r="G6733" s="94"/>
      <c r="I6733" s="94"/>
      <c r="K6733" s="94"/>
      <c r="M6733" s="94"/>
    </row>
    <row r="6734" s="93" customFormat="1" spans="3:13">
      <c r="C6734" s="94"/>
      <c r="E6734" s="94"/>
      <c r="G6734" s="94"/>
      <c r="I6734" s="94"/>
      <c r="K6734" s="94"/>
      <c r="M6734" s="94"/>
    </row>
    <row r="6735" s="93" customFormat="1" spans="3:13">
      <c r="C6735" s="94"/>
      <c r="E6735" s="94"/>
      <c r="G6735" s="94"/>
      <c r="I6735" s="94"/>
      <c r="K6735" s="94"/>
      <c r="M6735" s="94"/>
    </row>
    <row r="6736" s="93" customFormat="1" spans="3:13">
      <c r="C6736" s="94"/>
      <c r="E6736" s="94"/>
      <c r="G6736" s="94"/>
      <c r="I6736" s="94"/>
      <c r="K6736" s="94"/>
      <c r="M6736" s="94"/>
    </row>
    <row r="6737" s="93" customFormat="1" spans="3:13">
      <c r="C6737" s="94"/>
      <c r="E6737" s="94"/>
      <c r="G6737" s="94"/>
      <c r="I6737" s="94"/>
      <c r="K6737" s="94"/>
      <c r="M6737" s="94"/>
    </row>
    <row r="6738" s="93" customFormat="1" spans="3:13">
      <c r="C6738" s="94"/>
      <c r="E6738" s="94"/>
      <c r="G6738" s="94"/>
      <c r="I6738" s="94"/>
      <c r="K6738" s="94"/>
      <c r="M6738" s="94"/>
    </row>
    <row r="6739" s="93" customFormat="1" spans="3:13">
      <c r="C6739" s="94"/>
      <c r="E6739" s="94"/>
      <c r="G6739" s="94"/>
      <c r="I6739" s="94"/>
      <c r="K6739" s="94"/>
      <c r="M6739" s="94"/>
    </row>
    <row r="6740" s="93" customFormat="1" spans="3:13">
      <c r="C6740" s="94"/>
      <c r="E6740" s="94"/>
      <c r="G6740" s="94"/>
      <c r="I6740" s="94"/>
      <c r="K6740" s="94"/>
      <c r="M6740" s="94"/>
    </row>
    <row r="6741" s="93" customFormat="1" spans="3:13">
      <c r="C6741" s="94"/>
      <c r="E6741" s="94"/>
      <c r="G6741" s="94"/>
      <c r="I6741" s="94"/>
      <c r="K6741" s="94"/>
      <c r="M6741" s="94"/>
    </row>
    <row r="6742" s="93" customFormat="1" spans="3:13">
      <c r="C6742" s="94"/>
      <c r="E6742" s="94"/>
      <c r="G6742" s="94"/>
      <c r="I6742" s="94"/>
      <c r="K6742" s="94"/>
      <c r="M6742" s="94"/>
    </row>
    <row r="6743" s="93" customFormat="1" spans="3:13">
      <c r="C6743" s="94"/>
      <c r="E6743" s="94"/>
      <c r="G6743" s="94"/>
      <c r="I6743" s="94"/>
      <c r="K6743" s="94"/>
      <c r="M6743" s="94"/>
    </row>
    <row r="6744" s="93" customFormat="1" spans="3:13">
      <c r="C6744" s="94"/>
      <c r="E6744" s="94"/>
      <c r="G6744" s="94"/>
      <c r="I6744" s="94"/>
      <c r="K6744" s="94"/>
      <c r="M6744" s="94"/>
    </row>
    <row r="6745" s="93" customFormat="1" spans="3:13">
      <c r="C6745" s="94"/>
      <c r="E6745" s="94"/>
      <c r="G6745" s="94"/>
      <c r="I6745" s="94"/>
      <c r="K6745" s="94"/>
      <c r="M6745" s="94"/>
    </row>
    <row r="6746" s="93" customFormat="1" spans="3:13">
      <c r="C6746" s="94"/>
      <c r="E6746" s="94"/>
      <c r="G6746" s="94"/>
      <c r="I6746" s="94"/>
      <c r="K6746" s="94"/>
      <c r="M6746" s="94"/>
    </row>
    <row r="6747" s="93" customFormat="1" spans="3:13">
      <c r="C6747" s="94"/>
      <c r="E6747" s="94"/>
      <c r="G6747" s="94"/>
      <c r="I6747" s="94"/>
      <c r="K6747" s="94"/>
      <c r="M6747" s="94"/>
    </row>
    <row r="6748" s="93" customFormat="1" spans="3:13">
      <c r="C6748" s="94"/>
      <c r="E6748" s="94"/>
      <c r="G6748" s="94"/>
      <c r="I6748" s="94"/>
      <c r="K6748" s="94"/>
      <c r="M6748" s="94"/>
    </row>
    <row r="6749" s="93" customFormat="1" spans="3:13">
      <c r="C6749" s="94"/>
      <c r="E6749" s="94"/>
      <c r="G6749" s="94"/>
      <c r="I6749" s="94"/>
      <c r="K6749" s="94"/>
      <c r="M6749" s="94"/>
    </row>
    <row r="6750" s="93" customFormat="1" spans="3:13">
      <c r="C6750" s="94"/>
      <c r="E6750" s="94"/>
      <c r="G6750" s="94"/>
      <c r="I6750" s="94"/>
      <c r="K6750" s="94"/>
      <c r="M6750" s="94"/>
    </row>
    <row r="6751" s="93" customFormat="1" spans="3:13">
      <c r="C6751" s="94"/>
      <c r="E6751" s="94"/>
      <c r="G6751" s="94"/>
      <c r="I6751" s="94"/>
      <c r="K6751" s="94"/>
      <c r="M6751" s="94"/>
    </row>
    <row r="6752" s="93" customFormat="1" spans="3:13">
      <c r="C6752" s="94"/>
      <c r="E6752" s="94"/>
      <c r="G6752" s="94"/>
      <c r="I6752" s="94"/>
      <c r="K6752" s="94"/>
      <c r="M6752" s="94"/>
    </row>
    <row r="6753" s="93" customFormat="1" spans="3:13">
      <c r="C6753" s="94"/>
      <c r="E6753" s="94"/>
      <c r="G6753" s="94"/>
      <c r="I6753" s="94"/>
      <c r="K6753" s="94"/>
      <c r="M6753" s="94"/>
    </row>
    <row r="6754" s="93" customFormat="1" spans="3:13">
      <c r="C6754" s="94"/>
      <c r="E6754" s="94"/>
      <c r="G6754" s="94"/>
      <c r="I6754" s="94"/>
      <c r="K6754" s="94"/>
      <c r="M6754" s="94"/>
    </row>
    <row r="6755" s="93" customFormat="1" spans="3:13">
      <c r="C6755" s="94"/>
      <c r="E6755" s="94"/>
      <c r="G6755" s="94"/>
      <c r="I6755" s="94"/>
      <c r="K6755" s="94"/>
      <c r="M6755" s="94"/>
    </row>
    <row r="6756" s="93" customFormat="1" spans="3:13">
      <c r="C6756" s="94"/>
      <c r="E6756" s="94"/>
      <c r="G6756" s="94"/>
      <c r="I6756" s="94"/>
      <c r="K6756" s="94"/>
      <c r="M6756" s="94"/>
    </row>
    <row r="6757" s="93" customFormat="1" spans="3:13">
      <c r="C6757" s="94"/>
      <c r="E6757" s="94"/>
      <c r="G6757" s="94"/>
      <c r="I6757" s="94"/>
      <c r="K6757" s="94"/>
      <c r="M6757" s="94"/>
    </row>
    <row r="6758" s="93" customFormat="1" spans="3:13">
      <c r="C6758" s="94"/>
      <c r="E6758" s="94"/>
      <c r="G6758" s="94"/>
      <c r="I6758" s="94"/>
      <c r="K6758" s="94"/>
      <c r="M6758" s="94"/>
    </row>
    <row r="6759" s="93" customFormat="1" spans="3:13">
      <c r="C6759" s="94"/>
      <c r="E6759" s="94"/>
      <c r="G6759" s="94"/>
      <c r="I6759" s="94"/>
      <c r="K6759" s="94"/>
      <c r="M6759" s="94"/>
    </row>
    <row r="6760" s="93" customFormat="1" spans="3:13">
      <c r="C6760" s="94"/>
      <c r="E6760" s="94"/>
      <c r="G6760" s="94"/>
      <c r="I6760" s="94"/>
      <c r="K6760" s="94"/>
      <c r="M6760" s="94"/>
    </row>
    <row r="6761" s="93" customFormat="1" spans="3:13">
      <c r="C6761" s="94"/>
      <c r="E6761" s="94"/>
      <c r="G6761" s="94"/>
      <c r="I6761" s="94"/>
      <c r="K6761" s="94"/>
      <c r="M6761" s="94"/>
    </row>
    <row r="6762" s="93" customFormat="1" spans="3:13">
      <c r="C6762" s="94"/>
      <c r="E6762" s="94"/>
      <c r="G6762" s="94"/>
      <c r="I6762" s="94"/>
      <c r="K6762" s="94"/>
      <c r="M6762" s="94"/>
    </row>
    <row r="6763" s="93" customFormat="1" spans="3:13">
      <c r="C6763" s="94"/>
      <c r="E6763" s="94"/>
      <c r="G6763" s="94"/>
      <c r="I6763" s="94"/>
      <c r="K6763" s="94"/>
      <c r="M6763" s="94"/>
    </row>
    <row r="6764" s="93" customFormat="1" spans="3:13">
      <c r="C6764" s="94"/>
      <c r="E6764" s="94"/>
      <c r="G6764" s="94"/>
      <c r="I6764" s="94"/>
      <c r="K6764" s="94"/>
      <c r="M6764" s="94"/>
    </row>
    <row r="6765" s="93" customFormat="1" spans="3:13">
      <c r="C6765" s="94"/>
      <c r="E6765" s="94"/>
      <c r="G6765" s="94"/>
      <c r="I6765" s="94"/>
      <c r="K6765" s="94"/>
      <c r="M6765" s="94"/>
    </row>
    <row r="6766" s="93" customFormat="1" spans="3:13">
      <c r="C6766" s="94"/>
      <c r="E6766" s="94"/>
      <c r="G6766" s="94"/>
      <c r="I6766" s="94"/>
      <c r="K6766" s="94"/>
      <c r="M6766" s="94"/>
    </row>
    <row r="6767" s="93" customFormat="1" spans="3:13">
      <c r="C6767" s="94"/>
      <c r="E6767" s="94"/>
      <c r="G6767" s="94"/>
      <c r="I6767" s="94"/>
      <c r="K6767" s="94"/>
      <c r="M6767" s="94"/>
    </row>
    <row r="6768" s="93" customFormat="1" spans="3:13">
      <c r="C6768" s="94"/>
      <c r="E6768" s="94"/>
      <c r="G6768" s="94"/>
      <c r="I6768" s="94"/>
      <c r="K6768" s="94"/>
      <c r="M6768" s="94"/>
    </row>
    <row r="6769" s="93" customFormat="1" spans="3:13">
      <c r="C6769" s="94"/>
      <c r="E6769" s="94"/>
      <c r="G6769" s="94"/>
      <c r="I6769" s="94"/>
      <c r="K6769" s="94"/>
      <c r="M6769" s="94"/>
    </row>
    <row r="6770" s="93" customFormat="1" spans="3:13">
      <c r="C6770" s="94"/>
      <c r="E6770" s="94"/>
      <c r="G6770" s="94"/>
      <c r="I6770" s="94"/>
      <c r="K6770" s="94"/>
      <c r="M6770" s="94"/>
    </row>
    <row r="6771" s="93" customFormat="1" spans="3:13">
      <c r="C6771" s="94"/>
      <c r="E6771" s="94"/>
      <c r="G6771" s="94"/>
      <c r="I6771" s="94"/>
      <c r="K6771" s="94"/>
      <c r="M6771" s="94"/>
    </row>
    <row r="6772" s="93" customFormat="1" spans="3:13">
      <c r="C6772" s="94"/>
      <c r="E6772" s="94"/>
      <c r="G6772" s="94"/>
      <c r="I6772" s="94"/>
      <c r="K6772" s="94"/>
      <c r="M6772" s="94"/>
    </row>
    <row r="6773" s="93" customFormat="1" spans="3:13">
      <c r="C6773" s="94"/>
      <c r="E6773" s="94"/>
      <c r="G6773" s="94"/>
      <c r="I6773" s="94"/>
      <c r="K6773" s="94"/>
      <c r="M6773" s="94"/>
    </row>
    <row r="6774" s="93" customFormat="1" spans="3:13">
      <c r="C6774" s="94"/>
      <c r="E6774" s="94"/>
      <c r="G6774" s="94"/>
      <c r="I6774" s="94"/>
      <c r="K6774" s="94"/>
      <c r="M6774" s="94"/>
    </row>
    <row r="6775" s="93" customFormat="1" spans="3:13">
      <c r="C6775" s="94"/>
      <c r="E6775" s="94"/>
      <c r="G6775" s="94"/>
      <c r="I6775" s="94"/>
      <c r="K6775" s="94"/>
      <c r="M6775" s="94"/>
    </row>
    <row r="6776" s="93" customFormat="1" spans="3:13">
      <c r="C6776" s="94"/>
      <c r="E6776" s="94"/>
      <c r="G6776" s="94"/>
      <c r="I6776" s="94"/>
      <c r="K6776" s="94"/>
      <c r="M6776" s="94"/>
    </row>
    <row r="6777" s="93" customFormat="1" spans="3:13">
      <c r="C6777" s="94"/>
      <c r="E6777" s="94"/>
      <c r="G6777" s="94"/>
      <c r="I6777" s="94"/>
      <c r="K6777" s="94"/>
      <c r="M6777" s="94"/>
    </row>
    <row r="6778" s="93" customFormat="1" spans="3:13">
      <c r="C6778" s="94"/>
      <c r="E6778" s="94"/>
      <c r="G6778" s="94"/>
      <c r="I6778" s="94"/>
      <c r="K6778" s="94"/>
      <c r="M6778" s="94"/>
    </row>
    <row r="6779" s="93" customFormat="1" spans="3:13">
      <c r="C6779" s="94"/>
      <c r="E6779" s="94"/>
      <c r="G6779" s="94"/>
      <c r="I6779" s="94"/>
      <c r="K6779" s="94"/>
      <c r="M6779" s="94"/>
    </row>
    <row r="6780" s="93" customFormat="1" spans="3:13">
      <c r="C6780" s="94"/>
      <c r="E6780" s="94"/>
      <c r="G6780" s="94"/>
      <c r="I6780" s="94"/>
      <c r="K6780" s="94"/>
      <c r="M6780" s="94"/>
    </row>
    <row r="6781" s="93" customFormat="1" spans="3:13">
      <c r="C6781" s="94"/>
      <c r="E6781" s="94"/>
      <c r="G6781" s="94"/>
      <c r="I6781" s="94"/>
      <c r="K6781" s="94"/>
      <c r="M6781" s="94"/>
    </row>
    <row r="6782" s="93" customFormat="1" spans="3:13">
      <c r="C6782" s="94"/>
      <c r="E6782" s="94"/>
      <c r="G6782" s="94"/>
      <c r="I6782" s="94"/>
      <c r="K6782" s="94"/>
      <c r="M6782" s="94"/>
    </row>
    <row r="6783" s="93" customFormat="1" spans="3:13">
      <c r="C6783" s="94"/>
      <c r="E6783" s="94"/>
      <c r="G6783" s="94"/>
      <c r="I6783" s="94"/>
      <c r="K6783" s="94"/>
      <c r="M6783" s="94"/>
    </row>
    <row r="6784" s="93" customFormat="1" spans="3:13">
      <c r="C6784" s="94"/>
      <c r="E6784" s="94"/>
      <c r="G6784" s="94"/>
      <c r="I6784" s="94"/>
      <c r="K6784" s="94"/>
      <c r="M6784" s="94"/>
    </row>
    <row r="6785" s="93" customFormat="1" spans="3:13">
      <c r="C6785" s="94"/>
      <c r="E6785" s="94"/>
      <c r="G6785" s="94"/>
      <c r="I6785" s="94"/>
      <c r="K6785" s="94"/>
      <c r="M6785" s="94"/>
    </row>
    <row r="6786" s="93" customFormat="1" spans="3:13">
      <c r="C6786" s="94"/>
      <c r="E6786" s="94"/>
      <c r="G6786" s="94"/>
      <c r="I6786" s="94"/>
      <c r="K6786" s="94"/>
      <c r="M6786" s="94"/>
    </row>
    <row r="6787" s="93" customFormat="1" spans="3:13">
      <c r="C6787" s="94"/>
      <c r="E6787" s="94"/>
      <c r="G6787" s="94"/>
      <c r="I6787" s="94"/>
      <c r="K6787" s="94"/>
      <c r="M6787" s="94"/>
    </row>
    <row r="6788" s="93" customFormat="1" spans="3:13">
      <c r="C6788" s="94"/>
      <c r="E6788" s="94"/>
      <c r="G6788" s="94"/>
      <c r="I6788" s="94"/>
      <c r="K6788" s="94"/>
      <c r="M6788" s="94"/>
    </row>
    <row r="6789" s="93" customFormat="1" spans="3:13">
      <c r="C6789" s="94"/>
      <c r="E6789" s="94"/>
      <c r="G6789" s="94"/>
      <c r="I6789" s="94"/>
      <c r="K6789" s="94"/>
      <c r="M6789" s="94"/>
    </row>
    <row r="6790" s="93" customFormat="1" spans="3:13">
      <c r="C6790" s="94"/>
      <c r="E6790" s="94"/>
      <c r="G6790" s="94"/>
      <c r="I6790" s="94"/>
      <c r="K6790" s="94"/>
      <c r="M6790" s="94"/>
    </row>
    <row r="6791" s="93" customFormat="1" spans="3:13">
      <c r="C6791" s="94"/>
      <c r="E6791" s="94"/>
      <c r="G6791" s="94"/>
      <c r="I6791" s="94"/>
      <c r="K6791" s="94"/>
      <c r="M6791" s="94"/>
    </row>
    <row r="6792" s="93" customFormat="1" spans="3:13">
      <c r="C6792" s="94"/>
      <c r="E6792" s="94"/>
      <c r="G6792" s="94"/>
      <c r="I6792" s="94"/>
      <c r="K6792" s="94"/>
      <c r="M6792" s="94"/>
    </row>
    <row r="6793" s="93" customFormat="1" spans="3:13">
      <c r="C6793" s="94"/>
      <c r="E6793" s="94"/>
      <c r="G6793" s="94"/>
      <c r="I6793" s="94"/>
      <c r="K6793" s="94"/>
      <c r="M6793" s="94"/>
    </row>
    <row r="6794" s="93" customFormat="1" spans="3:13">
      <c r="C6794" s="94"/>
      <c r="E6794" s="94"/>
      <c r="G6794" s="94"/>
      <c r="I6794" s="94"/>
      <c r="K6794" s="94"/>
      <c r="M6794" s="94"/>
    </row>
    <row r="6795" s="93" customFormat="1" spans="3:13">
      <c r="C6795" s="94"/>
      <c r="E6795" s="94"/>
      <c r="G6795" s="94"/>
      <c r="I6795" s="94"/>
      <c r="K6795" s="94"/>
      <c r="M6795" s="94"/>
    </row>
    <row r="6796" s="93" customFormat="1" spans="3:13">
      <c r="C6796" s="94"/>
      <c r="E6796" s="94"/>
      <c r="G6796" s="94"/>
      <c r="I6796" s="94"/>
      <c r="K6796" s="94"/>
      <c r="M6796" s="94"/>
    </row>
    <row r="6797" s="93" customFormat="1" spans="3:13">
      <c r="C6797" s="94"/>
      <c r="E6797" s="94"/>
      <c r="G6797" s="94"/>
      <c r="I6797" s="94"/>
      <c r="K6797" s="94"/>
      <c r="M6797" s="94"/>
    </row>
    <row r="6798" s="93" customFormat="1" spans="3:13">
      <c r="C6798" s="94"/>
      <c r="E6798" s="94"/>
      <c r="G6798" s="94"/>
      <c r="I6798" s="94"/>
      <c r="K6798" s="94"/>
      <c r="M6798" s="94"/>
    </row>
    <row r="6799" s="93" customFormat="1" spans="3:13">
      <c r="C6799" s="94"/>
      <c r="E6799" s="94"/>
      <c r="G6799" s="94"/>
      <c r="I6799" s="94"/>
      <c r="K6799" s="94"/>
      <c r="M6799" s="94"/>
    </row>
    <row r="6800" s="93" customFormat="1" spans="3:13">
      <c r="C6800" s="94"/>
      <c r="E6800" s="94"/>
      <c r="G6800" s="94"/>
      <c r="I6800" s="94"/>
      <c r="K6800" s="94"/>
      <c r="M6800" s="94"/>
    </row>
    <row r="6801" s="93" customFormat="1" spans="3:13">
      <c r="C6801" s="94"/>
      <c r="E6801" s="94"/>
      <c r="G6801" s="94"/>
      <c r="I6801" s="94"/>
      <c r="K6801" s="94"/>
      <c r="M6801" s="94"/>
    </row>
    <row r="6802" s="93" customFormat="1" spans="3:13">
      <c r="C6802" s="94"/>
      <c r="E6802" s="94"/>
      <c r="G6802" s="94"/>
      <c r="I6802" s="94"/>
      <c r="K6802" s="94"/>
      <c r="M6802" s="94"/>
    </row>
    <row r="6803" s="93" customFormat="1" spans="3:13">
      <c r="C6803" s="94"/>
      <c r="E6803" s="94"/>
      <c r="G6803" s="94"/>
      <c r="I6803" s="94"/>
      <c r="K6803" s="94"/>
      <c r="M6803" s="94"/>
    </row>
    <row r="6804" s="93" customFormat="1" spans="3:13">
      <c r="C6804" s="94"/>
      <c r="E6804" s="94"/>
      <c r="G6804" s="94"/>
      <c r="I6804" s="94"/>
      <c r="K6804" s="94"/>
      <c r="M6804" s="94"/>
    </row>
    <row r="6805" s="93" customFormat="1" spans="3:13">
      <c r="C6805" s="94"/>
      <c r="E6805" s="94"/>
      <c r="G6805" s="94"/>
      <c r="I6805" s="94"/>
      <c r="K6805" s="94"/>
      <c r="M6805" s="94"/>
    </row>
    <row r="6806" s="93" customFormat="1" spans="3:13">
      <c r="C6806" s="94"/>
      <c r="E6806" s="94"/>
      <c r="G6806" s="94"/>
      <c r="I6806" s="94"/>
      <c r="K6806" s="94"/>
      <c r="M6806" s="94"/>
    </row>
    <row r="6807" s="93" customFormat="1" spans="3:13">
      <c r="C6807" s="94"/>
      <c r="E6807" s="94"/>
      <c r="G6807" s="94"/>
      <c r="I6807" s="94"/>
      <c r="K6807" s="94"/>
      <c r="M6807" s="94"/>
    </row>
    <row r="6808" s="93" customFormat="1" spans="3:13">
      <c r="C6808" s="94"/>
      <c r="E6808" s="94"/>
      <c r="G6808" s="94"/>
      <c r="I6808" s="94"/>
      <c r="K6808" s="94"/>
      <c r="M6808" s="94"/>
    </row>
    <row r="6809" s="93" customFormat="1" spans="3:13">
      <c r="C6809" s="94"/>
      <c r="E6809" s="94"/>
      <c r="G6809" s="94"/>
      <c r="I6809" s="94"/>
      <c r="K6809" s="94"/>
      <c r="M6809" s="94"/>
    </row>
    <row r="6810" s="93" customFormat="1" spans="3:13">
      <c r="C6810" s="94"/>
      <c r="E6810" s="94"/>
      <c r="G6810" s="94"/>
      <c r="I6810" s="94"/>
      <c r="K6810" s="94"/>
      <c r="M6810" s="94"/>
    </row>
    <row r="6811" s="93" customFormat="1" spans="3:13">
      <c r="C6811" s="94"/>
      <c r="E6811" s="94"/>
      <c r="G6811" s="94"/>
      <c r="I6811" s="94"/>
      <c r="K6811" s="94"/>
      <c r="M6811" s="94"/>
    </row>
    <row r="6812" s="93" customFormat="1" spans="3:13">
      <c r="C6812" s="94"/>
      <c r="E6812" s="94"/>
      <c r="G6812" s="94"/>
      <c r="I6812" s="94"/>
      <c r="K6812" s="94"/>
      <c r="M6812" s="94"/>
    </row>
    <row r="6813" s="93" customFormat="1" spans="3:13">
      <c r="C6813" s="94"/>
      <c r="E6813" s="94"/>
      <c r="G6813" s="94"/>
      <c r="I6813" s="94"/>
      <c r="K6813" s="94"/>
      <c r="M6813" s="94"/>
    </row>
    <row r="6814" s="93" customFormat="1" spans="3:13">
      <c r="C6814" s="94"/>
      <c r="E6814" s="94"/>
      <c r="G6814" s="94"/>
      <c r="I6814" s="94"/>
      <c r="K6814" s="94"/>
      <c r="M6814" s="94"/>
    </row>
    <row r="6815" s="93" customFormat="1" spans="3:13">
      <c r="C6815" s="94"/>
      <c r="E6815" s="94"/>
      <c r="G6815" s="94"/>
      <c r="I6815" s="94"/>
      <c r="K6815" s="94"/>
      <c r="M6815" s="94"/>
    </row>
    <row r="6816" s="93" customFormat="1" spans="3:13">
      <c r="C6816" s="94"/>
      <c r="E6816" s="94"/>
      <c r="G6816" s="94"/>
      <c r="I6816" s="94"/>
      <c r="K6816" s="94"/>
      <c r="M6816" s="94"/>
    </row>
    <row r="6817" s="93" customFormat="1" spans="3:13">
      <c r="C6817" s="94"/>
      <c r="E6817" s="94"/>
      <c r="G6817" s="94"/>
      <c r="I6817" s="94"/>
      <c r="K6817" s="94"/>
      <c r="M6817" s="94"/>
    </row>
    <row r="6818" s="93" customFormat="1" spans="3:13">
      <c r="C6818" s="94"/>
      <c r="E6818" s="94"/>
      <c r="G6818" s="94"/>
      <c r="I6818" s="94"/>
      <c r="K6818" s="94"/>
      <c r="M6818" s="94"/>
    </row>
    <row r="6819" s="93" customFormat="1" spans="3:13">
      <c r="C6819" s="94"/>
      <c r="E6819" s="94"/>
      <c r="G6819" s="94"/>
      <c r="I6819" s="94"/>
      <c r="K6819" s="94"/>
      <c r="M6819" s="94"/>
    </row>
    <row r="6820" s="93" customFormat="1" spans="3:13">
      <c r="C6820" s="94"/>
      <c r="E6820" s="94"/>
      <c r="G6820" s="94"/>
      <c r="I6820" s="94"/>
      <c r="K6820" s="94"/>
      <c r="M6820" s="94"/>
    </row>
    <row r="6821" s="93" customFormat="1" spans="3:13">
      <c r="C6821" s="94"/>
      <c r="E6821" s="94"/>
      <c r="G6821" s="94"/>
      <c r="I6821" s="94"/>
      <c r="K6821" s="94"/>
      <c r="M6821" s="94"/>
    </row>
    <row r="6822" s="93" customFormat="1" spans="3:13">
      <c r="C6822" s="94"/>
      <c r="E6822" s="94"/>
      <c r="G6822" s="94"/>
      <c r="I6822" s="94"/>
      <c r="K6822" s="94"/>
      <c r="M6822" s="94"/>
    </row>
    <row r="6823" s="93" customFormat="1" spans="3:13">
      <c r="C6823" s="94"/>
      <c r="E6823" s="94"/>
      <c r="G6823" s="94"/>
      <c r="I6823" s="94"/>
      <c r="K6823" s="94"/>
      <c r="M6823" s="94"/>
    </row>
    <row r="6824" s="93" customFormat="1" spans="3:13">
      <c r="C6824" s="94"/>
      <c r="E6824" s="94"/>
      <c r="G6824" s="94"/>
      <c r="I6824" s="94"/>
      <c r="K6824" s="94"/>
      <c r="M6824" s="94"/>
    </row>
    <row r="6825" s="93" customFormat="1" spans="3:13">
      <c r="C6825" s="94"/>
      <c r="E6825" s="94"/>
      <c r="G6825" s="94"/>
      <c r="I6825" s="94"/>
      <c r="K6825" s="94"/>
      <c r="M6825" s="94"/>
    </row>
    <row r="6826" s="93" customFormat="1" spans="3:13">
      <c r="C6826" s="94"/>
      <c r="E6826" s="94"/>
      <c r="G6826" s="94"/>
      <c r="I6826" s="94"/>
      <c r="K6826" s="94"/>
      <c r="M6826" s="94"/>
    </row>
    <row r="6827" s="93" customFormat="1" spans="3:13">
      <c r="C6827" s="94"/>
      <c r="E6827" s="94"/>
      <c r="G6827" s="94"/>
      <c r="I6827" s="94"/>
      <c r="K6827" s="94"/>
      <c r="M6827" s="94"/>
    </row>
    <row r="6828" s="93" customFormat="1" spans="3:13">
      <c r="C6828" s="94"/>
      <c r="E6828" s="94"/>
      <c r="G6828" s="94"/>
      <c r="I6828" s="94"/>
      <c r="K6828" s="94"/>
      <c r="M6828" s="94"/>
    </row>
    <row r="6829" s="93" customFormat="1" spans="3:13">
      <c r="C6829" s="94"/>
      <c r="E6829" s="94"/>
      <c r="G6829" s="94"/>
      <c r="I6829" s="94"/>
      <c r="K6829" s="94"/>
      <c r="M6829" s="94"/>
    </row>
    <row r="6830" s="93" customFormat="1" spans="3:13">
      <c r="C6830" s="94"/>
      <c r="E6830" s="94"/>
      <c r="G6830" s="94"/>
      <c r="I6830" s="94"/>
      <c r="K6830" s="94"/>
      <c r="M6830" s="94"/>
    </row>
    <row r="6831" s="93" customFormat="1" spans="3:13">
      <c r="C6831" s="94"/>
      <c r="E6831" s="94"/>
      <c r="G6831" s="94"/>
      <c r="I6831" s="94"/>
      <c r="K6831" s="94"/>
      <c r="M6831" s="94"/>
    </row>
    <row r="6832" s="93" customFormat="1" spans="3:13">
      <c r="C6832" s="94"/>
      <c r="E6832" s="94"/>
      <c r="G6832" s="94"/>
      <c r="I6832" s="94"/>
      <c r="K6832" s="94"/>
      <c r="M6832" s="94"/>
    </row>
    <row r="6833" s="93" customFormat="1" spans="3:13">
      <c r="C6833" s="94"/>
      <c r="E6833" s="94"/>
      <c r="G6833" s="94"/>
      <c r="I6833" s="94"/>
      <c r="K6833" s="94"/>
      <c r="M6833" s="94"/>
    </row>
    <row r="6834" s="93" customFormat="1" spans="3:13">
      <c r="C6834" s="94"/>
      <c r="E6834" s="94"/>
      <c r="G6834" s="94"/>
      <c r="I6834" s="94"/>
      <c r="K6834" s="94"/>
      <c r="M6834" s="94"/>
    </row>
    <row r="6835" s="93" customFormat="1" spans="3:13">
      <c r="C6835" s="94"/>
      <c r="E6835" s="94"/>
      <c r="G6835" s="94"/>
      <c r="I6835" s="94"/>
      <c r="K6835" s="94"/>
      <c r="M6835" s="94"/>
    </row>
    <row r="6836" s="93" customFormat="1" spans="3:13">
      <c r="C6836" s="94"/>
      <c r="E6836" s="94"/>
      <c r="G6836" s="94"/>
      <c r="I6836" s="94"/>
      <c r="K6836" s="94"/>
      <c r="M6836" s="94"/>
    </row>
    <row r="6837" s="93" customFormat="1" spans="3:13">
      <c r="C6837" s="94"/>
      <c r="E6837" s="94"/>
      <c r="G6837" s="94"/>
      <c r="I6837" s="94"/>
      <c r="K6837" s="94"/>
      <c r="M6837" s="94"/>
    </row>
    <row r="6838" s="93" customFormat="1" spans="3:13">
      <c r="C6838" s="94"/>
      <c r="E6838" s="94"/>
      <c r="G6838" s="94"/>
      <c r="I6838" s="94"/>
      <c r="K6838" s="94"/>
      <c r="M6838" s="94"/>
    </row>
    <row r="6839" s="93" customFormat="1" spans="3:13">
      <c r="C6839" s="94"/>
      <c r="E6839" s="94"/>
      <c r="G6839" s="94"/>
      <c r="I6839" s="94"/>
      <c r="K6839" s="94"/>
      <c r="M6839" s="94"/>
    </row>
    <row r="6840" s="93" customFormat="1" spans="3:13">
      <c r="C6840" s="94"/>
      <c r="E6840" s="94"/>
      <c r="G6840" s="94"/>
      <c r="I6840" s="94"/>
      <c r="K6840" s="94"/>
      <c r="M6840" s="94"/>
    </row>
    <row r="6841" s="93" customFormat="1" spans="3:13">
      <c r="C6841" s="94"/>
      <c r="E6841" s="94"/>
      <c r="G6841" s="94"/>
      <c r="I6841" s="94"/>
      <c r="K6841" s="94"/>
      <c r="M6841" s="94"/>
    </row>
    <row r="6842" s="93" customFormat="1" spans="3:13">
      <c r="C6842" s="94"/>
      <c r="E6842" s="94"/>
      <c r="G6842" s="94"/>
      <c r="I6842" s="94"/>
      <c r="K6842" s="94"/>
      <c r="M6842" s="94"/>
    </row>
    <row r="6843" s="93" customFormat="1" spans="3:13">
      <c r="C6843" s="94"/>
      <c r="E6843" s="94"/>
      <c r="G6843" s="94"/>
      <c r="I6843" s="94"/>
      <c r="K6843" s="94"/>
      <c r="M6843" s="94"/>
    </row>
    <row r="6844" s="93" customFormat="1" spans="3:13">
      <c r="C6844" s="94"/>
      <c r="E6844" s="94"/>
      <c r="G6844" s="94"/>
      <c r="I6844" s="94"/>
      <c r="K6844" s="94"/>
      <c r="M6844" s="94"/>
    </row>
    <row r="6845" s="93" customFormat="1" spans="3:13">
      <c r="C6845" s="94"/>
      <c r="E6845" s="94"/>
      <c r="G6845" s="94"/>
      <c r="I6845" s="94"/>
      <c r="K6845" s="94"/>
      <c r="M6845" s="94"/>
    </row>
    <row r="6846" s="93" customFormat="1" spans="3:13">
      <c r="C6846" s="94"/>
      <c r="E6846" s="94"/>
      <c r="G6846" s="94"/>
      <c r="I6846" s="94"/>
      <c r="K6846" s="94"/>
      <c r="M6846" s="94"/>
    </row>
    <row r="6847" s="93" customFormat="1" spans="3:13">
      <c r="C6847" s="94"/>
      <c r="E6847" s="94"/>
      <c r="G6847" s="94"/>
      <c r="I6847" s="94"/>
      <c r="K6847" s="94"/>
      <c r="M6847" s="94"/>
    </row>
    <row r="6848" s="93" customFormat="1" spans="3:13">
      <c r="C6848" s="94"/>
      <c r="E6848" s="94"/>
      <c r="G6848" s="94"/>
      <c r="I6848" s="94"/>
      <c r="K6848" s="94"/>
      <c r="M6848" s="94"/>
    </row>
    <row r="6849" s="93" customFormat="1" spans="3:13">
      <c r="C6849" s="94"/>
      <c r="E6849" s="94"/>
      <c r="G6849" s="94"/>
      <c r="I6849" s="94"/>
      <c r="K6849" s="94"/>
      <c r="M6849" s="94"/>
    </row>
    <row r="6850" s="93" customFormat="1" spans="3:13">
      <c r="C6850" s="94"/>
      <c r="E6850" s="94"/>
      <c r="G6850" s="94"/>
      <c r="I6850" s="94"/>
      <c r="K6850" s="94"/>
      <c r="M6850" s="94"/>
    </row>
    <row r="6851" s="93" customFormat="1" spans="3:13">
      <c r="C6851" s="94"/>
      <c r="E6851" s="94"/>
      <c r="G6851" s="94"/>
      <c r="I6851" s="94"/>
      <c r="K6851" s="94"/>
      <c r="M6851" s="94"/>
    </row>
    <row r="6852" s="93" customFormat="1" spans="3:13">
      <c r="C6852" s="94"/>
      <c r="E6852" s="94"/>
      <c r="G6852" s="94"/>
      <c r="I6852" s="94"/>
      <c r="K6852" s="94"/>
      <c r="M6852" s="94"/>
    </row>
    <row r="6853" s="93" customFormat="1" spans="3:13">
      <c r="C6853" s="94"/>
      <c r="E6853" s="94"/>
      <c r="G6853" s="94"/>
      <c r="I6853" s="94"/>
      <c r="K6853" s="94"/>
      <c r="M6853" s="94"/>
    </row>
    <row r="6854" s="93" customFormat="1" spans="3:13">
      <c r="C6854" s="94"/>
      <c r="E6854" s="94"/>
      <c r="G6854" s="94"/>
      <c r="I6854" s="94"/>
      <c r="K6854" s="94"/>
      <c r="M6854" s="94"/>
    </row>
    <row r="6855" s="93" customFormat="1" spans="3:13">
      <c r="C6855" s="94"/>
      <c r="E6855" s="94"/>
      <c r="G6855" s="94"/>
      <c r="I6855" s="94"/>
      <c r="K6855" s="94"/>
      <c r="M6855" s="94"/>
    </row>
    <row r="6856" s="93" customFormat="1" spans="3:13">
      <c r="C6856" s="94"/>
      <c r="E6856" s="94"/>
      <c r="G6856" s="94"/>
      <c r="I6856" s="94"/>
      <c r="K6856" s="94"/>
      <c r="M6856" s="94"/>
    </row>
    <row r="6857" s="93" customFormat="1" spans="3:13">
      <c r="C6857" s="94"/>
      <c r="E6857" s="94"/>
      <c r="G6857" s="94"/>
      <c r="I6857" s="94"/>
      <c r="K6857" s="94"/>
      <c r="M6857" s="94"/>
    </row>
    <row r="6858" s="93" customFormat="1" spans="3:13">
      <c r="C6858" s="94"/>
      <c r="E6858" s="94"/>
      <c r="G6858" s="94"/>
      <c r="I6858" s="94"/>
      <c r="K6858" s="94"/>
      <c r="M6858" s="94"/>
    </row>
    <row r="6859" s="93" customFormat="1" spans="3:13">
      <c r="C6859" s="94"/>
      <c r="E6859" s="94"/>
      <c r="G6859" s="94"/>
      <c r="I6859" s="94"/>
      <c r="K6859" s="94"/>
      <c r="M6859" s="94"/>
    </row>
    <row r="6860" s="93" customFormat="1" spans="3:13">
      <c r="C6860" s="94"/>
      <c r="E6860" s="94"/>
      <c r="G6860" s="94"/>
      <c r="I6860" s="94"/>
      <c r="K6860" s="94"/>
      <c r="M6860" s="94"/>
    </row>
    <row r="6861" s="93" customFormat="1" spans="3:13">
      <c r="C6861" s="94"/>
      <c r="E6861" s="94"/>
      <c r="G6861" s="94"/>
      <c r="I6861" s="94"/>
      <c r="K6861" s="94"/>
      <c r="M6861" s="94"/>
    </row>
    <row r="6862" s="93" customFormat="1" spans="3:13">
      <c r="C6862" s="94"/>
      <c r="E6862" s="94"/>
      <c r="G6862" s="94"/>
      <c r="I6862" s="94"/>
      <c r="K6862" s="94"/>
      <c r="M6862" s="94"/>
    </row>
    <row r="6863" s="93" customFormat="1" spans="3:13">
      <c r="C6863" s="94"/>
      <c r="E6863" s="94"/>
      <c r="G6863" s="94"/>
      <c r="I6863" s="94"/>
      <c r="K6863" s="94"/>
      <c r="M6863" s="94"/>
    </row>
    <row r="6864" s="93" customFormat="1" spans="3:13">
      <c r="C6864" s="94"/>
      <c r="E6864" s="94"/>
      <c r="G6864" s="94"/>
      <c r="I6864" s="94"/>
      <c r="K6864" s="94"/>
      <c r="M6864" s="94"/>
    </row>
    <row r="6865" s="93" customFormat="1" spans="3:13">
      <c r="C6865" s="94"/>
      <c r="E6865" s="94"/>
      <c r="G6865" s="94"/>
      <c r="I6865" s="94"/>
      <c r="K6865" s="94"/>
      <c r="M6865" s="94"/>
    </row>
    <row r="6866" s="93" customFormat="1" spans="3:13">
      <c r="C6866" s="94"/>
      <c r="E6866" s="94"/>
      <c r="G6866" s="94"/>
      <c r="I6866" s="94"/>
      <c r="K6866" s="94"/>
      <c r="M6866" s="94"/>
    </row>
    <row r="6867" s="93" customFormat="1" spans="3:13">
      <c r="C6867" s="94"/>
      <c r="E6867" s="94"/>
      <c r="G6867" s="94"/>
      <c r="I6867" s="94"/>
      <c r="K6867" s="94"/>
      <c r="M6867" s="94"/>
    </row>
    <row r="6868" s="93" customFormat="1" spans="3:13">
      <c r="C6868" s="94"/>
      <c r="E6868" s="94"/>
      <c r="G6868" s="94"/>
      <c r="I6868" s="94"/>
      <c r="K6868" s="94"/>
      <c r="M6868" s="94"/>
    </row>
    <row r="6869" s="93" customFormat="1" spans="3:13">
      <c r="C6869" s="94"/>
      <c r="E6869" s="94"/>
      <c r="G6869" s="94"/>
      <c r="I6869" s="94"/>
      <c r="K6869" s="94"/>
      <c r="M6869" s="94"/>
    </row>
    <row r="6870" s="93" customFormat="1" spans="3:13">
      <c r="C6870" s="94"/>
      <c r="E6870" s="94"/>
      <c r="G6870" s="94"/>
      <c r="I6870" s="94"/>
      <c r="K6870" s="94"/>
      <c r="M6870" s="94"/>
    </row>
    <row r="6871" s="93" customFormat="1" spans="3:13">
      <c r="C6871" s="94"/>
      <c r="E6871" s="94"/>
      <c r="G6871" s="94"/>
      <c r="I6871" s="94"/>
      <c r="K6871" s="94"/>
      <c r="M6871" s="94"/>
    </row>
    <row r="6872" s="93" customFormat="1" spans="3:13">
      <c r="C6872" s="94"/>
      <c r="E6872" s="94"/>
      <c r="G6872" s="94"/>
      <c r="I6872" s="94"/>
      <c r="K6872" s="94"/>
      <c r="M6872" s="94"/>
    </row>
    <row r="6873" s="93" customFormat="1" spans="3:13">
      <c r="C6873" s="94"/>
      <c r="E6873" s="94"/>
      <c r="G6873" s="94"/>
      <c r="I6873" s="94"/>
      <c r="K6873" s="94"/>
      <c r="M6873" s="94"/>
    </row>
    <row r="6874" s="93" customFormat="1" spans="3:13">
      <c r="C6874" s="94"/>
      <c r="E6874" s="94"/>
      <c r="G6874" s="94"/>
      <c r="I6874" s="94"/>
      <c r="K6874" s="94"/>
      <c r="M6874" s="94"/>
    </row>
    <row r="6875" s="93" customFormat="1" spans="3:13">
      <c r="C6875" s="94"/>
      <c r="E6875" s="94"/>
      <c r="G6875" s="94"/>
      <c r="I6875" s="94"/>
      <c r="K6875" s="94"/>
      <c r="M6875" s="94"/>
    </row>
    <row r="6876" s="93" customFormat="1" spans="3:13">
      <c r="C6876" s="94"/>
      <c r="E6876" s="94"/>
      <c r="G6876" s="94"/>
      <c r="I6876" s="94"/>
      <c r="K6876" s="94"/>
      <c r="M6876" s="94"/>
    </row>
    <row r="6877" s="93" customFormat="1" spans="3:13">
      <c r="C6877" s="94"/>
      <c r="E6877" s="94"/>
      <c r="G6877" s="94"/>
      <c r="I6877" s="94"/>
      <c r="K6877" s="94"/>
      <c r="M6877" s="94"/>
    </row>
    <row r="6878" s="93" customFormat="1" spans="3:13">
      <c r="C6878" s="94"/>
      <c r="E6878" s="94"/>
      <c r="G6878" s="94"/>
      <c r="I6878" s="94"/>
      <c r="K6878" s="94"/>
      <c r="M6878" s="94"/>
    </row>
    <row r="6879" s="93" customFormat="1" spans="3:13">
      <c r="C6879" s="94"/>
      <c r="E6879" s="94"/>
      <c r="G6879" s="94"/>
      <c r="I6879" s="94"/>
      <c r="K6879" s="94"/>
      <c r="M6879" s="94"/>
    </row>
    <row r="6880" s="93" customFormat="1" spans="3:13">
      <c r="C6880" s="94"/>
      <c r="E6880" s="94"/>
      <c r="G6880" s="94"/>
      <c r="I6880" s="94"/>
      <c r="K6880" s="94"/>
      <c r="M6880" s="94"/>
    </row>
    <row r="6881" s="93" customFormat="1" spans="3:13">
      <c r="C6881" s="94"/>
      <c r="E6881" s="94"/>
      <c r="G6881" s="94"/>
      <c r="I6881" s="94"/>
      <c r="K6881" s="94"/>
      <c r="M6881" s="94"/>
    </row>
    <row r="6882" s="93" customFormat="1" spans="3:13">
      <c r="C6882" s="94"/>
      <c r="E6882" s="94"/>
      <c r="G6882" s="94"/>
      <c r="I6882" s="94"/>
      <c r="K6882" s="94"/>
      <c r="M6882" s="94"/>
    </row>
    <row r="6883" s="93" customFormat="1" spans="3:13">
      <c r="C6883" s="94"/>
      <c r="E6883" s="94"/>
      <c r="G6883" s="94"/>
      <c r="I6883" s="94"/>
      <c r="K6883" s="94"/>
      <c r="M6883" s="94"/>
    </row>
    <row r="6884" s="93" customFormat="1" spans="3:13">
      <c r="C6884" s="94"/>
      <c r="E6884" s="94"/>
      <c r="G6884" s="94"/>
      <c r="I6884" s="94"/>
      <c r="K6884" s="94"/>
      <c r="M6884" s="94"/>
    </row>
    <row r="6885" s="93" customFormat="1" spans="3:13">
      <c r="C6885" s="94"/>
      <c r="E6885" s="94"/>
      <c r="G6885" s="94"/>
      <c r="I6885" s="94"/>
      <c r="K6885" s="94"/>
      <c r="M6885" s="94"/>
    </row>
    <row r="6886" s="93" customFormat="1" spans="3:13">
      <c r="C6886" s="94"/>
      <c r="E6886" s="94"/>
      <c r="G6886" s="94"/>
      <c r="I6886" s="94"/>
      <c r="K6886" s="94"/>
      <c r="M6886" s="94"/>
    </row>
    <row r="6887" s="93" customFormat="1" spans="3:13">
      <c r="C6887" s="94"/>
      <c r="E6887" s="94"/>
      <c r="G6887" s="94"/>
      <c r="I6887" s="94"/>
      <c r="K6887" s="94"/>
      <c r="M6887" s="94"/>
    </row>
    <row r="6888" s="93" customFormat="1" spans="3:13">
      <c r="C6888" s="94"/>
      <c r="E6888" s="94"/>
      <c r="G6888" s="94"/>
      <c r="I6888" s="94"/>
      <c r="K6888" s="94"/>
      <c r="M6888" s="94"/>
    </row>
    <row r="6889" s="93" customFormat="1" spans="3:13">
      <c r="C6889" s="94"/>
      <c r="E6889" s="94"/>
      <c r="G6889" s="94"/>
      <c r="I6889" s="94"/>
      <c r="K6889" s="94"/>
      <c r="M6889" s="94"/>
    </row>
    <row r="6890" s="93" customFormat="1" spans="3:13">
      <c r="C6890" s="94"/>
      <c r="E6890" s="94"/>
      <c r="G6890" s="94"/>
      <c r="I6890" s="94"/>
      <c r="K6890" s="94"/>
      <c r="M6890" s="94"/>
    </row>
    <row r="6891" s="93" customFormat="1" spans="3:13">
      <c r="C6891" s="94"/>
      <c r="E6891" s="94"/>
      <c r="G6891" s="94"/>
      <c r="I6891" s="94"/>
      <c r="K6891" s="94"/>
      <c r="M6891" s="94"/>
    </row>
    <row r="6892" s="93" customFormat="1" spans="3:13">
      <c r="C6892" s="94"/>
      <c r="E6892" s="94"/>
      <c r="G6892" s="94"/>
      <c r="I6892" s="94"/>
      <c r="K6892" s="94"/>
      <c r="M6892" s="94"/>
    </row>
    <row r="6893" s="93" customFormat="1" spans="3:13">
      <c r="C6893" s="94"/>
      <c r="E6893" s="94"/>
      <c r="G6893" s="94"/>
      <c r="I6893" s="94"/>
      <c r="K6893" s="94"/>
      <c r="M6893" s="94"/>
    </row>
    <row r="6894" s="93" customFormat="1" spans="3:13">
      <c r="C6894" s="94"/>
      <c r="E6894" s="94"/>
      <c r="G6894" s="94"/>
      <c r="I6894" s="94"/>
      <c r="K6894" s="94"/>
      <c r="M6894" s="94"/>
    </row>
    <row r="6895" s="93" customFormat="1" spans="3:13">
      <c r="C6895" s="94"/>
      <c r="E6895" s="94"/>
      <c r="G6895" s="94"/>
      <c r="I6895" s="94"/>
      <c r="K6895" s="94"/>
      <c r="M6895" s="94"/>
    </row>
    <row r="6896" s="93" customFormat="1" spans="3:13">
      <c r="C6896" s="94"/>
      <c r="E6896" s="94"/>
      <c r="G6896" s="94"/>
      <c r="I6896" s="94"/>
      <c r="K6896" s="94"/>
      <c r="M6896" s="94"/>
    </row>
    <row r="6897" s="93" customFormat="1" spans="3:13">
      <c r="C6897" s="94"/>
      <c r="E6897" s="94"/>
      <c r="G6897" s="94"/>
      <c r="I6897" s="94"/>
      <c r="K6897" s="94"/>
      <c r="M6897" s="94"/>
    </row>
    <row r="6898" s="93" customFormat="1" spans="3:13">
      <c r="C6898" s="94"/>
      <c r="E6898" s="94"/>
      <c r="G6898" s="94"/>
      <c r="I6898" s="94"/>
      <c r="K6898" s="94"/>
      <c r="M6898" s="94"/>
    </row>
    <row r="6899" s="93" customFormat="1" spans="3:13">
      <c r="C6899" s="94"/>
      <c r="E6899" s="94"/>
      <c r="G6899" s="94"/>
      <c r="I6899" s="94"/>
      <c r="K6899" s="94"/>
      <c r="M6899" s="94"/>
    </row>
    <row r="6900" s="93" customFormat="1" spans="3:13">
      <c r="C6900" s="94"/>
      <c r="E6900" s="94"/>
      <c r="G6900" s="94"/>
      <c r="I6900" s="94"/>
      <c r="K6900" s="94"/>
      <c r="M6900" s="94"/>
    </row>
    <row r="6901" s="93" customFormat="1" spans="3:13">
      <c r="C6901" s="94"/>
      <c r="E6901" s="94"/>
      <c r="G6901" s="94"/>
      <c r="I6901" s="94"/>
      <c r="K6901" s="94"/>
      <c r="M6901" s="94"/>
    </row>
    <row r="6902" s="93" customFormat="1" spans="3:13">
      <c r="C6902" s="94"/>
      <c r="E6902" s="94"/>
      <c r="G6902" s="94"/>
      <c r="I6902" s="94"/>
      <c r="K6902" s="94"/>
      <c r="M6902" s="94"/>
    </row>
    <row r="6903" s="93" customFormat="1" spans="3:13">
      <c r="C6903" s="94"/>
      <c r="E6903" s="94"/>
      <c r="G6903" s="94"/>
      <c r="I6903" s="94"/>
      <c r="K6903" s="94"/>
      <c r="M6903" s="94"/>
    </row>
    <row r="6904" s="93" customFormat="1" spans="3:13">
      <c r="C6904" s="94"/>
      <c r="E6904" s="94"/>
      <c r="G6904" s="94"/>
      <c r="I6904" s="94"/>
      <c r="K6904" s="94"/>
      <c r="M6904" s="94"/>
    </row>
    <row r="6905" s="93" customFormat="1" spans="3:13">
      <c r="C6905" s="94"/>
      <c r="E6905" s="94"/>
      <c r="G6905" s="94"/>
      <c r="I6905" s="94"/>
      <c r="K6905" s="94"/>
      <c r="M6905" s="94"/>
    </row>
    <row r="6906" s="93" customFormat="1" spans="3:13">
      <c r="C6906" s="94"/>
      <c r="E6906" s="94"/>
      <c r="G6906" s="94"/>
      <c r="I6906" s="94"/>
      <c r="K6906" s="94"/>
      <c r="M6906" s="94"/>
    </row>
    <row r="6907" s="93" customFormat="1" spans="3:13">
      <c r="C6907" s="94"/>
      <c r="E6907" s="94"/>
      <c r="G6907" s="94"/>
      <c r="I6907" s="94"/>
      <c r="K6907" s="94"/>
      <c r="M6907" s="94"/>
    </row>
    <row r="6908" s="93" customFormat="1" spans="3:13">
      <c r="C6908" s="94"/>
      <c r="E6908" s="94"/>
      <c r="G6908" s="94"/>
      <c r="I6908" s="94"/>
      <c r="K6908" s="94"/>
      <c r="M6908" s="94"/>
    </row>
    <row r="6909" s="93" customFormat="1" spans="3:13">
      <c r="C6909" s="94"/>
      <c r="E6909" s="94"/>
      <c r="G6909" s="94"/>
      <c r="I6909" s="94"/>
      <c r="K6909" s="94"/>
      <c r="M6909" s="94"/>
    </row>
    <row r="6910" s="93" customFormat="1" spans="3:13">
      <c r="C6910" s="94"/>
      <c r="E6910" s="94"/>
      <c r="G6910" s="94"/>
      <c r="I6910" s="94"/>
      <c r="K6910" s="94"/>
      <c r="M6910" s="94"/>
    </row>
    <row r="6911" s="93" customFormat="1" spans="3:13">
      <c r="C6911" s="94"/>
      <c r="E6911" s="94"/>
      <c r="G6911" s="94"/>
      <c r="I6911" s="94"/>
      <c r="K6911" s="94"/>
      <c r="M6911" s="94"/>
    </row>
    <row r="6912" s="93" customFormat="1" spans="3:13">
      <c r="C6912" s="94"/>
      <c r="E6912" s="94"/>
      <c r="G6912" s="94"/>
      <c r="I6912" s="94"/>
      <c r="K6912" s="94"/>
      <c r="M6912" s="94"/>
    </row>
    <row r="6913" s="93" customFormat="1" spans="3:13">
      <c r="C6913" s="94"/>
      <c r="E6913" s="94"/>
      <c r="G6913" s="94"/>
      <c r="I6913" s="94"/>
      <c r="K6913" s="94"/>
      <c r="M6913" s="94"/>
    </row>
    <row r="6914" s="93" customFormat="1" spans="3:13">
      <c r="C6914" s="94"/>
      <c r="E6914" s="94"/>
      <c r="G6914" s="94"/>
      <c r="I6914" s="94"/>
      <c r="K6914" s="94"/>
      <c r="M6914" s="94"/>
    </row>
    <row r="6915" s="93" customFormat="1" spans="3:13">
      <c r="C6915" s="94"/>
      <c r="E6915" s="94"/>
      <c r="G6915" s="94"/>
      <c r="I6915" s="94"/>
      <c r="K6915" s="94"/>
      <c r="M6915" s="94"/>
    </row>
    <row r="6916" s="93" customFormat="1" spans="3:13">
      <c r="C6916" s="94"/>
      <c r="E6916" s="94"/>
      <c r="G6916" s="94"/>
      <c r="I6916" s="94"/>
      <c r="K6916" s="94"/>
      <c r="M6916" s="94"/>
    </row>
    <row r="6917" s="93" customFormat="1" spans="3:13">
      <c r="C6917" s="94"/>
      <c r="E6917" s="94"/>
      <c r="G6917" s="94"/>
      <c r="I6917" s="94"/>
      <c r="K6917" s="94"/>
      <c r="M6917" s="94"/>
    </row>
    <row r="6918" s="93" customFormat="1" spans="3:13">
      <c r="C6918" s="94"/>
      <c r="E6918" s="94"/>
      <c r="G6918" s="94"/>
      <c r="I6918" s="94"/>
      <c r="K6918" s="94"/>
      <c r="M6918" s="94"/>
    </row>
    <row r="6919" s="93" customFormat="1" spans="3:13">
      <c r="C6919" s="94"/>
      <c r="E6919" s="94"/>
      <c r="G6919" s="94"/>
      <c r="I6919" s="94"/>
      <c r="K6919" s="94"/>
      <c r="M6919" s="94"/>
    </row>
    <row r="6920" s="93" customFormat="1" spans="3:13">
      <c r="C6920" s="94"/>
      <c r="E6920" s="94"/>
      <c r="G6920" s="94"/>
      <c r="I6920" s="94"/>
      <c r="K6920" s="94"/>
      <c r="M6920" s="94"/>
    </row>
    <row r="6921" s="93" customFormat="1" spans="3:13">
      <c r="C6921" s="94"/>
      <c r="E6921" s="94"/>
      <c r="G6921" s="94"/>
      <c r="I6921" s="94"/>
      <c r="K6921" s="94"/>
      <c r="M6921" s="94"/>
    </row>
    <row r="6922" s="93" customFormat="1" spans="3:13">
      <c r="C6922" s="94"/>
      <c r="E6922" s="94"/>
      <c r="G6922" s="94"/>
      <c r="I6922" s="94"/>
      <c r="K6922" s="94"/>
      <c r="M6922" s="94"/>
    </row>
    <row r="6923" s="93" customFormat="1" spans="3:13">
      <c r="C6923" s="94"/>
      <c r="E6923" s="94"/>
      <c r="G6923" s="94"/>
      <c r="I6923" s="94"/>
      <c r="K6923" s="94"/>
      <c r="M6923" s="94"/>
    </row>
    <row r="6924" s="93" customFormat="1" spans="3:13">
      <c r="C6924" s="94"/>
      <c r="E6924" s="94"/>
      <c r="G6924" s="94"/>
      <c r="I6924" s="94"/>
      <c r="K6924" s="94"/>
      <c r="M6924" s="94"/>
    </row>
    <row r="6925" s="93" customFormat="1" spans="3:13">
      <c r="C6925" s="94"/>
      <c r="E6925" s="94"/>
      <c r="G6925" s="94"/>
      <c r="I6925" s="94"/>
      <c r="K6925" s="94"/>
      <c r="M6925" s="94"/>
    </row>
    <row r="6926" s="93" customFormat="1" spans="3:13">
      <c r="C6926" s="94"/>
      <c r="E6926" s="94"/>
      <c r="G6926" s="94"/>
      <c r="I6926" s="94"/>
      <c r="K6926" s="94"/>
      <c r="M6926" s="94"/>
    </row>
    <row r="6927" s="93" customFormat="1" spans="3:13">
      <c r="C6927" s="94"/>
      <c r="E6927" s="94"/>
      <c r="G6927" s="94"/>
      <c r="I6927" s="94"/>
      <c r="K6927" s="94"/>
      <c r="M6927" s="94"/>
    </row>
    <row r="6928" s="93" customFormat="1" spans="3:13">
      <c r="C6928" s="94"/>
      <c r="E6928" s="94"/>
      <c r="G6928" s="94"/>
      <c r="I6928" s="94"/>
      <c r="K6928" s="94"/>
      <c r="M6928" s="94"/>
    </row>
    <row r="6929" s="93" customFormat="1" spans="3:13">
      <c r="C6929" s="94"/>
      <c r="E6929" s="94"/>
      <c r="G6929" s="94"/>
      <c r="I6929" s="94"/>
      <c r="K6929" s="94"/>
      <c r="M6929" s="94"/>
    </row>
    <row r="6930" s="93" customFormat="1" spans="3:13">
      <c r="C6930" s="94"/>
      <c r="E6930" s="94"/>
      <c r="G6930" s="94"/>
      <c r="I6930" s="94"/>
      <c r="K6930" s="94"/>
      <c r="M6930" s="94"/>
    </row>
    <row r="6931" s="93" customFormat="1" spans="3:13">
      <c r="C6931" s="94"/>
      <c r="E6931" s="94"/>
      <c r="G6931" s="94"/>
      <c r="I6931" s="94"/>
      <c r="K6931" s="94"/>
      <c r="M6931" s="94"/>
    </row>
    <row r="6932" s="93" customFormat="1" spans="3:13">
      <c r="C6932" s="94"/>
      <c r="E6932" s="94"/>
      <c r="G6932" s="94"/>
      <c r="I6932" s="94"/>
      <c r="K6932" s="94"/>
      <c r="M6932" s="94"/>
    </row>
    <row r="6933" s="93" customFormat="1" spans="3:13">
      <c r="C6933" s="94"/>
      <c r="E6933" s="94"/>
      <c r="G6933" s="94"/>
      <c r="I6933" s="94"/>
      <c r="K6933" s="94"/>
      <c r="M6933" s="94"/>
    </row>
    <row r="6934" s="93" customFormat="1" spans="3:13">
      <c r="C6934" s="94"/>
      <c r="E6934" s="94"/>
      <c r="G6934" s="94"/>
      <c r="I6934" s="94"/>
      <c r="K6934" s="94"/>
      <c r="M6934" s="94"/>
    </row>
    <row r="6935" s="93" customFormat="1" spans="3:13">
      <c r="C6935" s="94"/>
      <c r="E6935" s="94"/>
      <c r="G6935" s="94"/>
      <c r="I6935" s="94"/>
      <c r="K6935" s="94"/>
      <c r="M6935" s="94"/>
    </row>
    <row r="6936" s="93" customFormat="1" spans="3:13">
      <c r="C6936" s="94"/>
      <c r="E6936" s="94"/>
      <c r="G6936" s="94"/>
      <c r="I6936" s="94"/>
      <c r="K6936" s="94"/>
      <c r="M6936" s="94"/>
    </row>
    <row r="6937" s="93" customFormat="1" spans="3:13">
      <c r="C6937" s="94"/>
      <c r="E6937" s="94"/>
      <c r="G6937" s="94"/>
      <c r="I6937" s="94"/>
      <c r="K6937" s="94"/>
      <c r="M6937" s="94"/>
    </row>
    <row r="6938" s="93" customFormat="1" spans="3:13">
      <c r="C6938" s="94"/>
      <c r="E6938" s="94"/>
      <c r="G6938" s="94"/>
      <c r="I6938" s="94"/>
      <c r="K6938" s="94"/>
      <c r="M6938" s="94"/>
    </row>
    <row r="6939" s="93" customFormat="1" spans="3:13">
      <c r="C6939" s="94"/>
      <c r="E6939" s="94"/>
      <c r="G6939" s="94"/>
      <c r="I6939" s="94"/>
      <c r="K6939" s="94"/>
      <c r="M6939" s="94"/>
    </row>
    <row r="6940" s="93" customFormat="1" spans="3:13">
      <c r="C6940" s="94"/>
      <c r="E6940" s="94"/>
      <c r="G6940" s="94"/>
      <c r="I6940" s="94"/>
      <c r="K6940" s="94"/>
      <c r="M6940" s="94"/>
    </row>
    <row r="6941" s="93" customFormat="1" spans="3:13">
      <c r="C6941" s="94"/>
      <c r="E6941" s="94"/>
      <c r="G6941" s="94"/>
      <c r="I6941" s="94"/>
      <c r="K6941" s="94"/>
      <c r="M6941" s="94"/>
    </row>
    <row r="6942" s="93" customFormat="1" spans="3:13">
      <c r="C6942" s="94"/>
      <c r="E6942" s="94"/>
      <c r="G6942" s="94"/>
      <c r="I6942" s="94"/>
      <c r="K6942" s="94"/>
      <c r="M6942" s="94"/>
    </row>
    <row r="6943" s="93" customFormat="1" spans="3:13">
      <c r="C6943" s="94"/>
      <c r="E6943" s="94"/>
      <c r="G6943" s="94"/>
      <c r="I6943" s="94"/>
      <c r="K6943" s="94"/>
      <c r="M6943" s="94"/>
    </row>
    <row r="6944" s="93" customFormat="1" spans="3:13">
      <c r="C6944" s="94"/>
      <c r="E6944" s="94"/>
      <c r="G6944" s="94"/>
      <c r="I6944" s="94"/>
      <c r="K6944" s="94"/>
      <c r="M6944" s="94"/>
    </row>
    <row r="6945" s="93" customFormat="1" spans="3:13">
      <c r="C6945" s="94"/>
      <c r="E6945" s="94"/>
      <c r="G6945" s="94"/>
      <c r="I6945" s="94"/>
      <c r="K6945" s="94"/>
      <c r="M6945" s="94"/>
    </row>
    <row r="6946" s="93" customFormat="1" spans="3:13">
      <c r="C6946" s="94"/>
      <c r="E6946" s="94"/>
      <c r="G6946" s="94"/>
      <c r="I6946" s="94"/>
      <c r="K6946" s="94"/>
      <c r="M6946" s="94"/>
    </row>
    <row r="6947" s="93" customFormat="1" spans="3:13">
      <c r="C6947" s="94"/>
      <c r="E6947" s="94"/>
      <c r="G6947" s="94"/>
      <c r="I6947" s="94"/>
      <c r="K6947" s="94"/>
      <c r="M6947" s="94"/>
    </row>
    <row r="6948" s="93" customFormat="1" spans="3:13">
      <c r="C6948" s="94"/>
      <c r="E6948" s="94"/>
      <c r="G6948" s="94"/>
      <c r="I6948" s="94"/>
      <c r="K6948" s="94"/>
      <c r="M6948" s="94"/>
    </row>
    <row r="6949" s="93" customFormat="1" spans="3:13">
      <c r="C6949" s="94"/>
      <c r="E6949" s="94"/>
      <c r="G6949" s="94"/>
      <c r="I6949" s="94"/>
      <c r="K6949" s="94"/>
      <c r="M6949" s="94"/>
    </row>
    <row r="6950" s="93" customFormat="1" spans="3:13">
      <c r="C6950" s="94"/>
      <c r="E6950" s="94"/>
      <c r="G6950" s="94"/>
      <c r="I6950" s="94"/>
      <c r="K6950" s="94"/>
      <c r="M6950" s="94"/>
    </row>
    <row r="6951" s="93" customFormat="1" spans="3:13">
      <c r="C6951" s="94"/>
      <c r="E6951" s="94"/>
      <c r="G6951" s="94"/>
      <c r="I6951" s="94"/>
      <c r="K6951" s="94"/>
      <c r="M6951" s="94"/>
    </row>
    <row r="6952" s="93" customFormat="1" spans="3:13">
      <c r="C6952" s="94"/>
      <c r="E6952" s="94"/>
      <c r="G6952" s="94"/>
      <c r="I6952" s="94"/>
      <c r="K6952" s="94"/>
      <c r="M6952" s="94"/>
    </row>
    <row r="6953" s="93" customFormat="1" spans="3:13">
      <c r="C6953" s="94"/>
      <c r="E6953" s="94"/>
      <c r="G6953" s="94"/>
      <c r="I6953" s="94"/>
      <c r="K6953" s="94"/>
      <c r="M6953" s="94"/>
    </row>
    <row r="6954" s="93" customFormat="1" spans="3:13">
      <c r="C6954" s="94"/>
      <c r="E6954" s="94"/>
      <c r="G6954" s="94"/>
      <c r="I6954" s="94"/>
      <c r="K6954" s="94"/>
      <c r="M6954" s="94"/>
    </row>
    <row r="6955" s="93" customFormat="1" spans="3:13">
      <c r="C6955" s="94"/>
      <c r="E6955" s="94"/>
      <c r="G6955" s="94"/>
      <c r="I6955" s="94"/>
      <c r="K6955" s="94"/>
      <c r="M6955" s="94"/>
    </row>
    <row r="6956" s="93" customFormat="1" spans="3:13">
      <c r="C6956" s="94"/>
      <c r="E6956" s="94"/>
      <c r="G6956" s="94"/>
      <c r="I6956" s="94"/>
      <c r="K6956" s="94"/>
      <c r="M6956" s="94"/>
    </row>
    <row r="6957" s="93" customFormat="1" spans="3:13">
      <c r="C6957" s="94"/>
      <c r="E6957" s="94"/>
      <c r="G6957" s="94"/>
      <c r="I6957" s="94"/>
      <c r="K6957" s="94"/>
      <c r="M6957" s="94"/>
    </row>
    <row r="6958" s="93" customFormat="1" spans="3:13">
      <c r="C6958" s="94"/>
      <c r="E6958" s="94"/>
      <c r="G6958" s="94"/>
      <c r="I6958" s="94"/>
      <c r="K6958" s="94"/>
      <c r="M6958" s="94"/>
    </row>
    <row r="6959" s="93" customFormat="1" spans="3:13">
      <c r="C6959" s="94"/>
      <c r="E6959" s="94"/>
      <c r="G6959" s="94"/>
      <c r="I6959" s="94"/>
      <c r="K6959" s="94"/>
      <c r="M6959" s="94"/>
    </row>
    <row r="6960" s="93" customFormat="1" spans="3:13">
      <c r="C6960" s="94"/>
      <c r="E6960" s="94"/>
      <c r="G6960" s="94"/>
      <c r="I6960" s="94"/>
      <c r="K6960" s="94"/>
      <c r="M6960" s="94"/>
    </row>
    <row r="6961" s="93" customFormat="1" spans="3:13">
      <c r="C6961" s="94"/>
      <c r="E6961" s="94"/>
      <c r="G6961" s="94"/>
      <c r="I6961" s="94"/>
      <c r="K6961" s="94"/>
      <c r="M6961" s="94"/>
    </row>
    <row r="6962" s="93" customFormat="1" spans="3:13">
      <c r="C6962" s="94"/>
      <c r="E6962" s="94"/>
      <c r="G6962" s="94"/>
      <c r="I6962" s="94"/>
      <c r="K6962" s="94"/>
      <c r="M6962" s="94"/>
    </row>
    <row r="6963" s="93" customFormat="1" spans="3:13">
      <c r="C6963" s="94"/>
      <c r="E6963" s="94"/>
      <c r="G6963" s="94"/>
      <c r="I6963" s="94"/>
      <c r="K6963" s="94"/>
      <c r="M6963" s="94"/>
    </row>
    <row r="6964" s="93" customFormat="1" spans="3:13">
      <c r="C6964" s="94"/>
      <c r="E6964" s="94"/>
      <c r="G6964" s="94"/>
      <c r="I6964" s="94"/>
      <c r="K6964" s="94"/>
      <c r="M6964" s="94"/>
    </row>
    <row r="6965" s="93" customFormat="1" spans="3:13">
      <c r="C6965" s="94"/>
      <c r="E6965" s="94"/>
      <c r="G6965" s="94"/>
      <c r="I6965" s="94"/>
      <c r="K6965" s="94"/>
      <c r="M6965" s="94"/>
    </row>
    <row r="6966" s="93" customFormat="1" spans="3:13">
      <c r="C6966" s="94"/>
      <c r="E6966" s="94"/>
      <c r="G6966" s="94"/>
      <c r="I6966" s="94"/>
      <c r="K6966" s="94"/>
      <c r="M6966" s="94"/>
    </row>
    <row r="6967" s="93" customFormat="1" spans="3:13">
      <c r="C6967" s="94"/>
      <c r="E6967" s="94"/>
      <c r="G6967" s="94"/>
      <c r="I6967" s="94"/>
      <c r="K6967" s="94"/>
      <c r="M6967" s="94"/>
    </row>
    <row r="6968" s="93" customFormat="1" spans="3:13">
      <c r="C6968" s="94"/>
      <c r="E6968" s="94"/>
      <c r="G6968" s="94"/>
      <c r="I6968" s="94"/>
      <c r="K6968" s="94"/>
      <c r="M6968" s="94"/>
    </row>
    <row r="6969" s="93" customFormat="1" spans="3:13">
      <c r="C6969" s="94"/>
      <c r="E6969" s="94"/>
      <c r="G6969" s="94"/>
      <c r="I6969" s="94"/>
      <c r="K6969" s="94"/>
      <c r="M6969" s="94"/>
    </row>
    <row r="6970" s="93" customFormat="1" spans="3:13">
      <c r="C6970" s="94"/>
      <c r="E6970" s="94"/>
      <c r="G6970" s="94"/>
      <c r="I6970" s="94"/>
      <c r="K6970" s="94"/>
      <c r="M6970" s="94"/>
    </row>
    <row r="6971" s="93" customFormat="1" spans="3:13">
      <c r="C6971" s="94"/>
      <c r="E6971" s="94"/>
      <c r="G6971" s="94"/>
      <c r="I6971" s="94"/>
      <c r="K6971" s="94"/>
      <c r="M6971" s="94"/>
    </row>
    <row r="6972" s="93" customFormat="1" spans="3:13">
      <c r="C6972" s="94"/>
      <c r="E6972" s="94"/>
      <c r="G6972" s="94"/>
      <c r="I6972" s="94"/>
      <c r="K6972" s="94"/>
      <c r="M6972" s="94"/>
    </row>
    <row r="6973" s="93" customFormat="1" spans="3:13">
      <c r="C6973" s="94"/>
      <c r="E6973" s="94"/>
      <c r="G6973" s="94"/>
      <c r="I6973" s="94"/>
      <c r="K6973" s="94"/>
      <c r="M6973" s="94"/>
    </row>
    <row r="6974" s="93" customFormat="1" spans="3:13">
      <c r="C6974" s="94"/>
      <c r="E6974" s="94"/>
      <c r="G6974" s="94"/>
      <c r="I6974" s="94"/>
      <c r="K6974" s="94"/>
      <c r="M6974" s="94"/>
    </row>
    <row r="6975" s="93" customFormat="1" spans="3:13">
      <c r="C6975" s="94"/>
      <c r="E6975" s="94"/>
      <c r="G6975" s="94"/>
      <c r="I6975" s="94"/>
      <c r="K6975" s="94"/>
      <c r="M6975" s="94"/>
    </row>
    <row r="6976" s="93" customFormat="1" spans="3:13">
      <c r="C6976" s="94"/>
      <c r="E6976" s="94"/>
      <c r="G6976" s="94"/>
      <c r="I6976" s="94"/>
      <c r="K6976" s="94"/>
      <c r="M6976" s="94"/>
    </row>
    <row r="6977" s="93" customFormat="1" spans="3:13">
      <c r="C6977" s="94"/>
      <c r="E6977" s="94"/>
      <c r="G6977" s="94"/>
      <c r="I6977" s="94"/>
      <c r="K6977" s="94"/>
      <c r="M6977" s="94"/>
    </row>
    <row r="6978" s="93" customFormat="1" spans="3:13">
      <c r="C6978" s="94"/>
      <c r="E6978" s="94"/>
      <c r="G6978" s="94"/>
      <c r="I6978" s="94"/>
      <c r="K6978" s="94"/>
      <c r="M6978" s="94"/>
    </row>
    <row r="6979" s="93" customFormat="1" spans="3:13">
      <c r="C6979" s="94"/>
      <c r="E6979" s="94"/>
      <c r="G6979" s="94"/>
      <c r="I6979" s="94"/>
      <c r="K6979" s="94"/>
      <c r="M6979" s="94"/>
    </row>
    <row r="6980" s="93" customFormat="1" spans="3:13">
      <c r="C6980" s="94"/>
      <c r="E6980" s="94"/>
      <c r="G6980" s="94"/>
      <c r="I6980" s="94"/>
      <c r="K6980" s="94"/>
      <c r="M6980" s="94"/>
    </row>
    <row r="6981" s="93" customFormat="1" spans="3:13">
      <c r="C6981" s="94"/>
      <c r="E6981" s="94"/>
      <c r="G6981" s="94"/>
      <c r="I6981" s="94"/>
      <c r="K6981" s="94"/>
      <c r="M6981" s="94"/>
    </row>
    <row r="6982" s="93" customFormat="1" spans="3:13">
      <c r="C6982" s="94"/>
      <c r="E6982" s="94"/>
      <c r="G6982" s="94"/>
      <c r="I6982" s="94"/>
      <c r="K6982" s="94"/>
      <c r="M6982" s="94"/>
    </row>
    <row r="6983" s="93" customFormat="1" spans="3:13">
      <c r="C6983" s="94"/>
      <c r="E6983" s="94"/>
      <c r="G6983" s="94"/>
      <c r="I6983" s="94"/>
      <c r="K6983" s="94"/>
      <c r="M6983" s="94"/>
    </row>
    <row r="6984" s="93" customFormat="1" spans="3:13">
      <c r="C6984" s="94"/>
      <c r="E6984" s="94"/>
      <c r="G6984" s="94"/>
      <c r="I6984" s="94"/>
      <c r="K6984" s="94"/>
      <c r="M6984" s="94"/>
    </row>
    <row r="6985" s="93" customFormat="1" spans="3:13">
      <c r="C6985" s="94"/>
      <c r="E6985" s="94"/>
      <c r="G6985" s="94"/>
      <c r="I6985" s="94"/>
      <c r="K6985" s="94"/>
      <c r="M6985" s="94"/>
    </row>
    <row r="6986" s="93" customFormat="1" spans="3:13">
      <c r="C6986" s="94"/>
      <c r="E6986" s="94"/>
      <c r="G6986" s="94"/>
      <c r="I6986" s="94"/>
      <c r="K6986" s="94"/>
      <c r="M6986" s="94"/>
    </row>
    <row r="6987" s="93" customFormat="1" spans="3:13">
      <c r="C6987" s="94"/>
      <c r="E6987" s="94"/>
      <c r="G6987" s="94"/>
      <c r="I6987" s="94"/>
      <c r="K6987" s="94"/>
      <c r="M6987" s="94"/>
    </row>
    <row r="6988" s="93" customFormat="1" spans="3:13">
      <c r="C6988" s="94"/>
      <c r="E6988" s="94"/>
      <c r="G6988" s="94"/>
      <c r="I6988" s="94"/>
      <c r="K6988" s="94"/>
      <c r="M6988" s="94"/>
    </row>
    <row r="6989" s="93" customFormat="1" spans="3:13">
      <c r="C6989" s="94"/>
      <c r="E6989" s="94"/>
      <c r="G6989" s="94"/>
      <c r="I6989" s="94"/>
      <c r="K6989" s="94"/>
      <c r="M6989" s="94"/>
    </row>
    <row r="6990" s="93" customFormat="1" spans="3:13">
      <c r="C6990" s="94"/>
      <c r="E6990" s="94"/>
      <c r="G6990" s="94"/>
      <c r="I6990" s="94"/>
      <c r="K6990" s="94"/>
      <c r="M6990" s="94"/>
    </row>
    <row r="6991" s="93" customFormat="1" spans="3:13">
      <c r="C6991" s="94"/>
      <c r="E6991" s="94"/>
      <c r="G6991" s="94"/>
      <c r="I6991" s="94"/>
      <c r="K6991" s="94"/>
      <c r="M6991" s="94"/>
    </row>
    <row r="6992" s="93" customFormat="1" spans="3:13">
      <c r="C6992" s="94"/>
      <c r="E6992" s="94"/>
      <c r="G6992" s="94"/>
      <c r="I6992" s="94"/>
      <c r="K6992" s="94"/>
      <c r="M6992" s="94"/>
    </row>
    <row r="6993" s="93" customFormat="1" spans="3:13">
      <c r="C6993" s="94"/>
      <c r="E6993" s="94"/>
      <c r="G6993" s="94"/>
      <c r="I6993" s="94"/>
      <c r="K6993" s="94"/>
      <c r="M6993" s="94"/>
    </row>
    <row r="6994" s="93" customFormat="1" spans="3:13">
      <c r="C6994" s="94"/>
      <c r="E6994" s="94"/>
      <c r="G6994" s="94"/>
      <c r="I6994" s="94"/>
      <c r="K6994" s="94"/>
      <c r="M6994" s="94"/>
    </row>
    <row r="6995" s="93" customFormat="1" spans="3:13">
      <c r="C6995" s="94"/>
      <c r="E6995" s="94"/>
      <c r="G6995" s="94"/>
      <c r="I6995" s="94"/>
      <c r="K6995" s="94"/>
      <c r="M6995" s="94"/>
    </row>
    <row r="6996" s="93" customFormat="1" spans="3:13">
      <c r="C6996" s="94"/>
      <c r="E6996" s="94"/>
      <c r="G6996" s="94"/>
      <c r="I6996" s="94"/>
      <c r="K6996" s="94"/>
      <c r="M6996" s="94"/>
    </row>
    <row r="6997" s="93" customFormat="1" spans="3:13">
      <c r="C6997" s="94"/>
      <c r="E6997" s="94"/>
      <c r="G6997" s="94"/>
      <c r="I6997" s="94"/>
      <c r="K6997" s="94"/>
      <c r="M6997" s="94"/>
    </row>
    <row r="6998" s="93" customFormat="1" spans="3:13">
      <c r="C6998" s="94"/>
      <c r="E6998" s="94"/>
      <c r="G6998" s="94"/>
      <c r="I6998" s="94"/>
      <c r="K6998" s="94"/>
      <c r="M6998" s="94"/>
    </row>
    <row r="6999" s="93" customFormat="1" spans="3:13">
      <c r="C6999" s="94"/>
      <c r="E6999" s="94"/>
      <c r="G6999" s="94"/>
      <c r="I6999" s="94"/>
      <c r="K6999" s="94"/>
      <c r="M6999" s="94"/>
    </row>
    <row r="7000" s="93" customFormat="1" spans="3:13">
      <c r="C7000" s="94"/>
      <c r="E7000" s="94"/>
      <c r="G7000" s="94"/>
      <c r="I7000" s="94"/>
      <c r="K7000" s="94"/>
      <c r="M7000" s="94"/>
    </row>
    <row r="7001" s="93" customFormat="1" spans="3:13">
      <c r="C7001" s="94"/>
      <c r="E7001" s="94"/>
      <c r="G7001" s="94"/>
      <c r="I7001" s="94"/>
      <c r="K7001" s="94"/>
      <c r="M7001" s="94"/>
    </row>
    <row r="7002" s="93" customFormat="1" spans="3:13">
      <c r="C7002" s="94"/>
      <c r="E7002" s="94"/>
      <c r="G7002" s="94"/>
      <c r="I7002" s="94"/>
      <c r="K7002" s="94"/>
      <c r="M7002" s="94"/>
    </row>
    <row r="7003" s="93" customFormat="1" spans="3:13">
      <c r="C7003" s="94"/>
      <c r="E7003" s="94"/>
      <c r="G7003" s="94"/>
      <c r="I7003" s="94"/>
      <c r="K7003" s="94"/>
      <c r="M7003" s="94"/>
    </row>
    <row r="7004" s="93" customFormat="1" spans="3:13">
      <c r="C7004" s="94"/>
      <c r="E7004" s="94"/>
      <c r="G7004" s="94"/>
      <c r="I7004" s="94"/>
      <c r="K7004" s="94"/>
      <c r="M7004" s="94"/>
    </row>
    <row r="7005" s="93" customFormat="1" spans="3:13">
      <c r="C7005" s="94"/>
      <c r="E7005" s="94"/>
      <c r="G7005" s="94"/>
      <c r="I7005" s="94"/>
      <c r="K7005" s="94"/>
      <c r="M7005" s="94"/>
    </row>
    <row r="7006" s="93" customFormat="1" spans="3:13">
      <c r="C7006" s="94"/>
      <c r="E7006" s="94"/>
      <c r="G7006" s="94"/>
      <c r="I7006" s="94"/>
      <c r="K7006" s="94"/>
      <c r="M7006" s="94"/>
    </row>
    <row r="7007" s="93" customFormat="1" spans="3:13">
      <c r="C7007" s="94"/>
      <c r="E7007" s="94"/>
      <c r="G7007" s="94"/>
      <c r="I7007" s="94"/>
      <c r="K7007" s="94"/>
      <c r="M7007" s="94"/>
    </row>
    <row r="7008" s="93" customFormat="1" spans="3:13">
      <c r="C7008" s="94"/>
      <c r="E7008" s="94"/>
      <c r="G7008" s="94"/>
      <c r="I7008" s="94"/>
      <c r="K7008" s="94"/>
      <c r="M7008" s="94"/>
    </row>
    <row r="7009" s="93" customFormat="1" spans="3:13">
      <c r="C7009" s="94"/>
      <c r="E7009" s="94"/>
      <c r="G7009" s="94"/>
      <c r="I7009" s="94"/>
      <c r="K7009" s="94"/>
      <c r="M7009" s="94"/>
    </row>
    <row r="7010" s="93" customFormat="1" spans="3:13">
      <c r="C7010" s="94"/>
      <c r="E7010" s="94"/>
      <c r="G7010" s="94"/>
      <c r="I7010" s="94"/>
      <c r="K7010" s="94"/>
      <c r="M7010" s="94"/>
    </row>
    <row r="7011" s="93" customFormat="1" spans="3:13">
      <c r="C7011" s="94"/>
      <c r="E7011" s="94"/>
      <c r="G7011" s="94"/>
      <c r="I7011" s="94"/>
      <c r="K7011" s="94"/>
      <c r="M7011" s="94"/>
    </row>
    <row r="7012" s="93" customFormat="1" spans="3:13">
      <c r="C7012" s="94"/>
      <c r="E7012" s="94"/>
      <c r="G7012" s="94"/>
      <c r="I7012" s="94"/>
      <c r="K7012" s="94"/>
      <c r="M7012" s="94"/>
    </row>
    <row r="7013" s="93" customFormat="1" spans="3:13">
      <c r="C7013" s="94"/>
      <c r="E7013" s="94"/>
      <c r="G7013" s="94"/>
      <c r="I7013" s="94"/>
      <c r="K7013" s="94"/>
      <c r="M7013" s="94"/>
    </row>
    <row r="7014" s="93" customFormat="1" spans="3:13">
      <c r="C7014" s="94"/>
      <c r="E7014" s="94"/>
      <c r="G7014" s="94"/>
      <c r="I7014" s="94"/>
      <c r="K7014" s="94"/>
      <c r="M7014" s="94"/>
    </row>
    <row r="7015" s="93" customFormat="1" spans="3:13">
      <c r="C7015" s="94"/>
      <c r="E7015" s="94"/>
      <c r="G7015" s="94"/>
      <c r="I7015" s="94"/>
      <c r="K7015" s="94"/>
      <c r="M7015" s="94"/>
    </row>
    <row r="7016" s="93" customFormat="1" spans="3:13">
      <c r="C7016" s="94"/>
      <c r="E7016" s="94"/>
      <c r="G7016" s="94"/>
      <c r="I7016" s="94"/>
      <c r="K7016" s="94"/>
      <c r="M7016" s="94"/>
    </row>
    <row r="7017" s="93" customFormat="1" spans="3:13">
      <c r="C7017" s="94"/>
      <c r="E7017" s="94"/>
      <c r="G7017" s="94"/>
      <c r="I7017" s="94"/>
      <c r="K7017" s="94"/>
      <c r="M7017" s="94"/>
    </row>
    <row r="7018" s="93" customFormat="1" spans="3:13">
      <c r="C7018" s="94"/>
      <c r="E7018" s="94"/>
      <c r="G7018" s="94"/>
      <c r="I7018" s="94"/>
      <c r="K7018" s="94"/>
      <c r="M7018" s="94"/>
    </row>
    <row r="7019" s="93" customFormat="1" spans="3:13">
      <c r="C7019" s="94"/>
      <c r="E7019" s="94"/>
      <c r="G7019" s="94"/>
      <c r="I7019" s="94"/>
      <c r="K7019" s="94"/>
      <c r="M7019" s="94"/>
    </row>
    <row r="7020" s="93" customFormat="1" spans="3:13">
      <c r="C7020" s="94"/>
      <c r="E7020" s="94"/>
      <c r="G7020" s="94"/>
      <c r="I7020" s="94"/>
      <c r="K7020" s="94"/>
      <c r="M7020" s="94"/>
    </row>
    <row r="7021" s="93" customFormat="1" spans="3:13">
      <c r="C7021" s="94"/>
      <c r="E7021" s="94"/>
      <c r="G7021" s="94"/>
      <c r="I7021" s="94"/>
      <c r="K7021" s="94"/>
      <c r="M7021" s="94"/>
    </row>
    <row r="7022" s="93" customFormat="1" spans="3:13">
      <c r="C7022" s="94"/>
      <c r="E7022" s="94"/>
      <c r="G7022" s="94"/>
      <c r="I7022" s="94"/>
      <c r="K7022" s="94"/>
      <c r="M7022" s="94"/>
    </row>
    <row r="7023" s="93" customFormat="1" spans="3:13">
      <c r="C7023" s="94"/>
      <c r="E7023" s="94"/>
      <c r="G7023" s="94"/>
      <c r="I7023" s="94"/>
      <c r="K7023" s="94"/>
      <c r="M7023" s="94"/>
    </row>
    <row r="7024" s="93" customFormat="1" spans="3:13">
      <c r="C7024" s="94"/>
      <c r="E7024" s="94"/>
      <c r="G7024" s="94"/>
      <c r="I7024" s="94"/>
      <c r="K7024" s="94"/>
      <c r="M7024" s="94"/>
    </row>
    <row r="7025" s="93" customFormat="1" spans="3:13">
      <c r="C7025" s="94"/>
      <c r="E7025" s="94"/>
      <c r="G7025" s="94"/>
      <c r="I7025" s="94"/>
      <c r="K7025" s="94"/>
      <c r="M7025" s="94"/>
    </row>
    <row r="7026" s="93" customFormat="1" spans="3:13">
      <c r="C7026" s="94"/>
      <c r="E7026" s="94"/>
      <c r="G7026" s="94"/>
      <c r="I7026" s="94"/>
      <c r="K7026" s="94"/>
      <c r="M7026" s="94"/>
    </row>
    <row r="7027" s="93" customFormat="1" spans="3:13">
      <c r="C7027" s="94"/>
      <c r="E7027" s="94"/>
      <c r="G7027" s="94"/>
      <c r="I7027" s="94"/>
      <c r="K7027" s="94"/>
      <c r="M7027" s="94"/>
    </row>
    <row r="7028" s="93" customFormat="1" spans="3:13">
      <c r="C7028" s="94"/>
      <c r="E7028" s="94"/>
      <c r="G7028" s="94"/>
      <c r="I7028" s="94"/>
      <c r="K7028" s="94"/>
      <c r="M7028" s="94"/>
    </row>
    <row r="7029" s="93" customFormat="1" spans="3:13">
      <c r="C7029" s="94"/>
      <c r="E7029" s="94"/>
      <c r="G7029" s="94"/>
      <c r="I7029" s="94"/>
      <c r="K7029" s="94"/>
      <c r="M7029" s="94"/>
    </row>
    <row r="7030" s="93" customFormat="1" spans="3:13">
      <c r="C7030" s="94"/>
      <c r="E7030" s="94"/>
      <c r="G7030" s="94"/>
      <c r="I7030" s="94"/>
      <c r="K7030" s="94"/>
      <c r="M7030" s="94"/>
    </row>
    <row r="7031" s="93" customFormat="1" spans="3:13">
      <c r="C7031" s="94"/>
      <c r="E7031" s="94"/>
      <c r="G7031" s="94"/>
      <c r="I7031" s="94"/>
      <c r="K7031" s="94"/>
      <c r="M7031" s="94"/>
    </row>
    <row r="7032" s="93" customFormat="1" spans="3:13">
      <c r="C7032" s="94"/>
      <c r="E7032" s="94"/>
      <c r="G7032" s="94"/>
      <c r="I7032" s="94"/>
      <c r="K7032" s="94"/>
      <c r="M7032" s="94"/>
    </row>
    <row r="7033" s="93" customFormat="1" spans="3:13">
      <c r="C7033" s="94"/>
      <c r="E7033" s="94"/>
      <c r="G7033" s="94"/>
      <c r="I7033" s="94"/>
      <c r="K7033" s="94"/>
      <c r="M7033" s="94"/>
    </row>
    <row r="7034" s="93" customFormat="1" spans="3:13">
      <c r="C7034" s="94"/>
      <c r="E7034" s="94"/>
      <c r="G7034" s="94"/>
      <c r="I7034" s="94"/>
      <c r="K7034" s="94"/>
      <c r="M7034" s="94"/>
    </row>
    <row r="7035" s="93" customFormat="1" spans="3:13">
      <c r="C7035" s="94"/>
      <c r="E7035" s="94"/>
      <c r="G7035" s="94"/>
      <c r="I7035" s="94"/>
      <c r="K7035" s="94"/>
      <c r="M7035" s="94"/>
    </row>
    <row r="7036" s="93" customFormat="1" spans="3:13">
      <c r="C7036" s="94"/>
      <c r="E7036" s="94"/>
      <c r="G7036" s="94"/>
      <c r="I7036" s="94"/>
      <c r="K7036" s="94"/>
      <c r="M7036" s="94"/>
    </row>
    <row r="7037" s="93" customFormat="1" spans="3:13">
      <c r="C7037" s="94"/>
      <c r="E7037" s="94"/>
      <c r="G7037" s="94"/>
      <c r="I7037" s="94"/>
      <c r="K7037" s="94"/>
      <c r="M7037" s="94"/>
    </row>
    <row r="7038" s="93" customFormat="1" spans="3:13">
      <c r="C7038" s="94"/>
      <c r="E7038" s="94"/>
      <c r="G7038" s="94"/>
      <c r="I7038" s="94"/>
      <c r="K7038" s="94"/>
      <c r="M7038" s="94"/>
    </row>
    <row r="7039" s="93" customFormat="1" spans="3:13">
      <c r="C7039" s="94"/>
      <c r="E7039" s="94"/>
      <c r="G7039" s="94"/>
      <c r="I7039" s="94"/>
      <c r="K7039" s="94"/>
      <c r="M7039" s="94"/>
    </row>
    <row r="7040" s="93" customFormat="1" spans="3:13">
      <c r="C7040" s="94"/>
      <c r="E7040" s="94"/>
      <c r="G7040" s="94"/>
      <c r="I7040" s="94"/>
      <c r="K7040" s="94"/>
      <c r="M7040" s="94"/>
    </row>
    <row r="7041" s="93" customFormat="1" spans="3:13">
      <c r="C7041" s="94"/>
      <c r="E7041" s="94"/>
      <c r="G7041" s="94"/>
      <c r="I7041" s="94"/>
      <c r="K7041" s="94"/>
      <c r="M7041" s="94"/>
    </row>
    <row r="7042" s="93" customFormat="1" spans="3:13">
      <c r="C7042" s="94"/>
      <c r="E7042" s="94"/>
      <c r="G7042" s="94"/>
      <c r="I7042" s="94"/>
      <c r="K7042" s="94"/>
      <c r="M7042" s="94"/>
    </row>
    <row r="7043" s="93" customFormat="1" spans="3:13">
      <c r="C7043" s="94"/>
      <c r="E7043" s="94"/>
      <c r="G7043" s="94"/>
      <c r="I7043" s="94"/>
      <c r="K7043" s="94"/>
      <c r="M7043" s="94"/>
    </row>
    <row r="7044" s="93" customFormat="1" spans="3:13">
      <c r="C7044" s="94"/>
      <c r="E7044" s="94"/>
      <c r="G7044" s="94"/>
      <c r="I7044" s="94"/>
      <c r="K7044" s="94"/>
      <c r="M7044" s="94"/>
    </row>
    <row r="7045" s="93" customFormat="1" spans="3:13">
      <c r="C7045" s="94"/>
      <c r="E7045" s="94"/>
      <c r="G7045" s="94"/>
      <c r="I7045" s="94"/>
      <c r="K7045" s="94"/>
      <c r="M7045" s="94"/>
    </row>
    <row r="7046" s="93" customFormat="1" spans="3:13">
      <c r="C7046" s="94"/>
      <c r="E7046" s="94"/>
      <c r="G7046" s="94"/>
      <c r="I7046" s="94"/>
      <c r="K7046" s="94"/>
      <c r="M7046" s="94"/>
    </row>
    <row r="7047" s="93" customFormat="1" spans="3:13">
      <c r="C7047" s="94"/>
      <c r="E7047" s="94"/>
      <c r="G7047" s="94"/>
      <c r="I7047" s="94"/>
      <c r="K7047" s="94"/>
      <c r="M7047" s="94"/>
    </row>
    <row r="7048" s="93" customFormat="1" spans="3:13">
      <c r="C7048" s="94"/>
      <c r="E7048" s="94"/>
      <c r="G7048" s="94"/>
      <c r="I7048" s="94"/>
      <c r="K7048" s="94"/>
      <c r="M7048" s="94"/>
    </row>
    <row r="7049" s="93" customFormat="1" spans="3:13">
      <c r="C7049" s="94"/>
      <c r="E7049" s="94"/>
      <c r="G7049" s="94"/>
      <c r="I7049" s="94"/>
      <c r="K7049" s="94"/>
      <c r="M7049" s="94"/>
    </row>
    <row r="7050" s="93" customFormat="1" spans="3:13">
      <c r="C7050" s="94"/>
      <c r="E7050" s="94"/>
      <c r="G7050" s="94"/>
      <c r="I7050" s="94"/>
      <c r="K7050" s="94"/>
      <c r="M7050" s="94"/>
    </row>
    <row r="7051" s="93" customFormat="1" spans="3:13">
      <c r="C7051" s="94"/>
      <c r="E7051" s="94"/>
      <c r="G7051" s="94"/>
      <c r="I7051" s="94"/>
      <c r="K7051" s="94"/>
      <c r="M7051" s="94"/>
    </row>
    <row r="7052" s="93" customFormat="1" spans="3:13">
      <c r="C7052" s="94"/>
      <c r="E7052" s="94"/>
      <c r="G7052" s="94"/>
      <c r="I7052" s="94"/>
      <c r="K7052" s="94"/>
      <c r="M7052" s="94"/>
    </row>
    <row r="7053" s="93" customFormat="1" spans="3:13">
      <c r="C7053" s="94"/>
      <c r="E7053" s="94"/>
      <c r="G7053" s="94"/>
      <c r="I7053" s="94"/>
      <c r="K7053" s="94"/>
      <c r="M7053" s="94"/>
    </row>
    <row r="7054" s="93" customFormat="1" spans="3:13">
      <c r="C7054" s="94"/>
      <c r="E7054" s="94"/>
      <c r="G7054" s="94"/>
      <c r="I7054" s="94"/>
      <c r="K7054" s="94"/>
      <c r="M7054" s="94"/>
    </row>
    <row r="7055" s="93" customFormat="1" spans="3:13">
      <c r="C7055" s="94"/>
      <c r="E7055" s="94"/>
      <c r="G7055" s="94"/>
      <c r="I7055" s="94"/>
      <c r="K7055" s="94"/>
      <c r="M7055" s="94"/>
    </row>
    <row r="7056" s="93" customFormat="1" spans="3:13">
      <c r="C7056" s="94"/>
      <c r="E7056" s="94"/>
      <c r="G7056" s="94"/>
      <c r="I7056" s="94"/>
      <c r="K7056" s="94"/>
      <c r="M7056" s="94"/>
    </row>
    <row r="7057" s="93" customFormat="1" spans="3:13">
      <c r="C7057" s="94"/>
      <c r="E7057" s="94"/>
      <c r="G7057" s="94"/>
      <c r="I7057" s="94"/>
      <c r="K7057" s="94"/>
      <c r="M7057" s="94"/>
    </row>
    <row r="7058" s="93" customFormat="1" spans="3:13">
      <c r="C7058" s="94"/>
      <c r="E7058" s="94"/>
      <c r="G7058" s="94"/>
      <c r="I7058" s="94"/>
      <c r="K7058" s="94"/>
      <c r="M7058" s="94"/>
    </row>
    <row r="7059" s="93" customFormat="1" spans="3:13">
      <c r="C7059" s="94"/>
      <c r="E7059" s="94"/>
      <c r="G7059" s="94"/>
      <c r="I7059" s="94"/>
      <c r="K7059" s="94"/>
      <c r="M7059" s="94"/>
    </row>
    <row r="7060" s="93" customFormat="1" spans="3:13">
      <c r="C7060" s="94"/>
      <c r="E7060" s="94"/>
      <c r="G7060" s="94"/>
      <c r="I7060" s="94"/>
      <c r="K7060" s="94"/>
      <c r="M7060" s="94"/>
    </row>
    <row r="7061" s="93" customFormat="1" spans="3:13">
      <c r="C7061" s="94"/>
      <c r="E7061" s="94"/>
      <c r="G7061" s="94"/>
      <c r="I7061" s="94"/>
      <c r="K7061" s="94"/>
      <c r="M7061" s="94"/>
    </row>
    <row r="7062" s="93" customFormat="1" spans="3:13">
      <c r="C7062" s="94"/>
      <c r="E7062" s="94"/>
      <c r="G7062" s="94"/>
      <c r="I7062" s="94"/>
      <c r="K7062" s="94"/>
      <c r="M7062" s="94"/>
    </row>
    <row r="7063" s="93" customFormat="1" spans="3:13">
      <c r="C7063" s="94"/>
      <c r="E7063" s="94"/>
      <c r="G7063" s="94"/>
      <c r="I7063" s="94"/>
      <c r="K7063" s="94"/>
      <c r="M7063" s="94"/>
    </row>
    <row r="7064" s="93" customFormat="1" spans="3:13">
      <c r="C7064" s="94"/>
      <c r="E7064" s="94"/>
      <c r="G7064" s="94"/>
      <c r="I7064" s="94"/>
      <c r="K7064" s="94"/>
      <c r="M7064" s="94"/>
    </row>
    <row r="7065" s="93" customFormat="1" spans="3:13">
      <c r="C7065" s="94"/>
      <c r="E7065" s="94"/>
      <c r="G7065" s="94"/>
      <c r="I7065" s="94"/>
      <c r="K7065" s="94"/>
      <c r="M7065" s="94"/>
    </row>
    <row r="7066" s="93" customFormat="1" spans="3:13">
      <c r="C7066" s="94"/>
      <c r="E7066" s="94"/>
      <c r="G7066" s="94"/>
      <c r="I7066" s="94"/>
      <c r="K7066" s="94"/>
      <c r="M7066" s="94"/>
    </row>
    <row r="7067" s="93" customFormat="1" spans="3:13">
      <c r="C7067" s="94"/>
      <c r="E7067" s="94"/>
      <c r="G7067" s="94"/>
      <c r="I7067" s="94"/>
      <c r="K7067" s="94"/>
      <c r="M7067" s="94"/>
    </row>
    <row r="7068" s="93" customFormat="1" spans="3:13">
      <c r="C7068" s="94"/>
      <c r="E7068" s="94"/>
      <c r="G7068" s="94"/>
      <c r="I7068" s="94"/>
      <c r="K7068" s="94"/>
      <c r="M7068" s="94"/>
    </row>
    <row r="7069" s="93" customFormat="1" spans="3:13">
      <c r="C7069" s="94"/>
      <c r="E7069" s="94"/>
      <c r="G7069" s="94"/>
      <c r="I7069" s="94"/>
      <c r="K7069" s="94"/>
      <c r="M7069" s="94"/>
    </row>
    <row r="7070" s="93" customFormat="1" spans="3:13">
      <c r="C7070" s="94"/>
      <c r="E7070" s="94"/>
      <c r="G7070" s="94"/>
      <c r="I7070" s="94"/>
      <c r="K7070" s="94"/>
      <c r="M7070" s="94"/>
    </row>
    <row r="7071" s="93" customFormat="1" spans="3:13">
      <c r="C7071" s="94"/>
      <c r="E7071" s="94"/>
      <c r="G7071" s="94"/>
      <c r="I7071" s="94"/>
      <c r="K7071" s="94"/>
      <c r="M7071" s="94"/>
    </row>
    <row r="7072" s="93" customFormat="1" spans="3:13">
      <c r="C7072" s="94"/>
      <c r="E7072" s="94"/>
      <c r="G7072" s="94"/>
      <c r="I7072" s="94"/>
      <c r="K7072" s="94"/>
      <c r="M7072" s="94"/>
    </row>
    <row r="7073" s="93" customFormat="1" spans="3:13">
      <c r="C7073" s="94"/>
      <c r="E7073" s="94"/>
      <c r="G7073" s="94"/>
      <c r="I7073" s="94"/>
      <c r="K7073" s="94"/>
      <c r="M7073" s="94"/>
    </row>
    <row r="7074" s="93" customFormat="1" spans="3:13">
      <c r="C7074" s="94"/>
      <c r="E7074" s="94"/>
      <c r="G7074" s="94"/>
      <c r="I7074" s="94"/>
      <c r="K7074" s="94"/>
      <c r="M7074" s="94"/>
    </row>
    <row r="7075" s="93" customFormat="1" spans="3:13">
      <c r="C7075" s="94"/>
      <c r="E7075" s="94"/>
      <c r="G7075" s="94"/>
      <c r="I7075" s="94"/>
      <c r="K7075" s="94"/>
      <c r="M7075" s="94"/>
    </row>
    <row r="7076" s="93" customFormat="1" spans="3:13">
      <c r="C7076" s="94"/>
      <c r="E7076" s="94"/>
      <c r="G7076" s="94"/>
      <c r="I7076" s="94"/>
      <c r="K7076" s="94"/>
      <c r="M7076" s="94"/>
    </row>
    <row r="7077" s="93" customFormat="1" spans="3:13">
      <c r="C7077" s="94"/>
      <c r="E7077" s="94"/>
      <c r="G7077" s="94"/>
      <c r="I7077" s="94"/>
      <c r="K7077" s="94"/>
      <c r="M7077" s="94"/>
    </row>
    <row r="7078" s="93" customFormat="1" spans="3:13">
      <c r="C7078" s="94"/>
      <c r="E7078" s="94"/>
      <c r="G7078" s="94"/>
      <c r="I7078" s="94"/>
      <c r="K7078" s="94"/>
      <c r="M7078" s="94"/>
    </row>
    <row r="7079" s="93" customFormat="1" spans="3:13">
      <c r="C7079" s="94"/>
      <c r="E7079" s="94"/>
      <c r="G7079" s="94"/>
      <c r="I7079" s="94"/>
      <c r="K7079" s="94"/>
      <c r="M7079" s="94"/>
    </row>
    <row r="7080" s="93" customFormat="1" spans="3:13">
      <c r="C7080" s="94"/>
      <c r="E7080" s="94"/>
      <c r="G7080" s="94"/>
      <c r="I7080" s="94"/>
      <c r="K7080" s="94"/>
      <c r="M7080" s="94"/>
    </row>
    <row r="7081" s="93" customFormat="1" spans="3:13">
      <c r="C7081" s="94"/>
      <c r="E7081" s="94"/>
      <c r="G7081" s="94"/>
      <c r="I7081" s="94"/>
      <c r="K7081" s="94"/>
      <c r="M7081" s="94"/>
    </row>
    <row r="7082" s="93" customFormat="1" spans="3:13">
      <c r="C7082" s="94"/>
      <c r="E7082" s="94"/>
      <c r="G7082" s="94"/>
      <c r="I7082" s="94"/>
      <c r="K7082" s="94"/>
      <c r="M7082" s="94"/>
    </row>
    <row r="7083" s="93" customFormat="1" spans="3:13">
      <c r="C7083" s="94"/>
      <c r="E7083" s="94"/>
      <c r="G7083" s="94"/>
      <c r="I7083" s="94"/>
      <c r="K7083" s="94"/>
      <c r="M7083" s="94"/>
    </row>
    <row r="7084" s="93" customFormat="1" spans="3:13">
      <c r="C7084" s="94"/>
      <c r="E7084" s="94"/>
      <c r="G7084" s="94"/>
      <c r="I7084" s="94"/>
      <c r="K7084" s="94"/>
      <c r="M7084" s="94"/>
    </row>
    <row r="7085" s="93" customFormat="1" spans="3:13">
      <c r="C7085" s="94"/>
      <c r="E7085" s="94"/>
      <c r="G7085" s="94"/>
      <c r="I7085" s="94"/>
      <c r="K7085" s="94"/>
      <c r="M7085" s="94"/>
    </row>
    <row r="7086" s="93" customFormat="1" spans="3:13">
      <c r="C7086" s="94"/>
      <c r="E7086" s="94"/>
      <c r="G7086" s="94"/>
      <c r="I7086" s="94"/>
      <c r="K7086" s="94"/>
      <c r="M7086" s="94"/>
    </row>
    <row r="7087" s="93" customFormat="1" spans="3:13">
      <c r="C7087" s="94"/>
      <c r="E7087" s="94"/>
      <c r="G7087" s="94"/>
      <c r="I7087" s="94"/>
      <c r="K7087" s="94"/>
      <c r="M7087" s="94"/>
    </row>
    <row r="7088" s="93" customFormat="1" spans="3:13">
      <c r="C7088" s="94"/>
      <c r="E7088" s="94"/>
      <c r="G7088" s="94"/>
      <c r="I7088" s="94"/>
      <c r="K7088" s="94"/>
      <c r="M7088" s="94"/>
    </row>
    <row r="7089" s="93" customFormat="1" spans="3:13">
      <c r="C7089" s="94"/>
      <c r="E7089" s="94"/>
      <c r="G7089" s="94"/>
      <c r="I7089" s="94"/>
      <c r="K7089" s="94"/>
      <c r="M7089" s="94"/>
    </row>
    <row r="7090" s="93" customFormat="1" spans="3:13">
      <c r="C7090" s="94"/>
      <c r="E7090" s="94"/>
      <c r="G7090" s="94"/>
      <c r="I7090" s="94"/>
      <c r="K7090" s="94"/>
      <c r="M7090" s="94"/>
    </row>
    <row r="7091" s="93" customFormat="1" spans="3:13">
      <c r="C7091" s="94"/>
      <c r="E7091" s="94"/>
      <c r="G7091" s="94"/>
      <c r="I7091" s="94"/>
      <c r="K7091" s="94"/>
      <c r="M7091" s="94"/>
    </row>
    <row r="7092" s="93" customFormat="1" spans="3:13">
      <c r="C7092" s="94"/>
      <c r="E7092" s="94"/>
      <c r="G7092" s="94"/>
      <c r="I7092" s="94"/>
      <c r="K7092" s="94"/>
      <c r="M7092" s="94"/>
    </row>
    <row r="7093" s="93" customFormat="1" spans="3:13">
      <c r="C7093" s="94"/>
      <c r="E7093" s="94"/>
      <c r="G7093" s="94"/>
      <c r="I7093" s="94"/>
      <c r="K7093" s="94"/>
      <c r="M7093" s="94"/>
    </row>
    <row r="7094" s="93" customFormat="1" spans="3:13">
      <c r="C7094" s="94"/>
      <c r="E7094" s="94"/>
      <c r="G7094" s="94"/>
      <c r="I7094" s="94"/>
      <c r="K7094" s="94"/>
      <c r="M7094" s="94"/>
    </row>
    <row r="7095" s="93" customFormat="1" spans="3:13">
      <c r="C7095" s="94"/>
      <c r="E7095" s="94"/>
      <c r="G7095" s="94"/>
      <c r="I7095" s="94"/>
      <c r="K7095" s="94"/>
      <c r="M7095" s="94"/>
    </row>
    <row r="7096" s="93" customFormat="1" spans="3:13">
      <c r="C7096" s="94"/>
      <c r="E7096" s="94"/>
      <c r="G7096" s="94"/>
      <c r="I7096" s="94"/>
      <c r="K7096" s="94"/>
      <c r="M7096" s="94"/>
    </row>
    <row r="7097" s="93" customFormat="1" spans="3:13">
      <c r="C7097" s="94"/>
      <c r="E7097" s="94"/>
      <c r="G7097" s="94"/>
      <c r="I7097" s="94"/>
      <c r="K7097" s="94"/>
      <c r="M7097" s="94"/>
    </row>
    <row r="7098" s="93" customFormat="1" spans="3:13">
      <c r="C7098" s="94"/>
      <c r="E7098" s="94"/>
      <c r="G7098" s="94"/>
      <c r="I7098" s="94"/>
      <c r="K7098" s="94"/>
      <c r="M7098" s="94"/>
    </row>
    <row r="7099" s="93" customFormat="1" spans="3:13">
      <c r="C7099" s="94"/>
      <c r="E7099" s="94"/>
      <c r="G7099" s="94"/>
      <c r="I7099" s="94"/>
      <c r="K7099" s="94"/>
      <c r="M7099" s="94"/>
    </row>
    <row r="7100" s="93" customFormat="1" spans="3:13">
      <c r="C7100" s="94"/>
      <c r="E7100" s="94"/>
      <c r="G7100" s="94"/>
      <c r="I7100" s="94"/>
      <c r="K7100" s="94"/>
      <c r="M7100" s="94"/>
    </row>
    <row r="7101" s="93" customFormat="1" spans="3:13">
      <c r="C7101" s="94"/>
      <c r="E7101" s="94"/>
      <c r="G7101" s="94"/>
      <c r="I7101" s="94"/>
      <c r="K7101" s="94"/>
      <c r="M7101" s="94"/>
    </row>
    <row r="7102" s="93" customFormat="1" spans="3:13">
      <c r="C7102" s="94"/>
      <c r="E7102" s="94"/>
      <c r="G7102" s="94"/>
      <c r="I7102" s="94"/>
      <c r="K7102" s="94"/>
      <c r="M7102" s="94"/>
    </row>
    <row r="7103" s="93" customFormat="1" spans="3:13">
      <c r="C7103" s="94"/>
      <c r="E7103" s="94"/>
      <c r="G7103" s="94"/>
      <c r="I7103" s="94"/>
      <c r="K7103" s="94"/>
      <c r="M7103" s="94"/>
    </row>
    <row r="7104" s="93" customFormat="1" spans="3:13">
      <c r="C7104" s="94"/>
      <c r="E7104" s="94"/>
      <c r="G7104" s="94"/>
      <c r="I7104" s="94"/>
      <c r="K7104" s="94"/>
      <c r="M7104" s="94"/>
    </row>
    <row r="7105" s="93" customFormat="1" spans="3:13">
      <c r="C7105" s="94"/>
      <c r="E7105" s="94"/>
      <c r="G7105" s="94"/>
      <c r="I7105" s="94"/>
      <c r="K7105" s="94"/>
      <c r="M7105" s="94"/>
    </row>
    <row r="7106" s="93" customFormat="1" spans="3:13">
      <c r="C7106" s="94"/>
      <c r="E7106" s="94"/>
      <c r="G7106" s="94"/>
      <c r="I7106" s="94"/>
      <c r="K7106" s="94"/>
      <c r="M7106" s="94"/>
    </row>
    <row r="7107" s="93" customFormat="1" spans="3:13">
      <c r="C7107" s="94"/>
      <c r="E7107" s="94"/>
      <c r="G7107" s="94"/>
      <c r="I7107" s="94"/>
      <c r="K7107" s="94"/>
      <c r="M7107" s="94"/>
    </row>
    <row r="7108" s="93" customFormat="1" spans="3:13">
      <c r="C7108" s="94"/>
      <c r="E7108" s="94"/>
      <c r="G7108" s="94"/>
      <c r="I7108" s="94"/>
      <c r="K7108" s="94"/>
      <c r="M7108" s="94"/>
    </row>
    <row r="7109" s="93" customFormat="1" spans="3:13">
      <c r="C7109" s="94"/>
      <c r="E7109" s="94"/>
      <c r="G7109" s="94"/>
      <c r="I7109" s="94"/>
      <c r="K7109" s="94"/>
      <c r="M7109" s="94"/>
    </row>
    <row r="7110" s="93" customFormat="1" spans="3:13">
      <c r="C7110" s="94"/>
      <c r="E7110" s="94"/>
      <c r="G7110" s="94"/>
      <c r="I7110" s="94"/>
      <c r="K7110" s="94"/>
      <c r="M7110" s="94"/>
    </row>
    <row r="7111" s="93" customFormat="1" spans="3:13">
      <c r="C7111" s="94"/>
      <c r="E7111" s="94"/>
      <c r="G7111" s="94"/>
      <c r="I7111" s="94"/>
      <c r="K7111" s="94"/>
      <c r="M7111" s="94"/>
    </row>
    <row r="7112" s="93" customFormat="1" spans="3:13">
      <c r="C7112" s="94"/>
      <c r="E7112" s="94"/>
      <c r="G7112" s="94"/>
      <c r="I7112" s="94"/>
      <c r="K7112" s="94"/>
      <c r="M7112" s="94"/>
    </row>
    <row r="7113" s="93" customFormat="1" spans="3:13">
      <c r="C7113" s="94"/>
      <c r="E7113" s="94"/>
      <c r="G7113" s="94"/>
      <c r="I7113" s="94"/>
      <c r="K7113" s="94"/>
      <c r="M7113" s="94"/>
    </row>
    <row r="7114" s="93" customFormat="1" spans="3:13">
      <c r="C7114" s="94"/>
      <c r="E7114" s="94"/>
      <c r="G7114" s="94"/>
      <c r="I7114" s="94"/>
      <c r="K7114" s="94"/>
      <c r="M7114" s="94"/>
    </row>
    <row r="7115" s="93" customFormat="1" spans="3:13">
      <c r="C7115" s="94"/>
      <c r="E7115" s="94"/>
      <c r="G7115" s="94"/>
      <c r="I7115" s="94"/>
      <c r="K7115" s="94"/>
      <c r="M7115" s="94"/>
    </row>
    <row r="7116" s="93" customFormat="1" spans="3:13">
      <c r="C7116" s="94"/>
      <c r="E7116" s="94"/>
      <c r="G7116" s="94"/>
      <c r="I7116" s="94"/>
      <c r="K7116" s="94"/>
      <c r="M7116" s="94"/>
    </row>
    <row r="7117" s="93" customFormat="1" spans="3:13">
      <c r="C7117" s="94"/>
      <c r="E7117" s="94"/>
      <c r="G7117" s="94"/>
      <c r="I7117" s="94"/>
      <c r="K7117" s="94"/>
      <c r="M7117" s="94"/>
    </row>
    <row r="7118" s="93" customFormat="1" spans="3:13">
      <c r="C7118" s="94"/>
      <c r="E7118" s="94"/>
      <c r="G7118" s="94"/>
      <c r="I7118" s="94"/>
      <c r="K7118" s="94"/>
      <c r="M7118" s="94"/>
    </row>
    <row r="7119" s="93" customFormat="1" spans="3:13">
      <c r="C7119" s="94"/>
      <c r="E7119" s="94"/>
      <c r="G7119" s="94"/>
      <c r="I7119" s="94"/>
      <c r="K7119" s="94"/>
      <c r="M7119" s="94"/>
    </row>
    <row r="7120" s="93" customFormat="1" spans="3:13">
      <c r="C7120" s="94"/>
      <c r="E7120" s="94"/>
      <c r="G7120" s="94"/>
      <c r="I7120" s="94"/>
      <c r="K7120" s="94"/>
      <c r="M7120" s="94"/>
    </row>
    <row r="7121" s="93" customFormat="1" spans="3:13">
      <c r="C7121" s="94"/>
      <c r="E7121" s="94"/>
      <c r="G7121" s="94"/>
      <c r="I7121" s="94"/>
      <c r="K7121" s="94"/>
      <c r="M7121" s="94"/>
    </row>
    <row r="7122" s="93" customFormat="1" spans="3:13">
      <c r="C7122" s="94"/>
      <c r="E7122" s="94"/>
      <c r="G7122" s="94"/>
      <c r="I7122" s="94"/>
      <c r="K7122" s="94"/>
      <c r="M7122" s="94"/>
    </row>
    <row r="7123" s="93" customFormat="1" spans="3:13">
      <c r="C7123" s="94"/>
      <c r="E7123" s="94"/>
      <c r="G7123" s="94"/>
      <c r="I7123" s="94"/>
      <c r="K7123" s="94"/>
      <c r="M7123" s="94"/>
    </row>
    <row r="7124" s="93" customFormat="1" spans="3:13">
      <c r="C7124" s="94"/>
      <c r="E7124" s="94"/>
      <c r="G7124" s="94"/>
      <c r="I7124" s="94"/>
      <c r="K7124" s="94"/>
      <c r="M7124" s="94"/>
    </row>
    <row r="7125" s="93" customFormat="1" spans="3:13">
      <c r="C7125" s="94"/>
      <c r="E7125" s="94"/>
      <c r="G7125" s="94"/>
      <c r="I7125" s="94"/>
      <c r="K7125" s="94"/>
      <c r="M7125" s="94"/>
    </row>
    <row r="7126" s="93" customFormat="1" spans="3:13">
      <c r="C7126" s="94"/>
      <c r="E7126" s="94"/>
      <c r="G7126" s="94"/>
      <c r="I7126" s="94"/>
      <c r="K7126" s="94"/>
      <c r="M7126" s="94"/>
    </row>
    <row r="7127" s="93" customFormat="1" spans="3:13">
      <c r="C7127" s="94"/>
      <c r="E7127" s="94"/>
      <c r="G7127" s="94"/>
      <c r="I7127" s="94"/>
      <c r="K7127" s="94"/>
      <c r="M7127" s="94"/>
    </row>
    <row r="7128" s="93" customFormat="1" spans="3:13">
      <c r="C7128" s="94"/>
      <c r="E7128" s="94"/>
      <c r="G7128" s="94"/>
      <c r="I7128" s="94"/>
      <c r="K7128" s="94"/>
      <c r="M7128" s="94"/>
    </row>
    <row r="7129" s="93" customFormat="1" spans="3:13">
      <c r="C7129" s="94"/>
      <c r="E7129" s="94"/>
      <c r="G7129" s="94"/>
      <c r="I7129" s="94"/>
      <c r="K7129" s="94"/>
      <c r="M7129" s="94"/>
    </row>
    <row r="7130" s="93" customFormat="1" spans="3:13">
      <c r="C7130" s="94"/>
      <c r="E7130" s="94"/>
      <c r="G7130" s="94"/>
      <c r="I7130" s="94"/>
      <c r="K7130" s="94"/>
      <c r="M7130" s="94"/>
    </row>
    <row r="7131" s="93" customFormat="1" spans="3:13">
      <c r="C7131" s="94"/>
      <c r="E7131" s="94"/>
      <c r="G7131" s="94"/>
      <c r="I7131" s="94"/>
      <c r="K7131" s="94"/>
      <c r="M7131" s="94"/>
    </row>
    <row r="7132" s="93" customFormat="1" spans="3:13">
      <c r="C7132" s="94"/>
      <c r="E7132" s="94"/>
      <c r="G7132" s="94"/>
      <c r="I7132" s="94"/>
      <c r="K7132" s="94"/>
      <c r="M7132" s="94"/>
    </row>
    <row r="7133" s="93" customFormat="1" spans="3:13">
      <c r="C7133" s="94"/>
      <c r="E7133" s="94"/>
      <c r="G7133" s="94"/>
      <c r="I7133" s="94"/>
      <c r="K7133" s="94"/>
      <c r="M7133" s="94"/>
    </row>
    <row r="7134" s="93" customFormat="1" spans="3:13">
      <c r="C7134" s="94"/>
      <c r="E7134" s="94"/>
      <c r="G7134" s="94"/>
      <c r="I7134" s="94"/>
      <c r="K7134" s="94"/>
      <c r="M7134" s="94"/>
    </row>
    <row r="7135" s="93" customFormat="1" spans="3:13">
      <c r="C7135" s="94"/>
      <c r="E7135" s="94"/>
      <c r="G7135" s="94"/>
      <c r="I7135" s="94"/>
      <c r="K7135" s="94"/>
      <c r="M7135" s="94"/>
    </row>
    <row r="7136" s="93" customFormat="1" spans="3:13">
      <c r="C7136" s="94"/>
      <c r="E7136" s="94"/>
      <c r="G7136" s="94"/>
      <c r="I7136" s="94"/>
      <c r="K7136" s="94"/>
      <c r="M7136" s="94"/>
    </row>
    <row r="7137" s="93" customFormat="1" spans="3:13">
      <c r="C7137" s="94"/>
      <c r="E7137" s="94"/>
      <c r="G7137" s="94"/>
      <c r="I7137" s="94"/>
      <c r="K7137" s="94"/>
      <c r="M7137" s="94"/>
    </row>
    <row r="7138" s="93" customFormat="1" spans="3:13">
      <c r="C7138" s="94"/>
      <c r="E7138" s="94"/>
      <c r="G7138" s="94"/>
      <c r="I7138" s="94"/>
      <c r="K7138" s="94"/>
      <c r="M7138" s="94"/>
    </row>
    <row r="7139" s="93" customFormat="1" spans="3:13">
      <c r="C7139" s="94"/>
      <c r="E7139" s="94"/>
      <c r="G7139" s="94"/>
      <c r="I7139" s="94"/>
      <c r="K7139" s="94"/>
      <c r="M7139" s="94"/>
    </row>
    <row r="7140" s="93" customFormat="1" spans="3:13">
      <c r="C7140" s="94"/>
      <c r="E7140" s="94"/>
      <c r="G7140" s="94"/>
      <c r="I7140" s="94"/>
      <c r="K7140" s="94"/>
      <c r="M7140" s="94"/>
    </row>
    <row r="7141" s="93" customFormat="1" spans="3:13">
      <c r="C7141" s="94"/>
      <c r="E7141" s="94"/>
      <c r="G7141" s="94"/>
      <c r="I7141" s="94"/>
      <c r="K7141" s="94"/>
      <c r="M7141" s="94"/>
    </row>
    <row r="7142" s="93" customFormat="1" spans="3:13">
      <c r="C7142" s="94"/>
      <c r="E7142" s="94"/>
      <c r="G7142" s="94"/>
      <c r="I7142" s="94"/>
      <c r="K7142" s="94"/>
      <c r="M7142" s="94"/>
    </row>
    <row r="7143" s="93" customFormat="1" spans="3:13">
      <c r="C7143" s="94"/>
      <c r="E7143" s="94"/>
      <c r="G7143" s="94"/>
      <c r="I7143" s="94"/>
      <c r="K7143" s="94"/>
      <c r="M7143" s="94"/>
    </row>
    <row r="7144" s="93" customFormat="1" spans="3:13">
      <c r="C7144" s="94"/>
      <c r="E7144" s="94"/>
      <c r="G7144" s="94"/>
      <c r="I7144" s="94"/>
      <c r="K7144" s="94"/>
      <c r="M7144" s="94"/>
    </row>
    <row r="7145" s="93" customFormat="1" spans="3:13">
      <c r="C7145" s="94"/>
      <c r="E7145" s="94"/>
      <c r="G7145" s="94"/>
      <c r="I7145" s="94"/>
      <c r="K7145" s="94"/>
      <c r="M7145" s="94"/>
    </row>
    <row r="7146" s="93" customFormat="1" spans="3:13">
      <c r="C7146" s="94"/>
      <c r="E7146" s="94"/>
      <c r="G7146" s="94"/>
      <c r="I7146" s="94"/>
      <c r="K7146" s="94"/>
      <c r="M7146" s="94"/>
    </row>
    <row r="7147" s="93" customFormat="1" spans="3:13">
      <c r="C7147" s="94"/>
      <c r="E7147" s="94"/>
      <c r="G7147" s="94"/>
      <c r="I7147" s="94"/>
      <c r="K7147" s="94"/>
      <c r="M7147" s="94"/>
    </row>
    <row r="7148" s="93" customFormat="1" spans="3:13">
      <c r="C7148" s="94"/>
      <c r="E7148" s="94"/>
      <c r="G7148" s="94"/>
      <c r="I7148" s="94"/>
      <c r="K7148" s="94"/>
      <c r="M7148" s="94"/>
    </row>
    <row r="7149" s="93" customFormat="1" spans="3:13">
      <c r="C7149" s="94"/>
      <c r="E7149" s="94"/>
      <c r="G7149" s="94"/>
      <c r="I7149" s="94"/>
      <c r="K7149" s="94"/>
      <c r="M7149" s="94"/>
    </row>
    <row r="7150" s="93" customFormat="1" spans="3:13">
      <c r="C7150" s="94"/>
      <c r="E7150" s="94"/>
      <c r="G7150" s="94"/>
      <c r="I7150" s="94"/>
      <c r="K7150" s="94"/>
      <c r="M7150" s="94"/>
    </row>
    <row r="7151" s="93" customFormat="1" spans="3:13">
      <c r="C7151" s="94"/>
      <c r="E7151" s="94"/>
      <c r="G7151" s="94"/>
      <c r="I7151" s="94"/>
      <c r="K7151" s="94"/>
      <c r="M7151" s="94"/>
    </row>
    <row r="7152" s="93" customFormat="1" spans="3:13">
      <c r="C7152" s="94"/>
      <c r="E7152" s="94"/>
      <c r="G7152" s="94"/>
      <c r="I7152" s="94"/>
      <c r="K7152" s="94"/>
      <c r="M7152" s="94"/>
    </row>
    <row r="7153" s="93" customFormat="1" spans="3:13">
      <c r="C7153" s="94"/>
      <c r="E7153" s="94"/>
      <c r="G7153" s="94"/>
      <c r="I7153" s="94"/>
      <c r="K7153" s="94"/>
      <c r="M7153" s="94"/>
    </row>
    <row r="7154" s="93" customFormat="1" spans="3:13">
      <c r="C7154" s="94"/>
      <c r="E7154" s="94"/>
      <c r="G7154" s="94"/>
      <c r="I7154" s="94"/>
      <c r="K7154" s="94"/>
      <c r="M7154" s="94"/>
    </row>
    <row r="7155" s="93" customFormat="1" spans="3:13">
      <c r="C7155" s="94"/>
      <c r="E7155" s="94"/>
      <c r="G7155" s="94"/>
      <c r="I7155" s="94"/>
      <c r="K7155" s="94"/>
      <c r="M7155" s="94"/>
    </row>
    <row r="7156" s="93" customFormat="1" spans="3:13">
      <c r="C7156" s="94"/>
      <c r="E7156" s="94"/>
      <c r="G7156" s="94"/>
      <c r="I7156" s="94"/>
      <c r="K7156" s="94"/>
      <c r="M7156" s="94"/>
    </row>
    <row r="7157" s="93" customFormat="1" spans="3:13">
      <c r="C7157" s="94"/>
      <c r="E7157" s="94"/>
      <c r="G7157" s="94"/>
      <c r="I7157" s="94"/>
      <c r="K7157" s="94"/>
      <c r="M7157" s="94"/>
    </row>
    <row r="7158" s="93" customFormat="1" spans="3:13">
      <c r="C7158" s="94"/>
      <c r="E7158" s="94"/>
      <c r="G7158" s="94"/>
      <c r="I7158" s="94"/>
      <c r="K7158" s="94"/>
      <c r="M7158" s="94"/>
    </row>
    <row r="7159" s="93" customFormat="1" spans="3:13">
      <c r="C7159" s="94"/>
      <c r="E7159" s="94"/>
      <c r="G7159" s="94"/>
      <c r="I7159" s="94"/>
      <c r="K7159" s="94"/>
      <c r="M7159" s="94"/>
    </row>
    <row r="7160" s="93" customFormat="1" spans="3:13">
      <c r="C7160" s="94"/>
      <c r="E7160" s="94"/>
      <c r="G7160" s="94"/>
      <c r="I7160" s="94"/>
      <c r="K7160" s="94"/>
      <c r="M7160" s="94"/>
    </row>
    <row r="7161" s="93" customFormat="1" spans="3:13">
      <c r="C7161" s="94"/>
      <c r="E7161" s="94"/>
      <c r="G7161" s="94"/>
      <c r="I7161" s="94"/>
      <c r="K7161" s="94"/>
      <c r="M7161" s="94"/>
    </row>
    <row r="7162" s="93" customFormat="1" spans="3:13">
      <c r="C7162" s="94"/>
      <c r="E7162" s="94"/>
      <c r="G7162" s="94"/>
      <c r="I7162" s="94"/>
      <c r="K7162" s="94"/>
      <c r="M7162" s="94"/>
    </row>
    <row r="7163" s="93" customFormat="1" spans="3:13">
      <c r="C7163" s="94"/>
      <c r="E7163" s="94"/>
      <c r="G7163" s="94"/>
      <c r="I7163" s="94"/>
      <c r="K7163" s="94"/>
      <c r="M7163" s="94"/>
    </row>
    <row r="7164" s="93" customFormat="1" spans="3:13">
      <c r="C7164" s="94"/>
      <c r="E7164" s="94"/>
      <c r="G7164" s="94"/>
      <c r="I7164" s="94"/>
      <c r="K7164" s="94"/>
      <c r="M7164" s="94"/>
    </row>
    <row r="7165" s="93" customFormat="1" spans="3:13">
      <c r="C7165" s="94"/>
      <c r="E7165" s="94"/>
      <c r="G7165" s="94"/>
      <c r="I7165" s="94"/>
      <c r="K7165" s="94"/>
      <c r="M7165" s="94"/>
    </row>
    <row r="7166" s="93" customFormat="1" spans="3:13">
      <c r="C7166" s="94"/>
      <c r="E7166" s="94"/>
      <c r="G7166" s="94"/>
      <c r="I7166" s="94"/>
      <c r="K7166" s="94"/>
      <c r="M7166" s="94"/>
    </row>
    <row r="7167" s="93" customFormat="1" spans="3:13">
      <c r="C7167" s="94"/>
      <c r="E7167" s="94"/>
      <c r="G7167" s="94"/>
      <c r="I7167" s="94"/>
      <c r="K7167" s="94"/>
      <c r="M7167" s="94"/>
    </row>
    <row r="7168" s="93" customFormat="1" spans="3:13">
      <c r="C7168" s="94"/>
      <c r="E7168" s="94"/>
      <c r="G7168" s="94"/>
      <c r="I7168" s="94"/>
      <c r="K7168" s="94"/>
      <c r="M7168" s="94"/>
    </row>
    <row r="7169" s="93" customFormat="1" spans="3:13">
      <c r="C7169" s="94"/>
      <c r="E7169" s="94"/>
      <c r="G7169" s="94"/>
      <c r="I7169" s="94"/>
      <c r="K7169" s="94"/>
      <c r="M7169" s="94"/>
    </row>
    <row r="7170" s="93" customFormat="1" spans="3:13">
      <c r="C7170" s="94"/>
      <c r="E7170" s="94"/>
      <c r="G7170" s="94"/>
      <c r="I7170" s="94"/>
      <c r="K7170" s="94"/>
      <c r="M7170" s="94"/>
    </row>
    <row r="7171" s="93" customFormat="1" spans="3:13">
      <c r="C7171" s="94"/>
      <c r="E7171" s="94"/>
      <c r="G7171" s="94"/>
      <c r="I7171" s="94"/>
      <c r="K7171" s="94"/>
      <c r="M7171" s="94"/>
    </row>
    <row r="7172" s="93" customFormat="1" spans="3:13">
      <c r="C7172" s="94"/>
      <c r="E7172" s="94"/>
      <c r="G7172" s="94"/>
      <c r="I7172" s="94"/>
      <c r="K7172" s="94"/>
      <c r="M7172" s="94"/>
    </row>
    <row r="7173" s="93" customFormat="1" spans="3:13">
      <c r="C7173" s="94"/>
      <c r="E7173" s="94"/>
      <c r="G7173" s="94"/>
      <c r="I7173" s="94"/>
      <c r="K7173" s="94"/>
      <c r="M7173" s="94"/>
    </row>
    <row r="7174" s="93" customFormat="1" spans="3:13">
      <c r="C7174" s="94"/>
      <c r="E7174" s="94"/>
      <c r="G7174" s="94"/>
      <c r="I7174" s="94"/>
      <c r="K7174" s="94"/>
      <c r="M7174" s="94"/>
    </row>
    <row r="7175" s="93" customFormat="1" spans="3:13">
      <c r="C7175" s="94"/>
      <c r="E7175" s="94"/>
      <c r="G7175" s="94"/>
      <c r="I7175" s="94"/>
      <c r="K7175" s="94"/>
      <c r="M7175" s="94"/>
    </row>
    <row r="7176" s="93" customFormat="1" spans="3:13">
      <c r="C7176" s="94"/>
      <c r="E7176" s="94"/>
      <c r="G7176" s="94"/>
      <c r="I7176" s="94"/>
      <c r="K7176" s="94"/>
      <c r="M7176" s="94"/>
    </row>
    <row r="7177" s="93" customFormat="1" spans="3:13">
      <c r="C7177" s="94"/>
      <c r="E7177" s="94"/>
      <c r="G7177" s="94"/>
      <c r="I7177" s="94"/>
      <c r="K7177" s="94"/>
      <c r="M7177" s="94"/>
    </row>
    <row r="7178" s="93" customFormat="1" spans="3:13">
      <c r="C7178" s="94"/>
      <c r="E7178" s="94"/>
      <c r="G7178" s="94"/>
      <c r="I7178" s="94"/>
      <c r="K7178" s="94"/>
      <c r="M7178" s="94"/>
    </row>
    <row r="7179" s="93" customFormat="1" spans="3:13">
      <c r="C7179" s="94"/>
      <c r="E7179" s="94"/>
      <c r="G7179" s="94"/>
      <c r="I7179" s="94"/>
      <c r="K7179" s="94"/>
      <c r="M7179" s="94"/>
    </row>
    <row r="7180" s="93" customFormat="1" spans="3:13">
      <c r="C7180" s="94"/>
      <c r="E7180" s="94"/>
      <c r="G7180" s="94"/>
      <c r="I7180" s="94"/>
      <c r="K7180" s="94"/>
      <c r="M7180" s="94"/>
    </row>
    <row r="7181" s="93" customFormat="1" spans="3:13">
      <c r="C7181" s="94"/>
      <c r="E7181" s="94"/>
      <c r="G7181" s="94"/>
      <c r="I7181" s="94"/>
      <c r="K7181" s="94"/>
      <c r="M7181" s="94"/>
    </row>
    <row r="7182" s="93" customFormat="1" spans="3:13">
      <c r="C7182" s="94"/>
      <c r="E7182" s="94"/>
      <c r="G7182" s="94"/>
      <c r="I7182" s="94"/>
      <c r="K7182" s="94"/>
      <c r="M7182" s="94"/>
    </row>
    <row r="7183" s="93" customFormat="1" spans="3:13">
      <c r="C7183" s="94"/>
      <c r="E7183" s="94"/>
      <c r="G7183" s="94"/>
      <c r="I7183" s="94"/>
      <c r="K7183" s="94"/>
      <c r="M7183" s="94"/>
    </row>
    <row r="7184" s="93" customFormat="1" spans="3:13">
      <c r="C7184" s="94"/>
      <c r="E7184" s="94"/>
      <c r="G7184" s="94"/>
      <c r="I7184" s="94"/>
      <c r="K7184" s="94"/>
      <c r="M7184" s="94"/>
    </row>
    <row r="7185" s="93" customFormat="1" spans="3:13">
      <c r="C7185" s="94"/>
      <c r="E7185" s="94"/>
      <c r="G7185" s="94"/>
      <c r="I7185" s="94"/>
      <c r="K7185" s="94"/>
      <c r="M7185" s="94"/>
    </row>
    <row r="7186" s="93" customFormat="1" spans="3:13">
      <c r="C7186" s="94"/>
      <c r="E7186" s="94"/>
      <c r="G7186" s="94"/>
      <c r="I7186" s="94"/>
      <c r="K7186" s="94"/>
      <c r="M7186" s="94"/>
    </row>
    <row r="7187" s="93" customFormat="1" spans="3:13">
      <c r="C7187" s="94"/>
      <c r="E7187" s="94"/>
      <c r="G7187" s="94"/>
      <c r="I7187" s="94"/>
      <c r="K7187" s="94"/>
      <c r="M7187" s="94"/>
    </row>
    <row r="7188" s="93" customFormat="1" spans="3:13">
      <c r="C7188" s="94"/>
      <c r="E7188" s="94"/>
      <c r="G7188" s="94"/>
      <c r="I7188" s="94"/>
      <c r="K7188" s="94"/>
      <c r="M7188" s="94"/>
    </row>
    <row r="7189" s="93" customFormat="1" spans="3:13">
      <c r="C7189" s="94"/>
      <c r="E7189" s="94"/>
      <c r="G7189" s="94"/>
      <c r="I7189" s="94"/>
      <c r="K7189" s="94"/>
      <c r="M7189" s="94"/>
    </row>
    <row r="7190" s="93" customFormat="1" spans="3:13">
      <c r="C7190" s="94"/>
      <c r="E7190" s="94"/>
      <c r="G7190" s="94"/>
      <c r="I7190" s="94"/>
      <c r="K7190" s="94"/>
      <c r="M7190" s="94"/>
    </row>
    <row r="7191" s="93" customFormat="1" spans="3:13">
      <c r="C7191" s="94"/>
      <c r="E7191" s="94"/>
      <c r="G7191" s="94"/>
      <c r="I7191" s="94"/>
      <c r="K7191" s="94"/>
      <c r="M7191" s="94"/>
    </row>
    <row r="7192" s="93" customFormat="1" spans="3:13">
      <c r="C7192" s="94"/>
      <c r="E7192" s="94"/>
      <c r="G7192" s="94"/>
      <c r="I7192" s="94"/>
      <c r="K7192" s="94"/>
      <c r="M7192" s="94"/>
    </row>
    <row r="7193" s="93" customFormat="1" spans="3:13">
      <c r="C7193" s="94"/>
      <c r="E7193" s="94"/>
      <c r="G7193" s="94"/>
      <c r="I7193" s="94"/>
      <c r="K7193" s="94"/>
      <c r="M7193" s="94"/>
    </row>
    <row r="7194" s="93" customFormat="1" spans="3:13">
      <c r="C7194" s="94"/>
      <c r="E7194" s="94"/>
      <c r="G7194" s="94"/>
      <c r="I7194" s="94"/>
      <c r="K7194" s="94"/>
      <c r="M7194" s="94"/>
    </row>
    <row r="7195" s="93" customFormat="1" spans="3:13">
      <c r="C7195" s="94"/>
      <c r="E7195" s="94"/>
      <c r="G7195" s="94"/>
      <c r="I7195" s="94"/>
      <c r="K7195" s="94"/>
      <c r="M7195" s="94"/>
    </row>
    <row r="7196" s="93" customFormat="1" spans="3:13">
      <c r="C7196" s="94"/>
      <c r="E7196" s="94"/>
      <c r="G7196" s="94"/>
      <c r="I7196" s="94"/>
      <c r="K7196" s="94"/>
      <c r="M7196" s="94"/>
    </row>
    <row r="7197" s="93" customFormat="1" spans="3:13">
      <c r="C7197" s="94"/>
      <c r="E7197" s="94"/>
      <c r="G7197" s="94"/>
      <c r="I7197" s="94"/>
      <c r="K7197" s="94"/>
      <c r="M7197" s="94"/>
    </row>
    <row r="7198" s="93" customFormat="1" spans="3:13">
      <c r="C7198" s="94"/>
      <c r="E7198" s="94"/>
      <c r="G7198" s="94"/>
      <c r="I7198" s="94"/>
      <c r="K7198" s="94"/>
      <c r="M7198" s="94"/>
    </row>
    <row r="7199" s="93" customFormat="1" spans="3:13">
      <c r="C7199" s="94"/>
      <c r="E7199" s="94"/>
      <c r="G7199" s="94"/>
      <c r="I7199" s="94"/>
      <c r="K7199" s="94"/>
      <c r="M7199" s="94"/>
    </row>
    <row r="7200" s="93" customFormat="1" spans="3:13">
      <c r="C7200" s="94"/>
      <c r="E7200" s="94"/>
      <c r="G7200" s="94"/>
      <c r="I7200" s="94"/>
      <c r="K7200" s="94"/>
      <c r="M7200" s="94"/>
    </row>
    <row r="7201" s="93" customFormat="1" spans="3:13">
      <c r="C7201" s="94"/>
      <c r="E7201" s="94"/>
      <c r="G7201" s="94"/>
      <c r="I7201" s="94"/>
      <c r="K7201" s="94"/>
      <c r="M7201" s="94"/>
    </row>
    <row r="7202" s="93" customFormat="1" spans="3:13">
      <c r="C7202" s="94"/>
      <c r="E7202" s="94"/>
      <c r="G7202" s="94"/>
      <c r="I7202" s="94"/>
      <c r="K7202" s="94"/>
      <c r="M7202" s="94"/>
    </row>
    <row r="7203" s="93" customFormat="1" spans="3:13">
      <c r="C7203" s="94"/>
      <c r="E7203" s="94"/>
      <c r="G7203" s="94"/>
      <c r="I7203" s="94"/>
      <c r="K7203" s="94"/>
      <c r="M7203" s="94"/>
    </row>
    <row r="7204" s="93" customFormat="1" spans="3:13">
      <c r="C7204" s="94"/>
      <c r="E7204" s="94"/>
      <c r="G7204" s="94"/>
      <c r="I7204" s="94"/>
      <c r="K7204" s="94"/>
      <c r="M7204" s="94"/>
    </row>
    <row r="7205" s="93" customFormat="1" spans="3:13">
      <c r="C7205" s="94"/>
      <c r="E7205" s="94"/>
      <c r="G7205" s="94"/>
      <c r="I7205" s="94"/>
      <c r="K7205" s="94"/>
      <c r="M7205" s="94"/>
    </row>
    <row r="7206" s="93" customFormat="1" spans="3:13">
      <c r="C7206" s="94"/>
      <c r="E7206" s="94"/>
      <c r="G7206" s="94"/>
      <c r="I7206" s="94"/>
      <c r="K7206" s="94"/>
      <c r="M7206" s="94"/>
    </row>
    <row r="7207" s="93" customFormat="1" spans="3:13">
      <c r="C7207" s="94"/>
      <c r="E7207" s="94"/>
      <c r="G7207" s="94"/>
      <c r="I7207" s="94"/>
      <c r="K7207" s="94"/>
      <c r="M7207" s="94"/>
    </row>
    <row r="7208" s="93" customFormat="1" spans="3:13">
      <c r="C7208" s="94"/>
      <c r="E7208" s="94"/>
      <c r="G7208" s="94"/>
      <c r="I7208" s="94"/>
      <c r="K7208" s="94"/>
      <c r="M7208" s="94"/>
    </row>
    <row r="7209" s="93" customFormat="1" spans="3:13">
      <c r="C7209" s="94"/>
      <c r="E7209" s="94"/>
      <c r="G7209" s="94"/>
      <c r="I7209" s="94"/>
      <c r="K7209" s="94"/>
      <c r="M7209" s="94"/>
    </row>
    <row r="7210" s="93" customFormat="1" spans="3:13">
      <c r="C7210" s="94"/>
      <c r="E7210" s="94"/>
      <c r="G7210" s="94"/>
      <c r="I7210" s="94"/>
      <c r="K7210" s="94"/>
      <c r="M7210" s="94"/>
    </row>
    <row r="7211" s="93" customFormat="1" spans="3:13">
      <c r="C7211" s="94"/>
      <c r="E7211" s="94"/>
      <c r="G7211" s="94"/>
      <c r="I7211" s="94"/>
      <c r="K7211" s="94"/>
      <c r="M7211" s="94"/>
    </row>
    <row r="7212" s="93" customFormat="1" spans="3:13">
      <c r="C7212" s="94"/>
      <c r="E7212" s="94"/>
      <c r="G7212" s="94"/>
      <c r="I7212" s="94"/>
      <c r="K7212" s="94"/>
      <c r="M7212" s="94"/>
    </row>
    <row r="7213" s="93" customFormat="1" spans="3:13">
      <c r="C7213" s="94"/>
      <c r="E7213" s="94"/>
      <c r="G7213" s="94"/>
      <c r="I7213" s="94"/>
      <c r="K7213" s="94"/>
      <c r="M7213" s="94"/>
    </row>
    <row r="7214" s="93" customFormat="1" spans="3:13">
      <c r="C7214" s="94"/>
      <c r="E7214" s="94"/>
      <c r="G7214" s="94"/>
      <c r="I7214" s="94"/>
      <c r="K7214" s="94"/>
      <c r="M7214" s="94"/>
    </row>
    <row r="7215" s="93" customFormat="1" spans="3:13">
      <c r="C7215" s="94"/>
      <c r="E7215" s="94"/>
      <c r="G7215" s="94"/>
      <c r="I7215" s="94"/>
      <c r="K7215" s="94"/>
      <c r="M7215" s="94"/>
    </row>
    <row r="7216" s="93" customFormat="1" spans="3:13">
      <c r="C7216" s="94"/>
      <c r="E7216" s="94"/>
      <c r="G7216" s="94"/>
      <c r="I7216" s="94"/>
      <c r="K7216" s="94"/>
      <c r="M7216" s="94"/>
    </row>
    <row r="7217" s="93" customFormat="1" spans="3:13">
      <c r="C7217" s="94"/>
      <c r="E7217" s="94"/>
      <c r="G7217" s="94"/>
      <c r="I7217" s="94"/>
      <c r="K7217" s="94"/>
      <c r="M7217" s="94"/>
    </row>
    <row r="7218" s="93" customFormat="1" spans="3:13">
      <c r="C7218" s="94"/>
      <c r="E7218" s="94"/>
      <c r="G7218" s="94"/>
      <c r="I7218" s="94"/>
      <c r="K7218" s="94"/>
      <c r="M7218" s="94"/>
    </row>
    <row r="7219" s="93" customFormat="1" spans="3:13">
      <c r="C7219" s="94"/>
      <c r="E7219" s="94"/>
      <c r="G7219" s="94"/>
      <c r="I7219" s="94"/>
      <c r="K7219" s="94"/>
      <c r="M7219" s="94"/>
    </row>
    <row r="7220" s="93" customFormat="1" spans="3:13">
      <c r="C7220" s="94"/>
      <c r="E7220" s="94"/>
      <c r="G7220" s="94"/>
      <c r="I7220" s="94"/>
      <c r="K7220" s="94"/>
      <c r="M7220" s="94"/>
    </row>
    <row r="7221" s="93" customFormat="1" spans="3:13">
      <c r="C7221" s="94"/>
      <c r="E7221" s="94"/>
      <c r="G7221" s="94"/>
      <c r="I7221" s="94"/>
      <c r="K7221" s="94"/>
      <c r="M7221" s="94"/>
    </row>
    <row r="7222" s="93" customFormat="1" spans="3:13">
      <c r="C7222" s="94"/>
      <c r="E7222" s="94"/>
      <c r="G7222" s="94"/>
      <c r="I7222" s="94"/>
      <c r="K7222" s="94"/>
      <c r="M7222" s="94"/>
    </row>
    <row r="7223" s="93" customFormat="1" spans="3:13">
      <c r="C7223" s="94"/>
      <c r="E7223" s="94"/>
      <c r="G7223" s="94"/>
      <c r="I7223" s="94"/>
      <c r="K7223" s="94"/>
      <c r="M7223" s="94"/>
    </row>
    <row r="7224" s="93" customFormat="1" spans="3:13">
      <c r="C7224" s="94"/>
      <c r="E7224" s="94"/>
      <c r="G7224" s="94"/>
      <c r="I7224" s="94"/>
      <c r="K7224" s="94"/>
      <c r="M7224" s="94"/>
    </row>
    <row r="7225" s="93" customFormat="1" spans="3:13">
      <c r="C7225" s="94"/>
      <c r="E7225" s="94"/>
      <c r="G7225" s="94"/>
      <c r="I7225" s="94"/>
      <c r="K7225" s="94"/>
      <c r="M7225" s="94"/>
    </row>
    <row r="7226" s="93" customFormat="1" spans="3:13">
      <c r="C7226" s="94"/>
      <c r="E7226" s="94"/>
      <c r="G7226" s="94"/>
      <c r="I7226" s="94"/>
      <c r="K7226" s="94"/>
      <c r="M7226" s="94"/>
    </row>
    <row r="7227" s="93" customFormat="1" spans="3:13">
      <c r="C7227" s="94"/>
      <c r="E7227" s="94"/>
      <c r="G7227" s="94"/>
      <c r="I7227" s="94"/>
      <c r="K7227" s="94"/>
      <c r="M7227" s="94"/>
    </row>
    <row r="7228" s="93" customFormat="1" spans="3:13">
      <c r="C7228" s="94"/>
      <c r="E7228" s="94"/>
      <c r="G7228" s="94"/>
      <c r="I7228" s="94"/>
      <c r="K7228" s="94"/>
      <c r="M7228" s="94"/>
    </row>
    <row r="7229" s="93" customFormat="1" spans="3:13">
      <c r="C7229" s="94"/>
      <c r="E7229" s="94"/>
      <c r="G7229" s="94"/>
      <c r="I7229" s="94"/>
      <c r="K7229" s="94"/>
      <c r="M7229" s="94"/>
    </row>
    <row r="7230" s="93" customFormat="1" spans="3:13">
      <c r="C7230" s="94"/>
      <c r="E7230" s="94"/>
      <c r="G7230" s="94"/>
      <c r="I7230" s="94"/>
      <c r="K7230" s="94"/>
      <c r="M7230" s="94"/>
    </row>
    <row r="7231" s="93" customFormat="1" spans="3:13">
      <c r="C7231" s="94"/>
      <c r="E7231" s="94"/>
      <c r="G7231" s="94"/>
      <c r="I7231" s="94"/>
      <c r="K7231" s="94"/>
      <c r="M7231" s="94"/>
    </row>
    <row r="7232" s="93" customFormat="1" spans="3:13">
      <c r="C7232" s="94"/>
      <c r="E7232" s="94"/>
      <c r="G7232" s="94"/>
      <c r="I7232" s="94"/>
      <c r="K7232" s="94"/>
      <c r="M7232" s="94"/>
    </row>
    <row r="7233" s="93" customFormat="1" spans="3:13">
      <c r="C7233" s="94"/>
      <c r="E7233" s="94"/>
      <c r="G7233" s="94"/>
      <c r="I7233" s="94"/>
      <c r="K7233" s="94"/>
      <c r="M7233" s="94"/>
    </row>
    <row r="7234" s="93" customFormat="1" spans="3:13">
      <c r="C7234" s="94"/>
      <c r="E7234" s="94"/>
      <c r="G7234" s="94"/>
      <c r="I7234" s="94"/>
      <c r="K7234" s="94"/>
      <c r="M7234" s="94"/>
    </row>
    <row r="7235" s="93" customFormat="1" spans="3:13">
      <c r="C7235" s="94"/>
      <c r="E7235" s="94"/>
      <c r="G7235" s="94"/>
      <c r="I7235" s="94"/>
      <c r="K7235" s="94"/>
      <c r="M7235" s="94"/>
    </row>
    <row r="7236" s="93" customFormat="1" spans="3:13">
      <c r="C7236" s="94"/>
      <c r="E7236" s="94"/>
      <c r="G7236" s="94"/>
      <c r="I7236" s="94"/>
      <c r="K7236" s="94"/>
      <c r="M7236" s="94"/>
    </row>
    <row r="7237" s="93" customFormat="1" spans="3:13">
      <c r="C7237" s="94"/>
      <c r="E7237" s="94"/>
      <c r="G7237" s="94"/>
      <c r="I7237" s="94"/>
      <c r="K7237" s="94"/>
      <c r="M7237" s="94"/>
    </row>
    <row r="7238" s="93" customFormat="1" spans="3:13">
      <c r="C7238" s="94"/>
      <c r="E7238" s="94"/>
      <c r="G7238" s="94"/>
      <c r="I7238" s="94"/>
      <c r="K7238" s="94"/>
      <c r="M7238" s="94"/>
    </row>
    <row r="7239" s="93" customFormat="1" spans="3:13">
      <c r="C7239" s="94"/>
      <c r="E7239" s="94"/>
      <c r="G7239" s="94"/>
      <c r="I7239" s="94"/>
      <c r="K7239" s="94"/>
      <c r="M7239" s="94"/>
    </row>
    <row r="7240" s="93" customFormat="1" spans="3:13">
      <c r="C7240" s="94"/>
      <c r="E7240" s="94"/>
      <c r="G7240" s="94"/>
      <c r="I7240" s="94"/>
      <c r="K7240" s="94"/>
      <c r="M7240" s="94"/>
    </row>
    <row r="7241" s="93" customFormat="1" spans="3:13">
      <c r="C7241" s="94"/>
      <c r="E7241" s="94"/>
      <c r="G7241" s="94"/>
      <c r="I7241" s="94"/>
      <c r="K7241" s="94"/>
      <c r="M7241" s="94"/>
    </row>
    <row r="7242" s="93" customFormat="1" spans="3:13">
      <c r="C7242" s="94"/>
      <c r="E7242" s="94"/>
      <c r="G7242" s="94"/>
      <c r="I7242" s="94"/>
      <c r="K7242" s="94"/>
      <c r="M7242" s="94"/>
    </row>
    <row r="7243" s="93" customFormat="1" spans="3:13">
      <c r="C7243" s="94"/>
      <c r="E7243" s="94"/>
      <c r="G7243" s="94"/>
      <c r="I7243" s="94"/>
      <c r="K7243" s="94"/>
      <c r="M7243" s="94"/>
    </row>
    <row r="7244" s="93" customFormat="1" spans="3:13">
      <c r="C7244" s="94"/>
      <c r="E7244" s="94"/>
      <c r="G7244" s="94"/>
      <c r="I7244" s="94"/>
      <c r="K7244" s="94"/>
      <c r="M7244" s="94"/>
    </row>
    <row r="7245" s="93" customFormat="1" spans="3:13">
      <c r="C7245" s="94"/>
      <c r="E7245" s="94"/>
      <c r="G7245" s="94"/>
      <c r="I7245" s="94"/>
      <c r="K7245" s="94"/>
      <c r="M7245" s="94"/>
    </row>
    <row r="7246" s="93" customFormat="1" spans="3:13">
      <c r="C7246" s="94"/>
      <c r="E7246" s="94"/>
      <c r="G7246" s="94"/>
      <c r="I7246" s="94"/>
      <c r="K7246" s="94"/>
      <c r="M7246" s="94"/>
    </row>
    <row r="7247" s="93" customFormat="1" spans="3:13">
      <c r="C7247" s="94"/>
      <c r="E7247" s="94"/>
      <c r="G7247" s="94"/>
      <c r="I7247" s="94"/>
      <c r="K7247" s="94"/>
      <c r="M7247" s="94"/>
    </row>
    <row r="7248" s="93" customFormat="1" spans="3:13">
      <c r="C7248" s="94"/>
      <c r="E7248" s="94"/>
      <c r="G7248" s="94"/>
      <c r="I7248" s="94"/>
      <c r="K7248" s="94"/>
      <c r="M7248" s="94"/>
    </row>
    <row r="7249" s="93" customFormat="1" spans="3:13">
      <c r="C7249" s="94"/>
      <c r="E7249" s="94"/>
      <c r="G7249" s="94"/>
      <c r="I7249" s="94"/>
      <c r="K7249" s="94"/>
      <c r="M7249" s="94"/>
    </row>
    <row r="7250" s="93" customFormat="1" spans="3:13">
      <c r="C7250" s="94"/>
      <c r="E7250" s="94"/>
      <c r="G7250" s="94"/>
      <c r="I7250" s="94"/>
      <c r="K7250" s="94"/>
      <c r="M7250" s="94"/>
    </row>
    <row r="7251" s="93" customFormat="1" spans="3:13">
      <c r="C7251" s="94"/>
      <c r="E7251" s="94"/>
      <c r="G7251" s="94"/>
      <c r="I7251" s="94"/>
      <c r="K7251" s="94"/>
      <c r="M7251" s="94"/>
    </row>
    <row r="7252" s="93" customFormat="1" spans="3:13">
      <c r="C7252" s="94"/>
      <c r="E7252" s="94"/>
      <c r="G7252" s="94"/>
      <c r="I7252" s="94"/>
      <c r="K7252" s="94"/>
      <c r="M7252" s="94"/>
    </row>
    <row r="7253" s="93" customFormat="1" spans="3:13">
      <c r="C7253" s="94"/>
      <c r="E7253" s="94"/>
      <c r="G7253" s="94"/>
      <c r="I7253" s="94"/>
      <c r="K7253" s="94"/>
      <c r="M7253" s="94"/>
    </row>
    <row r="7254" s="93" customFormat="1" spans="3:13">
      <c r="C7254" s="94"/>
      <c r="E7254" s="94"/>
      <c r="G7254" s="94"/>
      <c r="I7254" s="94"/>
      <c r="K7254" s="94"/>
      <c r="M7254" s="94"/>
    </row>
    <row r="7255" s="93" customFormat="1" spans="3:13">
      <c r="C7255" s="94"/>
      <c r="E7255" s="94"/>
      <c r="G7255" s="94"/>
      <c r="I7255" s="94"/>
      <c r="K7255" s="94"/>
      <c r="M7255" s="94"/>
    </row>
    <row r="7256" s="93" customFormat="1" spans="3:13">
      <c r="C7256" s="94"/>
      <c r="E7256" s="94"/>
      <c r="G7256" s="94"/>
      <c r="I7256" s="94"/>
      <c r="K7256" s="94"/>
      <c r="M7256" s="94"/>
    </row>
    <row r="7257" s="93" customFormat="1" spans="3:13">
      <c r="C7257" s="94"/>
      <c r="E7257" s="94"/>
      <c r="G7257" s="94"/>
      <c r="I7257" s="94"/>
      <c r="K7257" s="94"/>
      <c r="M7257" s="94"/>
    </row>
    <row r="7258" s="93" customFormat="1" spans="3:13">
      <c r="C7258" s="94"/>
      <c r="E7258" s="94"/>
      <c r="G7258" s="94"/>
      <c r="I7258" s="94"/>
      <c r="K7258" s="94"/>
      <c r="M7258" s="94"/>
    </row>
    <row r="7259" s="93" customFormat="1" spans="3:13">
      <c r="C7259" s="94"/>
      <c r="E7259" s="94"/>
      <c r="G7259" s="94"/>
      <c r="I7259" s="94"/>
      <c r="K7259" s="94"/>
      <c r="M7259" s="94"/>
    </row>
    <row r="7260" s="93" customFormat="1" spans="3:13">
      <c r="C7260" s="94"/>
      <c r="E7260" s="94"/>
      <c r="G7260" s="94"/>
      <c r="I7260" s="94"/>
      <c r="K7260" s="94"/>
      <c r="M7260" s="94"/>
    </row>
    <row r="7261" s="93" customFormat="1" spans="3:13">
      <c r="C7261" s="94"/>
      <c r="E7261" s="94"/>
      <c r="G7261" s="94"/>
      <c r="I7261" s="94"/>
      <c r="K7261" s="94"/>
      <c r="M7261" s="94"/>
    </row>
    <row r="7262" s="93" customFormat="1" spans="3:13">
      <c r="C7262" s="94"/>
      <c r="E7262" s="94"/>
      <c r="G7262" s="94"/>
      <c r="I7262" s="94"/>
      <c r="K7262" s="94"/>
      <c r="M7262" s="94"/>
    </row>
    <row r="7263" s="93" customFormat="1" spans="3:13">
      <c r="C7263" s="94"/>
      <c r="E7263" s="94"/>
      <c r="G7263" s="94"/>
      <c r="I7263" s="94"/>
      <c r="K7263" s="94"/>
      <c r="M7263" s="94"/>
    </row>
    <row r="7264" s="93" customFormat="1" spans="3:13">
      <c r="C7264" s="94"/>
      <c r="E7264" s="94"/>
      <c r="G7264" s="94"/>
      <c r="I7264" s="94"/>
      <c r="K7264" s="94"/>
      <c r="M7264" s="94"/>
    </row>
    <row r="7265" s="93" customFormat="1" spans="3:13">
      <c r="C7265" s="94"/>
      <c r="E7265" s="94"/>
      <c r="G7265" s="94"/>
      <c r="I7265" s="94"/>
      <c r="K7265" s="94"/>
      <c r="M7265" s="94"/>
    </row>
    <row r="7266" s="93" customFormat="1" spans="3:13">
      <c r="C7266" s="94"/>
      <c r="E7266" s="94"/>
      <c r="G7266" s="94"/>
      <c r="I7266" s="94"/>
      <c r="K7266" s="94"/>
      <c r="M7266" s="94"/>
    </row>
    <row r="7267" s="93" customFormat="1" spans="3:13">
      <c r="C7267" s="94"/>
      <c r="E7267" s="94"/>
      <c r="G7267" s="94"/>
      <c r="I7267" s="94"/>
      <c r="K7267" s="94"/>
      <c r="M7267" s="94"/>
    </row>
    <row r="7268" s="93" customFormat="1" spans="3:13">
      <c r="C7268" s="94"/>
      <c r="E7268" s="94"/>
      <c r="G7268" s="94"/>
      <c r="I7268" s="94"/>
      <c r="K7268" s="94"/>
      <c r="M7268" s="94"/>
    </row>
    <row r="7269" s="93" customFormat="1" spans="3:13">
      <c r="C7269" s="94"/>
      <c r="E7269" s="94"/>
      <c r="G7269" s="94"/>
      <c r="I7269" s="94"/>
      <c r="K7269" s="94"/>
      <c r="M7269" s="94"/>
    </row>
    <row r="7270" s="93" customFormat="1" spans="3:13">
      <c r="C7270" s="94"/>
      <c r="E7270" s="94"/>
      <c r="G7270" s="94"/>
      <c r="I7270" s="94"/>
      <c r="K7270" s="94"/>
      <c r="M7270" s="94"/>
    </row>
    <row r="7271" s="93" customFormat="1" spans="3:13">
      <c r="C7271" s="94"/>
      <c r="E7271" s="94"/>
      <c r="G7271" s="94"/>
      <c r="I7271" s="94"/>
      <c r="K7271" s="94"/>
      <c r="M7271" s="94"/>
    </row>
    <row r="7272" s="93" customFormat="1" spans="3:13">
      <c r="C7272" s="94"/>
      <c r="E7272" s="94"/>
      <c r="G7272" s="94"/>
      <c r="I7272" s="94"/>
      <c r="K7272" s="94"/>
      <c r="M7272" s="94"/>
    </row>
    <row r="7273" s="93" customFormat="1" spans="3:13">
      <c r="C7273" s="94"/>
      <c r="E7273" s="94"/>
      <c r="G7273" s="94"/>
      <c r="I7273" s="94"/>
      <c r="K7273" s="94"/>
      <c r="M7273" s="94"/>
    </row>
    <row r="7274" s="93" customFormat="1" spans="3:13">
      <c r="C7274" s="94"/>
      <c r="E7274" s="94"/>
      <c r="G7274" s="94"/>
      <c r="I7274" s="94"/>
      <c r="K7274" s="94"/>
      <c r="M7274" s="94"/>
    </row>
    <row r="7275" s="93" customFormat="1" spans="3:13">
      <c r="C7275" s="94"/>
      <c r="E7275" s="94"/>
      <c r="G7275" s="94"/>
      <c r="I7275" s="94"/>
      <c r="K7275" s="94"/>
      <c r="M7275" s="94"/>
    </row>
    <row r="7276" s="93" customFormat="1" spans="3:13">
      <c r="C7276" s="94"/>
      <c r="E7276" s="94"/>
      <c r="G7276" s="94"/>
      <c r="I7276" s="94"/>
      <c r="K7276" s="94"/>
      <c r="M7276" s="94"/>
    </row>
    <row r="7277" s="93" customFormat="1" spans="3:13">
      <c r="C7277" s="94"/>
      <c r="E7277" s="94"/>
      <c r="G7277" s="94"/>
      <c r="I7277" s="94"/>
      <c r="K7277" s="94"/>
      <c r="M7277" s="94"/>
    </row>
    <row r="7278" s="93" customFormat="1" spans="3:13">
      <c r="C7278" s="94"/>
      <c r="E7278" s="94"/>
      <c r="G7278" s="94"/>
      <c r="I7278" s="94"/>
      <c r="K7278" s="94"/>
      <c r="M7278" s="94"/>
    </row>
    <row r="7279" s="93" customFormat="1" spans="3:13">
      <c r="C7279" s="94"/>
      <c r="E7279" s="94"/>
      <c r="G7279" s="94"/>
      <c r="I7279" s="94"/>
      <c r="K7279" s="94"/>
      <c r="M7279" s="94"/>
    </row>
    <row r="7280" s="93" customFormat="1" spans="3:13">
      <c r="C7280" s="94"/>
      <c r="E7280" s="94"/>
      <c r="G7280" s="94"/>
      <c r="I7280" s="94"/>
      <c r="K7280" s="94"/>
      <c r="M7280" s="94"/>
    </row>
    <row r="7281" s="93" customFormat="1" spans="3:13">
      <c r="C7281" s="94"/>
      <c r="E7281" s="94"/>
      <c r="G7281" s="94"/>
      <c r="I7281" s="94"/>
      <c r="K7281" s="94"/>
      <c r="M7281" s="94"/>
    </row>
    <row r="7282" s="93" customFormat="1" spans="3:13">
      <c r="C7282" s="94"/>
      <c r="E7282" s="94"/>
      <c r="G7282" s="94"/>
      <c r="I7282" s="94"/>
      <c r="K7282" s="94"/>
      <c r="M7282" s="94"/>
    </row>
    <row r="7283" s="93" customFormat="1" spans="3:13">
      <c r="C7283" s="94"/>
      <c r="E7283" s="94"/>
      <c r="G7283" s="94"/>
      <c r="I7283" s="94"/>
      <c r="K7283" s="94"/>
      <c r="M7283" s="94"/>
    </row>
    <row r="7284" s="93" customFormat="1" spans="3:13">
      <c r="C7284" s="94"/>
      <c r="E7284" s="94"/>
      <c r="G7284" s="94"/>
      <c r="I7284" s="94"/>
      <c r="K7284" s="94"/>
      <c r="M7284" s="94"/>
    </row>
    <row r="7285" s="93" customFormat="1" spans="3:13">
      <c r="C7285" s="94"/>
      <c r="E7285" s="94"/>
      <c r="G7285" s="94"/>
      <c r="I7285" s="94"/>
      <c r="K7285" s="94"/>
      <c r="M7285" s="94"/>
    </row>
    <row r="7286" s="93" customFormat="1" spans="3:13">
      <c r="C7286" s="94"/>
      <c r="E7286" s="94"/>
      <c r="G7286" s="94"/>
      <c r="I7286" s="94"/>
      <c r="K7286" s="94"/>
      <c r="M7286" s="94"/>
    </row>
    <row r="7287" s="93" customFormat="1" spans="3:13">
      <c r="C7287" s="94"/>
      <c r="E7287" s="94"/>
      <c r="G7287" s="94"/>
      <c r="I7287" s="94"/>
      <c r="K7287" s="94"/>
      <c r="M7287" s="94"/>
    </row>
    <row r="7288" s="93" customFormat="1" spans="3:13">
      <c r="C7288" s="94"/>
      <c r="E7288" s="94"/>
      <c r="G7288" s="94"/>
      <c r="I7288" s="94"/>
      <c r="K7288" s="94"/>
      <c r="M7288" s="94"/>
    </row>
    <row r="7289" s="93" customFormat="1" spans="3:13">
      <c r="C7289" s="94"/>
      <c r="E7289" s="94"/>
      <c r="G7289" s="94"/>
      <c r="I7289" s="94"/>
      <c r="K7289" s="94"/>
      <c r="M7289" s="94"/>
    </row>
    <row r="7290" s="93" customFormat="1" spans="3:13">
      <c r="C7290" s="94"/>
      <c r="E7290" s="94"/>
      <c r="G7290" s="94"/>
      <c r="I7290" s="94"/>
      <c r="K7290" s="94"/>
      <c r="M7290" s="94"/>
    </row>
    <row r="7291" s="93" customFormat="1" spans="3:13">
      <c r="C7291" s="94"/>
      <c r="E7291" s="94"/>
      <c r="G7291" s="94"/>
      <c r="I7291" s="94"/>
      <c r="K7291" s="94"/>
      <c r="M7291" s="94"/>
    </row>
    <row r="7292" s="93" customFormat="1" spans="3:13">
      <c r="C7292" s="94"/>
      <c r="E7292" s="94"/>
      <c r="G7292" s="94"/>
      <c r="I7292" s="94"/>
      <c r="K7292" s="94"/>
      <c r="M7292" s="94"/>
    </row>
    <row r="7293" s="93" customFormat="1" spans="3:13">
      <c r="C7293" s="94"/>
      <c r="E7293" s="94"/>
      <c r="G7293" s="94"/>
      <c r="I7293" s="94"/>
      <c r="K7293" s="94"/>
      <c r="M7293" s="94"/>
    </row>
    <row r="7294" s="93" customFormat="1" spans="3:13">
      <c r="C7294" s="94"/>
      <c r="E7294" s="94"/>
      <c r="G7294" s="94"/>
      <c r="I7294" s="94"/>
      <c r="K7294" s="94"/>
      <c r="M7294" s="94"/>
    </row>
    <row r="7295" s="93" customFormat="1" spans="3:13">
      <c r="C7295" s="94"/>
      <c r="E7295" s="94"/>
      <c r="G7295" s="94"/>
      <c r="I7295" s="94"/>
      <c r="K7295" s="94"/>
      <c r="M7295" s="94"/>
    </row>
    <row r="7296" s="93" customFormat="1" spans="3:13">
      <c r="C7296" s="94"/>
      <c r="E7296" s="94"/>
      <c r="G7296" s="94"/>
      <c r="I7296" s="94"/>
      <c r="K7296" s="94"/>
      <c r="M7296" s="94"/>
    </row>
    <row r="7297" s="93" customFormat="1" spans="3:13">
      <c r="C7297" s="94"/>
      <c r="E7297" s="94"/>
      <c r="G7297" s="94"/>
      <c r="I7297" s="94"/>
      <c r="K7297" s="94"/>
      <c r="M7297" s="94"/>
    </row>
    <row r="7298" s="93" customFormat="1" spans="3:13">
      <c r="C7298" s="94"/>
      <c r="E7298" s="94"/>
      <c r="G7298" s="94"/>
      <c r="I7298" s="94"/>
      <c r="K7298" s="94"/>
      <c r="M7298" s="94"/>
    </row>
    <row r="7299" s="93" customFormat="1" spans="3:13">
      <c r="C7299" s="94"/>
      <c r="E7299" s="94"/>
      <c r="G7299" s="94"/>
      <c r="I7299" s="94"/>
      <c r="K7299" s="94"/>
      <c r="M7299" s="94"/>
    </row>
    <row r="7300" s="93" customFormat="1" spans="3:13">
      <c r="C7300" s="94"/>
      <c r="E7300" s="94"/>
      <c r="G7300" s="94"/>
      <c r="I7300" s="94"/>
      <c r="K7300" s="94"/>
      <c r="M7300" s="94"/>
    </row>
    <row r="7301" s="93" customFormat="1" spans="3:13">
      <c r="C7301" s="94"/>
      <c r="E7301" s="94"/>
      <c r="G7301" s="94"/>
      <c r="I7301" s="94"/>
      <c r="K7301" s="94"/>
      <c r="M7301" s="94"/>
    </row>
    <row r="7302" s="93" customFormat="1" spans="3:13">
      <c r="C7302" s="94"/>
      <c r="E7302" s="94"/>
      <c r="G7302" s="94"/>
      <c r="I7302" s="94"/>
      <c r="K7302" s="94"/>
      <c r="M7302" s="94"/>
    </row>
    <row r="7303" s="93" customFormat="1" spans="3:13">
      <c r="C7303" s="94"/>
      <c r="E7303" s="94"/>
      <c r="G7303" s="94"/>
      <c r="I7303" s="94"/>
      <c r="K7303" s="94"/>
      <c r="M7303" s="94"/>
    </row>
    <row r="7304" s="93" customFormat="1" spans="3:13">
      <c r="C7304" s="94"/>
      <c r="E7304" s="94"/>
      <c r="G7304" s="94"/>
      <c r="I7304" s="94"/>
      <c r="K7304" s="94"/>
      <c r="M7304" s="94"/>
    </row>
    <row r="7305" s="93" customFormat="1" spans="3:13">
      <c r="C7305" s="94"/>
      <c r="E7305" s="94"/>
      <c r="G7305" s="94"/>
      <c r="I7305" s="94"/>
      <c r="K7305" s="94"/>
      <c r="M7305" s="94"/>
    </row>
    <row r="7306" s="93" customFormat="1" spans="3:13">
      <c r="C7306" s="94"/>
      <c r="E7306" s="94"/>
      <c r="G7306" s="94"/>
      <c r="I7306" s="94"/>
      <c r="K7306" s="94"/>
      <c r="M7306" s="94"/>
    </row>
    <row r="7307" s="93" customFormat="1" spans="3:13">
      <c r="C7307" s="94"/>
      <c r="E7307" s="94"/>
      <c r="G7307" s="94"/>
      <c r="I7307" s="94"/>
      <c r="K7307" s="94"/>
      <c r="M7307" s="94"/>
    </row>
    <row r="7308" s="93" customFormat="1" spans="3:13">
      <c r="C7308" s="94"/>
      <c r="E7308" s="94"/>
      <c r="G7308" s="94"/>
      <c r="I7308" s="94"/>
      <c r="K7308" s="94"/>
      <c r="M7308" s="94"/>
    </row>
    <row r="7309" s="93" customFormat="1" spans="3:13">
      <c r="C7309" s="94"/>
      <c r="E7309" s="94"/>
      <c r="G7309" s="94"/>
      <c r="I7309" s="94"/>
      <c r="K7309" s="94"/>
      <c r="M7309" s="94"/>
    </row>
    <row r="7310" s="93" customFormat="1" spans="3:13">
      <c r="C7310" s="94"/>
      <c r="E7310" s="94"/>
      <c r="G7310" s="94"/>
      <c r="I7310" s="94"/>
      <c r="K7310" s="94"/>
      <c r="M7310" s="94"/>
    </row>
    <row r="7311" s="93" customFormat="1" spans="3:13">
      <c r="C7311" s="94"/>
      <c r="E7311" s="94"/>
      <c r="G7311" s="94"/>
      <c r="I7311" s="94"/>
      <c r="K7311" s="94"/>
      <c r="M7311" s="94"/>
    </row>
    <row r="7312" s="93" customFormat="1" spans="3:13">
      <c r="C7312" s="94"/>
      <c r="E7312" s="94"/>
      <c r="G7312" s="94"/>
      <c r="I7312" s="94"/>
      <c r="K7312" s="94"/>
      <c r="M7312" s="94"/>
    </row>
    <row r="7313" s="93" customFormat="1" spans="3:13">
      <c r="C7313" s="94"/>
      <c r="E7313" s="94"/>
      <c r="G7313" s="94"/>
      <c r="I7313" s="94"/>
      <c r="K7313" s="94"/>
      <c r="M7313" s="94"/>
    </row>
    <row r="7314" s="93" customFormat="1" spans="3:13">
      <c r="C7314" s="94"/>
      <c r="E7314" s="94"/>
      <c r="G7314" s="94"/>
      <c r="I7314" s="94"/>
      <c r="K7314" s="94"/>
      <c r="M7314" s="94"/>
    </row>
    <row r="7315" s="93" customFormat="1" spans="3:13">
      <c r="C7315" s="94"/>
      <c r="E7315" s="94"/>
      <c r="G7315" s="94"/>
      <c r="I7315" s="94"/>
      <c r="K7315" s="94"/>
      <c r="M7315" s="94"/>
    </row>
    <row r="7316" s="93" customFormat="1" spans="3:13">
      <c r="C7316" s="94"/>
      <c r="E7316" s="94"/>
      <c r="G7316" s="94"/>
      <c r="I7316" s="94"/>
      <c r="K7316" s="94"/>
      <c r="M7316" s="94"/>
    </row>
    <row r="7317" s="93" customFormat="1" spans="3:13">
      <c r="C7317" s="94"/>
      <c r="E7317" s="94"/>
      <c r="G7317" s="94"/>
      <c r="I7317" s="94"/>
      <c r="K7317" s="94"/>
      <c r="M7317" s="94"/>
    </row>
    <row r="7318" s="93" customFormat="1" spans="3:13">
      <c r="C7318" s="94"/>
      <c r="E7318" s="94"/>
      <c r="G7318" s="94"/>
      <c r="I7318" s="94"/>
      <c r="K7318" s="94"/>
      <c r="M7318" s="94"/>
    </row>
    <row r="7319" s="93" customFormat="1" spans="3:13">
      <c r="C7319" s="94"/>
      <c r="E7319" s="94"/>
      <c r="G7319" s="94"/>
      <c r="I7319" s="94"/>
      <c r="K7319" s="94"/>
      <c r="M7319" s="94"/>
    </row>
    <row r="7320" s="93" customFormat="1" spans="3:13">
      <c r="C7320" s="94"/>
      <c r="E7320" s="94"/>
      <c r="G7320" s="94"/>
      <c r="I7320" s="94"/>
      <c r="K7320" s="94"/>
      <c r="M7320" s="94"/>
    </row>
    <row r="7321" s="93" customFormat="1" spans="3:13">
      <c r="C7321" s="94"/>
      <c r="E7321" s="94"/>
      <c r="G7321" s="94"/>
      <c r="I7321" s="94"/>
      <c r="K7321" s="94"/>
      <c r="M7321" s="94"/>
    </row>
    <row r="7322" s="93" customFormat="1" spans="3:13">
      <c r="C7322" s="94"/>
      <c r="E7322" s="94"/>
      <c r="G7322" s="94"/>
      <c r="I7322" s="94"/>
      <c r="K7322" s="94"/>
      <c r="M7322" s="94"/>
    </row>
    <row r="7323" s="93" customFormat="1" spans="3:13">
      <c r="C7323" s="94"/>
      <c r="E7323" s="94"/>
      <c r="G7323" s="94"/>
      <c r="I7323" s="94"/>
      <c r="K7323" s="94"/>
      <c r="M7323" s="94"/>
    </row>
    <row r="7324" s="93" customFormat="1" spans="3:13">
      <c r="C7324" s="94"/>
      <c r="E7324" s="94"/>
      <c r="G7324" s="94"/>
      <c r="I7324" s="94"/>
      <c r="K7324" s="94"/>
      <c r="M7324" s="94"/>
    </row>
    <row r="7325" s="93" customFormat="1" spans="3:13">
      <c r="C7325" s="94"/>
      <c r="E7325" s="94"/>
      <c r="G7325" s="94"/>
      <c r="I7325" s="94"/>
      <c r="K7325" s="94"/>
      <c r="M7325" s="94"/>
    </row>
    <row r="7326" s="93" customFormat="1" spans="3:13">
      <c r="C7326" s="94"/>
      <c r="E7326" s="94"/>
      <c r="G7326" s="94"/>
      <c r="I7326" s="94"/>
      <c r="K7326" s="94"/>
      <c r="M7326" s="94"/>
    </row>
    <row r="7327" s="93" customFormat="1" spans="3:13">
      <c r="C7327" s="94"/>
      <c r="E7327" s="94"/>
      <c r="G7327" s="94"/>
      <c r="I7327" s="94"/>
      <c r="K7327" s="94"/>
      <c r="M7327" s="94"/>
    </row>
    <row r="7328" s="93" customFormat="1" spans="3:13">
      <c r="C7328" s="94"/>
      <c r="E7328" s="94"/>
      <c r="G7328" s="94"/>
      <c r="I7328" s="94"/>
      <c r="K7328" s="94"/>
      <c r="M7328" s="94"/>
    </row>
    <row r="7329" s="93" customFormat="1" spans="3:13">
      <c r="C7329" s="94"/>
      <c r="E7329" s="94"/>
      <c r="G7329" s="94"/>
      <c r="I7329" s="94"/>
      <c r="K7329" s="94"/>
      <c r="M7329" s="94"/>
    </row>
    <row r="7330" s="93" customFormat="1" spans="3:13">
      <c r="C7330" s="94"/>
      <c r="E7330" s="94"/>
      <c r="G7330" s="94"/>
      <c r="I7330" s="94"/>
      <c r="K7330" s="94"/>
      <c r="M7330" s="94"/>
    </row>
    <row r="7331" s="93" customFormat="1" spans="3:13">
      <c r="C7331" s="94"/>
      <c r="E7331" s="94"/>
      <c r="G7331" s="94"/>
      <c r="I7331" s="94"/>
      <c r="K7331" s="94"/>
      <c r="M7331" s="94"/>
    </row>
    <row r="7332" s="93" customFormat="1" spans="3:13">
      <c r="C7332" s="94"/>
      <c r="E7332" s="94"/>
      <c r="G7332" s="94"/>
      <c r="I7332" s="94"/>
      <c r="K7332" s="94"/>
      <c r="M7332" s="94"/>
    </row>
    <row r="7333" s="93" customFormat="1" spans="3:13">
      <c r="C7333" s="94"/>
      <c r="E7333" s="94"/>
      <c r="G7333" s="94"/>
      <c r="I7333" s="94"/>
      <c r="K7333" s="94"/>
      <c r="M7333" s="94"/>
    </row>
    <row r="7334" s="93" customFormat="1" spans="3:13">
      <c r="C7334" s="94"/>
      <c r="E7334" s="94"/>
      <c r="G7334" s="94"/>
      <c r="I7334" s="94"/>
      <c r="K7334" s="94"/>
      <c r="M7334" s="94"/>
    </row>
    <row r="7335" s="93" customFormat="1" spans="3:13">
      <c r="C7335" s="94"/>
      <c r="E7335" s="94"/>
      <c r="G7335" s="94"/>
      <c r="I7335" s="94"/>
      <c r="K7335" s="94"/>
      <c r="M7335" s="94"/>
    </row>
    <row r="7336" s="93" customFormat="1" spans="3:13">
      <c r="C7336" s="94"/>
      <c r="E7336" s="94"/>
      <c r="G7336" s="94"/>
      <c r="I7336" s="94"/>
      <c r="K7336" s="94"/>
      <c r="M7336" s="94"/>
    </row>
    <row r="7337" s="93" customFormat="1" spans="3:13">
      <c r="C7337" s="94"/>
      <c r="E7337" s="94"/>
      <c r="G7337" s="94"/>
      <c r="I7337" s="94"/>
      <c r="K7337" s="94"/>
      <c r="M7337" s="94"/>
    </row>
    <row r="7338" s="93" customFormat="1" spans="3:13">
      <c r="C7338" s="94"/>
      <c r="E7338" s="94"/>
      <c r="G7338" s="94"/>
      <c r="I7338" s="94"/>
      <c r="K7338" s="94"/>
      <c r="M7338" s="94"/>
    </row>
    <row r="7339" s="93" customFormat="1" spans="3:13">
      <c r="C7339" s="94"/>
      <c r="E7339" s="94"/>
      <c r="G7339" s="94"/>
      <c r="I7339" s="94"/>
      <c r="K7339" s="94"/>
      <c r="M7339" s="94"/>
    </row>
    <row r="7340" s="93" customFormat="1" spans="3:13">
      <c r="C7340" s="94"/>
      <c r="E7340" s="94"/>
      <c r="G7340" s="94"/>
      <c r="I7340" s="94"/>
      <c r="K7340" s="94"/>
      <c r="M7340" s="94"/>
    </row>
    <row r="7341" s="93" customFormat="1" spans="3:13">
      <c r="C7341" s="94"/>
      <c r="E7341" s="94"/>
      <c r="G7341" s="94"/>
      <c r="I7341" s="94"/>
      <c r="K7341" s="94"/>
      <c r="M7341" s="94"/>
    </row>
    <row r="7342" s="93" customFormat="1" spans="3:13">
      <c r="C7342" s="94"/>
      <c r="E7342" s="94"/>
      <c r="G7342" s="94"/>
      <c r="I7342" s="94"/>
      <c r="K7342" s="94"/>
      <c r="M7342" s="94"/>
    </row>
    <row r="7343" s="93" customFormat="1" spans="3:13">
      <c r="C7343" s="94"/>
      <c r="E7343" s="94"/>
      <c r="G7343" s="94"/>
      <c r="I7343" s="94"/>
      <c r="K7343" s="94"/>
      <c r="M7343" s="94"/>
    </row>
    <row r="7344" s="93" customFormat="1" spans="3:13">
      <c r="C7344" s="94"/>
      <c r="E7344" s="94"/>
      <c r="G7344" s="94"/>
      <c r="I7344" s="94"/>
      <c r="K7344" s="94"/>
      <c r="M7344" s="94"/>
    </row>
    <row r="7345" s="93" customFormat="1" spans="3:13">
      <c r="C7345" s="94"/>
      <c r="E7345" s="94"/>
      <c r="G7345" s="94"/>
      <c r="I7345" s="94"/>
      <c r="K7345" s="94"/>
      <c r="M7345" s="94"/>
    </row>
    <row r="7346" s="93" customFormat="1" spans="3:13">
      <c r="C7346" s="94"/>
      <c r="E7346" s="94"/>
      <c r="G7346" s="94"/>
      <c r="I7346" s="94"/>
      <c r="K7346" s="94"/>
      <c r="M7346" s="94"/>
    </row>
    <row r="7347" s="93" customFormat="1" spans="3:13">
      <c r="C7347" s="94"/>
      <c r="E7347" s="94"/>
      <c r="G7347" s="94"/>
      <c r="I7347" s="94"/>
      <c r="K7347" s="94"/>
      <c r="M7347" s="94"/>
    </row>
    <row r="7348" s="93" customFormat="1" spans="3:13">
      <c r="C7348" s="94"/>
      <c r="E7348" s="94"/>
      <c r="G7348" s="94"/>
      <c r="I7348" s="94"/>
      <c r="K7348" s="94"/>
      <c r="M7348" s="94"/>
    </row>
    <row r="7349" s="93" customFormat="1" spans="3:13">
      <c r="C7349" s="94"/>
      <c r="E7349" s="94"/>
      <c r="G7349" s="94"/>
      <c r="I7349" s="94"/>
      <c r="K7349" s="94"/>
      <c r="M7349" s="94"/>
    </row>
    <row r="7350" s="93" customFormat="1" spans="3:13">
      <c r="C7350" s="94"/>
      <c r="E7350" s="94"/>
      <c r="G7350" s="94"/>
      <c r="I7350" s="94"/>
      <c r="K7350" s="94"/>
      <c r="M7350" s="94"/>
    </row>
    <row r="7351" s="93" customFormat="1" spans="3:13">
      <c r="C7351" s="94"/>
      <c r="E7351" s="94"/>
      <c r="G7351" s="94"/>
      <c r="I7351" s="94"/>
      <c r="K7351" s="94"/>
      <c r="M7351" s="94"/>
    </row>
    <row r="7352" s="93" customFormat="1" spans="3:13">
      <c r="C7352" s="94"/>
      <c r="E7352" s="94"/>
      <c r="G7352" s="94"/>
      <c r="I7352" s="94"/>
      <c r="K7352" s="94"/>
      <c r="M7352" s="94"/>
    </row>
    <row r="7353" s="93" customFormat="1" spans="3:13">
      <c r="C7353" s="94"/>
      <c r="E7353" s="94"/>
      <c r="G7353" s="94"/>
      <c r="I7353" s="94"/>
      <c r="K7353" s="94"/>
      <c r="M7353" s="94"/>
    </row>
    <row r="7354" s="93" customFormat="1" spans="3:13">
      <c r="C7354" s="94"/>
      <c r="E7354" s="94"/>
      <c r="G7354" s="94"/>
      <c r="I7354" s="94"/>
      <c r="K7354" s="94"/>
      <c r="M7354" s="94"/>
    </row>
    <row r="7355" s="93" customFormat="1" spans="3:13">
      <c r="C7355" s="94"/>
      <c r="E7355" s="94"/>
      <c r="G7355" s="94"/>
      <c r="I7355" s="94"/>
      <c r="K7355" s="94"/>
      <c r="M7355" s="94"/>
    </row>
    <row r="7356" s="93" customFormat="1" spans="3:13">
      <c r="C7356" s="94"/>
      <c r="E7356" s="94"/>
      <c r="G7356" s="94"/>
      <c r="I7356" s="94"/>
      <c r="K7356" s="94"/>
      <c r="M7356" s="94"/>
    </row>
    <row r="7357" s="93" customFormat="1" spans="3:13">
      <c r="C7357" s="94"/>
      <c r="E7357" s="94"/>
      <c r="G7357" s="94"/>
      <c r="I7357" s="94"/>
      <c r="K7357" s="94"/>
      <c r="M7357" s="94"/>
    </row>
    <row r="7358" s="93" customFormat="1" spans="3:13">
      <c r="C7358" s="94"/>
      <c r="E7358" s="94"/>
      <c r="G7358" s="94"/>
      <c r="I7358" s="94"/>
      <c r="K7358" s="94"/>
      <c r="M7358" s="94"/>
    </row>
    <row r="7359" s="93" customFormat="1" spans="3:13">
      <c r="C7359" s="94"/>
      <c r="E7359" s="94"/>
      <c r="G7359" s="94"/>
      <c r="I7359" s="94"/>
      <c r="K7359" s="94"/>
      <c r="M7359" s="94"/>
    </row>
    <row r="7360" s="93" customFormat="1" spans="3:13">
      <c r="C7360" s="94"/>
      <c r="E7360" s="94"/>
      <c r="G7360" s="94"/>
      <c r="I7360" s="94"/>
      <c r="K7360" s="94"/>
      <c r="M7360" s="94"/>
    </row>
    <row r="7361" s="93" customFormat="1" spans="3:13">
      <c r="C7361" s="94"/>
      <c r="E7361" s="94"/>
      <c r="G7361" s="94"/>
      <c r="I7361" s="94"/>
      <c r="K7361" s="94"/>
      <c r="M7361" s="94"/>
    </row>
    <row r="7362" s="93" customFormat="1" spans="3:13">
      <c r="C7362" s="94"/>
      <c r="E7362" s="94"/>
      <c r="G7362" s="94"/>
      <c r="I7362" s="94"/>
      <c r="K7362" s="94"/>
      <c r="M7362" s="94"/>
    </row>
    <row r="7363" s="93" customFormat="1" spans="3:13">
      <c r="C7363" s="94"/>
      <c r="E7363" s="94"/>
      <c r="G7363" s="94"/>
      <c r="I7363" s="94"/>
      <c r="K7363" s="94"/>
      <c r="M7363" s="94"/>
    </row>
    <row r="7364" s="93" customFormat="1" spans="3:13">
      <c r="C7364" s="94"/>
      <c r="E7364" s="94"/>
      <c r="G7364" s="94"/>
      <c r="I7364" s="94"/>
      <c r="K7364" s="94"/>
      <c r="M7364" s="94"/>
    </row>
    <row r="7365" s="93" customFormat="1" spans="3:13">
      <c r="C7365" s="94"/>
      <c r="E7365" s="94"/>
      <c r="G7365" s="94"/>
      <c r="I7365" s="94"/>
      <c r="K7365" s="94"/>
      <c r="M7365" s="94"/>
    </row>
    <row r="7366" s="93" customFormat="1" spans="3:13">
      <c r="C7366" s="94"/>
      <c r="E7366" s="94"/>
      <c r="G7366" s="94"/>
      <c r="I7366" s="94"/>
      <c r="K7366" s="94"/>
      <c r="M7366" s="94"/>
    </row>
    <row r="7367" s="93" customFormat="1" spans="3:13">
      <c r="C7367" s="94"/>
      <c r="E7367" s="94"/>
      <c r="G7367" s="94"/>
      <c r="I7367" s="94"/>
      <c r="K7367" s="94"/>
      <c r="M7367" s="94"/>
    </row>
    <row r="7368" s="93" customFormat="1" spans="3:13">
      <c r="C7368" s="94"/>
      <c r="E7368" s="94"/>
      <c r="G7368" s="94"/>
      <c r="I7368" s="94"/>
      <c r="K7368" s="94"/>
      <c r="M7368" s="94"/>
    </row>
    <row r="7369" s="93" customFormat="1" spans="3:13">
      <c r="C7369" s="94"/>
      <c r="E7369" s="94"/>
      <c r="G7369" s="94"/>
      <c r="I7369" s="94"/>
      <c r="K7369" s="94"/>
      <c r="M7369" s="94"/>
    </row>
    <row r="7370" s="93" customFormat="1" spans="3:13">
      <c r="C7370" s="94"/>
      <c r="E7370" s="94"/>
      <c r="G7370" s="94"/>
      <c r="I7370" s="94"/>
      <c r="K7370" s="94"/>
      <c r="M7370" s="94"/>
    </row>
    <row r="7371" s="93" customFormat="1" spans="3:13">
      <c r="C7371" s="94"/>
      <c r="E7371" s="94"/>
      <c r="G7371" s="94"/>
      <c r="I7371" s="94"/>
      <c r="K7371" s="94"/>
      <c r="M7371" s="94"/>
    </row>
    <row r="7372" s="93" customFormat="1" spans="3:13">
      <c r="C7372" s="94"/>
      <c r="E7372" s="94"/>
      <c r="G7372" s="94"/>
      <c r="I7372" s="94"/>
      <c r="K7372" s="94"/>
      <c r="M7372" s="94"/>
    </row>
    <row r="7373" s="93" customFormat="1" spans="3:13">
      <c r="C7373" s="94"/>
      <c r="E7373" s="94"/>
      <c r="G7373" s="94"/>
      <c r="I7373" s="94"/>
      <c r="K7373" s="94"/>
      <c r="M7373" s="94"/>
    </row>
    <row r="7374" s="93" customFormat="1" spans="3:13">
      <c r="C7374" s="94"/>
      <c r="E7374" s="94"/>
      <c r="G7374" s="94"/>
      <c r="I7374" s="94"/>
      <c r="K7374" s="94"/>
      <c r="M7374" s="94"/>
    </row>
    <row r="7375" s="93" customFormat="1" spans="3:13">
      <c r="C7375" s="94"/>
      <c r="E7375" s="94"/>
      <c r="G7375" s="94"/>
      <c r="I7375" s="94"/>
      <c r="K7375" s="94"/>
      <c r="M7375" s="94"/>
    </row>
    <row r="7376" s="93" customFormat="1" spans="3:13">
      <c r="C7376" s="94"/>
      <c r="E7376" s="94"/>
      <c r="G7376" s="94"/>
      <c r="I7376" s="94"/>
      <c r="K7376" s="94"/>
      <c r="M7376" s="94"/>
    </row>
    <row r="7377" s="93" customFormat="1" spans="3:13">
      <c r="C7377" s="94"/>
      <c r="E7377" s="94"/>
      <c r="G7377" s="94"/>
      <c r="I7377" s="94"/>
      <c r="K7377" s="94"/>
      <c r="M7377" s="94"/>
    </row>
    <row r="7378" s="93" customFormat="1" spans="3:13">
      <c r="C7378" s="94"/>
      <c r="E7378" s="94"/>
      <c r="G7378" s="94"/>
      <c r="I7378" s="94"/>
      <c r="K7378" s="94"/>
      <c r="M7378" s="94"/>
    </row>
    <row r="7379" s="93" customFormat="1" spans="3:13">
      <c r="C7379" s="94"/>
      <c r="E7379" s="94"/>
      <c r="G7379" s="94"/>
      <c r="I7379" s="94"/>
      <c r="K7379" s="94"/>
      <c r="M7379" s="94"/>
    </row>
    <row r="7380" s="93" customFormat="1" spans="3:13">
      <c r="C7380" s="94"/>
      <c r="E7380" s="94"/>
      <c r="G7380" s="94"/>
      <c r="I7380" s="94"/>
      <c r="K7380" s="94"/>
      <c r="M7380" s="94"/>
    </row>
    <row r="7381" s="93" customFormat="1" spans="3:13">
      <c r="C7381" s="94"/>
      <c r="E7381" s="94"/>
      <c r="G7381" s="94"/>
      <c r="I7381" s="94"/>
      <c r="K7381" s="94"/>
      <c r="M7381" s="94"/>
    </row>
    <row r="7382" s="93" customFormat="1" spans="3:13">
      <c r="C7382" s="94"/>
      <c r="E7382" s="94"/>
      <c r="G7382" s="94"/>
      <c r="I7382" s="94"/>
      <c r="K7382" s="94"/>
      <c r="M7382" s="94"/>
    </row>
    <row r="7383" s="93" customFormat="1" spans="3:13">
      <c r="C7383" s="94"/>
      <c r="E7383" s="94"/>
      <c r="G7383" s="94"/>
      <c r="I7383" s="94"/>
      <c r="K7383" s="94"/>
      <c r="M7383" s="94"/>
    </row>
    <row r="7384" s="93" customFormat="1" spans="3:13">
      <c r="C7384" s="94"/>
      <c r="E7384" s="94"/>
      <c r="G7384" s="94"/>
      <c r="I7384" s="94"/>
      <c r="K7384" s="94"/>
      <c r="M7384" s="94"/>
    </row>
    <row r="7385" s="93" customFormat="1" spans="3:13">
      <c r="C7385" s="94"/>
      <c r="E7385" s="94"/>
      <c r="G7385" s="94"/>
      <c r="I7385" s="94"/>
      <c r="K7385" s="94"/>
      <c r="M7385" s="94"/>
    </row>
    <row r="7386" s="93" customFormat="1" spans="3:13">
      <c r="C7386" s="94"/>
      <c r="E7386" s="94"/>
      <c r="G7386" s="94"/>
      <c r="I7386" s="94"/>
      <c r="K7386" s="94"/>
      <c r="M7386" s="94"/>
    </row>
    <row r="7387" s="93" customFormat="1" spans="3:13">
      <c r="C7387" s="94"/>
      <c r="E7387" s="94"/>
      <c r="G7387" s="94"/>
      <c r="I7387" s="94"/>
      <c r="K7387" s="94"/>
      <c r="M7387" s="94"/>
    </row>
    <row r="7388" s="93" customFormat="1" spans="3:13">
      <c r="C7388" s="94"/>
      <c r="E7388" s="94"/>
      <c r="G7388" s="94"/>
      <c r="I7388" s="94"/>
      <c r="K7388" s="94"/>
      <c r="M7388" s="94"/>
    </row>
    <row r="7389" s="93" customFormat="1" spans="3:13">
      <c r="C7389" s="94"/>
      <c r="E7389" s="94"/>
      <c r="G7389" s="94"/>
      <c r="I7389" s="94"/>
      <c r="K7389" s="94"/>
      <c r="M7389" s="94"/>
    </row>
    <row r="7390" s="93" customFormat="1" spans="3:13">
      <c r="C7390" s="94"/>
      <c r="E7390" s="94"/>
      <c r="G7390" s="94"/>
      <c r="I7390" s="94"/>
      <c r="K7390" s="94"/>
      <c r="M7390" s="94"/>
    </row>
    <row r="7391" s="93" customFormat="1" spans="3:13">
      <c r="C7391" s="94"/>
      <c r="E7391" s="94"/>
      <c r="G7391" s="94"/>
      <c r="I7391" s="94"/>
      <c r="K7391" s="94"/>
      <c r="M7391" s="94"/>
    </row>
    <row r="7392" s="93" customFormat="1" spans="3:13">
      <c r="C7392" s="94"/>
      <c r="E7392" s="94"/>
      <c r="G7392" s="94"/>
      <c r="I7392" s="94"/>
      <c r="K7392" s="94"/>
      <c r="M7392" s="94"/>
    </row>
    <row r="7393" s="93" customFormat="1" spans="3:13">
      <c r="C7393" s="94"/>
      <c r="E7393" s="94"/>
      <c r="G7393" s="94"/>
      <c r="I7393" s="94"/>
      <c r="K7393" s="94"/>
      <c r="M7393" s="94"/>
    </row>
    <row r="7394" s="93" customFormat="1" spans="3:13">
      <c r="C7394" s="94"/>
      <c r="E7394" s="94"/>
      <c r="G7394" s="94"/>
      <c r="I7394" s="94"/>
      <c r="K7394" s="94"/>
      <c r="M7394" s="94"/>
    </row>
    <row r="7395" s="93" customFormat="1" spans="3:13">
      <c r="C7395" s="94"/>
      <c r="E7395" s="94"/>
      <c r="G7395" s="94"/>
      <c r="I7395" s="94"/>
      <c r="K7395" s="94"/>
      <c r="M7395" s="94"/>
    </row>
    <row r="7396" s="93" customFormat="1" spans="3:13">
      <c r="C7396" s="94"/>
      <c r="E7396" s="94"/>
      <c r="G7396" s="94"/>
      <c r="I7396" s="94"/>
      <c r="K7396" s="94"/>
      <c r="M7396" s="94"/>
    </row>
    <row r="7397" s="93" customFormat="1" spans="3:13">
      <c r="C7397" s="94"/>
      <c r="E7397" s="94"/>
      <c r="G7397" s="94"/>
      <c r="I7397" s="94"/>
      <c r="K7397" s="94"/>
      <c r="M7397" s="94"/>
    </row>
    <row r="7398" s="93" customFormat="1" spans="3:13">
      <c r="C7398" s="94"/>
      <c r="E7398" s="94"/>
      <c r="G7398" s="94"/>
      <c r="I7398" s="94"/>
      <c r="K7398" s="94"/>
      <c r="M7398" s="94"/>
    </row>
    <row r="7399" s="93" customFormat="1" spans="3:13">
      <c r="C7399" s="94"/>
      <c r="E7399" s="94"/>
      <c r="G7399" s="94"/>
      <c r="I7399" s="94"/>
      <c r="K7399" s="94"/>
      <c r="M7399" s="94"/>
    </row>
    <row r="7400" s="93" customFormat="1" spans="3:13">
      <c r="C7400" s="94"/>
      <c r="E7400" s="94"/>
      <c r="G7400" s="94"/>
      <c r="I7400" s="94"/>
      <c r="K7400" s="94"/>
      <c r="M7400" s="94"/>
    </row>
    <row r="7401" s="93" customFormat="1" spans="3:13">
      <c r="C7401" s="94"/>
      <c r="E7401" s="94"/>
      <c r="G7401" s="94"/>
      <c r="I7401" s="94"/>
      <c r="K7401" s="94"/>
      <c r="M7401" s="94"/>
    </row>
    <row r="7402" s="93" customFormat="1" spans="3:13">
      <c r="C7402" s="94"/>
      <c r="E7402" s="94"/>
      <c r="G7402" s="94"/>
      <c r="I7402" s="94"/>
      <c r="K7402" s="94"/>
      <c r="M7402" s="94"/>
    </row>
    <row r="7403" s="93" customFormat="1" spans="3:13">
      <c r="C7403" s="94"/>
      <c r="E7403" s="94"/>
      <c r="G7403" s="94"/>
      <c r="I7403" s="94"/>
      <c r="K7403" s="94"/>
      <c r="M7403" s="94"/>
    </row>
    <row r="7404" s="93" customFormat="1" spans="3:13">
      <c r="C7404" s="94"/>
      <c r="E7404" s="94"/>
      <c r="G7404" s="94"/>
      <c r="I7404" s="94"/>
      <c r="K7404" s="94"/>
      <c r="M7404" s="94"/>
    </row>
    <row r="7405" s="93" customFormat="1" spans="3:13">
      <c r="C7405" s="94"/>
      <c r="E7405" s="94"/>
      <c r="G7405" s="94"/>
      <c r="I7405" s="94"/>
      <c r="K7405" s="94"/>
      <c r="M7405" s="94"/>
    </row>
    <row r="7406" s="93" customFormat="1" spans="3:13">
      <c r="C7406" s="94"/>
      <c r="E7406" s="94"/>
      <c r="G7406" s="94"/>
      <c r="I7406" s="94"/>
      <c r="K7406" s="94"/>
      <c r="M7406" s="94"/>
    </row>
    <row r="7407" s="93" customFormat="1" spans="3:13">
      <c r="C7407" s="94"/>
      <c r="E7407" s="94"/>
      <c r="G7407" s="94"/>
      <c r="I7407" s="94"/>
      <c r="K7407" s="94"/>
      <c r="M7407" s="94"/>
    </row>
    <row r="7408" s="93" customFormat="1" spans="3:13">
      <c r="C7408" s="94"/>
      <c r="E7408" s="94"/>
      <c r="G7408" s="94"/>
      <c r="I7408" s="94"/>
      <c r="K7408" s="94"/>
      <c r="M7408" s="94"/>
    </row>
    <row r="7409" s="93" customFormat="1" spans="3:13">
      <c r="C7409" s="94"/>
      <c r="E7409" s="94"/>
      <c r="G7409" s="94"/>
      <c r="I7409" s="94"/>
      <c r="K7409" s="94"/>
      <c r="M7409" s="94"/>
    </row>
    <row r="7410" s="93" customFormat="1" spans="3:13">
      <c r="C7410" s="94"/>
      <c r="E7410" s="94"/>
      <c r="G7410" s="94"/>
      <c r="I7410" s="94"/>
      <c r="K7410" s="94"/>
      <c r="M7410" s="94"/>
    </row>
    <row r="7411" s="93" customFormat="1" spans="3:13">
      <c r="C7411" s="94"/>
      <c r="E7411" s="94"/>
      <c r="G7411" s="94"/>
      <c r="I7411" s="94"/>
      <c r="K7411" s="94"/>
      <c r="M7411" s="94"/>
    </row>
    <row r="7412" s="93" customFormat="1" spans="3:13">
      <c r="C7412" s="94"/>
      <c r="E7412" s="94"/>
      <c r="G7412" s="94"/>
      <c r="I7412" s="94"/>
      <c r="K7412" s="94"/>
      <c r="M7412" s="94"/>
    </row>
    <row r="7413" s="93" customFormat="1" spans="3:13">
      <c r="C7413" s="94"/>
      <c r="E7413" s="94"/>
      <c r="G7413" s="94"/>
      <c r="I7413" s="94"/>
      <c r="K7413" s="94"/>
      <c r="M7413" s="94"/>
    </row>
    <row r="7414" s="93" customFormat="1" spans="3:13">
      <c r="C7414" s="94"/>
      <c r="E7414" s="94"/>
      <c r="G7414" s="94"/>
      <c r="I7414" s="94"/>
      <c r="K7414" s="94"/>
      <c r="M7414" s="94"/>
    </row>
    <row r="7415" s="93" customFormat="1" spans="3:13">
      <c r="C7415" s="94"/>
      <c r="E7415" s="94"/>
      <c r="G7415" s="94"/>
      <c r="I7415" s="94"/>
      <c r="K7415" s="94"/>
      <c r="M7415" s="94"/>
    </row>
    <row r="7416" s="93" customFormat="1" spans="3:13">
      <c r="C7416" s="94"/>
      <c r="E7416" s="94"/>
      <c r="G7416" s="94"/>
      <c r="I7416" s="94"/>
      <c r="K7416" s="94"/>
      <c r="M7416" s="94"/>
    </row>
    <row r="7417" s="93" customFormat="1" spans="3:13">
      <c r="C7417" s="94"/>
      <c r="E7417" s="94"/>
      <c r="G7417" s="94"/>
      <c r="I7417" s="94"/>
      <c r="K7417" s="94"/>
      <c r="M7417" s="94"/>
    </row>
    <row r="7418" s="93" customFormat="1" spans="3:13">
      <c r="C7418" s="94"/>
      <c r="E7418" s="94"/>
      <c r="G7418" s="94"/>
      <c r="I7418" s="94"/>
      <c r="K7418" s="94"/>
      <c r="M7418" s="94"/>
    </row>
    <row r="7419" s="93" customFormat="1" spans="3:13">
      <c r="C7419" s="94"/>
      <c r="E7419" s="94"/>
      <c r="G7419" s="94"/>
      <c r="I7419" s="94"/>
      <c r="K7419" s="94"/>
      <c r="M7419" s="94"/>
    </row>
    <row r="7420" s="93" customFormat="1" spans="3:13">
      <c r="C7420" s="94"/>
      <c r="E7420" s="94"/>
      <c r="G7420" s="94"/>
      <c r="I7420" s="94"/>
      <c r="K7420" s="94"/>
      <c r="M7420" s="94"/>
    </row>
    <row r="7421" s="93" customFormat="1" spans="3:13">
      <c r="C7421" s="94"/>
      <c r="E7421" s="94"/>
      <c r="G7421" s="94"/>
      <c r="I7421" s="94"/>
      <c r="K7421" s="94"/>
      <c r="M7421" s="94"/>
    </row>
    <row r="7422" s="93" customFormat="1" spans="3:13">
      <c r="C7422" s="94"/>
      <c r="E7422" s="94"/>
      <c r="G7422" s="94"/>
      <c r="I7422" s="94"/>
      <c r="K7422" s="94"/>
      <c r="M7422" s="94"/>
    </row>
    <row r="7423" s="93" customFormat="1" spans="3:13">
      <c r="C7423" s="94"/>
      <c r="E7423" s="94"/>
      <c r="G7423" s="94"/>
      <c r="I7423" s="94"/>
      <c r="K7423" s="94"/>
      <c r="M7423" s="94"/>
    </row>
    <row r="7424" s="93" customFormat="1" spans="3:13">
      <c r="C7424" s="94"/>
      <c r="E7424" s="94"/>
      <c r="G7424" s="94"/>
      <c r="I7424" s="94"/>
      <c r="K7424" s="94"/>
      <c r="M7424" s="94"/>
    </row>
    <row r="7425" s="93" customFormat="1" spans="3:13">
      <c r="C7425" s="94"/>
      <c r="E7425" s="94"/>
      <c r="G7425" s="94"/>
      <c r="I7425" s="94"/>
      <c r="K7425" s="94"/>
      <c r="M7425" s="94"/>
    </row>
    <row r="7426" s="93" customFormat="1" spans="3:13">
      <c r="C7426" s="94"/>
      <c r="E7426" s="94"/>
      <c r="G7426" s="94"/>
      <c r="I7426" s="94"/>
      <c r="K7426" s="94"/>
      <c r="M7426" s="94"/>
    </row>
    <row r="7427" s="93" customFormat="1" spans="3:13">
      <c r="C7427" s="94"/>
      <c r="E7427" s="94"/>
      <c r="G7427" s="94"/>
      <c r="I7427" s="94"/>
      <c r="K7427" s="94"/>
      <c r="M7427" s="94"/>
    </row>
    <row r="7428" s="93" customFormat="1" spans="3:13">
      <c r="C7428" s="94"/>
      <c r="E7428" s="94"/>
      <c r="G7428" s="94"/>
      <c r="I7428" s="94"/>
      <c r="K7428" s="94"/>
      <c r="M7428" s="94"/>
    </row>
    <row r="7429" s="93" customFormat="1" spans="3:13">
      <c r="C7429" s="94"/>
      <c r="E7429" s="94"/>
      <c r="G7429" s="94"/>
      <c r="I7429" s="94"/>
      <c r="K7429" s="94"/>
      <c r="M7429" s="94"/>
    </row>
    <row r="7430" s="93" customFormat="1" spans="3:13">
      <c r="C7430" s="94"/>
      <c r="E7430" s="94"/>
      <c r="G7430" s="94"/>
      <c r="I7430" s="94"/>
      <c r="K7430" s="94"/>
      <c r="M7430" s="94"/>
    </row>
    <row r="7431" s="93" customFormat="1" spans="3:13">
      <c r="C7431" s="94"/>
      <c r="E7431" s="94"/>
      <c r="G7431" s="94"/>
      <c r="I7431" s="94"/>
      <c r="K7431" s="94"/>
      <c r="M7431" s="94"/>
    </row>
    <row r="7432" s="93" customFormat="1" spans="3:13">
      <c r="C7432" s="94"/>
      <c r="E7432" s="94"/>
      <c r="G7432" s="94"/>
      <c r="I7432" s="94"/>
      <c r="K7432" s="94"/>
      <c r="M7432" s="94"/>
    </row>
    <row r="7433" s="93" customFormat="1" spans="3:13">
      <c r="C7433" s="94"/>
      <c r="E7433" s="94"/>
      <c r="G7433" s="94"/>
      <c r="I7433" s="94"/>
      <c r="K7433" s="94"/>
      <c r="M7433" s="94"/>
    </row>
    <row r="7434" s="93" customFormat="1" spans="3:13">
      <c r="C7434" s="94"/>
      <c r="E7434" s="94"/>
      <c r="G7434" s="94"/>
      <c r="I7434" s="94"/>
      <c r="K7434" s="94"/>
      <c r="M7434" s="94"/>
    </row>
    <row r="7435" s="93" customFormat="1" spans="3:13">
      <c r="C7435" s="94"/>
      <c r="E7435" s="94"/>
      <c r="G7435" s="94"/>
      <c r="I7435" s="94"/>
      <c r="K7435" s="94"/>
      <c r="M7435" s="94"/>
    </row>
    <row r="7436" s="93" customFormat="1" spans="3:13">
      <c r="C7436" s="94"/>
      <c r="E7436" s="94"/>
      <c r="G7436" s="94"/>
      <c r="I7436" s="94"/>
      <c r="K7436" s="94"/>
      <c r="M7436" s="94"/>
    </row>
    <row r="7437" s="93" customFormat="1" spans="3:13">
      <c r="C7437" s="94"/>
      <c r="E7437" s="94"/>
      <c r="G7437" s="94"/>
      <c r="I7437" s="94"/>
      <c r="K7437" s="94"/>
      <c r="M7437" s="94"/>
    </row>
    <row r="7438" s="93" customFormat="1" spans="3:13">
      <c r="C7438" s="94"/>
      <c r="E7438" s="94"/>
      <c r="G7438" s="94"/>
      <c r="I7438" s="94"/>
      <c r="K7438" s="94"/>
      <c r="M7438" s="94"/>
    </row>
    <row r="7439" s="93" customFormat="1" spans="3:13">
      <c r="C7439" s="94"/>
      <c r="E7439" s="94"/>
      <c r="G7439" s="94"/>
      <c r="I7439" s="94"/>
      <c r="K7439" s="94"/>
      <c r="M7439" s="94"/>
    </row>
    <row r="7440" s="93" customFormat="1" spans="3:13">
      <c r="C7440" s="94"/>
      <c r="E7440" s="94"/>
      <c r="G7440" s="94"/>
      <c r="I7440" s="94"/>
      <c r="K7440" s="94"/>
      <c r="M7440" s="94"/>
    </row>
    <row r="7441" s="93" customFormat="1" spans="3:13">
      <c r="C7441" s="94"/>
      <c r="E7441" s="94"/>
      <c r="G7441" s="94"/>
      <c r="I7441" s="94"/>
      <c r="K7441" s="94"/>
      <c r="M7441" s="94"/>
    </row>
    <row r="7442" s="93" customFormat="1" spans="3:13">
      <c r="C7442" s="94"/>
      <c r="E7442" s="94"/>
      <c r="G7442" s="94"/>
      <c r="I7442" s="94"/>
      <c r="K7442" s="94"/>
      <c r="M7442" s="94"/>
    </row>
    <row r="7443" s="93" customFormat="1" spans="3:13">
      <c r="C7443" s="94"/>
      <c r="E7443" s="94"/>
      <c r="G7443" s="94"/>
      <c r="I7443" s="94"/>
      <c r="K7443" s="94"/>
      <c r="M7443" s="94"/>
    </row>
    <row r="7444" s="93" customFormat="1" spans="3:13">
      <c r="C7444" s="94"/>
      <c r="E7444" s="94"/>
      <c r="G7444" s="94"/>
      <c r="I7444" s="94"/>
      <c r="K7444" s="94"/>
      <c r="M7444" s="94"/>
    </row>
    <row r="7445" s="93" customFormat="1" spans="3:13">
      <c r="C7445" s="94"/>
      <c r="E7445" s="94"/>
      <c r="G7445" s="94"/>
      <c r="I7445" s="94"/>
      <c r="K7445" s="94"/>
      <c r="M7445" s="94"/>
    </row>
    <row r="7446" s="93" customFormat="1" spans="3:13">
      <c r="C7446" s="94"/>
      <c r="E7446" s="94"/>
      <c r="G7446" s="94"/>
      <c r="I7446" s="94"/>
      <c r="K7446" s="94"/>
      <c r="M7446" s="94"/>
    </row>
    <row r="7447" s="93" customFormat="1" spans="3:13">
      <c r="C7447" s="94"/>
      <c r="E7447" s="94"/>
      <c r="G7447" s="94"/>
      <c r="I7447" s="94"/>
      <c r="K7447" s="94"/>
      <c r="M7447" s="94"/>
    </row>
    <row r="7448" s="93" customFormat="1" spans="3:13">
      <c r="C7448" s="94"/>
      <c r="E7448" s="94"/>
      <c r="G7448" s="94"/>
      <c r="I7448" s="94"/>
      <c r="K7448" s="94"/>
      <c r="M7448" s="94"/>
    </row>
    <row r="7449" s="93" customFormat="1" spans="3:13">
      <c r="C7449" s="94"/>
      <c r="E7449" s="94"/>
      <c r="G7449" s="94"/>
      <c r="I7449" s="94"/>
      <c r="K7449" s="94"/>
      <c r="M7449" s="94"/>
    </row>
    <row r="7450" s="93" customFormat="1" spans="3:13">
      <c r="C7450" s="94"/>
      <c r="E7450" s="94"/>
      <c r="G7450" s="94"/>
      <c r="I7450" s="94"/>
      <c r="K7450" s="94"/>
      <c r="M7450" s="94"/>
    </row>
    <row r="7451" s="93" customFormat="1" spans="3:13">
      <c r="C7451" s="94"/>
      <c r="E7451" s="94"/>
      <c r="G7451" s="94"/>
      <c r="I7451" s="94"/>
      <c r="K7451" s="94"/>
      <c r="M7451" s="94"/>
    </row>
    <row r="7452" s="93" customFormat="1" spans="3:13">
      <c r="C7452" s="94"/>
      <c r="E7452" s="94"/>
      <c r="G7452" s="94"/>
      <c r="I7452" s="94"/>
      <c r="K7452" s="94"/>
      <c r="M7452" s="94"/>
    </row>
    <row r="7453" s="93" customFormat="1" spans="3:13">
      <c r="C7453" s="94"/>
      <c r="E7453" s="94"/>
      <c r="G7453" s="94"/>
      <c r="I7453" s="94"/>
      <c r="K7453" s="94"/>
      <c r="M7453" s="94"/>
    </row>
    <row r="7454" s="93" customFormat="1" spans="3:13">
      <c r="C7454" s="94"/>
      <c r="E7454" s="94"/>
      <c r="G7454" s="94"/>
      <c r="I7454" s="94"/>
      <c r="K7454" s="94"/>
      <c r="M7454" s="94"/>
    </row>
    <row r="7455" s="93" customFormat="1" spans="3:13">
      <c r="C7455" s="94"/>
      <c r="E7455" s="94"/>
      <c r="G7455" s="94"/>
      <c r="I7455" s="94"/>
      <c r="K7455" s="94"/>
      <c r="M7455" s="94"/>
    </row>
    <row r="7456" s="93" customFormat="1" spans="3:13">
      <c r="C7456" s="94"/>
      <c r="E7456" s="94"/>
      <c r="G7456" s="94"/>
      <c r="I7456" s="94"/>
      <c r="K7456" s="94"/>
      <c r="M7456" s="94"/>
    </row>
    <row r="7457" s="93" customFormat="1" spans="3:13">
      <c r="C7457" s="94"/>
      <c r="E7457" s="94"/>
      <c r="G7457" s="94"/>
      <c r="I7457" s="94"/>
      <c r="K7457" s="94"/>
      <c r="M7457" s="94"/>
    </row>
    <row r="7458" s="93" customFormat="1" spans="3:13">
      <c r="C7458" s="94"/>
      <c r="E7458" s="94"/>
      <c r="G7458" s="94"/>
      <c r="I7458" s="94"/>
      <c r="K7458" s="94"/>
      <c r="M7458" s="94"/>
    </row>
    <row r="7459" s="93" customFormat="1" spans="3:13">
      <c r="C7459" s="94"/>
      <c r="E7459" s="94"/>
      <c r="G7459" s="94"/>
      <c r="I7459" s="94"/>
      <c r="K7459" s="94"/>
      <c r="M7459" s="94"/>
    </row>
    <row r="7460" s="93" customFormat="1" spans="3:13">
      <c r="C7460" s="94"/>
      <c r="E7460" s="94"/>
      <c r="G7460" s="94"/>
      <c r="I7460" s="94"/>
      <c r="K7460" s="94"/>
      <c r="M7460" s="94"/>
    </row>
    <row r="7461" s="93" customFormat="1" spans="3:13">
      <c r="C7461" s="94"/>
      <c r="E7461" s="94"/>
      <c r="G7461" s="94"/>
      <c r="I7461" s="94"/>
      <c r="K7461" s="94"/>
      <c r="M7461" s="94"/>
    </row>
    <row r="7462" s="93" customFormat="1" spans="3:13">
      <c r="C7462" s="94"/>
      <c r="E7462" s="94"/>
      <c r="G7462" s="94"/>
      <c r="I7462" s="94"/>
      <c r="K7462" s="94"/>
      <c r="M7462" s="94"/>
    </row>
    <row r="7463" s="93" customFormat="1" spans="3:13">
      <c r="C7463" s="94"/>
      <c r="E7463" s="94"/>
      <c r="G7463" s="94"/>
      <c r="I7463" s="94"/>
      <c r="K7463" s="94"/>
      <c r="M7463" s="94"/>
    </row>
    <row r="7464" s="93" customFormat="1" spans="3:13">
      <c r="C7464" s="94"/>
      <c r="E7464" s="94"/>
      <c r="G7464" s="94"/>
      <c r="I7464" s="94"/>
      <c r="K7464" s="94"/>
      <c r="M7464" s="94"/>
    </row>
    <row r="7465" s="93" customFormat="1" spans="3:13">
      <c r="C7465" s="94"/>
      <c r="E7465" s="94"/>
      <c r="G7465" s="94"/>
      <c r="I7465" s="94"/>
      <c r="K7465" s="94"/>
      <c r="M7465" s="94"/>
    </row>
    <row r="7466" s="93" customFormat="1" spans="3:13">
      <c r="C7466" s="94"/>
      <c r="E7466" s="94"/>
      <c r="G7466" s="94"/>
      <c r="I7466" s="94"/>
      <c r="K7466" s="94"/>
      <c r="M7466" s="94"/>
    </row>
    <row r="7467" s="93" customFormat="1" spans="3:13">
      <c r="C7467" s="94"/>
      <c r="E7467" s="94"/>
      <c r="G7467" s="94"/>
      <c r="I7467" s="94"/>
      <c r="K7467" s="94"/>
      <c r="M7467" s="94"/>
    </row>
    <row r="7468" s="93" customFormat="1" spans="3:13">
      <c r="C7468" s="94"/>
      <c r="E7468" s="94"/>
      <c r="G7468" s="94"/>
      <c r="I7468" s="94"/>
      <c r="K7468" s="94"/>
      <c r="M7468" s="94"/>
    </row>
    <row r="7469" s="93" customFormat="1" spans="3:13">
      <c r="C7469" s="94"/>
      <c r="E7469" s="94"/>
      <c r="G7469" s="94"/>
      <c r="I7469" s="94"/>
      <c r="K7469" s="94"/>
      <c r="M7469" s="94"/>
    </row>
    <row r="7470" s="93" customFormat="1" spans="3:13">
      <c r="C7470" s="94"/>
      <c r="E7470" s="94"/>
      <c r="G7470" s="94"/>
      <c r="I7470" s="94"/>
      <c r="K7470" s="94"/>
      <c r="M7470" s="94"/>
    </row>
    <row r="7471" s="93" customFormat="1" spans="3:13">
      <c r="C7471" s="94"/>
      <c r="E7471" s="94"/>
      <c r="G7471" s="94"/>
      <c r="I7471" s="94"/>
      <c r="K7471" s="94"/>
      <c r="M7471" s="94"/>
    </row>
    <row r="7472" s="93" customFormat="1" spans="3:13">
      <c r="C7472" s="94"/>
      <c r="E7472" s="94"/>
      <c r="G7472" s="94"/>
      <c r="I7472" s="94"/>
      <c r="K7472" s="94"/>
      <c r="M7472" s="94"/>
    </row>
    <row r="7473" s="93" customFormat="1" spans="3:13">
      <c r="C7473" s="94"/>
      <c r="E7473" s="94"/>
      <c r="G7473" s="94"/>
      <c r="I7473" s="94"/>
      <c r="K7473" s="94"/>
      <c r="M7473" s="94"/>
    </row>
    <row r="7474" s="93" customFormat="1" spans="3:13">
      <c r="C7474" s="94"/>
      <c r="E7474" s="94"/>
      <c r="G7474" s="94"/>
      <c r="I7474" s="94"/>
      <c r="K7474" s="94"/>
      <c r="M7474" s="94"/>
    </row>
    <row r="7475" s="93" customFormat="1" spans="3:13">
      <c r="C7475" s="94"/>
      <c r="E7475" s="94"/>
      <c r="G7475" s="94"/>
      <c r="I7475" s="94"/>
      <c r="K7475" s="94"/>
      <c r="M7475" s="94"/>
    </row>
    <row r="7476" s="93" customFormat="1" spans="3:13">
      <c r="C7476" s="94"/>
      <c r="E7476" s="94"/>
      <c r="G7476" s="94"/>
      <c r="I7476" s="94"/>
      <c r="K7476" s="94"/>
      <c r="M7476" s="94"/>
    </row>
    <row r="7477" s="93" customFormat="1" spans="3:13">
      <c r="C7477" s="94"/>
      <c r="E7477" s="94"/>
      <c r="G7477" s="94"/>
      <c r="I7477" s="94"/>
      <c r="K7477" s="94"/>
      <c r="M7477" s="94"/>
    </row>
    <row r="7478" s="93" customFormat="1" spans="3:13">
      <c r="C7478" s="94"/>
      <c r="E7478" s="94"/>
      <c r="G7478" s="94"/>
      <c r="I7478" s="94"/>
      <c r="K7478" s="94"/>
      <c r="M7478" s="94"/>
    </row>
    <row r="7479" s="93" customFormat="1" spans="3:13">
      <c r="C7479" s="94"/>
      <c r="E7479" s="94"/>
      <c r="G7479" s="94"/>
      <c r="I7479" s="94"/>
      <c r="K7479" s="94"/>
      <c r="M7479" s="94"/>
    </row>
    <row r="7480" s="93" customFormat="1" spans="3:13">
      <c r="C7480" s="94"/>
      <c r="E7480" s="94"/>
      <c r="G7480" s="94"/>
      <c r="I7480" s="94"/>
      <c r="K7480" s="94"/>
      <c r="M7480" s="94"/>
    </row>
    <row r="7481" s="93" customFormat="1" spans="3:13">
      <c r="C7481" s="94"/>
      <c r="E7481" s="94"/>
      <c r="G7481" s="94"/>
      <c r="I7481" s="94"/>
      <c r="K7481" s="94"/>
      <c r="M7481" s="94"/>
    </row>
    <row r="7482" s="93" customFormat="1" spans="3:13">
      <c r="C7482" s="94"/>
      <c r="E7482" s="94"/>
      <c r="G7482" s="94"/>
      <c r="I7482" s="94"/>
      <c r="K7482" s="94"/>
      <c r="M7482" s="94"/>
    </row>
    <row r="7483" s="93" customFormat="1" spans="3:13">
      <c r="C7483" s="94"/>
      <c r="E7483" s="94"/>
      <c r="G7483" s="94"/>
      <c r="I7483" s="94"/>
      <c r="K7483" s="94"/>
      <c r="M7483" s="94"/>
    </row>
    <row r="7484" s="93" customFormat="1" spans="3:13">
      <c r="C7484" s="94"/>
      <c r="E7484" s="94"/>
      <c r="G7484" s="94"/>
      <c r="I7484" s="94"/>
      <c r="K7484" s="94"/>
      <c r="M7484" s="94"/>
    </row>
    <row r="7485" s="93" customFormat="1" spans="3:13">
      <c r="C7485" s="94"/>
      <c r="E7485" s="94"/>
      <c r="G7485" s="94"/>
      <c r="I7485" s="94"/>
      <c r="K7485" s="94"/>
      <c r="M7485" s="94"/>
    </row>
    <row r="7486" s="93" customFormat="1" spans="3:13">
      <c r="C7486" s="94"/>
      <c r="E7486" s="94"/>
      <c r="G7486" s="94"/>
      <c r="I7486" s="94"/>
      <c r="K7486" s="94"/>
      <c r="M7486" s="94"/>
    </row>
    <row r="7487" s="93" customFormat="1" spans="3:13">
      <c r="C7487" s="94"/>
      <c r="E7487" s="94"/>
      <c r="G7487" s="94"/>
      <c r="I7487" s="94"/>
      <c r="K7487" s="94"/>
      <c r="M7487" s="94"/>
    </row>
    <row r="7488" s="93" customFormat="1" spans="3:13">
      <c r="C7488" s="94"/>
      <c r="E7488" s="94"/>
      <c r="G7488" s="94"/>
      <c r="I7488" s="94"/>
      <c r="K7488" s="94"/>
      <c r="M7488" s="94"/>
    </row>
    <row r="7489" s="93" customFormat="1" spans="3:13">
      <c r="C7489" s="94"/>
      <c r="E7489" s="94"/>
      <c r="G7489" s="94"/>
      <c r="I7489" s="94"/>
      <c r="K7489" s="94"/>
      <c r="M7489" s="94"/>
    </row>
    <row r="7490" s="93" customFormat="1" spans="3:13">
      <c r="C7490" s="94"/>
      <c r="E7490" s="94"/>
      <c r="G7490" s="94"/>
      <c r="I7490" s="94"/>
      <c r="K7490" s="94"/>
      <c r="M7490" s="94"/>
    </row>
    <row r="7491" s="93" customFormat="1" spans="3:13">
      <c r="C7491" s="94"/>
      <c r="E7491" s="94"/>
      <c r="G7491" s="94"/>
      <c r="I7491" s="94"/>
      <c r="K7491" s="94"/>
      <c r="M7491" s="94"/>
    </row>
    <row r="7492" s="93" customFormat="1" spans="3:13">
      <c r="C7492" s="94"/>
      <c r="E7492" s="94"/>
      <c r="G7492" s="94"/>
      <c r="I7492" s="94"/>
      <c r="K7492" s="94"/>
      <c r="M7492" s="94"/>
    </row>
    <row r="7493" s="93" customFormat="1" spans="3:13">
      <c r="C7493" s="94"/>
      <c r="E7493" s="94"/>
      <c r="G7493" s="94"/>
      <c r="I7493" s="94"/>
      <c r="K7493" s="94"/>
      <c r="M7493" s="94"/>
    </row>
    <row r="7494" s="93" customFormat="1" spans="3:13">
      <c r="C7494" s="94"/>
      <c r="E7494" s="94"/>
      <c r="G7494" s="94"/>
      <c r="I7494" s="94"/>
      <c r="K7494" s="94"/>
      <c r="M7494" s="94"/>
    </row>
    <row r="7495" s="93" customFormat="1" spans="3:13">
      <c r="C7495" s="94"/>
      <c r="E7495" s="94"/>
      <c r="G7495" s="94"/>
      <c r="I7495" s="94"/>
      <c r="K7495" s="94"/>
      <c r="M7495" s="94"/>
    </row>
    <row r="7496" s="93" customFormat="1" spans="3:13">
      <c r="C7496" s="94"/>
      <c r="E7496" s="94"/>
      <c r="G7496" s="94"/>
      <c r="I7496" s="94"/>
      <c r="K7496" s="94"/>
      <c r="M7496" s="94"/>
    </row>
    <row r="7497" s="93" customFormat="1" spans="3:13">
      <c r="C7497" s="94"/>
      <c r="E7497" s="94"/>
      <c r="G7497" s="94"/>
      <c r="I7497" s="94"/>
      <c r="K7497" s="94"/>
      <c r="M7497" s="94"/>
    </row>
    <row r="7498" s="93" customFormat="1" spans="3:13">
      <c r="C7498" s="94"/>
      <c r="E7498" s="94"/>
      <c r="G7498" s="94"/>
      <c r="I7498" s="94"/>
      <c r="K7498" s="94"/>
      <c r="M7498" s="94"/>
    </row>
    <row r="7499" s="93" customFormat="1" spans="3:13">
      <c r="C7499" s="94"/>
      <c r="E7499" s="94"/>
      <c r="G7499" s="94"/>
      <c r="I7499" s="94"/>
      <c r="K7499" s="94"/>
      <c r="M7499" s="94"/>
    </row>
    <row r="7500" s="93" customFormat="1" spans="3:13">
      <c r="C7500" s="94"/>
      <c r="E7500" s="94"/>
      <c r="G7500" s="94"/>
      <c r="I7500" s="94"/>
      <c r="K7500" s="94"/>
      <c r="M7500" s="94"/>
    </row>
    <row r="7501" s="93" customFormat="1" spans="3:13">
      <c r="C7501" s="94"/>
      <c r="E7501" s="94"/>
      <c r="G7501" s="94"/>
      <c r="I7501" s="94"/>
      <c r="K7501" s="94"/>
      <c r="M7501" s="94"/>
    </row>
    <row r="7502" s="93" customFormat="1" spans="3:13">
      <c r="C7502" s="94"/>
      <c r="E7502" s="94"/>
      <c r="G7502" s="94"/>
      <c r="I7502" s="94"/>
      <c r="K7502" s="94"/>
      <c r="M7502" s="94"/>
    </row>
    <row r="7503" s="93" customFormat="1" spans="3:13">
      <c r="C7503" s="94"/>
      <c r="E7503" s="94"/>
      <c r="G7503" s="94"/>
      <c r="I7503" s="94"/>
      <c r="K7503" s="94"/>
      <c r="M7503" s="94"/>
    </row>
    <row r="7504" s="93" customFormat="1" spans="3:13">
      <c r="C7504" s="94"/>
      <c r="E7504" s="94"/>
      <c r="G7504" s="94"/>
      <c r="I7504" s="94"/>
      <c r="K7504" s="94"/>
      <c r="M7504" s="94"/>
    </row>
    <row r="7505" s="93" customFormat="1" spans="3:13">
      <c r="C7505" s="94"/>
      <c r="E7505" s="94"/>
      <c r="G7505" s="94"/>
      <c r="I7505" s="94"/>
      <c r="K7505" s="94"/>
      <c r="M7505" s="94"/>
    </row>
    <row r="7506" s="93" customFormat="1" spans="3:13">
      <c r="C7506" s="94"/>
      <c r="E7506" s="94"/>
      <c r="G7506" s="94"/>
      <c r="I7506" s="94"/>
      <c r="K7506" s="94"/>
      <c r="M7506" s="94"/>
    </row>
    <row r="7507" s="93" customFormat="1" spans="3:13">
      <c r="C7507" s="94"/>
      <c r="E7507" s="94"/>
      <c r="G7507" s="94"/>
      <c r="I7507" s="94"/>
      <c r="K7507" s="94"/>
      <c r="M7507" s="94"/>
    </row>
    <row r="7508" s="93" customFormat="1" spans="3:13">
      <c r="C7508" s="94"/>
      <c r="E7508" s="94"/>
      <c r="G7508" s="94"/>
      <c r="I7508" s="94"/>
      <c r="K7508" s="94"/>
      <c r="M7508" s="94"/>
    </row>
    <row r="7509" s="93" customFormat="1" spans="3:13">
      <c r="C7509" s="94"/>
      <c r="E7509" s="94"/>
      <c r="G7509" s="94"/>
      <c r="I7509" s="94"/>
      <c r="K7509" s="94"/>
      <c r="M7509" s="94"/>
    </row>
    <row r="7510" s="93" customFormat="1" spans="3:13">
      <c r="C7510" s="94"/>
      <c r="E7510" s="94"/>
      <c r="G7510" s="94"/>
      <c r="I7510" s="94"/>
      <c r="K7510" s="94"/>
      <c r="M7510" s="94"/>
    </row>
    <row r="7511" s="93" customFormat="1" spans="3:13">
      <c r="C7511" s="94"/>
      <c r="E7511" s="94"/>
      <c r="G7511" s="94"/>
      <c r="I7511" s="94"/>
      <c r="K7511" s="94"/>
      <c r="M7511" s="94"/>
    </row>
    <row r="7512" s="93" customFormat="1" spans="3:13">
      <c r="C7512" s="94"/>
      <c r="E7512" s="94"/>
      <c r="G7512" s="94"/>
      <c r="I7512" s="94"/>
      <c r="K7512" s="94"/>
      <c r="M7512" s="94"/>
    </row>
    <row r="7513" s="93" customFormat="1" spans="3:13">
      <c r="C7513" s="94"/>
      <c r="E7513" s="94"/>
      <c r="G7513" s="94"/>
      <c r="I7513" s="94"/>
      <c r="K7513" s="94"/>
      <c r="M7513" s="94"/>
    </row>
    <row r="7514" s="93" customFormat="1" spans="3:13">
      <c r="C7514" s="94"/>
      <c r="E7514" s="94"/>
      <c r="G7514" s="94"/>
      <c r="I7514" s="94"/>
      <c r="K7514" s="94"/>
      <c r="M7514" s="94"/>
    </row>
    <row r="7515" s="93" customFormat="1" spans="3:13">
      <c r="C7515" s="94"/>
      <c r="E7515" s="94"/>
      <c r="G7515" s="94"/>
      <c r="I7515" s="94"/>
      <c r="K7515" s="94"/>
      <c r="M7515" s="94"/>
    </row>
    <row r="7516" s="93" customFormat="1" spans="3:13">
      <c r="C7516" s="94"/>
      <c r="E7516" s="94"/>
      <c r="G7516" s="94"/>
      <c r="I7516" s="94"/>
      <c r="K7516" s="94"/>
      <c r="M7516" s="94"/>
    </row>
    <row r="7517" s="93" customFormat="1" spans="3:13">
      <c r="C7517" s="94"/>
      <c r="E7517" s="94"/>
      <c r="G7517" s="94"/>
      <c r="I7517" s="94"/>
      <c r="K7517" s="94"/>
      <c r="M7517" s="94"/>
    </row>
    <row r="7518" s="93" customFormat="1" spans="3:13">
      <c r="C7518" s="94"/>
      <c r="E7518" s="94"/>
      <c r="G7518" s="94"/>
      <c r="I7518" s="94"/>
      <c r="K7518" s="94"/>
      <c r="M7518" s="94"/>
    </row>
    <row r="7519" s="93" customFormat="1" spans="3:13">
      <c r="C7519" s="94"/>
      <c r="E7519" s="94"/>
      <c r="G7519" s="94"/>
      <c r="I7519" s="94"/>
      <c r="K7519" s="94"/>
      <c r="M7519" s="94"/>
    </row>
    <row r="7520" s="93" customFormat="1" spans="3:13">
      <c r="C7520" s="94"/>
      <c r="E7520" s="94"/>
      <c r="G7520" s="94"/>
      <c r="I7520" s="94"/>
      <c r="K7520" s="94"/>
      <c r="M7520" s="94"/>
    </row>
    <row r="7521" s="93" customFormat="1" spans="3:13">
      <c r="C7521" s="94"/>
      <c r="E7521" s="94"/>
      <c r="G7521" s="94"/>
      <c r="I7521" s="94"/>
      <c r="K7521" s="94"/>
      <c r="M7521" s="94"/>
    </row>
    <row r="7522" s="93" customFormat="1" spans="3:13">
      <c r="C7522" s="94"/>
      <c r="E7522" s="94"/>
      <c r="G7522" s="94"/>
      <c r="I7522" s="94"/>
      <c r="K7522" s="94"/>
      <c r="M7522" s="94"/>
    </row>
    <row r="7523" s="93" customFormat="1" spans="3:13">
      <c r="C7523" s="94"/>
      <c r="E7523" s="94"/>
      <c r="G7523" s="94"/>
      <c r="I7523" s="94"/>
      <c r="K7523" s="94"/>
      <c r="M7523" s="94"/>
    </row>
    <row r="7524" s="93" customFormat="1" spans="3:13">
      <c r="C7524" s="94"/>
      <c r="E7524" s="94"/>
      <c r="G7524" s="94"/>
      <c r="I7524" s="94"/>
      <c r="K7524" s="94"/>
      <c r="M7524" s="94"/>
    </row>
    <row r="7525" s="93" customFormat="1" spans="3:13">
      <c r="C7525" s="94"/>
      <c r="E7525" s="94"/>
      <c r="G7525" s="94"/>
      <c r="I7525" s="94"/>
      <c r="K7525" s="94"/>
      <c r="M7525" s="94"/>
    </row>
    <row r="7526" s="93" customFormat="1" spans="3:13">
      <c r="C7526" s="94"/>
      <c r="E7526" s="94"/>
      <c r="G7526" s="94"/>
      <c r="I7526" s="94"/>
      <c r="K7526" s="94"/>
      <c r="M7526" s="94"/>
    </row>
    <row r="7527" s="93" customFormat="1" spans="3:13">
      <c r="C7527" s="94"/>
      <c r="E7527" s="94"/>
      <c r="G7527" s="94"/>
      <c r="I7527" s="94"/>
      <c r="K7527" s="94"/>
      <c r="M7527" s="94"/>
    </row>
    <row r="7528" s="93" customFormat="1" spans="3:13">
      <c r="C7528" s="94"/>
      <c r="E7528" s="94"/>
      <c r="G7528" s="94"/>
      <c r="I7528" s="94"/>
      <c r="K7528" s="94"/>
      <c r="M7528" s="94"/>
    </row>
    <row r="7529" s="93" customFormat="1" spans="3:13">
      <c r="C7529" s="94"/>
      <c r="E7529" s="94"/>
      <c r="G7529" s="94"/>
      <c r="I7529" s="94"/>
      <c r="K7529" s="94"/>
      <c r="M7529" s="94"/>
    </row>
    <row r="7530" s="93" customFormat="1" spans="3:13">
      <c r="C7530" s="94"/>
      <c r="E7530" s="94"/>
      <c r="G7530" s="94"/>
      <c r="I7530" s="94"/>
      <c r="K7530" s="94"/>
      <c r="M7530" s="94"/>
    </row>
    <row r="7531" s="93" customFormat="1" spans="3:13">
      <c r="C7531" s="94"/>
      <c r="E7531" s="94"/>
      <c r="G7531" s="94"/>
      <c r="I7531" s="94"/>
      <c r="K7531" s="94"/>
      <c r="M7531" s="94"/>
    </row>
    <row r="7532" s="93" customFormat="1" spans="3:13">
      <c r="C7532" s="94"/>
      <c r="E7532" s="94"/>
      <c r="G7532" s="94"/>
      <c r="I7532" s="94"/>
      <c r="K7532" s="94"/>
      <c r="M7532" s="94"/>
    </row>
    <row r="7533" s="93" customFormat="1" spans="3:13">
      <c r="C7533" s="94"/>
      <c r="E7533" s="94"/>
      <c r="G7533" s="94"/>
      <c r="I7533" s="94"/>
      <c r="K7533" s="94"/>
      <c r="M7533" s="94"/>
    </row>
    <row r="7534" s="93" customFormat="1" spans="3:13">
      <c r="C7534" s="94"/>
      <c r="E7534" s="94"/>
      <c r="G7534" s="94"/>
      <c r="I7534" s="94"/>
      <c r="K7534" s="94"/>
      <c r="M7534" s="94"/>
    </row>
    <row r="7535" s="93" customFormat="1" spans="3:13">
      <c r="C7535" s="94"/>
      <c r="E7535" s="94"/>
      <c r="G7535" s="94"/>
      <c r="I7535" s="94"/>
      <c r="K7535" s="94"/>
      <c r="M7535" s="94"/>
    </row>
    <row r="7536" s="93" customFormat="1" spans="3:13">
      <c r="C7536" s="94"/>
      <c r="E7536" s="94"/>
      <c r="G7536" s="94"/>
      <c r="I7536" s="94"/>
      <c r="K7536" s="94"/>
      <c r="M7536" s="94"/>
    </row>
    <row r="7537" s="93" customFormat="1" spans="3:13">
      <c r="C7537" s="94"/>
      <c r="E7537" s="94"/>
      <c r="G7537" s="94"/>
      <c r="I7537" s="94"/>
      <c r="K7537" s="94"/>
      <c r="M7537" s="94"/>
    </row>
    <row r="7538" s="93" customFormat="1" spans="3:13">
      <c r="C7538" s="94"/>
      <c r="E7538" s="94"/>
      <c r="G7538" s="94"/>
      <c r="I7538" s="94"/>
      <c r="K7538" s="94"/>
      <c r="M7538" s="94"/>
    </row>
    <row r="7539" s="93" customFormat="1" spans="3:13">
      <c r="C7539" s="94"/>
      <c r="E7539" s="94"/>
      <c r="G7539" s="94"/>
      <c r="I7539" s="94"/>
      <c r="K7539" s="94"/>
      <c r="M7539" s="94"/>
    </row>
    <row r="7540" s="93" customFormat="1" spans="3:13">
      <c r="C7540" s="94"/>
      <c r="E7540" s="94"/>
      <c r="G7540" s="94"/>
      <c r="I7540" s="94"/>
      <c r="K7540" s="94"/>
      <c r="M7540" s="94"/>
    </row>
    <row r="7541" s="93" customFormat="1" spans="3:13">
      <c r="C7541" s="94"/>
      <c r="E7541" s="94"/>
      <c r="G7541" s="94"/>
      <c r="I7541" s="94"/>
      <c r="K7541" s="94"/>
      <c r="M7541" s="94"/>
    </row>
    <row r="7542" s="93" customFormat="1" spans="3:13">
      <c r="C7542" s="94"/>
      <c r="E7542" s="94"/>
      <c r="G7542" s="94"/>
      <c r="I7542" s="94"/>
      <c r="K7542" s="94"/>
      <c r="M7542" s="94"/>
    </row>
    <row r="7543" s="93" customFormat="1" spans="3:13">
      <c r="C7543" s="94"/>
      <c r="E7543" s="94"/>
      <c r="G7543" s="94"/>
      <c r="I7543" s="94"/>
      <c r="K7543" s="94"/>
      <c r="M7543" s="94"/>
    </row>
    <row r="7544" s="93" customFormat="1" spans="3:13">
      <c r="C7544" s="94"/>
      <c r="E7544" s="94"/>
      <c r="G7544" s="94"/>
      <c r="I7544" s="94"/>
      <c r="K7544" s="94"/>
      <c r="M7544" s="94"/>
    </row>
    <row r="7545" s="93" customFormat="1" spans="3:13">
      <c r="C7545" s="94"/>
      <c r="E7545" s="94"/>
      <c r="G7545" s="94"/>
      <c r="I7545" s="94"/>
      <c r="K7545" s="94"/>
      <c r="M7545" s="94"/>
    </row>
    <row r="7546" s="93" customFormat="1" spans="3:13">
      <c r="C7546" s="94"/>
      <c r="E7546" s="94"/>
      <c r="G7546" s="94"/>
      <c r="I7546" s="94"/>
      <c r="K7546" s="94"/>
      <c r="M7546" s="94"/>
    </row>
    <row r="7547" s="93" customFormat="1" spans="3:13">
      <c r="C7547" s="94"/>
      <c r="E7547" s="94"/>
      <c r="G7547" s="94"/>
      <c r="I7547" s="94"/>
      <c r="K7547" s="94"/>
      <c r="M7547" s="94"/>
    </row>
    <row r="7548" s="93" customFormat="1" spans="3:13">
      <c r="C7548" s="94"/>
      <c r="E7548" s="94"/>
      <c r="G7548" s="94"/>
      <c r="I7548" s="94"/>
      <c r="K7548" s="94"/>
      <c r="M7548" s="94"/>
    </row>
    <row r="7549" s="93" customFormat="1" spans="3:13">
      <c r="C7549" s="94"/>
      <c r="E7549" s="94"/>
      <c r="G7549" s="94"/>
      <c r="I7549" s="94"/>
      <c r="K7549" s="94"/>
      <c r="M7549" s="94"/>
    </row>
    <row r="7550" s="93" customFormat="1" spans="3:13">
      <c r="C7550" s="94"/>
      <c r="E7550" s="94"/>
      <c r="G7550" s="94"/>
      <c r="I7550" s="94"/>
      <c r="K7550" s="94"/>
      <c r="M7550" s="94"/>
    </row>
    <row r="7551" s="93" customFormat="1" spans="3:13">
      <c r="C7551" s="94"/>
      <c r="E7551" s="94"/>
      <c r="G7551" s="94"/>
      <c r="I7551" s="94"/>
      <c r="K7551" s="94"/>
      <c r="M7551" s="94"/>
    </row>
    <row r="7552" s="93" customFormat="1" spans="3:13">
      <c r="C7552" s="94"/>
      <c r="E7552" s="94"/>
      <c r="G7552" s="94"/>
      <c r="I7552" s="94"/>
      <c r="K7552" s="94"/>
      <c r="M7552" s="94"/>
    </row>
    <row r="7553" s="93" customFormat="1" spans="3:13">
      <c r="C7553" s="94"/>
      <c r="E7553" s="94"/>
      <c r="G7553" s="94"/>
      <c r="I7553" s="94"/>
      <c r="K7553" s="94"/>
      <c r="M7553" s="94"/>
    </row>
    <row r="7554" s="93" customFormat="1" spans="3:13">
      <c r="C7554" s="94"/>
      <c r="E7554" s="94"/>
      <c r="G7554" s="94"/>
      <c r="I7554" s="94"/>
      <c r="K7554" s="94"/>
      <c r="M7554" s="94"/>
    </row>
    <row r="7555" s="93" customFormat="1" spans="3:13">
      <c r="C7555" s="94"/>
      <c r="E7555" s="94"/>
      <c r="G7555" s="94"/>
      <c r="I7555" s="94"/>
      <c r="K7555" s="94"/>
      <c r="M7555" s="94"/>
    </row>
    <row r="7556" s="93" customFormat="1" spans="3:13">
      <c r="C7556" s="94"/>
      <c r="E7556" s="94"/>
      <c r="G7556" s="94"/>
      <c r="I7556" s="94"/>
      <c r="K7556" s="94"/>
      <c r="M7556" s="94"/>
    </row>
    <row r="7557" s="93" customFormat="1" spans="3:13">
      <c r="C7557" s="94"/>
      <c r="E7557" s="94"/>
      <c r="G7557" s="94"/>
      <c r="I7557" s="94"/>
      <c r="K7557" s="94"/>
      <c r="M7557" s="94"/>
    </row>
    <row r="7558" s="93" customFormat="1" spans="3:13">
      <c r="C7558" s="94"/>
      <c r="E7558" s="94"/>
      <c r="G7558" s="94"/>
      <c r="I7558" s="94"/>
      <c r="K7558" s="94"/>
      <c r="M7558" s="94"/>
    </row>
    <row r="7559" s="93" customFormat="1" spans="3:13">
      <c r="C7559" s="94"/>
      <c r="E7559" s="94"/>
      <c r="G7559" s="94"/>
      <c r="I7559" s="94"/>
      <c r="K7559" s="94"/>
      <c r="M7559" s="94"/>
    </row>
    <row r="7560" s="93" customFormat="1" spans="3:13">
      <c r="C7560" s="94"/>
      <c r="E7560" s="94"/>
      <c r="G7560" s="94"/>
      <c r="I7560" s="94"/>
      <c r="K7560" s="94"/>
      <c r="M7560" s="94"/>
    </row>
    <row r="7561" s="93" customFormat="1" spans="3:13">
      <c r="C7561" s="94"/>
      <c r="E7561" s="94"/>
      <c r="G7561" s="94"/>
      <c r="I7561" s="94"/>
      <c r="K7561" s="94"/>
      <c r="M7561" s="94"/>
    </row>
    <row r="7562" s="93" customFormat="1" spans="3:13">
      <c r="C7562" s="94"/>
      <c r="E7562" s="94"/>
      <c r="G7562" s="94"/>
      <c r="I7562" s="94"/>
      <c r="K7562" s="94"/>
      <c r="M7562" s="94"/>
    </row>
    <row r="7563" s="93" customFormat="1" spans="3:13">
      <c r="C7563" s="94"/>
      <c r="E7563" s="94"/>
      <c r="G7563" s="94"/>
      <c r="I7563" s="94"/>
      <c r="K7563" s="94"/>
      <c r="M7563" s="94"/>
    </row>
    <row r="7564" s="93" customFormat="1" spans="3:13">
      <c r="C7564" s="94"/>
      <c r="E7564" s="94"/>
      <c r="G7564" s="94"/>
      <c r="I7564" s="94"/>
      <c r="K7564" s="94"/>
      <c r="M7564" s="94"/>
    </row>
    <row r="7565" s="93" customFormat="1" spans="3:13">
      <c r="C7565" s="94"/>
      <c r="E7565" s="94"/>
      <c r="G7565" s="94"/>
      <c r="I7565" s="94"/>
      <c r="K7565" s="94"/>
      <c r="M7565" s="94"/>
    </row>
    <row r="7566" s="93" customFormat="1" spans="3:13">
      <c r="C7566" s="94"/>
      <c r="E7566" s="94"/>
      <c r="G7566" s="94"/>
      <c r="I7566" s="94"/>
      <c r="K7566" s="94"/>
      <c r="M7566" s="94"/>
    </row>
    <row r="7567" s="93" customFormat="1" spans="3:13">
      <c r="C7567" s="94"/>
      <c r="E7567" s="94"/>
      <c r="G7567" s="94"/>
      <c r="I7567" s="94"/>
      <c r="K7567" s="94"/>
      <c r="M7567" s="94"/>
    </row>
    <row r="7568" s="93" customFormat="1" spans="3:13">
      <c r="C7568" s="94"/>
      <c r="E7568" s="94"/>
      <c r="G7568" s="94"/>
      <c r="I7568" s="94"/>
      <c r="K7568" s="94"/>
      <c r="M7568" s="94"/>
    </row>
    <row r="7569" s="93" customFormat="1" spans="3:13">
      <c r="C7569" s="94"/>
      <c r="E7569" s="94"/>
      <c r="G7569" s="94"/>
      <c r="I7569" s="94"/>
      <c r="K7569" s="94"/>
      <c r="M7569" s="94"/>
    </row>
    <row r="7570" s="93" customFormat="1" spans="3:13">
      <c r="C7570" s="94"/>
      <c r="E7570" s="94"/>
      <c r="G7570" s="94"/>
      <c r="I7570" s="94"/>
      <c r="K7570" s="94"/>
      <c r="M7570" s="94"/>
    </row>
    <row r="7571" s="93" customFormat="1" spans="3:13">
      <c r="C7571" s="94"/>
      <c r="E7571" s="94"/>
      <c r="G7571" s="94"/>
      <c r="I7571" s="94"/>
      <c r="K7571" s="94"/>
      <c r="M7571" s="94"/>
    </row>
    <row r="7572" s="93" customFormat="1" spans="3:13">
      <c r="C7572" s="94"/>
      <c r="E7572" s="94"/>
      <c r="G7572" s="94"/>
      <c r="I7572" s="94"/>
      <c r="K7572" s="94"/>
      <c r="M7572" s="94"/>
    </row>
    <row r="7573" s="93" customFormat="1" spans="3:13">
      <c r="C7573" s="94"/>
      <c r="E7573" s="94"/>
      <c r="G7573" s="94"/>
      <c r="I7573" s="94"/>
      <c r="K7573" s="94"/>
      <c r="M7573" s="94"/>
    </row>
    <row r="7574" s="93" customFormat="1" spans="3:13">
      <c r="C7574" s="94"/>
      <c r="E7574" s="94"/>
      <c r="G7574" s="94"/>
      <c r="I7574" s="94"/>
      <c r="K7574" s="94"/>
      <c r="M7574" s="94"/>
    </row>
    <row r="7575" s="93" customFormat="1" spans="3:13">
      <c r="C7575" s="94"/>
      <c r="E7575" s="94"/>
      <c r="G7575" s="94"/>
      <c r="I7575" s="94"/>
      <c r="K7575" s="94"/>
      <c r="M7575" s="94"/>
    </row>
    <row r="7576" s="93" customFormat="1" spans="3:13">
      <c r="C7576" s="94"/>
      <c r="E7576" s="94"/>
      <c r="G7576" s="94"/>
      <c r="I7576" s="94"/>
      <c r="K7576" s="94"/>
      <c r="M7576" s="94"/>
    </row>
    <row r="7577" s="93" customFormat="1" spans="3:13">
      <c r="C7577" s="94"/>
      <c r="E7577" s="94"/>
      <c r="G7577" s="94"/>
      <c r="I7577" s="94"/>
      <c r="K7577" s="94"/>
      <c r="M7577" s="94"/>
    </row>
    <row r="7578" s="93" customFormat="1" spans="3:13">
      <c r="C7578" s="94"/>
      <c r="E7578" s="94"/>
      <c r="G7578" s="94"/>
      <c r="I7578" s="94"/>
      <c r="K7578" s="94"/>
      <c r="M7578" s="94"/>
    </row>
    <row r="7579" s="93" customFormat="1" spans="3:13">
      <c r="C7579" s="94"/>
      <c r="E7579" s="94"/>
      <c r="G7579" s="94"/>
      <c r="I7579" s="94"/>
      <c r="K7579" s="94"/>
      <c r="M7579" s="94"/>
    </row>
    <row r="7580" s="93" customFormat="1" spans="3:13">
      <c r="C7580" s="94"/>
      <c r="E7580" s="94"/>
      <c r="G7580" s="94"/>
      <c r="I7580" s="94"/>
      <c r="K7580" s="94"/>
      <c r="M7580" s="94"/>
    </row>
    <row r="7581" s="93" customFormat="1" spans="3:13">
      <c r="C7581" s="94"/>
      <c r="E7581" s="94"/>
      <c r="G7581" s="94"/>
      <c r="I7581" s="94"/>
      <c r="K7581" s="94"/>
      <c r="M7581" s="94"/>
    </row>
    <row r="7582" s="93" customFormat="1" spans="3:13">
      <c r="C7582" s="94"/>
      <c r="E7582" s="94"/>
      <c r="G7582" s="94"/>
      <c r="I7582" s="94"/>
      <c r="K7582" s="94"/>
      <c r="M7582" s="94"/>
    </row>
    <row r="7583" s="93" customFormat="1" spans="3:13">
      <c r="C7583" s="94"/>
      <c r="E7583" s="94"/>
      <c r="G7583" s="94"/>
      <c r="I7583" s="94"/>
      <c r="K7583" s="94"/>
      <c r="M7583" s="94"/>
    </row>
    <row r="7584" s="93" customFormat="1" spans="3:13">
      <c r="C7584" s="94"/>
      <c r="E7584" s="94"/>
      <c r="G7584" s="94"/>
      <c r="I7584" s="94"/>
      <c r="K7584" s="94"/>
      <c r="M7584" s="94"/>
    </row>
    <row r="7585" s="93" customFormat="1" spans="3:13">
      <c r="C7585" s="94"/>
      <c r="E7585" s="94"/>
      <c r="G7585" s="94"/>
      <c r="I7585" s="94"/>
      <c r="K7585" s="94"/>
      <c r="M7585" s="94"/>
    </row>
    <row r="7586" s="93" customFormat="1" spans="3:13">
      <c r="C7586" s="94"/>
      <c r="E7586" s="94"/>
      <c r="G7586" s="94"/>
      <c r="I7586" s="94"/>
      <c r="K7586" s="94"/>
      <c r="M7586" s="94"/>
    </row>
    <row r="7587" s="93" customFormat="1" spans="3:13">
      <c r="C7587" s="94"/>
      <c r="E7587" s="94"/>
      <c r="G7587" s="94"/>
      <c r="I7587" s="94"/>
      <c r="K7587" s="94"/>
      <c r="M7587" s="94"/>
    </row>
    <row r="7588" s="93" customFormat="1" spans="3:13">
      <c r="C7588" s="94"/>
      <c r="E7588" s="94"/>
      <c r="G7588" s="94"/>
      <c r="I7588" s="94"/>
      <c r="K7588" s="94"/>
      <c r="M7588" s="94"/>
    </row>
    <row r="7589" s="93" customFormat="1" spans="3:13">
      <c r="C7589" s="94"/>
      <c r="E7589" s="94"/>
      <c r="G7589" s="94"/>
      <c r="I7589" s="94"/>
      <c r="K7589" s="94"/>
      <c r="M7589" s="94"/>
    </row>
    <row r="7590" s="93" customFormat="1" spans="3:13">
      <c r="C7590" s="94"/>
      <c r="E7590" s="94"/>
      <c r="G7590" s="94"/>
      <c r="I7590" s="94"/>
      <c r="K7590" s="94"/>
      <c r="M7590" s="94"/>
    </row>
    <row r="7591" s="93" customFormat="1" spans="3:13">
      <c r="C7591" s="94"/>
      <c r="E7591" s="94"/>
      <c r="G7591" s="94"/>
      <c r="I7591" s="94"/>
      <c r="K7591" s="94"/>
      <c r="M7591" s="94"/>
    </row>
    <row r="7592" s="93" customFormat="1" spans="3:13">
      <c r="C7592" s="94"/>
      <c r="E7592" s="94"/>
      <c r="G7592" s="94"/>
      <c r="I7592" s="94"/>
      <c r="K7592" s="94"/>
      <c r="M7592" s="94"/>
    </row>
    <row r="7593" s="93" customFormat="1" spans="3:13">
      <c r="C7593" s="94"/>
      <c r="E7593" s="94"/>
      <c r="G7593" s="94"/>
      <c r="I7593" s="94"/>
      <c r="K7593" s="94"/>
      <c r="M7593" s="94"/>
    </row>
    <row r="7594" s="93" customFormat="1" spans="3:13">
      <c r="C7594" s="94"/>
      <c r="E7594" s="94"/>
      <c r="G7594" s="94"/>
      <c r="I7594" s="94"/>
      <c r="K7594" s="94"/>
      <c r="M7594" s="94"/>
    </row>
    <row r="7595" s="93" customFormat="1" spans="3:13">
      <c r="C7595" s="94"/>
      <c r="E7595" s="94"/>
      <c r="G7595" s="94"/>
      <c r="I7595" s="94"/>
      <c r="K7595" s="94"/>
      <c r="M7595" s="94"/>
    </row>
    <row r="7596" s="93" customFormat="1" spans="3:13">
      <c r="C7596" s="94"/>
      <c r="E7596" s="94"/>
      <c r="G7596" s="94"/>
      <c r="I7596" s="94"/>
      <c r="K7596" s="94"/>
      <c r="M7596" s="94"/>
    </row>
    <row r="7597" s="93" customFormat="1" spans="3:13">
      <c r="C7597" s="94"/>
      <c r="E7597" s="94"/>
      <c r="G7597" s="94"/>
      <c r="I7597" s="94"/>
      <c r="K7597" s="94"/>
      <c r="M7597" s="94"/>
    </row>
    <row r="7598" s="93" customFormat="1" spans="3:13">
      <c r="C7598" s="94"/>
      <c r="E7598" s="94"/>
      <c r="G7598" s="94"/>
      <c r="I7598" s="94"/>
      <c r="K7598" s="94"/>
      <c r="M7598" s="94"/>
    </row>
    <row r="7599" s="93" customFormat="1" spans="3:13">
      <c r="C7599" s="94"/>
      <c r="E7599" s="94"/>
      <c r="G7599" s="94"/>
      <c r="I7599" s="94"/>
      <c r="K7599" s="94"/>
      <c r="M7599" s="94"/>
    </row>
    <row r="7600" s="93" customFormat="1" spans="3:13">
      <c r="C7600" s="94"/>
      <c r="E7600" s="94"/>
      <c r="G7600" s="94"/>
      <c r="I7600" s="94"/>
      <c r="K7600" s="94"/>
      <c r="M7600" s="94"/>
    </row>
    <row r="7601" s="93" customFormat="1" spans="3:13">
      <c r="C7601" s="94"/>
      <c r="E7601" s="94"/>
      <c r="G7601" s="94"/>
      <c r="I7601" s="94"/>
      <c r="K7601" s="94"/>
      <c r="M7601" s="94"/>
    </row>
    <row r="7602" s="93" customFormat="1" spans="3:13">
      <c r="C7602" s="94"/>
      <c r="E7602" s="94"/>
      <c r="G7602" s="94"/>
      <c r="I7602" s="94"/>
      <c r="K7602" s="94"/>
      <c r="M7602" s="94"/>
    </row>
    <row r="7603" s="93" customFormat="1" spans="3:13">
      <c r="C7603" s="94"/>
      <c r="E7603" s="94"/>
      <c r="G7603" s="94"/>
      <c r="I7603" s="94"/>
      <c r="K7603" s="94"/>
      <c r="M7603" s="94"/>
    </row>
    <row r="7604" s="93" customFormat="1" spans="3:13">
      <c r="C7604" s="94"/>
      <c r="E7604" s="94"/>
      <c r="G7604" s="94"/>
      <c r="I7604" s="94"/>
      <c r="K7604" s="94"/>
      <c r="M7604" s="94"/>
    </row>
    <row r="7605" s="93" customFormat="1" spans="3:13">
      <c r="C7605" s="94"/>
      <c r="E7605" s="94"/>
      <c r="G7605" s="94"/>
      <c r="I7605" s="94"/>
      <c r="K7605" s="94"/>
      <c r="M7605" s="94"/>
    </row>
    <row r="7606" s="93" customFormat="1" spans="3:13">
      <c r="C7606" s="94"/>
      <c r="E7606" s="94"/>
      <c r="G7606" s="94"/>
      <c r="I7606" s="94"/>
      <c r="K7606" s="94"/>
      <c r="M7606" s="94"/>
    </row>
    <row r="7607" s="93" customFormat="1" spans="3:13">
      <c r="C7607" s="94"/>
      <c r="E7607" s="94"/>
      <c r="G7607" s="94"/>
      <c r="I7607" s="94"/>
      <c r="K7607" s="94"/>
      <c r="M7607" s="94"/>
    </row>
    <row r="7608" s="93" customFormat="1" spans="3:13">
      <c r="C7608" s="94"/>
      <c r="E7608" s="94"/>
      <c r="G7608" s="94"/>
      <c r="I7608" s="94"/>
      <c r="K7608" s="94"/>
      <c r="M7608" s="94"/>
    </row>
    <row r="7609" s="93" customFormat="1" spans="3:13">
      <c r="C7609" s="94"/>
      <c r="E7609" s="94"/>
      <c r="G7609" s="94"/>
      <c r="I7609" s="94"/>
      <c r="K7609" s="94"/>
      <c r="M7609" s="94"/>
    </row>
    <row r="7610" s="93" customFormat="1" spans="3:13">
      <c r="C7610" s="94"/>
      <c r="E7610" s="94"/>
      <c r="G7610" s="94"/>
      <c r="I7610" s="94"/>
      <c r="K7610" s="94"/>
      <c r="M7610" s="94"/>
    </row>
    <row r="7611" s="93" customFormat="1" spans="3:13">
      <c r="C7611" s="94"/>
      <c r="E7611" s="94"/>
      <c r="G7611" s="94"/>
      <c r="I7611" s="94"/>
      <c r="K7611" s="94"/>
      <c r="M7611" s="94"/>
    </row>
    <row r="7612" s="93" customFormat="1" spans="3:13">
      <c r="C7612" s="94"/>
      <c r="E7612" s="94"/>
      <c r="G7612" s="94"/>
      <c r="I7612" s="94"/>
      <c r="K7612" s="94"/>
      <c r="M7612" s="94"/>
    </row>
    <row r="7613" s="93" customFormat="1" spans="3:13">
      <c r="C7613" s="94"/>
      <c r="E7613" s="94"/>
      <c r="G7613" s="94"/>
      <c r="I7613" s="94"/>
      <c r="K7613" s="94"/>
      <c r="M7613" s="94"/>
    </row>
    <row r="7614" s="93" customFormat="1" spans="3:13">
      <c r="C7614" s="94"/>
      <c r="E7614" s="94"/>
      <c r="G7614" s="94"/>
      <c r="I7614" s="94"/>
      <c r="K7614" s="94"/>
      <c r="M7614" s="94"/>
    </row>
    <row r="7615" s="93" customFormat="1" spans="3:13">
      <c r="C7615" s="94"/>
      <c r="E7615" s="94"/>
      <c r="G7615" s="94"/>
      <c r="I7615" s="94"/>
      <c r="K7615" s="94"/>
      <c r="M7615" s="94"/>
    </row>
    <row r="7616" s="93" customFormat="1" spans="3:13">
      <c r="C7616" s="94"/>
      <c r="E7616" s="94"/>
      <c r="G7616" s="94"/>
      <c r="I7616" s="94"/>
      <c r="K7616" s="94"/>
      <c r="M7616" s="94"/>
    </row>
    <row r="7617" s="93" customFormat="1" spans="3:13">
      <c r="C7617" s="94"/>
      <c r="E7617" s="94"/>
      <c r="G7617" s="94"/>
      <c r="I7617" s="94"/>
      <c r="K7617" s="94"/>
      <c r="M7617" s="94"/>
    </row>
    <row r="7618" s="93" customFormat="1" spans="3:13">
      <c r="C7618" s="94"/>
      <c r="E7618" s="94"/>
      <c r="G7618" s="94"/>
      <c r="I7618" s="94"/>
      <c r="K7618" s="94"/>
      <c r="M7618" s="94"/>
    </row>
    <row r="7619" s="93" customFormat="1" spans="3:13">
      <c r="C7619" s="94"/>
      <c r="E7619" s="94"/>
      <c r="G7619" s="94"/>
      <c r="I7619" s="94"/>
      <c r="K7619" s="94"/>
      <c r="M7619" s="94"/>
    </row>
    <row r="7620" s="93" customFormat="1" spans="3:13">
      <c r="C7620" s="94"/>
      <c r="E7620" s="94"/>
      <c r="G7620" s="94"/>
      <c r="I7620" s="94"/>
      <c r="K7620" s="94"/>
      <c r="M7620" s="94"/>
    </row>
    <row r="7621" s="93" customFormat="1" spans="3:13">
      <c r="C7621" s="94"/>
      <c r="E7621" s="94"/>
      <c r="G7621" s="94"/>
      <c r="I7621" s="94"/>
      <c r="K7621" s="94"/>
      <c r="M7621" s="94"/>
    </row>
    <row r="7622" s="93" customFormat="1" spans="3:13">
      <c r="C7622" s="94"/>
      <c r="E7622" s="94"/>
      <c r="G7622" s="94"/>
      <c r="I7622" s="94"/>
      <c r="K7622" s="94"/>
      <c r="M7622" s="94"/>
    </row>
    <row r="7623" s="93" customFormat="1" spans="3:13">
      <c r="C7623" s="94"/>
      <c r="E7623" s="94"/>
      <c r="G7623" s="94"/>
      <c r="I7623" s="94"/>
      <c r="K7623" s="94"/>
      <c r="M7623" s="94"/>
    </row>
    <row r="7624" s="93" customFormat="1" spans="3:13">
      <c r="C7624" s="94"/>
      <c r="E7624" s="94"/>
      <c r="G7624" s="94"/>
      <c r="I7624" s="94"/>
      <c r="K7624" s="94"/>
      <c r="M7624" s="94"/>
    </row>
    <row r="7625" s="93" customFormat="1" spans="3:13">
      <c r="C7625" s="94"/>
      <c r="E7625" s="94"/>
      <c r="G7625" s="94"/>
      <c r="I7625" s="94"/>
      <c r="K7625" s="94"/>
      <c r="M7625" s="94"/>
    </row>
    <row r="7626" s="93" customFormat="1" spans="3:13">
      <c r="C7626" s="94"/>
      <c r="E7626" s="94"/>
      <c r="G7626" s="94"/>
      <c r="I7626" s="94"/>
      <c r="K7626" s="94"/>
      <c r="M7626" s="94"/>
    </row>
    <row r="7627" s="93" customFormat="1" spans="3:13">
      <c r="C7627" s="94"/>
      <c r="E7627" s="94"/>
      <c r="G7627" s="94"/>
      <c r="I7627" s="94"/>
      <c r="K7627" s="94"/>
      <c r="M7627" s="94"/>
    </row>
    <row r="7628" s="93" customFormat="1" spans="3:13">
      <c r="C7628" s="94"/>
      <c r="E7628" s="94"/>
      <c r="G7628" s="94"/>
      <c r="I7628" s="94"/>
      <c r="K7628" s="94"/>
      <c r="M7628" s="94"/>
    </row>
    <row r="7629" s="93" customFormat="1" spans="3:13">
      <c r="C7629" s="94"/>
      <c r="E7629" s="94"/>
      <c r="G7629" s="94"/>
      <c r="I7629" s="94"/>
      <c r="K7629" s="94"/>
      <c r="M7629" s="94"/>
    </row>
    <row r="7630" s="93" customFormat="1" spans="3:13">
      <c r="C7630" s="94"/>
      <c r="E7630" s="94"/>
      <c r="G7630" s="94"/>
      <c r="I7630" s="94"/>
      <c r="K7630" s="94"/>
      <c r="M7630" s="94"/>
    </row>
    <row r="7631" s="93" customFormat="1" spans="3:13">
      <c r="C7631" s="94"/>
      <c r="E7631" s="94"/>
      <c r="G7631" s="94"/>
      <c r="I7631" s="94"/>
      <c r="K7631" s="94"/>
      <c r="M7631" s="94"/>
    </row>
    <row r="7632" s="93" customFormat="1" spans="3:13">
      <c r="C7632" s="94"/>
      <c r="E7632" s="94"/>
      <c r="G7632" s="94"/>
      <c r="I7632" s="94"/>
      <c r="K7632" s="94"/>
      <c r="M7632" s="94"/>
    </row>
    <row r="7633" s="93" customFormat="1" spans="3:13">
      <c r="C7633" s="94"/>
      <c r="E7633" s="94"/>
      <c r="G7633" s="94"/>
      <c r="I7633" s="94"/>
      <c r="K7633" s="94"/>
      <c r="M7633" s="94"/>
    </row>
    <row r="7634" s="93" customFormat="1" spans="3:13">
      <c r="C7634" s="94"/>
      <c r="E7634" s="94"/>
      <c r="G7634" s="94"/>
      <c r="I7634" s="94"/>
      <c r="K7634" s="94"/>
      <c r="M7634" s="94"/>
    </row>
    <row r="7635" s="93" customFormat="1" spans="3:13">
      <c r="C7635" s="94"/>
      <c r="E7635" s="94"/>
      <c r="G7635" s="94"/>
      <c r="I7635" s="94"/>
      <c r="K7635" s="94"/>
      <c r="M7635" s="94"/>
    </row>
    <row r="7636" s="93" customFormat="1" spans="3:13">
      <c r="C7636" s="94"/>
      <c r="E7636" s="94"/>
      <c r="G7636" s="94"/>
      <c r="I7636" s="94"/>
      <c r="K7636" s="94"/>
      <c r="M7636" s="94"/>
    </row>
    <row r="7637" s="93" customFormat="1" spans="3:13">
      <c r="C7637" s="94"/>
      <c r="E7637" s="94"/>
      <c r="G7637" s="94"/>
      <c r="I7637" s="94"/>
      <c r="K7637" s="94"/>
      <c r="M7637" s="94"/>
    </row>
    <row r="7638" s="93" customFormat="1" spans="3:13">
      <c r="C7638" s="94"/>
      <c r="E7638" s="94"/>
      <c r="G7638" s="94"/>
      <c r="I7638" s="94"/>
      <c r="K7638" s="94"/>
      <c r="M7638" s="94"/>
    </row>
    <row r="7639" s="93" customFormat="1" spans="3:13">
      <c r="C7639" s="94"/>
      <c r="E7639" s="94"/>
      <c r="G7639" s="94"/>
      <c r="I7639" s="94"/>
      <c r="K7639" s="94"/>
      <c r="M7639" s="94"/>
    </row>
    <row r="7640" s="93" customFormat="1" spans="3:13">
      <c r="C7640" s="94"/>
      <c r="E7640" s="94"/>
      <c r="G7640" s="94"/>
      <c r="I7640" s="94"/>
      <c r="K7640" s="94"/>
      <c r="M7640" s="94"/>
    </row>
    <row r="7641" s="93" customFormat="1" spans="3:13">
      <c r="C7641" s="94"/>
      <c r="E7641" s="94"/>
      <c r="G7641" s="94"/>
      <c r="I7641" s="94"/>
      <c r="K7641" s="94"/>
      <c r="M7641" s="94"/>
    </row>
    <row r="7642" s="93" customFormat="1" spans="3:13">
      <c r="C7642" s="94"/>
      <c r="E7642" s="94"/>
      <c r="G7642" s="94"/>
      <c r="I7642" s="94"/>
      <c r="K7642" s="94"/>
      <c r="M7642" s="94"/>
    </row>
    <row r="7643" s="93" customFormat="1" spans="3:13">
      <c r="C7643" s="94"/>
      <c r="E7643" s="94"/>
      <c r="G7643" s="94"/>
      <c r="I7643" s="94"/>
      <c r="K7643" s="94"/>
      <c r="M7643" s="94"/>
    </row>
    <row r="7644" s="93" customFormat="1" spans="3:13">
      <c r="C7644" s="94"/>
      <c r="E7644" s="94"/>
      <c r="G7644" s="94"/>
      <c r="I7644" s="94"/>
      <c r="K7644" s="94"/>
      <c r="M7644" s="94"/>
    </row>
    <row r="7645" s="93" customFormat="1" spans="3:13">
      <c r="C7645" s="94"/>
      <c r="E7645" s="94"/>
      <c r="G7645" s="94"/>
      <c r="I7645" s="94"/>
      <c r="K7645" s="94"/>
      <c r="M7645" s="94"/>
    </row>
    <row r="7646" s="93" customFormat="1" spans="3:13">
      <c r="C7646" s="94"/>
      <c r="E7646" s="94"/>
      <c r="G7646" s="94"/>
      <c r="I7646" s="94"/>
      <c r="K7646" s="94"/>
      <c r="M7646" s="94"/>
    </row>
    <row r="7647" s="93" customFormat="1" spans="3:13">
      <c r="C7647" s="94"/>
      <c r="E7647" s="94"/>
      <c r="G7647" s="94"/>
      <c r="I7647" s="94"/>
      <c r="K7647" s="94"/>
      <c r="M7647" s="94"/>
    </row>
    <row r="7648" s="93" customFormat="1" spans="3:13">
      <c r="C7648" s="94"/>
      <c r="E7648" s="94"/>
      <c r="G7648" s="94"/>
      <c r="I7648" s="94"/>
      <c r="K7648" s="94"/>
      <c r="M7648" s="94"/>
    </row>
    <row r="7649" s="93" customFormat="1" spans="3:13">
      <c r="C7649" s="94"/>
      <c r="E7649" s="94"/>
      <c r="G7649" s="94"/>
      <c r="I7649" s="94"/>
      <c r="K7649" s="94"/>
      <c r="M7649" s="94"/>
    </row>
    <row r="7650" s="93" customFormat="1" spans="3:13">
      <c r="C7650" s="94"/>
      <c r="E7650" s="94"/>
      <c r="G7650" s="94"/>
      <c r="I7650" s="94"/>
      <c r="K7650" s="94"/>
      <c r="M7650" s="94"/>
    </row>
    <row r="7651" s="93" customFormat="1" spans="3:13">
      <c r="C7651" s="94"/>
      <c r="E7651" s="94"/>
      <c r="G7651" s="94"/>
      <c r="I7651" s="94"/>
      <c r="K7651" s="94"/>
      <c r="M7651" s="94"/>
    </row>
    <row r="7652" s="93" customFormat="1" spans="3:13">
      <c r="C7652" s="94"/>
      <c r="E7652" s="94"/>
      <c r="G7652" s="94"/>
      <c r="I7652" s="94"/>
      <c r="K7652" s="94"/>
      <c r="M7652" s="94"/>
    </row>
    <row r="7653" s="93" customFormat="1" spans="3:13">
      <c r="C7653" s="94"/>
      <c r="E7653" s="94"/>
      <c r="G7653" s="94"/>
      <c r="I7653" s="94"/>
      <c r="K7653" s="94"/>
      <c r="M7653" s="94"/>
    </row>
    <row r="7654" s="93" customFormat="1" spans="3:13">
      <c r="C7654" s="94"/>
      <c r="E7654" s="94"/>
      <c r="G7654" s="94"/>
      <c r="I7654" s="94"/>
      <c r="K7654" s="94"/>
      <c r="M7654" s="94"/>
    </row>
    <row r="7655" s="93" customFormat="1" spans="3:13">
      <c r="C7655" s="94"/>
      <c r="E7655" s="94"/>
      <c r="G7655" s="94"/>
      <c r="I7655" s="94"/>
      <c r="K7655" s="94"/>
      <c r="M7655" s="94"/>
    </row>
    <row r="7656" s="93" customFormat="1" spans="3:13">
      <c r="C7656" s="94"/>
      <c r="E7656" s="94"/>
      <c r="G7656" s="94"/>
      <c r="I7656" s="94"/>
      <c r="K7656" s="94"/>
      <c r="M7656" s="94"/>
    </row>
    <row r="7657" s="93" customFormat="1" spans="3:13">
      <c r="C7657" s="94"/>
      <c r="E7657" s="94"/>
      <c r="G7657" s="94"/>
      <c r="I7657" s="94"/>
      <c r="K7657" s="94"/>
      <c r="M7657" s="94"/>
    </row>
    <row r="7658" s="93" customFormat="1" spans="3:13">
      <c r="C7658" s="94"/>
      <c r="E7658" s="94"/>
      <c r="G7658" s="94"/>
      <c r="I7658" s="94"/>
      <c r="K7658" s="94"/>
      <c r="M7658" s="94"/>
    </row>
    <row r="7659" s="93" customFormat="1" spans="3:13">
      <c r="C7659" s="94"/>
      <c r="E7659" s="94"/>
      <c r="G7659" s="94"/>
      <c r="I7659" s="94"/>
      <c r="K7659" s="94"/>
      <c r="M7659" s="94"/>
    </row>
    <row r="7660" s="93" customFormat="1" spans="3:13">
      <c r="C7660" s="94"/>
      <c r="E7660" s="94"/>
      <c r="G7660" s="94"/>
      <c r="I7660" s="94"/>
      <c r="K7660" s="94"/>
      <c r="M7660" s="94"/>
    </row>
    <row r="7661" s="93" customFormat="1" spans="3:13">
      <c r="C7661" s="94"/>
      <c r="E7661" s="94"/>
      <c r="G7661" s="94"/>
      <c r="I7661" s="94"/>
      <c r="K7661" s="94"/>
      <c r="M7661" s="94"/>
    </row>
    <row r="7662" s="93" customFormat="1" spans="3:13">
      <c r="C7662" s="94"/>
      <c r="E7662" s="94"/>
      <c r="G7662" s="94"/>
      <c r="I7662" s="94"/>
      <c r="K7662" s="94"/>
      <c r="M7662" s="94"/>
    </row>
    <row r="7663" s="93" customFormat="1" spans="3:13">
      <c r="C7663" s="94"/>
      <c r="E7663" s="94"/>
      <c r="G7663" s="94"/>
      <c r="I7663" s="94"/>
      <c r="K7663" s="94"/>
      <c r="M7663" s="94"/>
    </row>
    <row r="7664" s="93" customFormat="1" spans="3:13">
      <c r="C7664" s="94"/>
      <c r="E7664" s="94"/>
      <c r="G7664" s="94"/>
      <c r="I7664" s="94"/>
      <c r="K7664" s="94"/>
      <c r="M7664" s="94"/>
    </row>
    <row r="7665" s="93" customFormat="1" spans="3:13">
      <c r="C7665" s="94"/>
      <c r="E7665" s="94"/>
      <c r="G7665" s="94"/>
      <c r="I7665" s="94"/>
      <c r="K7665" s="94"/>
      <c r="M7665" s="94"/>
    </row>
    <row r="7666" s="93" customFormat="1" spans="3:13">
      <c r="C7666" s="94"/>
      <c r="E7666" s="94"/>
      <c r="G7666" s="94"/>
      <c r="I7666" s="94"/>
      <c r="K7666" s="94"/>
      <c r="M7666" s="94"/>
    </row>
    <row r="7667" s="93" customFormat="1" spans="3:13">
      <c r="C7667" s="94"/>
      <c r="E7667" s="94"/>
      <c r="G7667" s="94"/>
      <c r="I7667" s="94"/>
      <c r="K7667" s="94"/>
      <c r="M7667" s="94"/>
    </row>
    <row r="7668" s="93" customFormat="1" spans="3:13">
      <c r="C7668" s="94"/>
      <c r="E7668" s="94"/>
      <c r="G7668" s="94"/>
      <c r="I7668" s="94"/>
      <c r="K7668" s="94"/>
      <c r="M7668" s="94"/>
    </row>
    <row r="7669" s="93" customFormat="1" spans="3:13">
      <c r="C7669" s="94"/>
      <c r="E7669" s="94"/>
      <c r="G7669" s="94"/>
      <c r="I7669" s="94"/>
      <c r="K7669" s="94"/>
      <c r="M7669" s="94"/>
    </row>
    <row r="7670" s="93" customFormat="1" spans="3:13">
      <c r="C7670" s="94"/>
      <c r="E7670" s="94"/>
      <c r="G7670" s="94"/>
      <c r="I7670" s="94"/>
      <c r="K7670" s="94"/>
      <c r="M7670" s="94"/>
    </row>
    <row r="7671" s="93" customFormat="1" spans="3:13">
      <c r="C7671" s="94"/>
      <c r="E7671" s="94"/>
      <c r="G7671" s="94"/>
      <c r="I7671" s="94"/>
      <c r="K7671" s="94"/>
      <c r="M7671" s="94"/>
    </row>
    <row r="7672" s="93" customFormat="1" spans="3:13">
      <c r="C7672" s="94"/>
      <c r="E7672" s="94"/>
      <c r="G7672" s="94"/>
      <c r="I7672" s="94"/>
      <c r="K7672" s="94"/>
      <c r="M7672" s="94"/>
    </row>
    <row r="7673" s="93" customFormat="1" spans="3:13">
      <c r="C7673" s="94"/>
      <c r="E7673" s="94"/>
      <c r="G7673" s="94"/>
      <c r="I7673" s="94"/>
      <c r="K7673" s="94"/>
      <c r="M7673" s="94"/>
    </row>
    <row r="7674" s="93" customFormat="1" spans="3:13">
      <c r="C7674" s="94"/>
      <c r="E7674" s="94"/>
      <c r="G7674" s="94"/>
      <c r="I7674" s="94"/>
      <c r="K7674" s="94"/>
      <c r="M7674" s="94"/>
    </row>
    <row r="7675" s="93" customFormat="1" spans="3:13">
      <c r="C7675" s="94"/>
      <c r="E7675" s="94"/>
      <c r="G7675" s="94"/>
      <c r="I7675" s="94"/>
      <c r="K7675" s="94"/>
      <c r="M7675" s="94"/>
    </row>
    <row r="7676" s="93" customFormat="1" spans="3:13">
      <c r="C7676" s="94"/>
      <c r="E7676" s="94"/>
      <c r="G7676" s="94"/>
      <c r="I7676" s="94"/>
      <c r="K7676" s="94"/>
      <c r="M7676" s="94"/>
    </row>
    <row r="7677" s="93" customFormat="1" spans="3:13">
      <c r="C7677" s="94"/>
      <c r="E7677" s="94"/>
      <c r="G7677" s="94"/>
      <c r="I7677" s="94"/>
      <c r="K7677" s="94"/>
      <c r="M7677" s="94"/>
    </row>
    <row r="7678" s="93" customFormat="1" spans="3:13">
      <c r="C7678" s="94"/>
      <c r="E7678" s="94"/>
      <c r="G7678" s="94"/>
      <c r="I7678" s="94"/>
      <c r="K7678" s="94"/>
      <c r="M7678" s="94"/>
    </row>
    <row r="7679" s="93" customFormat="1" spans="3:13">
      <c r="C7679" s="94"/>
      <c r="E7679" s="94"/>
      <c r="G7679" s="94"/>
      <c r="I7679" s="94"/>
      <c r="K7679" s="94"/>
      <c r="M7679" s="94"/>
    </row>
    <row r="7680" s="93" customFormat="1" spans="3:13">
      <c r="C7680" s="94"/>
      <c r="E7680" s="94"/>
      <c r="G7680" s="94"/>
      <c r="I7680" s="94"/>
      <c r="K7680" s="94"/>
      <c r="M7680" s="94"/>
    </row>
    <row r="7681" s="93" customFormat="1" spans="3:13">
      <c r="C7681" s="94"/>
      <c r="E7681" s="94"/>
      <c r="G7681" s="94"/>
      <c r="I7681" s="94"/>
      <c r="K7681" s="94"/>
      <c r="M7681" s="94"/>
    </row>
    <row r="7682" s="93" customFormat="1" spans="3:13">
      <c r="C7682" s="94"/>
      <c r="E7682" s="94"/>
      <c r="G7682" s="94"/>
      <c r="I7682" s="94"/>
      <c r="K7682" s="94"/>
      <c r="M7682" s="94"/>
    </row>
    <row r="7683" s="93" customFormat="1" spans="3:13">
      <c r="C7683" s="94"/>
      <c r="E7683" s="94"/>
      <c r="G7683" s="94"/>
      <c r="I7683" s="94"/>
      <c r="K7683" s="94"/>
      <c r="M7683" s="94"/>
    </row>
    <row r="7684" s="93" customFormat="1" spans="3:13">
      <c r="C7684" s="94"/>
      <c r="E7684" s="94"/>
      <c r="G7684" s="94"/>
      <c r="I7684" s="94"/>
      <c r="K7684" s="94"/>
      <c r="M7684" s="94"/>
    </row>
    <row r="7685" s="93" customFormat="1" spans="3:13">
      <c r="C7685" s="94"/>
      <c r="E7685" s="94"/>
      <c r="G7685" s="94"/>
      <c r="I7685" s="94"/>
      <c r="K7685" s="94"/>
      <c r="M7685" s="94"/>
    </row>
    <row r="7686" s="93" customFormat="1" spans="3:13">
      <c r="C7686" s="94"/>
      <c r="E7686" s="94"/>
      <c r="G7686" s="94"/>
      <c r="I7686" s="94"/>
      <c r="K7686" s="94"/>
      <c r="M7686" s="94"/>
    </row>
    <row r="7687" s="93" customFormat="1" spans="3:13">
      <c r="C7687" s="94"/>
      <c r="E7687" s="94"/>
      <c r="G7687" s="94"/>
      <c r="I7687" s="94"/>
      <c r="K7687" s="94"/>
      <c r="M7687" s="94"/>
    </row>
    <row r="7688" s="93" customFormat="1" spans="3:13">
      <c r="C7688" s="94"/>
      <c r="E7688" s="94"/>
      <c r="G7688" s="94"/>
      <c r="I7688" s="94"/>
      <c r="K7688" s="94"/>
      <c r="M7688" s="94"/>
    </row>
    <row r="7689" s="93" customFormat="1" spans="3:13">
      <c r="C7689" s="94"/>
      <c r="E7689" s="94"/>
      <c r="G7689" s="94"/>
      <c r="I7689" s="94"/>
      <c r="K7689" s="94"/>
      <c r="M7689" s="94"/>
    </row>
    <row r="7690" s="93" customFormat="1" spans="3:13">
      <c r="C7690" s="94"/>
      <c r="E7690" s="94"/>
      <c r="G7690" s="94"/>
      <c r="I7690" s="94"/>
      <c r="K7690" s="94"/>
      <c r="M7690" s="94"/>
    </row>
    <row r="7691" s="93" customFormat="1" spans="3:13">
      <c r="C7691" s="94"/>
      <c r="E7691" s="94"/>
      <c r="G7691" s="94"/>
      <c r="I7691" s="94"/>
      <c r="K7691" s="94"/>
      <c r="M7691" s="94"/>
    </row>
    <row r="7692" s="93" customFormat="1" spans="3:13">
      <c r="C7692" s="94"/>
      <c r="E7692" s="94"/>
      <c r="G7692" s="94"/>
      <c r="I7692" s="94"/>
      <c r="K7692" s="94"/>
      <c r="M7692" s="94"/>
    </row>
    <row r="7693" s="93" customFormat="1" spans="3:13">
      <c r="C7693" s="94"/>
      <c r="E7693" s="94"/>
      <c r="G7693" s="94"/>
      <c r="I7693" s="94"/>
      <c r="K7693" s="94"/>
      <c r="M7693" s="94"/>
    </row>
    <row r="7694" s="93" customFormat="1" spans="3:13">
      <c r="C7694" s="94"/>
      <c r="E7694" s="94"/>
      <c r="G7694" s="94"/>
      <c r="I7694" s="94"/>
      <c r="K7694" s="94"/>
      <c r="M7694" s="94"/>
    </row>
    <row r="7695" s="93" customFormat="1" spans="3:13">
      <c r="C7695" s="94"/>
      <c r="E7695" s="94"/>
      <c r="G7695" s="94"/>
      <c r="I7695" s="94"/>
      <c r="K7695" s="94"/>
      <c r="M7695" s="94"/>
    </row>
    <row r="7696" s="93" customFormat="1" spans="3:13">
      <c r="C7696" s="94"/>
      <c r="E7696" s="94"/>
      <c r="G7696" s="94"/>
      <c r="I7696" s="94"/>
      <c r="K7696" s="94"/>
      <c r="M7696" s="94"/>
    </row>
    <row r="7697" s="93" customFormat="1" spans="3:13">
      <c r="C7697" s="94"/>
      <c r="E7697" s="94"/>
      <c r="G7697" s="94"/>
      <c r="I7697" s="94"/>
      <c r="K7697" s="94"/>
      <c r="M7697" s="94"/>
    </row>
    <row r="7698" s="93" customFormat="1" spans="3:13">
      <c r="C7698" s="94"/>
      <c r="E7698" s="94"/>
      <c r="G7698" s="94"/>
      <c r="I7698" s="94"/>
      <c r="K7698" s="94"/>
      <c r="M7698" s="94"/>
    </row>
    <row r="7699" s="93" customFormat="1" spans="3:13">
      <c r="C7699" s="94"/>
      <c r="E7699" s="94"/>
      <c r="G7699" s="94"/>
      <c r="I7699" s="94"/>
      <c r="K7699" s="94"/>
      <c r="M7699" s="94"/>
    </row>
    <row r="7700" s="93" customFormat="1" spans="3:13">
      <c r="C7700" s="94"/>
      <c r="E7700" s="94"/>
      <c r="G7700" s="94"/>
      <c r="I7700" s="94"/>
      <c r="K7700" s="94"/>
      <c r="M7700" s="94"/>
    </row>
    <row r="7701" s="93" customFormat="1" spans="3:13">
      <c r="C7701" s="94"/>
      <c r="E7701" s="94"/>
      <c r="G7701" s="94"/>
      <c r="I7701" s="94"/>
      <c r="K7701" s="94"/>
      <c r="M7701" s="94"/>
    </row>
    <row r="7702" s="93" customFormat="1" spans="3:13">
      <c r="C7702" s="94"/>
      <c r="E7702" s="94"/>
      <c r="G7702" s="94"/>
      <c r="I7702" s="94"/>
      <c r="K7702" s="94"/>
      <c r="M7702" s="94"/>
    </row>
    <row r="7703" s="93" customFormat="1" spans="3:13">
      <c r="C7703" s="94"/>
      <c r="E7703" s="94"/>
      <c r="G7703" s="94"/>
      <c r="I7703" s="94"/>
      <c r="K7703" s="94"/>
      <c r="M7703" s="94"/>
    </row>
    <row r="7704" s="93" customFormat="1" spans="3:13">
      <c r="C7704" s="94"/>
      <c r="E7704" s="94"/>
      <c r="G7704" s="94"/>
      <c r="I7704" s="94"/>
      <c r="K7704" s="94"/>
      <c r="M7704" s="94"/>
    </row>
    <row r="7705" s="93" customFormat="1" spans="3:13">
      <c r="C7705" s="94"/>
      <c r="E7705" s="94"/>
      <c r="G7705" s="94"/>
      <c r="I7705" s="94"/>
      <c r="K7705" s="94"/>
      <c r="M7705" s="94"/>
    </row>
    <row r="7706" s="93" customFormat="1" spans="3:13">
      <c r="C7706" s="94"/>
      <c r="E7706" s="94"/>
      <c r="G7706" s="94"/>
      <c r="I7706" s="94"/>
      <c r="K7706" s="94"/>
      <c r="M7706" s="94"/>
    </row>
    <row r="7707" s="93" customFormat="1" spans="3:13">
      <c r="C7707" s="94"/>
      <c r="E7707" s="94"/>
      <c r="G7707" s="94"/>
      <c r="I7707" s="94"/>
      <c r="K7707" s="94"/>
      <c r="M7707" s="94"/>
    </row>
    <row r="7708" s="93" customFormat="1" spans="3:13">
      <c r="C7708" s="94"/>
      <c r="E7708" s="94"/>
      <c r="G7708" s="94"/>
      <c r="I7708" s="94"/>
      <c r="K7708" s="94"/>
      <c r="M7708" s="94"/>
    </row>
    <row r="7709" s="93" customFormat="1" spans="3:13">
      <c r="C7709" s="94"/>
      <c r="E7709" s="94"/>
      <c r="G7709" s="94"/>
      <c r="I7709" s="94"/>
      <c r="K7709" s="94"/>
      <c r="M7709" s="94"/>
    </row>
    <row r="7710" s="93" customFormat="1" spans="3:13">
      <c r="C7710" s="94"/>
      <c r="E7710" s="94"/>
      <c r="G7710" s="94"/>
      <c r="I7710" s="94"/>
      <c r="K7710" s="94"/>
      <c r="M7710" s="94"/>
    </row>
    <row r="7711" s="93" customFormat="1" spans="3:13">
      <c r="C7711" s="94"/>
      <c r="E7711" s="94"/>
      <c r="G7711" s="94"/>
      <c r="I7711" s="94"/>
      <c r="K7711" s="94"/>
      <c r="M7711" s="94"/>
    </row>
    <row r="7712" s="93" customFormat="1" spans="3:13">
      <c r="C7712" s="94"/>
      <c r="E7712" s="94"/>
      <c r="G7712" s="94"/>
      <c r="I7712" s="94"/>
      <c r="K7712" s="94"/>
      <c r="M7712" s="94"/>
    </row>
    <row r="7713" s="93" customFormat="1" spans="3:13">
      <c r="C7713" s="94"/>
      <c r="E7713" s="94"/>
      <c r="G7713" s="94"/>
      <c r="I7713" s="94"/>
      <c r="K7713" s="94"/>
      <c r="M7713" s="94"/>
    </row>
    <row r="7714" s="93" customFormat="1" spans="3:13">
      <c r="C7714" s="94"/>
      <c r="E7714" s="94"/>
      <c r="G7714" s="94"/>
      <c r="I7714" s="94"/>
      <c r="K7714" s="94"/>
      <c r="M7714" s="94"/>
    </row>
    <row r="7715" s="93" customFormat="1" spans="3:13">
      <c r="C7715" s="94"/>
      <c r="E7715" s="94"/>
      <c r="G7715" s="94"/>
      <c r="I7715" s="94"/>
      <c r="K7715" s="94"/>
      <c r="M7715" s="94"/>
    </row>
    <row r="7716" s="93" customFormat="1" spans="3:13">
      <c r="C7716" s="94"/>
      <c r="E7716" s="94"/>
      <c r="G7716" s="94"/>
      <c r="I7716" s="94"/>
      <c r="K7716" s="94"/>
      <c r="M7716" s="94"/>
    </row>
    <row r="7717" s="93" customFormat="1" spans="3:13">
      <c r="C7717" s="94"/>
      <c r="E7717" s="94"/>
      <c r="G7717" s="94"/>
      <c r="I7717" s="94"/>
      <c r="K7717" s="94"/>
      <c r="M7717" s="94"/>
    </row>
    <row r="7718" s="93" customFormat="1" spans="3:13">
      <c r="C7718" s="94"/>
      <c r="E7718" s="94"/>
      <c r="G7718" s="94"/>
      <c r="I7718" s="94"/>
      <c r="K7718" s="94"/>
      <c r="M7718" s="94"/>
    </row>
    <row r="7719" s="93" customFormat="1" spans="3:13">
      <c r="C7719" s="94"/>
      <c r="E7719" s="94"/>
      <c r="G7719" s="94"/>
      <c r="I7719" s="94"/>
      <c r="K7719" s="94"/>
      <c r="M7719" s="94"/>
    </row>
    <row r="7720" s="93" customFormat="1" spans="3:13">
      <c r="C7720" s="94"/>
      <c r="E7720" s="94"/>
      <c r="G7720" s="94"/>
      <c r="I7720" s="94"/>
      <c r="K7720" s="94"/>
      <c r="M7720" s="94"/>
    </row>
    <row r="7721" s="93" customFormat="1" spans="3:13">
      <c r="C7721" s="94"/>
      <c r="E7721" s="94"/>
      <c r="G7721" s="94"/>
      <c r="I7721" s="94"/>
      <c r="K7721" s="94"/>
      <c r="M7721" s="94"/>
    </row>
    <row r="7722" s="93" customFormat="1" spans="3:13">
      <c r="C7722" s="94"/>
      <c r="E7722" s="94"/>
      <c r="G7722" s="94"/>
      <c r="I7722" s="94"/>
      <c r="K7722" s="94"/>
      <c r="M7722" s="94"/>
    </row>
    <row r="7723" s="93" customFormat="1" spans="3:13">
      <c r="C7723" s="94"/>
      <c r="E7723" s="94"/>
      <c r="G7723" s="94"/>
      <c r="I7723" s="94"/>
      <c r="K7723" s="94"/>
      <c r="M7723" s="94"/>
    </row>
    <row r="7724" s="93" customFormat="1" spans="3:13">
      <c r="C7724" s="94"/>
      <c r="E7724" s="94"/>
      <c r="G7724" s="94"/>
      <c r="I7724" s="94"/>
      <c r="K7724" s="94"/>
      <c r="M7724" s="94"/>
    </row>
    <row r="7725" s="93" customFormat="1" spans="3:13">
      <c r="C7725" s="94"/>
      <c r="E7725" s="94"/>
      <c r="G7725" s="94"/>
      <c r="I7725" s="94"/>
      <c r="K7725" s="94"/>
      <c r="M7725" s="94"/>
    </row>
    <row r="7726" s="93" customFormat="1" spans="3:13">
      <c r="C7726" s="94"/>
      <c r="E7726" s="94"/>
      <c r="G7726" s="94"/>
      <c r="I7726" s="94"/>
      <c r="K7726" s="94"/>
      <c r="M7726" s="94"/>
    </row>
    <row r="7727" s="93" customFormat="1" spans="3:13">
      <c r="C7727" s="94"/>
      <c r="E7727" s="94"/>
      <c r="G7727" s="94"/>
      <c r="I7727" s="94"/>
      <c r="K7727" s="94"/>
      <c r="M7727" s="94"/>
    </row>
    <row r="7728" s="93" customFormat="1" spans="3:13">
      <c r="C7728" s="94"/>
      <c r="E7728" s="94"/>
      <c r="G7728" s="94"/>
      <c r="I7728" s="94"/>
      <c r="K7728" s="94"/>
      <c r="M7728" s="94"/>
    </row>
    <row r="7729" s="93" customFormat="1" spans="3:13">
      <c r="C7729" s="94"/>
      <c r="E7729" s="94"/>
      <c r="G7729" s="94"/>
      <c r="I7729" s="94"/>
      <c r="K7729" s="94"/>
      <c r="M7729" s="94"/>
    </row>
    <row r="7730" s="93" customFormat="1" spans="3:13">
      <c r="C7730" s="94"/>
      <c r="E7730" s="94"/>
      <c r="G7730" s="94"/>
      <c r="I7730" s="94"/>
      <c r="K7730" s="94"/>
      <c r="M7730" s="94"/>
    </row>
    <row r="7731" s="93" customFormat="1" spans="3:13">
      <c r="C7731" s="94"/>
      <c r="E7731" s="94"/>
      <c r="G7731" s="94"/>
      <c r="I7731" s="94"/>
      <c r="K7731" s="94"/>
      <c r="M7731" s="94"/>
    </row>
    <row r="7732" s="93" customFormat="1" spans="3:13">
      <c r="C7732" s="94"/>
      <c r="E7732" s="94"/>
      <c r="G7732" s="94"/>
      <c r="I7732" s="94"/>
      <c r="K7732" s="94"/>
      <c r="M7732" s="94"/>
    </row>
    <row r="7733" s="93" customFormat="1" spans="3:13">
      <c r="C7733" s="94"/>
      <c r="E7733" s="94"/>
      <c r="G7733" s="94"/>
      <c r="I7733" s="94"/>
      <c r="K7733" s="94"/>
      <c r="M7733" s="94"/>
    </row>
    <row r="7734" s="93" customFormat="1" spans="3:13">
      <c r="C7734" s="94"/>
      <c r="E7734" s="94"/>
      <c r="G7734" s="94"/>
      <c r="I7734" s="94"/>
      <c r="K7734" s="94"/>
      <c r="M7734" s="94"/>
    </row>
    <row r="7735" s="93" customFormat="1" spans="3:13">
      <c r="C7735" s="94"/>
      <c r="E7735" s="94"/>
      <c r="G7735" s="94"/>
      <c r="I7735" s="94"/>
      <c r="K7735" s="94"/>
      <c r="M7735" s="94"/>
    </row>
    <row r="7736" s="93" customFormat="1" spans="3:13">
      <c r="C7736" s="94"/>
      <c r="E7736" s="94"/>
      <c r="G7736" s="94"/>
      <c r="I7736" s="94"/>
      <c r="K7736" s="94"/>
      <c r="M7736" s="94"/>
    </row>
    <row r="7737" s="93" customFormat="1" spans="3:13">
      <c r="C7737" s="94"/>
      <c r="E7737" s="94"/>
      <c r="G7737" s="94"/>
      <c r="I7737" s="94"/>
      <c r="K7737" s="94"/>
      <c r="M7737" s="94"/>
    </row>
    <row r="7738" s="93" customFormat="1" spans="3:13">
      <c r="C7738" s="94"/>
      <c r="E7738" s="94"/>
      <c r="G7738" s="94"/>
      <c r="I7738" s="94"/>
      <c r="K7738" s="94"/>
      <c r="M7738" s="94"/>
    </row>
    <row r="7739" s="93" customFormat="1" spans="3:13">
      <c r="C7739" s="94"/>
      <c r="E7739" s="94"/>
      <c r="G7739" s="94"/>
      <c r="I7739" s="94"/>
      <c r="K7739" s="94"/>
      <c r="M7739" s="94"/>
    </row>
    <row r="7740" s="93" customFormat="1" spans="3:13">
      <c r="C7740" s="94"/>
      <c r="E7740" s="94"/>
      <c r="G7740" s="94"/>
      <c r="I7740" s="94"/>
      <c r="K7740" s="94"/>
      <c r="M7740" s="94"/>
    </row>
    <row r="7741" s="93" customFormat="1" spans="3:13">
      <c r="C7741" s="94"/>
      <c r="E7741" s="94"/>
      <c r="G7741" s="94"/>
      <c r="I7741" s="94"/>
      <c r="K7741" s="94"/>
      <c r="M7741" s="94"/>
    </row>
    <row r="7742" s="93" customFormat="1" spans="3:13">
      <c r="C7742" s="94"/>
      <c r="E7742" s="94"/>
      <c r="G7742" s="94"/>
      <c r="I7742" s="94"/>
      <c r="K7742" s="94"/>
      <c r="M7742" s="94"/>
    </row>
    <row r="7743" s="93" customFormat="1" spans="3:13">
      <c r="C7743" s="94"/>
      <c r="E7743" s="94"/>
      <c r="G7743" s="94"/>
      <c r="I7743" s="94"/>
      <c r="K7743" s="94"/>
      <c r="M7743" s="94"/>
    </row>
    <row r="7744" s="93" customFormat="1" spans="3:13">
      <c r="C7744" s="94"/>
      <c r="E7744" s="94"/>
      <c r="G7744" s="94"/>
      <c r="I7744" s="94"/>
      <c r="K7744" s="94"/>
      <c r="M7744" s="94"/>
    </row>
    <row r="7745" s="93" customFormat="1" spans="3:13">
      <c r="C7745" s="94"/>
      <c r="E7745" s="94"/>
      <c r="G7745" s="94"/>
      <c r="I7745" s="94"/>
      <c r="K7745" s="94"/>
      <c r="M7745" s="94"/>
    </row>
    <row r="7746" s="93" customFormat="1" spans="3:13">
      <c r="C7746" s="94"/>
      <c r="E7746" s="94"/>
      <c r="G7746" s="94"/>
      <c r="I7746" s="94"/>
      <c r="K7746" s="94"/>
      <c r="M7746" s="94"/>
    </row>
    <row r="7747" s="93" customFormat="1" spans="3:13">
      <c r="C7747" s="94"/>
      <c r="E7747" s="94"/>
      <c r="G7747" s="94"/>
      <c r="I7747" s="94"/>
      <c r="K7747" s="94"/>
      <c r="M7747" s="94"/>
    </row>
    <row r="7748" s="93" customFormat="1" spans="3:13">
      <c r="C7748" s="94"/>
      <c r="E7748" s="94"/>
      <c r="G7748" s="94"/>
      <c r="I7748" s="94"/>
      <c r="K7748" s="94"/>
      <c r="M7748" s="94"/>
    </row>
    <row r="7749" s="93" customFormat="1" spans="3:13">
      <c r="C7749" s="94"/>
      <c r="E7749" s="94"/>
      <c r="G7749" s="94"/>
      <c r="I7749" s="94"/>
      <c r="K7749" s="94"/>
      <c r="M7749" s="94"/>
    </row>
    <row r="7750" s="93" customFormat="1" spans="3:13">
      <c r="C7750" s="94"/>
      <c r="E7750" s="94"/>
      <c r="G7750" s="94"/>
      <c r="I7750" s="94"/>
      <c r="K7750" s="94"/>
      <c r="M7750" s="94"/>
    </row>
    <row r="7751" s="93" customFormat="1" spans="3:13">
      <c r="C7751" s="94"/>
      <c r="E7751" s="94"/>
      <c r="G7751" s="94"/>
      <c r="I7751" s="94"/>
      <c r="K7751" s="94"/>
      <c r="M7751" s="94"/>
    </row>
    <row r="7752" s="93" customFormat="1" spans="3:13">
      <c r="C7752" s="94"/>
      <c r="E7752" s="94"/>
      <c r="G7752" s="94"/>
      <c r="I7752" s="94"/>
      <c r="K7752" s="94"/>
      <c r="M7752" s="94"/>
    </row>
    <row r="7753" s="93" customFormat="1" spans="3:13">
      <c r="C7753" s="94"/>
      <c r="E7753" s="94"/>
      <c r="G7753" s="94"/>
      <c r="I7753" s="94"/>
      <c r="K7753" s="94"/>
      <c r="M7753" s="94"/>
    </row>
    <row r="7754" s="93" customFormat="1" spans="3:13">
      <c r="C7754" s="94"/>
      <c r="E7754" s="94"/>
      <c r="G7754" s="94"/>
      <c r="I7754" s="94"/>
      <c r="K7754" s="94"/>
      <c r="M7754" s="94"/>
    </row>
    <row r="7755" s="93" customFormat="1" spans="3:13">
      <c r="C7755" s="94"/>
      <c r="E7755" s="94"/>
      <c r="G7755" s="94"/>
      <c r="I7755" s="94"/>
      <c r="K7755" s="94"/>
      <c r="M7755" s="94"/>
    </row>
    <row r="7756" s="93" customFormat="1" spans="3:13">
      <c r="C7756" s="94"/>
      <c r="E7756" s="94"/>
      <c r="G7756" s="94"/>
      <c r="I7756" s="94"/>
      <c r="K7756" s="94"/>
      <c r="M7756" s="94"/>
    </row>
    <row r="7757" s="93" customFormat="1" spans="3:13">
      <c r="C7757" s="94"/>
      <c r="E7757" s="94"/>
      <c r="G7757" s="94"/>
      <c r="I7757" s="94"/>
      <c r="K7757" s="94"/>
      <c r="M7757" s="94"/>
    </row>
    <row r="7758" s="93" customFormat="1" spans="3:13">
      <c r="C7758" s="94"/>
      <c r="E7758" s="94"/>
      <c r="G7758" s="94"/>
      <c r="I7758" s="94"/>
      <c r="K7758" s="94"/>
      <c r="M7758" s="94"/>
    </row>
    <row r="7759" s="93" customFormat="1" spans="3:13">
      <c r="C7759" s="94"/>
      <c r="E7759" s="94"/>
      <c r="G7759" s="94"/>
      <c r="I7759" s="94"/>
      <c r="K7759" s="94"/>
      <c r="M7759" s="94"/>
    </row>
    <row r="7760" s="93" customFormat="1" spans="3:13">
      <c r="C7760" s="94"/>
      <c r="E7760" s="94"/>
      <c r="G7760" s="94"/>
      <c r="I7760" s="94"/>
      <c r="K7760" s="94"/>
      <c r="M7760" s="94"/>
    </row>
    <row r="7761" s="93" customFormat="1" spans="3:13">
      <c r="C7761" s="94"/>
      <c r="E7761" s="94"/>
      <c r="G7761" s="94"/>
      <c r="I7761" s="94"/>
      <c r="K7761" s="94"/>
      <c r="M7761" s="94"/>
    </row>
    <row r="7762" s="93" customFormat="1" spans="3:13">
      <c r="C7762" s="94"/>
      <c r="E7762" s="94"/>
      <c r="G7762" s="94"/>
      <c r="I7762" s="94"/>
      <c r="K7762" s="94"/>
      <c r="M7762" s="94"/>
    </row>
    <row r="7763" s="93" customFormat="1" spans="3:13">
      <c r="C7763" s="94"/>
      <c r="E7763" s="94"/>
      <c r="G7763" s="94"/>
      <c r="I7763" s="94"/>
      <c r="K7763" s="94"/>
      <c r="M7763" s="94"/>
    </row>
    <row r="7764" s="93" customFormat="1" spans="3:13">
      <c r="C7764" s="94"/>
      <c r="E7764" s="94"/>
      <c r="G7764" s="94"/>
      <c r="I7764" s="94"/>
      <c r="K7764" s="94"/>
      <c r="M7764" s="94"/>
    </row>
    <row r="7765" s="93" customFormat="1" spans="3:13">
      <c r="C7765" s="94"/>
      <c r="E7765" s="94"/>
      <c r="G7765" s="94"/>
      <c r="I7765" s="94"/>
      <c r="K7765" s="94"/>
      <c r="M7765" s="94"/>
    </row>
    <row r="7766" s="93" customFormat="1" spans="3:13">
      <c r="C7766" s="94"/>
      <c r="E7766" s="94"/>
      <c r="G7766" s="94"/>
      <c r="I7766" s="94"/>
      <c r="K7766" s="94"/>
      <c r="M7766" s="94"/>
    </row>
    <row r="7767" s="93" customFormat="1" spans="3:13">
      <c r="C7767" s="94"/>
      <c r="E7767" s="94"/>
      <c r="G7767" s="94"/>
      <c r="I7767" s="94"/>
      <c r="K7767" s="94"/>
      <c r="M7767" s="94"/>
    </row>
    <row r="7768" s="93" customFormat="1" spans="3:13">
      <c r="C7768" s="94"/>
      <c r="E7768" s="94"/>
      <c r="G7768" s="94"/>
      <c r="I7768" s="94"/>
      <c r="K7768" s="94"/>
      <c r="M7768" s="94"/>
    </row>
    <row r="7769" s="93" customFormat="1" spans="3:13">
      <c r="C7769" s="94"/>
      <c r="E7769" s="94"/>
      <c r="G7769" s="94"/>
      <c r="I7769" s="94"/>
      <c r="K7769" s="94"/>
      <c r="M7769" s="94"/>
    </row>
    <row r="7770" s="93" customFormat="1" spans="3:13">
      <c r="C7770" s="94"/>
      <c r="E7770" s="94"/>
      <c r="G7770" s="94"/>
      <c r="I7770" s="94"/>
      <c r="K7770" s="94"/>
      <c r="M7770" s="94"/>
    </row>
    <row r="7771" s="93" customFormat="1" spans="3:13">
      <c r="C7771" s="94"/>
      <c r="E7771" s="94"/>
      <c r="G7771" s="94"/>
      <c r="I7771" s="94"/>
      <c r="K7771" s="94"/>
      <c r="M7771" s="94"/>
    </row>
    <row r="7772" s="93" customFormat="1" spans="3:13">
      <c r="C7772" s="94"/>
      <c r="E7772" s="94"/>
      <c r="G7772" s="94"/>
      <c r="I7772" s="94"/>
      <c r="K7772" s="94"/>
      <c r="M7772" s="94"/>
    </row>
    <row r="7773" s="93" customFormat="1" spans="3:13">
      <c r="C7773" s="94"/>
      <c r="E7773" s="94"/>
      <c r="G7773" s="94"/>
      <c r="I7773" s="94"/>
      <c r="K7773" s="94"/>
      <c r="M7773" s="94"/>
    </row>
    <row r="7774" s="93" customFormat="1" spans="3:13">
      <c r="C7774" s="94"/>
      <c r="E7774" s="94"/>
      <c r="G7774" s="94"/>
      <c r="I7774" s="94"/>
      <c r="K7774" s="94"/>
      <c r="M7774" s="94"/>
    </row>
    <row r="7775" s="93" customFormat="1" spans="3:13">
      <c r="C7775" s="94"/>
      <c r="E7775" s="94"/>
      <c r="G7775" s="94"/>
      <c r="I7775" s="94"/>
      <c r="K7775" s="94"/>
      <c r="M7775" s="94"/>
    </row>
    <row r="7776" s="93" customFormat="1" spans="3:13">
      <c r="C7776" s="94"/>
      <c r="E7776" s="94"/>
      <c r="G7776" s="94"/>
      <c r="I7776" s="94"/>
      <c r="K7776" s="94"/>
      <c r="M7776" s="94"/>
    </row>
    <row r="7777" s="93" customFormat="1" spans="3:13">
      <c r="C7777" s="94"/>
      <c r="E7777" s="94"/>
      <c r="G7777" s="94"/>
      <c r="I7777" s="94"/>
      <c r="K7777" s="94"/>
      <c r="M7777" s="94"/>
    </row>
    <row r="7778" s="93" customFormat="1" spans="3:13">
      <c r="C7778" s="94"/>
      <c r="E7778" s="94"/>
      <c r="G7778" s="94"/>
      <c r="I7778" s="94"/>
      <c r="K7778" s="94"/>
      <c r="M7778" s="94"/>
    </row>
    <row r="7779" s="93" customFormat="1" spans="3:13">
      <c r="C7779" s="94"/>
      <c r="E7779" s="94"/>
      <c r="G7779" s="94"/>
      <c r="I7779" s="94"/>
      <c r="K7779" s="94"/>
      <c r="M7779" s="94"/>
    </row>
    <row r="7780" s="93" customFormat="1" spans="3:13">
      <c r="C7780" s="94"/>
      <c r="E7780" s="94"/>
      <c r="G7780" s="94"/>
      <c r="I7780" s="94"/>
      <c r="K7780" s="94"/>
      <c r="M7780" s="94"/>
    </row>
    <row r="7781" s="93" customFormat="1" spans="3:13">
      <c r="C7781" s="94"/>
      <c r="E7781" s="94"/>
      <c r="G7781" s="94"/>
      <c r="I7781" s="94"/>
      <c r="K7781" s="94"/>
      <c r="M7781" s="94"/>
    </row>
    <row r="7782" s="93" customFormat="1" spans="3:13">
      <c r="C7782" s="94"/>
      <c r="E7782" s="94"/>
      <c r="G7782" s="94"/>
      <c r="I7782" s="94"/>
      <c r="K7782" s="94"/>
      <c r="M7782" s="94"/>
    </row>
    <row r="7783" s="93" customFormat="1" spans="3:13">
      <c r="C7783" s="94"/>
      <c r="E7783" s="94"/>
      <c r="G7783" s="94"/>
      <c r="I7783" s="94"/>
      <c r="K7783" s="94"/>
      <c r="M7783" s="94"/>
    </row>
    <row r="7784" s="93" customFormat="1" spans="3:13">
      <c r="C7784" s="94"/>
      <c r="E7784" s="94"/>
      <c r="G7784" s="94"/>
      <c r="I7784" s="94"/>
      <c r="K7784" s="94"/>
      <c r="M7784" s="94"/>
    </row>
    <row r="7785" s="93" customFormat="1" spans="3:13">
      <c r="C7785" s="94"/>
      <c r="E7785" s="94"/>
      <c r="G7785" s="94"/>
      <c r="I7785" s="94"/>
      <c r="K7785" s="94"/>
      <c r="M7785" s="94"/>
    </row>
    <row r="7786" s="93" customFormat="1" spans="3:13">
      <c r="C7786" s="94"/>
      <c r="E7786" s="94"/>
      <c r="G7786" s="94"/>
      <c r="I7786" s="94"/>
      <c r="K7786" s="94"/>
      <c r="M7786" s="94"/>
    </row>
    <row r="7787" s="93" customFormat="1" spans="3:13">
      <c r="C7787" s="94"/>
      <c r="E7787" s="94"/>
      <c r="G7787" s="94"/>
      <c r="I7787" s="94"/>
      <c r="K7787" s="94"/>
      <c r="M7787" s="94"/>
    </row>
    <row r="7788" s="93" customFormat="1" spans="3:13">
      <c r="C7788" s="94"/>
      <c r="E7788" s="94"/>
      <c r="G7788" s="94"/>
      <c r="I7788" s="94"/>
      <c r="K7788" s="94"/>
      <c r="M7788" s="94"/>
    </row>
    <row r="7789" s="93" customFormat="1" spans="3:13">
      <c r="C7789" s="94"/>
      <c r="E7789" s="94"/>
      <c r="G7789" s="94"/>
      <c r="I7789" s="94"/>
      <c r="K7789" s="94"/>
      <c r="M7789" s="94"/>
    </row>
    <row r="7790" s="93" customFormat="1" spans="3:13">
      <c r="C7790" s="94"/>
      <c r="E7790" s="94"/>
      <c r="G7790" s="94"/>
      <c r="I7790" s="94"/>
      <c r="K7790" s="94"/>
      <c r="M7790" s="94"/>
    </row>
    <row r="7791" s="93" customFormat="1" spans="3:13">
      <c r="C7791" s="94"/>
      <c r="E7791" s="94"/>
      <c r="G7791" s="94"/>
      <c r="I7791" s="94"/>
      <c r="K7791" s="94"/>
      <c r="M7791" s="94"/>
    </row>
    <row r="7792" s="93" customFormat="1" spans="3:13">
      <c r="C7792" s="94"/>
      <c r="E7792" s="94"/>
      <c r="G7792" s="94"/>
      <c r="I7792" s="94"/>
      <c r="K7792" s="94"/>
      <c r="M7792" s="94"/>
    </row>
    <row r="7793" s="93" customFormat="1" spans="3:13">
      <c r="C7793" s="94"/>
      <c r="E7793" s="94"/>
      <c r="G7793" s="94"/>
      <c r="I7793" s="94"/>
      <c r="K7793" s="94"/>
      <c r="M7793" s="94"/>
    </row>
    <row r="7794" s="93" customFormat="1" spans="3:13">
      <c r="C7794" s="94"/>
      <c r="E7794" s="94"/>
      <c r="G7794" s="94"/>
      <c r="I7794" s="94"/>
      <c r="K7794" s="94"/>
      <c r="M7794" s="94"/>
    </row>
    <row r="7795" s="93" customFormat="1" spans="3:13">
      <c r="C7795" s="94"/>
      <c r="E7795" s="94"/>
      <c r="G7795" s="94"/>
      <c r="I7795" s="94"/>
      <c r="K7795" s="94"/>
      <c r="M7795" s="94"/>
    </row>
    <row r="7796" s="93" customFormat="1" spans="3:13">
      <c r="C7796" s="94"/>
      <c r="E7796" s="94"/>
      <c r="G7796" s="94"/>
      <c r="I7796" s="94"/>
      <c r="K7796" s="94"/>
      <c r="M7796" s="94"/>
    </row>
    <row r="7797" s="93" customFormat="1" spans="3:13">
      <c r="C7797" s="94"/>
      <c r="E7797" s="94"/>
      <c r="G7797" s="94"/>
      <c r="I7797" s="94"/>
      <c r="K7797" s="94"/>
      <c r="M7797" s="94"/>
    </row>
    <row r="7798" s="93" customFormat="1" spans="3:13">
      <c r="C7798" s="94"/>
      <c r="E7798" s="94"/>
      <c r="G7798" s="94"/>
      <c r="I7798" s="94"/>
      <c r="K7798" s="94"/>
      <c r="M7798" s="94"/>
    </row>
    <row r="7799" s="93" customFormat="1" spans="3:13">
      <c r="C7799" s="94"/>
      <c r="E7799" s="94"/>
      <c r="G7799" s="94"/>
      <c r="I7799" s="94"/>
      <c r="K7799" s="94"/>
      <c r="M7799" s="94"/>
    </row>
    <row r="7800" s="93" customFormat="1" spans="3:13">
      <c r="C7800" s="94"/>
      <c r="E7800" s="94"/>
      <c r="G7800" s="94"/>
      <c r="I7800" s="94"/>
      <c r="K7800" s="94"/>
      <c r="M7800" s="94"/>
    </row>
    <row r="7801" s="93" customFormat="1" spans="3:13">
      <c r="C7801" s="94"/>
      <c r="E7801" s="94"/>
      <c r="G7801" s="94"/>
      <c r="I7801" s="94"/>
      <c r="K7801" s="94"/>
      <c r="M7801" s="94"/>
    </row>
    <row r="7802" s="93" customFormat="1" spans="3:13">
      <c r="C7802" s="94"/>
      <c r="E7802" s="94"/>
      <c r="G7802" s="94"/>
      <c r="I7802" s="94"/>
      <c r="K7802" s="94"/>
      <c r="M7802" s="94"/>
    </row>
    <row r="7803" s="93" customFormat="1" spans="3:13">
      <c r="C7803" s="94"/>
      <c r="E7803" s="94"/>
      <c r="G7803" s="94"/>
      <c r="I7803" s="94"/>
      <c r="K7803" s="94"/>
      <c r="M7803" s="94"/>
    </row>
    <row r="7804" s="93" customFormat="1" spans="3:13">
      <c r="C7804" s="94"/>
      <c r="E7804" s="94"/>
      <c r="G7804" s="94"/>
      <c r="I7804" s="94"/>
      <c r="K7804" s="94"/>
      <c r="M7804" s="94"/>
    </row>
    <row r="7805" s="93" customFormat="1" spans="3:13">
      <c r="C7805" s="94"/>
      <c r="E7805" s="94"/>
      <c r="G7805" s="94"/>
      <c r="I7805" s="94"/>
      <c r="K7805" s="94"/>
      <c r="M7805" s="94"/>
    </row>
    <row r="7806" s="93" customFormat="1" spans="3:13">
      <c r="C7806" s="94"/>
      <c r="E7806" s="94"/>
      <c r="G7806" s="94"/>
      <c r="I7806" s="94"/>
      <c r="K7806" s="94"/>
      <c r="M7806" s="94"/>
    </row>
    <row r="7807" s="93" customFormat="1" spans="3:13">
      <c r="C7807" s="94"/>
      <c r="E7807" s="94"/>
      <c r="G7807" s="94"/>
      <c r="I7807" s="94"/>
      <c r="K7807" s="94"/>
      <c r="M7807" s="94"/>
    </row>
    <row r="7808" s="93" customFormat="1" spans="3:13">
      <c r="C7808" s="94"/>
      <c r="E7808" s="94"/>
      <c r="G7808" s="94"/>
      <c r="I7808" s="94"/>
      <c r="K7808" s="94"/>
      <c r="M7808" s="94"/>
    </row>
    <row r="7809" s="93" customFormat="1" spans="3:13">
      <c r="C7809" s="94"/>
      <c r="E7809" s="94"/>
      <c r="G7809" s="94"/>
      <c r="I7809" s="94"/>
      <c r="K7809" s="94"/>
      <c r="M7809" s="94"/>
    </row>
    <row r="7810" s="93" customFormat="1" spans="3:13">
      <c r="C7810" s="94"/>
      <c r="E7810" s="94"/>
      <c r="G7810" s="94"/>
      <c r="I7810" s="94"/>
      <c r="K7810" s="94"/>
      <c r="M7810" s="94"/>
    </row>
    <row r="7811" s="93" customFormat="1" spans="3:13">
      <c r="C7811" s="94"/>
      <c r="E7811" s="94"/>
      <c r="G7811" s="94"/>
      <c r="I7811" s="94"/>
      <c r="K7811" s="94"/>
      <c r="M7811" s="94"/>
    </row>
    <row r="7812" s="93" customFormat="1" spans="3:13">
      <c r="C7812" s="94"/>
      <c r="E7812" s="94"/>
      <c r="G7812" s="94"/>
      <c r="I7812" s="94"/>
      <c r="K7812" s="94"/>
      <c r="M7812" s="94"/>
    </row>
    <row r="7813" s="93" customFormat="1" spans="3:13">
      <c r="C7813" s="94"/>
      <c r="E7813" s="94"/>
      <c r="G7813" s="94"/>
      <c r="I7813" s="94"/>
      <c r="K7813" s="94"/>
      <c r="M7813" s="94"/>
    </row>
    <row r="7814" s="93" customFormat="1" spans="3:13">
      <c r="C7814" s="94"/>
      <c r="E7814" s="94"/>
      <c r="G7814" s="94"/>
      <c r="I7814" s="94"/>
      <c r="K7814" s="94"/>
      <c r="M7814" s="94"/>
    </row>
    <row r="7815" s="93" customFormat="1" spans="3:13">
      <c r="C7815" s="94"/>
      <c r="E7815" s="94"/>
      <c r="G7815" s="94"/>
      <c r="I7815" s="94"/>
      <c r="K7815" s="94"/>
      <c r="M7815" s="94"/>
    </row>
    <row r="7816" s="93" customFormat="1" spans="3:13">
      <c r="C7816" s="94"/>
      <c r="E7816" s="94"/>
      <c r="G7816" s="94"/>
      <c r="I7816" s="94"/>
      <c r="K7816" s="94"/>
      <c r="M7816" s="94"/>
    </row>
    <row r="7817" s="93" customFormat="1" spans="3:13">
      <c r="C7817" s="94"/>
      <c r="E7817" s="94"/>
      <c r="G7817" s="94"/>
      <c r="I7817" s="94"/>
      <c r="K7817" s="94"/>
      <c r="M7817" s="94"/>
    </row>
    <row r="7818" s="93" customFormat="1" spans="3:13">
      <c r="C7818" s="94"/>
      <c r="E7818" s="94"/>
      <c r="G7818" s="94"/>
      <c r="I7818" s="94"/>
      <c r="K7818" s="94"/>
      <c r="M7818" s="94"/>
    </row>
    <row r="7819" s="93" customFormat="1" spans="3:13">
      <c r="C7819" s="94"/>
      <c r="E7819" s="94"/>
      <c r="G7819" s="94"/>
      <c r="I7819" s="94"/>
      <c r="K7819" s="94"/>
      <c r="M7819" s="94"/>
    </row>
    <row r="7820" s="93" customFormat="1" spans="3:13">
      <c r="C7820" s="94"/>
      <c r="E7820" s="94"/>
      <c r="G7820" s="94"/>
      <c r="I7820" s="94"/>
      <c r="K7820" s="94"/>
      <c r="M7820" s="94"/>
    </row>
    <row r="7821" s="93" customFormat="1" spans="3:13">
      <c r="C7821" s="94"/>
      <c r="E7821" s="94"/>
      <c r="G7821" s="94"/>
      <c r="I7821" s="94"/>
      <c r="K7821" s="94"/>
      <c r="M7821" s="94"/>
    </row>
    <row r="7822" s="93" customFormat="1" spans="3:13">
      <c r="C7822" s="94"/>
      <c r="E7822" s="94"/>
      <c r="G7822" s="94"/>
      <c r="I7822" s="94"/>
      <c r="K7822" s="94"/>
      <c r="M7822" s="94"/>
    </row>
    <row r="7823" s="93" customFormat="1" spans="3:13">
      <c r="C7823" s="94"/>
      <c r="E7823" s="94"/>
      <c r="G7823" s="94"/>
      <c r="I7823" s="94"/>
      <c r="K7823" s="94"/>
      <c r="M7823" s="94"/>
    </row>
    <row r="7824" s="93" customFormat="1" spans="3:13">
      <c r="C7824" s="94"/>
      <c r="E7824" s="94"/>
      <c r="G7824" s="94"/>
      <c r="I7824" s="94"/>
      <c r="K7824" s="94"/>
      <c r="M7824" s="94"/>
    </row>
    <row r="7825" s="93" customFormat="1" spans="3:13">
      <c r="C7825" s="94"/>
      <c r="E7825" s="94"/>
      <c r="G7825" s="94"/>
      <c r="I7825" s="94"/>
      <c r="K7825" s="94"/>
      <c r="M7825" s="94"/>
    </row>
    <row r="7826" s="93" customFormat="1" spans="3:13">
      <c r="C7826" s="94"/>
      <c r="E7826" s="94"/>
      <c r="G7826" s="94"/>
      <c r="I7826" s="94"/>
      <c r="K7826" s="94"/>
      <c r="M7826" s="94"/>
    </row>
    <row r="7827" s="93" customFormat="1" spans="3:13">
      <c r="C7827" s="94"/>
      <c r="E7827" s="94"/>
      <c r="G7827" s="94"/>
      <c r="I7827" s="94"/>
      <c r="K7827" s="94"/>
      <c r="M7827" s="94"/>
    </row>
    <row r="7828" s="93" customFormat="1" spans="3:13">
      <c r="C7828" s="94"/>
      <c r="E7828" s="94"/>
      <c r="G7828" s="94"/>
      <c r="I7828" s="94"/>
      <c r="K7828" s="94"/>
      <c r="M7828" s="94"/>
    </row>
    <row r="7829" s="93" customFormat="1" spans="3:13">
      <c r="C7829" s="94"/>
      <c r="E7829" s="94"/>
      <c r="G7829" s="94"/>
      <c r="I7829" s="94"/>
      <c r="K7829" s="94"/>
      <c r="M7829" s="94"/>
    </row>
    <row r="7830" s="93" customFormat="1" spans="3:13">
      <c r="C7830" s="94"/>
      <c r="E7830" s="94"/>
      <c r="G7830" s="94"/>
      <c r="I7830" s="94"/>
      <c r="K7830" s="94"/>
      <c r="M7830" s="94"/>
    </row>
    <row r="7831" s="93" customFormat="1" spans="3:13">
      <c r="C7831" s="94"/>
      <c r="E7831" s="94"/>
      <c r="G7831" s="94"/>
      <c r="I7831" s="94"/>
      <c r="K7831" s="94"/>
      <c r="M7831" s="94"/>
    </row>
    <row r="7832" s="93" customFormat="1" spans="3:13">
      <c r="C7832" s="94"/>
      <c r="E7832" s="94"/>
      <c r="G7832" s="94"/>
      <c r="I7832" s="94"/>
      <c r="K7832" s="94"/>
      <c r="M7832" s="94"/>
    </row>
    <row r="7833" s="93" customFormat="1" spans="3:13">
      <c r="C7833" s="94"/>
      <c r="E7833" s="94"/>
      <c r="G7833" s="94"/>
      <c r="I7833" s="94"/>
      <c r="K7833" s="94"/>
      <c r="M7833" s="94"/>
    </row>
    <row r="7834" s="93" customFormat="1" spans="3:13">
      <c r="C7834" s="94"/>
      <c r="E7834" s="94"/>
      <c r="G7834" s="94"/>
      <c r="I7834" s="94"/>
      <c r="K7834" s="94"/>
      <c r="M7834" s="94"/>
    </row>
    <row r="7835" s="93" customFormat="1" spans="3:13">
      <c r="C7835" s="94"/>
      <c r="E7835" s="94"/>
      <c r="G7835" s="94"/>
      <c r="I7835" s="94"/>
      <c r="K7835" s="94"/>
      <c r="M7835" s="94"/>
    </row>
    <row r="7836" s="93" customFormat="1" spans="3:13">
      <c r="C7836" s="94"/>
      <c r="E7836" s="94"/>
      <c r="G7836" s="94"/>
      <c r="I7836" s="94"/>
      <c r="K7836" s="94"/>
      <c r="M7836" s="94"/>
    </row>
    <row r="7837" s="93" customFormat="1" spans="3:13">
      <c r="C7837" s="94"/>
      <c r="E7837" s="94"/>
      <c r="G7837" s="94"/>
      <c r="I7837" s="94"/>
      <c r="K7837" s="94"/>
      <c r="M7837" s="94"/>
    </row>
    <row r="7838" s="93" customFormat="1" spans="3:13">
      <c r="C7838" s="94"/>
      <c r="E7838" s="94"/>
      <c r="G7838" s="94"/>
      <c r="I7838" s="94"/>
      <c r="K7838" s="94"/>
      <c r="M7838" s="94"/>
    </row>
    <row r="7839" s="93" customFormat="1" spans="3:13">
      <c r="C7839" s="94"/>
      <c r="E7839" s="94"/>
      <c r="G7839" s="94"/>
      <c r="I7839" s="94"/>
      <c r="K7839" s="94"/>
      <c r="M7839" s="94"/>
    </row>
    <row r="7840" s="93" customFormat="1" spans="3:13">
      <c r="C7840" s="94"/>
      <c r="E7840" s="94"/>
      <c r="G7840" s="94"/>
      <c r="I7840" s="94"/>
      <c r="K7840" s="94"/>
      <c r="M7840" s="94"/>
    </row>
    <row r="7841" s="93" customFormat="1" spans="3:13">
      <c r="C7841" s="94"/>
      <c r="E7841" s="94"/>
      <c r="G7841" s="94"/>
      <c r="I7841" s="94"/>
      <c r="K7841" s="94"/>
      <c r="M7841" s="94"/>
    </row>
    <row r="7842" s="93" customFormat="1" spans="3:13">
      <c r="C7842" s="94"/>
      <c r="E7842" s="94"/>
      <c r="G7842" s="94"/>
      <c r="I7842" s="94"/>
      <c r="K7842" s="94"/>
      <c r="M7842" s="94"/>
    </row>
    <row r="7843" s="93" customFormat="1" spans="3:13">
      <c r="C7843" s="94"/>
      <c r="E7843" s="94"/>
      <c r="G7843" s="94"/>
      <c r="I7843" s="94"/>
      <c r="K7843" s="94"/>
      <c r="M7843" s="94"/>
    </row>
    <row r="7844" s="93" customFormat="1" spans="3:13">
      <c r="C7844" s="94"/>
      <c r="E7844" s="94"/>
      <c r="G7844" s="94"/>
      <c r="I7844" s="94"/>
      <c r="K7844" s="94"/>
      <c r="M7844" s="94"/>
    </row>
    <row r="7845" s="93" customFormat="1" spans="3:13">
      <c r="C7845" s="94"/>
      <c r="E7845" s="94"/>
      <c r="G7845" s="94"/>
      <c r="I7845" s="94"/>
      <c r="K7845" s="94"/>
      <c r="M7845" s="94"/>
    </row>
    <row r="7846" s="93" customFormat="1" spans="3:13">
      <c r="C7846" s="94"/>
      <c r="E7846" s="94"/>
      <c r="G7846" s="94"/>
      <c r="I7846" s="94"/>
      <c r="K7846" s="94"/>
      <c r="M7846" s="94"/>
    </row>
    <row r="7847" s="93" customFormat="1" spans="3:13">
      <c r="C7847" s="94"/>
      <c r="E7847" s="94"/>
      <c r="G7847" s="94"/>
      <c r="I7847" s="94"/>
      <c r="K7847" s="94"/>
      <c r="M7847" s="94"/>
    </row>
    <row r="7848" s="93" customFormat="1" spans="3:13">
      <c r="C7848" s="94"/>
      <c r="E7848" s="94"/>
      <c r="G7848" s="94"/>
      <c r="I7848" s="94"/>
      <c r="K7848" s="94"/>
      <c r="M7848" s="94"/>
    </row>
    <row r="7849" s="93" customFormat="1" spans="3:13">
      <c r="C7849" s="94"/>
      <c r="E7849" s="94"/>
      <c r="G7849" s="94"/>
      <c r="I7849" s="94"/>
      <c r="K7849" s="94"/>
      <c r="M7849" s="94"/>
    </row>
    <row r="7850" s="93" customFormat="1" spans="3:13">
      <c r="C7850" s="94"/>
      <c r="E7850" s="94"/>
      <c r="G7850" s="94"/>
      <c r="I7850" s="94"/>
      <c r="K7850" s="94"/>
      <c r="M7850" s="94"/>
    </row>
    <row r="7851" s="93" customFormat="1" spans="3:13">
      <c r="C7851" s="94"/>
      <c r="E7851" s="94"/>
      <c r="G7851" s="94"/>
      <c r="I7851" s="94"/>
      <c r="K7851" s="94"/>
      <c r="M7851" s="94"/>
    </row>
    <row r="7852" s="93" customFormat="1" spans="3:13">
      <c r="C7852" s="94"/>
      <c r="E7852" s="94"/>
      <c r="G7852" s="94"/>
      <c r="I7852" s="94"/>
      <c r="K7852" s="94"/>
      <c r="M7852" s="94"/>
    </row>
    <row r="7853" s="93" customFormat="1" spans="3:13">
      <c r="C7853" s="94"/>
      <c r="E7853" s="94"/>
      <c r="G7853" s="94"/>
      <c r="I7853" s="94"/>
      <c r="K7853" s="94"/>
      <c r="M7853" s="94"/>
    </row>
    <row r="7854" s="93" customFormat="1" spans="3:13">
      <c r="C7854" s="94"/>
      <c r="E7854" s="94"/>
      <c r="G7854" s="94"/>
      <c r="I7854" s="94"/>
      <c r="K7854" s="94"/>
      <c r="M7854" s="94"/>
    </row>
    <row r="7855" s="93" customFormat="1" spans="3:13">
      <c r="C7855" s="94"/>
      <c r="E7855" s="94"/>
      <c r="G7855" s="94"/>
      <c r="I7855" s="94"/>
      <c r="K7855" s="94"/>
      <c r="M7855" s="94"/>
    </row>
    <row r="7856" s="93" customFormat="1" spans="3:13">
      <c r="C7856" s="94"/>
      <c r="E7856" s="94"/>
      <c r="G7856" s="94"/>
      <c r="I7856" s="94"/>
      <c r="K7856" s="94"/>
      <c r="M7856" s="94"/>
    </row>
    <row r="7857" s="93" customFormat="1" spans="3:13">
      <c r="C7857" s="94"/>
      <c r="E7857" s="94"/>
      <c r="G7857" s="94"/>
      <c r="I7857" s="94"/>
      <c r="K7857" s="94"/>
      <c r="M7857" s="94"/>
    </row>
    <row r="7858" s="93" customFormat="1" spans="3:13">
      <c r="C7858" s="94"/>
      <c r="E7858" s="94"/>
      <c r="G7858" s="94"/>
      <c r="I7858" s="94"/>
      <c r="K7858" s="94"/>
      <c r="M7858" s="94"/>
    </row>
    <row r="7859" s="93" customFormat="1" spans="3:13">
      <c r="C7859" s="94"/>
      <c r="E7859" s="94"/>
      <c r="G7859" s="94"/>
      <c r="I7859" s="94"/>
      <c r="K7859" s="94"/>
      <c r="M7859" s="94"/>
    </row>
    <row r="7860" s="93" customFormat="1" spans="3:13">
      <c r="C7860" s="94"/>
      <c r="E7860" s="94"/>
      <c r="G7860" s="94"/>
      <c r="I7860" s="94"/>
      <c r="K7860" s="94"/>
      <c r="M7860" s="94"/>
    </row>
    <row r="7861" s="93" customFormat="1" spans="3:13">
      <c r="C7861" s="94"/>
      <c r="E7861" s="94"/>
      <c r="G7861" s="94"/>
      <c r="I7861" s="94"/>
      <c r="K7861" s="94"/>
      <c r="M7861" s="94"/>
    </row>
    <row r="7862" s="93" customFormat="1" spans="3:13">
      <c r="C7862" s="94"/>
      <c r="E7862" s="94"/>
      <c r="G7862" s="94"/>
      <c r="I7862" s="94"/>
      <c r="K7862" s="94"/>
      <c r="M7862" s="94"/>
    </row>
    <row r="7863" s="93" customFormat="1" spans="3:13">
      <c r="C7863" s="94"/>
      <c r="E7863" s="94"/>
      <c r="G7863" s="94"/>
      <c r="I7863" s="94"/>
      <c r="K7863" s="94"/>
      <c r="M7863" s="94"/>
    </row>
    <row r="7864" s="93" customFormat="1" spans="3:13">
      <c r="C7864" s="94"/>
      <c r="E7864" s="94"/>
      <c r="G7864" s="94"/>
      <c r="I7864" s="94"/>
      <c r="K7864" s="94"/>
      <c r="M7864" s="94"/>
    </row>
    <row r="7865" s="93" customFormat="1" spans="3:13">
      <c r="C7865" s="94"/>
      <c r="E7865" s="94"/>
      <c r="G7865" s="94"/>
      <c r="I7865" s="94"/>
      <c r="K7865" s="94"/>
      <c r="M7865" s="94"/>
    </row>
    <row r="7866" s="93" customFormat="1" spans="3:13">
      <c r="C7866" s="94"/>
      <c r="E7866" s="94"/>
      <c r="G7866" s="94"/>
      <c r="I7866" s="94"/>
      <c r="K7866" s="94"/>
      <c r="M7866" s="94"/>
    </row>
    <row r="7867" s="93" customFormat="1" spans="3:13">
      <c r="C7867" s="94"/>
      <c r="E7867" s="94"/>
      <c r="G7867" s="94"/>
      <c r="I7867" s="94"/>
      <c r="K7867" s="94"/>
      <c r="M7867" s="94"/>
    </row>
    <row r="7868" s="93" customFormat="1" spans="3:13">
      <c r="C7868" s="94"/>
      <c r="E7868" s="94"/>
      <c r="G7868" s="94"/>
      <c r="I7868" s="94"/>
      <c r="K7868" s="94"/>
      <c r="M7868" s="94"/>
    </row>
    <row r="7869" s="93" customFormat="1" spans="3:13">
      <c r="C7869" s="94"/>
      <c r="E7869" s="94"/>
      <c r="G7869" s="94"/>
      <c r="I7869" s="94"/>
      <c r="K7869" s="94"/>
      <c r="M7869" s="94"/>
    </row>
    <row r="7870" s="93" customFormat="1" spans="3:13">
      <c r="C7870" s="94"/>
      <c r="E7870" s="94"/>
      <c r="G7870" s="94"/>
      <c r="I7870" s="94"/>
      <c r="K7870" s="94"/>
      <c r="M7870" s="94"/>
    </row>
    <row r="7871" s="93" customFormat="1" spans="3:13">
      <c r="C7871" s="94"/>
      <c r="E7871" s="94"/>
      <c r="G7871" s="94"/>
      <c r="I7871" s="94"/>
      <c r="K7871" s="94"/>
      <c r="M7871" s="94"/>
    </row>
    <row r="7872" s="93" customFormat="1" spans="3:13">
      <c r="C7872" s="94"/>
      <c r="E7872" s="94"/>
      <c r="G7872" s="94"/>
      <c r="I7872" s="94"/>
      <c r="K7872" s="94"/>
      <c r="M7872" s="94"/>
    </row>
    <row r="7873" s="93" customFormat="1" spans="3:13">
      <c r="C7873" s="94"/>
      <c r="E7873" s="94"/>
      <c r="G7873" s="94"/>
      <c r="I7873" s="94"/>
      <c r="K7873" s="94"/>
      <c r="M7873" s="94"/>
    </row>
    <row r="7874" s="93" customFormat="1" spans="3:13">
      <c r="C7874" s="94"/>
      <c r="E7874" s="94"/>
      <c r="G7874" s="94"/>
      <c r="I7874" s="94"/>
      <c r="K7874" s="94"/>
      <c r="M7874" s="94"/>
    </row>
    <row r="7875" s="93" customFormat="1" spans="3:13">
      <c r="C7875" s="94"/>
      <c r="E7875" s="94"/>
      <c r="G7875" s="94"/>
      <c r="I7875" s="94"/>
      <c r="K7875" s="94"/>
      <c r="M7875" s="94"/>
    </row>
    <row r="7876" s="93" customFormat="1" spans="3:13">
      <c r="C7876" s="94"/>
      <c r="E7876" s="94"/>
      <c r="G7876" s="94"/>
      <c r="I7876" s="94"/>
      <c r="K7876" s="94"/>
      <c r="M7876" s="94"/>
    </row>
    <row r="7877" s="93" customFormat="1" spans="3:13">
      <c r="C7877" s="94"/>
      <c r="E7877" s="94"/>
      <c r="G7877" s="94"/>
      <c r="I7877" s="94"/>
      <c r="K7877" s="94"/>
      <c r="M7877" s="94"/>
    </row>
    <row r="7878" s="93" customFormat="1" spans="3:13">
      <c r="C7878" s="94"/>
      <c r="E7878" s="94"/>
      <c r="G7878" s="94"/>
      <c r="I7878" s="94"/>
      <c r="K7878" s="94"/>
      <c r="M7878" s="94"/>
    </row>
    <row r="7879" s="93" customFormat="1" spans="3:13">
      <c r="C7879" s="94"/>
      <c r="E7879" s="94"/>
      <c r="G7879" s="94"/>
      <c r="I7879" s="94"/>
      <c r="K7879" s="94"/>
      <c r="M7879" s="94"/>
    </row>
    <row r="7880" s="93" customFormat="1" spans="3:13">
      <c r="C7880" s="94"/>
      <c r="E7880" s="94"/>
      <c r="G7880" s="94"/>
      <c r="I7880" s="94"/>
      <c r="K7880" s="94"/>
      <c r="M7880" s="94"/>
    </row>
    <row r="7881" s="93" customFormat="1" spans="3:13">
      <c r="C7881" s="94"/>
      <c r="E7881" s="94"/>
      <c r="G7881" s="94"/>
      <c r="I7881" s="94"/>
      <c r="K7881" s="94"/>
      <c r="M7881" s="94"/>
    </row>
    <row r="7882" s="93" customFormat="1" spans="3:13">
      <c r="C7882" s="94"/>
      <c r="E7882" s="94"/>
      <c r="G7882" s="94"/>
      <c r="I7882" s="94"/>
      <c r="K7882" s="94"/>
      <c r="M7882" s="94"/>
    </row>
    <row r="7883" s="93" customFormat="1" spans="3:13">
      <c r="C7883" s="94"/>
      <c r="E7883" s="94"/>
      <c r="G7883" s="94"/>
      <c r="I7883" s="94"/>
      <c r="K7883" s="94"/>
      <c r="M7883" s="94"/>
    </row>
    <row r="7884" s="93" customFormat="1" spans="3:13">
      <c r="C7884" s="94"/>
      <c r="E7884" s="94"/>
      <c r="G7884" s="94"/>
      <c r="I7884" s="94"/>
      <c r="K7884" s="94"/>
      <c r="M7884" s="94"/>
    </row>
    <row r="7885" s="93" customFormat="1" spans="3:13">
      <c r="C7885" s="94"/>
      <c r="E7885" s="94"/>
      <c r="G7885" s="94"/>
      <c r="I7885" s="94"/>
      <c r="K7885" s="94"/>
      <c r="M7885" s="94"/>
    </row>
    <row r="7886" s="93" customFormat="1" spans="3:13">
      <c r="C7886" s="94"/>
      <c r="E7886" s="94"/>
      <c r="G7886" s="94"/>
      <c r="I7886" s="94"/>
      <c r="K7886" s="94"/>
      <c r="M7886" s="94"/>
    </row>
    <row r="7887" s="93" customFormat="1" spans="3:13">
      <c r="C7887" s="94"/>
      <c r="E7887" s="94"/>
      <c r="G7887" s="94"/>
      <c r="I7887" s="94"/>
      <c r="K7887" s="94"/>
      <c r="M7887" s="94"/>
    </row>
    <row r="7888" s="93" customFormat="1" spans="3:13">
      <c r="C7888" s="94"/>
      <c r="E7888" s="94"/>
      <c r="G7888" s="94"/>
      <c r="I7888" s="94"/>
      <c r="K7888" s="94"/>
      <c r="M7888" s="94"/>
    </row>
    <row r="7889" s="93" customFormat="1" spans="3:13">
      <c r="C7889" s="94"/>
      <c r="E7889" s="94"/>
      <c r="G7889" s="94"/>
      <c r="I7889" s="94"/>
      <c r="K7889" s="94"/>
      <c r="M7889" s="94"/>
    </row>
    <row r="7890" s="93" customFormat="1" spans="3:13">
      <c r="C7890" s="94"/>
      <c r="E7890" s="94"/>
      <c r="G7890" s="94"/>
      <c r="I7890" s="94"/>
      <c r="K7890" s="94"/>
      <c r="M7890" s="94"/>
    </row>
    <row r="7891" s="93" customFormat="1" spans="3:13">
      <c r="C7891" s="94"/>
      <c r="E7891" s="94"/>
      <c r="G7891" s="94"/>
      <c r="I7891" s="94"/>
      <c r="K7891" s="94"/>
      <c r="M7891" s="94"/>
    </row>
    <row r="7892" s="93" customFormat="1" spans="3:13">
      <c r="C7892" s="94"/>
      <c r="E7892" s="94"/>
      <c r="G7892" s="94"/>
      <c r="I7892" s="94"/>
      <c r="K7892" s="94"/>
      <c r="M7892" s="94"/>
    </row>
    <row r="7893" s="93" customFormat="1" spans="3:13">
      <c r="C7893" s="94"/>
      <c r="E7893" s="94"/>
      <c r="G7893" s="94"/>
      <c r="I7893" s="94"/>
      <c r="K7893" s="94"/>
      <c r="M7893" s="94"/>
    </row>
    <row r="7894" s="93" customFormat="1" spans="3:13">
      <c r="C7894" s="94"/>
      <c r="E7894" s="94"/>
      <c r="G7894" s="94"/>
      <c r="I7894" s="94"/>
      <c r="K7894" s="94"/>
      <c r="M7894" s="94"/>
    </row>
    <row r="7895" s="93" customFormat="1" spans="3:13">
      <c r="C7895" s="94"/>
      <c r="E7895" s="94"/>
      <c r="G7895" s="94"/>
      <c r="I7895" s="94"/>
      <c r="K7895" s="94"/>
      <c r="M7895" s="94"/>
    </row>
    <row r="7896" s="93" customFormat="1" spans="3:13">
      <c r="C7896" s="94"/>
      <c r="E7896" s="94"/>
      <c r="G7896" s="94"/>
      <c r="I7896" s="94"/>
      <c r="K7896" s="94"/>
      <c r="M7896" s="94"/>
    </row>
    <row r="7897" s="93" customFormat="1" spans="3:13">
      <c r="C7897" s="94"/>
      <c r="E7897" s="94"/>
      <c r="G7897" s="94"/>
      <c r="I7897" s="94"/>
      <c r="K7897" s="94"/>
      <c r="M7897" s="94"/>
    </row>
    <row r="7898" s="93" customFormat="1" spans="3:13">
      <c r="C7898" s="94"/>
      <c r="E7898" s="94"/>
      <c r="G7898" s="94"/>
      <c r="I7898" s="94"/>
      <c r="K7898" s="94"/>
      <c r="M7898" s="94"/>
    </row>
    <row r="7899" s="93" customFormat="1" spans="3:13">
      <c r="C7899" s="94"/>
      <c r="E7899" s="94"/>
      <c r="G7899" s="94"/>
      <c r="I7899" s="94"/>
      <c r="K7899" s="94"/>
      <c r="M7899" s="94"/>
    </row>
    <row r="7900" s="93" customFormat="1" spans="3:13">
      <c r="C7900" s="94"/>
      <c r="E7900" s="94"/>
      <c r="G7900" s="94"/>
      <c r="I7900" s="94"/>
      <c r="K7900" s="94"/>
      <c r="M7900" s="94"/>
    </row>
    <row r="7901" s="93" customFormat="1" spans="3:13">
      <c r="C7901" s="94"/>
      <c r="E7901" s="94"/>
      <c r="G7901" s="94"/>
      <c r="I7901" s="94"/>
      <c r="K7901" s="94"/>
      <c r="M7901" s="94"/>
    </row>
    <row r="7902" s="93" customFormat="1" spans="3:13">
      <c r="C7902" s="94"/>
      <c r="E7902" s="94"/>
      <c r="G7902" s="94"/>
      <c r="I7902" s="94"/>
      <c r="K7902" s="94"/>
      <c r="M7902" s="94"/>
    </row>
    <row r="7903" s="93" customFormat="1" spans="3:13">
      <c r="C7903" s="94"/>
      <c r="E7903" s="94"/>
      <c r="G7903" s="94"/>
      <c r="I7903" s="94"/>
      <c r="K7903" s="94"/>
      <c r="M7903" s="94"/>
    </row>
    <row r="7904" s="93" customFormat="1" spans="3:13">
      <c r="C7904" s="94"/>
      <c r="E7904" s="94"/>
      <c r="G7904" s="94"/>
      <c r="I7904" s="94"/>
      <c r="K7904" s="94"/>
      <c r="M7904" s="94"/>
    </row>
    <row r="7905" s="93" customFormat="1" spans="3:13">
      <c r="C7905" s="94"/>
      <c r="E7905" s="94"/>
      <c r="G7905" s="94"/>
      <c r="I7905" s="94"/>
      <c r="K7905" s="94"/>
      <c r="M7905" s="94"/>
    </row>
    <row r="7906" s="93" customFormat="1" spans="3:13">
      <c r="C7906" s="94"/>
      <c r="E7906" s="94"/>
      <c r="G7906" s="94"/>
      <c r="I7906" s="94"/>
      <c r="K7906" s="94"/>
      <c r="M7906" s="94"/>
    </row>
    <row r="7907" s="93" customFormat="1" spans="3:13">
      <c r="C7907" s="94"/>
      <c r="E7907" s="94"/>
      <c r="G7907" s="94"/>
      <c r="I7907" s="94"/>
      <c r="K7907" s="94"/>
      <c r="M7907" s="94"/>
    </row>
    <row r="7908" s="93" customFormat="1" spans="3:13">
      <c r="C7908" s="94"/>
      <c r="E7908" s="94"/>
      <c r="G7908" s="94"/>
      <c r="I7908" s="94"/>
      <c r="K7908" s="94"/>
      <c r="M7908" s="94"/>
    </row>
    <row r="7909" s="93" customFormat="1" spans="3:13">
      <c r="C7909" s="94"/>
      <c r="E7909" s="94"/>
      <c r="G7909" s="94"/>
      <c r="I7909" s="94"/>
      <c r="K7909" s="94"/>
      <c r="M7909" s="94"/>
    </row>
    <row r="7910" s="93" customFormat="1" spans="3:13">
      <c r="C7910" s="94"/>
      <c r="E7910" s="94"/>
      <c r="G7910" s="94"/>
      <c r="I7910" s="94"/>
      <c r="K7910" s="94"/>
      <c r="M7910" s="94"/>
    </row>
    <row r="7911" s="93" customFormat="1" spans="3:13">
      <c r="C7911" s="94"/>
      <c r="E7911" s="94"/>
      <c r="G7911" s="94"/>
      <c r="I7911" s="94"/>
      <c r="K7911" s="94"/>
      <c r="M7911" s="94"/>
    </row>
    <row r="7912" s="93" customFormat="1" spans="3:13">
      <c r="C7912" s="94"/>
      <c r="E7912" s="94"/>
      <c r="G7912" s="94"/>
      <c r="I7912" s="94"/>
      <c r="K7912" s="94"/>
      <c r="M7912" s="94"/>
    </row>
    <row r="7913" s="93" customFormat="1" spans="3:13">
      <c r="C7913" s="94"/>
      <c r="E7913" s="94"/>
      <c r="G7913" s="94"/>
      <c r="I7913" s="94"/>
      <c r="K7913" s="94"/>
      <c r="M7913" s="94"/>
    </row>
    <row r="7914" s="93" customFormat="1" spans="3:13">
      <c r="C7914" s="94"/>
      <c r="E7914" s="94"/>
      <c r="G7914" s="94"/>
      <c r="I7914" s="94"/>
      <c r="K7914" s="94"/>
      <c r="M7914" s="94"/>
    </row>
    <row r="7915" s="93" customFormat="1" spans="3:13">
      <c r="C7915" s="94"/>
      <c r="E7915" s="94"/>
      <c r="G7915" s="94"/>
      <c r="I7915" s="94"/>
      <c r="K7915" s="94"/>
      <c r="M7915" s="94"/>
    </row>
    <row r="7916" s="93" customFormat="1" spans="3:13">
      <c r="C7916" s="94"/>
      <c r="E7916" s="94"/>
      <c r="G7916" s="94"/>
      <c r="I7916" s="94"/>
      <c r="K7916" s="94"/>
      <c r="M7916" s="94"/>
    </row>
    <row r="7917" s="93" customFormat="1" spans="3:13">
      <c r="C7917" s="94"/>
      <c r="E7917" s="94"/>
      <c r="G7917" s="94"/>
      <c r="I7917" s="94"/>
      <c r="K7917" s="94"/>
      <c r="M7917" s="94"/>
    </row>
    <row r="7918" s="93" customFormat="1" spans="3:13">
      <c r="C7918" s="94"/>
      <c r="E7918" s="94"/>
      <c r="G7918" s="94"/>
      <c r="I7918" s="94"/>
      <c r="K7918" s="94"/>
      <c r="M7918" s="94"/>
    </row>
    <row r="7919" s="93" customFormat="1" spans="3:13">
      <c r="C7919" s="94"/>
      <c r="E7919" s="94"/>
      <c r="G7919" s="94"/>
      <c r="I7919" s="94"/>
      <c r="K7919" s="94"/>
      <c r="M7919" s="94"/>
    </row>
    <row r="7920" s="93" customFormat="1" spans="3:13">
      <c r="C7920" s="94"/>
      <c r="E7920" s="94"/>
      <c r="G7920" s="94"/>
      <c r="I7920" s="94"/>
      <c r="K7920" s="94"/>
      <c r="M7920" s="94"/>
    </row>
    <row r="7921" s="93" customFormat="1" spans="3:13">
      <c r="C7921" s="94"/>
      <c r="E7921" s="94"/>
      <c r="G7921" s="94"/>
      <c r="I7921" s="94"/>
      <c r="K7921" s="94"/>
      <c r="M7921" s="94"/>
    </row>
    <row r="7922" s="93" customFormat="1" spans="3:13">
      <c r="C7922" s="94"/>
      <c r="E7922" s="94"/>
      <c r="G7922" s="94"/>
      <c r="I7922" s="94"/>
      <c r="K7922" s="94"/>
      <c r="M7922" s="94"/>
    </row>
    <row r="7923" s="93" customFormat="1" spans="3:13">
      <c r="C7923" s="94"/>
      <c r="E7923" s="94"/>
      <c r="G7923" s="94"/>
      <c r="I7923" s="94"/>
      <c r="K7923" s="94"/>
      <c r="M7923" s="94"/>
    </row>
    <row r="7924" s="93" customFormat="1" spans="3:13">
      <c r="C7924" s="94"/>
      <c r="E7924" s="94"/>
      <c r="G7924" s="94"/>
      <c r="I7924" s="94"/>
      <c r="K7924" s="94"/>
      <c r="M7924" s="94"/>
    </row>
    <row r="7925" s="93" customFormat="1" spans="3:13">
      <c r="C7925" s="94"/>
      <c r="E7925" s="94"/>
      <c r="G7925" s="94"/>
      <c r="I7925" s="94"/>
      <c r="K7925" s="94"/>
      <c r="M7925" s="94"/>
    </row>
    <row r="7926" s="93" customFormat="1" spans="3:13">
      <c r="C7926" s="94"/>
      <c r="E7926" s="94"/>
      <c r="G7926" s="94"/>
      <c r="I7926" s="94"/>
      <c r="K7926" s="94"/>
      <c r="M7926" s="94"/>
    </row>
    <row r="7927" s="93" customFormat="1" spans="3:13">
      <c r="C7927" s="94"/>
      <c r="E7927" s="94"/>
      <c r="G7927" s="94"/>
      <c r="I7927" s="94"/>
      <c r="K7927" s="94"/>
      <c r="M7927" s="94"/>
    </row>
    <row r="7928" s="93" customFormat="1" spans="3:13">
      <c r="C7928" s="94"/>
      <c r="E7928" s="94"/>
      <c r="G7928" s="94"/>
      <c r="I7928" s="94"/>
      <c r="K7928" s="94"/>
      <c r="M7928" s="94"/>
    </row>
    <row r="7929" s="93" customFormat="1" spans="3:13">
      <c r="C7929" s="94"/>
      <c r="E7929" s="94"/>
      <c r="G7929" s="94"/>
      <c r="I7929" s="94"/>
      <c r="K7929" s="94"/>
      <c r="M7929" s="94"/>
    </row>
    <row r="7930" s="93" customFormat="1" spans="3:13">
      <c r="C7930" s="94"/>
      <c r="E7930" s="94"/>
      <c r="G7930" s="94"/>
      <c r="I7930" s="94"/>
      <c r="K7930" s="94"/>
      <c r="M7930" s="94"/>
    </row>
    <row r="7931" s="93" customFormat="1" spans="3:13">
      <c r="C7931" s="94"/>
      <c r="E7931" s="94"/>
      <c r="G7931" s="94"/>
      <c r="I7931" s="94"/>
      <c r="K7931" s="94"/>
      <c r="M7931" s="94"/>
    </row>
    <row r="7932" s="93" customFormat="1" spans="3:13">
      <c r="C7932" s="94"/>
      <c r="E7932" s="94"/>
      <c r="G7932" s="94"/>
      <c r="I7932" s="94"/>
      <c r="K7932" s="94"/>
      <c r="M7932" s="94"/>
    </row>
    <row r="7933" s="93" customFormat="1" spans="3:13">
      <c r="C7933" s="94"/>
      <c r="E7933" s="94"/>
      <c r="G7933" s="94"/>
      <c r="I7933" s="94"/>
      <c r="K7933" s="94"/>
      <c r="M7933" s="94"/>
    </row>
    <row r="7934" s="93" customFormat="1" spans="3:13">
      <c r="C7934" s="94"/>
      <c r="E7934" s="94"/>
      <c r="G7934" s="94"/>
      <c r="I7934" s="94"/>
      <c r="K7934" s="94"/>
      <c r="M7934" s="94"/>
    </row>
    <row r="7935" s="93" customFormat="1" spans="3:13">
      <c r="C7935" s="94"/>
      <c r="E7935" s="94"/>
      <c r="G7935" s="94"/>
      <c r="I7935" s="94"/>
      <c r="K7935" s="94"/>
      <c r="M7935" s="94"/>
    </row>
    <row r="7936" s="93" customFormat="1" spans="3:13">
      <c r="C7936" s="94"/>
      <c r="E7936" s="94"/>
      <c r="G7936" s="94"/>
      <c r="I7936" s="94"/>
      <c r="K7936" s="94"/>
      <c r="M7936" s="94"/>
    </row>
    <row r="7937" s="93" customFormat="1" spans="3:13">
      <c r="C7937" s="94"/>
      <c r="E7937" s="94"/>
      <c r="G7937" s="94"/>
      <c r="I7937" s="94"/>
      <c r="K7937" s="94"/>
      <c r="M7937" s="94"/>
    </row>
    <row r="7938" s="93" customFormat="1" spans="3:13">
      <c r="C7938" s="94"/>
      <c r="E7938" s="94"/>
      <c r="G7938" s="94"/>
      <c r="I7938" s="94"/>
      <c r="K7938" s="94"/>
      <c r="M7938" s="94"/>
    </row>
    <row r="7939" s="93" customFormat="1" spans="3:13">
      <c r="C7939" s="94"/>
      <c r="E7939" s="94"/>
      <c r="G7939" s="94"/>
      <c r="I7939" s="94"/>
      <c r="K7939" s="94"/>
      <c r="M7939" s="94"/>
    </row>
    <row r="7940" s="93" customFormat="1" spans="3:13">
      <c r="C7940" s="94"/>
      <c r="E7940" s="94"/>
      <c r="G7940" s="94"/>
      <c r="I7940" s="94"/>
      <c r="K7940" s="94"/>
      <c r="M7940" s="94"/>
    </row>
    <row r="7941" s="93" customFormat="1" spans="3:13">
      <c r="C7941" s="94"/>
      <c r="E7941" s="94"/>
      <c r="G7941" s="94"/>
      <c r="I7941" s="94"/>
      <c r="K7941" s="94"/>
      <c r="M7941" s="94"/>
    </row>
    <row r="7942" s="93" customFormat="1" spans="3:13">
      <c r="C7942" s="94"/>
      <c r="E7942" s="94"/>
      <c r="G7942" s="94"/>
      <c r="I7942" s="94"/>
      <c r="K7942" s="94"/>
      <c r="M7942" s="94"/>
    </row>
    <row r="7943" s="93" customFormat="1" spans="3:13">
      <c r="C7943" s="94"/>
      <c r="E7943" s="94"/>
      <c r="G7943" s="94"/>
      <c r="I7943" s="94"/>
      <c r="K7943" s="94"/>
      <c r="M7943" s="94"/>
    </row>
    <row r="7944" s="93" customFormat="1" spans="3:13">
      <c r="C7944" s="94"/>
      <c r="E7944" s="94"/>
      <c r="G7944" s="94"/>
      <c r="I7944" s="94"/>
      <c r="K7944" s="94"/>
      <c r="M7944" s="94"/>
    </row>
    <row r="7945" s="93" customFormat="1" spans="3:13">
      <c r="C7945" s="94"/>
      <c r="E7945" s="94"/>
      <c r="G7945" s="94"/>
      <c r="I7945" s="94"/>
      <c r="K7945" s="94"/>
      <c r="M7945" s="94"/>
    </row>
    <row r="7946" s="93" customFormat="1" spans="3:13">
      <c r="C7946" s="94"/>
      <c r="E7946" s="94"/>
      <c r="G7946" s="94"/>
      <c r="I7946" s="94"/>
      <c r="K7946" s="94"/>
      <c r="M7946" s="94"/>
    </row>
    <row r="7947" s="93" customFormat="1" spans="3:13">
      <c r="C7947" s="94"/>
      <c r="E7947" s="94"/>
      <c r="G7947" s="94"/>
      <c r="I7947" s="94"/>
      <c r="K7947" s="94"/>
      <c r="M7947" s="94"/>
    </row>
    <row r="7948" s="93" customFormat="1" spans="3:13">
      <c r="C7948" s="94"/>
      <c r="E7948" s="94"/>
      <c r="G7948" s="94"/>
      <c r="I7948" s="94"/>
      <c r="K7948" s="94"/>
      <c r="M7948" s="94"/>
    </row>
    <row r="7949" s="93" customFormat="1" spans="3:13">
      <c r="C7949" s="94"/>
      <c r="E7949" s="94"/>
      <c r="G7949" s="94"/>
      <c r="I7949" s="94"/>
      <c r="K7949" s="94"/>
      <c r="M7949" s="94"/>
    </row>
    <row r="7950" s="93" customFormat="1" spans="3:13">
      <c r="C7950" s="94"/>
      <c r="E7950" s="94"/>
      <c r="G7950" s="94"/>
      <c r="I7950" s="94"/>
      <c r="K7950" s="94"/>
      <c r="M7950" s="94"/>
    </row>
    <row r="7951" s="93" customFormat="1" spans="3:13">
      <c r="C7951" s="94"/>
      <c r="E7951" s="94"/>
      <c r="G7951" s="94"/>
      <c r="I7951" s="94"/>
      <c r="K7951" s="94"/>
      <c r="M7951" s="94"/>
    </row>
    <row r="7952" s="93" customFormat="1" spans="3:13">
      <c r="C7952" s="94"/>
      <c r="E7952" s="94"/>
      <c r="G7952" s="94"/>
      <c r="I7952" s="94"/>
      <c r="K7952" s="94"/>
      <c r="M7952" s="94"/>
    </row>
    <row r="7953" s="93" customFormat="1" spans="3:13">
      <c r="C7953" s="94"/>
      <c r="E7953" s="94"/>
      <c r="G7953" s="94"/>
      <c r="I7953" s="94"/>
      <c r="K7953" s="94"/>
      <c r="M7953" s="94"/>
    </row>
    <row r="7954" s="93" customFormat="1" spans="3:13">
      <c r="C7954" s="94"/>
      <c r="E7954" s="94"/>
      <c r="G7954" s="94"/>
      <c r="I7954" s="94"/>
      <c r="K7954" s="94"/>
      <c r="M7954" s="94"/>
    </row>
    <row r="7955" s="93" customFormat="1" spans="3:13">
      <c r="C7955" s="94"/>
      <c r="E7955" s="94"/>
      <c r="G7955" s="94"/>
      <c r="I7955" s="94"/>
      <c r="K7955" s="94"/>
      <c r="M7955" s="94"/>
    </row>
    <row r="7956" s="93" customFormat="1" spans="3:13">
      <c r="C7956" s="94"/>
      <c r="E7956" s="94"/>
      <c r="G7956" s="94"/>
      <c r="I7956" s="94"/>
      <c r="K7956" s="94"/>
      <c r="M7956" s="94"/>
    </row>
    <row r="7957" s="93" customFormat="1" spans="3:13">
      <c r="C7957" s="94"/>
      <c r="E7957" s="94"/>
      <c r="G7957" s="94"/>
      <c r="I7957" s="94"/>
      <c r="K7957" s="94"/>
      <c r="M7957" s="94"/>
    </row>
    <row r="7958" s="93" customFormat="1" spans="3:13">
      <c r="C7958" s="94"/>
      <c r="E7958" s="94"/>
      <c r="G7958" s="94"/>
      <c r="I7958" s="94"/>
      <c r="K7958" s="94"/>
      <c r="M7958" s="94"/>
    </row>
    <row r="7959" s="93" customFormat="1" spans="3:13">
      <c r="C7959" s="94"/>
      <c r="E7959" s="94"/>
      <c r="G7959" s="94"/>
      <c r="I7959" s="94"/>
      <c r="K7959" s="94"/>
      <c r="M7959" s="94"/>
    </row>
    <row r="7960" s="93" customFormat="1" spans="3:13">
      <c r="C7960" s="94"/>
      <c r="E7960" s="94"/>
      <c r="G7960" s="94"/>
      <c r="I7960" s="94"/>
      <c r="K7960" s="94"/>
      <c r="M7960" s="94"/>
    </row>
    <row r="7961" s="93" customFormat="1" spans="3:13">
      <c r="C7961" s="94"/>
      <c r="E7961" s="94"/>
      <c r="G7961" s="94"/>
      <c r="I7961" s="94"/>
      <c r="K7961" s="94"/>
      <c r="M7961" s="94"/>
    </row>
    <row r="7962" s="93" customFormat="1" spans="3:13">
      <c r="C7962" s="94"/>
      <c r="E7962" s="94"/>
      <c r="G7962" s="94"/>
      <c r="I7962" s="94"/>
      <c r="K7962" s="94"/>
      <c r="M7962" s="94"/>
    </row>
    <row r="7963" s="93" customFormat="1" spans="3:13">
      <c r="C7963" s="94"/>
      <c r="E7963" s="94"/>
      <c r="G7963" s="94"/>
      <c r="I7963" s="94"/>
      <c r="K7963" s="94"/>
      <c r="M7963" s="94"/>
    </row>
    <row r="7964" s="93" customFormat="1" spans="3:13">
      <c r="C7964" s="94"/>
      <c r="E7964" s="94"/>
      <c r="G7964" s="94"/>
      <c r="I7964" s="94"/>
      <c r="K7964" s="94"/>
      <c r="M7964" s="94"/>
    </row>
    <row r="7965" s="93" customFormat="1" spans="3:13">
      <c r="C7965" s="94"/>
      <c r="E7965" s="94"/>
      <c r="G7965" s="94"/>
      <c r="I7965" s="94"/>
      <c r="K7965" s="94"/>
      <c r="M7965" s="94"/>
    </row>
    <row r="7966" s="93" customFormat="1" spans="3:13">
      <c r="C7966" s="94"/>
      <c r="E7966" s="94"/>
      <c r="G7966" s="94"/>
      <c r="I7966" s="94"/>
      <c r="K7966" s="94"/>
      <c r="M7966" s="94"/>
    </row>
    <row r="7967" s="93" customFormat="1" spans="3:13">
      <c r="C7967" s="94"/>
      <c r="E7967" s="94"/>
      <c r="G7967" s="94"/>
      <c r="I7967" s="94"/>
      <c r="K7967" s="94"/>
      <c r="M7967" s="94"/>
    </row>
    <row r="7968" s="93" customFormat="1" spans="3:13">
      <c r="C7968" s="94"/>
      <c r="E7968" s="94"/>
      <c r="G7968" s="94"/>
      <c r="I7968" s="94"/>
      <c r="K7968" s="94"/>
      <c r="M7968" s="94"/>
    </row>
    <row r="7969" s="93" customFormat="1" spans="3:13">
      <c r="C7969" s="94"/>
      <c r="E7969" s="94"/>
      <c r="G7969" s="94"/>
      <c r="I7969" s="94"/>
      <c r="K7969" s="94"/>
      <c r="M7969" s="94"/>
    </row>
    <row r="7970" s="93" customFormat="1" spans="3:13">
      <c r="C7970" s="94"/>
      <c r="E7970" s="94"/>
      <c r="G7970" s="94"/>
      <c r="I7970" s="94"/>
      <c r="K7970" s="94"/>
      <c r="M7970" s="94"/>
    </row>
    <row r="7971" s="93" customFormat="1" spans="3:13">
      <c r="C7971" s="94"/>
      <c r="E7971" s="94"/>
      <c r="G7971" s="94"/>
      <c r="I7971" s="94"/>
      <c r="K7971" s="94"/>
      <c r="M7971" s="94"/>
    </row>
    <row r="7972" s="93" customFormat="1" spans="3:13">
      <c r="C7972" s="94"/>
      <c r="E7972" s="94"/>
      <c r="G7972" s="94"/>
      <c r="I7972" s="94"/>
      <c r="K7972" s="94"/>
      <c r="M7972" s="94"/>
    </row>
    <row r="7973" s="93" customFormat="1" spans="3:13">
      <c r="C7973" s="94"/>
      <c r="E7973" s="94"/>
      <c r="G7973" s="94"/>
      <c r="I7973" s="94"/>
      <c r="K7973" s="94"/>
      <c r="M7973" s="94"/>
    </row>
    <row r="7974" s="93" customFormat="1" spans="3:13">
      <c r="C7974" s="94"/>
      <c r="E7974" s="94"/>
      <c r="G7974" s="94"/>
      <c r="I7974" s="94"/>
      <c r="K7974" s="94"/>
      <c r="M7974" s="94"/>
    </row>
    <row r="7975" s="93" customFormat="1" spans="3:13">
      <c r="C7975" s="94"/>
      <c r="E7975" s="94"/>
      <c r="G7975" s="94"/>
      <c r="I7975" s="94"/>
      <c r="K7975" s="94"/>
      <c r="M7975" s="94"/>
    </row>
    <row r="7976" s="93" customFormat="1" spans="3:13">
      <c r="C7976" s="94"/>
      <c r="E7976" s="94"/>
      <c r="G7976" s="94"/>
      <c r="I7976" s="94"/>
      <c r="K7976" s="94"/>
      <c r="M7976" s="94"/>
    </row>
    <row r="7977" s="93" customFormat="1" spans="3:13">
      <c r="C7977" s="94"/>
      <c r="E7977" s="94"/>
      <c r="G7977" s="94"/>
      <c r="I7977" s="94"/>
      <c r="K7977" s="94"/>
      <c r="M7977" s="94"/>
    </row>
    <row r="7978" s="93" customFormat="1" spans="3:13">
      <c r="C7978" s="94"/>
      <c r="E7978" s="94"/>
      <c r="G7978" s="94"/>
      <c r="I7978" s="94"/>
      <c r="K7978" s="94"/>
      <c r="M7978" s="94"/>
    </row>
    <row r="7979" s="93" customFormat="1" spans="3:13">
      <c r="C7979" s="94"/>
      <c r="E7979" s="94"/>
      <c r="G7979" s="94"/>
      <c r="I7979" s="94"/>
      <c r="K7979" s="94"/>
      <c r="M7979" s="94"/>
    </row>
    <row r="7980" s="93" customFormat="1" spans="3:13">
      <c r="C7980" s="94"/>
      <c r="E7980" s="94"/>
      <c r="G7980" s="94"/>
      <c r="I7980" s="94"/>
      <c r="K7980" s="94"/>
      <c r="M7980" s="94"/>
    </row>
    <row r="7981" s="93" customFormat="1" spans="3:13">
      <c r="C7981" s="94"/>
      <c r="E7981" s="94"/>
      <c r="G7981" s="94"/>
      <c r="I7981" s="94"/>
      <c r="K7981" s="94"/>
      <c r="M7981" s="94"/>
    </row>
    <row r="7982" s="93" customFormat="1" spans="3:13">
      <c r="C7982" s="94"/>
      <c r="E7982" s="94"/>
      <c r="G7982" s="94"/>
      <c r="I7982" s="94"/>
      <c r="K7982" s="94"/>
      <c r="M7982" s="94"/>
    </row>
    <row r="7983" s="93" customFormat="1" spans="3:13">
      <c r="C7983" s="94"/>
      <c r="E7983" s="94"/>
      <c r="G7983" s="94"/>
      <c r="I7983" s="94"/>
      <c r="K7983" s="94"/>
      <c r="M7983" s="94"/>
    </row>
    <row r="7984" s="93" customFormat="1" spans="3:13">
      <c r="C7984" s="94"/>
      <c r="E7984" s="94"/>
      <c r="G7984" s="94"/>
      <c r="I7984" s="94"/>
      <c r="K7984" s="94"/>
      <c r="M7984" s="94"/>
    </row>
    <row r="7985" s="93" customFormat="1" spans="3:13">
      <c r="C7985" s="94"/>
      <c r="E7985" s="94"/>
      <c r="G7985" s="94"/>
      <c r="I7985" s="94"/>
      <c r="K7985" s="94"/>
      <c r="M7985" s="94"/>
    </row>
    <row r="7986" s="93" customFormat="1" spans="3:13">
      <c r="C7986" s="94"/>
      <c r="E7986" s="94"/>
      <c r="G7986" s="94"/>
      <c r="I7986" s="94"/>
      <c r="K7986" s="94"/>
      <c r="M7986" s="94"/>
    </row>
    <row r="7987" s="93" customFormat="1" spans="3:13">
      <c r="C7987" s="94"/>
      <c r="E7987" s="94"/>
      <c r="G7987" s="94"/>
      <c r="I7987" s="94"/>
      <c r="K7987" s="94"/>
      <c r="M7987" s="94"/>
    </row>
    <row r="7988" s="93" customFormat="1" spans="3:13">
      <c r="C7988" s="94"/>
      <c r="E7988" s="94"/>
      <c r="G7988" s="94"/>
      <c r="I7988" s="94"/>
      <c r="K7988" s="94"/>
      <c r="M7988" s="94"/>
    </row>
    <row r="7989" s="93" customFormat="1" spans="3:13">
      <c r="C7989" s="94"/>
      <c r="E7989" s="94"/>
      <c r="G7989" s="94"/>
      <c r="I7989" s="94"/>
      <c r="K7989" s="94"/>
      <c r="M7989" s="94"/>
    </row>
    <row r="7990" s="93" customFormat="1" spans="3:13">
      <c r="C7990" s="94"/>
      <c r="E7990" s="94"/>
      <c r="G7990" s="94"/>
      <c r="I7990" s="94"/>
      <c r="K7990" s="94"/>
      <c r="M7990" s="94"/>
    </row>
    <row r="7991" s="93" customFormat="1" spans="3:13">
      <c r="C7991" s="94"/>
      <c r="E7991" s="94"/>
      <c r="G7991" s="94"/>
      <c r="I7991" s="94"/>
      <c r="K7991" s="94"/>
      <c r="M7991" s="94"/>
    </row>
    <row r="7992" s="93" customFormat="1" spans="3:13">
      <c r="C7992" s="94"/>
      <c r="E7992" s="94"/>
      <c r="G7992" s="94"/>
      <c r="I7992" s="94"/>
      <c r="K7992" s="94"/>
      <c r="M7992" s="94"/>
    </row>
    <row r="7993" s="93" customFormat="1" spans="3:13">
      <c r="C7993" s="94"/>
      <c r="E7993" s="94"/>
      <c r="G7993" s="94"/>
      <c r="I7993" s="94"/>
      <c r="K7993" s="94"/>
      <c r="M7993" s="94"/>
    </row>
    <row r="7994" s="93" customFormat="1" spans="3:13">
      <c r="C7994" s="94"/>
      <c r="E7994" s="94"/>
      <c r="G7994" s="94"/>
      <c r="I7994" s="94"/>
      <c r="K7994" s="94"/>
      <c r="M7994" s="94"/>
    </row>
    <row r="7995" s="93" customFormat="1" spans="3:13">
      <c r="C7995" s="94"/>
      <c r="E7995" s="94"/>
      <c r="G7995" s="94"/>
      <c r="I7995" s="94"/>
      <c r="K7995" s="94"/>
      <c r="M7995" s="94"/>
    </row>
    <row r="7996" s="93" customFormat="1" spans="3:13">
      <c r="C7996" s="94"/>
      <c r="E7996" s="94"/>
      <c r="G7996" s="94"/>
      <c r="I7996" s="94"/>
      <c r="K7996" s="94"/>
      <c r="M7996" s="94"/>
    </row>
    <row r="7997" s="93" customFormat="1" spans="3:13">
      <c r="C7997" s="94"/>
      <c r="E7997" s="94"/>
      <c r="G7997" s="94"/>
      <c r="I7997" s="94"/>
      <c r="K7997" s="94"/>
      <c r="M7997" s="94"/>
    </row>
    <row r="7998" s="93" customFormat="1" spans="3:13">
      <c r="C7998" s="94"/>
      <c r="E7998" s="94"/>
      <c r="G7998" s="94"/>
      <c r="I7998" s="94"/>
      <c r="K7998" s="94"/>
      <c r="M7998" s="94"/>
    </row>
    <row r="7999" s="93" customFormat="1" spans="3:13">
      <c r="C7999" s="94"/>
      <c r="E7999" s="94"/>
      <c r="G7999" s="94"/>
      <c r="I7999" s="94"/>
      <c r="K7999" s="94"/>
      <c r="M7999" s="94"/>
    </row>
    <row r="8000" s="93" customFormat="1" spans="3:13">
      <c r="C8000" s="94"/>
      <c r="E8000" s="94"/>
      <c r="G8000" s="94"/>
      <c r="I8000" s="94"/>
      <c r="K8000" s="94"/>
      <c r="M8000" s="94"/>
    </row>
    <row r="8001" s="93" customFormat="1" spans="3:13">
      <c r="C8001" s="94"/>
      <c r="E8001" s="94"/>
      <c r="G8001" s="94"/>
      <c r="I8001" s="94"/>
      <c r="K8001" s="94"/>
      <c r="M8001" s="94"/>
    </row>
    <row r="8002" s="93" customFormat="1" spans="3:13">
      <c r="C8002" s="94"/>
      <c r="E8002" s="94"/>
      <c r="G8002" s="94"/>
      <c r="I8002" s="94"/>
      <c r="K8002" s="94"/>
      <c r="M8002" s="94"/>
    </row>
    <row r="8003" s="93" customFormat="1" spans="3:13">
      <c r="C8003" s="94"/>
      <c r="E8003" s="94"/>
      <c r="G8003" s="94"/>
      <c r="I8003" s="94"/>
      <c r="K8003" s="94"/>
      <c r="M8003" s="94"/>
    </row>
    <row r="8004" s="93" customFormat="1" spans="3:13">
      <c r="C8004" s="94"/>
      <c r="E8004" s="94"/>
      <c r="G8004" s="94"/>
      <c r="I8004" s="94"/>
      <c r="K8004" s="94"/>
      <c r="M8004" s="94"/>
    </row>
    <row r="8005" s="93" customFormat="1" spans="3:13">
      <c r="C8005" s="94"/>
      <c r="E8005" s="94"/>
      <c r="G8005" s="94"/>
      <c r="I8005" s="94"/>
      <c r="K8005" s="94"/>
      <c r="M8005" s="94"/>
    </row>
    <row r="8006" s="93" customFormat="1" spans="3:13">
      <c r="C8006" s="94"/>
      <c r="E8006" s="94"/>
      <c r="G8006" s="94"/>
      <c r="I8006" s="94"/>
      <c r="K8006" s="94"/>
      <c r="M8006" s="94"/>
    </row>
    <row r="8007" s="93" customFormat="1" spans="3:13">
      <c r="C8007" s="94"/>
      <c r="E8007" s="94"/>
      <c r="G8007" s="94"/>
      <c r="I8007" s="94"/>
      <c r="K8007" s="94"/>
      <c r="M8007" s="94"/>
    </row>
    <row r="8008" s="93" customFormat="1" spans="3:13">
      <c r="C8008" s="94"/>
      <c r="E8008" s="94"/>
      <c r="G8008" s="94"/>
      <c r="I8008" s="94"/>
      <c r="K8008" s="94"/>
      <c r="M8008" s="94"/>
    </row>
    <row r="8009" s="93" customFormat="1" spans="3:13">
      <c r="C8009" s="94"/>
      <c r="E8009" s="94"/>
      <c r="G8009" s="94"/>
      <c r="I8009" s="94"/>
      <c r="K8009" s="94"/>
      <c r="M8009" s="94"/>
    </row>
    <row r="8010" s="93" customFormat="1" spans="3:13">
      <c r="C8010" s="94"/>
      <c r="E8010" s="94"/>
      <c r="G8010" s="94"/>
      <c r="I8010" s="94"/>
      <c r="K8010" s="94"/>
      <c r="M8010" s="94"/>
    </row>
    <row r="8011" s="93" customFormat="1" spans="3:13">
      <c r="C8011" s="94"/>
      <c r="E8011" s="94"/>
      <c r="G8011" s="94"/>
      <c r="I8011" s="94"/>
      <c r="K8011" s="94"/>
      <c r="M8011" s="94"/>
    </row>
    <row r="8012" s="93" customFormat="1" spans="3:13">
      <c r="C8012" s="94"/>
      <c r="E8012" s="94"/>
      <c r="G8012" s="94"/>
      <c r="I8012" s="94"/>
      <c r="K8012" s="94"/>
      <c r="M8012" s="94"/>
    </row>
    <row r="8013" s="93" customFormat="1" spans="3:13">
      <c r="C8013" s="94"/>
      <c r="E8013" s="94"/>
      <c r="G8013" s="94"/>
      <c r="I8013" s="94"/>
      <c r="K8013" s="94"/>
      <c r="M8013" s="94"/>
    </row>
    <row r="8014" s="93" customFormat="1" spans="3:13">
      <c r="C8014" s="94"/>
      <c r="E8014" s="94"/>
      <c r="G8014" s="94"/>
      <c r="I8014" s="94"/>
      <c r="K8014" s="94"/>
      <c r="M8014" s="94"/>
    </row>
    <row r="8015" s="93" customFormat="1" spans="3:13">
      <c r="C8015" s="94"/>
      <c r="E8015" s="94"/>
      <c r="G8015" s="94"/>
      <c r="I8015" s="94"/>
      <c r="K8015" s="94"/>
      <c r="M8015" s="94"/>
    </row>
    <row r="8016" s="93" customFormat="1" spans="3:13">
      <c r="C8016" s="94"/>
      <c r="E8016" s="94"/>
      <c r="G8016" s="94"/>
      <c r="I8016" s="94"/>
      <c r="K8016" s="94"/>
      <c r="M8016" s="94"/>
    </row>
    <row r="8017" s="93" customFormat="1" spans="3:13">
      <c r="C8017" s="94"/>
      <c r="E8017" s="94"/>
      <c r="G8017" s="94"/>
      <c r="I8017" s="94"/>
      <c r="K8017" s="94"/>
      <c r="M8017" s="94"/>
    </row>
    <row r="8018" s="93" customFormat="1" spans="3:13">
      <c r="C8018" s="94"/>
      <c r="E8018" s="94"/>
      <c r="G8018" s="94"/>
      <c r="I8018" s="94"/>
      <c r="K8018" s="94"/>
      <c r="M8018" s="94"/>
    </row>
    <row r="8019" s="93" customFormat="1" spans="3:13">
      <c r="C8019" s="94"/>
      <c r="E8019" s="94"/>
      <c r="G8019" s="94"/>
      <c r="I8019" s="94"/>
      <c r="K8019" s="94"/>
      <c r="M8019" s="94"/>
    </row>
    <row r="8020" s="93" customFormat="1" spans="3:13">
      <c r="C8020" s="94"/>
      <c r="E8020" s="94"/>
      <c r="G8020" s="94"/>
      <c r="I8020" s="94"/>
      <c r="K8020" s="94"/>
      <c r="M8020" s="94"/>
    </row>
    <row r="8021" s="93" customFormat="1" spans="3:13">
      <c r="C8021" s="94"/>
      <c r="E8021" s="94"/>
      <c r="G8021" s="94"/>
      <c r="I8021" s="94"/>
      <c r="K8021" s="94"/>
      <c r="M8021" s="94"/>
    </row>
    <row r="8022" s="93" customFormat="1" spans="3:13">
      <c r="C8022" s="94"/>
      <c r="E8022" s="94"/>
      <c r="G8022" s="94"/>
      <c r="I8022" s="94"/>
      <c r="K8022" s="94"/>
      <c r="M8022" s="94"/>
    </row>
    <row r="8023" s="93" customFormat="1" spans="3:13">
      <c r="C8023" s="94"/>
      <c r="E8023" s="94"/>
      <c r="G8023" s="94"/>
      <c r="I8023" s="94"/>
      <c r="K8023" s="94"/>
      <c r="M8023" s="94"/>
    </row>
    <row r="8024" s="93" customFormat="1" spans="3:13">
      <c r="C8024" s="94"/>
      <c r="E8024" s="94"/>
      <c r="G8024" s="94"/>
      <c r="I8024" s="94"/>
      <c r="K8024" s="94"/>
      <c r="M8024" s="94"/>
    </row>
    <row r="8025" s="93" customFormat="1" spans="3:13">
      <c r="C8025" s="94"/>
      <c r="E8025" s="94"/>
      <c r="G8025" s="94"/>
      <c r="I8025" s="94"/>
      <c r="K8025" s="94"/>
      <c r="M8025" s="94"/>
    </row>
    <row r="8026" s="93" customFormat="1" spans="3:13">
      <c r="C8026" s="94"/>
      <c r="E8026" s="94"/>
      <c r="G8026" s="94"/>
      <c r="I8026" s="94"/>
      <c r="K8026" s="94"/>
      <c r="M8026" s="94"/>
    </row>
    <row r="8027" s="93" customFormat="1" spans="3:13">
      <c r="C8027" s="94"/>
      <c r="E8027" s="94"/>
      <c r="G8027" s="94"/>
      <c r="I8027" s="94"/>
      <c r="K8027" s="94"/>
      <c r="M8027" s="94"/>
    </row>
    <row r="8028" s="93" customFormat="1" spans="3:13">
      <c r="C8028" s="94"/>
      <c r="E8028" s="94"/>
      <c r="G8028" s="94"/>
      <c r="I8028" s="94"/>
      <c r="K8028" s="94"/>
      <c r="M8028" s="94"/>
    </row>
    <row r="8029" s="93" customFormat="1" spans="3:13">
      <c r="C8029" s="94"/>
      <c r="E8029" s="94"/>
      <c r="G8029" s="94"/>
      <c r="I8029" s="94"/>
      <c r="K8029" s="94"/>
      <c r="M8029" s="94"/>
    </row>
    <row r="8030" s="93" customFormat="1" spans="3:13">
      <c r="C8030" s="94"/>
      <c r="E8030" s="94"/>
      <c r="G8030" s="94"/>
      <c r="I8030" s="94"/>
      <c r="K8030" s="94"/>
      <c r="M8030" s="94"/>
    </row>
    <row r="8031" s="93" customFormat="1" spans="3:13">
      <c r="C8031" s="94"/>
      <c r="E8031" s="94"/>
      <c r="G8031" s="94"/>
      <c r="I8031" s="94"/>
      <c r="K8031" s="94"/>
      <c r="M8031" s="94"/>
    </row>
    <row r="8032" s="93" customFormat="1" spans="3:13">
      <c r="C8032" s="94"/>
      <c r="E8032" s="94"/>
      <c r="G8032" s="94"/>
      <c r="I8032" s="94"/>
      <c r="K8032" s="94"/>
      <c r="M8032" s="94"/>
    </row>
    <row r="8033" s="93" customFormat="1" spans="3:13">
      <c r="C8033" s="94"/>
      <c r="E8033" s="94"/>
      <c r="G8033" s="94"/>
      <c r="I8033" s="94"/>
      <c r="K8033" s="94"/>
      <c r="M8033" s="94"/>
    </row>
    <row r="8034" s="93" customFormat="1" spans="3:13">
      <c r="C8034" s="94"/>
      <c r="E8034" s="94"/>
      <c r="G8034" s="94"/>
      <c r="I8034" s="94"/>
      <c r="K8034" s="94"/>
      <c r="M8034" s="94"/>
    </row>
    <row r="8035" s="93" customFormat="1" spans="3:13">
      <c r="C8035" s="94"/>
      <c r="E8035" s="94"/>
      <c r="G8035" s="94"/>
      <c r="I8035" s="94"/>
      <c r="K8035" s="94"/>
      <c r="M8035" s="94"/>
    </row>
    <row r="8036" s="93" customFormat="1" spans="3:13">
      <c r="C8036" s="94"/>
      <c r="E8036" s="94"/>
      <c r="G8036" s="94"/>
      <c r="I8036" s="94"/>
      <c r="K8036" s="94"/>
      <c r="M8036" s="94"/>
    </row>
    <row r="8037" s="93" customFormat="1" spans="3:13">
      <c r="C8037" s="94"/>
      <c r="E8037" s="94"/>
      <c r="G8037" s="94"/>
      <c r="I8037" s="94"/>
      <c r="K8037" s="94"/>
      <c r="M8037" s="94"/>
    </row>
    <row r="8038" s="93" customFormat="1" spans="3:13">
      <c r="C8038" s="94"/>
      <c r="E8038" s="94"/>
      <c r="G8038" s="94"/>
      <c r="I8038" s="94"/>
      <c r="K8038" s="94"/>
      <c r="M8038" s="94"/>
    </row>
    <row r="8039" s="93" customFormat="1" spans="3:13">
      <c r="C8039" s="94"/>
      <c r="E8039" s="94"/>
      <c r="G8039" s="94"/>
      <c r="I8039" s="94"/>
      <c r="K8039" s="94"/>
      <c r="M8039" s="94"/>
    </row>
    <row r="8040" s="93" customFormat="1" spans="3:13">
      <c r="C8040" s="94"/>
      <c r="E8040" s="94"/>
      <c r="G8040" s="94"/>
      <c r="I8040" s="94"/>
      <c r="K8040" s="94"/>
      <c r="M8040" s="94"/>
    </row>
    <row r="8041" s="93" customFormat="1" spans="3:13">
      <c r="C8041" s="94"/>
      <c r="E8041" s="94"/>
      <c r="G8041" s="94"/>
      <c r="I8041" s="94"/>
      <c r="K8041" s="94"/>
      <c r="M8041" s="94"/>
    </row>
    <row r="8042" s="93" customFormat="1" spans="3:13">
      <c r="C8042" s="94"/>
      <c r="E8042" s="94"/>
      <c r="G8042" s="94"/>
      <c r="I8042" s="94"/>
      <c r="K8042" s="94"/>
      <c r="M8042" s="94"/>
    </row>
    <row r="8043" s="93" customFormat="1" spans="3:13">
      <c r="C8043" s="94"/>
      <c r="E8043" s="94"/>
      <c r="G8043" s="94"/>
      <c r="I8043" s="94"/>
      <c r="K8043" s="94"/>
      <c r="M8043" s="94"/>
    </row>
    <row r="8044" s="93" customFormat="1" spans="3:13">
      <c r="C8044" s="94"/>
      <c r="E8044" s="94"/>
      <c r="G8044" s="94"/>
      <c r="I8044" s="94"/>
      <c r="K8044" s="94"/>
      <c r="M8044" s="94"/>
    </row>
    <row r="8045" s="93" customFormat="1" spans="3:13">
      <c r="C8045" s="94"/>
      <c r="E8045" s="94"/>
      <c r="G8045" s="94"/>
      <c r="I8045" s="94"/>
      <c r="K8045" s="94"/>
      <c r="M8045" s="94"/>
    </row>
    <row r="8046" s="93" customFormat="1" spans="3:13">
      <c r="C8046" s="94"/>
      <c r="E8046" s="94"/>
      <c r="G8046" s="94"/>
      <c r="I8046" s="94"/>
      <c r="K8046" s="94"/>
      <c r="M8046" s="94"/>
    </row>
    <row r="8047" s="93" customFormat="1" spans="3:13">
      <c r="C8047" s="94"/>
      <c r="E8047" s="94"/>
      <c r="G8047" s="94"/>
      <c r="I8047" s="94"/>
      <c r="K8047" s="94"/>
      <c r="M8047" s="94"/>
    </row>
    <row r="8048" s="93" customFormat="1" spans="3:13">
      <c r="C8048" s="94"/>
      <c r="E8048" s="94"/>
      <c r="G8048" s="94"/>
      <c r="I8048" s="94"/>
      <c r="K8048" s="94"/>
      <c r="M8048" s="94"/>
    </row>
    <row r="8049" s="93" customFormat="1" spans="3:13">
      <c r="C8049" s="94"/>
      <c r="E8049" s="94"/>
      <c r="G8049" s="94"/>
      <c r="I8049" s="94"/>
      <c r="K8049" s="94"/>
      <c r="M8049" s="94"/>
    </row>
    <row r="8050" s="93" customFormat="1" spans="3:13">
      <c r="C8050" s="94"/>
      <c r="E8050" s="94"/>
      <c r="G8050" s="94"/>
      <c r="I8050" s="94"/>
      <c r="K8050" s="94"/>
      <c r="M8050" s="94"/>
    </row>
    <row r="8051" s="93" customFormat="1" spans="3:13">
      <c r="C8051" s="94"/>
      <c r="E8051" s="94"/>
      <c r="G8051" s="94"/>
      <c r="I8051" s="94"/>
      <c r="K8051" s="94"/>
      <c r="M8051" s="94"/>
    </row>
    <row r="8052" s="93" customFormat="1" spans="3:13">
      <c r="C8052" s="94"/>
      <c r="E8052" s="94"/>
      <c r="G8052" s="94"/>
      <c r="I8052" s="94"/>
      <c r="K8052" s="94"/>
      <c r="M8052" s="94"/>
    </row>
    <row r="8053" s="93" customFormat="1" spans="3:13">
      <c r="C8053" s="94"/>
      <c r="E8053" s="94"/>
      <c r="G8053" s="94"/>
      <c r="I8053" s="94"/>
      <c r="K8053" s="94"/>
      <c r="M8053" s="94"/>
    </row>
    <row r="8054" s="93" customFormat="1" spans="3:13">
      <c r="C8054" s="94"/>
      <c r="E8054" s="94"/>
      <c r="G8054" s="94"/>
      <c r="I8054" s="94"/>
      <c r="K8054" s="94"/>
      <c r="M8054" s="94"/>
    </row>
    <row r="8055" s="93" customFormat="1" spans="3:13">
      <c r="C8055" s="94"/>
      <c r="E8055" s="94"/>
      <c r="G8055" s="94"/>
      <c r="I8055" s="94"/>
      <c r="K8055" s="94"/>
      <c r="M8055" s="94"/>
    </row>
    <row r="8056" s="93" customFormat="1" spans="3:13">
      <c r="C8056" s="94"/>
      <c r="E8056" s="94"/>
      <c r="G8056" s="94"/>
      <c r="I8056" s="94"/>
      <c r="K8056" s="94"/>
      <c r="M8056" s="94"/>
    </row>
    <row r="8057" s="93" customFormat="1" spans="3:13">
      <c r="C8057" s="94"/>
      <c r="E8057" s="94"/>
      <c r="G8057" s="94"/>
      <c r="I8057" s="94"/>
      <c r="K8057" s="94"/>
      <c r="M8057" s="94"/>
    </row>
    <row r="8058" s="93" customFormat="1" spans="3:13">
      <c r="C8058" s="94"/>
      <c r="E8058" s="94"/>
      <c r="G8058" s="94"/>
      <c r="I8058" s="94"/>
      <c r="K8058" s="94"/>
      <c r="M8058" s="94"/>
    </row>
    <row r="8059" s="93" customFormat="1" spans="3:13">
      <c r="C8059" s="94"/>
      <c r="E8059" s="94"/>
      <c r="G8059" s="94"/>
      <c r="I8059" s="94"/>
      <c r="K8059" s="94"/>
      <c r="M8059" s="94"/>
    </row>
    <row r="8060" s="93" customFormat="1" spans="3:13">
      <c r="C8060" s="94"/>
      <c r="E8060" s="94"/>
      <c r="G8060" s="94"/>
      <c r="I8060" s="94"/>
      <c r="K8060" s="94"/>
      <c r="M8060" s="94"/>
    </row>
    <row r="8061" s="93" customFormat="1" spans="3:13">
      <c r="C8061" s="94"/>
      <c r="E8061" s="94"/>
      <c r="G8061" s="94"/>
      <c r="I8061" s="94"/>
      <c r="K8061" s="94"/>
      <c r="M8061" s="94"/>
    </row>
    <row r="8062" s="93" customFormat="1" spans="3:13">
      <c r="C8062" s="94"/>
      <c r="E8062" s="94"/>
      <c r="G8062" s="94"/>
      <c r="I8062" s="94"/>
      <c r="K8062" s="94"/>
      <c r="M8062" s="94"/>
    </row>
    <row r="8063" s="93" customFormat="1" spans="3:13">
      <c r="C8063" s="94"/>
      <c r="E8063" s="94"/>
      <c r="G8063" s="94"/>
      <c r="I8063" s="94"/>
      <c r="K8063" s="94"/>
      <c r="M8063" s="94"/>
    </row>
    <row r="8064" s="93" customFormat="1" spans="3:13">
      <c r="C8064" s="94"/>
      <c r="E8064" s="94"/>
      <c r="G8064" s="94"/>
      <c r="I8064" s="94"/>
      <c r="K8064" s="94"/>
      <c r="M8064" s="94"/>
    </row>
    <row r="8065" s="93" customFormat="1" spans="3:13">
      <c r="C8065" s="94"/>
      <c r="E8065" s="94"/>
      <c r="G8065" s="94"/>
      <c r="I8065" s="94"/>
      <c r="K8065" s="94"/>
      <c r="M8065" s="94"/>
    </row>
    <row r="8066" s="93" customFormat="1" spans="3:13">
      <c r="C8066" s="94"/>
      <c r="E8066" s="94"/>
      <c r="G8066" s="94"/>
      <c r="I8066" s="94"/>
      <c r="K8066" s="94"/>
      <c r="M8066" s="94"/>
    </row>
    <row r="8067" s="93" customFormat="1" spans="3:13">
      <c r="C8067" s="94"/>
      <c r="E8067" s="94"/>
      <c r="G8067" s="94"/>
      <c r="I8067" s="94"/>
      <c r="K8067" s="94"/>
      <c r="M8067" s="94"/>
    </row>
    <row r="8068" s="93" customFormat="1" spans="3:13">
      <c r="C8068" s="94"/>
      <c r="E8068" s="94"/>
      <c r="G8068" s="94"/>
      <c r="I8068" s="94"/>
      <c r="K8068" s="94"/>
      <c r="M8068" s="94"/>
    </row>
    <row r="8069" s="93" customFormat="1" spans="3:13">
      <c r="C8069" s="94"/>
      <c r="E8069" s="94"/>
      <c r="G8069" s="94"/>
      <c r="I8069" s="94"/>
      <c r="K8069" s="94"/>
      <c r="M8069" s="94"/>
    </row>
    <row r="8070" s="93" customFormat="1" spans="3:13">
      <c r="C8070" s="94"/>
      <c r="E8070" s="94"/>
      <c r="G8070" s="94"/>
      <c r="I8070" s="94"/>
      <c r="K8070" s="94"/>
      <c r="M8070" s="94"/>
    </row>
    <row r="8071" s="93" customFormat="1" spans="3:13">
      <c r="C8071" s="94"/>
      <c r="E8071" s="94"/>
      <c r="G8071" s="94"/>
      <c r="I8071" s="94"/>
      <c r="K8071" s="94"/>
      <c r="M8071" s="94"/>
    </row>
    <row r="8072" s="93" customFormat="1" spans="3:13">
      <c r="C8072" s="94"/>
      <c r="E8072" s="94"/>
      <c r="G8072" s="94"/>
      <c r="I8072" s="94"/>
      <c r="K8072" s="94"/>
      <c r="M8072" s="94"/>
    </row>
    <row r="8073" s="93" customFormat="1" spans="3:13">
      <c r="C8073" s="94"/>
      <c r="E8073" s="94"/>
      <c r="G8073" s="94"/>
      <c r="I8073" s="94"/>
      <c r="K8073" s="94"/>
      <c r="M8073" s="94"/>
    </row>
    <row r="8074" s="93" customFormat="1" spans="3:13">
      <c r="C8074" s="94"/>
      <c r="E8074" s="94"/>
      <c r="G8074" s="94"/>
      <c r="I8074" s="94"/>
      <c r="K8074" s="94"/>
      <c r="M8074" s="94"/>
    </row>
    <row r="8075" s="93" customFormat="1" spans="3:13">
      <c r="C8075" s="94"/>
      <c r="E8075" s="94"/>
      <c r="G8075" s="94"/>
      <c r="I8075" s="94"/>
      <c r="K8075" s="94"/>
      <c r="M8075" s="94"/>
    </row>
    <row r="8076" s="93" customFormat="1" spans="3:13">
      <c r="C8076" s="94"/>
      <c r="E8076" s="94"/>
      <c r="G8076" s="94"/>
      <c r="I8076" s="94"/>
      <c r="K8076" s="94"/>
      <c r="M8076" s="94"/>
    </row>
    <row r="8077" s="93" customFormat="1" spans="3:13">
      <c r="C8077" s="94"/>
      <c r="E8077" s="94"/>
      <c r="G8077" s="94"/>
      <c r="I8077" s="94"/>
      <c r="K8077" s="94"/>
      <c r="M8077" s="94"/>
    </row>
    <row r="8078" s="93" customFormat="1" spans="3:13">
      <c r="C8078" s="94"/>
      <c r="E8078" s="94"/>
      <c r="G8078" s="94"/>
      <c r="I8078" s="94"/>
      <c r="K8078" s="94"/>
      <c r="M8078" s="94"/>
    </row>
    <row r="8079" s="93" customFormat="1" spans="3:13">
      <c r="C8079" s="94"/>
      <c r="E8079" s="94"/>
      <c r="G8079" s="94"/>
      <c r="I8079" s="94"/>
      <c r="K8079" s="94"/>
      <c r="M8079" s="94"/>
    </row>
    <row r="8080" s="93" customFormat="1" spans="3:13">
      <c r="C8080" s="94"/>
      <c r="E8080" s="94"/>
      <c r="G8080" s="94"/>
      <c r="I8080" s="94"/>
      <c r="K8080" s="94"/>
      <c r="M8080" s="94"/>
    </row>
    <row r="8081" s="93" customFormat="1" spans="3:13">
      <c r="C8081" s="94"/>
      <c r="E8081" s="94"/>
      <c r="G8081" s="94"/>
      <c r="I8081" s="94"/>
      <c r="K8081" s="94"/>
      <c r="M8081" s="94"/>
    </row>
    <row r="8082" s="93" customFormat="1" spans="3:13">
      <c r="C8082" s="94"/>
      <c r="E8082" s="94"/>
      <c r="G8082" s="94"/>
      <c r="I8082" s="94"/>
      <c r="K8082" s="94"/>
      <c r="M8082" s="94"/>
    </row>
    <row r="8083" s="93" customFormat="1" spans="3:13">
      <c r="C8083" s="94"/>
      <c r="E8083" s="94"/>
      <c r="G8083" s="94"/>
      <c r="I8083" s="94"/>
      <c r="K8083" s="94"/>
      <c r="M8083" s="94"/>
    </row>
    <row r="8084" s="93" customFormat="1" spans="3:13">
      <c r="C8084" s="94"/>
      <c r="E8084" s="94"/>
      <c r="G8084" s="94"/>
      <c r="I8084" s="94"/>
      <c r="K8084" s="94"/>
      <c r="M8084" s="94"/>
    </row>
    <row r="8085" s="93" customFormat="1" spans="3:13">
      <c r="C8085" s="94"/>
      <c r="E8085" s="94"/>
      <c r="G8085" s="94"/>
      <c r="I8085" s="94"/>
      <c r="K8085" s="94"/>
      <c r="M8085" s="94"/>
    </row>
    <row r="8086" s="93" customFormat="1" spans="3:13">
      <c r="C8086" s="94"/>
      <c r="E8086" s="94"/>
      <c r="G8086" s="94"/>
      <c r="I8086" s="94"/>
      <c r="K8086" s="94"/>
      <c r="M8086" s="94"/>
    </row>
    <row r="8087" s="93" customFormat="1" spans="3:13">
      <c r="C8087" s="94"/>
      <c r="E8087" s="94"/>
      <c r="G8087" s="94"/>
      <c r="I8087" s="94"/>
      <c r="K8087" s="94"/>
      <c r="M8087" s="94"/>
    </row>
    <row r="8088" s="93" customFormat="1" spans="3:13">
      <c r="C8088" s="94"/>
      <c r="E8088" s="94"/>
      <c r="G8088" s="94"/>
      <c r="I8088" s="94"/>
      <c r="K8088" s="94"/>
      <c r="M8088" s="94"/>
    </row>
    <row r="8089" s="93" customFormat="1" spans="3:13">
      <c r="C8089" s="94"/>
      <c r="E8089" s="94"/>
      <c r="G8089" s="94"/>
      <c r="I8089" s="94"/>
      <c r="K8089" s="94"/>
      <c r="M8089" s="94"/>
    </row>
    <row r="8090" s="93" customFormat="1" spans="3:13">
      <c r="C8090" s="94"/>
      <c r="E8090" s="94"/>
      <c r="G8090" s="94"/>
      <c r="I8090" s="94"/>
      <c r="K8090" s="94"/>
      <c r="M8090" s="94"/>
    </row>
    <row r="8091" s="93" customFormat="1" spans="3:13">
      <c r="C8091" s="94"/>
      <c r="E8091" s="94"/>
      <c r="G8091" s="94"/>
      <c r="I8091" s="94"/>
      <c r="K8091" s="94"/>
      <c r="M8091" s="94"/>
    </row>
    <row r="8092" s="93" customFormat="1" spans="3:13">
      <c r="C8092" s="94"/>
      <c r="E8092" s="94"/>
      <c r="G8092" s="94"/>
      <c r="I8092" s="94"/>
      <c r="K8092" s="94"/>
      <c r="M8092" s="94"/>
    </row>
    <row r="8093" s="93" customFormat="1" spans="3:13">
      <c r="C8093" s="94"/>
      <c r="E8093" s="94"/>
      <c r="G8093" s="94"/>
      <c r="I8093" s="94"/>
      <c r="K8093" s="94"/>
      <c r="M8093" s="94"/>
    </row>
    <row r="8094" s="93" customFormat="1" spans="3:13">
      <c r="C8094" s="94"/>
      <c r="E8094" s="94"/>
      <c r="G8094" s="94"/>
      <c r="I8094" s="94"/>
      <c r="K8094" s="94"/>
      <c r="M8094" s="94"/>
    </row>
    <row r="8095" s="93" customFormat="1" spans="3:13">
      <c r="C8095" s="94"/>
      <c r="E8095" s="94"/>
      <c r="G8095" s="94"/>
      <c r="I8095" s="94"/>
      <c r="K8095" s="94"/>
      <c r="M8095" s="94"/>
    </row>
    <row r="8096" s="93" customFormat="1" spans="3:13">
      <c r="C8096" s="94"/>
      <c r="E8096" s="94"/>
      <c r="G8096" s="94"/>
      <c r="I8096" s="94"/>
      <c r="K8096" s="94"/>
      <c r="M8096" s="94"/>
    </row>
    <row r="8097" s="93" customFormat="1" spans="3:13">
      <c r="C8097" s="94"/>
      <c r="E8097" s="94"/>
      <c r="G8097" s="94"/>
      <c r="I8097" s="94"/>
      <c r="K8097" s="94"/>
      <c r="M8097" s="94"/>
    </row>
    <row r="8098" s="93" customFormat="1" spans="3:13">
      <c r="C8098" s="94"/>
      <c r="E8098" s="94"/>
      <c r="G8098" s="94"/>
      <c r="I8098" s="94"/>
      <c r="K8098" s="94"/>
      <c r="M8098" s="94"/>
    </row>
    <row r="8099" s="93" customFormat="1" spans="3:13">
      <c r="C8099" s="94"/>
      <c r="E8099" s="94"/>
      <c r="G8099" s="94"/>
      <c r="I8099" s="94"/>
      <c r="K8099" s="94"/>
      <c r="M8099" s="94"/>
    </row>
    <row r="8100" s="93" customFormat="1" spans="3:13">
      <c r="C8100" s="94"/>
      <c r="E8100" s="94"/>
      <c r="G8100" s="94"/>
      <c r="I8100" s="94"/>
      <c r="K8100" s="94"/>
      <c r="M8100" s="94"/>
    </row>
    <row r="8101" s="93" customFormat="1" spans="3:13">
      <c r="C8101" s="94"/>
      <c r="E8101" s="94"/>
      <c r="G8101" s="94"/>
      <c r="I8101" s="94"/>
      <c r="K8101" s="94"/>
      <c r="M8101" s="94"/>
    </row>
    <row r="8102" s="93" customFormat="1" spans="3:13">
      <c r="C8102" s="94"/>
      <c r="E8102" s="94"/>
      <c r="G8102" s="94"/>
      <c r="I8102" s="94"/>
      <c r="K8102" s="94"/>
      <c r="M8102" s="94"/>
    </row>
    <row r="8103" s="93" customFormat="1" spans="3:13">
      <c r="C8103" s="94"/>
      <c r="E8103" s="94"/>
      <c r="G8103" s="94"/>
      <c r="I8103" s="94"/>
      <c r="K8103" s="94"/>
      <c r="M8103" s="94"/>
    </row>
    <row r="8104" s="93" customFormat="1" spans="3:13">
      <c r="C8104" s="94"/>
      <c r="E8104" s="94"/>
      <c r="G8104" s="94"/>
      <c r="I8104" s="94"/>
      <c r="K8104" s="94"/>
      <c r="M8104" s="94"/>
    </row>
    <row r="8105" s="93" customFormat="1" spans="3:13">
      <c r="C8105" s="94"/>
      <c r="E8105" s="94"/>
      <c r="G8105" s="94"/>
      <c r="I8105" s="94"/>
      <c r="K8105" s="94"/>
      <c r="M8105" s="94"/>
    </row>
    <row r="8106" s="93" customFormat="1" spans="3:13">
      <c r="C8106" s="94"/>
      <c r="E8106" s="94"/>
      <c r="G8106" s="94"/>
      <c r="I8106" s="94"/>
      <c r="K8106" s="94"/>
      <c r="M8106" s="94"/>
    </row>
    <row r="8107" s="93" customFormat="1" spans="3:13">
      <c r="C8107" s="94"/>
      <c r="E8107" s="94"/>
      <c r="G8107" s="94"/>
      <c r="I8107" s="94"/>
      <c r="K8107" s="94"/>
      <c r="M8107" s="94"/>
    </row>
    <row r="8108" s="93" customFormat="1" spans="3:13">
      <c r="C8108" s="94"/>
      <c r="E8108" s="94"/>
      <c r="G8108" s="94"/>
      <c r="I8108" s="94"/>
      <c r="K8108" s="94"/>
      <c r="M8108" s="94"/>
    </row>
    <row r="8109" s="93" customFormat="1" spans="3:13">
      <c r="C8109" s="94"/>
      <c r="E8109" s="94"/>
      <c r="G8109" s="94"/>
      <c r="I8109" s="94"/>
      <c r="K8109" s="94"/>
      <c r="M8109" s="94"/>
    </row>
    <row r="8110" s="93" customFormat="1" spans="3:13">
      <c r="C8110" s="94"/>
      <c r="E8110" s="94"/>
      <c r="G8110" s="94"/>
      <c r="I8110" s="94"/>
      <c r="K8110" s="94"/>
      <c r="M8110" s="94"/>
    </row>
    <row r="8111" s="93" customFormat="1" spans="3:13">
      <c r="C8111" s="94"/>
      <c r="E8111" s="94"/>
      <c r="G8111" s="94"/>
      <c r="I8111" s="94"/>
      <c r="K8111" s="94"/>
      <c r="M8111" s="94"/>
    </row>
    <row r="8112" s="93" customFormat="1" spans="3:13">
      <c r="C8112" s="94"/>
      <c r="E8112" s="94"/>
      <c r="G8112" s="94"/>
      <c r="I8112" s="94"/>
      <c r="K8112" s="94"/>
      <c r="M8112" s="94"/>
    </row>
    <row r="8113" s="93" customFormat="1" spans="3:13">
      <c r="C8113" s="94"/>
      <c r="E8113" s="94"/>
      <c r="G8113" s="94"/>
      <c r="I8113" s="94"/>
      <c r="K8113" s="94"/>
      <c r="M8113" s="94"/>
    </row>
    <row r="8114" s="93" customFormat="1" spans="3:13">
      <c r="C8114" s="94"/>
      <c r="E8114" s="94"/>
      <c r="G8114" s="94"/>
      <c r="I8114" s="94"/>
      <c r="K8114" s="94"/>
      <c r="M8114" s="94"/>
    </row>
    <row r="8115" s="93" customFormat="1" spans="3:13">
      <c r="C8115" s="94"/>
      <c r="E8115" s="94"/>
      <c r="G8115" s="94"/>
      <c r="I8115" s="94"/>
      <c r="K8115" s="94"/>
      <c r="M8115" s="94"/>
    </row>
    <row r="8116" s="93" customFormat="1" spans="3:13">
      <c r="C8116" s="94"/>
      <c r="E8116" s="94"/>
      <c r="G8116" s="94"/>
      <c r="I8116" s="94"/>
      <c r="K8116" s="94"/>
      <c r="M8116" s="94"/>
    </row>
    <row r="8117" s="93" customFormat="1" spans="3:13">
      <c r="C8117" s="94"/>
      <c r="E8117" s="94"/>
      <c r="G8117" s="94"/>
      <c r="I8117" s="94"/>
      <c r="K8117" s="94"/>
      <c r="M8117" s="94"/>
    </row>
    <row r="8118" s="93" customFormat="1" spans="3:13">
      <c r="C8118" s="94"/>
      <c r="E8118" s="94"/>
      <c r="G8118" s="94"/>
      <c r="I8118" s="94"/>
      <c r="K8118" s="94"/>
      <c r="M8118" s="94"/>
    </row>
    <row r="8119" s="93" customFormat="1" spans="3:13">
      <c r="C8119" s="94"/>
      <c r="E8119" s="94"/>
      <c r="G8119" s="94"/>
      <c r="I8119" s="94"/>
      <c r="K8119" s="94"/>
      <c r="M8119" s="94"/>
    </row>
    <row r="8120" s="93" customFormat="1" spans="3:13">
      <c r="C8120" s="94"/>
      <c r="E8120" s="94"/>
      <c r="G8120" s="94"/>
      <c r="I8120" s="94"/>
      <c r="K8120" s="94"/>
      <c r="M8120" s="94"/>
    </row>
    <row r="8121" s="93" customFormat="1" spans="3:13">
      <c r="C8121" s="94"/>
      <c r="E8121" s="94"/>
      <c r="G8121" s="94"/>
      <c r="I8121" s="94"/>
      <c r="K8121" s="94"/>
      <c r="M8121" s="94"/>
    </row>
    <row r="8122" s="93" customFormat="1" spans="3:13">
      <c r="C8122" s="94"/>
      <c r="E8122" s="94"/>
      <c r="G8122" s="94"/>
      <c r="I8122" s="94"/>
      <c r="K8122" s="94"/>
      <c r="M8122" s="94"/>
    </row>
    <row r="8123" s="93" customFormat="1" spans="3:13">
      <c r="C8123" s="94"/>
      <c r="E8123" s="94"/>
      <c r="G8123" s="94"/>
      <c r="I8123" s="94"/>
      <c r="K8123" s="94"/>
      <c r="M8123" s="94"/>
    </row>
    <row r="8124" s="93" customFormat="1" spans="3:13">
      <c r="C8124" s="94"/>
      <c r="E8124" s="94"/>
      <c r="G8124" s="94"/>
      <c r="I8124" s="94"/>
      <c r="K8124" s="94"/>
      <c r="M8124" s="94"/>
    </row>
    <row r="8125" s="93" customFormat="1" spans="3:13">
      <c r="C8125" s="94"/>
      <c r="E8125" s="94"/>
      <c r="G8125" s="94"/>
      <c r="I8125" s="94"/>
      <c r="K8125" s="94"/>
      <c r="M8125" s="94"/>
    </row>
    <row r="8126" s="93" customFormat="1" spans="3:13">
      <c r="C8126" s="94"/>
      <c r="E8126" s="94"/>
      <c r="G8126" s="94"/>
      <c r="I8126" s="94"/>
      <c r="K8126" s="94"/>
      <c r="M8126" s="94"/>
    </row>
    <row r="8127" s="93" customFormat="1" spans="3:13">
      <c r="C8127" s="94"/>
      <c r="E8127" s="94"/>
      <c r="G8127" s="94"/>
      <c r="I8127" s="94"/>
      <c r="K8127" s="94"/>
      <c r="M8127" s="94"/>
    </row>
    <row r="8128" s="93" customFormat="1" spans="3:13">
      <c r="C8128" s="94"/>
      <c r="E8128" s="94"/>
      <c r="G8128" s="94"/>
      <c r="I8128" s="94"/>
      <c r="K8128" s="94"/>
      <c r="M8128" s="94"/>
    </row>
    <row r="8129" s="93" customFormat="1" spans="3:13">
      <c r="C8129" s="94"/>
      <c r="E8129" s="94"/>
      <c r="G8129" s="94"/>
      <c r="I8129" s="94"/>
      <c r="K8129" s="94"/>
      <c r="M8129" s="94"/>
    </row>
    <row r="8130" s="93" customFormat="1" spans="3:13">
      <c r="C8130" s="94"/>
      <c r="E8130" s="94"/>
      <c r="G8130" s="94"/>
      <c r="I8130" s="94"/>
      <c r="K8130" s="94"/>
      <c r="M8130" s="94"/>
    </row>
    <row r="8131" s="93" customFormat="1" spans="3:13">
      <c r="C8131" s="94"/>
      <c r="E8131" s="94"/>
      <c r="G8131" s="94"/>
      <c r="I8131" s="94"/>
      <c r="K8131" s="94"/>
      <c r="M8131" s="94"/>
    </row>
    <row r="8132" s="93" customFormat="1" spans="3:13">
      <c r="C8132" s="94"/>
      <c r="E8132" s="94"/>
      <c r="G8132" s="94"/>
      <c r="I8132" s="94"/>
      <c r="K8132" s="94"/>
      <c r="M8132" s="94"/>
    </row>
    <row r="8133" s="93" customFormat="1" spans="3:13">
      <c r="C8133" s="94"/>
      <c r="E8133" s="94"/>
      <c r="G8133" s="94"/>
      <c r="I8133" s="94"/>
      <c r="K8133" s="94"/>
      <c r="M8133" s="94"/>
    </row>
    <row r="8134" s="93" customFormat="1" spans="3:13">
      <c r="C8134" s="94"/>
      <c r="E8134" s="94"/>
      <c r="G8134" s="94"/>
      <c r="I8134" s="94"/>
      <c r="K8134" s="94"/>
      <c r="M8134" s="94"/>
    </row>
    <row r="8135" s="93" customFormat="1" spans="3:13">
      <c r="C8135" s="94"/>
      <c r="E8135" s="94"/>
      <c r="G8135" s="94"/>
      <c r="I8135" s="94"/>
      <c r="K8135" s="94"/>
      <c r="M8135" s="94"/>
    </row>
    <row r="8136" s="93" customFormat="1" spans="3:13">
      <c r="C8136" s="94"/>
      <c r="E8136" s="94"/>
      <c r="G8136" s="94"/>
      <c r="I8136" s="94"/>
      <c r="K8136" s="94"/>
      <c r="M8136" s="94"/>
    </row>
    <row r="8137" s="93" customFormat="1" spans="3:13">
      <c r="C8137" s="94"/>
      <c r="E8137" s="94"/>
      <c r="G8137" s="94"/>
      <c r="I8137" s="94"/>
      <c r="K8137" s="94"/>
      <c r="M8137" s="94"/>
    </row>
    <row r="8138" s="93" customFormat="1" spans="3:13">
      <c r="C8138" s="94"/>
      <c r="E8138" s="94"/>
      <c r="G8138" s="94"/>
      <c r="I8138" s="94"/>
      <c r="K8138" s="94"/>
      <c r="M8138" s="94"/>
    </row>
    <row r="8139" s="93" customFormat="1" spans="3:13">
      <c r="C8139" s="94"/>
      <c r="E8139" s="94"/>
      <c r="G8139" s="94"/>
      <c r="I8139" s="94"/>
      <c r="K8139" s="94"/>
      <c r="M8139" s="94"/>
    </row>
    <row r="8140" s="93" customFormat="1" spans="3:13">
      <c r="C8140" s="94"/>
      <c r="E8140" s="94"/>
      <c r="G8140" s="94"/>
      <c r="I8140" s="94"/>
      <c r="K8140" s="94"/>
      <c r="M8140" s="94"/>
    </row>
    <row r="8141" s="93" customFormat="1" spans="3:13">
      <c r="C8141" s="94"/>
      <c r="E8141" s="94"/>
      <c r="G8141" s="94"/>
      <c r="I8141" s="94"/>
      <c r="K8141" s="94"/>
      <c r="M8141" s="94"/>
    </row>
    <row r="8142" s="93" customFormat="1" spans="3:13">
      <c r="C8142" s="94"/>
      <c r="E8142" s="94"/>
      <c r="G8142" s="94"/>
      <c r="I8142" s="94"/>
      <c r="K8142" s="94"/>
      <c r="M8142" s="94"/>
    </row>
    <row r="8143" s="93" customFormat="1" spans="3:13">
      <c r="C8143" s="94"/>
      <c r="E8143" s="94"/>
      <c r="G8143" s="94"/>
      <c r="I8143" s="94"/>
      <c r="K8143" s="94"/>
      <c r="M8143" s="94"/>
    </row>
    <row r="8144" s="93" customFormat="1" spans="3:13">
      <c r="C8144" s="94"/>
      <c r="E8144" s="94"/>
      <c r="G8144" s="94"/>
      <c r="I8144" s="94"/>
      <c r="K8144" s="94"/>
      <c r="M8144" s="94"/>
    </row>
    <row r="8145" s="93" customFormat="1" spans="3:13">
      <c r="C8145" s="94"/>
      <c r="E8145" s="94"/>
      <c r="G8145" s="94"/>
      <c r="I8145" s="94"/>
      <c r="K8145" s="94"/>
      <c r="M8145" s="94"/>
    </row>
    <row r="8146" s="93" customFormat="1" spans="3:13">
      <c r="C8146" s="94"/>
      <c r="E8146" s="94"/>
      <c r="G8146" s="94"/>
      <c r="I8146" s="94"/>
      <c r="K8146" s="94"/>
      <c r="M8146" s="94"/>
    </row>
    <row r="8147" s="93" customFormat="1" spans="3:13">
      <c r="C8147" s="94"/>
      <c r="E8147" s="94"/>
      <c r="G8147" s="94"/>
      <c r="I8147" s="94"/>
      <c r="K8147" s="94"/>
      <c r="M8147" s="94"/>
    </row>
    <row r="8148" s="93" customFormat="1" spans="3:13">
      <c r="C8148" s="94"/>
      <c r="E8148" s="94"/>
      <c r="G8148" s="94"/>
      <c r="I8148" s="94"/>
      <c r="K8148" s="94"/>
      <c r="M8148" s="94"/>
    </row>
    <row r="8149" s="93" customFormat="1" spans="3:13">
      <c r="C8149" s="94"/>
      <c r="E8149" s="94"/>
      <c r="G8149" s="94"/>
      <c r="I8149" s="94"/>
      <c r="K8149" s="94"/>
      <c r="M8149" s="94"/>
    </row>
    <row r="8150" s="93" customFormat="1" spans="3:13">
      <c r="C8150" s="94"/>
      <c r="E8150" s="94"/>
      <c r="G8150" s="94"/>
      <c r="I8150" s="94"/>
      <c r="K8150" s="94"/>
      <c r="M8150" s="94"/>
    </row>
    <row r="8151" s="93" customFormat="1" spans="3:13">
      <c r="C8151" s="94"/>
      <c r="E8151" s="94"/>
      <c r="G8151" s="94"/>
      <c r="I8151" s="94"/>
      <c r="K8151" s="94"/>
      <c r="M8151" s="94"/>
    </row>
    <row r="8152" s="93" customFormat="1" spans="3:13">
      <c r="C8152" s="94"/>
      <c r="E8152" s="94"/>
      <c r="G8152" s="94"/>
      <c r="I8152" s="94"/>
      <c r="K8152" s="94"/>
      <c r="M8152" s="94"/>
    </row>
    <row r="8153" s="93" customFormat="1" spans="3:13">
      <c r="C8153" s="94"/>
      <c r="E8153" s="94"/>
      <c r="G8153" s="94"/>
      <c r="I8153" s="94"/>
      <c r="K8153" s="94"/>
      <c r="M8153" s="94"/>
    </row>
    <row r="8154" s="93" customFormat="1" spans="3:13">
      <c r="C8154" s="94"/>
      <c r="E8154" s="94"/>
      <c r="G8154" s="94"/>
      <c r="I8154" s="94"/>
      <c r="K8154" s="94"/>
      <c r="M8154" s="94"/>
    </row>
    <row r="8155" s="93" customFormat="1" spans="3:13">
      <c r="C8155" s="94"/>
      <c r="E8155" s="94"/>
      <c r="G8155" s="94"/>
      <c r="I8155" s="94"/>
      <c r="K8155" s="94"/>
      <c r="M8155" s="94"/>
    </row>
    <row r="8156" s="93" customFormat="1" spans="3:13">
      <c r="C8156" s="94"/>
      <c r="E8156" s="94"/>
      <c r="G8156" s="94"/>
      <c r="I8156" s="94"/>
      <c r="K8156" s="94"/>
      <c r="M8156" s="94"/>
    </row>
    <row r="8157" s="93" customFormat="1" spans="3:13">
      <c r="C8157" s="94"/>
      <c r="E8157" s="94"/>
      <c r="G8157" s="94"/>
      <c r="I8157" s="94"/>
      <c r="K8157" s="94"/>
      <c r="M8157" s="94"/>
    </row>
    <row r="8158" s="93" customFormat="1" spans="3:13">
      <c r="C8158" s="94"/>
      <c r="E8158" s="94"/>
      <c r="G8158" s="94"/>
      <c r="I8158" s="94"/>
      <c r="K8158" s="94"/>
      <c r="M8158" s="94"/>
    </row>
    <row r="8159" s="93" customFormat="1" spans="3:13">
      <c r="C8159" s="94"/>
      <c r="E8159" s="94"/>
      <c r="G8159" s="94"/>
      <c r="I8159" s="94"/>
      <c r="K8159" s="94"/>
      <c r="M8159" s="94"/>
    </row>
    <row r="8160" s="93" customFormat="1" spans="3:13">
      <c r="C8160" s="94"/>
      <c r="E8160" s="94"/>
      <c r="G8160" s="94"/>
      <c r="I8160" s="94"/>
      <c r="K8160" s="94"/>
      <c r="M8160" s="94"/>
    </row>
    <row r="8161" s="93" customFormat="1" spans="3:13">
      <c r="C8161" s="94"/>
      <c r="E8161" s="94"/>
      <c r="G8161" s="94"/>
      <c r="I8161" s="94"/>
      <c r="K8161" s="94"/>
      <c r="M8161" s="94"/>
    </row>
    <row r="8162" s="93" customFormat="1" spans="3:13">
      <c r="C8162" s="94"/>
      <c r="E8162" s="94"/>
      <c r="G8162" s="94"/>
      <c r="I8162" s="94"/>
      <c r="K8162" s="94"/>
      <c r="M8162" s="94"/>
    </row>
    <row r="8163" s="93" customFormat="1" spans="3:13">
      <c r="C8163" s="94"/>
      <c r="E8163" s="94"/>
      <c r="G8163" s="94"/>
      <c r="I8163" s="94"/>
      <c r="K8163" s="94"/>
      <c r="M8163" s="94"/>
    </row>
    <row r="8164" s="93" customFormat="1" spans="3:13">
      <c r="C8164" s="94"/>
      <c r="E8164" s="94"/>
      <c r="G8164" s="94"/>
      <c r="I8164" s="94"/>
      <c r="K8164" s="94"/>
      <c r="M8164" s="94"/>
    </row>
    <row r="8165" s="93" customFormat="1" spans="3:13">
      <c r="C8165" s="94"/>
      <c r="E8165" s="94"/>
      <c r="G8165" s="94"/>
      <c r="I8165" s="94"/>
      <c r="K8165" s="94"/>
      <c r="M8165" s="94"/>
    </row>
    <row r="8166" s="93" customFormat="1" spans="3:13">
      <c r="C8166" s="94"/>
      <c r="E8166" s="94"/>
      <c r="G8166" s="94"/>
      <c r="I8166" s="94"/>
      <c r="K8166" s="94"/>
      <c r="M8166" s="94"/>
    </row>
    <row r="8167" s="93" customFormat="1" spans="3:13">
      <c r="C8167" s="94"/>
      <c r="E8167" s="94"/>
      <c r="G8167" s="94"/>
      <c r="I8167" s="94"/>
      <c r="K8167" s="94"/>
      <c r="M8167" s="94"/>
    </row>
    <row r="8168" s="93" customFormat="1" spans="3:13">
      <c r="C8168" s="94"/>
      <c r="E8168" s="94"/>
      <c r="G8168" s="94"/>
      <c r="I8168" s="94"/>
      <c r="K8168" s="94"/>
      <c r="M8168" s="94"/>
    </row>
    <row r="8169" s="93" customFormat="1" spans="3:13">
      <c r="C8169" s="94"/>
      <c r="E8169" s="94"/>
      <c r="G8169" s="94"/>
      <c r="I8169" s="94"/>
      <c r="K8169" s="94"/>
      <c r="M8169" s="94"/>
    </row>
    <row r="8170" s="93" customFormat="1" spans="3:13">
      <c r="C8170" s="94"/>
      <c r="E8170" s="94"/>
      <c r="G8170" s="94"/>
      <c r="I8170" s="94"/>
      <c r="K8170" s="94"/>
      <c r="M8170" s="94"/>
    </row>
    <row r="8171" s="93" customFormat="1" spans="3:13">
      <c r="C8171" s="94"/>
      <c r="E8171" s="94"/>
      <c r="G8171" s="94"/>
      <c r="I8171" s="94"/>
      <c r="K8171" s="94"/>
      <c r="M8171" s="94"/>
    </row>
    <row r="8172" s="93" customFormat="1" spans="3:13">
      <c r="C8172" s="94"/>
      <c r="E8172" s="94"/>
      <c r="G8172" s="94"/>
      <c r="I8172" s="94"/>
      <c r="K8172" s="94"/>
      <c r="M8172" s="94"/>
    </row>
    <row r="8173" s="93" customFormat="1" spans="3:13">
      <c r="C8173" s="94"/>
      <c r="E8173" s="94"/>
      <c r="G8173" s="94"/>
      <c r="I8173" s="94"/>
      <c r="K8173" s="94"/>
      <c r="M8173" s="94"/>
    </row>
    <row r="8174" s="93" customFormat="1" spans="3:13">
      <c r="C8174" s="94"/>
      <c r="E8174" s="94"/>
      <c r="G8174" s="94"/>
      <c r="I8174" s="94"/>
      <c r="K8174" s="94"/>
      <c r="M8174" s="94"/>
    </row>
    <row r="8175" s="93" customFormat="1" spans="3:13">
      <c r="C8175" s="94"/>
      <c r="E8175" s="94"/>
      <c r="G8175" s="94"/>
      <c r="I8175" s="94"/>
      <c r="K8175" s="94"/>
      <c r="M8175" s="94"/>
    </row>
    <row r="8176" s="93" customFormat="1" spans="3:13">
      <c r="C8176" s="94"/>
      <c r="E8176" s="94"/>
      <c r="G8176" s="94"/>
      <c r="I8176" s="94"/>
      <c r="K8176" s="94"/>
      <c r="M8176" s="94"/>
    </row>
    <row r="8177" s="93" customFormat="1" spans="3:13">
      <c r="C8177" s="94"/>
      <c r="E8177" s="94"/>
      <c r="G8177" s="94"/>
      <c r="I8177" s="94"/>
      <c r="K8177" s="94"/>
      <c r="M8177" s="94"/>
    </row>
    <row r="8178" s="93" customFormat="1" spans="3:13">
      <c r="C8178" s="94"/>
      <c r="E8178" s="94"/>
      <c r="G8178" s="94"/>
      <c r="I8178" s="94"/>
      <c r="K8178" s="94"/>
      <c r="M8178" s="94"/>
    </row>
    <row r="8179" s="93" customFormat="1" spans="3:13">
      <c r="C8179" s="94"/>
      <c r="E8179" s="94"/>
      <c r="G8179" s="94"/>
      <c r="I8179" s="94"/>
      <c r="K8179" s="94"/>
      <c r="M8179" s="94"/>
    </row>
    <row r="8180" s="93" customFormat="1" spans="3:13">
      <c r="C8180" s="94"/>
      <c r="E8180" s="94"/>
      <c r="G8180" s="94"/>
      <c r="I8180" s="94"/>
      <c r="K8180" s="94"/>
      <c r="M8180" s="94"/>
    </row>
    <row r="8181" s="93" customFormat="1" spans="3:13">
      <c r="C8181" s="94"/>
      <c r="E8181" s="94"/>
      <c r="G8181" s="94"/>
      <c r="I8181" s="94"/>
      <c r="K8181" s="94"/>
      <c r="M8181" s="94"/>
    </row>
    <row r="8182" s="93" customFormat="1" spans="3:13">
      <c r="C8182" s="94"/>
      <c r="E8182" s="94"/>
      <c r="G8182" s="94"/>
      <c r="I8182" s="94"/>
      <c r="K8182" s="94"/>
      <c r="M8182" s="94"/>
    </row>
    <row r="8183" s="93" customFormat="1" spans="3:13">
      <c r="C8183" s="94"/>
      <c r="E8183" s="94"/>
      <c r="G8183" s="94"/>
      <c r="I8183" s="94"/>
      <c r="K8183" s="94"/>
      <c r="M8183" s="94"/>
    </row>
    <row r="8184" s="93" customFormat="1" spans="3:13">
      <c r="C8184" s="94"/>
      <c r="E8184" s="94"/>
      <c r="G8184" s="94"/>
      <c r="I8184" s="94"/>
      <c r="K8184" s="94"/>
      <c r="M8184" s="94"/>
    </row>
    <row r="8185" s="93" customFormat="1" spans="3:13">
      <c r="C8185" s="94"/>
      <c r="E8185" s="94"/>
      <c r="G8185" s="94"/>
      <c r="I8185" s="94"/>
      <c r="K8185" s="94"/>
      <c r="M8185" s="94"/>
    </row>
    <row r="8186" s="93" customFormat="1" spans="3:13">
      <c r="C8186" s="94"/>
      <c r="E8186" s="94"/>
      <c r="G8186" s="94"/>
      <c r="I8186" s="94"/>
      <c r="K8186" s="94"/>
      <c r="M8186" s="94"/>
    </row>
    <row r="8187" s="93" customFormat="1" spans="3:13">
      <c r="C8187" s="94"/>
      <c r="E8187" s="94"/>
      <c r="G8187" s="94"/>
      <c r="I8187" s="94"/>
      <c r="K8187" s="94"/>
      <c r="M8187" s="94"/>
    </row>
    <row r="8188" s="93" customFormat="1" spans="3:13">
      <c r="C8188" s="94"/>
      <c r="E8188" s="94"/>
      <c r="G8188" s="94"/>
      <c r="I8188" s="94"/>
      <c r="K8188" s="94"/>
      <c r="M8188" s="94"/>
    </row>
    <row r="8189" s="93" customFormat="1" spans="3:13">
      <c r="C8189" s="94"/>
      <c r="E8189" s="94"/>
      <c r="G8189" s="94"/>
      <c r="I8189" s="94"/>
      <c r="K8189" s="94"/>
      <c r="M8189" s="94"/>
    </row>
    <row r="8190" s="93" customFormat="1" spans="3:13">
      <c r="C8190" s="94"/>
      <c r="E8190" s="94"/>
      <c r="G8190" s="94"/>
      <c r="I8190" s="94"/>
      <c r="K8190" s="94"/>
      <c r="M8190" s="94"/>
    </row>
    <row r="8191" s="93" customFormat="1" spans="3:13">
      <c r="C8191" s="94"/>
      <c r="E8191" s="94"/>
      <c r="G8191" s="94"/>
      <c r="I8191" s="94"/>
      <c r="K8191" s="94"/>
      <c r="M8191" s="94"/>
    </row>
    <row r="8192" s="93" customFormat="1" spans="3:13">
      <c r="C8192" s="94"/>
      <c r="E8192" s="94"/>
      <c r="G8192" s="94"/>
      <c r="I8192" s="94"/>
      <c r="K8192" s="94"/>
      <c r="M8192" s="94"/>
    </row>
    <row r="8193" s="93" customFormat="1" spans="3:13">
      <c r="C8193" s="94"/>
      <c r="E8193" s="94"/>
      <c r="G8193" s="94"/>
      <c r="I8193" s="94"/>
      <c r="K8193" s="94"/>
      <c r="M8193" s="94"/>
    </row>
    <row r="8194" s="93" customFormat="1" spans="3:13">
      <c r="C8194" s="94"/>
      <c r="E8194" s="94"/>
      <c r="G8194" s="94"/>
      <c r="I8194" s="94"/>
      <c r="K8194" s="94"/>
      <c r="M8194" s="94"/>
    </row>
    <row r="8195" s="93" customFormat="1" spans="3:13">
      <c r="C8195" s="94"/>
      <c r="E8195" s="94"/>
      <c r="G8195" s="94"/>
      <c r="I8195" s="94"/>
      <c r="K8195" s="94"/>
      <c r="M8195" s="94"/>
    </row>
    <row r="8196" s="93" customFormat="1" spans="3:13">
      <c r="C8196" s="94"/>
      <c r="E8196" s="94"/>
      <c r="G8196" s="94"/>
      <c r="I8196" s="94"/>
      <c r="K8196" s="94"/>
      <c r="M8196" s="94"/>
    </row>
    <row r="8197" s="93" customFormat="1" spans="3:13">
      <c r="C8197" s="94"/>
      <c r="E8197" s="94"/>
      <c r="G8197" s="94"/>
      <c r="I8197" s="94"/>
      <c r="K8197" s="94"/>
      <c r="M8197" s="94"/>
    </row>
    <row r="8198" s="93" customFormat="1" spans="3:13">
      <c r="C8198" s="94"/>
      <c r="E8198" s="94"/>
      <c r="G8198" s="94"/>
      <c r="I8198" s="94"/>
      <c r="K8198" s="94"/>
      <c r="M8198" s="94"/>
    </row>
    <row r="8199" s="93" customFormat="1" spans="3:13">
      <c r="C8199" s="94"/>
      <c r="E8199" s="94"/>
      <c r="G8199" s="94"/>
      <c r="I8199" s="94"/>
      <c r="K8199" s="94"/>
      <c r="M8199" s="94"/>
    </row>
    <row r="8200" s="93" customFormat="1" spans="3:13">
      <c r="C8200" s="94"/>
      <c r="E8200" s="94"/>
      <c r="G8200" s="94"/>
      <c r="I8200" s="94"/>
      <c r="K8200" s="94"/>
      <c r="M8200" s="94"/>
    </row>
    <row r="8201" s="93" customFormat="1" spans="3:13">
      <c r="C8201" s="94"/>
      <c r="E8201" s="94"/>
      <c r="G8201" s="94"/>
      <c r="I8201" s="94"/>
      <c r="K8201" s="94"/>
      <c r="M8201" s="94"/>
    </row>
    <row r="8202" s="93" customFormat="1" spans="3:13">
      <c r="C8202" s="94"/>
      <c r="E8202" s="94"/>
      <c r="G8202" s="94"/>
      <c r="I8202" s="94"/>
      <c r="K8202" s="94"/>
      <c r="M8202" s="94"/>
    </row>
    <row r="8203" s="93" customFormat="1" spans="3:13">
      <c r="C8203" s="94"/>
      <c r="E8203" s="94"/>
      <c r="G8203" s="94"/>
      <c r="I8203" s="94"/>
      <c r="K8203" s="94"/>
      <c r="M8203" s="94"/>
    </row>
    <row r="8204" s="93" customFormat="1" spans="3:13">
      <c r="C8204" s="94"/>
      <c r="E8204" s="94"/>
      <c r="G8204" s="94"/>
      <c r="I8204" s="94"/>
      <c r="K8204" s="94"/>
      <c r="M8204" s="94"/>
    </row>
    <row r="8205" s="93" customFormat="1" spans="3:13">
      <c r="C8205" s="94"/>
      <c r="E8205" s="94"/>
      <c r="G8205" s="94"/>
      <c r="I8205" s="94"/>
      <c r="K8205" s="94"/>
      <c r="M8205" s="94"/>
    </row>
    <row r="8206" s="93" customFormat="1" spans="3:13">
      <c r="C8206" s="94"/>
      <c r="E8206" s="94"/>
      <c r="G8206" s="94"/>
      <c r="I8206" s="94"/>
      <c r="K8206" s="94"/>
      <c r="M8206" s="94"/>
    </row>
    <row r="8207" s="93" customFormat="1" spans="3:13">
      <c r="C8207" s="94"/>
      <c r="E8207" s="94"/>
      <c r="G8207" s="94"/>
      <c r="I8207" s="94"/>
      <c r="K8207" s="94"/>
      <c r="M8207" s="94"/>
    </row>
    <row r="8208" s="93" customFormat="1" spans="3:13">
      <c r="C8208" s="94"/>
      <c r="E8208" s="94"/>
      <c r="G8208" s="94"/>
      <c r="I8208" s="94"/>
      <c r="K8208" s="94"/>
      <c r="M8208" s="94"/>
    </row>
    <row r="8209" s="93" customFormat="1" spans="3:13">
      <c r="C8209" s="94"/>
      <c r="E8209" s="94"/>
      <c r="G8209" s="94"/>
      <c r="I8209" s="94"/>
      <c r="K8209" s="94"/>
      <c r="M8209" s="94"/>
    </row>
    <row r="8210" s="93" customFormat="1" spans="3:13">
      <c r="C8210" s="94"/>
      <c r="E8210" s="94"/>
      <c r="G8210" s="94"/>
      <c r="I8210" s="94"/>
      <c r="K8210" s="94"/>
      <c r="M8210" s="94"/>
    </row>
    <row r="8211" s="93" customFormat="1" spans="3:13">
      <c r="C8211" s="94"/>
      <c r="E8211" s="94"/>
      <c r="G8211" s="94"/>
      <c r="I8211" s="94"/>
      <c r="K8211" s="94"/>
      <c r="M8211" s="94"/>
    </row>
    <row r="8212" s="93" customFormat="1" spans="3:13">
      <c r="C8212" s="94"/>
      <c r="E8212" s="94"/>
      <c r="G8212" s="94"/>
      <c r="I8212" s="94"/>
      <c r="K8212" s="94"/>
      <c r="M8212" s="94"/>
    </row>
    <row r="8213" s="93" customFormat="1" spans="3:13">
      <c r="C8213" s="94"/>
      <c r="E8213" s="94"/>
      <c r="G8213" s="94"/>
      <c r="I8213" s="94"/>
      <c r="K8213" s="94"/>
      <c r="M8213" s="94"/>
    </row>
    <row r="8214" s="93" customFormat="1" spans="3:13">
      <c r="C8214" s="94"/>
      <c r="E8214" s="94"/>
      <c r="G8214" s="94"/>
      <c r="I8214" s="94"/>
      <c r="K8214" s="94"/>
      <c r="M8214" s="94"/>
    </row>
    <row r="8215" s="93" customFormat="1" spans="3:13">
      <c r="C8215" s="94"/>
      <c r="E8215" s="94"/>
      <c r="G8215" s="94"/>
      <c r="I8215" s="94"/>
      <c r="K8215" s="94"/>
      <c r="M8215" s="94"/>
    </row>
    <row r="8216" s="93" customFormat="1" spans="3:13">
      <c r="C8216" s="94"/>
      <c r="E8216" s="94"/>
      <c r="G8216" s="94"/>
      <c r="I8216" s="94"/>
      <c r="K8216" s="94"/>
      <c r="M8216" s="94"/>
    </row>
    <row r="8217" s="93" customFormat="1" spans="3:13">
      <c r="C8217" s="94"/>
      <c r="E8217" s="94"/>
      <c r="G8217" s="94"/>
      <c r="I8217" s="94"/>
      <c r="K8217" s="94"/>
      <c r="M8217" s="94"/>
    </row>
    <row r="8218" s="93" customFormat="1" spans="3:13">
      <c r="C8218" s="94"/>
      <c r="E8218" s="94"/>
      <c r="G8218" s="94"/>
      <c r="I8218" s="94"/>
      <c r="K8218" s="94"/>
      <c r="M8218" s="94"/>
    </row>
    <row r="8219" s="93" customFormat="1" spans="3:13">
      <c r="C8219" s="94"/>
      <c r="E8219" s="94"/>
      <c r="G8219" s="94"/>
      <c r="I8219" s="94"/>
      <c r="K8219" s="94"/>
      <c r="M8219" s="94"/>
    </row>
    <row r="8220" s="93" customFormat="1" spans="3:13">
      <c r="C8220" s="94"/>
      <c r="E8220" s="94"/>
      <c r="G8220" s="94"/>
      <c r="I8220" s="94"/>
      <c r="K8220" s="94"/>
      <c r="M8220" s="94"/>
    </row>
    <row r="8221" s="93" customFormat="1" spans="3:13">
      <c r="C8221" s="94"/>
      <c r="E8221" s="94"/>
      <c r="G8221" s="94"/>
      <c r="I8221" s="94"/>
      <c r="K8221" s="94"/>
      <c r="M8221" s="94"/>
    </row>
    <row r="8222" s="93" customFormat="1" spans="3:13">
      <c r="C8222" s="94"/>
      <c r="E8222" s="94"/>
      <c r="G8222" s="94"/>
      <c r="I8222" s="94"/>
      <c r="K8222" s="94"/>
      <c r="M8222" s="94"/>
    </row>
    <row r="8223" s="93" customFormat="1" spans="3:13">
      <c r="C8223" s="94"/>
      <c r="E8223" s="94"/>
      <c r="G8223" s="94"/>
      <c r="I8223" s="94"/>
      <c r="K8223" s="94"/>
      <c r="M8223" s="94"/>
    </row>
    <row r="8224" s="93" customFormat="1" spans="3:13">
      <c r="C8224" s="94"/>
      <c r="E8224" s="94"/>
      <c r="G8224" s="94"/>
      <c r="I8224" s="94"/>
      <c r="K8224" s="94"/>
      <c r="M8224" s="94"/>
    </row>
    <row r="8225" s="93" customFormat="1" spans="3:13">
      <c r="C8225" s="94"/>
      <c r="E8225" s="94"/>
      <c r="G8225" s="94"/>
      <c r="I8225" s="94"/>
      <c r="K8225" s="94"/>
      <c r="M8225" s="94"/>
    </row>
    <row r="8226" s="93" customFormat="1" spans="3:13">
      <c r="C8226" s="94"/>
      <c r="E8226" s="94"/>
      <c r="G8226" s="94"/>
      <c r="I8226" s="94"/>
      <c r="K8226" s="94"/>
      <c r="M8226" s="94"/>
    </row>
    <row r="8227" s="93" customFormat="1" spans="3:13">
      <c r="C8227" s="94"/>
      <c r="E8227" s="94"/>
      <c r="G8227" s="94"/>
      <c r="I8227" s="94"/>
      <c r="K8227" s="94"/>
      <c r="M8227" s="94"/>
    </row>
    <row r="8228" s="93" customFormat="1" spans="3:13">
      <c r="C8228" s="94"/>
      <c r="E8228" s="94"/>
      <c r="G8228" s="94"/>
      <c r="I8228" s="94"/>
      <c r="K8228" s="94"/>
      <c r="M8228" s="94"/>
    </row>
    <row r="8229" s="93" customFormat="1" spans="3:13">
      <c r="C8229" s="94"/>
      <c r="E8229" s="94"/>
      <c r="G8229" s="94"/>
      <c r="I8229" s="94"/>
      <c r="K8229" s="94"/>
      <c r="M8229" s="94"/>
    </row>
    <row r="8230" s="93" customFormat="1" spans="3:13">
      <c r="C8230" s="94"/>
      <c r="E8230" s="94"/>
      <c r="G8230" s="94"/>
      <c r="I8230" s="94"/>
      <c r="K8230" s="94"/>
      <c r="M8230" s="94"/>
    </row>
    <row r="8231" s="93" customFormat="1" spans="3:13">
      <c r="C8231" s="94"/>
      <c r="E8231" s="94"/>
      <c r="G8231" s="94"/>
      <c r="I8231" s="94"/>
      <c r="K8231" s="94"/>
      <c r="M8231" s="94"/>
    </row>
    <row r="8232" s="93" customFormat="1" spans="3:13">
      <c r="C8232" s="94"/>
      <c r="E8232" s="94"/>
      <c r="G8232" s="94"/>
      <c r="I8232" s="94"/>
      <c r="K8232" s="94"/>
      <c r="M8232" s="94"/>
    </row>
    <row r="8233" s="93" customFormat="1" spans="3:13">
      <c r="C8233" s="94"/>
      <c r="E8233" s="94"/>
      <c r="G8233" s="94"/>
      <c r="I8233" s="94"/>
      <c r="K8233" s="94"/>
      <c r="M8233" s="94"/>
    </row>
    <row r="8234" s="93" customFormat="1" spans="3:13">
      <c r="C8234" s="94"/>
      <c r="E8234" s="94"/>
      <c r="G8234" s="94"/>
      <c r="I8234" s="94"/>
      <c r="K8234" s="94"/>
      <c r="M8234" s="94"/>
    </row>
    <row r="8235" s="93" customFormat="1" spans="3:13">
      <c r="C8235" s="94"/>
      <c r="E8235" s="94"/>
      <c r="G8235" s="94"/>
      <c r="I8235" s="94"/>
      <c r="K8235" s="94"/>
      <c r="M8235" s="94"/>
    </row>
    <row r="8236" s="93" customFormat="1" spans="3:13">
      <c r="C8236" s="94"/>
      <c r="E8236" s="94"/>
      <c r="G8236" s="94"/>
      <c r="I8236" s="94"/>
      <c r="K8236" s="94"/>
      <c r="M8236" s="94"/>
    </row>
    <row r="8237" s="93" customFormat="1" spans="3:13">
      <c r="C8237" s="94"/>
      <c r="E8237" s="94"/>
      <c r="G8237" s="94"/>
      <c r="I8237" s="94"/>
      <c r="K8237" s="94"/>
      <c r="M8237" s="94"/>
    </row>
    <row r="8238" s="93" customFormat="1" spans="3:13">
      <c r="C8238" s="94"/>
      <c r="E8238" s="94"/>
      <c r="G8238" s="94"/>
      <c r="I8238" s="94"/>
      <c r="K8238" s="94"/>
      <c r="M8238" s="94"/>
    </row>
    <row r="8239" s="93" customFormat="1" spans="3:13">
      <c r="C8239" s="94"/>
      <c r="E8239" s="94"/>
      <c r="G8239" s="94"/>
      <c r="I8239" s="94"/>
      <c r="K8239" s="94"/>
      <c r="M8239" s="94"/>
    </row>
    <row r="8240" s="93" customFormat="1" spans="3:13">
      <c r="C8240" s="94"/>
      <c r="E8240" s="94"/>
      <c r="G8240" s="94"/>
      <c r="I8240" s="94"/>
      <c r="K8240" s="94"/>
      <c r="M8240" s="94"/>
    </row>
    <row r="8241" s="93" customFormat="1" spans="3:13">
      <c r="C8241" s="94"/>
      <c r="E8241" s="94"/>
      <c r="G8241" s="94"/>
      <c r="I8241" s="94"/>
      <c r="K8241" s="94"/>
      <c r="M8241" s="94"/>
    </row>
    <row r="8242" s="93" customFormat="1" spans="3:13">
      <c r="C8242" s="94"/>
      <c r="E8242" s="94"/>
      <c r="G8242" s="94"/>
      <c r="I8242" s="94"/>
      <c r="K8242" s="94"/>
      <c r="M8242" s="94"/>
    </row>
    <row r="8243" s="93" customFormat="1" spans="3:13">
      <c r="C8243" s="94"/>
      <c r="E8243" s="94"/>
      <c r="G8243" s="94"/>
      <c r="I8243" s="94"/>
      <c r="K8243" s="94"/>
      <c r="M8243" s="94"/>
    </row>
    <row r="8244" s="93" customFormat="1" spans="3:13">
      <c r="C8244" s="94"/>
      <c r="E8244" s="94"/>
      <c r="G8244" s="94"/>
      <c r="I8244" s="94"/>
      <c r="K8244" s="94"/>
      <c r="M8244" s="94"/>
    </row>
    <row r="8245" s="93" customFormat="1" spans="3:13">
      <c r="C8245" s="94"/>
      <c r="E8245" s="94"/>
      <c r="G8245" s="94"/>
      <c r="I8245" s="94"/>
      <c r="K8245" s="94"/>
      <c r="M8245" s="94"/>
    </row>
    <row r="8246" s="93" customFormat="1" spans="3:13">
      <c r="C8246" s="94"/>
      <c r="E8246" s="94"/>
      <c r="G8246" s="94"/>
      <c r="I8246" s="94"/>
      <c r="K8246" s="94"/>
      <c r="M8246" s="94"/>
    </row>
    <row r="8247" s="93" customFormat="1" spans="3:13">
      <c r="C8247" s="94"/>
      <c r="E8247" s="94"/>
      <c r="G8247" s="94"/>
      <c r="I8247" s="94"/>
      <c r="K8247" s="94"/>
      <c r="M8247" s="94"/>
    </row>
    <row r="8248" s="93" customFormat="1" spans="3:13">
      <c r="C8248" s="94"/>
      <c r="E8248" s="94"/>
      <c r="G8248" s="94"/>
      <c r="I8248" s="94"/>
      <c r="K8248" s="94"/>
      <c r="M8248" s="94"/>
    </row>
    <row r="8249" s="93" customFormat="1" spans="3:13">
      <c r="C8249" s="94"/>
      <c r="E8249" s="94"/>
      <c r="G8249" s="94"/>
      <c r="I8249" s="94"/>
      <c r="K8249" s="94"/>
      <c r="M8249" s="94"/>
    </row>
    <row r="8250" s="93" customFormat="1" spans="3:13">
      <c r="C8250" s="94"/>
      <c r="E8250" s="94"/>
      <c r="G8250" s="94"/>
      <c r="I8250" s="94"/>
      <c r="K8250" s="94"/>
      <c r="M8250" s="94"/>
    </row>
    <row r="8251" s="93" customFormat="1" spans="3:13">
      <c r="C8251" s="94"/>
      <c r="E8251" s="94"/>
      <c r="G8251" s="94"/>
      <c r="I8251" s="94"/>
      <c r="K8251" s="94"/>
      <c r="M8251" s="94"/>
    </row>
    <row r="8252" s="93" customFormat="1" spans="3:13">
      <c r="C8252" s="94"/>
      <c r="E8252" s="94"/>
      <c r="G8252" s="94"/>
      <c r="I8252" s="94"/>
      <c r="K8252" s="94"/>
      <c r="M8252" s="94"/>
    </row>
    <row r="8253" s="93" customFormat="1" spans="3:13">
      <c r="C8253" s="94"/>
      <c r="E8253" s="94"/>
      <c r="G8253" s="94"/>
      <c r="I8253" s="94"/>
      <c r="K8253" s="94"/>
      <c r="M8253" s="94"/>
    </row>
    <row r="8254" s="93" customFormat="1" spans="3:13">
      <c r="C8254" s="94"/>
      <c r="E8254" s="94"/>
      <c r="G8254" s="94"/>
      <c r="I8254" s="94"/>
      <c r="K8254" s="94"/>
      <c r="M8254" s="94"/>
    </row>
    <row r="8255" s="93" customFormat="1" spans="3:13">
      <c r="C8255" s="94"/>
      <c r="E8255" s="94"/>
      <c r="G8255" s="94"/>
      <c r="I8255" s="94"/>
      <c r="K8255" s="94"/>
      <c r="M8255" s="94"/>
    </row>
    <row r="8256" s="93" customFormat="1" spans="3:13">
      <c r="C8256" s="94"/>
      <c r="E8256" s="94"/>
      <c r="G8256" s="94"/>
      <c r="I8256" s="94"/>
      <c r="K8256" s="94"/>
      <c r="M8256" s="94"/>
    </row>
    <row r="8257" s="93" customFormat="1" spans="3:13">
      <c r="C8257" s="94"/>
      <c r="E8257" s="94"/>
      <c r="G8257" s="94"/>
      <c r="I8257" s="94"/>
      <c r="K8257" s="94"/>
      <c r="M8257" s="94"/>
    </row>
    <row r="8258" s="93" customFormat="1" spans="3:13">
      <c r="C8258" s="94"/>
      <c r="E8258" s="94"/>
      <c r="G8258" s="94"/>
      <c r="I8258" s="94"/>
      <c r="K8258" s="94"/>
      <c r="M8258" s="94"/>
    </row>
    <row r="8259" s="93" customFormat="1" spans="3:13">
      <c r="C8259" s="94"/>
      <c r="E8259" s="94"/>
      <c r="G8259" s="94"/>
      <c r="I8259" s="94"/>
      <c r="K8259" s="94"/>
      <c r="M8259" s="94"/>
    </row>
    <row r="8260" s="93" customFormat="1" spans="3:13">
      <c r="C8260" s="94"/>
      <c r="E8260" s="94"/>
      <c r="G8260" s="94"/>
      <c r="I8260" s="94"/>
      <c r="K8260" s="94"/>
      <c r="M8260" s="94"/>
    </row>
    <row r="8261" s="93" customFormat="1" spans="3:13">
      <c r="C8261" s="94"/>
      <c r="E8261" s="94"/>
      <c r="G8261" s="94"/>
      <c r="I8261" s="94"/>
      <c r="K8261" s="94"/>
      <c r="M8261" s="94"/>
    </row>
    <row r="8262" s="93" customFormat="1" spans="3:13">
      <c r="C8262" s="94"/>
      <c r="E8262" s="94"/>
      <c r="G8262" s="94"/>
      <c r="I8262" s="94"/>
      <c r="K8262" s="94"/>
      <c r="M8262" s="94"/>
    </row>
    <row r="8263" s="93" customFormat="1" spans="3:13">
      <c r="C8263" s="94"/>
      <c r="E8263" s="94"/>
      <c r="G8263" s="94"/>
      <c r="I8263" s="94"/>
      <c r="K8263" s="94"/>
      <c r="M8263" s="94"/>
    </row>
    <row r="8264" s="93" customFormat="1" spans="3:13">
      <c r="C8264" s="94"/>
      <c r="E8264" s="94"/>
      <c r="G8264" s="94"/>
      <c r="I8264" s="94"/>
      <c r="K8264" s="94"/>
      <c r="M8264" s="94"/>
    </row>
    <row r="8265" s="93" customFormat="1" spans="3:13">
      <c r="C8265" s="94"/>
      <c r="E8265" s="94"/>
      <c r="G8265" s="94"/>
      <c r="I8265" s="94"/>
      <c r="K8265" s="94"/>
      <c r="M8265" s="94"/>
    </row>
    <row r="8266" s="93" customFormat="1" spans="3:13">
      <c r="C8266" s="94"/>
      <c r="E8266" s="94"/>
      <c r="G8266" s="94"/>
      <c r="I8266" s="94"/>
      <c r="K8266" s="94"/>
      <c r="M8266" s="94"/>
    </row>
    <row r="8267" s="93" customFormat="1" spans="3:13">
      <c r="C8267" s="94"/>
      <c r="E8267" s="94"/>
      <c r="G8267" s="94"/>
      <c r="I8267" s="94"/>
      <c r="K8267" s="94"/>
      <c r="M8267" s="94"/>
    </row>
    <row r="8268" s="93" customFormat="1" spans="3:13">
      <c r="C8268" s="94"/>
      <c r="E8268" s="94"/>
      <c r="G8268" s="94"/>
      <c r="I8268" s="94"/>
      <c r="K8268" s="94"/>
      <c r="M8268" s="94"/>
    </row>
    <row r="8269" s="93" customFormat="1" spans="3:13">
      <c r="C8269" s="94"/>
      <c r="E8269" s="94"/>
      <c r="G8269" s="94"/>
      <c r="I8269" s="94"/>
      <c r="K8269" s="94"/>
      <c r="M8269" s="94"/>
    </row>
    <row r="8270" s="93" customFormat="1" spans="3:13">
      <c r="C8270" s="94"/>
      <c r="E8270" s="94"/>
      <c r="G8270" s="94"/>
      <c r="I8270" s="94"/>
      <c r="K8270" s="94"/>
      <c r="M8270" s="94"/>
    </row>
    <row r="8271" s="93" customFormat="1" spans="3:13">
      <c r="C8271" s="94"/>
      <c r="E8271" s="94"/>
      <c r="G8271" s="94"/>
      <c r="I8271" s="94"/>
      <c r="K8271" s="94"/>
      <c r="M8271" s="94"/>
    </row>
    <row r="8272" s="93" customFormat="1" spans="3:13">
      <c r="C8272" s="94"/>
      <c r="E8272" s="94"/>
      <c r="G8272" s="94"/>
      <c r="I8272" s="94"/>
      <c r="K8272" s="94"/>
      <c r="M8272" s="94"/>
    </row>
    <row r="8273" s="93" customFormat="1" spans="3:13">
      <c r="C8273" s="94"/>
      <c r="E8273" s="94"/>
      <c r="G8273" s="94"/>
      <c r="I8273" s="94"/>
      <c r="K8273" s="94"/>
      <c r="M8273" s="94"/>
    </row>
    <row r="8274" s="93" customFormat="1" spans="3:13">
      <c r="C8274" s="94"/>
      <c r="E8274" s="94"/>
      <c r="G8274" s="94"/>
      <c r="I8274" s="94"/>
      <c r="K8274" s="94"/>
      <c r="M8274" s="94"/>
    </row>
    <row r="8275" s="93" customFormat="1" spans="3:13">
      <c r="C8275" s="94"/>
      <c r="E8275" s="94"/>
      <c r="G8275" s="94"/>
      <c r="I8275" s="94"/>
      <c r="K8275" s="94"/>
      <c r="M8275" s="94"/>
    </row>
    <row r="8276" s="93" customFormat="1" spans="3:13">
      <c r="C8276" s="94"/>
      <c r="E8276" s="94"/>
      <c r="G8276" s="94"/>
      <c r="I8276" s="94"/>
      <c r="K8276" s="94"/>
      <c r="M8276" s="94"/>
    </row>
    <row r="8277" s="93" customFormat="1" spans="3:13">
      <c r="C8277" s="94"/>
      <c r="E8277" s="94"/>
      <c r="G8277" s="94"/>
      <c r="I8277" s="94"/>
      <c r="K8277" s="94"/>
      <c r="M8277" s="94"/>
    </row>
    <row r="8278" s="93" customFormat="1" spans="3:13">
      <c r="C8278" s="94"/>
      <c r="E8278" s="94"/>
      <c r="G8278" s="94"/>
      <c r="I8278" s="94"/>
      <c r="K8278" s="94"/>
      <c r="M8278" s="94"/>
    </row>
    <row r="8279" s="93" customFormat="1" spans="3:13">
      <c r="C8279" s="94"/>
      <c r="E8279" s="94"/>
      <c r="G8279" s="94"/>
      <c r="I8279" s="94"/>
      <c r="K8279" s="94"/>
      <c r="M8279" s="94"/>
    </row>
    <row r="8280" s="93" customFormat="1" spans="3:13">
      <c r="C8280" s="94"/>
      <c r="E8280" s="94"/>
      <c r="G8280" s="94"/>
      <c r="I8280" s="94"/>
      <c r="K8280" s="94"/>
      <c r="M8280" s="94"/>
    </row>
    <row r="8281" s="93" customFormat="1" spans="3:13">
      <c r="C8281" s="94"/>
      <c r="E8281" s="94"/>
      <c r="G8281" s="94"/>
      <c r="I8281" s="94"/>
      <c r="K8281" s="94"/>
      <c r="M8281" s="94"/>
    </row>
    <row r="8282" s="93" customFormat="1" spans="3:13">
      <c r="C8282" s="94"/>
      <c r="E8282" s="94"/>
      <c r="G8282" s="94"/>
      <c r="I8282" s="94"/>
      <c r="K8282" s="94"/>
      <c r="M8282" s="94"/>
    </row>
    <row r="8283" s="93" customFormat="1" spans="3:13">
      <c r="C8283" s="94"/>
      <c r="E8283" s="94"/>
      <c r="G8283" s="94"/>
      <c r="I8283" s="94"/>
      <c r="K8283" s="94"/>
      <c r="M8283" s="94"/>
    </row>
    <row r="8284" s="93" customFormat="1" spans="3:13">
      <c r="C8284" s="94"/>
      <c r="E8284" s="94"/>
      <c r="G8284" s="94"/>
      <c r="I8284" s="94"/>
      <c r="K8284" s="94"/>
      <c r="M8284" s="94"/>
    </row>
    <row r="8285" s="93" customFormat="1" spans="3:13">
      <c r="C8285" s="94"/>
      <c r="E8285" s="94"/>
      <c r="G8285" s="94"/>
      <c r="I8285" s="94"/>
      <c r="K8285" s="94"/>
      <c r="M8285" s="94"/>
    </row>
    <row r="8286" s="93" customFormat="1" spans="3:13">
      <c r="C8286" s="94"/>
      <c r="E8286" s="94"/>
      <c r="G8286" s="94"/>
      <c r="I8286" s="94"/>
      <c r="K8286" s="94"/>
      <c r="M8286" s="94"/>
    </row>
    <row r="8287" s="93" customFormat="1" spans="3:13">
      <c r="C8287" s="94"/>
      <c r="E8287" s="94"/>
      <c r="G8287" s="94"/>
      <c r="I8287" s="94"/>
      <c r="K8287" s="94"/>
      <c r="M8287" s="94"/>
    </row>
    <row r="8288" s="93" customFormat="1" spans="3:13">
      <c r="C8288" s="94"/>
      <c r="E8288" s="94"/>
      <c r="G8288" s="94"/>
      <c r="I8288" s="94"/>
      <c r="K8288" s="94"/>
      <c r="M8288" s="94"/>
    </row>
    <row r="8289" s="93" customFormat="1" spans="3:13">
      <c r="C8289" s="94"/>
      <c r="E8289" s="94"/>
      <c r="G8289" s="94"/>
      <c r="I8289" s="94"/>
      <c r="K8289" s="94"/>
      <c r="M8289" s="94"/>
    </row>
    <row r="8290" s="93" customFormat="1" spans="3:13">
      <c r="C8290" s="94"/>
      <c r="E8290" s="94"/>
      <c r="G8290" s="94"/>
      <c r="I8290" s="94"/>
      <c r="K8290" s="94"/>
      <c r="M8290" s="94"/>
    </row>
    <row r="8291" s="93" customFormat="1" spans="3:13">
      <c r="C8291" s="94"/>
      <c r="E8291" s="94"/>
      <c r="G8291" s="94"/>
      <c r="I8291" s="94"/>
      <c r="K8291" s="94"/>
      <c r="M8291" s="94"/>
    </row>
    <row r="8292" s="93" customFormat="1" spans="3:13">
      <c r="C8292" s="94"/>
      <c r="E8292" s="94"/>
      <c r="G8292" s="94"/>
      <c r="I8292" s="94"/>
      <c r="K8292" s="94"/>
      <c r="M8292" s="94"/>
    </row>
    <row r="8293" s="93" customFormat="1" spans="3:13">
      <c r="C8293" s="94"/>
      <c r="E8293" s="94"/>
      <c r="G8293" s="94"/>
      <c r="I8293" s="94"/>
      <c r="K8293" s="94"/>
      <c r="M8293" s="94"/>
    </row>
    <row r="8294" s="93" customFormat="1" spans="3:13">
      <c r="C8294" s="94"/>
      <c r="E8294" s="94"/>
      <c r="G8294" s="94"/>
      <c r="I8294" s="94"/>
      <c r="K8294" s="94"/>
      <c r="M8294" s="94"/>
    </row>
    <row r="8295" s="93" customFormat="1" spans="3:13">
      <c r="C8295" s="94"/>
      <c r="E8295" s="94"/>
      <c r="G8295" s="94"/>
      <c r="I8295" s="94"/>
      <c r="K8295" s="94"/>
      <c r="M8295" s="94"/>
    </row>
    <row r="8296" s="93" customFormat="1" spans="3:13">
      <c r="C8296" s="94"/>
      <c r="E8296" s="94"/>
      <c r="G8296" s="94"/>
      <c r="I8296" s="94"/>
      <c r="K8296" s="94"/>
      <c r="M8296" s="94"/>
    </row>
    <row r="8297" s="93" customFormat="1" spans="3:13">
      <c r="C8297" s="94"/>
      <c r="E8297" s="94"/>
      <c r="G8297" s="94"/>
      <c r="I8297" s="94"/>
      <c r="K8297" s="94"/>
      <c r="M8297" s="94"/>
    </row>
    <row r="8298" s="93" customFormat="1" spans="3:13">
      <c r="C8298" s="94"/>
      <c r="E8298" s="94"/>
      <c r="G8298" s="94"/>
      <c r="I8298" s="94"/>
      <c r="K8298" s="94"/>
      <c r="M8298" s="94"/>
    </row>
    <row r="8299" s="93" customFormat="1" spans="3:13">
      <c r="C8299" s="94"/>
      <c r="E8299" s="94"/>
      <c r="G8299" s="94"/>
      <c r="I8299" s="94"/>
      <c r="K8299" s="94"/>
      <c r="M8299" s="94"/>
    </row>
    <row r="8300" s="93" customFormat="1" spans="3:13">
      <c r="C8300" s="94"/>
      <c r="E8300" s="94"/>
      <c r="G8300" s="94"/>
      <c r="I8300" s="94"/>
      <c r="K8300" s="94"/>
      <c r="M8300" s="94"/>
    </row>
    <row r="8301" s="93" customFormat="1" spans="3:13">
      <c r="C8301" s="94"/>
      <c r="E8301" s="94"/>
      <c r="G8301" s="94"/>
      <c r="I8301" s="94"/>
      <c r="K8301" s="94"/>
      <c r="M8301" s="94"/>
    </row>
    <row r="8302" s="93" customFormat="1" spans="3:13">
      <c r="C8302" s="94"/>
      <c r="E8302" s="94"/>
      <c r="G8302" s="94"/>
      <c r="I8302" s="94"/>
      <c r="K8302" s="94"/>
      <c r="M8302" s="94"/>
    </row>
    <row r="8303" s="93" customFormat="1" spans="3:13">
      <c r="C8303" s="94"/>
      <c r="E8303" s="94"/>
      <c r="G8303" s="94"/>
      <c r="I8303" s="94"/>
      <c r="K8303" s="94"/>
      <c r="M8303" s="94"/>
    </row>
    <row r="8304" s="93" customFormat="1" spans="3:13">
      <c r="C8304" s="94"/>
      <c r="E8304" s="94"/>
      <c r="G8304" s="94"/>
      <c r="I8304" s="94"/>
      <c r="K8304" s="94"/>
      <c r="M8304" s="94"/>
    </row>
    <row r="8305" s="93" customFormat="1" spans="3:13">
      <c r="C8305" s="94"/>
      <c r="E8305" s="94"/>
      <c r="G8305" s="94"/>
      <c r="I8305" s="94"/>
      <c r="K8305" s="94"/>
      <c r="M8305" s="94"/>
    </row>
    <row r="8306" s="93" customFormat="1" spans="3:13">
      <c r="C8306" s="94"/>
      <c r="E8306" s="94"/>
      <c r="G8306" s="94"/>
      <c r="I8306" s="94"/>
      <c r="K8306" s="94"/>
      <c r="M8306" s="94"/>
    </row>
    <row r="8307" s="93" customFormat="1" spans="3:13">
      <c r="C8307" s="94"/>
      <c r="E8307" s="94"/>
      <c r="G8307" s="94"/>
      <c r="I8307" s="94"/>
      <c r="K8307" s="94"/>
      <c r="M8307" s="94"/>
    </row>
    <row r="8308" s="93" customFormat="1" spans="3:13">
      <c r="C8308" s="94"/>
      <c r="E8308" s="94"/>
      <c r="G8308" s="94"/>
      <c r="I8308" s="94"/>
      <c r="K8308" s="94"/>
      <c r="M8308" s="94"/>
    </row>
    <row r="8309" s="93" customFormat="1" spans="3:13">
      <c r="C8309" s="94"/>
      <c r="E8309" s="94"/>
      <c r="G8309" s="94"/>
      <c r="I8309" s="94"/>
      <c r="K8309" s="94"/>
      <c r="M8309" s="94"/>
    </row>
    <row r="8310" s="93" customFormat="1" spans="3:13">
      <c r="C8310" s="94"/>
      <c r="E8310" s="94"/>
      <c r="G8310" s="94"/>
      <c r="I8310" s="94"/>
      <c r="K8310" s="94"/>
      <c r="M8310" s="94"/>
    </row>
    <row r="8311" s="93" customFormat="1" spans="3:13">
      <c r="C8311" s="94"/>
      <c r="E8311" s="94"/>
      <c r="G8311" s="94"/>
      <c r="I8311" s="94"/>
      <c r="K8311" s="94"/>
      <c r="M8311" s="94"/>
    </row>
    <row r="8312" s="93" customFormat="1" spans="3:13">
      <c r="C8312" s="94"/>
      <c r="E8312" s="94"/>
      <c r="G8312" s="94"/>
      <c r="I8312" s="94"/>
      <c r="K8312" s="94"/>
      <c r="M8312" s="94"/>
    </row>
    <row r="8313" s="93" customFormat="1" spans="3:13">
      <c r="C8313" s="94"/>
      <c r="E8313" s="94"/>
      <c r="G8313" s="94"/>
      <c r="I8313" s="94"/>
      <c r="K8313" s="94"/>
      <c r="M8313" s="94"/>
    </row>
    <row r="8314" s="93" customFormat="1" spans="3:13">
      <c r="C8314" s="94"/>
      <c r="E8314" s="94"/>
      <c r="G8314" s="94"/>
      <c r="I8314" s="94"/>
      <c r="K8314" s="94"/>
      <c r="M8314" s="94"/>
    </row>
    <row r="8315" s="93" customFormat="1" spans="3:13">
      <c r="C8315" s="94"/>
      <c r="E8315" s="94"/>
      <c r="G8315" s="94"/>
      <c r="I8315" s="94"/>
      <c r="K8315" s="94"/>
      <c r="M8315" s="94"/>
    </row>
    <row r="8316" s="93" customFormat="1" spans="3:13">
      <c r="C8316" s="94"/>
      <c r="E8316" s="94"/>
      <c r="G8316" s="94"/>
      <c r="I8316" s="94"/>
      <c r="K8316" s="94"/>
      <c r="M8316" s="94"/>
    </row>
    <row r="8317" s="93" customFormat="1" spans="3:13">
      <c r="C8317" s="94"/>
      <c r="E8317" s="94"/>
      <c r="G8317" s="94"/>
      <c r="I8317" s="94"/>
      <c r="K8317" s="94"/>
      <c r="M8317" s="94"/>
    </row>
    <row r="8318" s="93" customFormat="1" spans="3:13">
      <c r="C8318" s="94"/>
      <c r="E8318" s="94"/>
      <c r="G8318" s="94"/>
      <c r="I8318" s="94"/>
      <c r="K8318" s="94"/>
      <c r="M8318" s="94"/>
    </row>
    <row r="8319" s="93" customFormat="1" spans="3:13">
      <c r="C8319" s="94"/>
      <c r="E8319" s="94"/>
      <c r="G8319" s="94"/>
      <c r="I8319" s="94"/>
      <c r="K8319" s="94"/>
      <c r="M8319" s="94"/>
    </row>
    <row r="8320" s="93" customFormat="1" spans="3:13">
      <c r="C8320" s="94"/>
      <c r="E8320" s="94"/>
      <c r="G8320" s="94"/>
      <c r="I8320" s="94"/>
      <c r="K8320" s="94"/>
      <c r="M8320" s="94"/>
    </row>
    <row r="8321" s="93" customFormat="1" spans="3:13">
      <c r="C8321" s="94"/>
      <c r="E8321" s="94"/>
      <c r="G8321" s="94"/>
      <c r="I8321" s="94"/>
      <c r="K8321" s="94"/>
      <c r="M8321" s="94"/>
    </row>
    <row r="8322" s="93" customFormat="1" spans="3:13">
      <c r="C8322" s="94"/>
      <c r="E8322" s="94"/>
      <c r="G8322" s="94"/>
      <c r="I8322" s="94"/>
      <c r="K8322" s="94"/>
      <c r="M8322" s="94"/>
    </row>
    <row r="8323" s="93" customFormat="1" spans="3:13">
      <c r="C8323" s="94"/>
      <c r="E8323" s="94"/>
      <c r="G8323" s="94"/>
      <c r="I8323" s="94"/>
      <c r="K8323" s="94"/>
      <c r="M8323" s="94"/>
    </row>
    <row r="8324" s="93" customFormat="1" spans="3:13">
      <c r="C8324" s="94"/>
      <c r="E8324" s="94"/>
      <c r="G8324" s="94"/>
      <c r="I8324" s="94"/>
      <c r="K8324" s="94"/>
      <c r="M8324" s="94"/>
    </row>
    <row r="8325" s="93" customFormat="1" spans="3:13">
      <c r="C8325" s="94"/>
      <c r="E8325" s="94"/>
      <c r="G8325" s="94"/>
      <c r="I8325" s="94"/>
      <c r="K8325" s="94"/>
      <c r="M8325" s="94"/>
    </row>
    <row r="8326" s="93" customFormat="1" spans="3:13">
      <c r="C8326" s="94"/>
      <c r="E8326" s="94"/>
      <c r="G8326" s="94"/>
      <c r="I8326" s="94"/>
      <c r="K8326" s="94"/>
      <c r="M8326" s="94"/>
    </row>
    <row r="8327" s="93" customFormat="1" spans="3:13">
      <c r="C8327" s="94"/>
      <c r="E8327" s="94"/>
      <c r="G8327" s="94"/>
      <c r="I8327" s="94"/>
      <c r="K8327" s="94"/>
      <c r="M8327" s="94"/>
    </row>
    <row r="8328" s="93" customFormat="1" spans="3:13">
      <c r="C8328" s="94"/>
      <c r="E8328" s="94"/>
      <c r="G8328" s="94"/>
      <c r="I8328" s="94"/>
      <c r="K8328" s="94"/>
      <c r="M8328" s="94"/>
    </row>
    <row r="8329" s="93" customFormat="1" spans="3:13">
      <c r="C8329" s="94"/>
      <c r="E8329" s="94"/>
      <c r="G8329" s="94"/>
      <c r="I8329" s="94"/>
      <c r="K8329" s="94"/>
      <c r="M8329" s="94"/>
    </row>
    <row r="8330" s="93" customFormat="1" spans="3:13">
      <c r="C8330" s="94"/>
      <c r="E8330" s="94"/>
      <c r="G8330" s="94"/>
      <c r="I8330" s="94"/>
      <c r="K8330" s="94"/>
      <c r="M8330" s="94"/>
    </row>
    <row r="8331" s="93" customFormat="1" spans="3:13">
      <c r="C8331" s="94"/>
      <c r="E8331" s="94"/>
      <c r="G8331" s="94"/>
      <c r="I8331" s="94"/>
      <c r="K8331" s="94"/>
      <c r="M8331" s="94"/>
    </row>
    <row r="8332" s="93" customFormat="1" spans="3:13">
      <c r="C8332" s="94"/>
      <c r="E8332" s="94"/>
      <c r="G8332" s="94"/>
      <c r="I8332" s="94"/>
      <c r="K8332" s="94"/>
      <c r="M8332" s="94"/>
    </row>
    <row r="8333" s="93" customFormat="1" spans="3:13">
      <c r="C8333" s="94"/>
      <c r="E8333" s="94"/>
      <c r="G8333" s="94"/>
      <c r="I8333" s="94"/>
      <c r="K8333" s="94"/>
      <c r="M8333" s="94"/>
    </row>
    <row r="8334" s="93" customFormat="1" spans="3:13">
      <c r="C8334" s="94"/>
      <c r="E8334" s="94"/>
      <c r="G8334" s="94"/>
      <c r="I8334" s="94"/>
      <c r="K8334" s="94"/>
      <c r="M8334" s="94"/>
    </row>
    <row r="8335" s="93" customFormat="1" spans="3:13">
      <c r="C8335" s="94"/>
      <c r="E8335" s="94"/>
      <c r="G8335" s="94"/>
      <c r="I8335" s="94"/>
      <c r="K8335" s="94"/>
      <c r="M8335" s="94"/>
    </row>
    <row r="8336" s="93" customFormat="1" spans="3:13">
      <c r="C8336" s="94"/>
      <c r="E8336" s="94"/>
      <c r="G8336" s="94"/>
      <c r="I8336" s="94"/>
      <c r="K8336" s="94"/>
      <c r="M8336" s="94"/>
    </row>
    <row r="8337" s="93" customFormat="1" spans="3:13">
      <c r="C8337" s="94"/>
      <c r="E8337" s="94"/>
      <c r="G8337" s="94"/>
      <c r="I8337" s="94"/>
      <c r="K8337" s="94"/>
      <c r="M8337" s="94"/>
    </row>
    <row r="8338" s="93" customFormat="1" spans="3:13">
      <c r="C8338" s="94"/>
      <c r="E8338" s="94"/>
      <c r="G8338" s="94"/>
      <c r="I8338" s="94"/>
      <c r="K8338" s="94"/>
      <c r="M8338" s="94"/>
    </row>
    <row r="8339" s="93" customFormat="1" spans="3:13">
      <c r="C8339" s="94"/>
      <c r="E8339" s="94"/>
      <c r="G8339" s="94"/>
      <c r="I8339" s="94"/>
      <c r="K8339" s="94"/>
      <c r="M8339" s="94"/>
    </row>
    <row r="8340" s="93" customFormat="1" spans="3:13">
      <c r="C8340" s="94"/>
      <c r="E8340" s="94"/>
      <c r="G8340" s="94"/>
      <c r="I8340" s="94"/>
      <c r="K8340" s="94"/>
      <c r="M8340" s="94"/>
    </row>
    <row r="8341" s="93" customFormat="1" spans="3:13">
      <c r="C8341" s="94"/>
      <c r="E8341" s="94"/>
      <c r="G8341" s="94"/>
      <c r="I8341" s="94"/>
      <c r="K8341" s="94"/>
      <c r="M8341" s="94"/>
    </row>
    <row r="8342" s="93" customFormat="1" spans="3:13">
      <c r="C8342" s="94"/>
      <c r="E8342" s="94"/>
      <c r="G8342" s="94"/>
      <c r="I8342" s="94"/>
      <c r="K8342" s="94"/>
      <c r="M8342" s="94"/>
    </row>
    <row r="8343" s="93" customFormat="1" spans="3:13">
      <c r="C8343" s="94"/>
      <c r="E8343" s="94"/>
      <c r="G8343" s="94"/>
      <c r="I8343" s="94"/>
      <c r="K8343" s="94"/>
      <c r="M8343" s="94"/>
    </row>
    <row r="8344" s="93" customFormat="1" spans="3:13">
      <c r="C8344" s="94"/>
      <c r="E8344" s="94"/>
      <c r="G8344" s="94"/>
      <c r="I8344" s="94"/>
      <c r="K8344" s="94"/>
      <c r="M8344" s="94"/>
    </row>
    <row r="8345" s="93" customFormat="1" spans="3:13">
      <c r="C8345" s="94"/>
      <c r="E8345" s="94"/>
      <c r="G8345" s="94"/>
      <c r="I8345" s="94"/>
      <c r="K8345" s="94"/>
      <c r="M8345" s="94"/>
    </row>
    <row r="8346" s="93" customFormat="1" spans="3:13">
      <c r="C8346" s="94"/>
      <c r="E8346" s="94"/>
      <c r="G8346" s="94"/>
      <c r="I8346" s="94"/>
      <c r="K8346" s="94"/>
      <c r="M8346" s="94"/>
    </row>
    <row r="8347" s="93" customFormat="1" spans="3:13">
      <c r="C8347" s="94"/>
      <c r="E8347" s="94"/>
      <c r="G8347" s="94"/>
      <c r="I8347" s="94"/>
      <c r="K8347" s="94"/>
      <c r="M8347" s="94"/>
    </row>
    <row r="8348" s="93" customFormat="1" spans="3:13">
      <c r="C8348" s="94"/>
      <c r="E8348" s="94"/>
      <c r="G8348" s="94"/>
      <c r="I8348" s="94"/>
      <c r="K8348" s="94"/>
      <c r="M8348" s="94"/>
    </row>
    <row r="8349" s="93" customFormat="1" spans="3:13">
      <c r="C8349" s="94"/>
      <c r="E8349" s="94"/>
      <c r="G8349" s="94"/>
      <c r="I8349" s="94"/>
      <c r="K8349" s="94"/>
      <c r="M8349" s="94"/>
    </row>
    <row r="8350" s="93" customFormat="1" spans="3:13">
      <c r="C8350" s="94"/>
      <c r="E8350" s="94"/>
      <c r="G8350" s="94"/>
      <c r="I8350" s="94"/>
      <c r="K8350" s="94"/>
      <c r="M8350" s="94"/>
    </row>
    <row r="8351" s="93" customFormat="1" spans="3:13">
      <c r="C8351" s="94"/>
      <c r="E8351" s="94"/>
      <c r="G8351" s="94"/>
      <c r="I8351" s="94"/>
      <c r="K8351" s="94"/>
      <c r="M8351" s="94"/>
    </row>
    <row r="8352" s="93" customFormat="1" spans="3:13">
      <c r="C8352" s="94"/>
      <c r="E8352" s="94"/>
      <c r="G8352" s="94"/>
      <c r="I8352" s="94"/>
      <c r="K8352" s="94"/>
      <c r="M8352" s="94"/>
    </row>
    <row r="8353" s="93" customFormat="1" spans="3:13">
      <c r="C8353" s="94"/>
      <c r="E8353" s="94"/>
      <c r="G8353" s="94"/>
      <c r="I8353" s="94"/>
      <c r="K8353" s="94"/>
      <c r="M8353" s="94"/>
    </row>
    <row r="8354" s="93" customFormat="1" spans="3:13">
      <c r="C8354" s="94"/>
      <c r="E8354" s="94"/>
      <c r="G8354" s="94"/>
      <c r="I8354" s="94"/>
      <c r="K8354" s="94"/>
      <c r="M8354" s="94"/>
    </row>
    <row r="8355" s="93" customFormat="1" spans="3:13">
      <c r="C8355" s="94"/>
      <c r="E8355" s="94"/>
      <c r="G8355" s="94"/>
      <c r="I8355" s="94"/>
      <c r="K8355" s="94"/>
      <c r="M8355" s="94"/>
    </row>
    <row r="8356" s="93" customFormat="1" spans="3:13">
      <c r="C8356" s="94"/>
      <c r="E8356" s="94"/>
      <c r="G8356" s="94"/>
      <c r="I8356" s="94"/>
      <c r="K8356" s="94"/>
      <c r="M8356" s="94"/>
    </row>
    <row r="8357" s="93" customFormat="1" spans="3:13">
      <c r="C8357" s="94"/>
      <c r="E8357" s="94"/>
      <c r="G8357" s="94"/>
      <c r="I8357" s="94"/>
      <c r="K8357" s="94"/>
      <c r="M8357" s="94"/>
    </row>
    <row r="8358" s="93" customFormat="1" spans="3:13">
      <c r="C8358" s="94"/>
      <c r="E8358" s="94"/>
      <c r="G8358" s="94"/>
      <c r="I8358" s="94"/>
      <c r="K8358" s="94"/>
      <c r="M8358" s="94"/>
    </row>
    <row r="8359" s="93" customFormat="1" spans="3:13">
      <c r="C8359" s="94"/>
      <c r="E8359" s="94"/>
      <c r="G8359" s="94"/>
      <c r="I8359" s="94"/>
      <c r="K8359" s="94"/>
      <c r="M8359" s="94"/>
    </row>
    <row r="8360" s="93" customFormat="1" spans="3:13">
      <c r="C8360" s="94"/>
      <c r="E8360" s="94"/>
      <c r="G8360" s="94"/>
      <c r="I8360" s="94"/>
      <c r="K8360" s="94"/>
      <c r="M8360" s="94"/>
    </row>
    <row r="8361" s="93" customFormat="1" spans="3:13">
      <c r="C8361" s="94"/>
      <c r="E8361" s="94"/>
      <c r="G8361" s="94"/>
      <c r="I8361" s="94"/>
      <c r="K8361" s="94"/>
      <c r="M8361" s="94"/>
    </row>
    <row r="8362" s="93" customFormat="1" spans="3:13">
      <c r="C8362" s="94"/>
      <c r="E8362" s="94"/>
      <c r="G8362" s="94"/>
      <c r="I8362" s="94"/>
      <c r="K8362" s="94"/>
      <c r="M8362" s="94"/>
    </row>
    <row r="8363" s="93" customFormat="1" spans="3:13">
      <c r="C8363" s="94"/>
      <c r="E8363" s="94"/>
      <c r="G8363" s="94"/>
      <c r="I8363" s="94"/>
      <c r="K8363" s="94"/>
      <c r="M8363" s="94"/>
    </row>
    <row r="8364" s="93" customFormat="1" spans="3:13">
      <c r="C8364" s="94"/>
      <c r="E8364" s="94"/>
      <c r="G8364" s="94"/>
      <c r="I8364" s="94"/>
      <c r="K8364" s="94"/>
      <c r="M8364" s="94"/>
    </row>
    <row r="8365" s="93" customFormat="1" spans="3:13">
      <c r="C8365" s="94"/>
      <c r="E8365" s="94"/>
      <c r="G8365" s="94"/>
      <c r="I8365" s="94"/>
      <c r="K8365" s="94"/>
      <c r="M8365" s="94"/>
    </row>
    <row r="8366" s="93" customFormat="1" spans="3:13">
      <c r="C8366" s="94"/>
      <c r="E8366" s="94"/>
      <c r="G8366" s="94"/>
      <c r="I8366" s="94"/>
      <c r="K8366" s="94"/>
      <c r="M8366" s="94"/>
    </row>
    <row r="8367" s="93" customFormat="1" spans="3:13">
      <c r="C8367" s="94"/>
      <c r="E8367" s="94"/>
      <c r="G8367" s="94"/>
      <c r="I8367" s="94"/>
      <c r="K8367" s="94"/>
      <c r="M8367" s="94"/>
    </row>
    <row r="8368" s="93" customFormat="1" spans="3:13">
      <c r="C8368" s="94"/>
      <c r="E8368" s="94"/>
      <c r="G8368" s="94"/>
      <c r="I8368" s="94"/>
      <c r="K8368" s="94"/>
      <c r="M8368" s="94"/>
    </row>
    <row r="8369" s="93" customFormat="1" spans="3:13">
      <c r="C8369" s="94"/>
      <c r="E8369" s="94"/>
      <c r="G8369" s="94"/>
      <c r="I8369" s="94"/>
      <c r="K8369" s="94"/>
      <c r="M8369" s="94"/>
    </row>
    <row r="8370" s="93" customFormat="1" spans="3:13">
      <c r="C8370" s="94"/>
      <c r="E8370" s="94"/>
      <c r="G8370" s="94"/>
      <c r="I8370" s="94"/>
      <c r="K8370" s="94"/>
      <c r="M8370" s="94"/>
    </row>
    <row r="8371" s="93" customFormat="1" spans="3:13">
      <c r="C8371" s="94"/>
      <c r="E8371" s="94"/>
      <c r="G8371" s="94"/>
      <c r="I8371" s="94"/>
      <c r="K8371" s="94"/>
      <c r="M8371" s="94"/>
    </row>
    <row r="8372" s="93" customFormat="1" spans="3:13">
      <c r="C8372" s="94"/>
      <c r="E8372" s="94"/>
      <c r="G8372" s="94"/>
      <c r="I8372" s="94"/>
      <c r="K8372" s="94"/>
      <c r="M8372" s="94"/>
    </row>
    <row r="8373" s="93" customFormat="1" spans="3:13">
      <c r="C8373" s="94"/>
      <c r="E8373" s="94"/>
      <c r="G8373" s="94"/>
      <c r="I8373" s="94"/>
      <c r="K8373" s="94"/>
      <c r="M8373" s="94"/>
    </row>
    <row r="8374" s="93" customFormat="1" spans="3:13">
      <c r="C8374" s="94"/>
      <c r="E8374" s="94"/>
      <c r="G8374" s="94"/>
      <c r="I8374" s="94"/>
      <c r="K8374" s="94"/>
      <c r="M8374" s="94"/>
    </row>
    <row r="8375" s="93" customFormat="1" spans="3:13">
      <c r="C8375" s="94"/>
      <c r="E8375" s="94"/>
      <c r="G8375" s="94"/>
      <c r="I8375" s="94"/>
      <c r="K8375" s="94"/>
      <c r="M8375" s="94"/>
    </row>
    <row r="8376" s="93" customFormat="1" spans="3:13">
      <c r="C8376" s="94"/>
      <c r="E8376" s="94"/>
      <c r="G8376" s="94"/>
      <c r="I8376" s="94"/>
      <c r="K8376" s="94"/>
      <c r="M8376" s="94"/>
    </row>
    <row r="8377" s="93" customFormat="1" spans="3:13">
      <c r="C8377" s="94"/>
      <c r="E8377" s="94"/>
      <c r="G8377" s="94"/>
      <c r="I8377" s="94"/>
      <c r="K8377" s="94"/>
      <c r="M8377" s="94"/>
    </row>
    <row r="8378" s="93" customFormat="1" spans="3:13">
      <c r="C8378" s="94"/>
      <c r="E8378" s="94"/>
      <c r="G8378" s="94"/>
      <c r="I8378" s="94"/>
      <c r="K8378" s="94"/>
      <c r="M8378" s="94"/>
    </row>
    <row r="8379" s="93" customFormat="1" spans="3:13">
      <c r="C8379" s="94"/>
      <c r="E8379" s="94"/>
      <c r="G8379" s="94"/>
      <c r="I8379" s="94"/>
      <c r="K8379" s="94"/>
      <c r="M8379" s="94"/>
    </row>
    <row r="8380" s="93" customFormat="1" spans="3:13">
      <c r="C8380" s="94"/>
      <c r="E8380" s="94"/>
      <c r="G8380" s="94"/>
      <c r="I8380" s="94"/>
      <c r="K8380" s="94"/>
      <c r="M8380" s="94"/>
    </row>
    <row r="8381" s="93" customFormat="1" spans="3:13">
      <c r="C8381" s="94"/>
      <c r="E8381" s="94"/>
      <c r="G8381" s="94"/>
      <c r="I8381" s="94"/>
      <c r="K8381" s="94"/>
      <c r="M8381" s="94"/>
    </row>
    <row r="8382" s="93" customFormat="1" spans="3:13">
      <c r="C8382" s="94"/>
      <c r="E8382" s="94"/>
      <c r="G8382" s="94"/>
      <c r="I8382" s="94"/>
      <c r="K8382" s="94"/>
      <c r="M8382" s="94"/>
    </row>
    <row r="8383" s="93" customFormat="1" spans="3:13">
      <c r="C8383" s="94"/>
      <c r="E8383" s="94"/>
      <c r="G8383" s="94"/>
      <c r="I8383" s="94"/>
      <c r="K8383" s="94"/>
      <c r="M8383" s="94"/>
    </row>
    <row r="8384" s="93" customFormat="1" spans="3:13">
      <c r="C8384" s="94"/>
      <c r="E8384" s="94"/>
      <c r="G8384" s="94"/>
      <c r="I8384" s="94"/>
      <c r="K8384" s="94"/>
      <c r="M8384" s="94"/>
    </row>
    <row r="8385" s="93" customFormat="1" spans="3:13">
      <c r="C8385" s="94"/>
      <c r="E8385" s="94"/>
      <c r="G8385" s="94"/>
      <c r="I8385" s="94"/>
      <c r="K8385" s="94"/>
      <c r="M8385" s="94"/>
    </row>
    <row r="8386" s="93" customFormat="1" spans="3:13">
      <c r="C8386" s="94"/>
      <c r="E8386" s="94"/>
      <c r="G8386" s="94"/>
      <c r="I8386" s="94"/>
      <c r="K8386" s="94"/>
      <c r="M8386" s="94"/>
    </row>
    <row r="8387" s="93" customFormat="1" spans="3:13">
      <c r="C8387" s="94"/>
      <c r="E8387" s="94"/>
      <c r="G8387" s="94"/>
      <c r="I8387" s="94"/>
      <c r="K8387" s="94"/>
      <c r="M8387" s="94"/>
    </row>
    <row r="8388" s="93" customFormat="1" spans="3:13">
      <c r="C8388" s="94"/>
      <c r="E8388" s="94"/>
      <c r="G8388" s="94"/>
      <c r="I8388" s="94"/>
      <c r="K8388" s="94"/>
      <c r="M8388" s="94"/>
    </row>
    <row r="8389" s="93" customFormat="1" spans="3:13">
      <c r="C8389" s="94"/>
      <c r="E8389" s="94"/>
      <c r="G8389" s="94"/>
      <c r="I8389" s="94"/>
      <c r="K8389" s="94"/>
      <c r="M8389" s="94"/>
    </row>
    <row r="8390" s="93" customFormat="1" spans="3:13">
      <c r="C8390" s="94"/>
      <c r="E8390" s="94"/>
      <c r="G8390" s="94"/>
      <c r="I8390" s="94"/>
      <c r="K8390" s="94"/>
      <c r="M8390" s="94"/>
    </row>
    <row r="8391" s="93" customFormat="1" spans="3:13">
      <c r="C8391" s="94"/>
      <c r="E8391" s="94"/>
      <c r="G8391" s="94"/>
      <c r="I8391" s="94"/>
      <c r="K8391" s="94"/>
      <c r="M8391" s="94"/>
    </row>
    <row r="8392" s="93" customFormat="1" spans="3:13">
      <c r="C8392" s="94"/>
      <c r="E8392" s="94"/>
      <c r="G8392" s="94"/>
      <c r="I8392" s="94"/>
      <c r="K8392" s="94"/>
      <c r="M8392" s="94"/>
    </row>
    <row r="8393" s="93" customFormat="1" spans="3:13">
      <c r="C8393" s="94"/>
      <c r="E8393" s="94"/>
      <c r="G8393" s="94"/>
      <c r="I8393" s="94"/>
      <c r="K8393" s="94"/>
      <c r="M8393" s="94"/>
    </row>
    <row r="8394" s="93" customFormat="1" spans="3:13">
      <c r="C8394" s="94"/>
      <c r="E8394" s="94"/>
      <c r="G8394" s="94"/>
      <c r="I8394" s="94"/>
      <c r="K8394" s="94"/>
      <c r="M8394" s="94"/>
    </row>
    <row r="8395" s="93" customFormat="1" spans="3:13">
      <c r="C8395" s="94"/>
      <c r="E8395" s="94"/>
      <c r="G8395" s="94"/>
      <c r="I8395" s="94"/>
      <c r="K8395" s="94"/>
      <c r="M8395" s="94"/>
    </row>
    <row r="8396" s="93" customFormat="1" spans="3:13">
      <c r="C8396" s="94"/>
      <c r="E8396" s="94"/>
      <c r="G8396" s="94"/>
      <c r="I8396" s="94"/>
      <c r="K8396" s="94"/>
      <c r="M8396" s="94"/>
    </row>
    <row r="8397" s="93" customFormat="1" spans="3:13">
      <c r="C8397" s="94"/>
      <c r="E8397" s="94"/>
      <c r="G8397" s="94"/>
      <c r="I8397" s="94"/>
      <c r="K8397" s="94"/>
      <c r="M8397" s="94"/>
    </row>
    <row r="8398" s="93" customFormat="1" spans="3:13">
      <c r="C8398" s="94"/>
      <c r="E8398" s="94"/>
      <c r="G8398" s="94"/>
      <c r="I8398" s="94"/>
      <c r="K8398" s="94"/>
      <c r="M8398" s="94"/>
    </row>
    <row r="8399" s="93" customFormat="1" spans="3:13">
      <c r="C8399" s="94"/>
      <c r="E8399" s="94"/>
      <c r="G8399" s="94"/>
      <c r="I8399" s="94"/>
      <c r="K8399" s="94"/>
      <c r="M8399" s="94"/>
    </row>
    <row r="8400" s="93" customFormat="1" spans="3:13">
      <c r="C8400" s="94"/>
      <c r="E8400" s="94"/>
      <c r="G8400" s="94"/>
      <c r="I8400" s="94"/>
      <c r="K8400" s="94"/>
      <c r="M8400" s="94"/>
    </row>
    <row r="8401" s="93" customFormat="1" spans="3:13">
      <c r="C8401" s="94"/>
      <c r="E8401" s="94"/>
      <c r="G8401" s="94"/>
      <c r="I8401" s="94"/>
      <c r="K8401" s="94"/>
      <c r="M8401" s="94"/>
    </row>
    <row r="8402" s="93" customFormat="1" spans="3:13">
      <c r="C8402" s="94"/>
      <c r="E8402" s="94"/>
      <c r="G8402" s="94"/>
      <c r="I8402" s="94"/>
      <c r="K8402" s="94"/>
      <c r="M8402" s="94"/>
    </row>
    <row r="8403" s="93" customFormat="1" spans="3:13">
      <c r="C8403" s="94"/>
      <c r="E8403" s="94"/>
      <c r="G8403" s="94"/>
      <c r="I8403" s="94"/>
      <c r="K8403" s="94"/>
      <c r="M8403" s="94"/>
    </row>
    <row r="8404" s="93" customFormat="1" spans="3:13">
      <c r="C8404" s="94"/>
      <c r="E8404" s="94"/>
      <c r="G8404" s="94"/>
      <c r="I8404" s="94"/>
      <c r="K8404" s="94"/>
      <c r="M8404" s="94"/>
    </row>
    <row r="8405" s="93" customFormat="1" spans="3:13">
      <c r="C8405" s="94"/>
      <c r="E8405" s="94"/>
      <c r="G8405" s="94"/>
      <c r="I8405" s="94"/>
      <c r="K8405" s="94"/>
      <c r="M8405" s="94"/>
    </row>
    <row r="8406" s="93" customFormat="1" spans="3:13">
      <c r="C8406" s="94"/>
      <c r="E8406" s="94"/>
      <c r="G8406" s="94"/>
      <c r="I8406" s="94"/>
      <c r="K8406" s="94"/>
      <c r="M8406" s="94"/>
    </row>
    <row r="8407" s="93" customFormat="1" spans="3:13">
      <c r="C8407" s="94"/>
      <c r="E8407" s="94"/>
      <c r="G8407" s="94"/>
      <c r="I8407" s="94"/>
      <c r="K8407" s="94"/>
      <c r="M8407" s="94"/>
    </row>
    <row r="8408" s="93" customFormat="1" spans="3:13">
      <c r="C8408" s="94"/>
      <c r="E8408" s="94"/>
      <c r="G8408" s="94"/>
      <c r="I8408" s="94"/>
      <c r="K8408" s="94"/>
      <c r="M8408" s="94"/>
    </row>
    <row r="8409" s="93" customFormat="1" spans="3:13">
      <c r="C8409" s="94"/>
      <c r="E8409" s="94"/>
      <c r="G8409" s="94"/>
      <c r="I8409" s="94"/>
      <c r="K8409" s="94"/>
      <c r="M8409" s="94"/>
    </row>
    <row r="8410" s="93" customFormat="1" spans="3:13">
      <c r="C8410" s="94"/>
      <c r="E8410" s="94"/>
      <c r="G8410" s="94"/>
      <c r="I8410" s="94"/>
      <c r="K8410" s="94"/>
      <c r="M8410" s="94"/>
    </row>
    <row r="8411" s="93" customFormat="1" spans="3:13">
      <c r="C8411" s="94"/>
      <c r="E8411" s="94"/>
      <c r="G8411" s="94"/>
      <c r="I8411" s="94"/>
      <c r="K8411" s="94"/>
      <c r="M8411" s="94"/>
    </row>
    <row r="8412" s="93" customFormat="1" spans="3:13">
      <c r="C8412" s="94"/>
      <c r="E8412" s="94"/>
      <c r="G8412" s="94"/>
      <c r="I8412" s="94"/>
      <c r="K8412" s="94"/>
      <c r="M8412" s="94"/>
    </row>
    <row r="8413" s="93" customFormat="1" spans="3:13">
      <c r="C8413" s="94"/>
      <c r="E8413" s="94"/>
      <c r="G8413" s="94"/>
      <c r="I8413" s="94"/>
      <c r="K8413" s="94"/>
      <c r="M8413" s="94"/>
    </row>
    <row r="8414" s="93" customFormat="1" spans="3:13">
      <c r="C8414" s="94"/>
      <c r="E8414" s="94"/>
      <c r="G8414" s="94"/>
      <c r="I8414" s="94"/>
      <c r="K8414" s="94"/>
      <c r="M8414" s="94"/>
    </row>
    <row r="8415" s="93" customFormat="1" spans="3:13">
      <c r="C8415" s="94"/>
      <c r="E8415" s="94"/>
      <c r="G8415" s="94"/>
      <c r="I8415" s="94"/>
      <c r="K8415" s="94"/>
      <c r="M8415" s="94"/>
    </row>
    <row r="8416" s="93" customFormat="1" spans="3:13">
      <c r="C8416" s="94"/>
      <c r="E8416" s="94"/>
      <c r="G8416" s="94"/>
      <c r="I8416" s="94"/>
      <c r="K8416" s="94"/>
      <c r="M8416" s="94"/>
    </row>
    <row r="8417" s="93" customFormat="1" spans="3:13">
      <c r="C8417" s="94"/>
      <c r="E8417" s="94"/>
      <c r="G8417" s="94"/>
      <c r="I8417" s="94"/>
      <c r="K8417" s="94"/>
      <c r="M8417" s="94"/>
    </row>
    <row r="8418" s="93" customFormat="1" spans="3:13">
      <c r="C8418" s="94"/>
      <c r="E8418" s="94"/>
      <c r="G8418" s="94"/>
      <c r="I8418" s="94"/>
      <c r="K8418" s="94"/>
      <c r="M8418" s="94"/>
    </row>
    <row r="8419" s="93" customFormat="1" spans="3:13">
      <c r="C8419" s="94"/>
      <c r="E8419" s="94"/>
      <c r="G8419" s="94"/>
      <c r="I8419" s="94"/>
      <c r="K8419" s="94"/>
      <c r="M8419" s="94"/>
    </row>
    <row r="8420" s="93" customFormat="1" spans="3:13">
      <c r="C8420" s="94"/>
      <c r="E8420" s="94"/>
      <c r="G8420" s="94"/>
      <c r="I8420" s="94"/>
      <c r="K8420" s="94"/>
      <c r="M8420" s="94"/>
    </row>
    <row r="8421" s="93" customFormat="1" spans="3:13">
      <c r="C8421" s="94"/>
      <c r="E8421" s="94"/>
      <c r="G8421" s="94"/>
      <c r="I8421" s="94"/>
      <c r="K8421" s="94"/>
      <c r="M8421" s="94"/>
    </row>
    <row r="8422" s="93" customFormat="1" spans="3:13">
      <c r="C8422" s="94"/>
      <c r="E8422" s="94"/>
      <c r="G8422" s="94"/>
      <c r="I8422" s="94"/>
      <c r="K8422" s="94"/>
      <c r="M8422" s="94"/>
    </row>
    <row r="8423" s="93" customFormat="1" spans="3:13">
      <c r="C8423" s="94"/>
      <c r="E8423" s="94"/>
      <c r="G8423" s="94"/>
      <c r="I8423" s="94"/>
      <c r="K8423" s="94"/>
      <c r="M8423" s="94"/>
    </row>
    <row r="8424" s="93" customFormat="1" spans="3:13">
      <c r="C8424" s="94"/>
      <c r="E8424" s="94"/>
      <c r="G8424" s="94"/>
      <c r="I8424" s="94"/>
      <c r="K8424" s="94"/>
      <c r="M8424" s="94"/>
    </row>
    <row r="8425" s="93" customFormat="1" spans="3:13">
      <c r="C8425" s="94"/>
      <c r="E8425" s="94"/>
      <c r="G8425" s="94"/>
      <c r="I8425" s="94"/>
      <c r="K8425" s="94"/>
      <c r="M8425" s="94"/>
    </row>
    <row r="8426" s="93" customFormat="1" spans="3:13">
      <c r="C8426" s="94"/>
      <c r="E8426" s="94"/>
      <c r="G8426" s="94"/>
      <c r="I8426" s="94"/>
      <c r="K8426" s="94"/>
      <c r="M8426" s="94"/>
    </row>
    <row r="8427" s="93" customFormat="1" spans="3:13">
      <c r="C8427" s="94"/>
      <c r="E8427" s="94"/>
      <c r="G8427" s="94"/>
      <c r="I8427" s="94"/>
      <c r="K8427" s="94"/>
      <c r="M8427" s="94"/>
    </row>
    <row r="8428" s="93" customFormat="1" spans="3:13">
      <c r="C8428" s="94"/>
      <c r="E8428" s="94"/>
      <c r="G8428" s="94"/>
      <c r="I8428" s="94"/>
      <c r="K8428" s="94"/>
      <c r="M8428" s="94"/>
    </row>
    <row r="8429" s="93" customFormat="1" spans="3:13">
      <c r="C8429" s="94"/>
      <c r="E8429" s="94"/>
      <c r="G8429" s="94"/>
      <c r="I8429" s="94"/>
      <c r="K8429" s="94"/>
      <c r="M8429" s="94"/>
    </row>
    <row r="8430" s="93" customFormat="1" spans="3:13">
      <c r="C8430" s="94"/>
      <c r="E8430" s="94"/>
      <c r="G8430" s="94"/>
      <c r="I8430" s="94"/>
      <c r="K8430" s="94"/>
      <c r="M8430" s="94"/>
    </row>
    <row r="8431" s="93" customFormat="1" spans="3:13">
      <c r="C8431" s="94"/>
      <c r="E8431" s="94"/>
      <c r="G8431" s="94"/>
      <c r="I8431" s="94"/>
      <c r="K8431" s="94"/>
      <c r="M8431" s="94"/>
    </row>
    <row r="8432" s="93" customFormat="1" spans="3:13">
      <c r="C8432" s="94"/>
      <c r="E8432" s="94"/>
      <c r="G8432" s="94"/>
      <c r="I8432" s="94"/>
      <c r="K8432" s="94"/>
      <c r="M8432" s="94"/>
    </row>
    <row r="8433" s="93" customFormat="1" spans="3:13">
      <c r="C8433" s="94"/>
      <c r="E8433" s="94"/>
      <c r="G8433" s="94"/>
      <c r="I8433" s="94"/>
      <c r="K8433" s="94"/>
      <c r="M8433" s="94"/>
    </row>
    <row r="8434" s="93" customFormat="1" spans="3:13">
      <c r="C8434" s="94"/>
      <c r="E8434" s="94"/>
      <c r="G8434" s="94"/>
      <c r="I8434" s="94"/>
      <c r="K8434" s="94"/>
      <c r="M8434" s="94"/>
    </row>
    <row r="8435" s="93" customFormat="1" spans="3:13">
      <c r="C8435" s="94"/>
      <c r="E8435" s="94"/>
      <c r="G8435" s="94"/>
      <c r="I8435" s="94"/>
      <c r="K8435" s="94"/>
      <c r="M8435" s="94"/>
    </row>
    <row r="8436" s="93" customFormat="1" spans="3:13">
      <c r="C8436" s="94"/>
      <c r="E8436" s="94"/>
      <c r="G8436" s="94"/>
      <c r="I8436" s="94"/>
      <c r="K8436" s="94"/>
      <c r="M8436" s="94"/>
    </row>
    <row r="8437" s="93" customFormat="1" spans="3:13">
      <c r="C8437" s="94"/>
      <c r="E8437" s="94"/>
      <c r="G8437" s="94"/>
      <c r="I8437" s="94"/>
      <c r="K8437" s="94"/>
      <c r="M8437" s="94"/>
    </row>
    <row r="8438" s="93" customFormat="1" spans="3:13">
      <c r="C8438" s="94"/>
      <c r="E8438" s="94"/>
      <c r="G8438" s="94"/>
      <c r="I8438" s="94"/>
      <c r="K8438" s="94"/>
      <c r="M8438" s="94"/>
    </row>
    <row r="8439" s="93" customFormat="1" spans="3:13">
      <c r="C8439" s="94"/>
      <c r="E8439" s="94"/>
      <c r="G8439" s="94"/>
      <c r="I8439" s="94"/>
      <c r="K8439" s="94"/>
      <c r="M8439" s="94"/>
    </row>
    <row r="8440" s="93" customFormat="1" spans="3:13">
      <c r="C8440" s="94"/>
      <c r="E8440" s="94"/>
      <c r="G8440" s="94"/>
      <c r="I8440" s="94"/>
      <c r="K8440" s="94"/>
      <c r="M8440" s="94"/>
    </row>
    <row r="8441" s="93" customFormat="1" spans="3:13">
      <c r="C8441" s="94"/>
      <c r="E8441" s="94"/>
      <c r="G8441" s="94"/>
      <c r="I8441" s="94"/>
      <c r="K8441" s="94"/>
      <c r="M8441" s="94"/>
    </row>
    <row r="8442" s="93" customFormat="1" spans="3:13">
      <c r="C8442" s="94"/>
      <c r="E8442" s="94"/>
      <c r="G8442" s="94"/>
      <c r="I8442" s="94"/>
      <c r="K8442" s="94"/>
      <c r="M8442" s="94"/>
    </row>
    <row r="8443" s="93" customFormat="1" spans="3:13">
      <c r="C8443" s="94"/>
      <c r="E8443" s="94"/>
      <c r="G8443" s="94"/>
      <c r="I8443" s="94"/>
      <c r="K8443" s="94"/>
      <c r="M8443" s="94"/>
    </row>
    <row r="8444" s="93" customFormat="1" spans="3:13">
      <c r="C8444" s="94"/>
      <c r="E8444" s="94"/>
      <c r="G8444" s="94"/>
      <c r="I8444" s="94"/>
      <c r="K8444" s="94"/>
      <c r="M8444" s="94"/>
    </row>
    <row r="8445" s="93" customFormat="1" spans="3:13">
      <c r="C8445" s="94"/>
      <c r="E8445" s="94"/>
      <c r="G8445" s="94"/>
      <c r="I8445" s="94"/>
      <c r="K8445" s="94"/>
      <c r="M8445" s="94"/>
    </row>
    <row r="8446" s="93" customFormat="1" spans="3:13">
      <c r="C8446" s="94"/>
      <c r="E8446" s="94"/>
      <c r="G8446" s="94"/>
      <c r="I8446" s="94"/>
      <c r="K8446" s="94"/>
      <c r="M8446" s="94"/>
    </row>
    <row r="8447" s="93" customFormat="1" spans="3:13">
      <c r="C8447" s="94"/>
      <c r="E8447" s="94"/>
      <c r="G8447" s="94"/>
      <c r="I8447" s="94"/>
      <c r="K8447" s="94"/>
      <c r="M8447" s="94"/>
    </row>
    <row r="8448" s="93" customFormat="1" spans="3:13">
      <c r="C8448" s="94"/>
      <c r="E8448" s="94"/>
      <c r="G8448" s="94"/>
      <c r="I8448" s="94"/>
      <c r="K8448" s="94"/>
      <c r="M8448" s="94"/>
    </row>
    <row r="8449" s="93" customFormat="1" spans="3:13">
      <c r="C8449" s="94"/>
      <c r="E8449" s="94"/>
      <c r="G8449" s="94"/>
      <c r="I8449" s="94"/>
      <c r="K8449" s="94"/>
      <c r="M8449" s="94"/>
    </row>
    <row r="8450" s="93" customFormat="1" spans="3:13">
      <c r="C8450" s="94"/>
      <c r="E8450" s="94"/>
      <c r="G8450" s="94"/>
      <c r="I8450" s="94"/>
      <c r="K8450" s="94"/>
      <c r="M8450" s="94"/>
    </row>
    <row r="8451" s="93" customFormat="1" spans="3:13">
      <c r="C8451" s="94"/>
      <c r="E8451" s="94"/>
      <c r="G8451" s="94"/>
      <c r="I8451" s="94"/>
      <c r="K8451" s="94"/>
      <c r="M8451" s="94"/>
    </row>
    <row r="8452" s="93" customFormat="1" spans="3:13">
      <c r="C8452" s="94"/>
      <c r="E8452" s="94"/>
      <c r="G8452" s="94"/>
      <c r="I8452" s="94"/>
      <c r="K8452" s="94"/>
      <c r="M8452" s="94"/>
    </row>
    <row r="8453" s="93" customFormat="1" spans="3:13">
      <c r="C8453" s="94"/>
      <c r="E8453" s="94"/>
      <c r="G8453" s="94"/>
      <c r="I8453" s="94"/>
      <c r="K8453" s="94"/>
      <c r="M8453" s="94"/>
    </row>
    <row r="8454" s="93" customFormat="1" spans="3:13">
      <c r="C8454" s="94"/>
      <c r="E8454" s="94"/>
      <c r="G8454" s="94"/>
      <c r="I8454" s="94"/>
      <c r="K8454" s="94"/>
      <c r="M8454" s="94"/>
    </row>
    <row r="8455" s="93" customFormat="1" spans="3:13">
      <c r="C8455" s="94"/>
      <c r="E8455" s="94"/>
      <c r="G8455" s="94"/>
      <c r="I8455" s="94"/>
      <c r="K8455" s="94"/>
      <c r="M8455" s="94"/>
    </row>
    <row r="8456" s="93" customFormat="1" spans="3:13">
      <c r="C8456" s="94"/>
      <c r="E8456" s="94"/>
      <c r="G8456" s="94"/>
      <c r="I8456" s="94"/>
      <c r="K8456" s="94"/>
      <c r="M8456" s="94"/>
    </row>
    <row r="8457" s="93" customFormat="1" spans="3:13">
      <c r="C8457" s="94"/>
      <c r="E8457" s="94"/>
      <c r="G8457" s="94"/>
      <c r="I8457" s="94"/>
      <c r="K8457" s="94"/>
      <c r="M8457" s="94"/>
    </row>
    <row r="8458" s="93" customFormat="1" spans="3:13">
      <c r="C8458" s="94"/>
      <c r="E8458" s="94"/>
      <c r="G8458" s="94"/>
      <c r="I8458" s="94"/>
      <c r="K8458" s="94"/>
      <c r="M8458" s="94"/>
    </row>
    <row r="8459" s="93" customFormat="1" spans="3:13">
      <c r="C8459" s="94"/>
      <c r="E8459" s="94"/>
      <c r="G8459" s="94"/>
      <c r="I8459" s="94"/>
      <c r="K8459" s="94"/>
      <c r="M8459" s="94"/>
    </row>
    <row r="8460" s="93" customFormat="1" spans="3:13">
      <c r="C8460" s="94"/>
      <c r="E8460" s="94"/>
      <c r="G8460" s="94"/>
      <c r="I8460" s="94"/>
      <c r="K8460" s="94"/>
      <c r="M8460" s="94"/>
    </row>
    <row r="8461" s="93" customFormat="1" spans="3:13">
      <c r="C8461" s="94"/>
      <c r="E8461" s="94"/>
      <c r="G8461" s="94"/>
      <c r="I8461" s="94"/>
      <c r="K8461" s="94"/>
      <c r="M8461" s="94"/>
    </row>
    <row r="8462" s="93" customFormat="1" spans="3:13">
      <c r="C8462" s="94"/>
      <c r="E8462" s="94"/>
      <c r="G8462" s="94"/>
      <c r="I8462" s="94"/>
      <c r="K8462" s="94"/>
      <c r="M8462" s="94"/>
    </row>
    <row r="8463" s="93" customFormat="1" spans="3:13">
      <c r="C8463" s="94"/>
      <c r="E8463" s="94"/>
      <c r="G8463" s="94"/>
      <c r="I8463" s="94"/>
      <c r="K8463" s="94"/>
      <c r="M8463" s="94"/>
    </row>
    <row r="8464" s="93" customFormat="1" spans="3:13">
      <c r="C8464" s="94"/>
      <c r="E8464" s="94"/>
      <c r="G8464" s="94"/>
      <c r="I8464" s="94"/>
      <c r="K8464" s="94"/>
      <c r="M8464" s="94"/>
    </row>
    <row r="8465" s="93" customFormat="1" spans="3:13">
      <c r="C8465" s="94"/>
      <c r="E8465" s="94"/>
      <c r="G8465" s="94"/>
      <c r="I8465" s="94"/>
      <c r="K8465" s="94"/>
      <c r="M8465" s="94"/>
    </row>
    <row r="8466" s="93" customFormat="1" spans="3:13">
      <c r="C8466" s="94"/>
      <c r="E8466" s="94"/>
      <c r="G8466" s="94"/>
      <c r="I8466" s="94"/>
      <c r="K8466" s="94"/>
      <c r="M8466" s="94"/>
    </row>
    <row r="8467" s="93" customFormat="1" spans="3:13">
      <c r="C8467" s="94"/>
      <c r="E8467" s="94"/>
      <c r="G8467" s="94"/>
      <c r="I8467" s="94"/>
      <c r="K8467" s="94"/>
      <c r="M8467" s="94"/>
    </row>
    <row r="8468" s="93" customFormat="1" spans="3:13">
      <c r="C8468" s="94"/>
      <c r="E8468" s="94"/>
      <c r="G8468" s="94"/>
      <c r="I8468" s="94"/>
      <c r="K8468" s="94"/>
      <c r="M8468" s="94"/>
    </row>
    <row r="8469" s="93" customFormat="1" spans="3:13">
      <c r="C8469" s="94"/>
      <c r="E8469" s="94"/>
      <c r="G8469" s="94"/>
      <c r="I8469" s="94"/>
      <c r="K8469" s="94"/>
      <c r="M8469" s="94"/>
    </row>
    <row r="8470" s="93" customFormat="1" spans="3:13">
      <c r="C8470" s="94"/>
      <c r="E8470" s="94"/>
      <c r="G8470" s="94"/>
      <c r="I8470" s="94"/>
      <c r="K8470" s="94"/>
      <c r="M8470" s="94"/>
    </row>
    <row r="8471" s="93" customFormat="1" spans="3:13">
      <c r="C8471" s="94"/>
      <c r="E8471" s="94"/>
      <c r="G8471" s="94"/>
      <c r="I8471" s="94"/>
      <c r="K8471" s="94"/>
      <c r="M8471" s="94"/>
    </row>
    <row r="8472" s="93" customFormat="1" spans="3:13">
      <c r="C8472" s="94"/>
      <c r="E8472" s="94"/>
      <c r="G8472" s="94"/>
      <c r="I8472" s="94"/>
      <c r="K8472" s="94"/>
      <c r="M8472" s="94"/>
    </row>
    <row r="8473" s="93" customFormat="1" spans="3:13">
      <c r="C8473" s="94"/>
      <c r="E8473" s="94"/>
      <c r="G8473" s="94"/>
      <c r="I8473" s="94"/>
      <c r="K8473" s="94"/>
      <c r="M8473" s="94"/>
    </row>
    <row r="8474" s="93" customFormat="1" spans="3:13">
      <c r="C8474" s="94"/>
      <c r="E8474" s="94"/>
      <c r="G8474" s="94"/>
      <c r="I8474" s="94"/>
      <c r="K8474" s="94"/>
      <c r="M8474" s="94"/>
    </row>
    <row r="8475" s="93" customFormat="1" spans="3:13">
      <c r="C8475" s="94"/>
      <c r="E8475" s="94"/>
      <c r="G8475" s="94"/>
      <c r="I8475" s="94"/>
      <c r="K8475" s="94"/>
      <c r="M8475" s="94"/>
    </row>
    <row r="8476" s="93" customFormat="1" spans="3:13">
      <c r="C8476" s="94"/>
      <c r="E8476" s="94"/>
      <c r="G8476" s="94"/>
      <c r="I8476" s="94"/>
      <c r="K8476" s="94"/>
      <c r="M8476" s="94"/>
    </row>
    <row r="8477" s="93" customFormat="1" spans="3:13">
      <c r="C8477" s="94"/>
      <c r="E8477" s="94"/>
      <c r="G8477" s="94"/>
      <c r="I8477" s="94"/>
      <c r="K8477" s="94"/>
      <c r="M8477" s="94"/>
    </row>
    <row r="8478" s="93" customFormat="1" spans="3:13">
      <c r="C8478" s="94"/>
      <c r="E8478" s="94"/>
      <c r="G8478" s="94"/>
      <c r="I8478" s="94"/>
      <c r="K8478" s="94"/>
      <c r="M8478" s="94"/>
    </row>
    <row r="8479" s="93" customFormat="1" spans="3:13">
      <c r="C8479" s="94"/>
      <c r="E8479" s="94"/>
      <c r="G8479" s="94"/>
      <c r="I8479" s="94"/>
      <c r="K8479" s="94"/>
      <c r="M8479" s="94"/>
    </row>
    <row r="8480" s="93" customFormat="1" spans="3:13">
      <c r="C8480" s="94"/>
      <c r="E8480" s="94"/>
      <c r="G8480" s="94"/>
      <c r="I8480" s="94"/>
      <c r="K8480" s="94"/>
      <c r="M8480" s="94"/>
    </row>
    <row r="8481" s="93" customFormat="1" spans="3:13">
      <c r="C8481" s="94"/>
      <c r="E8481" s="94"/>
      <c r="G8481" s="94"/>
      <c r="I8481" s="94"/>
      <c r="K8481" s="94"/>
      <c r="M8481" s="94"/>
    </row>
    <row r="8482" s="93" customFormat="1" spans="3:13">
      <c r="C8482" s="94"/>
      <c r="E8482" s="94"/>
      <c r="G8482" s="94"/>
      <c r="I8482" s="94"/>
      <c r="K8482" s="94"/>
      <c r="M8482" s="94"/>
    </row>
    <row r="8483" s="93" customFormat="1" spans="3:13">
      <c r="C8483" s="94"/>
      <c r="E8483" s="94"/>
      <c r="G8483" s="94"/>
      <c r="I8483" s="94"/>
      <c r="K8483" s="94"/>
      <c r="M8483" s="94"/>
    </row>
    <row r="8484" s="93" customFormat="1" spans="3:13">
      <c r="C8484" s="94"/>
      <c r="E8484" s="94"/>
      <c r="G8484" s="94"/>
      <c r="I8484" s="94"/>
      <c r="K8484" s="94"/>
      <c r="M8484" s="94"/>
    </row>
    <row r="8485" s="93" customFormat="1" spans="3:13">
      <c r="C8485" s="94"/>
      <c r="E8485" s="94"/>
      <c r="G8485" s="94"/>
      <c r="I8485" s="94"/>
      <c r="K8485" s="94"/>
      <c r="M8485" s="94"/>
    </row>
    <row r="8486" s="93" customFormat="1" spans="3:13">
      <c r="C8486" s="94"/>
      <c r="E8486" s="94"/>
      <c r="G8486" s="94"/>
      <c r="I8486" s="94"/>
      <c r="K8486" s="94"/>
      <c r="M8486" s="94"/>
    </row>
    <row r="8487" s="93" customFormat="1" spans="3:13">
      <c r="C8487" s="94"/>
      <c r="E8487" s="94"/>
      <c r="G8487" s="94"/>
      <c r="I8487" s="94"/>
      <c r="K8487" s="94"/>
      <c r="M8487" s="94"/>
    </row>
    <row r="8488" s="93" customFormat="1" spans="3:13">
      <c r="C8488" s="94"/>
      <c r="E8488" s="94"/>
      <c r="G8488" s="94"/>
      <c r="I8488" s="94"/>
      <c r="K8488" s="94"/>
      <c r="M8488" s="94"/>
    </row>
    <row r="8489" s="93" customFormat="1" spans="3:13">
      <c r="C8489" s="94"/>
      <c r="E8489" s="94"/>
      <c r="G8489" s="94"/>
      <c r="I8489" s="94"/>
      <c r="K8489" s="94"/>
      <c r="M8489" s="94"/>
    </row>
    <row r="8490" s="93" customFormat="1" spans="3:13">
      <c r="C8490" s="94"/>
      <c r="E8490" s="94"/>
      <c r="G8490" s="94"/>
      <c r="I8490" s="94"/>
      <c r="K8490" s="94"/>
      <c r="M8490" s="94"/>
    </row>
    <row r="8491" s="93" customFormat="1" spans="3:13">
      <c r="C8491" s="94"/>
      <c r="E8491" s="94"/>
      <c r="G8491" s="94"/>
      <c r="I8491" s="94"/>
      <c r="K8491" s="94"/>
      <c r="M8491" s="94"/>
    </row>
    <row r="8492" s="93" customFormat="1" spans="3:13">
      <c r="C8492" s="94"/>
      <c r="E8492" s="94"/>
      <c r="G8492" s="94"/>
      <c r="I8492" s="94"/>
      <c r="K8492" s="94"/>
      <c r="M8492" s="94"/>
    </row>
    <row r="8493" s="93" customFormat="1" spans="3:13">
      <c r="C8493" s="94"/>
      <c r="E8493" s="94"/>
      <c r="G8493" s="94"/>
      <c r="I8493" s="94"/>
      <c r="K8493" s="94"/>
      <c r="M8493" s="94"/>
    </row>
    <row r="8494" s="93" customFormat="1" spans="3:13">
      <c r="C8494" s="94"/>
      <c r="E8494" s="94"/>
      <c r="G8494" s="94"/>
      <c r="I8494" s="94"/>
      <c r="K8494" s="94"/>
      <c r="M8494" s="94"/>
    </row>
    <row r="8495" s="93" customFormat="1" spans="3:13">
      <c r="C8495" s="94"/>
      <c r="E8495" s="94"/>
      <c r="G8495" s="94"/>
      <c r="I8495" s="94"/>
      <c r="K8495" s="94"/>
      <c r="M8495" s="94"/>
    </row>
    <row r="8496" s="93" customFormat="1" spans="3:13">
      <c r="C8496" s="94"/>
      <c r="E8496" s="94"/>
      <c r="G8496" s="94"/>
      <c r="I8496" s="94"/>
      <c r="K8496" s="94"/>
      <c r="M8496" s="94"/>
    </row>
    <row r="8497" s="93" customFormat="1" spans="3:13">
      <c r="C8497" s="94"/>
      <c r="E8497" s="94"/>
      <c r="G8497" s="94"/>
      <c r="I8497" s="94"/>
      <c r="K8497" s="94"/>
      <c r="M8497" s="94"/>
    </row>
    <row r="8498" s="93" customFormat="1" spans="3:13">
      <c r="C8498" s="94"/>
      <c r="E8498" s="94"/>
      <c r="G8498" s="94"/>
      <c r="I8498" s="94"/>
      <c r="K8498" s="94"/>
      <c r="M8498" s="94"/>
    </row>
    <row r="8499" s="93" customFormat="1" spans="3:13">
      <c r="C8499" s="94"/>
      <c r="E8499" s="94"/>
      <c r="G8499" s="94"/>
      <c r="I8499" s="94"/>
      <c r="K8499" s="94"/>
      <c r="M8499" s="94"/>
    </row>
    <row r="8500" s="93" customFormat="1" spans="3:13">
      <c r="C8500" s="94"/>
      <c r="E8500" s="94"/>
      <c r="G8500" s="94"/>
      <c r="I8500" s="94"/>
      <c r="K8500" s="94"/>
      <c r="M8500" s="94"/>
    </row>
    <row r="8501" s="93" customFormat="1" spans="3:13">
      <c r="C8501" s="94"/>
      <c r="E8501" s="94"/>
      <c r="G8501" s="94"/>
      <c r="I8501" s="94"/>
      <c r="K8501" s="94"/>
      <c r="M8501" s="94"/>
    </row>
    <row r="8502" s="93" customFormat="1" spans="3:13">
      <c r="C8502" s="94"/>
      <c r="E8502" s="94"/>
      <c r="G8502" s="94"/>
      <c r="I8502" s="94"/>
      <c r="K8502" s="94"/>
      <c r="M8502" s="94"/>
    </row>
    <row r="8503" s="93" customFormat="1" spans="3:13">
      <c r="C8503" s="94"/>
      <c r="E8503" s="94"/>
      <c r="G8503" s="94"/>
      <c r="I8503" s="94"/>
      <c r="K8503" s="94"/>
      <c r="M8503" s="94"/>
    </row>
    <row r="8504" s="93" customFormat="1" spans="3:13">
      <c r="C8504" s="94"/>
      <c r="E8504" s="94"/>
      <c r="G8504" s="94"/>
      <c r="I8504" s="94"/>
      <c r="K8504" s="94"/>
      <c r="M8504" s="94"/>
    </row>
    <row r="8505" s="93" customFormat="1" spans="3:13">
      <c r="C8505" s="94"/>
      <c r="E8505" s="94"/>
      <c r="G8505" s="94"/>
      <c r="I8505" s="94"/>
      <c r="K8505" s="94"/>
      <c r="M8505" s="94"/>
    </row>
    <row r="8506" s="93" customFormat="1" spans="3:13">
      <c r="C8506" s="94"/>
      <c r="E8506" s="94"/>
      <c r="G8506" s="94"/>
      <c r="I8506" s="94"/>
      <c r="K8506" s="94"/>
      <c r="M8506" s="94"/>
    </row>
    <row r="8507" s="93" customFormat="1" spans="3:13">
      <c r="C8507" s="94"/>
      <c r="E8507" s="94"/>
      <c r="G8507" s="94"/>
      <c r="I8507" s="94"/>
      <c r="K8507" s="94"/>
      <c r="M8507" s="94"/>
    </row>
    <row r="8508" s="93" customFormat="1" spans="3:13">
      <c r="C8508" s="94"/>
      <c r="E8508" s="94"/>
      <c r="G8508" s="94"/>
      <c r="I8508" s="94"/>
      <c r="K8508" s="94"/>
      <c r="M8508" s="94"/>
    </row>
    <row r="8509" s="93" customFormat="1" spans="3:13">
      <c r="C8509" s="94"/>
      <c r="E8509" s="94"/>
      <c r="G8509" s="94"/>
      <c r="I8509" s="94"/>
      <c r="K8509" s="94"/>
      <c r="M8509" s="94"/>
    </row>
    <row r="8510" s="93" customFormat="1" spans="3:13">
      <c r="C8510" s="94"/>
      <c r="E8510" s="94"/>
      <c r="G8510" s="94"/>
      <c r="I8510" s="94"/>
      <c r="K8510" s="94"/>
      <c r="M8510" s="94"/>
    </row>
    <row r="8511" s="93" customFormat="1" spans="3:13">
      <c r="C8511" s="94"/>
      <c r="E8511" s="94"/>
      <c r="G8511" s="94"/>
      <c r="I8511" s="94"/>
      <c r="K8511" s="94"/>
      <c r="M8511" s="94"/>
    </row>
    <row r="8512" s="93" customFormat="1" spans="3:13">
      <c r="C8512" s="94"/>
      <c r="E8512" s="94"/>
      <c r="G8512" s="94"/>
      <c r="I8512" s="94"/>
      <c r="K8512" s="94"/>
      <c r="M8512" s="94"/>
    </row>
    <row r="8513" s="93" customFormat="1" spans="3:13">
      <c r="C8513" s="94"/>
      <c r="E8513" s="94"/>
      <c r="G8513" s="94"/>
      <c r="I8513" s="94"/>
      <c r="K8513" s="94"/>
      <c r="M8513" s="94"/>
    </row>
    <row r="8514" s="93" customFormat="1" spans="3:13">
      <c r="C8514" s="94"/>
      <c r="E8514" s="94"/>
      <c r="G8514" s="94"/>
      <c r="I8514" s="94"/>
      <c r="K8514" s="94"/>
      <c r="M8514" s="94"/>
    </row>
    <row r="8515" s="93" customFormat="1" spans="3:13">
      <c r="C8515" s="94"/>
      <c r="E8515" s="94"/>
      <c r="G8515" s="94"/>
      <c r="I8515" s="94"/>
      <c r="K8515" s="94"/>
      <c r="M8515" s="94"/>
    </row>
    <row r="8516" s="93" customFormat="1" spans="3:13">
      <c r="C8516" s="94"/>
      <c r="E8516" s="94"/>
      <c r="G8516" s="94"/>
      <c r="I8516" s="94"/>
      <c r="K8516" s="94"/>
      <c r="M8516" s="94"/>
    </row>
    <row r="8517" s="93" customFormat="1" spans="3:13">
      <c r="C8517" s="94"/>
      <c r="E8517" s="94"/>
      <c r="G8517" s="94"/>
      <c r="I8517" s="94"/>
      <c r="K8517" s="94"/>
      <c r="M8517" s="94"/>
    </row>
    <row r="8518" s="93" customFormat="1" spans="3:13">
      <c r="C8518" s="94"/>
      <c r="E8518" s="94"/>
      <c r="G8518" s="94"/>
      <c r="I8518" s="94"/>
      <c r="K8518" s="94"/>
      <c r="M8518" s="94"/>
    </row>
    <row r="8519" s="93" customFormat="1" spans="3:13">
      <c r="C8519" s="94"/>
      <c r="E8519" s="94"/>
      <c r="G8519" s="94"/>
      <c r="I8519" s="94"/>
      <c r="K8519" s="94"/>
      <c r="M8519" s="94"/>
    </row>
    <row r="8520" s="93" customFormat="1" spans="3:13">
      <c r="C8520" s="94"/>
      <c r="E8520" s="94"/>
      <c r="G8520" s="94"/>
      <c r="I8520" s="94"/>
      <c r="K8520" s="94"/>
      <c r="M8520" s="94"/>
    </row>
    <row r="8521" s="93" customFormat="1" spans="3:13">
      <c r="C8521" s="94"/>
      <c r="E8521" s="94"/>
      <c r="G8521" s="94"/>
      <c r="I8521" s="94"/>
      <c r="K8521" s="94"/>
      <c r="M8521" s="94"/>
    </row>
    <row r="8522" s="93" customFormat="1" spans="3:13">
      <c r="C8522" s="94"/>
      <c r="E8522" s="94"/>
      <c r="G8522" s="94"/>
      <c r="I8522" s="94"/>
      <c r="K8522" s="94"/>
      <c r="M8522" s="94"/>
    </row>
    <row r="8523" s="93" customFormat="1" spans="3:13">
      <c r="C8523" s="94"/>
      <c r="E8523" s="94"/>
      <c r="G8523" s="94"/>
      <c r="I8523" s="94"/>
      <c r="K8523" s="94"/>
      <c r="M8523" s="94"/>
    </row>
    <row r="8524" s="93" customFormat="1" spans="3:13">
      <c r="C8524" s="94"/>
      <c r="E8524" s="94"/>
      <c r="G8524" s="94"/>
      <c r="I8524" s="94"/>
      <c r="K8524" s="94"/>
      <c r="M8524" s="94"/>
    </row>
    <row r="8525" s="93" customFormat="1" spans="3:13">
      <c r="C8525" s="94"/>
      <c r="E8525" s="94"/>
      <c r="G8525" s="94"/>
      <c r="I8525" s="94"/>
      <c r="K8525" s="94"/>
      <c r="M8525" s="94"/>
    </row>
    <row r="8526" s="93" customFormat="1" spans="3:13">
      <c r="C8526" s="94"/>
      <c r="E8526" s="94"/>
      <c r="G8526" s="94"/>
      <c r="I8526" s="94"/>
      <c r="K8526" s="94"/>
      <c r="M8526" s="94"/>
    </row>
    <row r="8527" s="93" customFormat="1" spans="3:13">
      <c r="C8527" s="94"/>
      <c r="E8527" s="94"/>
      <c r="G8527" s="94"/>
      <c r="I8527" s="94"/>
      <c r="K8527" s="94"/>
      <c r="M8527" s="94"/>
    </row>
    <row r="8528" s="93" customFormat="1" spans="3:13">
      <c r="C8528" s="94"/>
      <c r="E8528" s="94"/>
      <c r="G8528" s="94"/>
      <c r="I8528" s="94"/>
      <c r="K8528" s="94"/>
      <c r="M8528" s="94"/>
    </row>
    <row r="8529" s="93" customFormat="1" spans="3:13">
      <c r="C8529" s="94"/>
      <c r="E8529" s="94"/>
      <c r="G8529" s="94"/>
      <c r="I8529" s="94"/>
      <c r="K8529" s="94"/>
      <c r="M8529" s="94"/>
    </row>
    <row r="8530" s="93" customFormat="1" spans="3:13">
      <c r="C8530" s="94"/>
      <c r="E8530" s="94"/>
      <c r="G8530" s="94"/>
      <c r="I8530" s="94"/>
      <c r="K8530" s="94"/>
      <c r="M8530" s="94"/>
    </row>
    <row r="8531" s="93" customFormat="1" spans="3:13">
      <c r="C8531" s="94"/>
      <c r="E8531" s="94"/>
      <c r="G8531" s="94"/>
      <c r="I8531" s="94"/>
      <c r="K8531" s="94"/>
      <c r="M8531" s="94"/>
    </row>
    <row r="8532" s="93" customFormat="1" spans="3:13">
      <c r="C8532" s="94"/>
      <c r="E8532" s="94"/>
      <c r="G8532" s="94"/>
      <c r="I8532" s="94"/>
      <c r="K8532" s="94"/>
      <c r="M8532" s="94"/>
    </row>
    <row r="8533" s="93" customFormat="1" spans="3:13">
      <c r="C8533" s="94"/>
      <c r="E8533" s="94"/>
      <c r="G8533" s="94"/>
      <c r="I8533" s="94"/>
      <c r="K8533" s="94"/>
      <c r="M8533" s="94"/>
    </row>
    <row r="8534" s="93" customFormat="1" spans="3:13">
      <c r="C8534" s="94"/>
      <c r="E8534" s="94"/>
      <c r="G8534" s="94"/>
      <c r="I8534" s="94"/>
      <c r="K8534" s="94"/>
      <c r="M8534" s="94"/>
    </row>
    <row r="8535" s="93" customFormat="1" spans="3:13">
      <c r="C8535" s="94"/>
      <c r="E8535" s="94"/>
      <c r="G8535" s="94"/>
      <c r="I8535" s="94"/>
      <c r="K8535" s="94"/>
      <c r="M8535" s="94"/>
    </row>
    <row r="8536" s="93" customFormat="1" spans="3:13">
      <c r="C8536" s="94"/>
      <c r="E8536" s="94"/>
      <c r="G8536" s="94"/>
      <c r="I8536" s="94"/>
      <c r="K8536" s="94"/>
      <c r="M8536" s="94"/>
    </row>
    <row r="8537" s="93" customFormat="1" spans="3:13">
      <c r="C8537" s="94"/>
      <c r="E8537" s="94"/>
      <c r="G8537" s="94"/>
      <c r="I8537" s="94"/>
      <c r="K8537" s="94"/>
      <c r="M8537" s="94"/>
    </row>
    <row r="8538" s="93" customFormat="1" spans="3:13">
      <c r="C8538" s="94"/>
      <c r="E8538" s="94"/>
      <c r="G8538" s="94"/>
      <c r="I8538" s="94"/>
      <c r="K8538" s="94"/>
      <c r="M8538" s="94"/>
    </row>
    <row r="8539" s="93" customFormat="1" spans="3:13">
      <c r="C8539" s="94"/>
      <c r="E8539" s="94"/>
      <c r="G8539" s="94"/>
      <c r="I8539" s="94"/>
      <c r="K8539" s="94"/>
      <c r="M8539" s="94"/>
    </row>
    <row r="8540" s="93" customFormat="1" spans="3:13">
      <c r="C8540" s="94"/>
      <c r="E8540" s="94"/>
      <c r="G8540" s="94"/>
      <c r="I8540" s="94"/>
      <c r="K8540" s="94"/>
      <c r="M8540" s="94"/>
    </row>
    <row r="8541" s="93" customFormat="1" spans="3:13">
      <c r="C8541" s="94"/>
      <c r="E8541" s="94"/>
      <c r="G8541" s="94"/>
      <c r="I8541" s="94"/>
      <c r="K8541" s="94"/>
      <c r="M8541" s="94"/>
    </row>
    <row r="8542" s="93" customFormat="1" spans="3:13">
      <c r="C8542" s="94"/>
      <c r="E8542" s="94"/>
      <c r="G8542" s="94"/>
      <c r="I8542" s="94"/>
      <c r="K8542" s="94"/>
      <c r="M8542" s="94"/>
    </row>
    <row r="8543" s="93" customFormat="1" spans="3:13">
      <c r="C8543" s="94"/>
      <c r="E8543" s="94"/>
      <c r="G8543" s="94"/>
      <c r="I8543" s="94"/>
      <c r="K8543" s="94"/>
      <c r="M8543" s="94"/>
    </row>
    <row r="8544" s="93" customFormat="1" spans="3:13">
      <c r="C8544" s="94"/>
      <c r="E8544" s="94"/>
      <c r="G8544" s="94"/>
      <c r="I8544" s="94"/>
      <c r="K8544" s="94"/>
      <c r="M8544" s="94"/>
    </row>
    <row r="8545" s="93" customFormat="1" spans="3:13">
      <c r="C8545" s="94"/>
      <c r="E8545" s="94"/>
      <c r="G8545" s="94"/>
      <c r="I8545" s="94"/>
      <c r="K8545" s="94"/>
      <c r="M8545" s="94"/>
    </row>
    <row r="8546" s="93" customFormat="1" spans="3:13">
      <c r="C8546" s="94"/>
      <c r="E8546" s="94"/>
      <c r="G8546" s="94"/>
      <c r="I8546" s="94"/>
      <c r="K8546" s="94"/>
      <c r="M8546" s="94"/>
    </row>
    <row r="8547" s="93" customFormat="1" spans="3:13">
      <c r="C8547" s="94"/>
      <c r="E8547" s="94"/>
      <c r="G8547" s="94"/>
      <c r="I8547" s="94"/>
      <c r="K8547" s="94"/>
      <c r="M8547" s="94"/>
    </row>
    <row r="8548" s="93" customFormat="1" spans="3:13">
      <c r="C8548" s="94"/>
      <c r="E8548" s="94"/>
      <c r="G8548" s="94"/>
      <c r="I8548" s="94"/>
      <c r="K8548" s="94"/>
      <c r="M8548" s="94"/>
    </row>
    <row r="8549" s="93" customFormat="1" spans="3:13">
      <c r="C8549" s="94"/>
      <c r="E8549" s="94"/>
      <c r="G8549" s="94"/>
      <c r="I8549" s="94"/>
      <c r="K8549" s="94"/>
      <c r="M8549" s="94"/>
    </row>
    <row r="8550" s="93" customFormat="1" spans="3:13">
      <c r="C8550" s="94"/>
      <c r="E8550" s="94"/>
      <c r="G8550" s="94"/>
      <c r="I8550" s="94"/>
      <c r="K8550" s="94"/>
      <c r="M8550" s="94"/>
    </row>
    <row r="8551" s="93" customFormat="1" spans="3:13">
      <c r="C8551" s="94"/>
      <c r="E8551" s="94"/>
      <c r="G8551" s="94"/>
      <c r="I8551" s="94"/>
      <c r="K8551" s="94"/>
      <c r="M8551" s="94"/>
    </row>
    <row r="8552" s="93" customFormat="1" spans="3:13">
      <c r="C8552" s="94"/>
      <c r="E8552" s="94"/>
      <c r="G8552" s="94"/>
      <c r="I8552" s="94"/>
      <c r="K8552" s="94"/>
      <c r="M8552" s="94"/>
    </row>
    <row r="8553" s="93" customFormat="1" spans="3:13">
      <c r="C8553" s="94"/>
      <c r="E8553" s="94"/>
      <c r="G8553" s="94"/>
      <c r="I8553" s="94"/>
      <c r="K8553" s="94"/>
      <c r="M8553" s="94"/>
    </row>
    <row r="8554" s="93" customFormat="1" spans="3:13">
      <c r="C8554" s="94"/>
      <c r="E8554" s="94"/>
      <c r="G8554" s="94"/>
      <c r="I8554" s="94"/>
      <c r="K8554" s="94"/>
      <c r="M8554" s="94"/>
    </row>
    <row r="8555" s="93" customFormat="1" spans="3:13">
      <c r="C8555" s="94"/>
      <c r="E8555" s="94"/>
      <c r="G8555" s="94"/>
      <c r="I8555" s="94"/>
      <c r="K8555" s="94"/>
      <c r="M8555" s="94"/>
    </row>
    <row r="8556" s="93" customFormat="1" spans="3:13">
      <c r="C8556" s="94"/>
      <c r="E8556" s="94"/>
      <c r="G8556" s="94"/>
      <c r="I8556" s="94"/>
      <c r="K8556" s="94"/>
      <c r="M8556" s="94"/>
    </row>
    <row r="8557" s="93" customFormat="1" spans="3:13">
      <c r="C8557" s="94"/>
      <c r="E8557" s="94"/>
      <c r="G8557" s="94"/>
      <c r="I8557" s="94"/>
      <c r="K8557" s="94"/>
      <c r="M8557" s="94"/>
    </row>
    <row r="8558" s="93" customFormat="1" spans="3:13">
      <c r="C8558" s="94"/>
      <c r="E8558" s="94"/>
      <c r="G8558" s="94"/>
      <c r="I8558" s="94"/>
      <c r="K8558" s="94"/>
      <c r="M8558" s="94"/>
    </row>
    <row r="8559" s="93" customFormat="1" spans="3:13">
      <c r="C8559" s="94"/>
      <c r="E8559" s="94"/>
      <c r="G8559" s="94"/>
      <c r="I8559" s="94"/>
      <c r="K8559" s="94"/>
      <c r="M8559" s="94"/>
    </row>
    <row r="8560" s="93" customFormat="1" spans="3:13">
      <c r="C8560" s="94"/>
      <c r="E8560" s="94"/>
      <c r="G8560" s="94"/>
      <c r="I8560" s="94"/>
      <c r="K8560" s="94"/>
      <c r="M8560" s="94"/>
    </row>
    <row r="8561" s="93" customFormat="1" spans="3:13">
      <c r="C8561" s="94"/>
      <c r="E8561" s="94"/>
      <c r="G8561" s="94"/>
      <c r="I8561" s="94"/>
      <c r="K8561" s="94"/>
      <c r="M8561" s="94"/>
    </row>
    <row r="8562" s="93" customFormat="1" spans="3:13">
      <c r="C8562" s="94"/>
      <c r="E8562" s="94"/>
      <c r="G8562" s="94"/>
      <c r="I8562" s="94"/>
      <c r="K8562" s="94"/>
      <c r="M8562" s="94"/>
    </row>
    <row r="8563" s="93" customFormat="1" spans="3:13">
      <c r="C8563" s="94"/>
      <c r="E8563" s="94"/>
      <c r="G8563" s="94"/>
      <c r="I8563" s="94"/>
      <c r="K8563" s="94"/>
      <c r="M8563" s="94"/>
    </row>
    <row r="8564" s="93" customFormat="1" spans="3:13">
      <c r="C8564" s="94"/>
      <c r="E8564" s="94"/>
      <c r="G8564" s="94"/>
      <c r="I8564" s="94"/>
      <c r="K8564" s="94"/>
      <c r="M8564" s="94"/>
    </row>
    <row r="8565" s="93" customFormat="1" spans="3:13">
      <c r="C8565" s="94"/>
      <c r="E8565" s="94"/>
      <c r="G8565" s="94"/>
      <c r="I8565" s="94"/>
      <c r="K8565" s="94"/>
      <c r="M8565" s="94"/>
    </row>
    <row r="8566" s="93" customFormat="1" spans="3:13">
      <c r="C8566" s="94"/>
      <c r="E8566" s="94"/>
      <c r="G8566" s="94"/>
      <c r="I8566" s="94"/>
      <c r="K8566" s="94"/>
      <c r="M8566" s="94"/>
    </row>
    <row r="8567" s="93" customFormat="1" spans="3:13">
      <c r="C8567" s="94"/>
      <c r="E8567" s="94"/>
      <c r="G8567" s="94"/>
      <c r="I8567" s="94"/>
      <c r="K8567" s="94"/>
      <c r="M8567" s="94"/>
    </row>
    <row r="8568" s="93" customFormat="1" spans="3:13">
      <c r="C8568" s="94"/>
      <c r="E8568" s="94"/>
      <c r="G8568" s="94"/>
      <c r="I8568" s="94"/>
      <c r="K8568" s="94"/>
      <c r="M8568" s="94"/>
    </row>
    <row r="8569" s="93" customFormat="1" spans="3:13">
      <c r="C8569" s="94"/>
      <c r="E8569" s="94"/>
      <c r="G8569" s="94"/>
      <c r="I8569" s="94"/>
      <c r="K8569" s="94"/>
      <c r="M8569" s="94"/>
    </row>
    <row r="8570" s="93" customFormat="1" spans="3:13">
      <c r="C8570" s="94"/>
      <c r="E8570" s="94"/>
      <c r="G8570" s="94"/>
      <c r="I8570" s="94"/>
      <c r="K8570" s="94"/>
      <c r="M8570" s="94"/>
    </row>
    <row r="8571" s="93" customFormat="1" spans="3:13">
      <c r="C8571" s="94"/>
      <c r="E8571" s="94"/>
      <c r="G8571" s="94"/>
      <c r="I8571" s="94"/>
      <c r="K8571" s="94"/>
      <c r="M8571" s="94"/>
    </row>
    <row r="8572" s="93" customFormat="1" spans="3:13">
      <c r="C8572" s="94"/>
      <c r="E8572" s="94"/>
      <c r="G8572" s="94"/>
      <c r="I8572" s="94"/>
      <c r="K8572" s="94"/>
      <c r="M8572" s="94"/>
    </row>
    <row r="8573" s="93" customFormat="1" spans="3:13">
      <c r="C8573" s="94"/>
      <c r="E8573" s="94"/>
      <c r="G8573" s="94"/>
      <c r="I8573" s="94"/>
      <c r="K8573" s="94"/>
      <c r="M8573" s="94"/>
    </row>
    <row r="8574" s="93" customFormat="1" spans="3:13">
      <c r="C8574" s="94"/>
      <c r="E8574" s="94"/>
      <c r="G8574" s="94"/>
      <c r="I8574" s="94"/>
      <c r="K8574" s="94"/>
      <c r="M8574" s="94"/>
    </row>
    <row r="8575" s="93" customFormat="1" spans="3:13">
      <c r="C8575" s="94"/>
      <c r="E8575" s="94"/>
      <c r="G8575" s="94"/>
      <c r="I8575" s="94"/>
      <c r="K8575" s="94"/>
      <c r="M8575" s="94"/>
    </row>
    <row r="8576" s="93" customFormat="1" spans="3:13">
      <c r="C8576" s="94"/>
      <c r="E8576" s="94"/>
      <c r="G8576" s="94"/>
      <c r="I8576" s="94"/>
      <c r="K8576" s="94"/>
      <c r="M8576" s="94"/>
    </row>
    <row r="8577" s="93" customFormat="1" spans="3:13">
      <c r="C8577" s="94"/>
      <c r="E8577" s="94"/>
      <c r="G8577" s="94"/>
      <c r="I8577" s="94"/>
      <c r="K8577" s="94"/>
      <c r="M8577" s="94"/>
    </row>
    <row r="8578" s="93" customFormat="1" spans="3:13">
      <c r="C8578" s="94"/>
      <c r="E8578" s="94"/>
      <c r="G8578" s="94"/>
      <c r="I8578" s="94"/>
      <c r="K8578" s="94"/>
      <c r="M8578" s="94"/>
    </row>
    <row r="8579" s="93" customFormat="1" spans="3:13">
      <c r="C8579" s="94"/>
      <c r="E8579" s="94"/>
      <c r="G8579" s="94"/>
      <c r="I8579" s="94"/>
      <c r="K8579" s="94"/>
      <c r="M8579" s="94"/>
    </row>
    <row r="8580" s="93" customFormat="1" spans="3:13">
      <c r="C8580" s="94"/>
      <c r="E8580" s="94"/>
      <c r="G8580" s="94"/>
      <c r="I8580" s="94"/>
      <c r="K8580" s="94"/>
      <c r="M8580" s="94"/>
    </row>
    <row r="8581" s="93" customFormat="1" spans="3:13">
      <c r="C8581" s="94"/>
      <c r="E8581" s="94"/>
      <c r="G8581" s="94"/>
      <c r="I8581" s="94"/>
      <c r="K8581" s="94"/>
      <c r="M8581" s="94"/>
    </row>
    <row r="8582" s="93" customFormat="1" spans="3:13">
      <c r="C8582" s="94"/>
      <c r="E8582" s="94"/>
      <c r="G8582" s="94"/>
      <c r="I8582" s="94"/>
      <c r="K8582" s="94"/>
      <c r="M8582" s="94"/>
    </row>
    <row r="8583" s="93" customFormat="1" spans="3:13">
      <c r="C8583" s="94"/>
      <c r="E8583" s="94"/>
      <c r="G8583" s="94"/>
      <c r="I8583" s="94"/>
      <c r="K8583" s="94"/>
      <c r="M8583" s="94"/>
    </row>
    <row r="8584" s="93" customFormat="1" spans="3:13">
      <c r="C8584" s="94"/>
      <c r="E8584" s="94"/>
      <c r="G8584" s="94"/>
      <c r="I8584" s="94"/>
      <c r="K8584" s="94"/>
      <c r="M8584" s="94"/>
    </row>
    <row r="8585" s="93" customFormat="1" spans="3:13">
      <c r="C8585" s="94"/>
      <c r="E8585" s="94"/>
      <c r="G8585" s="94"/>
      <c r="I8585" s="94"/>
      <c r="K8585" s="94"/>
      <c r="M8585" s="94"/>
    </row>
    <row r="8586" s="93" customFormat="1" spans="3:13">
      <c r="C8586" s="94"/>
      <c r="E8586" s="94"/>
      <c r="G8586" s="94"/>
      <c r="I8586" s="94"/>
      <c r="K8586" s="94"/>
      <c r="M8586" s="94"/>
    </row>
    <row r="8587" s="93" customFormat="1" spans="3:13">
      <c r="C8587" s="94"/>
      <c r="E8587" s="94"/>
      <c r="G8587" s="94"/>
      <c r="I8587" s="94"/>
      <c r="K8587" s="94"/>
      <c r="M8587" s="94"/>
    </row>
    <row r="8588" s="93" customFormat="1" spans="3:13">
      <c r="C8588" s="94"/>
      <c r="E8588" s="94"/>
      <c r="G8588" s="94"/>
      <c r="I8588" s="94"/>
      <c r="K8588" s="94"/>
      <c r="M8588" s="94"/>
    </row>
    <row r="8589" s="93" customFormat="1" spans="3:13">
      <c r="C8589" s="94"/>
      <c r="E8589" s="94"/>
      <c r="G8589" s="94"/>
      <c r="I8589" s="94"/>
      <c r="K8589" s="94"/>
      <c r="M8589" s="94"/>
    </row>
    <row r="8590" s="93" customFormat="1" spans="3:13">
      <c r="C8590" s="94"/>
      <c r="E8590" s="94"/>
      <c r="G8590" s="94"/>
      <c r="I8590" s="94"/>
      <c r="K8590" s="94"/>
      <c r="M8590" s="94"/>
    </row>
    <row r="8591" s="93" customFormat="1" spans="3:13">
      <c r="C8591" s="94"/>
      <c r="E8591" s="94"/>
      <c r="G8591" s="94"/>
      <c r="I8591" s="94"/>
      <c r="K8591" s="94"/>
      <c r="M8591" s="94"/>
    </row>
    <row r="8592" s="93" customFormat="1" spans="3:13">
      <c r="C8592" s="94"/>
      <c r="E8592" s="94"/>
      <c r="G8592" s="94"/>
      <c r="I8592" s="94"/>
      <c r="K8592" s="94"/>
      <c r="M8592" s="94"/>
    </row>
    <row r="8593" s="93" customFormat="1" spans="3:13">
      <c r="C8593" s="94"/>
      <c r="E8593" s="94"/>
      <c r="G8593" s="94"/>
      <c r="I8593" s="94"/>
      <c r="K8593" s="94"/>
      <c r="M8593" s="94"/>
    </row>
    <row r="8594" s="93" customFormat="1" spans="3:13">
      <c r="C8594" s="94"/>
      <c r="E8594" s="94"/>
      <c r="G8594" s="94"/>
      <c r="I8594" s="94"/>
      <c r="K8594" s="94"/>
      <c r="M8594" s="94"/>
    </row>
    <row r="8595" s="93" customFormat="1" spans="3:13">
      <c r="C8595" s="94"/>
      <c r="E8595" s="94"/>
      <c r="G8595" s="94"/>
      <c r="I8595" s="94"/>
      <c r="K8595" s="94"/>
      <c r="M8595" s="94"/>
    </row>
    <row r="8596" s="93" customFormat="1" spans="3:13">
      <c r="C8596" s="94"/>
      <c r="E8596" s="94"/>
      <c r="G8596" s="94"/>
      <c r="I8596" s="94"/>
      <c r="K8596" s="94"/>
      <c r="M8596" s="94"/>
    </row>
    <row r="8597" s="93" customFormat="1" spans="3:13">
      <c r="C8597" s="94"/>
      <c r="E8597" s="94"/>
      <c r="G8597" s="94"/>
      <c r="I8597" s="94"/>
      <c r="K8597" s="94"/>
      <c r="M8597" s="94"/>
    </row>
    <row r="8598" s="93" customFormat="1" spans="3:13">
      <c r="C8598" s="94"/>
      <c r="E8598" s="94"/>
      <c r="G8598" s="94"/>
      <c r="I8598" s="94"/>
      <c r="K8598" s="94"/>
      <c r="M8598" s="94"/>
    </row>
    <row r="8599" s="93" customFormat="1" spans="3:13">
      <c r="C8599" s="94"/>
      <c r="E8599" s="94"/>
      <c r="G8599" s="94"/>
      <c r="I8599" s="94"/>
      <c r="K8599" s="94"/>
      <c r="M8599" s="94"/>
    </row>
    <row r="8600" s="93" customFormat="1" spans="3:13">
      <c r="C8600" s="94"/>
      <c r="E8600" s="94"/>
      <c r="G8600" s="94"/>
      <c r="I8600" s="94"/>
      <c r="K8600" s="94"/>
      <c r="M8600" s="94"/>
    </row>
    <row r="8601" s="93" customFormat="1" spans="3:13">
      <c r="C8601" s="94"/>
      <c r="E8601" s="94"/>
      <c r="G8601" s="94"/>
      <c r="I8601" s="94"/>
      <c r="K8601" s="94"/>
      <c r="M8601" s="94"/>
    </row>
    <row r="8602" s="93" customFormat="1" spans="3:13">
      <c r="C8602" s="94"/>
      <c r="E8602" s="94"/>
      <c r="G8602" s="94"/>
      <c r="I8602" s="94"/>
      <c r="K8602" s="94"/>
      <c r="M8602" s="94"/>
    </row>
    <row r="8603" s="93" customFormat="1" spans="3:13">
      <c r="C8603" s="94"/>
      <c r="E8603" s="94"/>
      <c r="G8603" s="94"/>
      <c r="I8603" s="94"/>
      <c r="K8603" s="94"/>
      <c r="M8603" s="94"/>
    </row>
    <row r="8604" s="93" customFormat="1" spans="3:13">
      <c r="C8604" s="94"/>
      <c r="E8604" s="94"/>
      <c r="G8604" s="94"/>
      <c r="I8604" s="94"/>
      <c r="K8604" s="94"/>
      <c r="M8604" s="94"/>
    </row>
    <row r="8605" s="93" customFormat="1" spans="3:13">
      <c r="C8605" s="94"/>
      <c r="E8605" s="94"/>
      <c r="G8605" s="94"/>
      <c r="I8605" s="94"/>
      <c r="K8605" s="94"/>
      <c r="M8605" s="94"/>
    </row>
    <row r="8606" s="93" customFormat="1" spans="3:13">
      <c r="C8606" s="94"/>
      <c r="E8606" s="94"/>
      <c r="G8606" s="94"/>
      <c r="I8606" s="94"/>
      <c r="K8606" s="94"/>
      <c r="M8606" s="94"/>
    </row>
    <row r="8607" s="93" customFormat="1" spans="3:13">
      <c r="C8607" s="94"/>
      <c r="E8607" s="94"/>
      <c r="G8607" s="94"/>
      <c r="I8607" s="94"/>
      <c r="K8607" s="94"/>
      <c r="M8607" s="94"/>
    </row>
    <row r="8608" s="93" customFormat="1" spans="3:13">
      <c r="C8608" s="94"/>
      <c r="E8608" s="94"/>
      <c r="G8608" s="94"/>
      <c r="I8608" s="94"/>
      <c r="K8608" s="94"/>
      <c r="M8608" s="94"/>
    </row>
    <row r="8609" s="93" customFormat="1" spans="3:13">
      <c r="C8609" s="94"/>
      <c r="E8609" s="94"/>
      <c r="G8609" s="94"/>
      <c r="I8609" s="94"/>
      <c r="K8609" s="94"/>
      <c r="M8609" s="94"/>
    </row>
    <row r="8610" s="93" customFormat="1" spans="3:13">
      <c r="C8610" s="94"/>
      <c r="E8610" s="94"/>
      <c r="G8610" s="94"/>
      <c r="I8610" s="94"/>
      <c r="K8610" s="94"/>
      <c r="M8610" s="94"/>
    </row>
    <row r="8611" s="93" customFormat="1" spans="3:13">
      <c r="C8611" s="94"/>
      <c r="E8611" s="94"/>
      <c r="G8611" s="94"/>
      <c r="I8611" s="94"/>
      <c r="K8611" s="94"/>
      <c r="M8611" s="94"/>
    </row>
    <row r="8612" s="93" customFormat="1" spans="3:13">
      <c r="C8612" s="94"/>
      <c r="E8612" s="94"/>
      <c r="G8612" s="94"/>
      <c r="I8612" s="94"/>
      <c r="K8612" s="94"/>
      <c r="M8612" s="94"/>
    </row>
    <row r="8613" s="93" customFormat="1" spans="3:13">
      <c r="C8613" s="94"/>
      <c r="E8613" s="94"/>
      <c r="G8613" s="94"/>
      <c r="I8613" s="94"/>
      <c r="K8613" s="94"/>
      <c r="M8613" s="94"/>
    </row>
    <row r="8614" s="93" customFormat="1" spans="3:13">
      <c r="C8614" s="94"/>
      <c r="E8614" s="94"/>
      <c r="G8614" s="94"/>
      <c r="I8614" s="94"/>
      <c r="K8614" s="94"/>
      <c r="M8614" s="94"/>
    </row>
    <row r="8615" s="93" customFormat="1" spans="3:13">
      <c r="C8615" s="94"/>
      <c r="E8615" s="94"/>
      <c r="G8615" s="94"/>
      <c r="I8615" s="94"/>
      <c r="K8615" s="94"/>
      <c r="M8615" s="94"/>
    </row>
    <row r="8616" s="93" customFormat="1" spans="3:13">
      <c r="C8616" s="94"/>
      <c r="E8616" s="94"/>
      <c r="G8616" s="94"/>
      <c r="I8616" s="94"/>
      <c r="K8616" s="94"/>
      <c r="M8616" s="94"/>
    </row>
    <row r="8617" s="93" customFormat="1" spans="3:13">
      <c r="C8617" s="94"/>
      <c r="E8617" s="94"/>
      <c r="G8617" s="94"/>
      <c r="I8617" s="94"/>
      <c r="K8617" s="94"/>
      <c r="M8617" s="94"/>
    </row>
    <row r="8618" s="93" customFormat="1" spans="3:13">
      <c r="C8618" s="94"/>
      <c r="E8618" s="94"/>
      <c r="G8618" s="94"/>
      <c r="I8618" s="94"/>
      <c r="K8618" s="94"/>
      <c r="M8618" s="94"/>
    </row>
    <row r="8619" s="93" customFormat="1" spans="3:13">
      <c r="C8619" s="94"/>
      <c r="E8619" s="94"/>
      <c r="G8619" s="94"/>
      <c r="I8619" s="94"/>
      <c r="K8619" s="94"/>
      <c r="M8619" s="94"/>
    </row>
    <row r="8620" s="93" customFormat="1" spans="3:13">
      <c r="C8620" s="94"/>
      <c r="E8620" s="94"/>
      <c r="G8620" s="94"/>
      <c r="I8620" s="94"/>
      <c r="K8620" s="94"/>
      <c r="M8620" s="94"/>
    </row>
    <row r="8621" s="93" customFormat="1" spans="3:13">
      <c r="C8621" s="94"/>
      <c r="E8621" s="94"/>
      <c r="G8621" s="94"/>
      <c r="I8621" s="94"/>
      <c r="K8621" s="94"/>
      <c r="M8621" s="94"/>
    </row>
    <row r="8622" s="93" customFormat="1" spans="3:13">
      <c r="C8622" s="94"/>
      <c r="E8622" s="94"/>
      <c r="G8622" s="94"/>
      <c r="I8622" s="94"/>
      <c r="K8622" s="94"/>
      <c r="M8622" s="94"/>
    </row>
    <row r="8623" s="93" customFormat="1" spans="3:13">
      <c r="C8623" s="94"/>
      <c r="E8623" s="94"/>
      <c r="G8623" s="94"/>
      <c r="I8623" s="94"/>
      <c r="K8623" s="94"/>
      <c r="M8623" s="94"/>
    </row>
    <row r="8624" s="93" customFormat="1" spans="3:13">
      <c r="C8624" s="94"/>
      <c r="E8624" s="94"/>
      <c r="G8624" s="94"/>
      <c r="I8624" s="94"/>
      <c r="K8624" s="94"/>
      <c r="M8624" s="94"/>
    </row>
    <row r="8625" s="93" customFormat="1" spans="3:13">
      <c r="C8625" s="94"/>
      <c r="E8625" s="94"/>
      <c r="G8625" s="94"/>
      <c r="I8625" s="94"/>
      <c r="K8625" s="94"/>
      <c r="M8625" s="94"/>
    </row>
    <row r="8626" s="93" customFormat="1" spans="3:13">
      <c r="C8626" s="94"/>
      <c r="E8626" s="94"/>
      <c r="G8626" s="94"/>
      <c r="I8626" s="94"/>
      <c r="K8626" s="94"/>
      <c r="M8626" s="94"/>
    </row>
    <row r="8627" s="93" customFormat="1" spans="3:13">
      <c r="C8627" s="94"/>
      <c r="E8627" s="94"/>
      <c r="G8627" s="94"/>
      <c r="I8627" s="94"/>
      <c r="K8627" s="94"/>
      <c r="M8627" s="94"/>
    </row>
    <row r="8628" s="93" customFormat="1" spans="3:13">
      <c r="C8628" s="94"/>
      <c r="E8628" s="94"/>
      <c r="G8628" s="94"/>
      <c r="I8628" s="94"/>
      <c r="K8628" s="94"/>
      <c r="M8628" s="94"/>
    </row>
    <row r="8629" s="93" customFormat="1" spans="3:13">
      <c r="C8629" s="94"/>
      <c r="E8629" s="94"/>
      <c r="G8629" s="94"/>
      <c r="I8629" s="94"/>
      <c r="K8629" s="94"/>
      <c r="M8629" s="94"/>
    </row>
    <row r="8630" s="93" customFormat="1" spans="3:13">
      <c r="C8630" s="94"/>
      <c r="E8630" s="94"/>
      <c r="G8630" s="94"/>
      <c r="I8630" s="94"/>
      <c r="K8630" s="94"/>
      <c r="M8630" s="94"/>
    </row>
    <row r="8631" s="93" customFormat="1" spans="3:13">
      <c r="C8631" s="94"/>
      <c r="E8631" s="94"/>
      <c r="G8631" s="94"/>
      <c r="I8631" s="94"/>
      <c r="K8631" s="94"/>
      <c r="M8631" s="94"/>
    </row>
    <row r="8632" s="93" customFormat="1" spans="3:13">
      <c r="C8632" s="94"/>
      <c r="E8632" s="94"/>
      <c r="G8632" s="94"/>
      <c r="I8632" s="94"/>
      <c r="K8632" s="94"/>
      <c r="M8632" s="94"/>
    </row>
    <row r="8633" s="93" customFormat="1" spans="3:13">
      <c r="C8633" s="94"/>
      <c r="E8633" s="94"/>
      <c r="G8633" s="94"/>
      <c r="I8633" s="94"/>
      <c r="K8633" s="94"/>
      <c r="M8633" s="94"/>
    </row>
    <row r="8634" s="93" customFormat="1" spans="3:13">
      <c r="C8634" s="94"/>
      <c r="E8634" s="94"/>
      <c r="G8634" s="94"/>
      <c r="I8634" s="94"/>
      <c r="K8634" s="94"/>
      <c r="M8634" s="94"/>
    </row>
    <row r="8635" s="93" customFormat="1" spans="3:13">
      <c r="C8635" s="94"/>
      <c r="E8635" s="94"/>
      <c r="G8635" s="94"/>
      <c r="I8635" s="94"/>
      <c r="K8635" s="94"/>
      <c r="M8635" s="94"/>
    </row>
    <row r="8636" s="93" customFormat="1" spans="3:13">
      <c r="C8636" s="94"/>
      <c r="E8636" s="94"/>
      <c r="G8636" s="94"/>
      <c r="I8636" s="94"/>
      <c r="K8636" s="94"/>
      <c r="M8636" s="94"/>
    </row>
    <row r="8637" s="93" customFormat="1" spans="3:13">
      <c r="C8637" s="94"/>
      <c r="E8637" s="94"/>
      <c r="G8637" s="94"/>
      <c r="I8637" s="94"/>
      <c r="K8637" s="94"/>
      <c r="M8637" s="94"/>
    </row>
    <row r="8638" s="93" customFormat="1" spans="3:13">
      <c r="C8638" s="94"/>
      <c r="E8638" s="94"/>
      <c r="G8638" s="94"/>
      <c r="I8638" s="94"/>
      <c r="K8638" s="94"/>
      <c r="M8638" s="94"/>
    </row>
    <row r="8639" s="93" customFormat="1" spans="3:13">
      <c r="C8639" s="94"/>
      <c r="E8639" s="94"/>
      <c r="G8639" s="94"/>
      <c r="I8639" s="94"/>
      <c r="K8639" s="94"/>
      <c r="M8639" s="94"/>
    </row>
    <row r="8640" s="93" customFormat="1" spans="3:13">
      <c r="C8640" s="94"/>
      <c r="E8640" s="94"/>
      <c r="G8640" s="94"/>
      <c r="I8640" s="94"/>
      <c r="K8640" s="94"/>
      <c r="M8640" s="94"/>
    </row>
    <row r="8641" s="93" customFormat="1" spans="3:13">
      <c r="C8641" s="94"/>
      <c r="E8641" s="94"/>
      <c r="G8641" s="94"/>
      <c r="I8641" s="94"/>
      <c r="K8641" s="94"/>
      <c r="M8641" s="94"/>
    </row>
    <row r="8642" s="93" customFormat="1" spans="3:13">
      <c r="C8642" s="94"/>
      <c r="E8642" s="94"/>
      <c r="G8642" s="94"/>
      <c r="I8642" s="94"/>
      <c r="K8642" s="94"/>
      <c r="M8642" s="94"/>
    </row>
    <row r="8643" s="93" customFormat="1" spans="3:13">
      <c r="C8643" s="94"/>
      <c r="E8643" s="94"/>
      <c r="G8643" s="94"/>
      <c r="I8643" s="94"/>
      <c r="K8643" s="94"/>
      <c r="M8643" s="94"/>
    </row>
    <row r="8644" s="93" customFormat="1" spans="3:13">
      <c r="C8644" s="94"/>
      <c r="E8644" s="94"/>
      <c r="G8644" s="94"/>
      <c r="I8644" s="94"/>
      <c r="K8644" s="94"/>
      <c r="M8644" s="94"/>
    </row>
    <row r="8645" s="93" customFormat="1" spans="3:13">
      <c r="C8645" s="94"/>
      <c r="E8645" s="94"/>
      <c r="G8645" s="94"/>
      <c r="I8645" s="94"/>
      <c r="K8645" s="94"/>
      <c r="M8645" s="94"/>
    </row>
    <row r="8646" s="93" customFormat="1" spans="3:13">
      <c r="C8646" s="94"/>
      <c r="E8646" s="94"/>
      <c r="G8646" s="94"/>
      <c r="I8646" s="94"/>
      <c r="K8646" s="94"/>
      <c r="M8646" s="94"/>
    </row>
    <row r="8647" s="93" customFormat="1" spans="3:13">
      <c r="C8647" s="94"/>
      <c r="E8647" s="94"/>
      <c r="G8647" s="94"/>
      <c r="I8647" s="94"/>
      <c r="K8647" s="94"/>
      <c r="M8647" s="94"/>
    </row>
    <row r="8648" s="93" customFormat="1" spans="3:13">
      <c r="C8648" s="94"/>
      <c r="E8648" s="94"/>
      <c r="G8648" s="94"/>
      <c r="I8648" s="94"/>
      <c r="K8648" s="94"/>
      <c r="M8648" s="94"/>
    </row>
    <row r="8649" s="93" customFormat="1" spans="3:13">
      <c r="C8649" s="94"/>
      <c r="E8649" s="94"/>
      <c r="G8649" s="94"/>
      <c r="I8649" s="94"/>
      <c r="K8649" s="94"/>
      <c r="M8649" s="94"/>
    </row>
    <row r="8650" s="93" customFormat="1" spans="3:13">
      <c r="C8650" s="94"/>
      <c r="E8650" s="94"/>
      <c r="G8650" s="94"/>
      <c r="I8650" s="94"/>
      <c r="K8650" s="94"/>
      <c r="M8650" s="94"/>
    </row>
    <row r="8651" s="93" customFormat="1" spans="3:13">
      <c r="C8651" s="94"/>
      <c r="E8651" s="94"/>
      <c r="G8651" s="94"/>
      <c r="I8651" s="94"/>
      <c r="K8651" s="94"/>
      <c r="M8651" s="94"/>
    </row>
    <row r="8652" s="93" customFormat="1" spans="3:13">
      <c r="C8652" s="94"/>
      <c r="E8652" s="94"/>
      <c r="G8652" s="94"/>
      <c r="I8652" s="94"/>
      <c r="K8652" s="94"/>
      <c r="M8652" s="94"/>
    </row>
    <row r="8653" s="93" customFormat="1" spans="3:13">
      <c r="C8653" s="94"/>
      <c r="E8653" s="94"/>
      <c r="G8653" s="94"/>
      <c r="I8653" s="94"/>
      <c r="K8653" s="94"/>
      <c r="M8653" s="94"/>
    </row>
    <row r="8654" s="93" customFormat="1" spans="3:13">
      <c r="C8654" s="94"/>
      <c r="E8654" s="94"/>
      <c r="G8654" s="94"/>
      <c r="I8654" s="94"/>
      <c r="K8654" s="94"/>
      <c r="M8654" s="94"/>
    </row>
    <row r="8655" s="93" customFormat="1" spans="3:13">
      <c r="C8655" s="94"/>
      <c r="E8655" s="94"/>
      <c r="G8655" s="94"/>
      <c r="I8655" s="94"/>
      <c r="K8655" s="94"/>
      <c r="M8655" s="94"/>
    </row>
    <row r="8656" s="93" customFormat="1" spans="3:13">
      <c r="C8656" s="94"/>
      <c r="E8656" s="94"/>
      <c r="G8656" s="94"/>
      <c r="I8656" s="94"/>
      <c r="K8656" s="94"/>
      <c r="M8656" s="94"/>
    </row>
    <row r="8657" s="93" customFormat="1" spans="3:13">
      <c r="C8657" s="94"/>
      <c r="E8657" s="94"/>
      <c r="G8657" s="94"/>
      <c r="I8657" s="94"/>
      <c r="K8657" s="94"/>
      <c r="M8657" s="94"/>
    </row>
    <row r="8658" s="93" customFormat="1" spans="3:13">
      <c r="C8658" s="94"/>
      <c r="E8658" s="94"/>
      <c r="G8658" s="94"/>
      <c r="I8658" s="94"/>
      <c r="K8658" s="94"/>
      <c r="M8658" s="94"/>
    </row>
    <row r="8659" s="93" customFormat="1" spans="3:13">
      <c r="C8659" s="94"/>
      <c r="E8659" s="94"/>
      <c r="G8659" s="94"/>
      <c r="I8659" s="94"/>
      <c r="K8659" s="94"/>
      <c r="M8659" s="94"/>
    </row>
    <row r="8660" s="93" customFormat="1" spans="3:13">
      <c r="C8660" s="94"/>
      <c r="E8660" s="94"/>
      <c r="G8660" s="94"/>
      <c r="I8660" s="94"/>
      <c r="K8660" s="94"/>
      <c r="M8660" s="94"/>
    </row>
    <row r="8661" s="93" customFormat="1" spans="3:13">
      <c r="C8661" s="94"/>
      <c r="E8661" s="94"/>
      <c r="G8661" s="94"/>
      <c r="I8661" s="94"/>
      <c r="K8661" s="94"/>
      <c r="M8661" s="94"/>
    </row>
    <row r="8662" s="93" customFormat="1" spans="3:13">
      <c r="C8662" s="94"/>
      <c r="E8662" s="94"/>
      <c r="G8662" s="94"/>
      <c r="I8662" s="94"/>
      <c r="K8662" s="94"/>
      <c r="M8662" s="94"/>
    </row>
    <row r="8663" s="93" customFormat="1" spans="3:13">
      <c r="C8663" s="94"/>
      <c r="E8663" s="94"/>
      <c r="G8663" s="94"/>
      <c r="I8663" s="94"/>
      <c r="K8663" s="94"/>
      <c r="M8663" s="94"/>
    </row>
    <row r="8664" s="93" customFormat="1" spans="3:13">
      <c r="C8664" s="94"/>
      <c r="E8664" s="94"/>
      <c r="G8664" s="94"/>
      <c r="I8664" s="94"/>
      <c r="K8664" s="94"/>
      <c r="M8664" s="94"/>
    </row>
    <row r="8665" s="93" customFormat="1" spans="3:13">
      <c r="C8665" s="94"/>
      <c r="E8665" s="94"/>
      <c r="G8665" s="94"/>
      <c r="I8665" s="94"/>
      <c r="K8665" s="94"/>
      <c r="M8665" s="94"/>
    </row>
    <row r="8666" s="93" customFormat="1" spans="3:13">
      <c r="C8666" s="94"/>
      <c r="E8666" s="94"/>
      <c r="G8666" s="94"/>
      <c r="I8666" s="94"/>
      <c r="K8666" s="94"/>
      <c r="M8666" s="94"/>
    </row>
    <row r="8667" s="93" customFormat="1" spans="3:13">
      <c r="C8667" s="94"/>
      <c r="E8667" s="94"/>
      <c r="G8667" s="94"/>
      <c r="I8667" s="94"/>
      <c r="K8667" s="94"/>
      <c r="M8667" s="94"/>
    </row>
    <row r="8668" s="93" customFormat="1" spans="3:13">
      <c r="C8668" s="94"/>
      <c r="E8668" s="94"/>
      <c r="G8668" s="94"/>
      <c r="I8668" s="94"/>
      <c r="K8668" s="94"/>
      <c r="M8668" s="94"/>
    </row>
    <row r="8669" s="93" customFormat="1" spans="3:13">
      <c r="C8669" s="94"/>
      <c r="E8669" s="94"/>
      <c r="G8669" s="94"/>
      <c r="I8669" s="94"/>
      <c r="K8669" s="94"/>
      <c r="M8669" s="94"/>
    </row>
    <row r="8670" s="93" customFormat="1" spans="3:13">
      <c r="C8670" s="94"/>
      <c r="E8670" s="94"/>
      <c r="G8670" s="94"/>
      <c r="I8670" s="94"/>
      <c r="K8670" s="94"/>
      <c r="M8670" s="94"/>
    </row>
    <row r="8671" s="93" customFormat="1" spans="3:13">
      <c r="C8671" s="94"/>
      <c r="E8671" s="94"/>
      <c r="G8671" s="94"/>
      <c r="I8671" s="94"/>
      <c r="K8671" s="94"/>
      <c r="M8671" s="94"/>
    </row>
    <row r="8672" s="93" customFormat="1" spans="3:13">
      <c r="C8672" s="94"/>
      <c r="E8672" s="94"/>
      <c r="G8672" s="94"/>
      <c r="I8672" s="94"/>
      <c r="K8672" s="94"/>
      <c r="M8672" s="94"/>
    </row>
    <row r="8673" s="93" customFormat="1" spans="3:13">
      <c r="C8673" s="94"/>
      <c r="E8673" s="94"/>
      <c r="G8673" s="94"/>
      <c r="I8673" s="94"/>
      <c r="K8673" s="94"/>
      <c r="M8673" s="94"/>
    </row>
    <row r="8674" s="93" customFormat="1" spans="3:13">
      <c r="C8674" s="94"/>
      <c r="E8674" s="94"/>
      <c r="G8674" s="94"/>
      <c r="I8674" s="94"/>
      <c r="K8674" s="94"/>
      <c r="M8674" s="94"/>
    </row>
    <row r="8675" s="93" customFormat="1" spans="3:13">
      <c r="C8675" s="94"/>
      <c r="E8675" s="94"/>
      <c r="G8675" s="94"/>
      <c r="I8675" s="94"/>
      <c r="K8675" s="94"/>
      <c r="M8675" s="94"/>
    </row>
    <row r="8676" s="93" customFormat="1" spans="3:13">
      <c r="C8676" s="94"/>
      <c r="E8676" s="94"/>
      <c r="G8676" s="94"/>
      <c r="I8676" s="94"/>
      <c r="K8676" s="94"/>
      <c r="M8676" s="94"/>
    </row>
    <row r="8677" s="93" customFormat="1" spans="3:13">
      <c r="C8677" s="94"/>
      <c r="E8677" s="94"/>
      <c r="G8677" s="94"/>
      <c r="I8677" s="94"/>
      <c r="K8677" s="94"/>
      <c r="M8677" s="94"/>
    </row>
    <row r="8678" s="93" customFormat="1" spans="3:13">
      <c r="C8678" s="94"/>
      <c r="E8678" s="94"/>
      <c r="G8678" s="94"/>
      <c r="I8678" s="94"/>
      <c r="K8678" s="94"/>
      <c r="M8678" s="94"/>
    </row>
    <row r="8679" s="93" customFormat="1" spans="3:13">
      <c r="C8679" s="94"/>
      <c r="E8679" s="94"/>
      <c r="G8679" s="94"/>
      <c r="I8679" s="94"/>
      <c r="K8679" s="94"/>
      <c r="M8679" s="94"/>
    </row>
    <row r="8680" s="93" customFormat="1" spans="3:13">
      <c r="C8680" s="94"/>
      <c r="E8680" s="94"/>
      <c r="G8680" s="94"/>
      <c r="I8680" s="94"/>
      <c r="K8680" s="94"/>
      <c r="M8680" s="94"/>
    </row>
    <row r="8681" s="93" customFormat="1" spans="3:13">
      <c r="C8681" s="94"/>
      <c r="E8681" s="94"/>
      <c r="G8681" s="94"/>
      <c r="I8681" s="94"/>
      <c r="K8681" s="94"/>
      <c r="M8681" s="94"/>
    </row>
    <row r="8682" s="93" customFormat="1" spans="3:13">
      <c r="C8682" s="94"/>
      <c r="E8682" s="94"/>
      <c r="G8682" s="94"/>
      <c r="I8682" s="94"/>
      <c r="K8682" s="94"/>
      <c r="M8682" s="94"/>
    </row>
    <row r="8683" s="93" customFormat="1" spans="3:13">
      <c r="C8683" s="94"/>
      <c r="E8683" s="94"/>
      <c r="G8683" s="94"/>
      <c r="I8683" s="94"/>
      <c r="K8683" s="94"/>
      <c r="M8683" s="94"/>
    </row>
    <row r="8684" s="93" customFormat="1" spans="3:13">
      <c r="C8684" s="94"/>
      <c r="E8684" s="94"/>
      <c r="G8684" s="94"/>
      <c r="I8684" s="94"/>
      <c r="K8684" s="94"/>
      <c r="M8684" s="94"/>
    </row>
    <row r="8685" s="93" customFormat="1" spans="3:13">
      <c r="C8685" s="94"/>
      <c r="E8685" s="94"/>
      <c r="G8685" s="94"/>
      <c r="I8685" s="94"/>
      <c r="K8685" s="94"/>
      <c r="M8685" s="94"/>
    </row>
    <row r="8686" s="93" customFormat="1" spans="3:13">
      <c r="C8686" s="94"/>
      <c r="E8686" s="94"/>
      <c r="G8686" s="94"/>
      <c r="I8686" s="94"/>
      <c r="K8686" s="94"/>
      <c r="M8686" s="94"/>
    </row>
    <row r="8687" s="93" customFormat="1" spans="3:13">
      <c r="C8687" s="94"/>
      <c r="E8687" s="94"/>
      <c r="G8687" s="94"/>
      <c r="I8687" s="94"/>
      <c r="K8687" s="94"/>
      <c r="M8687" s="94"/>
    </row>
    <row r="8688" s="93" customFormat="1" spans="3:13">
      <c r="C8688" s="94"/>
      <c r="E8688" s="94"/>
      <c r="G8688" s="94"/>
      <c r="I8688" s="94"/>
      <c r="K8688" s="94"/>
      <c r="M8688" s="94"/>
    </row>
    <row r="8689" s="93" customFormat="1" spans="3:13">
      <c r="C8689" s="94"/>
      <c r="E8689" s="94"/>
      <c r="G8689" s="94"/>
      <c r="I8689" s="94"/>
      <c r="K8689" s="94"/>
      <c r="M8689" s="94"/>
    </row>
    <row r="8690" s="93" customFormat="1" spans="3:13">
      <c r="C8690" s="94"/>
      <c r="E8690" s="94"/>
      <c r="G8690" s="94"/>
      <c r="I8690" s="94"/>
      <c r="K8690" s="94"/>
      <c r="M8690" s="94"/>
    </row>
    <row r="8691" s="93" customFormat="1" spans="3:13">
      <c r="C8691" s="94"/>
      <c r="E8691" s="94"/>
      <c r="G8691" s="94"/>
      <c r="I8691" s="94"/>
      <c r="K8691" s="94"/>
      <c r="M8691" s="94"/>
    </row>
    <row r="8692" s="93" customFormat="1" spans="3:13">
      <c r="C8692" s="94"/>
      <c r="E8692" s="94"/>
      <c r="G8692" s="94"/>
      <c r="I8692" s="94"/>
      <c r="K8692" s="94"/>
      <c r="M8692" s="94"/>
    </row>
    <row r="8693" s="93" customFormat="1" spans="3:13">
      <c r="C8693" s="94"/>
      <c r="E8693" s="94"/>
      <c r="G8693" s="94"/>
      <c r="I8693" s="94"/>
      <c r="K8693" s="94"/>
      <c r="M8693" s="94"/>
    </row>
    <row r="8694" s="93" customFormat="1" spans="3:13">
      <c r="C8694" s="94"/>
      <c r="E8694" s="94"/>
      <c r="G8694" s="94"/>
      <c r="I8694" s="94"/>
      <c r="K8694" s="94"/>
      <c r="M8694" s="94"/>
    </row>
    <row r="8695" s="93" customFormat="1" spans="3:13">
      <c r="C8695" s="94"/>
      <c r="E8695" s="94"/>
      <c r="G8695" s="94"/>
      <c r="I8695" s="94"/>
      <c r="K8695" s="94"/>
      <c r="M8695" s="94"/>
    </row>
    <row r="8696" s="93" customFormat="1" spans="3:13">
      <c r="C8696" s="94"/>
      <c r="E8696" s="94"/>
      <c r="G8696" s="94"/>
      <c r="I8696" s="94"/>
      <c r="K8696" s="94"/>
      <c r="M8696" s="94"/>
    </row>
    <row r="8697" s="93" customFormat="1" spans="3:13">
      <c r="C8697" s="94"/>
      <c r="E8697" s="94"/>
      <c r="G8697" s="94"/>
      <c r="I8697" s="94"/>
      <c r="K8697" s="94"/>
      <c r="M8697" s="94"/>
    </row>
    <row r="8698" s="93" customFormat="1" spans="3:13">
      <c r="C8698" s="94"/>
      <c r="E8698" s="94"/>
      <c r="G8698" s="94"/>
      <c r="I8698" s="94"/>
      <c r="K8698" s="94"/>
      <c r="M8698" s="94"/>
    </row>
    <row r="8699" s="93" customFormat="1" spans="3:13">
      <c r="C8699" s="94"/>
      <c r="E8699" s="94"/>
      <c r="G8699" s="94"/>
      <c r="I8699" s="94"/>
      <c r="K8699" s="94"/>
      <c r="M8699" s="94"/>
    </row>
    <row r="8700" s="93" customFormat="1" spans="3:13">
      <c r="C8700" s="94"/>
      <c r="E8700" s="94"/>
      <c r="G8700" s="94"/>
      <c r="I8700" s="94"/>
      <c r="K8700" s="94"/>
      <c r="M8700" s="94"/>
    </row>
    <row r="8701" s="93" customFormat="1" spans="3:13">
      <c r="C8701" s="94"/>
      <c r="E8701" s="94"/>
      <c r="G8701" s="94"/>
      <c r="I8701" s="94"/>
      <c r="K8701" s="94"/>
      <c r="M8701" s="94"/>
    </row>
    <row r="8702" s="93" customFormat="1" spans="3:13">
      <c r="C8702" s="94"/>
      <c r="E8702" s="94"/>
      <c r="G8702" s="94"/>
      <c r="I8702" s="94"/>
      <c r="K8702" s="94"/>
      <c r="M8702" s="94"/>
    </row>
    <row r="8703" s="93" customFormat="1" spans="3:13">
      <c r="C8703" s="94"/>
      <c r="E8703" s="94"/>
      <c r="G8703" s="94"/>
      <c r="I8703" s="94"/>
      <c r="K8703" s="94"/>
      <c r="M8703" s="94"/>
    </row>
    <row r="8704" s="93" customFormat="1" spans="3:13">
      <c r="C8704" s="94"/>
      <c r="E8704" s="94"/>
      <c r="G8704" s="94"/>
      <c r="I8704" s="94"/>
      <c r="K8704" s="94"/>
      <c r="M8704" s="94"/>
    </row>
    <row r="8705" s="93" customFormat="1" spans="3:13">
      <c r="C8705" s="94"/>
      <c r="E8705" s="94"/>
      <c r="G8705" s="94"/>
      <c r="I8705" s="94"/>
      <c r="K8705" s="94"/>
      <c r="M8705" s="94"/>
    </row>
    <row r="8706" s="93" customFormat="1" spans="3:13">
      <c r="C8706" s="94"/>
      <c r="E8706" s="94"/>
      <c r="G8706" s="94"/>
      <c r="I8706" s="94"/>
      <c r="K8706" s="94"/>
      <c r="M8706" s="94"/>
    </row>
    <row r="8707" s="93" customFormat="1" spans="3:13">
      <c r="C8707" s="94"/>
      <c r="E8707" s="94"/>
      <c r="G8707" s="94"/>
      <c r="I8707" s="94"/>
      <c r="K8707" s="94"/>
      <c r="M8707" s="94"/>
    </row>
    <row r="8708" s="93" customFormat="1" spans="3:13">
      <c r="C8708" s="94"/>
      <c r="E8708" s="94"/>
      <c r="G8708" s="94"/>
      <c r="I8708" s="94"/>
      <c r="K8708" s="94"/>
      <c r="M8708" s="94"/>
    </row>
    <row r="8709" s="93" customFormat="1" spans="3:13">
      <c r="C8709" s="94"/>
      <c r="E8709" s="94"/>
      <c r="G8709" s="94"/>
      <c r="I8709" s="94"/>
      <c r="K8709" s="94"/>
      <c r="M8709" s="94"/>
    </row>
    <row r="8710" s="93" customFormat="1" spans="3:13">
      <c r="C8710" s="94"/>
      <c r="E8710" s="94"/>
      <c r="G8710" s="94"/>
      <c r="I8710" s="94"/>
      <c r="K8710" s="94"/>
      <c r="M8710" s="94"/>
    </row>
    <row r="8711" s="93" customFormat="1" spans="3:13">
      <c r="C8711" s="94"/>
      <c r="E8711" s="94"/>
      <c r="G8711" s="94"/>
      <c r="I8711" s="94"/>
      <c r="K8711" s="94"/>
      <c r="M8711" s="94"/>
    </row>
    <row r="8712" s="93" customFormat="1" spans="3:13">
      <c r="C8712" s="94"/>
      <c r="E8712" s="94"/>
      <c r="G8712" s="94"/>
      <c r="I8712" s="94"/>
      <c r="K8712" s="94"/>
      <c r="M8712" s="94"/>
    </row>
    <row r="8713" s="93" customFormat="1" spans="3:13">
      <c r="C8713" s="94"/>
      <c r="E8713" s="94"/>
      <c r="G8713" s="94"/>
      <c r="I8713" s="94"/>
      <c r="K8713" s="94"/>
      <c r="M8713" s="94"/>
    </row>
    <row r="8714" s="93" customFormat="1" spans="3:13">
      <c r="C8714" s="94"/>
      <c r="E8714" s="94"/>
      <c r="G8714" s="94"/>
      <c r="I8714" s="94"/>
      <c r="K8714" s="94"/>
      <c r="M8714" s="94"/>
    </row>
    <row r="8715" s="93" customFormat="1" spans="3:13">
      <c r="C8715" s="94"/>
      <c r="E8715" s="94"/>
      <c r="G8715" s="94"/>
      <c r="I8715" s="94"/>
      <c r="K8715" s="94"/>
      <c r="M8715" s="94"/>
    </row>
    <row r="8716" s="93" customFormat="1" spans="3:13">
      <c r="C8716" s="94"/>
      <c r="E8716" s="94"/>
      <c r="G8716" s="94"/>
      <c r="I8716" s="94"/>
      <c r="K8716" s="94"/>
      <c r="M8716" s="94"/>
    </row>
    <row r="8717" s="93" customFormat="1" spans="3:13">
      <c r="C8717" s="94"/>
      <c r="E8717" s="94"/>
      <c r="G8717" s="94"/>
      <c r="I8717" s="94"/>
      <c r="K8717" s="94"/>
      <c r="M8717" s="94"/>
    </row>
    <row r="8718" s="93" customFormat="1" spans="3:13">
      <c r="C8718" s="94"/>
      <c r="E8718" s="94"/>
      <c r="G8718" s="94"/>
      <c r="I8718" s="94"/>
      <c r="K8718" s="94"/>
      <c r="M8718" s="94"/>
    </row>
    <row r="8719" s="93" customFormat="1" spans="3:13">
      <c r="C8719" s="94"/>
      <c r="E8719" s="94"/>
      <c r="G8719" s="94"/>
      <c r="I8719" s="94"/>
      <c r="K8719" s="94"/>
      <c r="M8719" s="94"/>
    </row>
    <row r="8720" s="93" customFormat="1" spans="3:13">
      <c r="C8720" s="94"/>
      <c r="E8720" s="94"/>
      <c r="G8720" s="94"/>
      <c r="I8720" s="94"/>
      <c r="K8720" s="94"/>
      <c r="M8720" s="94"/>
    </row>
    <row r="8721" s="93" customFormat="1" spans="3:13">
      <c r="C8721" s="94"/>
      <c r="E8721" s="94"/>
      <c r="G8721" s="94"/>
      <c r="I8721" s="94"/>
      <c r="K8721" s="94"/>
      <c r="M8721" s="94"/>
    </row>
    <row r="8722" s="93" customFormat="1" spans="3:13">
      <c r="C8722" s="94"/>
      <c r="E8722" s="94"/>
      <c r="G8722" s="94"/>
      <c r="I8722" s="94"/>
      <c r="K8722" s="94"/>
      <c r="M8722" s="94"/>
    </row>
    <row r="8723" s="93" customFormat="1" spans="3:13">
      <c r="C8723" s="94"/>
      <c r="E8723" s="94"/>
      <c r="G8723" s="94"/>
      <c r="I8723" s="94"/>
      <c r="K8723" s="94"/>
      <c r="M8723" s="94"/>
    </row>
    <row r="8724" s="93" customFormat="1" spans="3:13">
      <c r="C8724" s="94"/>
      <c r="E8724" s="94"/>
      <c r="G8724" s="94"/>
      <c r="I8724" s="94"/>
      <c r="K8724" s="94"/>
      <c r="M8724" s="94"/>
    </row>
    <row r="8725" s="93" customFormat="1" spans="3:13">
      <c r="C8725" s="94"/>
      <c r="E8725" s="94"/>
      <c r="G8725" s="94"/>
      <c r="I8725" s="94"/>
      <c r="K8725" s="94"/>
      <c r="M8725" s="94"/>
    </row>
    <row r="8726" s="93" customFormat="1" spans="3:13">
      <c r="C8726" s="94"/>
      <c r="E8726" s="94"/>
      <c r="G8726" s="94"/>
      <c r="I8726" s="94"/>
      <c r="K8726" s="94"/>
      <c r="M8726" s="94"/>
    </row>
    <row r="8727" s="93" customFormat="1" spans="3:13">
      <c r="C8727" s="94"/>
      <c r="E8727" s="94"/>
      <c r="G8727" s="94"/>
      <c r="I8727" s="94"/>
      <c r="K8727" s="94"/>
      <c r="M8727" s="94"/>
    </row>
    <row r="8728" s="93" customFormat="1" spans="3:13">
      <c r="C8728" s="94"/>
      <c r="E8728" s="94"/>
      <c r="G8728" s="94"/>
      <c r="I8728" s="94"/>
      <c r="K8728" s="94"/>
      <c r="M8728" s="94"/>
    </row>
    <row r="8729" s="93" customFormat="1" spans="3:13">
      <c r="C8729" s="94"/>
      <c r="E8729" s="94"/>
      <c r="G8729" s="94"/>
      <c r="I8729" s="94"/>
      <c r="K8729" s="94"/>
      <c r="M8729" s="94"/>
    </row>
    <row r="8730" s="93" customFormat="1" spans="3:13">
      <c r="C8730" s="94"/>
      <c r="E8730" s="94"/>
      <c r="G8730" s="94"/>
      <c r="I8730" s="94"/>
      <c r="K8730" s="94"/>
      <c r="M8730" s="94"/>
    </row>
    <row r="8731" s="93" customFormat="1" spans="3:13">
      <c r="C8731" s="94"/>
      <c r="E8731" s="94"/>
      <c r="G8731" s="94"/>
      <c r="I8731" s="94"/>
      <c r="K8731" s="94"/>
      <c r="M8731" s="94"/>
    </row>
    <row r="8732" s="93" customFormat="1" spans="3:13">
      <c r="C8732" s="94"/>
      <c r="E8732" s="94"/>
      <c r="G8732" s="94"/>
      <c r="I8732" s="94"/>
      <c r="K8732" s="94"/>
      <c r="M8732" s="94"/>
    </row>
    <row r="8733" s="93" customFormat="1" spans="3:13">
      <c r="C8733" s="94"/>
      <c r="E8733" s="94"/>
      <c r="G8733" s="94"/>
      <c r="I8733" s="94"/>
      <c r="K8733" s="94"/>
      <c r="M8733" s="94"/>
    </row>
    <row r="8734" s="93" customFormat="1" spans="3:13">
      <c r="C8734" s="94"/>
      <c r="E8734" s="94"/>
      <c r="G8734" s="94"/>
      <c r="I8734" s="94"/>
      <c r="K8734" s="94"/>
      <c r="M8734" s="94"/>
    </row>
    <row r="8735" s="93" customFormat="1" spans="3:13">
      <c r="C8735" s="94"/>
      <c r="E8735" s="94"/>
      <c r="G8735" s="94"/>
      <c r="I8735" s="94"/>
      <c r="K8735" s="94"/>
      <c r="M8735" s="94"/>
    </row>
    <row r="8736" s="93" customFormat="1" spans="3:13">
      <c r="C8736" s="94"/>
      <c r="E8736" s="94"/>
      <c r="G8736" s="94"/>
      <c r="I8736" s="94"/>
      <c r="K8736" s="94"/>
      <c r="M8736" s="94"/>
    </row>
    <row r="8737" s="93" customFormat="1" spans="3:13">
      <c r="C8737" s="94"/>
      <c r="E8737" s="94"/>
      <c r="G8737" s="94"/>
      <c r="I8737" s="94"/>
      <c r="K8737" s="94"/>
      <c r="M8737" s="94"/>
    </row>
    <row r="8738" s="93" customFormat="1" spans="3:13">
      <c r="C8738" s="94"/>
      <c r="E8738" s="94"/>
      <c r="G8738" s="94"/>
      <c r="I8738" s="94"/>
      <c r="K8738" s="94"/>
      <c r="M8738" s="94"/>
    </row>
    <row r="8739" s="93" customFormat="1" spans="3:13">
      <c r="C8739" s="94"/>
      <c r="E8739" s="94"/>
      <c r="G8739" s="94"/>
      <c r="I8739" s="94"/>
      <c r="K8739" s="94"/>
      <c r="M8739" s="94"/>
    </row>
    <row r="8740" s="93" customFormat="1" spans="3:13">
      <c r="C8740" s="94"/>
      <c r="E8740" s="94"/>
      <c r="G8740" s="94"/>
      <c r="I8740" s="94"/>
      <c r="K8740" s="94"/>
      <c r="M8740" s="94"/>
    </row>
    <row r="8741" s="93" customFormat="1" spans="3:13">
      <c r="C8741" s="94"/>
      <c r="E8741" s="94"/>
      <c r="G8741" s="94"/>
      <c r="I8741" s="94"/>
      <c r="K8741" s="94"/>
      <c r="M8741" s="94"/>
    </row>
    <row r="8742" s="93" customFormat="1" spans="3:13">
      <c r="C8742" s="94"/>
      <c r="E8742" s="94"/>
      <c r="G8742" s="94"/>
      <c r="I8742" s="94"/>
      <c r="K8742" s="94"/>
      <c r="M8742" s="94"/>
    </row>
    <row r="8743" s="93" customFormat="1" spans="3:13">
      <c r="C8743" s="94"/>
      <c r="E8743" s="94"/>
      <c r="G8743" s="94"/>
      <c r="I8743" s="94"/>
      <c r="K8743" s="94"/>
      <c r="M8743" s="94"/>
    </row>
    <row r="8744" s="93" customFormat="1" spans="3:13">
      <c r="C8744" s="94"/>
      <c r="E8744" s="94"/>
      <c r="G8744" s="94"/>
      <c r="I8744" s="94"/>
      <c r="K8744" s="94"/>
      <c r="M8744" s="94"/>
    </row>
    <row r="8745" s="93" customFormat="1" spans="3:13">
      <c r="C8745" s="94"/>
      <c r="E8745" s="94"/>
      <c r="G8745" s="94"/>
      <c r="I8745" s="94"/>
      <c r="K8745" s="94"/>
      <c r="M8745" s="94"/>
    </row>
    <row r="8746" s="93" customFormat="1" spans="3:13">
      <c r="C8746" s="94"/>
      <c r="E8746" s="94"/>
      <c r="G8746" s="94"/>
      <c r="I8746" s="94"/>
      <c r="K8746" s="94"/>
      <c r="M8746" s="94"/>
    </row>
    <row r="8747" s="93" customFormat="1" spans="3:13">
      <c r="C8747" s="94"/>
      <c r="E8747" s="94"/>
      <c r="G8747" s="94"/>
      <c r="I8747" s="94"/>
      <c r="K8747" s="94"/>
      <c r="M8747" s="94"/>
    </row>
    <row r="8748" s="93" customFormat="1" spans="3:13">
      <c r="C8748" s="94"/>
      <c r="E8748" s="94"/>
      <c r="G8748" s="94"/>
      <c r="I8748" s="94"/>
      <c r="K8748" s="94"/>
      <c r="M8748" s="94"/>
    </row>
    <row r="8749" s="93" customFormat="1" spans="3:13">
      <c r="C8749" s="94"/>
      <c r="E8749" s="94"/>
      <c r="G8749" s="94"/>
      <c r="I8749" s="94"/>
      <c r="K8749" s="94"/>
      <c r="M8749" s="94"/>
    </row>
    <row r="8750" s="93" customFormat="1" spans="3:13">
      <c r="C8750" s="94"/>
      <c r="E8750" s="94"/>
      <c r="G8750" s="94"/>
      <c r="I8750" s="94"/>
      <c r="K8750" s="94"/>
      <c r="M8750" s="94"/>
    </row>
    <row r="8751" s="93" customFormat="1" spans="3:13">
      <c r="C8751" s="94"/>
      <c r="E8751" s="94"/>
      <c r="G8751" s="94"/>
      <c r="I8751" s="94"/>
      <c r="K8751" s="94"/>
      <c r="M8751" s="94"/>
    </row>
    <row r="8752" s="93" customFormat="1" spans="3:13">
      <c r="C8752" s="94"/>
      <c r="E8752" s="94"/>
      <c r="G8752" s="94"/>
      <c r="I8752" s="94"/>
      <c r="K8752" s="94"/>
      <c r="M8752" s="94"/>
    </row>
    <row r="8753" s="93" customFormat="1" spans="3:13">
      <c r="C8753" s="94"/>
      <c r="E8753" s="94"/>
      <c r="G8753" s="94"/>
      <c r="I8753" s="94"/>
      <c r="K8753" s="94"/>
      <c r="M8753" s="94"/>
    </row>
    <row r="8754" s="93" customFormat="1" spans="3:13">
      <c r="C8754" s="94"/>
      <c r="E8754" s="94"/>
      <c r="G8754" s="94"/>
      <c r="I8754" s="94"/>
      <c r="K8754" s="94"/>
      <c r="M8754" s="94"/>
    </row>
    <row r="8755" s="93" customFormat="1" spans="3:13">
      <c r="C8755" s="94"/>
      <c r="E8755" s="94"/>
      <c r="G8755" s="94"/>
      <c r="I8755" s="94"/>
      <c r="K8755" s="94"/>
      <c r="M8755" s="94"/>
    </row>
    <row r="8756" s="93" customFormat="1" spans="3:13">
      <c r="C8756" s="94"/>
      <c r="E8756" s="94"/>
      <c r="G8756" s="94"/>
      <c r="I8756" s="94"/>
      <c r="K8756" s="94"/>
      <c r="M8756" s="94"/>
    </row>
    <row r="8757" s="93" customFormat="1" spans="3:13">
      <c r="C8757" s="94"/>
      <c r="E8757" s="94"/>
      <c r="G8757" s="94"/>
      <c r="I8757" s="94"/>
      <c r="K8757" s="94"/>
      <c r="M8757" s="94"/>
    </row>
    <row r="8758" s="93" customFormat="1" spans="3:13">
      <c r="C8758" s="94"/>
      <c r="E8758" s="94"/>
      <c r="G8758" s="94"/>
      <c r="I8758" s="94"/>
      <c r="K8758" s="94"/>
      <c r="M8758" s="94"/>
    </row>
    <row r="8759" s="93" customFormat="1" spans="3:13">
      <c r="C8759" s="94"/>
      <c r="E8759" s="94"/>
      <c r="G8759" s="94"/>
      <c r="I8759" s="94"/>
      <c r="K8759" s="94"/>
      <c r="M8759" s="94"/>
    </row>
    <row r="8760" s="93" customFormat="1" spans="3:13">
      <c r="C8760" s="94"/>
      <c r="E8760" s="94"/>
      <c r="G8760" s="94"/>
      <c r="I8760" s="94"/>
      <c r="K8760" s="94"/>
      <c r="M8760" s="94"/>
    </row>
    <row r="8761" s="93" customFormat="1" spans="3:13">
      <c r="C8761" s="94"/>
      <c r="E8761" s="94"/>
      <c r="G8761" s="94"/>
      <c r="I8761" s="94"/>
      <c r="K8761" s="94"/>
      <c r="M8761" s="94"/>
    </row>
    <row r="8762" s="93" customFormat="1" spans="3:13">
      <c r="C8762" s="94"/>
      <c r="E8762" s="94"/>
      <c r="G8762" s="94"/>
      <c r="I8762" s="94"/>
      <c r="K8762" s="94"/>
      <c r="M8762" s="94"/>
    </row>
    <row r="8763" s="93" customFormat="1" spans="3:13">
      <c r="C8763" s="94"/>
      <c r="E8763" s="94"/>
      <c r="G8763" s="94"/>
      <c r="I8763" s="94"/>
      <c r="K8763" s="94"/>
      <c r="M8763" s="94"/>
    </row>
    <row r="8764" s="93" customFormat="1" spans="3:13">
      <c r="C8764" s="94"/>
      <c r="E8764" s="94"/>
      <c r="G8764" s="94"/>
      <c r="I8764" s="94"/>
      <c r="K8764" s="94"/>
      <c r="M8764" s="94"/>
    </row>
    <row r="8765" s="93" customFormat="1" spans="3:13">
      <c r="C8765" s="94"/>
      <c r="E8765" s="94"/>
      <c r="G8765" s="94"/>
      <c r="I8765" s="94"/>
      <c r="K8765" s="94"/>
      <c r="M8765" s="94"/>
    </row>
    <row r="8766" s="93" customFormat="1" spans="3:13">
      <c r="C8766" s="94"/>
      <c r="E8766" s="94"/>
      <c r="G8766" s="94"/>
      <c r="I8766" s="94"/>
      <c r="K8766" s="94"/>
      <c r="M8766" s="94"/>
    </row>
    <row r="8767" s="93" customFormat="1" spans="3:13">
      <c r="C8767" s="94"/>
      <c r="E8767" s="94"/>
      <c r="G8767" s="94"/>
      <c r="I8767" s="94"/>
      <c r="K8767" s="94"/>
      <c r="M8767" s="94"/>
    </row>
    <row r="8768" s="93" customFormat="1" spans="3:13">
      <c r="C8768" s="94"/>
      <c r="E8768" s="94"/>
      <c r="G8768" s="94"/>
      <c r="I8768" s="94"/>
      <c r="K8768" s="94"/>
      <c r="M8768" s="94"/>
    </row>
    <row r="8769" s="93" customFormat="1" spans="3:13">
      <c r="C8769" s="94"/>
      <c r="E8769" s="94"/>
      <c r="G8769" s="94"/>
      <c r="I8769" s="94"/>
      <c r="K8769" s="94"/>
      <c r="M8769" s="94"/>
    </row>
    <row r="8770" s="93" customFormat="1" spans="3:13">
      <c r="C8770" s="94"/>
      <c r="E8770" s="94"/>
      <c r="G8770" s="94"/>
      <c r="I8770" s="94"/>
      <c r="K8770" s="94"/>
      <c r="M8770" s="94"/>
    </row>
    <row r="8771" s="93" customFormat="1" spans="3:13">
      <c r="C8771" s="94"/>
      <c r="E8771" s="94"/>
      <c r="G8771" s="94"/>
      <c r="I8771" s="94"/>
      <c r="K8771" s="94"/>
      <c r="M8771" s="94"/>
    </row>
    <row r="8772" s="93" customFormat="1" spans="3:13">
      <c r="C8772" s="94"/>
      <c r="E8772" s="94"/>
      <c r="G8772" s="94"/>
      <c r="I8772" s="94"/>
      <c r="K8772" s="94"/>
      <c r="M8772" s="94"/>
    </row>
    <row r="8773" s="93" customFormat="1" spans="3:13">
      <c r="C8773" s="94"/>
      <c r="E8773" s="94"/>
      <c r="G8773" s="94"/>
      <c r="I8773" s="94"/>
      <c r="K8773" s="94"/>
      <c r="M8773" s="94"/>
    </row>
    <row r="8774" s="93" customFormat="1" spans="3:13">
      <c r="C8774" s="94"/>
      <c r="E8774" s="94"/>
      <c r="G8774" s="94"/>
      <c r="I8774" s="94"/>
      <c r="K8774" s="94"/>
      <c r="M8774" s="94"/>
    </row>
    <row r="8775" s="93" customFormat="1" spans="3:13">
      <c r="C8775" s="94"/>
      <c r="E8775" s="94"/>
      <c r="G8775" s="94"/>
      <c r="I8775" s="94"/>
      <c r="K8775" s="94"/>
      <c r="M8775" s="94"/>
    </row>
    <row r="8776" s="93" customFormat="1" spans="3:13">
      <c r="C8776" s="94"/>
      <c r="E8776" s="94"/>
      <c r="G8776" s="94"/>
      <c r="I8776" s="94"/>
      <c r="K8776" s="94"/>
      <c r="M8776" s="94"/>
    </row>
    <row r="8777" s="93" customFormat="1" spans="3:13">
      <c r="C8777" s="94"/>
      <c r="E8777" s="94"/>
      <c r="G8777" s="94"/>
      <c r="I8777" s="94"/>
      <c r="K8777" s="94"/>
      <c r="M8777" s="94"/>
    </row>
    <row r="8778" s="93" customFormat="1" spans="3:13">
      <c r="C8778" s="94"/>
      <c r="E8778" s="94"/>
      <c r="G8778" s="94"/>
      <c r="I8778" s="94"/>
      <c r="K8778" s="94"/>
      <c r="M8778" s="94"/>
    </row>
    <row r="8779" s="93" customFormat="1" spans="3:13">
      <c r="C8779" s="94"/>
      <c r="E8779" s="94"/>
      <c r="G8779" s="94"/>
      <c r="I8779" s="94"/>
      <c r="K8779" s="94"/>
      <c r="M8779" s="94"/>
    </row>
    <row r="8780" s="93" customFormat="1" spans="3:13">
      <c r="C8780" s="94"/>
      <c r="E8780" s="94"/>
      <c r="G8780" s="94"/>
      <c r="I8780" s="94"/>
      <c r="K8780" s="94"/>
      <c r="M8780" s="94"/>
    </row>
    <row r="8781" s="93" customFormat="1" spans="3:13">
      <c r="C8781" s="94"/>
      <c r="E8781" s="94"/>
      <c r="G8781" s="94"/>
      <c r="I8781" s="94"/>
      <c r="K8781" s="94"/>
      <c r="M8781" s="94"/>
    </row>
    <row r="8782" s="93" customFormat="1" spans="3:13">
      <c r="C8782" s="94"/>
      <c r="E8782" s="94"/>
      <c r="G8782" s="94"/>
      <c r="I8782" s="94"/>
      <c r="K8782" s="94"/>
      <c r="M8782" s="94"/>
    </row>
    <row r="8783" s="93" customFormat="1" spans="3:13">
      <c r="C8783" s="94"/>
      <c r="E8783" s="94"/>
      <c r="G8783" s="94"/>
      <c r="I8783" s="94"/>
      <c r="K8783" s="94"/>
      <c r="M8783" s="94"/>
    </row>
    <row r="8784" s="93" customFormat="1" spans="3:13">
      <c r="C8784" s="94"/>
      <c r="E8784" s="94"/>
      <c r="G8784" s="94"/>
      <c r="I8784" s="94"/>
      <c r="K8784" s="94"/>
      <c r="M8784" s="94"/>
    </row>
    <row r="8785" s="93" customFormat="1" spans="3:13">
      <c r="C8785" s="94"/>
      <c r="E8785" s="94"/>
      <c r="G8785" s="94"/>
      <c r="I8785" s="94"/>
      <c r="K8785" s="94"/>
      <c r="M8785" s="94"/>
    </row>
    <row r="8786" s="93" customFormat="1" spans="3:13">
      <c r="C8786" s="94"/>
      <c r="E8786" s="94"/>
      <c r="G8786" s="94"/>
      <c r="I8786" s="94"/>
      <c r="K8786" s="94"/>
      <c r="M8786" s="94"/>
    </row>
    <row r="8787" s="93" customFormat="1" spans="3:13">
      <c r="C8787" s="94"/>
      <c r="E8787" s="94"/>
      <c r="G8787" s="94"/>
      <c r="I8787" s="94"/>
      <c r="K8787" s="94"/>
      <c r="M8787" s="94"/>
    </row>
    <row r="8788" s="93" customFormat="1" spans="3:13">
      <c r="C8788" s="94"/>
      <c r="E8788" s="94"/>
      <c r="G8788" s="94"/>
      <c r="I8788" s="94"/>
      <c r="K8788" s="94"/>
      <c r="M8788" s="94"/>
    </row>
    <row r="8789" s="93" customFormat="1" spans="3:13">
      <c r="C8789" s="94"/>
      <c r="E8789" s="94"/>
      <c r="G8789" s="94"/>
      <c r="I8789" s="94"/>
      <c r="K8789" s="94"/>
      <c r="M8789" s="94"/>
    </row>
    <row r="8790" s="93" customFormat="1" spans="3:13">
      <c r="C8790" s="94"/>
      <c r="E8790" s="94"/>
      <c r="G8790" s="94"/>
      <c r="I8790" s="94"/>
      <c r="K8790" s="94"/>
      <c r="M8790" s="94"/>
    </row>
    <row r="8791" s="93" customFormat="1" spans="3:13">
      <c r="C8791" s="94"/>
      <c r="E8791" s="94"/>
      <c r="G8791" s="94"/>
      <c r="I8791" s="94"/>
      <c r="K8791" s="94"/>
      <c r="M8791" s="94"/>
    </row>
    <row r="8792" s="93" customFormat="1" spans="3:13">
      <c r="C8792" s="94"/>
      <c r="E8792" s="94"/>
      <c r="G8792" s="94"/>
      <c r="I8792" s="94"/>
      <c r="K8792" s="94"/>
      <c r="M8792" s="94"/>
    </row>
    <row r="8793" s="93" customFormat="1" spans="3:13">
      <c r="C8793" s="94"/>
      <c r="E8793" s="94"/>
      <c r="G8793" s="94"/>
      <c r="I8793" s="94"/>
      <c r="K8793" s="94"/>
      <c r="M8793" s="94"/>
    </row>
    <row r="8794" s="93" customFormat="1" spans="3:13">
      <c r="C8794" s="94"/>
      <c r="E8794" s="94"/>
      <c r="G8794" s="94"/>
      <c r="I8794" s="94"/>
      <c r="K8794" s="94"/>
      <c r="M8794" s="94"/>
    </row>
    <row r="8795" s="93" customFormat="1" spans="3:13">
      <c r="C8795" s="94"/>
      <c r="E8795" s="94"/>
      <c r="G8795" s="94"/>
      <c r="I8795" s="94"/>
      <c r="K8795" s="94"/>
      <c r="M8795" s="94"/>
    </row>
    <row r="8796" s="93" customFormat="1" spans="3:13">
      <c r="C8796" s="94"/>
      <c r="E8796" s="94"/>
      <c r="G8796" s="94"/>
      <c r="I8796" s="94"/>
      <c r="K8796" s="94"/>
      <c r="M8796" s="94"/>
    </row>
    <row r="8797" s="93" customFormat="1" spans="3:13">
      <c r="C8797" s="94"/>
      <c r="E8797" s="94"/>
      <c r="G8797" s="94"/>
      <c r="I8797" s="94"/>
      <c r="K8797" s="94"/>
      <c r="M8797" s="94"/>
    </row>
    <row r="8798" s="93" customFormat="1" spans="3:13">
      <c r="C8798" s="94"/>
      <c r="E8798" s="94"/>
      <c r="G8798" s="94"/>
      <c r="I8798" s="94"/>
      <c r="K8798" s="94"/>
      <c r="M8798" s="94"/>
    </row>
    <row r="8799" s="93" customFormat="1" spans="3:13">
      <c r="C8799" s="94"/>
      <c r="E8799" s="94"/>
      <c r="G8799" s="94"/>
      <c r="I8799" s="94"/>
      <c r="K8799" s="94"/>
      <c r="M8799" s="94"/>
    </row>
    <row r="8800" s="93" customFormat="1" spans="3:13">
      <c r="C8800" s="94"/>
      <c r="E8800" s="94"/>
      <c r="G8800" s="94"/>
      <c r="I8800" s="94"/>
      <c r="K8800" s="94"/>
      <c r="M8800" s="94"/>
    </row>
    <row r="8801" s="93" customFormat="1" spans="3:13">
      <c r="C8801" s="94"/>
      <c r="E8801" s="94"/>
      <c r="G8801" s="94"/>
      <c r="I8801" s="94"/>
      <c r="K8801" s="94"/>
      <c r="M8801" s="94"/>
    </row>
    <row r="8802" s="93" customFormat="1" spans="3:13">
      <c r="C8802" s="94"/>
      <c r="E8802" s="94"/>
      <c r="G8802" s="94"/>
      <c r="I8802" s="94"/>
      <c r="K8802" s="94"/>
      <c r="M8802" s="94"/>
    </row>
    <row r="8803" s="93" customFormat="1" spans="3:13">
      <c r="C8803" s="94"/>
      <c r="E8803" s="94"/>
      <c r="G8803" s="94"/>
      <c r="I8803" s="94"/>
      <c r="K8803" s="94"/>
      <c r="M8803" s="94"/>
    </row>
    <row r="8804" s="93" customFormat="1" spans="3:13">
      <c r="C8804" s="94"/>
      <c r="E8804" s="94"/>
      <c r="G8804" s="94"/>
      <c r="I8804" s="94"/>
      <c r="K8804" s="94"/>
      <c r="M8804" s="94"/>
    </row>
    <row r="8805" s="93" customFormat="1" spans="3:13">
      <c r="C8805" s="94"/>
      <c r="E8805" s="94"/>
      <c r="G8805" s="94"/>
      <c r="I8805" s="94"/>
      <c r="K8805" s="94"/>
      <c r="M8805" s="94"/>
    </row>
    <row r="8806" s="93" customFormat="1" spans="3:13">
      <c r="C8806" s="94"/>
      <c r="E8806" s="94"/>
      <c r="G8806" s="94"/>
      <c r="I8806" s="94"/>
      <c r="K8806" s="94"/>
      <c r="M8806" s="94"/>
    </row>
    <row r="8807" s="93" customFormat="1" spans="3:13">
      <c r="C8807" s="94"/>
      <c r="E8807" s="94"/>
      <c r="G8807" s="94"/>
      <c r="I8807" s="94"/>
      <c r="K8807" s="94"/>
      <c r="M8807" s="94"/>
    </row>
    <row r="8808" s="93" customFormat="1" spans="3:13">
      <c r="C8808" s="94"/>
      <c r="E8808" s="94"/>
      <c r="G8808" s="94"/>
      <c r="I8808" s="94"/>
      <c r="K8808" s="94"/>
      <c r="M8808" s="94"/>
    </row>
    <row r="8809" s="93" customFormat="1" spans="3:13">
      <c r="C8809" s="94"/>
      <c r="E8809" s="94"/>
      <c r="G8809" s="94"/>
      <c r="I8809" s="94"/>
      <c r="K8809" s="94"/>
      <c r="M8809" s="94"/>
    </row>
    <row r="8810" s="93" customFormat="1" spans="3:13">
      <c r="C8810" s="94"/>
      <c r="E8810" s="94"/>
      <c r="G8810" s="94"/>
      <c r="I8810" s="94"/>
      <c r="K8810" s="94"/>
      <c r="M8810" s="94"/>
    </row>
    <row r="8811" s="93" customFormat="1" spans="3:13">
      <c r="C8811" s="94"/>
      <c r="E8811" s="94"/>
      <c r="G8811" s="94"/>
      <c r="I8811" s="94"/>
      <c r="K8811" s="94"/>
      <c r="M8811" s="94"/>
    </row>
    <row r="8812" s="93" customFormat="1" spans="3:13">
      <c r="C8812" s="94"/>
      <c r="E8812" s="94"/>
      <c r="G8812" s="94"/>
      <c r="I8812" s="94"/>
      <c r="K8812" s="94"/>
      <c r="M8812" s="94"/>
    </row>
    <row r="8813" s="93" customFormat="1" spans="3:13">
      <c r="C8813" s="94"/>
      <c r="E8813" s="94"/>
      <c r="G8813" s="94"/>
      <c r="I8813" s="94"/>
      <c r="K8813" s="94"/>
      <c r="M8813" s="94"/>
    </row>
    <row r="8814" s="93" customFormat="1" spans="3:13">
      <c r="C8814" s="94"/>
      <c r="E8814" s="94"/>
      <c r="G8814" s="94"/>
      <c r="I8814" s="94"/>
      <c r="K8814" s="94"/>
      <c r="M8814" s="94"/>
    </row>
    <row r="8815" s="93" customFormat="1" spans="3:13">
      <c r="C8815" s="94"/>
      <c r="E8815" s="94"/>
      <c r="G8815" s="94"/>
      <c r="I8815" s="94"/>
      <c r="K8815" s="94"/>
      <c r="M8815" s="94"/>
    </row>
    <row r="8816" s="93" customFormat="1" spans="3:13">
      <c r="C8816" s="94"/>
      <c r="E8816" s="94"/>
      <c r="G8816" s="94"/>
      <c r="I8816" s="94"/>
      <c r="K8816" s="94"/>
      <c r="M8816" s="94"/>
    </row>
    <row r="8817" s="93" customFormat="1" spans="3:13">
      <c r="C8817" s="94"/>
      <c r="E8817" s="94"/>
      <c r="G8817" s="94"/>
      <c r="I8817" s="94"/>
      <c r="K8817" s="94"/>
      <c r="M8817" s="94"/>
    </row>
    <row r="8818" s="93" customFormat="1" spans="3:13">
      <c r="C8818" s="94"/>
      <c r="E8818" s="94"/>
      <c r="G8818" s="94"/>
      <c r="I8818" s="94"/>
      <c r="K8818" s="94"/>
      <c r="M8818" s="94"/>
    </row>
    <row r="8819" s="93" customFormat="1" spans="3:13">
      <c r="C8819" s="94"/>
      <c r="E8819" s="94"/>
      <c r="G8819" s="94"/>
      <c r="I8819" s="94"/>
      <c r="K8819" s="94"/>
      <c r="M8819" s="94"/>
    </row>
    <row r="8820" s="93" customFormat="1" spans="3:13">
      <c r="C8820" s="94"/>
      <c r="E8820" s="94"/>
      <c r="G8820" s="94"/>
      <c r="I8820" s="94"/>
      <c r="K8820" s="94"/>
      <c r="M8820" s="94"/>
    </row>
    <row r="8821" s="93" customFormat="1" spans="3:13">
      <c r="C8821" s="94"/>
      <c r="E8821" s="94"/>
      <c r="G8821" s="94"/>
      <c r="I8821" s="94"/>
      <c r="K8821" s="94"/>
      <c r="M8821" s="94"/>
    </row>
    <row r="8822" s="93" customFormat="1" spans="3:13">
      <c r="C8822" s="94"/>
      <c r="E8822" s="94"/>
      <c r="G8822" s="94"/>
      <c r="I8822" s="94"/>
      <c r="K8822" s="94"/>
      <c r="M8822" s="94"/>
    </row>
    <row r="8823" s="93" customFormat="1" spans="3:13">
      <c r="C8823" s="94"/>
      <c r="E8823" s="94"/>
      <c r="G8823" s="94"/>
      <c r="I8823" s="94"/>
      <c r="K8823" s="94"/>
      <c r="M8823" s="94"/>
    </row>
    <row r="8824" s="93" customFormat="1" spans="3:13">
      <c r="C8824" s="94"/>
      <c r="E8824" s="94"/>
      <c r="G8824" s="94"/>
      <c r="I8824" s="94"/>
      <c r="K8824" s="94"/>
      <c r="M8824" s="94"/>
    </row>
    <row r="8825" s="93" customFormat="1" spans="3:13">
      <c r="C8825" s="94"/>
      <c r="E8825" s="94"/>
      <c r="G8825" s="94"/>
      <c r="I8825" s="94"/>
      <c r="K8825" s="94"/>
      <c r="M8825" s="94"/>
    </row>
    <row r="8826" s="93" customFormat="1" spans="3:13">
      <c r="C8826" s="94"/>
      <c r="E8826" s="94"/>
      <c r="G8826" s="94"/>
      <c r="I8826" s="94"/>
      <c r="K8826" s="94"/>
      <c r="M8826" s="94"/>
    </row>
    <row r="8827" s="93" customFormat="1" spans="3:13">
      <c r="C8827" s="94"/>
      <c r="E8827" s="94"/>
      <c r="G8827" s="94"/>
      <c r="I8827" s="94"/>
      <c r="K8827" s="94"/>
      <c r="M8827" s="94"/>
    </row>
    <row r="8828" s="93" customFormat="1" spans="3:13">
      <c r="C8828" s="94"/>
      <c r="E8828" s="94"/>
      <c r="G8828" s="94"/>
      <c r="I8828" s="94"/>
      <c r="K8828" s="94"/>
      <c r="M8828" s="94"/>
    </row>
    <row r="8829" s="93" customFormat="1" spans="3:13">
      <c r="C8829" s="94"/>
      <c r="E8829" s="94"/>
      <c r="G8829" s="94"/>
      <c r="I8829" s="94"/>
      <c r="K8829" s="94"/>
      <c r="M8829" s="94"/>
    </row>
    <row r="8830" s="93" customFormat="1" spans="3:13">
      <c r="C8830" s="94"/>
      <c r="E8830" s="94"/>
      <c r="G8830" s="94"/>
      <c r="I8830" s="94"/>
      <c r="K8830" s="94"/>
      <c r="M8830" s="94"/>
    </row>
    <row r="8831" s="93" customFormat="1" spans="3:13">
      <c r="C8831" s="94"/>
      <c r="E8831" s="94"/>
      <c r="G8831" s="94"/>
      <c r="I8831" s="94"/>
      <c r="K8831" s="94"/>
      <c r="M8831" s="94"/>
    </row>
    <row r="8832" s="93" customFormat="1" spans="3:13">
      <c r="C8832" s="94"/>
      <c r="E8832" s="94"/>
      <c r="G8832" s="94"/>
      <c r="I8832" s="94"/>
      <c r="K8832" s="94"/>
      <c r="M8832" s="94"/>
    </row>
    <row r="8833" s="93" customFormat="1" spans="3:13">
      <c r="C8833" s="94"/>
      <c r="E8833" s="94"/>
      <c r="G8833" s="94"/>
      <c r="I8833" s="94"/>
      <c r="K8833" s="94"/>
      <c r="M8833" s="94"/>
    </row>
    <row r="8834" s="93" customFormat="1" spans="3:13">
      <c r="C8834" s="94"/>
      <c r="E8834" s="94"/>
      <c r="G8834" s="94"/>
      <c r="I8834" s="94"/>
      <c r="K8834" s="94"/>
      <c r="M8834" s="94"/>
    </row>
    <row r="8835" s="93" customFormat="1" spans="3:13">
      <c r="C8835" s="94"/>
      <c r="E8835" s="94"/>
      <c r="G8835" s="94"/>
      <c r="I8835" s="94"/>
      <c r="K8835" s="94"/>
      <c r="M8835" s="94"/>
    </row>
    <row r="8836" s="93" customFormat="1" spans="3:13">
      <c r="C8836" s="94"/>
      <c r="E8836" s="94"/>
      <c r="G8836" s="94"/>
      <c r="I8836" s="94"/>
      <c r="K8836" s="94"/>
      <c r="M8836" s="94"/>
    </row>
    <row r="8837" s="93" customFormat="1" spans="3:13">
      <c r="C8837" s="94"/>
      <c r="E8837" s="94"/>
      <c r="G8837" s="94"/>
      <c r="I8837" s="94"/>
      <c r="K8837" s="94"/>
      <c r="M8837" s="94"/>
    </row>
    <row r="8838" s="93" customFormat="1" spans="3:13">
      <c r="C8838" s="94"/>
      <c r="E8838" s="94"/>
      <c r="G8838" s="94"/>
      <c r="I8838" s="94"/>
      <c r="K8838" s="94"/>
      <c r="M8838" s="94"/>
    </row>
    <row r="8839" s="93" customFormat="1" spans="3:13">
      <c r="C8839" s="94"/>
      <c r="E8839" s="94"/>
      <c r="G8839" s="94"/>
      <c r="I8839" s="94"/>
      <c r="K8839" s="94"/>
      <c r="M8839" s="94"/>
    </row>
    <row r="8840" s="93" customFormat="1" spans="3:13">
      <c r="C8840" s="94"/>
      <c r="E8840" s="94"/>
      <c r="G8840" s="94"/>
      <c r="I8840" s="94"/>
      <c r="K8840" s="94"/>
      <c r="M8840" s="94"/>
    </row>
    <row r="8841" s="93" customFormat="1" spans="3:13">
      <c r="C8841" s="94"/>
      <c r="E8841" s="94"/>
      <c r="G8841" s="94"/>
      <c r="I8841" s="94"/>
      <c r="K8841" s="94"/>
      <c r="M8841" s="94"/>
    </row>
    <row r="8842" s="93" customFormat="1" spans="3:13">
      <c r="C8842" s="94"/>
      <c r="E8842" s="94"/>
      <c r="G8842" s="94"/>
      <c r="I8842" s="94"/>
      <c r="K8842" s="94"/>
      <c r="M8842" s="94"/>
    </row>
    <row r="8843" s="93" customFormat="1" spans="3:13">
      <c r="C8843" s="94"/>
      <c r="E8843" s="94"/>
      <c r="G8843" s="94"/>
      <c r="I8843" s="94"/>
      <c r="K8843" s="94"/>
      <c r="M8843" s="94"/>
    </row>
    <row r="8844" s="93" customFormat="1" spans="3:13">
      <c r="C8844" s="94"/>
      <c r="E8844" s="94"/>
      <c r="G8844" s="94"/>
      <c r="I8844" s="94"/>
      <c r="K8844" s="94"/>
      <c r="M8844" s="94"/>
    </row>
    <row r="8845" s="93" customFormat="1" spans="3:13">
      <c r="C8845" s="94"/>
      <c r="E8845" s="94"/>
      <c r="G8845" s="94"/>
      <c r="I8845" s="94"/>
      <c r="K8845" s="94"/>
      <c r="M8845" s="94"/>
    </row>
    <row r="8846" s="93" customFormat="1" spans="3:13">
      <c r="C8846" s="94"/>
      <c r="E8846" s="94"/>
      <c r="G8846" s="94"/>
      <c r="I8846" s="94"/>
      <c r="K8846" s="94"/>
      <c r="M8846" s="94"/>
    </row>
    <row r="8847" s="93" customFormat="1" spans="3:13">
      <c r="C8847" s="94"/>
      <c r="E8847" s="94"/>
      <c r="G8847" s="94"/>
      <c r="I8847" s="94"/>
      <c r="K8847" s="94"/>
      <c r="M8847" s="94"/>
    </row>
    <row r="8848" s="93" customFormat="1" spans="3:13">
      <c r="C8848" s="94"/>
      <c r="E8848" s="94"/>
      <c r="G8848" s="94"/>
      <c r="I8848" s="94"/>
      <c r="K8848" s="94"/>
      <c r="M8848" s="94"/>
    </row>
    <row r="8849" s="93" customFormat="1" spans="3:13">
      <c r="C8849" s="94"/>
      <c r="E8849" s="94"/>
      <c r="G8849" s="94"/>
      <c r="I8849" s="94"/>
      <c r="K8849" s="94"/>
      <c r="M8849" s="94"/>
    </row>
    <row r="8850" s="93" customFormat="1" spans="3:13">
      <c r="C8850" s="94"/>
      <c r="E8850" s="94"/>
      <c r="G8850" s="94"/>
      <c r="I8850" s="94"/>
      <c r="K8850" s="94"/>
      <c r="M8850" s="94"/>
    </row>
    <row r="8851" s="93" customFormat="1" spans="3:13">
      <c r="C8851" s="94"/>
      <c r="E8851" s="94"/>
      <c r="G8851" s="94"/>
      <c r="I8851" s="94"/>
      <c r="K8851" s="94"/>
      <c r="M8851" s="94"/>
    </row>
    <row r="8852" s="93" customFormat="1" spans="3:13">
      <c r="C8852" s="94"/>
      <c r="E8852" s="94"/>
      <c r="G8852" s="94"/>
      <c r="I8852" s="94"/>
      <c r="K8852" s="94"/>
      <c r="M8852" s="94"/>
    </row>
    <row r="8853" s="93" customFormat="1" spans="3:13">
      <c r="C8853" s="94"/>
      <c r="E8853" s="94"/>
      <c r="G8853" s="94"/>
      <c r="I8853" s="94"/>
      <c r="K8853" s="94"/>
      <c r="M8853" s="94"/>
    </row>
    <row r="8854" s="93" customFormat="1" spans="3:13">
      <c r="C8854" s="94"/>
      <c r="E8854" s="94"/>
      <c r="G8854" s="94"/>
      <c r="I8854" s="94"/>
      <c r="K8854" s="94"/>
      <c r="M8854" s="94"/>
    </row>
    <row r="8855" s="93" customFormat="1" spans="3:13">
      <c r="C8855" s="94"/>
      <c r="E8855" s="94"/>
      <c r="G8855" s="94"/>
      <c r="I8855" s="94"/>
      <c r="K8855" s="94"/>
      <c r="M8855" s="94"/>
    </row>
    <row r="8856" s="93" customFormat="1" spans="3:13">
      <c r="C8856" s="94"/>
      <c r="E8856" s="94"/>
      <c r="G8856" s="94"/>
      <c r="I8856" s="94"/>
      <c r="K8856" s="94"/>
      <c r="M8856" s="94"/>
    </row>
    <row r="8857" s="93" customFormat="1" spans="3:13">
      <c r="C8857" s="94"/>
      <c r="E8857" s="94"/>
      <c r="G8857" s="94"/>
      <c r="I8857" s="94"/>
      <c r="K8857" s="94"/>
      <c r="M8857" s="94"/>
    </row>
    <row r="8858" s="93" customFormat="1" spans="3:13">
      <c r="C8858" s="94"/>
      <c r="E8858" s="94"/>
      <c r="G8858" s="94"/>
      <c r="I8858" s="94"/>
      <c r="K8858" s="94"/>
      <c r="M8858" s="94"/>
    </row>
    <row r="8859" s="93" customFormat="1" spans="3:13">
      <c r="C8859" s="94"/>
      <c r="E8859" s="94"/>
      <c r="G8859" s="94"/>
      <c r="I8859" s="94"/>
      <c r="K8859" s="94"/>
      <c r="M8859" s="94"/>
    </row>
    <row r="8860" s="93" customFormat="1" spans="3:13">
      <c r="C8860" s="94"/>
      <c r="E8860" s="94"/>
      <c r="G8860" s="94"/>
      <c r="I8860" s="94"/>
      <c r="K8860" s="94"/>
      <c r="M8860" s="94"/>
    </row>
    <row r="8861" s="93" customFormat="1" spans="3:13">
      <c r="C8861" s="94"/>
      <c r="E8861" s="94"/>
      <c r="G8861" s="94"/>
      <c r="I8861" s="94"/>
      <c r="K8861" s="94"/>
      <c r="M8861" s="94"/>
    </row>
    <row r="8862" s="93" customFormat="1" spans="3:13">
      <c r="C8862" s="94"/>
      <c r="E8862" s="94"/>
      <c r="G8862" s="94"/>
      <c r="I8862" s="94"/>
      <c r="K8862" s="94"/>
      <c r="M8862" s="94"/>
    </row>
    <row r="8863" s="93" customFormat="1" spans="3:13">
      <c r="C8863" s="94"/>
      <c r="E8863" s="94"/>
      <c r="G8863" s="94"/>
      <c r="I8863" s="94"/>
      <c r="K8863" s="94"/>
      <c r="M8863" s="94"/>
    </row>
    <row r="8864" s="93" customFormat="1" spans="3:13">
      <c r="C8864" s="94"/>
      <c r="E8864" s="94"/>
      <c r="G8864" s="94"/>
      <c r="I8864" s="94"/>
      <c r="K8864" s="94"/>
      <c r="M8864" s="94"/>
    </row>
    <row r="8865" s="93" customFormat="1" spans="3:13">
      <c r="C8865" s="94"/>
      <c r="E8865" s="94"/>
      <c r="G8865" s="94"/>
      <c r="I8865" s="94"/>
      <c r="K8865" s="94"/>
      <c r="M8865" s="94"/>
    </row>
    <row r="8866" s="93" customFormat="1" spans="3:13">
      <c r="C8866" s="94"/>
      <c r="E8866" s="94"/>
      <c r="G8866" s="94"/>
      <c r="I8866" s="94"/>
      <c r="K8866" s="94"/>
      <c r="M8866" s="94"/>
    </row>
    <row r="8867" s="93" customFormat="1" spans="3:13">
      <c r="C8867" s="94"/>
      <c r="E8867" s="94"/>
      <c r="G8867" s="94"/>
      <c r="I8867" s="94"/>
      <c r="K8867" s="94"/>
      <c r="M8867" s="94"/>
    </row>
    <row r="8868" s="93" customFormat="1" spans="3:13">
      <c r="C8868" s="94"/>
      <c r="E8868" s="94"/>
      <c r="G8868" s="94"/>
      <c r="I8868" s="94"/>
      <c r="K8868" s="94"/>
      <c r="M8868" s="94"/>
    </row>
    <row r="8869" s="93" customFormat="1" spans="3:13">
      <c r="C8869" s="94"/>
      <c r="E8869" s="94"/>
      <c r="G8869" s="94"/>
      <c r="I8869" s="94"/>
      <c r="K8869" s="94"/>
      <c r="M8869" s="94"/>
    </row>
    <row r="8870" s="93" customFormat="1" spans="3:13">
      <c r="C8870" s="94"/>
      <c r="E8870" s="94"/>
      <c r="G8870" s="94"/>
      <c r="I8870" s="94"/>
      <c r="K8870" s="94"/>
      <c r="M8870" s="94"/>
    </row>
    <row r="8871" s="93" customFormat="1" spans="3:13">
      <c r="C8871" s="94"/>
      <c r="E8871" s="94"/>
      <c r="G8871" s="94"/>
      <c r="I8871" s="94"/>
      <c r="K8871" s="94"/>
      <c r="M8871" s="94"/>
    </row>
    <row r="8872" s="93" customFormat="1" spans="3:13">
      <c r="C8872" s="94"/>
      <c r="E8872" s="94"/>
      <c r="G8872" s="94"/>
      <c r="I8872" s="94"/>
      <c r="K8872" s="94"/>
      <c r="M8872" s="94"/>
    </row>
    <row r="8873" s="93" customFormat="1" spans="3:13">
      <c r="C8873" s="94"/>
      <c r="E8873" s="94"/>
      <c r="G8873" s="94"/>
      <c r="I8873" s="94"/>
      <c r="K8873" s="94"/>
      <c r="M8873" s="94"/>
    </row>
    <row r="8874" s="93" customFormat="1" spans="3:13">
      <c r="C8874" s="94"/>
      <c r="E8874" s="94"/>
      <c r="G8874" s="94"/>
      <c r="I8874" s="94"/>
      <c r="K8874" s="94"/>
      <c r="M8874" s="94"/>
    </row>
    <row r="8875" s="93" customFormat="1" spans="3:13">
      <c r="C8875" s="94"/>
      <c r="E8875" s="94"/>
      <c r="G8875" s="94"/>
      <c r="I8875" s="94"/>
      <c r="K8875" s="94"/>
      <c r="M8875" s="94"/>
    </row>
    <row r="8876" s="93" customFormat="1" spans="3:13">
      <c r="C8876" s="94"/>
      <c r="E8876" s="94"/>
      <c r="G8876" s="94"/>
      <c r="I8876" s="94"/>
      <c r="K8876" s="94"/>
      <c r="M8876" s="94"/>
    </row>
    <row r="8877" s="93" customFormat="1" spans="3:13">
      <c r="C8877" s="94"/>
      <c r="E8877" s="94"/>
      <c r="G8877" s="94"/>
      <c r="I8877" s="94"/>
      <c r="K8877" s="94"/>
      <c r="M8877" s="94"/>
    </row>
    <row r="8878" s="93" customFormat="1" spans="3:13">
      <c r="C8878" s="94"/>
      <c r="E8878" s="94"/>
      <c r="G8878" s="94"/>
      <c r="I8878" s="94"/>
      <c r="K8878" s="94"/>
      <c r="M8878" s="94"/>
    </row>
    <row r="8879" s="93" customFormat="1" spans="3:13">
      <c r="C8879" s="94"/>
      <c r="E8879" s="94"/>
      <c r="G8879" s="94"/>
      <c r="I8879" s="94"/>
      <c r="K8879" s="94"/>
      <c r="M8879" s="94"/>
    </row>
    <row r="8880" s="93" customFormat="1" spans="3:13">
      <c r="C8880" s="94"/>
      <c r="E8880" s="94"/>
      <c r="G8880" s="94"/>
      <c r="I8880" s="94"/>
      <c r="K8880" s="94"/>
      <c r="M8880" s="94"/>
    </row>
    <row r="8881" s="93" customFormat="1" spans="3:13">
      <c r="C8881" s="94"/>
      <c r="E8881" s="94"/>
      <c r="G8881" s="94"/>
      <c r="I8881" s="94"/>
      <c r="K8881" s="94"/>
      <c r="M8881" s="94"/>
    </row>
    <row r="8882" s="93" customFormat="1" spans="3:13">
      <c r="C8882" s="94"/>
      <c r="E8882" s="94"/>
      <c r="G8882" s="94"/>
      <c r="I8882" s="94"/>
      <c r="K8882" s="94"/>
      <c r="M8882" s="94"/>
    </row>
    <row r="8883" s="93" customFormat="1" spans="3:13">
      <c r="C8883" s="94"/>
      <c r="E8883" s="94"/>
      <c r="G8883" s="94"/>
      <c r="I8883" s="94"/>
      <c r="K8883" s="94"/>
      <c r="M8883" s="94"/>
    </row>
    <row r="8884" s="93" customFormat="1" spans="3:13">
      <c r="C8884" s="94"/>
      <c r="E8884" s="94"/>
      <c r="G8884" s="94"/>
      <c r="I8884" s="94"/>
      <c r="K8884" s="94"/>
      <c r="M8884" s="94"/>
    </row>
    <row r="8885" s="93" customFormat="1" spans="3:13">
      <c r="C8885" s="94"/>
      <c r="E8885" s="94"/>
      <c r="G8885" s="94"/>
      <c r="I8885" s="94"/>
      <c r="K8885" s="94"/>
      <c r="M8885" s="94"/>
    </row>
    <row r="8886" s="93" customFormat="1" spans="3:13">
      <c r="C8886" s="94"/>
      <c r="E8886" s="94"/>
      <c r="G8886" s="94"/>
      <c r="I8886" s="94"/>
      <c r="K8886" s="94"/>
      <c r="M8886" s="94"/>
    </row>
    <row r="8887" s="93" customFormat="1" spans="3:13">
      <c r="C8887" s="94"/>
      <c r="E8887" s="94"/>
      <c r="G8887" s="94"/>
      <c r="I8887" s="94"/>
      <c r="K8887" s="94"/>
      <c r="M8887" s="94"/>
    </row>
    <row r="8888" s="93" customFormat="1" spans="3:13">
      <c r="C8888" s="94"/>
      <c r="E8888" s="94"/>
      <c r="G8888" s="94"/>
      <c r="I8888" s="94"/>
      <c r="K8888" s="94"/>
      <c r="M8888" s="94"/>
    </row>
    <row r="8889" s="93" customFormat="1" spans="3:13">
      <c r="C8889" s="94"/>
      <c r="E8889" s="94"/>
      <c r="G8889" s="94"/>
      <c r="I8889" s="94"/>
      <c r="K8889" s="94"/>
      <c r="M8889" s="94"/>
    </row>
    <row r="8890" s="93" customFormat="1" spans="3:13">
      <c r="C8890" s="94"/>
      <c r="E8890" s="94"/>
      <c r="G8890" s="94"/>
      <c r="I8890" s="94"/>
      <c r="K8890" s="94"/>
      <c r="M8890" s="94"/>
    </row>
    <row r="8891" s="93" customFormat="1" spans="3:13">
      <c r="C8891" s="94"/>
      <c r="E8891" s="94"/>
      <c r="G8891" s="94"/>
      <c r="I8891" s="94"/>
      <c r="K8891" s="94"/>
      <c r="M8891" s="94"/>
    </row>
    <row r="8892" s="93" customFormat="1" spans="3:13">
      <c r="C8892" s="94"/>
      <c r="E8892" s="94"/>
      <c r="G8892" s="94"/>
      <c r="I8892" s="94"/>
      <c r="K8892" s="94"/>
      <c r="M8892" s="94"/>
    </row>
    <row r="8893" s="93" customFormat="1" spans="3:13">
      <c r="C8893" s="94"/>
      <c r="E8893" s="94"/>
      <c r="G8893" s="94"/>
      <c r="I8893" s="94"/>
      <c r="K8893" s="94"/>
      <c r="M8893" s="94"/>
    </row>
    <row r="8894" s="93" customFormat="1" spans="3:13">
      <c r="C8894" s="94"/>
      <c r="E8894" s="94"/>
      <c r="G8894" s="94"/>
      <c r="I8894" s="94"/>
      <c r="K8894" s="94"/>
      <c r="M8894" s="94"/>
    </row>
    <row r="8895" s="93" customFormat="1" spans="3:13">
      <c r="C8895" s="94"/>
      <c r="E8895" s="94"/>
      <c r="G8895" s="94"/>
      <c r="I8895" s="94"/>
      <c r="K8895" s="94"/>
      <c r="M8895" s="94"/>
    </row>
    <row r="8896" s="93" customFormat="1" spans="3:13">
      <c r="C8896" s="94"/>
      <c r="E8896" s="94"/>
      <c r="G8896" s="94"/>
      <c r="I8896" s="94"/>
      <c r="K8896" s="94"/>
      <c r="M8896" s="94"/>
    </row>
    <row r="8897" s="93" customFormat="1" spans="3:13">
      <c r="C8897" s="94"/>
      <c r="E8897" s="94"/>
      <c r="G8897" s="94"/>
      <c r="I8897" s="94"/>
      <c r="K8897" s="94"/>
      <c r="M8897" s="94"/>
    </row>
    <row r="8898" s="93" customFormat="1" spans="3:13">
      <c r="C8898" s="94"/>
      <c r="E8898" s="94"/>
      <c r="G8898" s="94"/>
      <c r="I8898" s="94"/>
      <c r="K8898" s="94"/>
      <c r="M8898" s="94"/>
    </row>
    <row r="8899" s="93" customFormat="1" spans="3:13">
      <c r="C8899" s="94"/>
      <c r="E8899" s="94"/>
      <c r="G8899" s="94"/>
      <c r="I8899" s="94"/>
      <c r="K8899" s="94"/>
      <c r="M8899" s="94"/>
    </row>
    <row r="8900" s="93" customFormat="1" spans="3:13">
      <c r="C8900" s="94"/>
      <c r="E8900" s="94"/>
      <c r="G8900" s="94"/>
      <c r="I8900" s="94"/>
      <c r="K8900" s="94"/>
      <c r="M8900" s="94"/>
    </row>
    <row r="8901" s="93" customFormat="1" spans="3:13">
      <c r="C8901" s="94"/>
      <c r="E8901" s="94"/>
      <c r="G8901" s="94"/>
      <c r="I8901" s="94"/>
      <c r="K8901" s="94"/>
      <c r="M8901" s="94"/>
    </row>
    <row r="8902" s="93" customFormat="1" spans="3:13">
      <c r="C8902" s="94"/>
      <c r="E8902" s="94"/>
      <c r="G8902" s="94"/>
      <c r="I8902" s="94"/>
      <c r="K8902" s="94"/>
      <c r="M8902" s="94"/>
    </row>
    <row r="8903" s="93" customFormat="1" spans="3:13">
      <c r="C8903" s="94"/>
      <c r="E8903" s="94"/>
      <c r="G8903" s="94"/>
      <c r="I8903" s="94"/>
      <c r="K8903" s="94"/>
      <c r="M8903" s="94"/>
    </row>
    <row r="8904" s="93" customFormat="1" spans="3:13">
      <c r="C8904" s="94"/>
      <c r="E8904" s="94"/>
      <c r="G8904" s="94"/>
      <c r="I8904" s="94"/>
      <c r="K8904" s="94"/>
      <c r="M8904" s="94"/>
    </row>
    <row r="8905" s="93" customFormat="1" spans="3:13">
      <c r="C8905" s="94"/>
      <c r="E8905" s="94"/>
      <c r="G8905" s="94"/>
      <c r="I8905" s="94"/>
      <c r="K8905" s="94"/>
      <c r="M8905" s="94"/>
    </row>
    <row r="8906" s="93" customFormat="1" spans="3:13">
      <c r="C8906" s="94"/>
      <c r="E8906" s="94"/>
      <c r="G8906" s="94"/>
      <c r="I8906" s="94"/>
      <c r="K8906" s="94"/>
      <c r="M8906" s="94"/>
    </row>
    <row r="8907" s="93" customFormat="1" spans="3:13">
      <c r="C8907" s="94"/>
      <c r="E8907" s="94"/>
      <c r="G8907" s="94"/>
      <c r="I8907" s="94"/>
      <c r="K8907" s="94"/>
      <c r="M8907" s="94"/>
    </row>
    <row r="8908" s="93" customFormat="1" spans="3:13">
      <c r="C8908" s="94"/>
      <c r="E8908" s="94"/>
      <c r="G8908" s="94"/>
      <c r="I8908" s="94"/>
      <c r="K8908" s="94"/>
      <c r="M8908" s="94"/>
    </row>
    <row r="8909" s="93" customFormat="1" spans="3:13">
      <c r="C8909" s="94"/>
      <c r="E8909" s="94"/>
      <c r="G8909" s="94"/>
      <c r="I8909" s="94"/>
      <c r="K8909" s="94"/>
      <c r="M8909" s="94"/>
    </row>
    <row r="8910" s="93" customFormat="1" spans="3:13">
      <c r="C8910" s="94"/>
      <c r="E8910" s="94"/>
      <c r="G8910" s="94"/>
      <c r="I8910" s="94"/>
      <c r="K8910" s="94"/>
      <c r="M8910" s="94"/>
    </row>
    <row r="8911" s="93" customFormat="1" spans="3:13">
      <c r="C8911" s="94"/>
      <c r="E8911" s="94"/>
      <c r="G8911" s="94"/>
      <c r="I8911" s="94"/>
      <c r="K8911" s="94"/>
      <c r="M8911" s="94"/>
    </row>
    <row r="8912" s="93" customFormat="1" spans="3:13">
      <c r="C8912" s="94"/>
      <c r="E8912" s="94"/>
      <c r="G8912" s="94"/>
      <c r="I8912" s="94"/>
      <c r="K8912" s="94"/>
      <c r="M8912" s="94"/>
    </row>
    <row r="8913" s="93" customFormat="1" spans="3:13">
      <c r="C8913" s="94"/>
      <c r="E8913" s="94"/>
      <c r="G8913" s="94"/>
      <c r="I8913" s="94"/>
      <c r="K8913" s="94"/>
      <c r="M8913" s="94"/>
    </row>
    <row r="8914" s="93" customFormat="1" spans="3:13">
      <c r="C8914" s="94"/>
      <c r="E8914" s="94"/>
      <c r="G8914" s="94"/>
      <c r="I8914" s="94"/>
      <c r="K8914" s="94"/>
      <c r="M8914" s="94"/>
    </row>
    <row r="8915" s="93" customFormat="1" spans="3:13">
      <c r="C8915" s="94"/>
      <c r="E8915" s="94"/>
      <c r="G8915" s="94"/>
      <c r="I8915" s="94"/>
      <c r="K8915" s="94"/>
      <c r="M8915" s="94"/>
    </row>
    <row r="8916" s="93" customFormat="1" spans="3:13">
      <c r="C8916" s="94"/>
      <c r="E8916" s="94"/>
      <c r="G8916" s="94"/>
      <c r="I8916" s="94"/>
      <c r="K8916" s="94"/>
      <c r="M8916" s="94"/>
    </row>
    <row r="8917" s="93" customFormat="1" spans="3:13">
      <c r="C8917" s="94"/>
      <c r="E8917" s="94"/>
      <c r="G8917" s="94"/>
      <c r="I8917" s="94"/>
      <c r="K8917" s="94"/>
      <c r="M8917" s="94"/>
    </row>
    <row r="8918" s="93" customFormat="1" spans="3:13">
      <c r="C8918" s="94"/>
      <c r="E8918" s="94"/>
      <c r="G8918" s="94"/>
      <c r="I8918" s="94"/>
      <c r="K8918" s="94"/>
      <c r="M8918" s="94"/>
    </row>
    <row r="8919" s="93" customFormat="1" spans="3:13">
      <c r="C8919" s="94"/>
      <c r="E8919" s="94"/>
      <c r="G8919" s="94"/>
      <c r="I8919" s="94"/>
      <c r="K8919" s="94"/>
      <c r="M8919" s="94"/>
    </row>
    <row r="8920" s="93" customFormat="1" spans="3:13">
      <c r="C8920" s="94"/>
      <c r="E8920" s="94"/>
      <c r="G8920" s="94"/>
      <c r="I8920" s="94"/>
      <c r="K8920" s="94"/>
      <c r="M8920" s="94"/>
    </row>
    <row r="8921" s="93" customFormat="1" spans="3:13">
      <c r="C8921" s="94"/>
      <c r="E8921" s="94"/>
      <c r="G8921" s="94"/>
      <c r="I8921" s="94"/>
      <c r="K8921" s="94"/>
      <c r="M8921" s="94"/>
    </row>
    <row r="8922" s="93" customFormat="1" spans="3:13">
      <c r="C8922" s="94"/>
      <c r="E8922" s="94"/>
      <c r="G8922" s="94"/>
      <c r="I8922" s="94"/>
      <c r="K8922" s="94"/>
      <c r="M8922" s="94"/>
    </row>
    <row r="8923" s="93" customFormat="1" spans="3:13">
      <c r="C8923" s="94"/>
      <c r="E8923" s="94"/>
      <c r="G8923" s="94"/>
      <c r="I8923" s="94"/>
      <c r="K8923" s="94"/>
      <c r="M8923" s="94"/>
    </row>
    <row r="8924" s="93" customFormat="1" spans="3:13">
      <c r="C8924" s="94"/>
      <c r="E8924" s="94"/>
      <c r="G8924" s="94"/>
      <c r="I8924" s="94"/>
      <c r="K8924" s="94"/>
      <c r="M8924" s="94"/>
    </row>
    <row r="8925" s="93" customFormat="1" spans="3:13">
      <c r="C8925" s="94"/>
      <c r="E8925" s="94"/>
      <c r="G8925" s="94"/>
      <c r="I8925" s="94"/>
      <c r="K8925" s="94"/>
      <c r="M8925" s="94"/>
    </row>
    <row r="8926" s="93" customFormat="1" spans="3:13">
      <c r="C8926" s="94"/>
      <c r="E8926" s="94"/>
      <c r="G8926" s="94"/>
      <c r="I8926" s="94"/>
      <c r="K8926" s="94"/>
      <c r="M8926" s="94"/>
    </row>
    <row r="8927" s="93" customFormat="1" spans="3:13">
      <c r="C8927" s="94"/>
      <c r="E8927" s="94"/>
      <c r="G8927" s="94"/>
      <c r="I8927" s="94"/>
      <c r="K8927" s="94"/>
      <c r="M8927" s="94"/>
    </row>
    <row r="8928" s="93" customFormat="1" spans="3:13">
      <c r="C8928" s="94"/>
      <c r="E8928" s="94"/>
      <c r="G8928" s="94"/>
      <c r="I8928" s="94"/>
      <c r="K8928" s="94"/>
      <c r="M8928" s="94"/>
    </row>
    <row r="8929" s="93" customFormat="1" spans="3:13">
      <c r="C8929" s="94"/>
      <c r="E8929" s="94"/>
      <c r="G8929" s="94"/>
      <c r="I8929" s="94"/>
      <c r="K8929" s="94"/>
      <c r="M8929" s="94"/>
    </row>
    <row r="8930" s="93" customFormat="1" spans="3:13">
      <c r="C8930" s="94"/>
      <c r="E8930" s="94"/>
      <c r="G8930" s="94"/>
      <c r="I8930" s="94"/>
      <c r="K8930" s="94"/>
      <c r="M8930" s="94"/>
    </row>
    <row r="8931" s="93" customFormat="1" spans="3:13">
      <c r="C8931" s="94"/>
      <c r="E8931" s="94"/>
      <c r="G8931" s="94"/>
      <c r="I8931" s="94"/>
      <c r="K8931" s="94"/>
      <c r="M8931" s="94"/>
    </row>
    <row r="8932" s="93" customFormat="1" spans="3:13">
      <c r="C8932" s="94"/>
      <c r="E8932" s="94"/>
      <c r="G8932" s="94"/>
      <c r="I8932" s="94"/>
      <c r="K8932" s="94"/>
      <c r="M8932" s="94"/>
    </row>
    <row r="8933" s="93" customFormat="1" spans="3:13">
      <c r="C8933" s="94"/>
      <c r="E8933" s="94"/>
      <c r="G8933" s="94"/>
      <c r="I8933" s="94"/>
      <c r="K8933" s="94"/>
      <c r="M8933" s="94"/>
    </row>
    <row r="8934" s="93" customFormat="1" spans="3:13">
      <c r="C8934" s="94"/>
      <c r="E8934" s="94"/>
      <c r="G8934" s="94"/>
      <c r="I8934" s="94"/>
      <c r="K8934" s="94"/>
      <c r="M8934" s="94"/>
    </row>
    <row r="8935" s="93" customFormat="1" spans="3:13">
      <c r="C8935" s="94"/>
      <c r="E8935" s="94"/>
      <c r="G8935" s="94"/>
      <c r="I8935" s="94"/>
      <c r="K8935" s="94"/>
      <c r="M8935" s="94"/>
    </row>
    <row r="8936" s="93" customFormat="1" spans="3:13">
      <c r="C8936" s="94"/>
      <c r="E8936" s="94"/>
      <c r="G8936" s="94"/>
      <c r="I8936" s="94"/>
      <c r="K8936" s="94"/>
      <c r="M8936" s="94"/>
    </row>
    <row r="8937" s="93" customFormat="1" spans="3:13">
      <c r="C8937" s="94"/>
      <c r="E8937" s="94"/>
      <c r="G8937" s="94"/>
      <c r="I8937" s="94"/>
      <c r="K8937" s="94"/>
      <c r="M8937" s="94"/>
    </row>
    <row r="8938" s="93" customFormat="1" spans="3:13">
      <c r="C8938" s="94"/>
      <c r="E8938" s="94"/>
      <c r="G8938" s="94"/>
      <c r="I8938" s="94"/>
      <c r="K8938" s="94"/>
      <c r="M8938" s="94"/>
    </row>
    <row r="8939" s="93" customFormat="1" spans="3:13">
      <c r="C8939" s="94"/>
      <c r="E8939" s="94"/>
      <c r="G8939" s="94"/>
      <c r="I8939" s="94"/>
      <c r="K8939" s="94"/>
      <c r="M8939" s="94"/>
    </row>
    <row r="8940" s="93" customFormat="1" spans="3:13">
      <c r="C8940" s="94"/>
      <c r="E8940" s="94"/>
      <c r="G8940" s="94"/>
      <c r="I8940" s="94"/>
      <c r="K8940" s="94"/>
      <c r="M8940" s="94"/>
    </row>
    <row r="8941" s="93" customFormat="1" spans="3:13">
      <c r="C8941" s="94"/>
      <c r="E8941" s="94"/>
      <c r="G8941" s="94"/>
      <c r="I8941" s="94"/>
      <c r="K8941" s="94"/>
      <c r="M8941" s="94"/>
    </row>
    <row r="8942" s="93" customFormat="1" spans="3:13">
      <c r="C8942" s="94"/>
      <c r="E8942" s="94"/>
      <c r="G8942" s="94"/>
      <c r="I8942" s="94"/>
      <c r="K8942" s="94"/>
      <c r="M8942" s="94"/>
    </row>
    <row r="8943" s="93" customFormat="1" spans="3:13">
      <c r="C8943" s="94"/>
      <c r="E8943" s="94"/>
      <c r="G8943" s="94"/>
      <c r="I8943" s="94"/>
      <c r="K8943" s="94"/>
      <c r="M8943" s="94"/>
    </row>
    <row r="8944" s="93" customFormat="1" spans="3:13">
      <c r="C8944" s="94"/>
      <c r="E8944" s="94"/>
      <c r="G8944" s="94"/>
      <c r="I8944" s="94"/>
      <c r="K8944" s="94"/>
      <c r="M8944" s="94"/>
    </row>
    <row r="8945" s="93" customFormat="1" spans="3:13">
      <c r="C8945" s="94"/>
      <c r="E8945" s="94"/>
      <c r="G8945" s="94"/>
      <c r="I8945" s="94"/>
      <c r="K8945" s="94"/>
      <c r="M8945" s="94"/>
    </row>
    <row r="8946" s="93" customFormat="1" spans="3:13">
      <c r="C8946" s="94"/>
      <c r="E8946" s="94"/>
      <c r="G8946" s="94"/>
      <c r="I8946" s="94"/>
      <c r="K8946" s="94"/>
      <c r="M8946" s="94"/>
    </row>
    <row r="8947" s="93" customFormat="1" spans="3:13">
      <c r="C8947" s="94"/>
      <c r="E8947" s="94"/>
      <c r="G8947" s="94"/>
      <c r="I8947" s="94"/>
      <c r="K8947" s="94"/>
      <c r="M8947" s="94"/>
    </row>
    <row r="8948" s="93" customFormat="1" spans="3:13">
      <c r="C8948" s="94"/>
      <c r="E8948" s="94"/>
      <c r="G8948" s="94"/>
      <c r="I8948" s="94"/>
      <c r="K8948" s="94"/>
      <c r="M8948" s="94"/>
    </row>
    <row r="8949" s="93" customFormat="1" spans="3:13">
      <c r="C8949" s="94"/>
      <c r="E8949" s="94"/>
      <c r="G8949" s="94"/>
      <c r="I8949" s="94"/>
      <c r="K8949" s="94"/>
      <c r="M8949" s="94"/>
    </row>
    <row r="8950" s="93" customFormat="1" spans="3:13">
      <c r="C8950" s="94"/>
      <c r="E8950" s="94"/>
      <c r="G8950" s="94"/>
      <c r="I8950" s="94"/>
      <c r="K8950" s="94"/>
      <c r="M8950" s="94"/>
    </row>
    <row r="8951" s="93" customFormat="1" spans="3:13">
      <c r="C8951" s="94"/>
      <c r="E8951" s="94"/>
      <c r="G8951" s="94"/>
      <c r="I8951" s="94"/>
      <c r="K8951" s="94"/>
      <c r="M8951" s="94"/>
    </row>
    <row r="8952" s="93" customFormat="1" spans="3:13">
      <c r="C8952" s="94"/>
      <c r="E8952" s="94"/>
      <c r="G8952" s="94"/>
      <c r="I8952" s="94"/>
      <c r="K8952" s="94"/>
      <c r="M8952" s="94"/>
    </row>
    <row r="8953" s="93" customFormat="1" spans="3:13">
      <c r="C8953" s="94"/>
      <c r="E8953" s="94"/>
      <c r="G8953" s="94"/>
      <c r="I8953" s="94"/>
      <c r="K8953" s="94"/>
      <c r="M8953" s="94"/>
    </row>
    <row r="8954" s="93" customFormat="1" spans="3:13">
      <c r="C8954" s="94"/>
      <c r="E8954" s="94"/>
      <c r="G8954" s="94"/>
      <c r="I8954" s="94"/>
      <c r="K8954" s="94"/>
      <c r="M8954" s="94"/>
    </row>
    <row r="8955" s="93" customFormat="1" spans="3:13">
      <c r="C8955" s="94"/>
      <c r="E8955" s="94"/>
      <c r="G8955" s="94"/>
      <c r="I8955" s="94"/>
      <c r="K8955" s="94"/>
      <c r="M8955" s="94"/>
    </row>
    <row r="8956" s="93" customFormat="1" spans="3:13">
      <c r="C8956" s="94"/>
      <c r="E8956" s="94"/>
      <c r="G8956" s="94"/>
      <c r="I8956" s="94"/>
      <c r="K8956" s="94"/>
      <c r="M8956" s="94"/>
    </row>
    <row r="8957" s="93" customFormat="1" spans="3:13">
      <c r="C8957" s="94"/>
      <c r="E8957" s="94"/>
      <c r="G8957" s="94"/>
      <c r="I8957" s="94"/>
      <c r="K8957" s="94"/>
      <c r="M8957" s="94"/>
    </row>
    <row r="8958" s="93" customFormat="1" spans="3:13">
      <c r="C8958" s="94"/>
      <c r="E8958" s="94"/>
      <c r="G8958" s="94"/>
      <c r="I8958" s="94"/>
      <c r="K8958" s="94"/>
      <c r="M8958" s="94"/>
    </row>
    <row r="8959" s="93" customFormat="1" spans="3:13">
      <c r="C8959" s="94"/>
      <c r="E8959" s="94"/>
      <c r="G8959" s="94"/>
      <c r="I8959" s="94"/>
      <c r="K8959" s="94"/>
      <c r="M8959" s="94"/>
    </row>
    <row r="8960" s="93" customFormat="1" spans="3:13">
      <c r="C8960" s="94"/>
      <c r="E8960" s="94"/>
      <c r="G8960" s="94"/>
      <c r="I8960" s="94"/>
      <c r="K8960" s="94"/>
      <c r="M8960" s="94"/>
    </row>
    <row r="8961" s="93" customFormat="1" spans="3:13">
      <c r="C8961" s="94"/>
      <c r="E8961" s="94"/>
      <c r="G8961" s="94"/>
      <c r="I8961" s="94"/>
      <c r="K8961" s="94"/>
      <c r="M8961" s="94"/>
    </row>
    <row r="8962" s="93" customFormat="1" spans="3:13">
      <c r="C8962" s="94"/>
      <c r="E8962" s="94"/>
      <c r="G8962" s="94"/>
      <c r="I8962" s="94"/>
      <c r="K8962" s="94"/>
      <c r="M8962" s="94"/>
    </row>
    <row r="8963" s="93" customFormat="1" spans="3:13">
      <c r="C8963" s="94"/>
      <c r="E8963" s="94"/>
      <c r="G8963" s="94"/>
      <c r="I8963" s="94"/>
      <c r="K8963" s="94"/>
      <c r="M8963" s="94"/>
    </row>
    <row r="8964" s="93" customFormat="1" spans="3:13">
      <c r="C8964" s="94"/>
      <c r="E8964" s="94"/>
      <c r="G8964" s="94"/>
      <c r="I8964" s="94"/>
      <c r="K8964" s="94"/>
      <c r="M8964" s="94"/>
    </row>
    <row r="8965" s="93" customFormat="1" spans="3:13">
      <c r="C8965" s="94"/>
      <c r="E8965" s="94"/>
      <c r="G8965" s="94"/>
      <c r="I8965" s="94"/>
      <c r="K8965" s="94"/>
      <c r="M8965" s="94"/>
    </row>
    <row r="8966" s="93" customFormat="1" spans="3:13">
      <c r="C8966" s="94"/>
      <c r="E8966" s="94"/>
      <c r="G8966" s="94"/>
      <c r="I8966" s="94"/>
      <c r="K8966" s="94"/>
      <c r="M8966" s="94"/>
    </row>
    <row r="8967" s="93" customFormat="1" spans="3:13">
      <c r="C8967" s="94"/>
      <c r="E8967" s="94"/>
      <c r="G8967" s="94"/>
      <c r="I8967" s="94"/>
      <c r="K8967" s="94"/>
      <c r="M8967" s="94"/>
    </row>
    <row r="8968" s="93" customFormat="1" spans="3:13">
      <c r="C8968" s="94"/>
      <c r="E8968" s="94"/>
      <c r="G8968" s="94"/>
      <c r="I8968" s="94"/>
      <c r="K8968" s="94"/>
      <c r="M8968" s="94"/>
    </row>
    <row r="8969" s="93" customFormat="1" spans="3:13">
      <c r="C8969" s="94"/>
      <c r="E8969" s="94"/>
      <c r="G8969" s="94"/>
      <c r="I8969" s="94"/>
      <c r="K8969" s="94"/>
      <c r="M8969" s="94"/>
    </row>
    <row r="8970" s="93" customFormat="1" spans="3:13">
      <c r="C8970" s="94"/>
      <c r="E8970" s="94"/>
      <c r="G8970" s="94"/>
      <c r="I8970" s="94"/>
      <c r="K8970" s="94"/>
      <c r="M8970" s="94"/>
    </row>
    <row r="8971" s="93" customFormat="1" spans="3:13">
      <c r="C8971" s="94"/>
      <c r="E8971" s="94"/>
      <c r="G8971" s="94"/>
      <c r="I8971" s="94"/>
      <c r="K8971" s="94"/>
      <c r="M8971" s="94"/>
    </row>
    <row r="8972" s="93" customFormat="1" spans="3:13">
      <c r="C8972" s="94"/>
      <c r="E8972" s="94"/>
      <c r="G8972" s="94"/>
      <c r="I8972" s="94"/>
      <c r="K8972" s="94"/>
      <c r="M8972" s="94"/>
    </row>
    <row r="8973" s="93" customFormat="1" spans="3:13">
      <c r="C8973" s="94"/>
      <c r="E8973" s="94"/>
      <c r="G8973" s="94"/>
      <c r="I8973" s="94"/>
      <c r="K8973" s="94"/>
      <c r="M8973" s="94"/>
    </row>
    <row r="8974" s="93" customFormat="1" spans="3:13">
      <c r="C8974" s="94"/>
      <c r="E8974" s="94"/>
      <c r="G8974" s="94"/>
      <c r="I8974" s="94"/>
      <c r="K8974" s="94"/>
      <c r="M8974" s="94"/>
    </row>
    <row r="8975" s="93" customFormat="1" spans="3:13">
      <c r="C8975" s="94"/>
      <c r="E8975" s="94"/>
      <c r="G8975" s="94"/>
      <c r="I8975" s="94"/>
      <c r="K8975" s="94"/>
      <c r="M8975" s="94"/>
    </row>
    <row r="8976" s="93" customFormat="1" spans="3:13">
      <c r="C8976" s="94"/>
      <c r="E8976" s="94"/>
      <c r="G8976" s="94"/>
      <c r="I8976" s="94"/>
      <c r="K8976" s="94"/>
      <c r="M8976" s="94"/>
    </row>
    <row r="8977" s="93" customFormat="1" spans="3:13">
      <c r="C8977" s="94"/>
      <c r="E8977" s="94"/>
      <c r="G8977" s="94"/>
      <c r="I8977" s="94"/>
      <c r="K8977" s="94"/>
      <c r="M8977" s="94"/>
    </row>
    <row r="8978" s="93" customFormat="1" spans="3:13">
      <c r="C8978" s="94"/>
      <c r="E8978" s="94"/>
      <c r="G8978" s="94"/>
      <c r="I8978" s="94"/>
      <c r="K8978" s="94"/>
      <c r="M8978" s="94"/>
    </row>
    <row r="8979" s="93" customFormat="1" spans="3:13">
      <c r="C8979" s="94"/>
      <c r="E8979" s="94"/>
      <c r="G8979" s="94"/>
      <c r="I8979" s="94"/>
      <c r="K8979" s="94"/>
      <c r="M8979" s="94"/>
    </row>
    <row r="8980" s="93" customFormat="1" spans="3:13">
      <c r="C8980" s="94"/>
      <c r="E8980" s="94"/>
      <c r="G8980" s="94"/>
      <c r="I8980" s="94"/>
      <c r="K8980" s="94"/>
      <c r="M8980" s="94"/>
    </row>
    <row r="8981" s="93" customFormat="1" spans="3:13">
      <c r="C8981" s="94"/>
      <c r="E8981" s="94"/>
      <c r="G8981" s="94"/>
      <c r="I8981" s="94"/>
      <c r="K8981" s="94"/>
      <c r="M8981" s="94"/>
    </row>
    <row r="8982" s="93" customFormat="1" spans="3:13">
      <c r="C8982" s="94"/>
      <c r="E8982" s="94"/>
      <c r="G8982" s="94"/>
      <c r="I8982" s="94"/>
      <c r="K8982" s="94"/>
      <c r="M8982" s="94"/>
    </row>
    <row r="8983" s="93" customFormat="1" spans="3:13">
      <c r="C8983" s="94"/>
      <c r="E8983" s="94"/>
      <c r="G8983" s="94"/>
      <c r="I8983" s="94"/>
      <c r="K8983" s="94"/>
      <c r="M8983" s="94"/>
    </row>
    <row r="8984" s="93" customFormat="1" spans="3:13">
      <c r="C8984" s="94"/>
      <c r="E8984" s="94"/>
      <c r="G8984" s="94"/>
      <c r="I8984" s="94"/>
      <c r="K8984" s="94"/>
      <c r="M8984" s="94"/>
    </row>
    <row r="8985" s="93" customFormat="1" spans="3:13">
      <c r="C8985" s="94"/>
      <c r="E8985" s="94"/>
      <c r="G8985" s="94"/>
      <c r="I8985" s="94"/>
      <c r="K8985" s="94"/>
      <c r="M8985" s="94"/>
    </row>
    <row r="8986" s="93" customFormat="1" spans="3:13">
      <c r="C8986" s="94"/>
      <c r="E8986" s="94"/>
      <c r="G8986" s="94"/>
      <c r="I8986" s="94"/>
      <c r="K8986" s="94"/>
      <c r="M8986" s="94"/>
    </row>
    <row r="8987" s="93" customFormat="1" spans="3:13">
      <c r="C8987" s="94"/>
      <c r="E8987" s="94"/>
      <c r="G8987" s="94"/>
      <c r="I8987" s="94"/>
      <c r="K8987" s="94"/>
      <c r="M8987" s="94"/>
    </row>
    <row r="8988" s="93" customFormat="1" spans="3:13">
      <c r="C8988" s="94"/>
      <c r="E8988" s="94"/>
      <c r="G8988" s="94"/>
      <c r="I8988" s="94"/>
      <c r="K8988" s="94"/>
      <c r="M8988" s="94"/>
    </row>
    <row r="8989" s="93" customFormat="1" spans="3:13">
      <c r="C8989" s="94"/>
      <c r="E8989" s="94"/>
      <c r="G8989" s="94"/>
      <c r="I8989" s="94"/>
      <c r="K8989" s="94"/>
      <c r="M8989" s="94"/>
    </row>
    <row r="8990" s="93" customFormat="1" spans="3:13">
      <c r="C8990" s="94"/>
      <c r="E8990" s="94"/>
      <c r="G8990" s="94"/>
      <c r="I8990" s="94"/>
      <c r="K8990" s="94"/>
      <c r="M8990" s="94"/>
    </row>
    <row r="8991" s="93" customFormat="1" spans="3:13">
      <c r="C8991" s="94"/>
      <c r="E8991" s="94"/>
      <c r="G8991" s="94"/>
      <c r="I8991" s="94"/>
      <c r="K8991" s="94"/>
      <c r="M8991" s="94"/>
    </row>
    <row r="8992" s="93" customFormat="1" spans="3:13">
      <c r="C8992" s="94"/>
      <c r="E8992" s="94"/>
      <c r="G8992" s="94"/>
      <c r="I8992" s="94"/>
      <c r="K8992" s="94"/>
      <c r="M8992" s="94"/>
    </row>
    <row r="8993" s="93" customFormat="1" spans="3:13">
      <c r="C8993" s="94"/>
      <c r="E8993" s="94"/>
      <c r="G8993" s="94"/>
      <c r="I8993" s="94"/>
      <c r="K8993" s="94"/>
      <c r="M8993" s="94"/>
    </row>
    <row r="8994" s="93" customFormat="1" spans="3:13">
      <c r="C8994" s="94"/>
      <c r="E8994" s="94"/>
      <c r="G8994" s="94"/>
      <c r="I8994" s="94"/>
      <c r="K8994" s="94"/>
      <c r="M8994" s="94"/>
    </row>
    <row r="8995" s="93" customFormat="1" spans="3:13">
      <c r="C8995" s="94"/>
      <c r="E8995" s="94"/>
      <c r="G8995" s="94"/>
      <c r="I8995" s="94"/>
      <c r="K8995" s="94"/>
      <c r="M8995" s="94"/>
    </row>
    <row r="8996" s="93" customFormat="1" spans="3:13">
      <c r="C8996" s="94"/>
      <c r="E8996" s="94"/>
      <c r="G8996" s="94"/>
      <c r="I8996" s="94"/>
      <c r="K8996" s="94"/>
      <c r="M8996" s="94"/>
    </row>
    <row r="8997" s="93" customFormat="1" spans="3:13">
      <c r="C8997" s="94"/>
      <c r="E8997" s="94"/>
      <c r="G8997" s="94"/>
      <c r="I8997" s="94"/>
      <c r="K8997" s="94"/>
      <c r="M8997" s="94"/>
    </row>
    <row r="8998" s="93" customFormat="1" spans="3:13">
      <c r="C8998" s="94"/>
      <c r="E8998" s="94"/>
      <c r="G8998" s="94"/>
      <c r="I8998" s="94"/>
      <c r="K8998" s="94"/>
      <c r="M8998" s="94"/>
    </row>
    <row r="8999" s="93" customFormat="1" spans="3:13">
      <c r="C8999" s="94"/>
      <c r="E8999" s="94"/>
      <c r="G8999" s="94"/>
      <c r="I8999" s="94"/>
      <c r="K8999" s="94"/>
      <c r="M8999" s="94"/>
    </row>
    <row r="9000" s="93" customFormat="1" spans="3:13">
      <c r="C9000" s="94"/>
      <c r="E9000" s="94"/>
      <c r="G9000" s="94"/>
      <c r="I9000" s="94"/>
      <c r="K9000" s="94"/>
      <c r="M9000" s="94"/>
    </row>
    <row r="9001" s="93" customFormat="1" spans="3:13">
      <c r="C9001" s="94"/>
      <c r="E9001" s="94"/>
      <c r="G9001" s="94"/>
      <c r="I9001" s="94"/>
      <c r="K9001" s="94"/>
      <c r="M9001" s="94"/>
    </row>
    <row r="9002" s="93" customFormat="1" spans="3:13">
      <c r="C9002" s="94"/>
      <c r="E9002" s="94"/>
      <c r="G9002" s="94"/>
      <c r="I9002" s="94"/>
      <c r="K9002" s="94"/>
      <c r="M9002" s="94"/>
    </row>
    <row r="9003" s="93" customFormat="1" spans="3:13">
      <c r="C9003" s="94"/>
      <c r="E9003" s="94"/>
      <c r="G9003" s="94"/>
      <c r="I9003" s="94"/>
      <c r="K9003" s="94"/>
      <c r="M9003" s="94"/>
    </row>
    <row r="9004" s="93" customFormat="1" spans="3:13">
      <c r="C9004" s="94"/>
      <c r="E9004" s="94"/>
      <c r="G9004" s="94"/>
      <c r="I9004" s="94"/>
      <c r="K9004" s="94"/>
      <c r="M9004" s="94"/>
    </row>
    <row r="9005" s="93" customFormat="1" spans="3:13">
      <c r="C9005" s="94"/>
      <c r="E9005" s="94"/>
      <c r="G9005" s="94"/>
      <c r="I9005" s="94"/>
      <c r="K9005" s="94"/>
      <c r="M9005" s="94"/>
    </row>
    <row r="9006" s="93" customFormat="1" spans="3:13">
      <c r="C9006" s="94"/>
      <c r="E9006" s="94"/>
      <c r="G9006" s="94"/>
      <c r="I9006" s="94"/>
      <c r="K9006" s="94"/>
      <c r="M9006" s="94"/>
    </row>
    <row r="9007" s="93" customFormat="1" spans="3:13">
      <c r="C9007" s="94"/>
      <c r="E9007" s="94"/>
      <c r="G9007" s="94"/>
      <c r="I9007" s="94"/>
      <c r="K9007" s="94"/>
      <c r="M9007" s="94"/>
    </row>
    <row r="9008" s="93" customFormat="1" spans="3:13">
      <c r="C9008" s="94"/>
      <c r="E9008" s="94"/>
      <c r="G9008" s="94"/>
      <c r="I9008" s="94"/>
      <c r="K9008" s="94"/>
      <c r="M9008" s="94"/>
    </row>
    <row r="9009" s="93" customFormat="1" spans="3:13">
      <c r="C9009" s="94"/>
      <c r="E9009" s="94"/>
      <c r="G9009" s="94"/>
      <c r="I9009" s="94"/>
      <c r="K9009" s="94"/>
      <c r="M9009" s="94"/>
    </row>
    <row r="9010" s="93" customFormat="1" spans="3:13">
      <c r="C9010" s="94"/>
      <c r="E9010" s="94"/>
      <c r="G9010" s="94"/>
      <c r="I9010" s="94"/>
      <c r="K9010" s="94"/>
      <c r="M9010" s="94"/>
    </row>
    <row r="9011" s="93" customFormat="1" spans="3:13">
      <c r="C9011" s="94"/>
      <c r="E9011" s="94"/>
      <c r="G9011" s="94"/>
      <c r="I9011" s="94"/>
      <c r="K9011" s="94"/>
      <c r="M9011" s="94"/>
    </row>
    <row r="9012" s="93" customFormat="1" spans="3:13">
      <c r="C9012" s="94"/>
      <c r="E9012" s="94"/>
      <c r="G9012" s="94"/>
      <c r="I9012" s="94"/>
      <c r="K9012" s="94"/>
      <c r="M9012" s="94"/>
    </row>
    <row r="9013" s="93" customFormat="1" spans="3:13">
      <c r="C9013" s="94"/>
      <c r="E9013" s="94"/>
      <c r="G9013" s="94"/>
      <c r="I9013" s="94"/>
      <c r="K9013" s="94"/>
      <c r="M9013" s="94"/>
    </row>
    <row r="9014" s="93" customFormat="1" spans="3:13">
      <c r="C9014" s="94"/>
      <c r="E9014" s="94"/>
      <c r="G9014" s="94"/>
      <c r="I9014" s="94"/>
      <c r="K9014" s="94"/>
      <c r="M9014" s="94"/>
    </row>
    <row r="9015" s="93" customFormat="1" spans="3:13">
      <c r="C9015" s="94"/>
      <c r="E9015" s="94"/>
      <c r="G9015" s="94"/>
      <c r="I9015" s="94"/>
      <c r="K9015" s="94"/>
      <c r="M9015" s="94"/>
    </row>
    <row r="9016" s="93" customFormat="1" spans="3:13">
      <c r="C9016" s="94"/>
      <c r="E9016" s="94"/>
      <c r="G9016" s="94"/>
      <c r="I9016" s="94"/>
      <c r="K9016" s="94"/>
      <c r="M9016" s="94"/>
    </row>
    <row r="9017" s="93" customFormat="1" spans="3:13">
      <c r="C9017" s="94"/>
      <c r="E9017" s="94"/>
      <c r="G9017" s="94"/>
      <c r="I9017" s="94"/>
      <c r="K9017" s="94"/>
      <c r="M9017" s="94"/>
    </row>
    <row r="9018" s="93" customFormat="1" spans="3:13">
      <c r="C9018" s="94"/>
      <c r="E9018" s="94"/>
      <c r="G9018" s="94"/>
      <c r="I9018" s="94"/>
      <c r="K9018" s="94"/>
      <c r="M9018" s="94"/>
    </row>
    <row r="9019" s="93" customFormat="1" spans="3:13">
      <c r="C9019" s="94"/>
      <c r="E9019" s="94"/>
      <c r="G9019" s="94"/>
      <c r="I9019" s="94"/>
      <c r="K9019" s="94"/>
      <c r="M9019" s="94"/>
    </row>
    <row r="9020" s="93" customFormat="1" spans="3:13">
      <c r="C9020" s="94"/>
      <c r="E9020" s="94"/>
      <c r="G9020" s="94"/>
      <c r="I9020" s="94"/>
      <c r="K9020" s="94"/>
      <c r="M9020" s="94"/>
    </row>
    <row r="9021" s="93" customFormat="1" spans="3:13">
      <c r="C9021" s="94"/>
      <c r="E9021" s="94"/>
      <c r="G9021" s="94"/>
      <c r="I9021" s="94"/>
      <c r="K9021" s="94"/>
      <c r="M9021" s="94"/>
    </row>
    <row r="9022" s="93" customFormat="1" spans="3:13">
      <c r="C9022" s="94"/>
      <c r="E9022" s="94"/>
      <c r="G9022" s="94"/>
      <c r="I9022" s="94"/>
      <c r="K9022" s="94"/>
      <c r="M9022" s="94"/>
    </row>
    <row r="9023" s="93" customFormat="1" spans="3:13">
      <c r="C9023" s="94"/>
      <c r="E9023" s="94"/>
      <c r="G9023" s="94"/>
      <c r="I9023" s="94"/>
      <c r="K9023" s="94"/>
      <c r="M9023" s="94"/>
    </row>
    <row r="9024" s="93" customFormat="1" spans="3:13">
      <c r="C9024" s="94"/>
      <c r="E9024" s="94"/>
      <c r="G9024" s="94"/>
      <c r="I9024" s="94"/>
      <c r="K9024" s="94"/>
      <c r="M9024" s="94"/>
    </row>
    <row r="9025" s="93" customFormat="1" spans="3:13">
      <c r="C9025" s="94"/>
      <c r="E9025" s="94"/>
      <c r="G9025" s="94"/>
      <c r="I9025" s="94"/>
      <c r="K9025" s="94"/>
      <c r="M9025" s="94"/>
    </row>
    <row r="9026" s="93" customFormat="1" spans="3:13">
      <c r="C9026" s="94"/>
      <c r="E9026" s="94"/>
      <c r="G9026" s="94"/>
      <c r="I9026" s="94"/>
      <c r="K9026" s="94"/>
      <c r="M9026" s="94"/>
    </row>
    <row r="9027" s="93" customFormat="1" spans="3:13">
      <c r="C9027" s="94"/>
      <c r="E9027" s="94"/>
      <c r="G9027" s="94"/>
      <c r="I9027" s="94"/>
      <c r="K9027" s="94"/>
      <c r="M9027" s="94"/>
    </row>
    <row r="9028" s="93" customFormat="1" spans="3:13">
      <c r="C9028" s="94"/>
      <c r="E9028" s="94"/>
      <c r="G9028" s="94"/>
      <c r="I9028" s="94"/>
      <c r="K9028" s="94"/>
      <c r="M9028" s="94"/>
    </row>
    <row r="9029" s="93" customFormat="1" spans="3:13">
      <c r="C9029" s="94"/>
      <c r="E9029" s="94"/>
      <c r="G9029" s="94"/>
      <c r="I9029" s="94"/>
      <c r="K9029" s="94"/>
      <c r="M9029" s="94"/>
    </row>
    <row r="9030" s="93" customFormat="1" spans="3:13">
      <c r="C9030" s="94"/>
      <c r="E9030" s="94"/>
      <c r="G9030" s="94"/>
      <c r="I9030" s="94"/>
      <c r="K9030" s="94"/>
      <c r="M9030" s="94"/>
    </row>
    <row r="9031" s="93" customFormat="1" spans="3:13">
      <c r="C9031" s="94"/>
      <c r="E9031" s="94"/>
      <c r="G9031" s="94"/>
      <c r="I9031" s="94"/>
      <c r="K9031" s="94"/>
      <c r="M9031" s="94"/>
    </row>
    <row r="9032" s="93" customFormat="1" spans="3:13">
      <c r="C9032" s="94"/>
      <c r="E9032" s="94"/>
      <c r="G9032" s="94"/>
      <c r="I9032" s="94"/>
      <c r="K9032" s="94"/>
      <c r="M9032" s="94"/>
    </row>
    <row r="9033" s="93" customFormat="1" spans="3:13">
      <c r="C9033" s="94"/>
      <c r="E9033" s="94"/>
      <c r="G9033" s="94"/>
      <c r="I9033" s="94"/>
      <c r="K9033" s="94"/>
      <c r="M9033" s="94"/>
    </row>
    <row r="9034" s="93" customFormat="1" spans="3:13">
      <c r="C9034" s="94"/>
      <c r="E9034" s="94"/>
      <c r="G9034" s="94"/>
      <c r="I9034" s="94"/>
      <c r="K9034" s="94"/>
      <c r="M9034" s="94"/>
    </row>
    <row r="9035" s="93" customFormat="1" spans="3:13">
      <c r="C9035" s="94"/>
      <c r="E9035" s="94"/>
      <c r="G9035" s="94"/>
      <c r="I9035" s="94"/>
      <c r="K9035" s="94"/>
      <c r="M9035" s="94"/>
    </row>
    <row r="9036" s="93" customFormat="1" spans="3:13">
      <c r="C9036" s="94"/>
      <c r="E9036" s="94"/>
      <c r="G9036" s="94"/>
      <c r="I9036" s="94"/>
      <c r="K9036" s="94"/>
      <c r="M9036" s="94"/>
    </row>
    <row r="9037" s="93" customFormat="1" spans="3:13">
      <c r="C9037" s="94"/>
      <c r="E9037" s="94"/>
      <c r="G9037" s="94"/>
      <c r="I9037" s="94"/>
      <c r="K9037" s="94"/>
      <c r="M9037" s="94"/>
    </row>
    <row r="9038" s="93" customFormat="1" spans="3:13">
      <c r="C9038" s="94"/>
      <c r="E9038" s="94"/>
      <c r="G9038" s="94"/>
      <c r="I9038" s="94"/>
      <c r="K9038" s="94"/>
      <c r="M9038" s="94"/>
    </row>
    <row r="9039" s="93" customFormat="1" spans="3:13">
      <c r="C9039" s="94"/>
      <c r="E9039" s="94"/>
      <c r="G9039" s="94"/>
      <c r="I9039" s="94"/>
      <c r="K9039" s="94"/>
      <c r="M9039" s="94"/>
    </row>
    <row r="9040" s="93" customFormat="1" spans="3:13">
      <c r="C9040" s="94"/>
      <c r="E9040" s="94"/>
      <c r="G9040" s="94"/>
      <c r="I9040" s="94"/>
      <c r="K9040" s="94"/>
      <c r="M9040" s="94"/>
    </row>
    <row r="9041" s="93" customFormat="1" spans="3:13">
      <c r="C9041" s="94"/>
      <c r="E9041" s="94"/>
      <c r="G9041" s="94"/>
      <c r="I9041" s="94"/>
      <c r="K9041" s="94"/>
      <c r="M9041" s="94"/>
    </row>
    <row r="9042" s="93" customFormat="1" spans="3:13">
      <c r="C9042" s="94"/>
      <c r="E9042" s="94"/>
      <c r="G9042" s="94"/>
      <c r="I9042" s="94"/>
      <c r="K9042" s="94"/>
      <c r="M9042" s="94"/>
    </row>
    <row r="9043" s="93" customFormat="1" spans="3:13">
      <c r="C9043" s="94"/>
      <c r="E9043" s="94"/>
      <c r="G9043" s="94"/>
      <c r="I9043" s="94"/>
      <c r="K9043" s="94"/>
      <c r="M9043" s="94"/>
    </row>
    <row r="9044" s="93" customFormat="1" spans="3:13">
      <c r="C9044" s="94"/>
      <c r="E9044" s="94"/>
      <c r="G9044" s="94"/>
      <c r="I9044" s="94"/>
      <c r="K9044" s="94"/>
      <c r="M9044" s="94"/>
    </row>
    <row r="9045" s="93" customFormat="1" spans="3:13">
      <c r="C9045" s="94"/>
      <c r="E9045" s="94"/>
      <c r="G9045" s="94"/>
      <c r="I9045" s="94"/>
      <c r="K9045" s="94"/>
      <c r="M9045" s="94"/>
    </row>
    <row r="9046" s="93" customFormat="1" spans="3:13">
      <c r="C9046" s="94"/>
      <c r="E9046" s="94"/>
      <c r="G9046" s="94"/>
      <c r="I9046" s="94"/>
      <c r="K9046" s="94"/>
      <c r="M9046" s="94"/>
    </row>
    <row r="9047" s="93" customFormat="1" spans="3:13">
      <c r="C9047" s="94"/>
      <c r="E9047" s="94"/>
      <c r="G9047" s="94"/>
      <c r="I9047" s="94"/>
      <c r="K9047" s="94"/>
      <c r="M9047" s="94"/>
    </row>
    <row r="9048" s="93" customFormat="1" spans="3:13">
      <c r="C9048" s="94"/>
      <c r="E9048" s="94"/>
      <c r="G9048" s="94"/>
      <c r="I9048" s="94"/>
      <c r="K9048" s="94"/>
      <c r="M9048" s="94"/>
    </row>
    <row r="9049" s="93" customFormat="1" spans="3:13">
      <c r="C9049" s="94"/>
      <c r="E9049" s="94"/>
      <c r="G9049" s="94"/>
      <c r="I9049" s="94"/>
      <c r="K9049" s="94"/>
      <c r="M9049" s="94"/>
    </row>
    <row r="9050" s="93" customFormat="1" spans="3:13">
      <c r="C9050" s="94"/>
      <c r="E9050" s="94"/>
      <c r="G9050" s="94"/>
      <c r="I9050" s="94"/>
      <c r="K9050" s="94"/>
      <c r="M9050" s="94"/>
    </row>
    <row r="9051" s="93" customFormat="1" spans="3:13">
      <c r="C9051" s="94"/>
      <c r="E9051" s="94"/>
      <c r="G9051" s="94"/>
      <c r="I9051" s="94"/>
      <c r="K9051" s="94"/>
      <c r="M9051" s="94"/>
    </row>
    <row r="9052" s="93" customFormat="1" spans="3:13">
      <c r="C9052" s="94"/>
      <c r="E9052" s="94"/>
      <c r="G9052" s="94"/>
      <c r="I9052" s="94"/>
      <c r="K9052" s="94"/>
      <c r="M9052" s="94"/>
    </row>
    <row r="9053" s="93" customFormat="1" spans="3:13">
      <c r="C9053" s="94"/>
      <c r="E9053" s="94"/>
      <c r="G9053" s="94"/>
      <c r="I9053" s="94"/>
      <c r="K9053" s="94"/>
      <c r="M9053" s="94"/>
    </row>
    <row r="9054" s="93" customFormat="1" spans="3:13">
      <c r="C9054" s="94"/>
      <c r="E9054" s="94"/>
      <c r="G9054" s="94"/>
      <c r="I9054" s="94"/>
      <c r="K9054" s="94"/>
      <c r="M9054" s="94"/>
    </row>
    <row r="9055" s="93" customFormat="1" spans="3:13">
      <c r="C9055" s="94"/>
      <c r="E9055" s="94"/>
      <c r="G9055" s="94"/>
      <c r="I9055" s="94"/>
      <c r="K9055" s="94"/>
      <c r="M9055" s="94"/>
    </row>
    <row r="9056" s="93" customFormat="1" spans="3:13">
      <c r="C9056" s="94"/>
      <c r="E9056" s="94"/>
      <c r="G9056" s="94"/>
      <c r="I9056" s="94"/>
      <c r="K9056" s="94"/>
      <c r="M9056" s="94"/>
    </row>
    <row r="9057" s="93" customFormat="1" spans="3:13">
      <c r="C9057" s="94"/>
      <c r="E9057" s="94"/>
      <c r="G9057" s="94"/>
      <c r="I9057" s="94"/>
      <c r="K9057" s="94"/>
      <c r="M9057" s="94"/>
    </row>
    <row r="9058" s="93" customFormat="1" spans="3:13">
      <c r="C9058" s="94"/>
      <c r="E9058" s="94"/>
      <c r="G9058" s="94"/>
      <c r="I9058" s="94"/>
      <c r="K9058" s="94"/>
      <c r="M9058" s="94"/>
    </row>
    <row r="9059" s="93" customFormat="1" spans="3:13">
      <c r="C9059" s="94"/>
      <c r="E9059" s="94"/>
      <c r="G9059" s="94"/>
      <c r="I9059" s="94"/>
      <c r="K9059" s="94"/>
      <c r="M9059" s="94"/>
    </row>
    <row r="9060" s="93" customFormat="1" spans="3:13">
      <c r="C9060" s="94"/>
      <c r="E9060" s="94"/>
      <c r="G9060" s="94"/>
      <c r="I9060" s="94"/>
      <c r="K9060" s="94"/>
      <c r="M9060" s="94"/>
    </row>
    <row r="9061" s="93" customFormat="1" spans="3:13">
      <c r="C9061" s="94"/>
      <c r="E9061" s="94"/>
      <c r="G9061" s="94"/>
      <c r="I9061" s="94"/>
      <c r="K9061" s="94"/>
      <c r="M9061" s="94"/>
    </row>
    <row r="9062" s="93" customFormat="1" spans="3:13">
      <c r="C9062" s="94"/>
      <c r="E9062" s="94"/>
      <c r="G9062" s="94"/>
      <c r="I9062" s="94"/>
      <c r="K9062" s="94"/>
      <c r="M9062" s="94"/>
    </row>
    <row r="9063" s="93" customFormat="1" spans="3:13">
      <c r="C9063" s="94"/>
      <c r="E9063" s="94"/>
      <c r="G9063" s="94"/>
      <c r="I9063" s="94"/>
      <c r="K9063" s="94"/>
      <c r="M9063" s="94"/>
    </row>
    <row r="9064" s="93" customFormat="1" spans="3:13">
      <c r="C9064" s="94"/>
      <c r="E9064" s="94"/>
      <c r="G9064" s="94"/>
      <c r="I9064" s="94"/>
      <c r="K9064" s="94"/>
      <c r="M9064" s="94"/>
    </row>
    <row r="9065" s="93" customFormat="1" spans="3:13">
      <c r="C9065" s="94"/>
      <c r="E9065" s="94"/>
      <c r="G9065" s="94"/>
      <c r="I9065" s="94"/>
      <c r="K9065" s="94"/>
      <c r="M9065" s="94"/>
    </row>
    <row r="9066" s="93" customFormat="1" spans="3:13">
      <c r="C9066" s="94"/>
      <c r="E9066" s="94"/>
      <c r="G9066" s="94"/>
      <c r="I9066" s="94"/>
      <c r="K9066" s="94"/>
      <c r="M9066" s="94"/>
    </row>
    <row r="9067" s="93" customFormat="1" spans="3:13">
      <c r="C9067" s="94"/>
      <c r="E9067" s="94"/>
      <c r="G9067" s="94"/>
      <c r="I9067" s="94"/>
      <c r="K9067" s="94"/>
      <c r="M9067" s="94"/>
    </row>
    <row r="9068" s="93" customFormat="1" spans="3:13">
      <c r="C9068" s="94"/>
      <c r="E9068" s="94"/>
      <c r="G9068" s="94"/>
      <c r="I9068" s="94"/>
      <c r="K9068" s="94"/>
      <c r="M9068" s="94"/>
    </row>
    <row r="9069" s="93" customFormat="1" spans="3:13">
      <c r="C9069" s="94"/>
      <c r="E9069" s="94"/>
      <c r="G9069" s="94"/>
      <c r="I9069" s="94"/>
      <c r="K9069" s="94"/>
      <c r="M9069" s="94"/>
    </row>
    <row r="9070" s="93" customFormat="1" spans="3:13">
      <c r="C9070" s="94"/>
      <c r="E9070" s="94"/>
      <c r="G9070" s="94"/>
      <c r="I9070" s="94"/>
      <c r="K9070" s="94"/>
      <c r="M9070" s="94"/>
    </row>
    <row r="9071" s="93" customFormat="1" spans="3:13">
      <c r="C9071" s="94"/>
      <c r="E9071" s="94"/>
      <c r="G9071" s="94"/>
      <c r="I9071" s="94"/>
      <c r="K9071" s="94"/>
      <c r="M9071" s="94"/>
    </row>
    <row r="9072" s="93" customFormat="1" spans="3:13">
      <c r="C9072" s="94"/>
      <c r="E9072" s="94"/>
      <c r="G9072" s="94"/>
      <c r="I9072" s="94"/>
      <c r="K9072" s="94"/>
      <c r="M9072" s="94"/>
    </row>
    <row r="9073" s="93" customFormat="1" spans="3:13">
      <c r="C9073" s="94"/>
      <c r="E9073" s="94"/>
      <c r="G9073" s="94"/>
      <c r="I9073" s="94"/>
      <c r="K9073" s="94"/>
      <c r="M9073" s="94"/>
    </row>
    <row r="9074" s="93" customFormat="1" spans="3:13">
      <c r="C9074" s="94"/>
      <c r="E9074" s="94"/>
      <c r="G9074" s="94"/>
      <c r="I9074" s="94"/>
      <c r="K9074" s="94"/>
      <c r="M9074" s="94"/>
    </row>
    <row r="9075" s="93" customFormat="1" spans="3:13">
      <c r="C9075" s="94"/>
      <c r="E9075" s="94"/>
      <c r="G9075" s="94"/>
      <c r="I9075" s="94"/>
      <c r="K9075" s="94"/>
      <c r="M9075" s="94"/>
    </row>
    <row r="9076" s="93" customFormat="1" spans="3:13">
      <c r="C9076" s="94"/>
      <c r="E9076" s="94"/>
      <c r="G9076" s="94"/>
      <c r="I9076" s="94"/>
      <c r="K9076" s="94"/>
      <c r="M9076" s="94"/>
    </row>
    <row r="9077" s="93" customFormat="1" spans="3:13">
      <c r="C9077" s="94"/>
      <c r="E9077" s="94"/>
      <c r="G9077" s="94"/>
      <c r="I9077" s="94"/>
      <c r="K9077" s="94"/>
      <c r="M9077" s="94"/>
    </row>
    <row r="9078" s="93" customFormat="1" spans="3:13">
      <c r="C9078" s="94"/>
      <c r="E9078" s="94"/>
      <c r="G9078" s="94"/>
      <c r="I9078" s="94"/>
      <c r="K9078" s="94"/>
      <c r="M9078" s="94"/>
    </row>
    <row r="9079" s="93" customFormat="1" spans="3:13">
      <c r="C9079" s="94"/>
      <c r="E9079" s="94"/>
      <c r="G9079" s="94"/>
      <c r="I9079" s="94"/>
      <c r="K9079" s="94"/>
      <c r="M9079" s="94"/>
    </row>
    <row r="9080" s="93" customFormat="1" spans="3:13">
      <c r="C9080" s="94"/>
      <c r="E9080" s="94"/>
      <c r="G9080" s="94"/>
      <c r="I9080" s="94"/>
      <c r="K9080" s="94"/>
      <c r="M9080" s="94"/>
    </row>
    <row r="9081" s="93" customFormat="1" spans="3:13">
      <c r="C9081" s="94"/>
      <c r="E9081" s="94"/>
      <c r="G9081" s="94"/>
      <c r="I9081" s="94"/>
      <c r="K9081" s="94"/>
      <c r="M9081" s="94"/>
    </row>
    <row r="9082" s="93" customFormat="1" spans="3:13">
      <c r="C9082" s="94"/>
      <c r="E9082" s="94"/>
      <c r="G9082" s="94"/>
      <c r="I9082" s="94"/>
      <c r="K9082" s="94"/>
      <c r="M9082" s="94"/>
    </row>
    <row r="9083" s="93" customFormat="1" spans="3:13">
      <c r="C9083" s="94"/>
      <c r="E9083" s="94"/>
      <c r="G9083" s="94"/>
      <c r="I9083" s="94"/>
      <c r="K9083" s="94"/>
      <c r="M9083" s="94"/>
    </row>
    <row r="9084" s="93" customFormat="1" spans="3:13">
      <c r="C9084" s="94"/>
      <c r="E9084" s="94"/>
      <c r="G9084" s="94"/>
      <c r="I9084" s="94"/>
      <c r="K9084" s="94"/>
      <c r="M9084" s="94"/>
    </row>
    <row r="9085" s="93" customFormat="1" spans="3:13">
      <c r="C9085" s="94"/>
      <c r="E9085" s="94"/>
      <c r="G9085" s="94"/>
      <c r="I9085" s="94"/>
      <c r="K9085" s="94"/>
      <c r="M9085" s="94"/>
    </row>
    <row r="9086" s="93" customFormat="1" spans="3:13">
      <c r="C9086" s="94"/>
      <c r="E9086" s="94"/>
      <c r="G9086" s="94"/>
      <c r="I9086" s="94"/>
      <c r="K9086" s="94"/>
      <c r="M9086" s="94"/>
    </row>
    <row r="9087" s="93" customFormat="1" spans="3:13">
      <c r="C9087" s="94"/>
      <c r="E9087" s="94"/>
      <c r="G9087" s="94"/>
      <c r="I9087" s="94"/>
      <c r="K9087" s="94"/>
      <c r="M9087" s="94"/>
    </row>
    <row r="9088" s="93" customFormat="1" spans="3:13">
      <c r="C9088" s="94"/>
      <c r="E9088" s="94"/>
      <c r="G9088" s="94"/>
      <c r="I9088" s="94"/>
      <c r="K9088" s="94"/>
      <c r="M9088" s="94"/>
    </row>
    <row r="9089" s="93" customFormat="1" spans="3:13">
      <c r="C9089" s="94"/>
      <c r="E9089" s="94"/>
      <c r="G9089" s="94"/>
      <c r="I9089" s="94"/>
      <c r="K9089" s="94"/>
      <c r="M9089" s="94"/>
    </row>
    <row r="9090" s="93" customFormat="1" spans="3:13">
      <c r="C9090" s="94"/>
      <c r="E9090" s="94"/>
      <c r="G9090" s="94"/>
      <c r="I9090" s="94"/>
      <c r="K9090" s="94"/>
      <c r="M9090" s="94"/>
    </row>
    <row r="9091" s="93" customFormat="1" spans="3:13">
      <c r="C9091" s="94"/>
      <c r="E9091" s="94"/>
      <c r="G9091" s="94"/>
      <c r="I9091" s="94"/>
      <c r="K9091" s="94"/>
      <c r="M9091" s="94"/>
    </row>
    <row r="9092" s="93" customFormat="1" spans="3:13">
      <c r="C9092" s="94"/>
      <c r="E9092" s="94"/>
      <c r="G9092" s="94"/>
      <c r="I9092" s="94"/>
      <c r="K9092" s="94"/>
      <c r="M9092" s="94"/>
    </row>
    <row r="9093" s="93" customFormat="1" spans="3:13">
      <c r="C9093" s="94"/>
      <c r="E9093" s="94"/>
      <c r="G9093" s="94"/>
      <c r="I9093" s="94"/>
      <c r="K9093" s="94"/>
      <c r="M9093" s="94"/>
    </row>
    <row r="9094" s="93" customFormat="1" spans="3:13">
      <c r="C9094" s="94"/>
      <c r="E9094" s="94"/>
      <c r="G9094" s="94"/>
      <c r="I9094" s="94"/>
      <c r="K9094" s="94"/>
      <c r="M9094" s="94"/>
    </row>
    <row r="9095" s="93" customFormat="1" spans="3:13">
      <c r="C9095" s="94"/>
      <c r="E9095" s="94"/>
      <c r="G9095" s="94"/>
      <c r="I9095" s="94"/>
      <c r="K9095" s="94"/>
      <c r="M9095" s="94"/>
    </row>
    <row r="9096" s="93" customFormat="1" spans="3:13">
      <c r="C9096" s="94"/>
      <c r="E9096" s="94"/>
      <c r="G9096" s="94"/>
      <c r="I9096" s="94"/>
      <c r="K9096" s="94"/>
      <c r="M9096" s="94"/>
    </row>
    <row r="9097" s="93" customFormat="1" spans="3:13">
      <c r="C9097" s="94"/>
      <c r="E9097" s="94"/>
      <c r="G9097" s="94"/>
      <c r="I9097" s="94"/>
      <c r="K9097" s="94"/>
      <c r="M9097" s="94"/>
    </row>
    <row r="9098" s="93" customFormat="1" spans="3:13">
      <c r="C9098" s="94"/>
      <c r="E9098" s="94"/>
      <c r="G9098" s="94"/>
      <c r="I9098" s="94"/>
      <c r="K9098" s="94"/>
      <c r="M9098" s="94"/>
    </row>
    <row r="9099" s="93" customFormat="1" spans="3:13">
      <c r="C9099" s="94"/>
      <c r="E9099" s="94"/>
      <c r="G9099" s="94"/>
      <c r="I9099" s="94"/>
      <c r="K9099" s="94"/>
      <c r="M9099" s="94"/>
    </row>
    <row r="9100" s="93" customFormat="1" spans="3:13">
      <c r="C9100" s="94"/>
      <c r="E9100" s="94"/>
      <c r="G9100" s="94"/>
      <c r="I9100" s="94"/>
      <c r="K9100" s="94"/>
      <c r="M9100" s="94"/>
    </row>
    <row r="9101" s="93" customFormat="1" spans="3:13">
      <c r="C9101" s="94"/>
      <c r="E9101" s="94"/>
      <c r="G9101" s="94"/>
      <c r="I9101" s="94"/>
      <c r="K9101" s="94"/>
      <c r="M9101" s="94"/>
    </row>
    <row r="9102" s="93" customFormat="1" spans="3:13">
      <c r="C9102" s="94"/>
      <c r="E9102" s="94"/>
      <c r="G9102" s="94"/>
      <c r="I9102" s="94"/>
      <c r="K9102" s="94"/>
      <c r="M9102" s="94"/>
    </row>
    <row r="9103" s="93" customFormat="1" spans="3:13">
      <c r="C9103" s="94"/>
      <c r="E9103" s="94"/>
      <c r="G9103" s="94"/>
      <c r="I9103" s="94"/>
      <c r="K9103" s="94"/>
      <c r="M9103" s="94"/>
    </row>
    <row r="9104" s="93" customFormat="1" spans="3:13">
      <c r="C9104" s="94"/>
      <c r="E9104" s="94"/>
      <c r="G9104" s="94"/>
      <c r="I9104" s="94"/>
      <c r="K9104" s="94"/>
      <c r="M9104" s="94"/>
    </row>
    <row r="9105" s="93" customFormat="1" spans="3:13">
      <c r="C9105" s="94"/>
      <c r="E9105" s="94"/>
      <c r="G9105" s="94"/>
      <c r="I9105" s="94"/>
      <c r="K9105" s="94"/>
      <c r="M9105" s="94"/>
    </row>
    <row r="9106" s="93" customFormat="1" spans="3:13">
      <c r="C9106" s="94"/>
      <c r="E9106" s="94"/>
      <c r="G9106" s="94"/>
      <c r="I9106" s="94"/>
      <c r="K9106" s="94"/>
      <c r="M9106" s="94"/>
    </row>
    <row r="9107" s="93" customFormat="1" spans="3:13">
      <c r="C9107" s="94"/>
      <c r="E9107" s="94"/>
      <c r="G9107" s="94"/>
      <c r="I9107" s="94"/>
      <c r="K9107" s="94"/>
      <c r="M9107" s="94"/>
    </row>
    <row r="9108" s="93" customFormat="1" spans="3:13">
      <c r="C9108" s="94"/>
      <c r="E9108" s="94"/>
      <c r="G9108" s="94"/>
      <c r="I9108" s="94"/>
      <c r="K9108" s="94"/>
      <c r="M9108" s="94"/>
    </row>
    <row r="9109" s="93" customFormat="1" spans="3:13">
      <c r="C9109" s="94"/>
      <c r="E9109" s="94"/>
      <c r="G9109" s="94"/>
      <c r="I9109" s="94"/>
      <c r="K9109" s="94"/>
      <c r="M9109" s="94"/>
    </row>
    <row r="9110" s="93" customFormat="1" spans="3:13">
      <c r="C9110" s="94"/>
      <c r="E9110" s="94"/>
      <c r="G9110" s="94"/>
      <c r="I9110" s="94"/>
      <c r="K9110" s="94"/>
      <c r="M9110" s="94"/>
    </row>
    <row r="9111" s="93" customFormat="1" spans="3:13">
      <c r="C9111" s="94"/>
      <c r="E9111" s="94"/>
      <c r="G9111" s="94"/>
      <c r="I9111" s="94"/>
      <c r="K9111" s="94"/>
      <c r="M9111" s="94"/>
    </row>
    <row r="9112" s="93" customFormat="1" spans="3:13">
      <c r="C9112" s="94"/>
      <c r="E9112" s="94"/>
      <c r="G9112" s="94"/>
      <c r="I9112" s="94"/>
      <c r="K9112" s="94"/>
      <c r="M9112" s="94"/>
    </row>
    <row r="9113" s="93" customFormat="1" spans="3:13">
      <c r="C9113" s="94"/>
      <c r="E9113" s="94"/>
      <c r="G9113" s="94"/>
      <c r="I9113" s="94"/>
      <c r="K9113" s="94"/>
      <c r="M9113" s="94"/>
    </row>
    <row r="9114" s="93" customFormat="1" spans="3:13">
      <c r="C9114" s="94"/>
      <c r="E9114" s="94"/>
      <c r="G9114" s="94"/>
      <c r="I9114" s="94"/>
      <c r="K9114" s="94"/>
      <c r="M9114" s="94"/>
    </row>
    <row r="9115" s="93" customFormat="1" spans="3:13">
      <c r="C9115" s="94"/>
      <c r="E9115" s="94"/>
      <c r="G9115" s="94"/>
      <c r="I9115" s="94"/>
      <c r="K9115" s="94"/>
      <c r="M9115" s="94"/>
    </row>
    <row r="9116" s="93" customFormat="1" spans="3:13">
      <c r="C9116" s="94"/>
      <c r="E9116" s="94"/>
      <c r="G9116" s="94"/>
      <c r="I9116" s="94"/>
      <c r="K9116" s="94"/>
      <c r="M9116" s="94"/>
    </row>
    <row r="9117" s="93" customFormat="1" spans="3:13">
      <c r="C9117" s="94"/>
      <c r="E9117" s="94"/>
      <c r="G9117" s="94"/>
      <c r="I9117" s="94"/>
      <c r="K9117" s="94"/>
      <c r="M9117" s="94"/>
    </row>
    <row r="9118" s="93" customFormat="1" spans="3:13">
      <c r="C9118" s="94"/>
      <c r="E9118" s="94"/>
      <c r="G9118" s="94"/>
      <c r="I9118" s="94"/>
      <c r="K9118" s="94"/>
      <c r="M9118" s="94"/>
    </row>
    <row r="9119" s="93" customFormat="1" spans="3:13">
      <c r="C9119" s="94"/>
      <c r="E9119" s="94"/>
      <c r="G9119" s="94"/>
      <c r="I9119" s="94"/>
      <c r="K9119" s="94"/>
      <c r="M9119" s="94"/>
    </row>
    <row r="9120" s="93" customFormat="1" spans="3:13">
      <c r="C9120" s="94"/>
      <c r="E9120" s="94"/>
      <c r="G9120" s="94"/>
      <c r="I9120" s="94"/>
      <c r="K9120" s="94"/>
      <c r="M9120" s="94"/>
    </row>
    <row r="9121" s="93" customFormat="1" spans="3:13">
      <c r="C9121" s="94"/>
      <c r="E9121" s="94"/>
      <c r="G9121" s="94"/>
      <c r="I9121" s="94"/>
      <c r="K9121" s="94"/>
      <c r="M9121" s="94"/>
    </row>
    <row r="9122" s="93" customFormat="1" spans="3:13">
      <c r="C9122" s="94"/>
      <c r="E9122" s="94"/>
      <c r="G9122" s="94"/>
      <c r="I9122" s="94"/>
      <c r="K9122" s="94"/>
      <c r="M9122" s="94"/>
    </row>
    <row r="9123" s="93" customFormat="1" spans="3:13">
      <c r="C9123" s="94"/>
      <c r="E9123" s="94"/>
      <c r="G9123" s="94"/>
      <c r="I9123" s="94"/>
      <c r="K9123" s="94"/>
      <c r="M9123" s="94"/>
    </row>
    <row r="9124" s="93" customFormat="1" spans="3:13">
      <c r="C9124" s="94"/>
      <c r="E9124" s="94"/>
      <c r="G9124" s="94"/>
      <c r="I9124" s="94"/>
      <c r="K9124" s="94"/>
      <c r="M9124" s="94"/>
    </row>
    <row r="9125" s="93" customFormat="1" spans="3:13">
      <c r="C9125" s="94"/>
      <c r="E9125" s="94"/>
      <c r="G9125" s="94"/>
      <c r="I9125" s="94"/>
      <c r="K9125" s="94"/>
      <c r="M9125" s="94"/>
    </row>
    <row r="9126" s="93" customFormat="1" spans="3:13">
      <c r="C9126" s="94"/>
      <c r="E9126" s="94"/>
      <c r="G9126" s="94"/>
      <c r="I9126" s="94"/>
      <c r="K9126" s="94"/>
      <c r="M9126" s="94"/>
    </row>
    <row r="9127" s="93" customFormat="1" spans="3:13">
      <c r="C9127" s="94"/>
      <c r="E9127" s="94"/>
      <c r="G9127" s="94"/>
      <c r="I9127" s="94"/>
      <c r="K9127" s="94"/>
      <c r="M9127" s="94"/>
    </row>
    <row r="9128" s="93" customFormat="1" spans="3:13">
      <c r="C9128" s="94"/>
      <c r="E9128" s="94"/>
      <c r="G9128" s="94"/>
      <c r="I9128" s="94"/>
      <c r="K9128" s="94"/>
      <c r="M9128" s="94"/>
    </row>
    <row r="9129" s="93" customFormat="1" spans="3:13">
      <c r="C9129" s="94"/>
      <c r="E9129" s="94"/>
      <c r="G9129" s="94"/>
      <c r="I9129" s="94"/>
      <c r="K9129" s="94"/>
      <c r="M9129" s="94"/>
    </row>
    <row r="9130" s="93" customFormat="1" spans="3:13">
      <c r="C9130" s="94"/>
      <c r="E9130" s="94"/>
      <c r="G9130" s="94"/>
      <c r="I9130" s="94"/>
      <c r="K9130" s="94"/>
      <c r="M9130" s="94"/>
    </row>
    <row r="9131" s="93" customFormat="1" spans="3:13">
      <c r="C9131" s="94"/>
      <c r="E9131" s="94"/>
      <c r="G9131" s="94"/>
      <c r="I9131" s="94"/>
      <c r="K9131" s="94"/>
      <c r="M9131" s="94"/>
    </row>
    <row r="9132" s="93" customFormat="1" spans="3:13">
      <c r="C9132" s="94"/>
      <c r="E9132" s="94"/>
      <c r="G9132" s="94"/>
      <c r="I9132" s="94"/>
      <c r="K9132" s="94"/>
      <c r="M9132" s="94"/>
    </row>
    <row r="9133" s="93" customFormat="1" spans="3:13">
      <c r="C9133" s="94"/>
      <c r="E9133" s="94"/>
      <c r="G9133" s="94"/>
      <c r="I9133" s="94"/>
      <c r="K9133" s="94"/>
      <c r="M9133" s="94"/>
    </row>
    <row r="9134" s="93" customFormat="1" spans="3:13">
      <c r="C9134" s="94"/>
      <c r="E9134" s="94"/>
      <c r="G9134" s="94"/>
      <c r="I9134" s="94"/>
      <c r="K9134" s="94"/>
      <c r="M9134" s="94"/>
    </row>
    <row r="9135" s="93" customFormat="1" spans="3:13">
      <c r="C9135" s="94"/>
      <c r="E9135" s="94"/>
      <c r="G9135" s="94"/>
      <c r="I9135" s="94"/>
      <c r="K9135" s="94"/>
      <c r="M9135" s="94"/>
    </row>
    <row r="9136" s="93" customFormat="1" spans="3:13">
      <c r="C9136" s="94"/>
      <c r="E9136" s="94"/>
      <c r="G9136" s="94"/>
      <c r="I9136" s="94"/>
      <c r="K9136" s="94"/>
      <c r="M9136" s="94"/>
    </row>
    <row r="9137" s="93" customFormat="1" spans="3:13">
      <c r="C9137" s="94"/>
      <c r="E9137" s="94"/>
      <c r="G9137" s="94"/>
      <c r="I9137" s="94"/>
      <c r="K9137" s="94"/>
      <c r="M9137" s="94"/>
    </row>
    <row r="9138" s="93" customFormat="1" spans="3:13">
      <c r="C9138" s="94"/>
      <c r="E9138" s="94"/>
      <c r="G9138" s="94"/>
      <c r="I9138" s="94"/>
      <c r="K9138" s="94"/>
      <c r="M9138" s="94"/>
    </row>
    <row r="9139" s="93" customFormat="1" spans="3:13">
      <c r="C9139" s="94"/>
      <c r="E9139" s="94"/>
      <c r="G9139" s="94"/>
      <c r="I9139" s="94"/>
      <c r="K9139" s="94"/>
      <c r="M9139" s="94"/>
    </row>
    <row r="9140" s="93" customFormat="1" spans="3:13">
      <c r="C9140" s="94"/>
      <c r="E9140" s="94"/>
      <c r="G9140" s="94"/>
      <c r="I9140" s="94"/>
      <c r="K9140" s="94"/>
      <c r="M9140" s="94"/>
    </row>
    <row r="9141" s="93" customFormat="1" spans="3:13">
      <c r="C9141" s="94"/>
      <c r="E9141" s="94"/>
      <c r="G9141" s="94"/>
      <c r="I9141" s="94"/>
      <c r="K9141" s="94"/>
      <c r="M9141" s="94"/>
    </row>
    <row r="9142" s="93" customFormat="1" spans="3:13">
      <c r="C9142" s="94"/>
      <c r="E9142" s="94"/>
      <c r="G9142" s="94"/>
      <c r="I9142" s="94"/>
      <c r="K9142" s="94"/>
      <c r="M9142" s="94"/>
    </row>
    <row r="9143" s="93" customFormat="1" spans="3:13">
      <c r="C9143" s="94"/>
      <c r="E9143" s="94"/>
      <c r="G9143" s="94"/>
      <c r="I9143" s="94"/>
      <c r="K9143" s="94"/>
      <c r="M9143" s="94"/>
    </row>
    <row r="9144" s="93" customFormat="1" spans="3:13">
      <c r="C9144" s="94"/>
      <c r="E9144" s="94"/>
      <c r="G9144" s="94"/>
      <c r="I9144" s="94"/>
      <c r="K9144" s="94"/>
      <c r="M9144" s="94"/>
    </row>
    <row r="9145" s="93" customFormat="1" spans="3:13">
      <c r="C9145" s="94"/>
      <c r="E9145" s="94"/>
      <c r="G9145" s="94"/>
      <c r="I9145" s="94"/>
      <c r="K9145" s="94"/>
      <c r="M9145" s="94"/>
    </row>
    <row r="9146" s="93" customFormat="1" spans="3:13">
      <c r="C9146" s="94"/>
      <c r="E9146" s="94"/>
      <c r="G9146" s="94"/>
      <c r="I9146" s="94"/>
      <c r="K9146" s="94"/>
      <c r="M9146" s="94"/>
    </row>
    <row r="9147" s="93" customFormat="1" spans="3:13">
      <c r="C9147" s="94"/>
      <c r="E9147" s="94"/>
      <c r="G9147" s="94"/>
      <c r="I9147" s="94"/>
      <c r="K9147" s="94"/>
      <c r="M9147" s="94"/>
    </row>
    <row r="9148" s="93" customFormat="1" spans="3:13">
      <c r="C9148" s="94"/>
      <c r="E9148" s="94"/>
      <c r="G9148" s="94"/>
      <c r="I9148" s="94"/>
      <c r="K9148" s="94"/>
      <c r="M9148" s="94"/>
    </row>
    <row r="9149" s="93" customFormat="1" spans="3:13">
      <c r="C9149" s="94"/>
      <c r="E9149" s="94"/>
      <c r="G9149" s="94"/>
      <c r="I9149" s="94"/>
      <c r="K9149" s="94"/>
      <c r="M9149" s="94"/>
    </row>
    <row r="9150" s="93" customFormat="1" spans="3:13">
      <c r="C9150" s="94"/>
      <c r="E9150" s="94"/>
      <c r="G9150" s="94"/>
      <c r="I9150" s="94"/>
      <c r="K9150" s="94"/>
      <c r="M9150" s="94"/>
    </row>
    <row r="9151" s="93" customFormat="1" spans="3:13">
      <c r="C9151" s="94"/>
      <c r="E9151" s="94"/>
      <c r="G9151" s="94"/>
      <c r="I9151" s="94"/>
      <c r="K9151" s="94"/>
      <c r="M9151" s="94"/>
    </row>
    <row r="9152" s="93" customFormat="1" spans="3:13">
      <c r="C9152" s="94"/>
      <c r="E9152" s="94"/>
      <c r="G9152" s="94"/>
      <c r="I9152" s="94"/>
      <c r="K9152" s="94"/>
      <c r="M9152" s="94"/>
    </row>
    <row r="9153" s="93" customFormat="1" spans="3:13">
      <c r="C9153" s="94"/>
      <c r="E9153" s="94"/>
      <c r="G9153" s="94"/>
      <c r="I9153" s="94"/>
      <c r="K9153" s="94"/>
      <c r="M9153" s="94"/>
    </row>
    <row r="9154" s="93" customFormat="1" spans="3:13">
      <c r="C9154" s="94"/>
      <c r="E9154" s="94"/>
      <c r="G9154" s="94"/>
      <c r="I9154" s="94"/>
      <c r="K9154" s="94"/>
      <c r="M9154" s="94"/>
    </row>
    <row r="9155" s="93" customFormat="1" spans="3:13">
      <c r="C9155" s="94"/>
      <c r="E9155" s="94"/>
      <c r="G9155" s="94"/>
      <c r="I9155" s="94"/>
      <c r="K9155" s="94"/>
      <c r="M9155" s="94"/>
    </row>
    <row r="9156" s="93" customFormat="1" spans="3:13">
      <c r="C9156" s="94"/>
      <c r="E9156" s="94"/>
      <c r="G9156" s="94"/>
      <c r="I9156" s="94"/>
      <c r="K9156" s="94"/>
      <c r="M9156" s="94"/>
    </row>
    <row r="9157" s="93" customFormat="1" spans="3:13">
      <c r="C9157" s="94"/>
      <c r="E9157" s="94"/>
      <c r="G9157" s="94"/>
      <c r="I9157" s="94"/>
      <c r="K9157" s="94"/>
      <c r="M9157" s="94"/>
    </row>
    <row r="9158" s="93" customFormat="1" spans="3:13">
      <c r="C9158" s="94"/>
      <c r="E9158" s="94"/>
      <c r="G9158" s="94"/>
      <c r="I9158" s="94"/>
      <c r="K9158" s="94"/>
      <c r="M9158" s="94"/>
    </row>
    <row r="9159" s="93" customFormat="1" spans="3:13">
      <c r="C9159" s="94"/>
      <c r="E9159" s="94"/>
      <c r="G9159" s="94"/>
      <c r="I9159" s="94"/>
      <c r="K9159" s="94"/>
      <c r="M9159" s="94"/>
    </row>
    <row r="9160" s="93" customFormat="1" spans="3:13">
      <c r="C9160" s="94"/>
      <c r="E9160" s="94"/>
      <c r="G9160" s="94"/>
      <c r="I9160" s="94"/>
      <c r="K9160" s="94"/>
      <c r="M9160" s="94"/>
    </row>
    <row r="9161" s="93" customFormat="1" spans="3:13">
      <c r="C9161" s="94"/>
      <c r="E9161" s="94"/>
      <c r="G9161" s="94"/>
      <c r="I9161" s="94"/>
      <c r="K9161" s="94"/>
      <c r="M9161" s="94"/>
    </row>
    <row r="9162" s="93" customFormat="1" spans="3:13">
      <c r="C9162" s="94"/>
      <c r="E9162" s="94"/>
      <c r="G9162" s="94"/>
      <c r="I9162" s="94"/>
      <c r="K9162" s="94"/>
      <c r="M9162" s="94"/>
    </row>
    <row r="9163" s="93" customFormat="1" spans="3:13">
      <c r="C9163" s="94"/>
      <c r="E9163" s="94"/>
      <c r="G9163" s="94"/>
      <c r="I9163" s="94"/>
      <c r="K9163" s="94"/>
      <c r="M9163" s="94"/>
    </row>
    <row r="9164" s="93" customFormat="1" spans="3:13">
      <c r="C9164" s="94"/>
      <c r="E9164" s="94"/>
      <c r="G9164" s="94"/>
      <c r="I9164" s="94"/>
      <c r="K9164" s="94"/>
      <c r="M9164" s="94"/>
    </row>
    <row r="9165" s="93" customFormat="1" spans="3:13">
      <c r="C9165" s="94"/>
      <c r="E9165" s="94"/>
      <c r="G9165" s="94"/>
      <c r="I9165" s="94"/>
      <c r="K9165" s="94"/>
      <c r="M9165" s="94"/>
    </row>
    <row r="9166" s="93" customFormat="1" spans="3:13">
      <c r="C9166" s="94"/>
      <c r="E9166" s="94"/>
      <c r="G9166" s="94"/>
      <c r="I9166" s="94"/>
      <c r="K9166" s="94"/>
      <c r="M9166" s="94"/>
    </row>
    <row r="9167" s="93" customFormat="1" spans="3:13">
      <c r="C9167" s="94"/>
      <c r="E9167" s="94"/>
      <c r="G9167" s="94"/>
      <c r="I9167" s="94"/>
      <c r="K9167" s="94"/>
      <c r="M9167" s="94"/>
    </row>
    <row r="9168" s="93" customFormat="1" spans="3:13">
      <c r="C9168" s="94"/>
      <c r="E9168" s="94"/>
      <c r="G9168" s="94"/>
      <c r="I9168" s="94"/>
      <c r="K9168" s="94"/>
      <c r="M9168" s="94"/>
    </row>
    <row r="9169" s="93" customFormat="1" spans="3:13">
      <c r="C9169" s="94"/>
      <c r="E9169" s="94"/>
      <c r="G9169" s="94"/>
      <c r="I9169" s="94"/>
      <c r="K9169" s="94"/>
      <c r="M9169" s="94"/>
    </row>
    <row r="9170" s="93" customFormat="1" spans="3:13">
      <c r="C9170" s="94"/>
      <c r="E9170" s="94"/>
      <c r="G9170" s="94"/>
      <c r="I9170" s="94"/>
      <c r="K9170" s="94"/>
      <c r="M9170" s="94"/>
    </row>
    <row r="9171" s="93" customFormat="1" spans="3:13">
      <c r="C9171" s="94"/>
      <c r="E9171" s="94"/>
      <c r="G9171" s="94"/>
      <c r="I9171" s="94"/>
      <c r="K9171" s="94"/>
      <c r="M9171" s="94"/>
    </row>
    <row r="9172" s="93" customFormat="1" spans="3:13">
      <c r="C9172" s="94"/>
      <c r="E9172" s="94"/>
      <c r="G9172" s="94"/>
      <c r="I9172" s="94"/>
      <c r="K9172" s="94"/>
      <c r="M9172" s="94"/>
    </row>
    <row r="9173" s="93" customFormat="1" spans="3:13">
      <c r="C9173" s="94"/>
      <c r="E9173" s="94"/>
      <c r="G9173" s="94"/>
      <c r="I9173" s="94"/>
      <c r="K9173" s="94"/>
      <c r="M9173" s="94"/>
    </row>
    <row r="9174" s="93" customFormat="1" spans="3:13">
      <c r="C9174" s="94"/>
      <c r="E9174" s="94"/>
      <c r="G9174" s="94"/>
      <c r="I9174" s="94"/>
      <c r="K9174" s="94"/>
      <c r="M9174" s="94"/>
    </row>
    <row r="9175" s="93" customFormat="1" spans="3:13">
      <c r="C9175" s="94"/>
      <c r="E9175" s="94"/>
      <c r="G9175" s="94"/>
      <c r="I9175" s="94"/>
      <c r="K9175" s="94"/>
      <c r="M9175" s="94"/>
    </row>
    <row r="9176" s="93" customFormat="1" spans="3:13">
      <c r="C9176" s="94"/>
      <c r="E9176" s="94"/>
      <c r="G9176" s="94"/>
      <c r="I9176" s="94"/>
      <c r="K9176" s="94"/>
      <c r="M9176" s="94"/>
    </row>
    <row r="9177" s="93" customFormat="1" spans="3:13">
      <c r="C9177" s="94"/>
      <c r="E9177" s="94"/>
      <c r="G9177" s="94"/>
      <c r="I9177" s="94"/>
      <c r="K9177" s="94"/>
      <c r="M9177" s="94"/>
    </row>
    <row r="9178" s="93" customFormat="1" spans="3:13">
      <c r="C9178" s="94"/>
      <c r="E9178" s="94"/>
      <c r="G9178" s="94"/>
      <c r="I9178" s="94"/>
      <c r="K9178" s="94"/>
      <c r="M9178" s="94"/>
    </row>
    <row r="9179" s="93" customFormat="1" spans="3:13">
      <c r="C9179" s="94"/>
      <c r="E9179" s="94"/>
      <c r="G9179" s="94"/>
      <c r="I9179" s="94"/>
      <c r="K9179" s="94"/>
      <c r="M9179" s="94"/>
    </row>
    <row r="9180" s="93" customFormat="1" spans="3:13">
      <c r="C9180" s="94"/>
      <c r="E9180" s="94"/>
      <c r="G9180" s="94"/>
      <c r="I9180" s="94"/>
      <c r="K9180" s="94"/>
      <c r="M9180" s="94"/>
    </row>
    <row r="9181" s="93" customFormat="1" spans="3:13">
      <c r="C9181" s="94"/>
      <c r="E9181" s="94"/>
      <c r="G9181" s="94"/>
      <c r="I9181" s="94"/>
      <c r="K9181" s="94"/>
      <c r="M9181" s="94"/>
    </row>
    <row r="9182" s="93" customFormat="1" spans="3:13">
      <c r="C9182" s="94"/>
      <c r="E9182" s="94"/>
      <c r="G9182" s="94"/>
      <c r="I9182" s="94"/>
      <c r="K9182" s="94"/>
      <c r="M9182" s="94"/>
    </row>
    <row r="9183" s="93" customFormat="1" spans="3:13">
      <c r="C9183" s="94"/>
      <c r="E9183" s="94"/>
      <c r="G9183" s="94"/>
      <c r="I9183" s="94"/>
      <c r="K9183" s="94"/>
      <c r="M9183" s="94"/>
    </row>
    <row r="9184" s="93" customFormat="1" spans="3:13">
      <c r="C9184" s="94"/>
      <c r="E9184" s="94"/>
      <c r="G9184" s="94"/>
      <c r="I9184" s="94"/>
      <c r="K9184" s="94"/>
      <c r="M9184" s="94"/>
    </row>
    <row r="9185" s="93" customFormat="1" spans="3:13">
      <c r="C9185" s="94"/>
      <c r="E9185" s="94"/>
      <c r="G9185" s="94"/>
      <c r="I9185" s="94"/>
      <c r="K9185" s="94"/>
      <c r="M9185" s="94"/>
    </row>
    <row r="9186" s="93" customFormat="1" spans="3:13">
      <c r="C9186" s="94"/>
      <c r="E9186" s="94"/>
      <c r="G9186" s="94"/>
      <c r="I9186" s="94"/>
      <c r="K9186" s="94"/>
      <c r="M9186" s="94"/>
    </row>
    <row r="9187" s="93" customFormat="1" spans="3:13">
      <c r="C9187" s="94"/>
      <c r="E9187" s="94"/>
      <c r="G9187" s="94"/>
      <c r="I9187" s="94"/>
      <c r="K9187" s="94"/>
      <c r="M9187" s="94"/>
    </row>
    <row r="9188" s="93" customFormat="1" spans="3:13">
      <c r="C9188" s="94"/>
      <c r="E9188" s="94"/>
      <c r="G9188" s="94"/>
      <c r="I9188" s="94"/>
      <c r="K9188" s="94"/>
      <c r="M9188" s="94"/>
    </row>
    <row r="9189" s="93" customFormat="1" spans="3:13">
      <c r="C9189" s="94"/>
      <c r="E9189" s="94"/>
      <c r="G9189" s="94"/>
      <c r="I9189" s="94"/>
      <c r="K9189" s="94"/>
      <c r="M9189" s="94"/>
    </row>
    <row r="9190" s="93" customFormat="1" spans="3:13">
      <c r="C9190" s="94"/>
      <c r="E9190" s="94"/>
      <c r="G9190" s="94"/>
      <c r="I9190" s="94"/>
      <c r="K9190" s="94"/>
      <c r="M9190" s="94"/>
    </row>
    <row r="9191" s="93" customFormat="1" spans="3:13">
      <c r="C9191" s="94"/>
      <c r="E9191" s="94"/>
      <c r="G9191" s="94"/>
      <c r="I9191" s="94"/>
      <c r="K9191" s="94"/>
      <c r="M9191" s="94"/>
    </row>
    <row r="9192" s="93" customFormat="1" spans="3:13">
      <c r="C9192" s="94"/>
      <c r="E9192" s="94"/>
      <c r="G9192" s="94"/>
      <c r="I9192" s="94"/>
      <c r="K9192" s="94"/>
      <c r="M9192" s="94"/>
    </row>
    <row r="9193" s="93" customFormat="1" spans="3:13">
      <c r="C9193" s="94"/>
      <c r="E9193" s="94"/>
      <c r="G9193" s="94"/>
      <c r="I9193" s="94"/>
      <c r="K9193" s="94"/>
      <c r="M9193" s="94"/>
    </row>
    <row r="9194" s="93" customFormat="1" spans="3:13">
      <c r="C9194" s="94"/>
      <c r="E9194" s="94"/>
      <c r="G9194" s="94"/>
      <c r="I9194" s="94"/>
      <c r="K9194" s="94"/>
      <c r="M9194" s="94"/>
    </row>
    <row r="9195" s="93" customFormat="1" spans="3:13">
      <c r="C9195" s="94"/>
      <c r="E9195" s="94"/>
      <c r="G9195" s="94"/>
      <c r="I9195" s="94"/>
      <c r="K9195" s="94"/>
      <c r="M9195" s="94"/>
    </row>
    <row r="9196" s="93" customFormat="1" spans="3:13">
      <c r="C9196" s="94"/>
      <c r="E9196" s="94"/>
      <c r="G9196" s="94"/>
      <c r="I9196" s="94"/>
      <c r="K9196" s="94"/>
      <c r="M9196" s="94"/>
    </row>
    <row r="9197" s="93" customFormat="1" spans="3:13">
      <c r="C9197" s="94"/>
      <c r="E9197" s="94"/>
      <c r="G9197" s="94"/>
      <c r="I9197" s="94"/>
      <c r="K9197" s="94"/>
      <c r="M9197" s="94"/>
    </row>
    <row r="9198" s="93" customFormat="1" spans="3:13">
      <c r="C9198" s="94"/>
      <c r="E9198" s="94"/>
      <c r="G9198" s="94"/>
      <c r="I9198" s="94"/>
      <c r="K9198" s="94"/>
      <c r="M9198" s="94"/>
    </row>
    <row r="9199" s="93" customFormat="1" spans="3:13">
      <c r="C9199" s="94"/>
      <c r="E9199" s="94"/>
      <c r="G9199" s="94"/>
      <c r="I9199" s="94"/>
      <c r="K9199" s="94"/>
      <c r="M9199" s="94"/>
    </row>
    <row r="9200" s="93" customFormat="1" spans="3:13">
      <c r="C9200" s="94"/>
      <c r="E9200" s="94"/>
      <c r="G9200" s="94"/>
      <c r="I9200" s="94"/>
      <c r="K9200" s="94"/>
      <c r="M9200" s="94"/>
    </row>
    <row r="9201" s="93" customFormat="1" spans="3:13">
      <c r="C9201" s="94"/>
      <c r="E9201" s="94"/>
      <c r="G9201" s="94"/>
      <c r="I9201" s="94"/>
      <c r="K9201" s="94"/>
      <c r="M9201" s="94"/>
    </row>
    <row r="9202" s="93" customFormat="1" spans="3:13">
      <c r="C9202" s="94"/>
      <c r="E9202" s="94"/>
      <c r="G9202" s="94"/>
      <c r="I9202" s="94"/>
      <c r="K9202" s="94"/>
      <c r="M9202" s="94"/>
    </row>
    <row r="9203" s="93" customFormat="1" spans="3:13">
      <c r="C9203" s="94"/>
      <c r="E9203" s="94"/>
      <c r="G9203" s="94"/>
      <c r="I9203" s="94"/>
      <c r="K9203" s="94"/>
      <c r="M9203" s="94"/>
    </row>
    <row r="9204" s="93" customFormat="1" spans="3:13">
      <c r="C9204" s="94"/>
      <c r="E9204" s="94"/>
      <c r="G9204" s="94"/>
      <c r="I9204" s="94"/>
      <c r="K9204" s="94"/>
      <c r="M9204" s="94"/>
    </row>
    <row r="9205" s="93" customFormat="1" spans="3:13">
      <c r="C9205" s="94"/>
      <c r="E9205" s="94"/>
      <c r="G9205" s="94"/>
      <c r="I9205" s="94"/>
      <c r="K9205" s="94"/>
      <c r="M9205" s="94"/>
    </row>
    <row r="9206" s="93" customFormat="1" spans="3:13">
      <c r="C9206" s="94"/>
      <c r="E9206" s="94"/>
      <c r="G9206" s="94"/>
      <c r="I9206" s="94"/>
      <c r="K9206" s="94"/>
      <c r="M9206" s="94"/>
    </row>
    <row r="9207" s="93" customFormat="1" spans="3:13">
      <c r="C9207" s="94"/>
      <c r="E9207" s="94"/>
      <c r="G9207" s="94"/>
      <c r="I9207" s="94"/>
      <c r="K9207" s="94"/>
      <c r="M9207" s="94"/>
    </row>
    <row r="9208" s="93" customFormat="1" spans="3:13">
      <c r="C9208" s="94"/>
      <c r="E9208" s="94"/>
      <c r="G9208" s="94"/>
      <c r="I9208" s="94"/>
      <c r="K9208" s="94"/>
      <c r="M9208" s="94"/>
    </row>
    <row r="9209" s="93" customFormat="1" spans="3:13">
      <c r="C9209" s="94"/>
      <c r="E9209" s="94"/>
      <c r="G9209" s="94"/>
      <c r="I9209" s="94"/>
      <c r="K9209" s="94"/>
      <c r="M9209" s="94"/>
    </row>
    <row r="9210" s="93" customFormat="1" spans="3:13">
      <c r="C9210" s="94"/>
      <c r="E9210" s="94"/>
      <c r="G9210" s="94"/>
      <c r="I9210" s="94"/>
      <c r="K9210" s="94"/>
      <c r="M9210" s="94"/>
    </row>
    <row r="9211" s="93" customFormat="1" spans="3:13">
      <c r="C9211" s="94"/>
      <c r="E9211" s="94"/>
      <c r="G9211" s="94"/>
      <c r="I9211" s="94"/>
      <c r="K9211" s="94"/>
      <c r="M9211" s="94"/>
    </row>
    <row r="9212" s="93" customFormat="1" spans="3:13">
      <c r="C9212" s="94"/>
      <c r="E9212" s="94"/>
      <c r="G9212" s="94"/>
      <c r="I9212" s="94"/>
      <c r="K9212" s="94"/>
      <c r="M9212" s="94"/>
    </row>
    <row r="9213" s="93" customFormat="1" spans="3:13">
      <c r="C9213" s="94"/>
      <c r="E9213" s="94"/>
      <c r="G9213" s="94"/>
      <c r="I9213" s="94"/>
      <c r="K9213" s="94"/>
      <c r="M9213" s="94"/>
    </row>
    <row r="9214" s="93" customFormat="1" spans="3:13">
      <c r="C9214" s="94"/>
      <c r="E9214" s="94"/>
      <c r="G9214" s="94"/>
      <c r="I9214" s="94"/>
      <c r="K9214" s="94"/>
      <c r="M9214" s="94"/>
    </row>
    <row r="9215" s="93" customFormat="1" spans="3:13">
      <c r="C9215" s="94"/>
      <c r="E9215" s="94"/>
      <c r="G9215" s="94"/>
      <c r="I9215" s="94"/>
      <c r="K9215" s="94"/>
      <c r="M9215" s="94"/>
    </row>
    <row r="9216" s="93" customFormat="1" spans="3:13">
      <c r="C9216" s="94"/>
      <c r="E9216" s="94"/>
      <c r="G9216" s="94"/>
      <c r="I9216" s="94"/>
      <c r="K9216" s="94"/>
      <c r="M9216" s="94"/>
    </row>
    <row r="9217" s="93" customFormat="1" spans="3:13">
      <c r="C9217" s="94"/>
      <c r="E9217" s="94"/>
      <c r="G9217" s="94"/>
      <c r="I9217" s="94"/>
      <c r="K9217" s="94"/>
      <c r="M9217" s="94"/>
    </row>
    <row r="9218" s="93" customFormat="1" spans="3:13">
      <c r="C9218" s="94"/>
      <c r="E9218" s="94"/>
      <c r="G9218" s="94"/>
      <c r="I9218" s="94"/>
      <c r="K9218" s="94"/>
      <c r="M9218" s="94"/>
    </row>
    <row r="9219" s="93" customFormat="1" spans="3:13">
      <c r="C9219" s="94"/>
      <c r="E9219" s="94"/>
      <c r="G9219" s="94"/>
      <c r="I9219" s="94"/>
      <c r="K9219" s="94"/>
      <c r="M9219" s="94"/>
    </row>
    <row r="9220" s="93" customFormat="1" spans="3:13">
      <c r="C9220" s="94"/>
      <c r="E9220" s="94"/>
      <c r="G9220" s="94"/>
      <c r="I9220" s="94"/>
      <c r="K9220" s="94"/>
      <c r="M9220" s="94"/>
    </row>
    <row r="9221" s="93" customFormat="1" spans="3:13">
      <c r="C9221" s="94"/>
      <c r="E9221" s="94"/>
      <c r="G9221" s="94"/>
      <c r="I9221" s="94"/>
      <c r="K9221" s="94"/>
      <c r="M9221" s="94"/>
    </row>
    <row r="9222" s="93" customFormat="1" spans="3:13">
      <c r="C9222" s="94"/>
      <c r="E9222" s="94"/>
      <c r="G9222" s="94"/>
      <c r="I9222" s="94"/>
      <c r="K9222" s="94"/>
      <c r="M9222" s="94"/>
    </row>
    <row r="9223" s="93" customFormat="1" spans="3:13">
      <c r="C9223" s="94"/>
      <c r="E9223" s="94"/>
      <c r="G9223" s="94"/>
      <c r="I9223" s="94"/>
      <c r="K9223" s="94"/>
      <c r="M9223" s="94"/>
    </row>
    <row r="9224" s="93" customFormat="1" spans="3:13">
      <c r="C9224" s="94"/>
      <c r="E9224" s="94"/>
      <c r="G9224" s="94"/>
      <c r="I9224" s="94"/>
      <c r="K9224" s="94"/>
      <c r="M9224" s="94"/>
    </row>
    <row r="9225" s="93" customFormat="1" spans="3:13">
      <c r="C9225" s="94"/>
      <c r="E9225" s="94"/>
      <c r="G9225" s="94"/>
      <c r="I9225" s="94"/>
      <c r="K9225" s="94"/>
      <c r="M9225" s="94"/>
    </row>
    <row r="9226" s="93" customFormat="1" spans="3:13">
      <c r="C9226" s="94"/>
      <c r="E9226" s="94"/>
      <c r="G9226" s="94"/>
      <c r="I9226" s="94"/>
      <c r="K9226" s="94"/>
      <c r="M9226" s="94"/>
    </row>
    <row r="9227" s="93" customFormat="1" spans="3:13">
      <c r="C9227" s="94"/>
      <c r="E9227" s="94"/>
      <c r="G9227" s="94"/>
      <c r="I9227" s="94"/>
      <c r="K9227" s="94"/>
      <c r="M9227" s="94"/>
    </row>
    <row r="9228" s="93" customFormat="1" spans="3:13">
      <c r="C9228" s="94"/>
      <c r="E9228" s="94"/>
      <c r="G9228" s="94"/>
      <c r="I9228" s="94"/>
      <c r="K9228" s="94"/>
      <c r="M9228" s="94"/>
    </row>
    <row r="9229" s="93" customFormat="1" spans="3:13">
      <c r="C9229" s="94"/>
      <c r="E9229" s="94"/>
      <c r="G9229" s="94"/>
      <c r="I9229" s="94"/>
      <c r="K9229" s="94"/>
      <c r="M9229" s="94"/>
    </row>
    <row r="9230" s="93" customFormat="1" spans="3:13">
      <c r="C9230" s="94"/>
      <c r="E9230" s="94"/>
      <c r="G9230" s="94"/>
      <c r="I9230" s="94"/>
      <c r="K9230" s="94"/>
      <c r="M9230" s="94"/>
    </row>
    <row r="9231" s="93" customFormat="1" spans="3:13">
      <c r="C9231" s="94"/>
      <c r="E9231" s="94"/>
      <c r="G9231" s="94"/>
      <c r="I9231" s="94"/>
      <c r="K9231" s="94"/>
      <c r="M9231" s="94"/>
    </row>
    <row r="9232" s="93" customFormat="1" spans="3:13">
      <c r="C9232" s="94"/>
      <c r="E9232" s="94"/>
      <c r="G9232" s="94"/>
      <c r="I9232" s="94"/>
      <c r="K9232" s="94"/>
      <c r="M9232" s="94"/>
    </row>
    <row r="9233" s="93" customFormat="1" spans="3:13">
      <c r="C9233" s="94"/>
      <c r="E9233" s="94"/>
      <c r="G9233" s="94"/>
      <c r="I9233" s="94"/>
      <c r="K9233" s="94"/>
      <c r="M9233" s="94"/>
    </row>
    <row r="9234" s="93" customFormat="1" spans="3:13">
      <c r="C9234" s="94"/>
      <c r="E9234" s="94"/>
      <c r="G9234" s="94"/>
      <c r="I9234" s="94"/>
      <c r="K9234" s="94"/>
      <c r="M9234" s="94"/>
    </row>
    <row r="9235" s="93" customFormat="1" spans="3:13">
      <c r="C9235" s="94"/>
      <c r="E9235" s="94"/>
      <c r="G9235" s="94"/>
      <c r="I9235" s="94"/>
      <c r="K9235" s="94"/>
      <c r="M9235" s="94"/>
    </row>
    <row r="9236" s="93" customFormat="1" spans="3:13">
      <c r="C9236" s="94"/>
      <c r="E9236" s="94"/>
      <c r="G9236" s="94"/>
      <c r="I9236" s="94"/>
      <c r="K9236" s="94"/>
      <c r="M9236" s="94"/>
    </row>
    <row r="9237" s="93" customFormat="1" spans="3:13">
      <c r="C9237" s="94"/>
      <c r="E9237" s="94"/>
      <c r="G9237" s="94"/>
      <c r="I9237" s="94"/>
      <c r="K9237" s="94"/>
      <c r="M9237" s="94"/>
    </row>
    <row r="9238" s="93" customFormat="1" spans="3:13">
      <c r="C9238" s="94"/>
      <c r="E9238" s="94"/>
      <c r="G9238" s="94"/>
      <c r="I9238" s="94"/>
      <c r="K9238" s="94"/>
      <c r="M9238" s="94"/>
    </row>
    <row r="9239" s="93" customFormat="1" spans="3:13">
      <c r="C9239" s="94"/>
      <c r="E9239" s="94"/>
      <c r="G9239" s="94"/>
      <c r="I9239" s="94"/>
      <c r="K9239" s="94"/>
      <c r="M9239" s="94"/>
    </row>
    <row r="9240" s="93" customFormat="1" spans="3:13">
      <c r="C9240" s="94"/>
      <c r="E9240" s="94"/>
      <c r="G9240" s="94"/>
      <c r="I9240" s="94"/>
      <c r="K9240" s="94"/>
      <c r="M9240" s="94"/>
    </row>
    <row r="9241" s="93" customFormat="1" spans="3:13">
      <c r="C9241" s="94"/>
      <c r="E9241" s="94"/>
      <c r="G9241" s="94"/>
      <c r="I9241" s="94"/>
      <c r="K9241" s="94"/>
      <c r="M9241" s="94"/>
    </row>
    <row r="9242" s="93" customFormat="1" spans="3:13">
      <c r="C9242" s="94"/>
      <c r="E9242" s="94"/>
      <c r="G9242" s="94"/>
      <c r="I9242" s="94"/>
      <c r="K9242" s="94"/>
      <c r="M9242" s="94"/>
    </row>
    <row r="9243" s="93" customFormat="1" spans="3:13">
      <c r="C9243" s="94"/>
      <c r="E9243" s="94"/>
      <c r="G9243" s="94"/>
      <c r="I9243" s="94"/>
      <c r="K9243" s="94"/>
      <c r="M9243" s="94"/>
    </row>
    <row r="9244" s="93" customFormat="1" spans="3:13">
      <c r="C9244" s="94"/>
      <c r="E9244" s="94"/>
      <c r="G9244" s="94"/>
      <c r="I9244" s="94"/>
      <c r="K9244" s="94"/>
      <c r="M9244" s="94"/>
    </row>
    <row r="9245" s="93" customFormat="1" spans="3:13">
      <c r="C9245" s="94"/>
      <c r="E9245" s="94"/>
      <c r="G9245" s="94"/>
      <c r="I9245" s="94"/>
      <c r="K9245" s="94"/>
      <c r="M9245" s="94"/>
    </row>
    <row r="9246" s="93" customFormat="1" spans="3:13">
      <c r="C9246" s="94"/>
      <c r="E9246" s="94"/>
      <c r="G9246" s="94"/>
      <c r="I9246" s="94"/>
      <c r="K9246" s="94"/>
      <c r="M9246" s="94"/>
    </row>
    <row r="9247" s="93" customFormat="1" spans="3:13">
      <c r="C9247" s="94"/>
      <c r="E9247" s="94"/>
      <c r="G9247" s="94"/>
      <c r="I9247" s="94"/>
      <c r="K9247" s="94"/>
      <c r="M9247" s="94"/>
    </row>
    <row r="9248" s="93" customFormat="1" spans="3:13">
      <c r="C9248" s="94"/>
      <c r="E9248" s="94"/>
      <c r="G9248" s="94"/>
      <c r="I9248" s="94"/>
      <c r="K9248" s="94"/>
      <c r="M9248" s="94"/>
    </row>
    <row r="9249" s="93" customFormat="1" spans="3:13">
      <c r="C9249" s="94"/>
      <c r="E9249" s="94"/>
      <c r="G9249" s="94"/>
      <c r="I9249" s="94"/>
      <c r="K9249" s="94"/>
      <c r="M9249" s="94"/>
    </row>
    <row r="9250" s="93" customFormat="1" spans="3:13">
      <c r="C9250" s="94"/>
      <c r="E9250" s="94"/>
      <c r="G9250" s="94"/>
      <c r="I9250" s="94"/>
      <c r="K9250" s="94"/>
      <c r="M9250" s="94"/>
    </row>
    <row r="9251" s="93" customFormat="1" spans="3:13">
      <c r="C9251" s="94"/>
      <c r="E9251" s="94"/>
      <c r="G9251" s="94"/>
      <c r="I9251" s="94"/>
      <c r="K9251" s="94"/>
      <c r="M9251" s="94"/>
    </row>
    <row r="9252" s="93" customFormat="1" spans="3:13">
      <c r="C9252" s="94"/>
      <c r="E9252" s="94"/>
      <c r="G9252" s="94"/>
      <c r="I9252" s="94"/>
      <c r="K9252" s="94"/>
      <c r="M9252" s="94"/>
    </row>
    <row r="9253" s="93" customFormat="1" spans="3:13">
      <c r="C9253" s="94"/>
      <c r="E9253" s="94"/>
      <c r="G9253" s="94"/>
      <c r="I9253" s="94"/>
      <c r="K9253" s="94"/>
      <c r="M9253" s="94"/>
    </row>
    <row r="9254" s="93" customFormat="1" spans="3:13">
      <c r="C9254" s="94"/>
      <c r="E9254" s="94"/>
      <c r="G9254" s="94"/>
      <c r="I9254" s="94"/>
      <c r="K9254" s="94"/>
      <c r="M9254" s="94"/>
    </row>
    <row r="9255" s="93" customFormat="1" spans="3:13">
      <c r="C9255" s="94"/>
      <c r="E9255" s="94"/>
      <c r="G9255" s="94"/>
      <c r="I9255" s="94"/>
      <c r="K9255" s="94"/>
      <c r="M9255" s="94"/>
    </row>
    <row r="9256" s="93" customFormat="1" spans="3:13">
      <c r="C9256" s="94"/>
      <c r="E9256" s="94"/>
      <c r="G9256" s="94"/>
      <c r="I9256" s="94"/>
      <c r="K9256" s="94"/>
      <c r="M9256" s="94"/>
    </row>
    <row r="9257" s="93" customFormat="1" spans="3:13">
      <c r="C9257" s="94"/>
      <c r="E9257" s="94"/>
      <c r="G9257" s="94"/>
      <c r="I9257" s="94"/>
      <c r="K9257" s="94"/>
      <c r="M9257" s="94"/>
    </row>
    <row r="9258" s="93" customFormat="1" spans="3:13">
      <c r="C9258" s="94"/>
      <c r="E9258" s="94"/>
      <c r="G9258" s="94"/>
      <c r="I9258" s="94"/>
      <c r="K9258" s="94"/>
      <c r="M9258" s="94"/>
    </row>
    <row r="9259" s="93" customFormat="1" spans="3:13">
      <c r="C9259" s="94"/>
      <c r="E9259" s="94"/>
      <c r="G9259" s="94"/>
      <c r="I9259" s="94"/>
      <c r="K9259" s="94"/>
      <c r="M9259" s="94"/>
    </row>
    <row r="9260" s="93" customFormat="1" spans="3:13">
      <c r="C9260" s="94"/>
      <c r="E9260" s="94"/>
      <c r="G9260" s="94"/>
      <c r="I9260" s="94"/>
      <c r="K9260" s="94"/>
      <c r="M9260" s="94"/>
    </row>
    <row r="9261" s="93" customFormat="1" spans="3:13">
      <c r="C9261" s="94"/>
      <c r="E9261" s="94"/>
      <c r="G9261" s="94"/>
      <c r="I9261" s="94"/>
      <c r="K9261" s="94"/>
      <c r="M9261" s="94"/>
    </row>
    <row r="9262" s="93" customFormat="1" spans="3:13">
      <c r="C9262" s="94"/>
      <c r="E9262" s="94"/>
      <c r="G9262" s="94"/>
      <c r="I9262" s="94"/>
      <c r="K9262" s="94"/>
      <c r="M9262" s="94"/>
    </row>
    <row r="9263" s="93" customFormat="1" spans="3:13">
      <c r="C9263" s="94"/>
      <c r="E9263" s="94"/>
      <c r="G9263" s="94"/>
      <c r="I9263" s="94"/>
      <c r="K9263" s="94"/>
      <c r="M9263" s="94"/>
    </row>
    <row r="9264" s="93" customFormat="1" spans="3:13">
      <c r="C9264" s="94"/>
      <c r="E9264" s="94"/>
      <c r="G9264" s="94"/>
      <c r="I9264" s="94"/>
      <c r="K9264" s="94"/>
      <c r="M9264" s="94"/>
    </row>
    <row r="9265" s="93" customFormat="1" spans="3:13">
      <c r="C9265" s="94"/>
      <c r="E9265" s="94"/>
      <c r="G9265" s="94"/>
      <c r="I9265" s="94"/>
      <c r="K9265" s="94"/>
      <c r="M9265" s="94"/>
    </row>
    <row r="9266" s="93" customFormat="1" spans="3:13">
      <c r="C9266" s="94"/>
      <c r="E9266" s="94"/>
      <c r="G9266" s="94"/>
      <c r="I9266" s="94"/>
      <c r="K9266" s="94"/>
      <c r="M9266" s="94"/>
    </row>
    <row r="9267" s="93" customFormat="1" spans="3:13">
      <c r="C9267" s="94"/>
      <c r="E9267" s="94"/>
      <c r="G9267" s="94"/>
      <c r="I9267" s="94"/>
      <c r="K9267" s="94"/>
      <c r="M9267" s="94"/>
    </row>
    <row r="9268" s="93" customFormat="1" spans="3:13">
      <c r="C9268" s="94"/>
      <c r="E9268" s="94"/>
      <c r="G9268" s="94"/>
      <c r="I9268" s="94"/>
      <c r="K9268" s="94"/>
      <c r="M9268" s="94"/>
    </row>
    <row r="9269" s="93" customFormat="1" spans="3:13">
      <c r="C9269" s="94"/>
      <c r="E9269" s="94"/>
      <c r="G9269" s="94"/>
      <c r="I9269" s="94"/>
      <c r="K9269" s="94"/>
      <c r="M9269" s="94"/>
    </row>
    <row r="9270" s="93" customFormat="1" spans="3:13">
      <c r="C9270" s="94"/>
      <c r="E9270" s="94"/>
      <c r="G9270" s="94"/>
      <c r="I9270" s="94"/>
      <c r="K9270" s="94"/>
      <c r="M9270" s="94"/>
    </row>
    <row r="9271" s="93" customFormat="1" spans="3:13">
      <c r="C9271" s="94"/>
      <c r="E9271" s="94"/>
      <c r="G9271" s="94"/>
      <c r="I9271" s="94"/>
      <c r="K9271" s="94"/>
      <c r="M9271" s="94"/>
    </row>
    <row r="9272" s="93" customFormat="1" spans="3:13">
      <c r="C9272" s="94"/>
      <c r="E9272" s="94"/>
      <c r="G9272" s="94"/>
      <c r="I9272" s="94"/>
      <c r="K9272" s="94"/>
      <c r="M9272" s="94"/>
    </row>
    <row r="9273" s="93" customFormat="1" spans="3:13">
      <c r="C9273" s="94"/>
      <c r="E9273" s="94"/>
      <c r="G9273" s="94"/>
      <c r="I9273" s="94"/>
      <c r="K9273" s="94"/>
      <c r="M9273" s="94"/>
    </row>
    <row r="9274" s="93" customFormat="1" spans="3:13">
      <c r="C9274" s="94"/>
      <c r="E9274" s="94"/>
      <c r="G9274" s="94"/>
      <c r="I9274" s="94"/>
      <c r="K9274" s="94"/>
      <c r="M9274" s="94"/>
    </row>
    <row r="9275" s="93" customFormat="1" spans="3:13">
      <c r="C9275" s="94"/>
      <c r="E9275" s="94"/>
      <c r="G9275" s="94"/>
      <c r="I9275" s="94"/>
      <c r="K9275" s="94"/>
      <c r="M9275" s="94"/>
    </row>
    <row r="9276" s="93" customFormat="1" spans="3:13">
      <c r="C9276" s="94"/>
      <c r="E9276" s="94"/>
      <c r="G9276" s="94"/>
      <c r="I9276" s="94"/>
      <c r="K9276" s="94"/>
      <c r="M9276" s="94"/>
    </row>
    <row r="9277" s="93" customFormat="1" spans="3:13">
      <c r="C9277" s="94"/>
      <c r="E9277" s="94"/>
      <c r="G9277" s="94"/>
      <c r="I9277" s="94"/>
      <c r="K9277" s="94"/>
      <c r="M9277" s="94"/>
    </row>
    <row r="9278" s="93" customFormat="1" spans="3:13">
      <c r="C9278" s="94"/>
      <c r="E9278" s="94"/>
      <c r="G9278" s="94"/>
      <c r="I9278" s="94"/>
      <c r="K9278" s="94"/>
      <c r="M9278" s="94"/>
    </row>
    <row r="9279" s="93" customFormat="1" spans="3:13">
      <c r="C9279" s="94"/>
      <c r="E9279" s="94"/>
      <c r="G9279" s="94"/>
      <c r="I9279" s="94"/>
      <c r="K9279" s="94"/>
      <c r="M9279" s="94"/>
    </row>
    <row r="9280" s="93" customFormat="1" spans="3:13">
      <c r="C9280" s="94"/>
      <c r="E9280" s="94"/>
      <c r="G9280" s="94"/>
      <c r="I9280" s="94"/>
      <c r="K9280" s="94"/>
      <c r="M9280" s="94"/>
    </row>
    <row r="9281" s="93" customFormat="1" spans="3:13">
      <c r="C9281" s="94"/>
      <c r="E9281" s="94"/>
      <c r="G9281" s="94"/>
      <c r="I9281" s="94"/>
      <c r="K9281" s="94"/>
      <c r="M9281" s="94"/>
    </row>
    <row r="9282" s="93" customFormat="1" spans="3:13">
      <c r="C9282" s="94"/>
      <c r="E9282" s="94"/>
      <c r="G9282" s="94"/>
      <c r="I9282" s="94"/>
      <c r="K9282" s="94"/>
      <c r="M9282" s="94"/>
    </row>
    <row r="9283" s="93" customFormat="1" spans="3:13">
      <c r="C9283" s="94"/>
      <c r="E9283" s="94"/>
      <c r="G9283" s="94"/>
      <c r="I9283" s="94"/>
      <c r="K9283" s="94"/>
      <c r="M9283" s="94"/>
    </row>
    <row r="9284" s="93" customFormat="1" spans="3:13">
      <c r="C9284" s="94"/>
      <c r="E9284" s="94"/>
      <c r="G9284" s="94"/>
      <c r="I9284" s="94"/>
      <c r="K9284" s="94"/>
      <c r="M9284" s="94"/>
    </row>
    <row r="9285" s="93" customFormat="1" spans="3:13">
      <c r="C9285" s="94"/>
      <c r="E9285" s="94"/>
      <c r="G9285" s="94"/>
      <c r="I9285" s="94"/>
      <c r="K9285" s="94"/>
      <c r="M9285" s="94"/>
    </row>
    <row r="9286" s="93" customFormat="1" spans="3:13">
      <c r="C9286" s="94"/>
      <c r="E9286" s="94"/>
      <c r="G9286" s="94"/>
      <c r="I9286" s="94"/>
      <c r="K9286" s="94"/>
      <c r="M9286" s="94"/>
    </row>
    <row r="9287" s="93" customFormat="1" spans="3:13">
      <c r="C9287" s="94"/>
      <c r="E9287" s="94"/>
      <c r="G9287" s="94"/>
      <c r="I9287" s="94"/>
      <c r="K9287" s="94"/>
      <c r="M9287" s="94"/>
    </row>
    <row r="9288" s="93" customFormat="1" spans="3:13">
      <c r="C9288" s="94"/>
      <c r="E9288" s="94"/>
      <c r="G9288" s="94"/>
      <c r="I9288" s="94"/>
      <c r="K9288" s="94"/>
      <c r="M9288" s="94"/>
    </row>
    <row r="9289" s="93" customFormat="1" spans="3:13">
      <c r="C9289" s="94"/>
      <c r="E9289" s="94"/>
      <c r="G9289" s="94"/>
      <c r="I9289" s="94"/>
      <c r="K9289" s="94"/>
      <c r="M9289" s="94"/>
    </row>
    <row r="9290" s="93" customFormat="1" spans="3:13">
      <c r="C9290" s="94"/>
      <c r="E9290" s="94"/>
      <c r="G9290" s="94"/>
      <c r="I9290" s="94"/>
      <c r="K9290" s="94"/>
      <c r="M9290" s="94"/>
    </row>
    <row r="9291" s="93" customFormat="1" spans="3:13">
      <c r="C9291" s="94"/>
      <c r="E9291" s="94"/>
      <c r="G9291" s="94"/>
      <c r="I9291" s="94"/>
      <c r="K9291" s="94"/>
      <c r="M9291" s="94"/>
    </row>
    <row r="9292" s="93" customFormat="1" spans="3:13">
      <c r="C9292" s="94"/>
      <c r="E9292" s="94"/>
      <c r="G9292" s="94"/>
      <c r="I9292" s="94"/>
      <c r="K9292" s="94"/>
      <c r="M9292" s="94"/>
    </row>
    <row r="9293" s="93" customFormat="1" spans="3:13">
      <c r="C9293" s="94"/>
      <c r="E9293" s="94"/>
      <c r="G9293" s="94"/>
      <c r="I9293" s="94"/>
      <c r="K9293" s="94"/>
      <c r="M9293" s="94"/>
    </row>
    <row r="9294" s="93" customFormat="1" spans="3:13">
      <c r="C9294" s="94"/>
      <c r="E9294" s="94"/>
      <c r="G9294" s="94"/>
      <c r="I9294" s="94"/>
      <c r="K9294" s="94"/>
      <c r="M9294" s="94"/>
    </row>
    <row r="9295" s="93" customFormat="1" spans="3:13">
      <c r="C9295" s="94"/>
      <c r="E9295" s="94"/>
      <c r="G9295" s="94"/>
      <c r="I9295" s="94"/>
      <c r="K9295" s="94"/>
      <c r="M9295" s="94"/>
    </row>
    <row r="9296" s="93" customFormat="1" spans="3:13">
      <c r="C9296" s="94"/>
      <c r="E9296" s="94"/>
      <c r="G9296" s="94"/>
      <c r="I9296" s="94"/>
      <c r="K9296" s="94"/>
      <c r="M9296" s="94"/>
    </row>
    <row r="9297" s="93" customFormat="1" spans="3:13">
      <c r="C9297" s="94"/>
      <c r="E9297" s="94"/>
      <c r="G9297" s="94"/>
      <c r="I9297" s="94"/>
      <c r="K9297" s="94"/>
      <c r="M9297" s="94"/>
    </row>
    <row r="9298" s="93" customFormat="1" spans="3:13">
      <c r="C9298" s="94"/>
      <c r="E9298" s="94"/>
      <c r="G9298" s="94"/>
      <c r="I9298" s="94"/>
      <c r="K9298" s="94"/>
      <c r="M9298" s="94"/>
    </row>
    <row r="9299" s="93" customFormat="1" spans="3:13">
      <c r="C9299" s="94"/>
      <c r="E9299" s="94"/>
      <c r="G9299" s="94"/>
      <c r="I9299" s="94"/>
      <c r="K9299" s="94"/>
      <c r="M9299" s="94"/>
    </row>
    <row r="9300" s="93" customFormat="1" spans="3:13">
      <c r="C9300" s="94"/>
      <c r="E9300" s="94"/>
      <c r="G9300" s="94"/>
      <c r="I9300" s="94"/>
      <c r="K9300" s="94"/>
      <c r="M9300" s="94"/>
    </row>
    <row r="9301" s="93" customFormat="1" spans="3:13">
      <c r="C9301" s="94"/>
      <c r="E9301" s="94"/>
      <c r="G9301" s="94"/>
      <c r="I9301" s="94"/>
      <c r="K9301" s="94"/>
      <c r="M9301" s="94"/>
    </row>
    <row r="9302" s="93" customFormat="1" spans="3:13">
      <c r="C9302" s="94"/>
      <c r="E9302" s="94"/>
      <c r="G9302" s="94"/>
      <c r="I9302" s="94"/>
      <c r="K9302" s="94"/>
      <c r="M9302" s="94"/>
    </row>
    <row r="9303" s="93" customFormat="1" spans="3:13">
      <c r="C9303" s="94"/>
      <c r="E9303" s="94"/>
      <c r="G9303" s="94"/>
      <c r="I9303" s="94"/>
      <c r="K9303" s="94"/>
      <c r="M9303" s="94"/>
    </row>
    <row r="9304" s="93" customFormat="1" spans="3:13">
      <c r="C9304" s="94"/>
      <c r="E9304" s="94"/>
      <c r="G9304" s="94"/>
      <c r="I9304" s="94"/>
      <c r="K9304" s="94"/>
      <c r="M9304" s="94"/>
    </row>
    <row r="9305" s="93" customFormat="1" spans="3:13">
      <c r="C9305" s="94"/>
      <c r="E9305" s="94"/>
      <c r="G9305" s="94"/>
      <c r="I9305" s="94"/>
      <c r="K9305" s="94"/>
      <c r="M9305" s="94"/>
    </row>
    <row r="9306" s="93" customFormat="1" spans="3:13">
      <c r="C9306" s="94"/>
      <c r="E9306" s="94"/>
      <c r="G9306" s="94"/>
      <c r="I9306" s="94"/>
      <c r="K9306" s="94"/>
      <c r="M9306" s="94"/>
    </row>
    <row r="9307" s="93" customFormat="1" spans="3:13">
      <c r="C9307" s="94"/>
      <c r="E9307" s="94"/>
      <c r="G9307" s="94"/>
      <c r="I9307" s="94"/>
      <c r="K9307" s="94"/>
      <c r="M9307" s="94"/>
    </row>
    <row r="9308" s="93" customFormat="1" spans="3:13">
      <c r="C9308" s="94"/>
      <c r="E9308" s="94"/>
      <c r="G9308" s="94"/>
      <c r="I9308" s="94"/>
      <c r="K9308" s="94"/>
      <c r="M9308" s="94"/>
    </row>
    <row r="9309" s="93" customFormat="1" spans="3:13">
      <c r="C9309" s="94"/>
      <c r="E9309" s="94"/>
      <c r="G9309" s="94"/>
      <c r="I9309" s="94"/>
      <c r="K9309" s="94"/>
      <c r="M9309" s="94"/>
    </row>
    <row r="9310" s="93" customFormat="1" spans="3:13">
      <c r="C9310" s="94"/>
      <c r="E9310" s="94"/>
      <c r="G9310" s="94"/>
      <c r="I9310" s="94"/>
      <c r="K9310" s="94"/>
      <c r="M9310" s="94"/>
    </row>
    <row r="9311" s="93" customFormat="1" spans="3:13">
      <c r="C9311" s="94"/>
      <c r="E9311" s="94"/>
      <c r="G9311" s="94"/>
      <c r="I9311" s="94"/>
      <c r="K9311" s="94"/>
      <c r="M9311" s="94"/>
    </row>
    <row r="9312" s="93" customFormat="1" spans="3:13">
      <c r="C9312" s="94"/>
      <c r="E9312" s="94"/>
      <c r="G9312" s="94"/>
      <c r="I9312" s="94"/>
      <c r="K9312" s="94"/>
      <c r="M9312" s="94"/>
    </row>
    <row r="9313" s="93" customFormat="1" spans="3:13">
      <c r="C9313" s="94"/>
      <c r="E9313" s="94"/>
      <c r="G9313" s="94"/>
      <c r="I9313" s="94"/>
      <c r="K9313" s="94"/>
      <c r="M9313" s="94"/>
    </row>
    <row r="9314" s="93" customFormat="1" spans="3:13">
      <c r="C9314" s="94"/>
      <c r="E9314" s="94"/>
      <c r="G9314" s="94"/>
      <c r="I9314" s="94"/>
      <c r="K9314" s="94"/>
      <c r="M9314" s="94"/>
    </row>
    <row r="9315" s="93" customFormat="1" spans="3:13">
      <c r="C9315" s="94"/>
      <c r="E9315" s="94"/>
      <c r="G9315" s="94"/>
      <c r="I9315" s="94"/>
      <c r="K9315" s="94"/>
      <c r="M9315" s="94"/>
    </row>
    <row r="9316" s="93" customFormat="1" spans="3:13">
      <c r="C9316" s="94"/>
      <c r="E9316" s="94"/>
      <c r="G9316" s="94"/>
      <c r="I9316" s="94"/>
      <c r="K9316" s="94"/>
      <c r="M9316" s="94"/>
    </row>
    <row r="9317" s="93" customFormat="1" spans="3:13">
      <c r="C9317" s="94"/>
      <c r="E9317" s="94"/>
      <c r="G9317" s="94"/>
      <c r="I9317" s="94"/>
      <c r="K9317" s="94"/>
      <c r="M9317" s="94"/>
    </row>
    <row r="9318" s="93" customFormat="1" spans="3:13">
      <c r="C9318" s="94"/>
      <c r="E9318" s="94"/>
      <c r="G9318" s="94"/>
      <c r="I9318" s="94"/>
      <c r="K9318" s="94"/>
      <c r="M9318" s="94"/>
    </row>
    <row r="9319" s="93" customFormat="1" spans="3:13">
      <c r="C9319" s="94"/>
      <c r="E9319" s="94"/>
      <c r="G9319" s="94"/>
      <c r="I9319" s="94"/>
      <c r="K9319" s="94"/>
      <c r="M9319" s="94"/>
    </row>
    <row r="9320" s="93" customFormat="1" spans="3:13">
      <c r="C9320" s="94"/>
      <c r="E9320" s="94"/>
      <c r="G9320" s="94"/>
      <c r="I9320" s="94"/>
      <c r="K9320" s="94"/>
      <c r="M9320" s="94"/>
    </row>
    <row r="9321" s="93" customFormat="1" spans="3:13">
      <c r="C9321" s="94"/>
      <c r="E9321" s="94"/>
      <c r="G9321" s="94"/>
      <c r="I9321" s="94"/>
      <c r="K9321" s="94"/>
      <c r="M9321" s="94"/>
    </row>
    <row r="9322" s="93" customFormat="1" spans="3:13">
      <c r="C9322" s="94"/>
      <c r="E9322" s="94"/>
      <c r="G9322" s="94"/>
      <c r="I9322" s="94"/>
      <c r="K9322" s="94"/>
      <c r="M9322" s="94"/>
    </row>
    <row r="9323" s="93" customFormat="1" spans="3:13">
      <c r="C9323" s="94"/>
      <c r="E9323" s="94"/>
      <c r="G9323" s="94"/>
      <c r="I9323" s="94"/>
      <c r="K9323" s="94"/>
      <c r="M9323" s="94"/>
    </row>
    <row r="9324" s="93" customFormat="1" spans="3:13">
      <c r="C9324" s="94"/>
      <c r="E9324" s="94"/>
      <c r="G9324" s="94"/>
      <c r="I9324" s="94"/>
      <c r="K9324" s="94"/>
      <c r="M9324" s="94"/>
    </row>
    <row r="9325" s="93" customFormat="1" spans="3:13">
      <c r="C9325" s="94"/>
      <c r="E9325" s="94"/>
      <c r="G9325" s="94"/>
      <c r="I9325" s="94"/>
      <c r="K9325" s="94"/>
      <c r="M9325" s="94"/>
    </row>
    <row r="9326" s="93" customFormat="1" spans="3:13">
      <c r="C9326" s="94"/>
      <c r="E9326" s="94"/>
      <c r="G9326" s="94"/>
      <c r="I9326" s="94"/>
      <c r="K9326" s="94"/>
      <c r="M9326" s="94"/>
    </row>
    <row r="9327" s="93" customFormat="1" spans="3:13">
      <c r="C9327" s="94"/>
      <c r="E9327" s="94"/>
      <c r="G9327" s="94"/>
      <c r="I9327" s="94"/>
      <c r="K9327" s="94"/>
      <c r="M9327" s="94"/>
    </row>
    <row r="9328" s="93" customFormat="1" spans="3:13">
      <c r="C9328" s="94"/>
      <c r="E9328" s="94"/>
      <c r="G9328" s="94"/>
      <c r="I9328" s="94"/>
      <c r="K9328" s="94"/>
      <c r="M9328" s="94"/>
    </row>
    <row r="9329" s="93" customFormat="1" spans="3:13">
      <c r="C9329" s="94"/>
      <c r="E9329" s="94"/>
      <c r="G9329" s="94"/>
      <c r="I9329" s="94"/>
      <c r="K9329" s="94"/>
      <c r="M9329" s="94"/>
    </row>
    <row r="9330" s="93" customFormat="1" spans="3:13">
      <c r="C9330" s="94"/>
      <c r="E9330" s="94"/>
      <c r="G9330" s="94"/>
      <c r="I9330" s="94"/>
      <c r="K9330" s="94"/>
      <c r="M9330" s="94"/>
    </row>
    <row r="9331" s="93" customFormat="1" spans="3:13">
      <c r="C9331" s="94"/>
      <c r="E9331" s="94"/>
      <c r="G9331" s="94"/>
      <c r="I9331" s="94"/>
      <c r="K9331" s="94"/>
      <c r="M9331" s="94"/>
    </row>
    <row r="9332" s="93" customFormat="1" spans="3:13">
      <c r="C9332" s="94"/>
      <c r="E9332" s="94"/>
      <c r="G9332" s="94"/>
      <c r="I9332" s="94"/>
      <c r="K9332" s="94"/>
      <c r="M9332" s="94"/>
    </row>
    <row r="9333" s="93" customFormat="1" spans="3:13">
      <c r="C9333" s="94"/>
      <c r="E9333" s="94"/>
      <c r="G9333" s="94"/>
      <c r="I9333" s="94"/>
      <c r="K9333" s="94"/>
      <c r="M9333" s="94"/>
    </row>
    <row r="9334" s="93" customFormat="1" spans="3:13">
      <c r="C9334" s="94"/>
      <c r="E9334" s="94"/>
      <c r="G9334" s="94"/>
      <c r="I9334" s="94"/>
      <c r="K9334" s="94"/>
      <c r="M9334" s="94"/>
    </row>
    <row r="9335" s="93" customFormat="1" spans="3:13">
      <c r="C9335" s="94"/>
      <c r="E9335" s="94"/>
      <c r="G9335" s="94"/>
      <c r="I9335" s="94"/>
      <c r="K9335" s="94"/>
      <c r="M9335" s="94"/>
    </row>
    <row r="9336" s="93" customFormat="1" spans="3:13">
      <c r="C9336" s="94"/>
      <c r="E9336" s="94"/>
      <c r="G9336" s="94"/>
      <c r="I9336" s="94"/>
      <c r="K9336" s="94"/>
      <c r="M9336" s="94"/>
    </row>
    <row r="9337" s="93" customFormat="1" spans="3:13">
      <c r="C9337" s="94"/>
      <c r="E9337" s="94"/>
      <c r="G9337" s="94"/>
      <c r="I9337" s="94"/>
      <c r="K9337" s="94"/>
      <c r="M9337" s="94"/>
    </row>
    <row r="9338" s="93" customFormat="1" spans="3:13">
      <c r="C9338" s="94"/>
      <c r="E9338" s="94"/>
      <c r="G9338" s="94"/>
      <c r="I9338" s="94"/>
      <c r="K9338" s="94"/>
      <c r="M9338" s="94"/>
    </row>
    <row r="9339" s="93" customFormat="1" spans="3:13">
      <c r="C9339" s="94"/>
      <c r="E9339" s="94"/>
      <c r="G9339" s="94"/>
      <c r="I9339" s="94"/>
      <c r="K9339" s="94"/>
      <c r="M9339" s="94"/>
    </row>
    <row r="9340" s="93" customFormat="1" spans="3:13">
      <c r="C9340" s="94"/>
      <c r="E9340" s="94"/>
      <c r="G9340" s="94"/>
      <c r="I9340" s="94"/>
      <c r="K9340" s="94"/>
      <c r="M9340" s="94"/>
    </row>
    <row r="9341" s="93" customFormat="1" spans="3:13">
      <c r="C9341" s="94"/>
      <c r="E9341" s="94"/>
      <c r="G9341" s="94"/>
      <c r="I9341" s="94"/>
      <c r="K9341" s="94"/>
      <c r="M9341" s="94"/>
    </row>
    <row r="9342" s="93" customFormat="1" spans="3:13">
      <c r="C9342" s="94"/>
      <c r="E9342" s="94"/>
      <c r="G9342" s="94"/>
      <c r="I9342" s="94"/>
      <c r="K9342" s="94"/>
      <c r="M9342" s="94"/>
    </row>
    <row r="9343" s="93" customFormat="1" spans="3:13">
      <c r="C9343" s="94"/>
      <c r="E9343" s="94"/>
      <c r="G9343" s="94"/>
      <c r="I9343" s="94"/>
      <c r="K9343" s="94"/>
      <c r="M9343" s="94"/>
    </row>
    <row r="9344" s="93" customFormat="1" spans="3:13">
      <c r="C9344" s="94"/>
      <c r="E9344" s="94"/>
      <c r="G9344" s="94"/>
      <c r="I9344" s="94"/>
      <c r="K9344" s="94"/>
      <c r="M9344" s="94"/>
    </row>
    <row r="9345" s="93" customFormat="1" spans="3:13">
      <c r="C9345" s="94"/>
      <c r="E9345" s="94"/>
      <c r="G9345" s="94"/>
      <c r="I9345" s="94"/>
      <c r="K9345" s="94"/>
      <c r="M9345" s="94"/>
    </row>
    <row r="9346" s="93" customFormat="1" spans="3:13">
      <c r="C9346" s="94"/>
      <c r="E9346" s="94"/>
      <c r="G9346" s="94"/>
      <c r="I9346" s="94"/>
      <c r="K9346" s="94"/>
      <c r="M9346" s="94"/>
    </row>
    <row r="9347" s="93" customFormat="1" spans="3:13">
      <c r="C9347" s="94"/>
      <c r="E9347" s="94"/>
      <c r="G9347" s="94"/>
      <c r="I9347" s="94"/>
      <c r="K9347" s="94"/>
      <c r="M9347" s="94"/>
    </row>
    <row r="9348" s="93" customFormat="1" spans="3:13">
      <c r="C9348" s="94"/>
      <c r="E9348" s="94"/>
      <c r="G9348" s="94"/>
      <c r="I9348" s="94"/>
      <c r="K9348" s="94"/>
      <c r="M9348" s="94"/>
    </row>
    <row r="9349" s="93" customFormat="1" spans="3:13">
      <c r="C9349" s="94"/>
      <c r="E9349" s="94"/>
      <c r="G9349" s="94"/>
      <c r="I9349" s="94"/>
      <c r="K9349" s="94"/>
      <c r="M9349" s="94"/>
    </row>
    <row r="9350" s="93" customFormat="1" spans="3:13">
      <c r="C9350" s="94"/>
      <c r="E9350" s="94"/>
      <c r="G9350" s="94"/>
      <c r="I9350" s="94"/>
      <c r="K9350" s="94"/>
      <c r="M9350" s="94"/>
    </row>
    <row r="9351" s="93" customFormat="1" spans="3:13">
      <c r="C9351" s="94"/>
      <c r="E9351" s="94"/>
      <c r="G9351" s="94"/>
      <c r="I9351" s="94"/>
      <c r="K9351" s="94"/>
      <c r="M9351" s="94"/>
    </row>
    <row r="9352" s="93" customFormat="1" spans="3:13">
      <c r="C9352" s="94"/>
      <c r="E9352" s="94"/>
      <c r="G9352" s="94"/>
      <c r="I9352" s="94"/>
      <c r="K9352" s="94"/>
      <c r="M9352" s="94"/>
    </row>
    <row r="9353" s="93" customFormat="1" spans="3:13">
      <c r="C9353" s="94"/>
      <c r="E9353" s="94"/>
      <c r="G9353" s="94"/>
      <c r="I9353" s="94"/>
      <c r="K9353" s="94"/>
      <c r="M9353" s="94"/>
    </row>
    <row r="9354" s="93" customFormat="1" spans="3:13">
      <c r="C9354" s="94"/>
      <c r="E9354" s="94"/>
      <c r="G9354" s="94"/>
      <c r="I9354" s="94"/>
      <c r="K9354" s="94"/>
      <c r="M9354" s="94"/>
    </row>
    <row r="9355" s="93" customFormat="1" spans="3:13">
      <c r="C9355" s="94"/>
      <c r="E9355" s="94"/>
      <c r="G9355" s="94"/>
      <c r="I9355" s="94"/>
      <c r="K9355" s="94"/>
      <c r="M9355" s="94"/>
    </row>
    <row r="9356" s="93" customFormat="1" spans="3:13">
      <c r="C9356" s="94"/>
      <c r="E9356" s="94"/>
      <c r="G9356" s="94"/>
      <c r="I9356" s="94"/>
      <c r="K9356" s="94"/>
      <c r="M9356" s="94"/>
    </row>
    <row r="9357" s="93" customFormat="1" spans="3:13">
      <c r="C9357" s="94"/>
      <c r="E9357" s="94"/>
      <c r="G9357" s="94"/>
      <c r="I9357" s="94"/>
      <c r="K9357" s="94"/>
      <c r="M9357" s="94"/>
    </row>
    <row r="9358" s="93" customFormat="1" spans="3:13">
      <c r="C9358" s="94"/>
      <c r="E9358" s="94"/>
      <c r="G9358" s="94"/>
      <c r="I9358" s="94"/>
      <c r="K9358" s="94"/>
      <c r="M9358" s="94"/>
    </row>
    <row r="9359" s="93" customFormat="1" spans="3:13">
      <c r="C9359" s="94"/>
      <c r="E9359" s="94"/>
      <c r="G9359" s="94"/>
      <c r="I9359" s="94"/>
      <c r="K9359" s="94"/>
      <c r="M9359" s="94"/>
    </row>
    <row r="9360" s="93" customFormat="1" spans="3:13">
      <c r="C9360" s="94"/>
      <c r="E9360" s="94"/>
      <c r="G9360" s="94"/>
      <c r="I9360" s="94"/>
      <c r="K9360" s="94"/>
      <c r="M9360" s="94"/>
    </row>
    <row r="9361" s="93" customFormat="1" spans="3:13">
      <c r="C9361" s="94"/>
      <c r="E9361" s="94"/>
      <c r="G9361" s="94"/>
      <c r="I9361" s="94"/>
      <c r="K9361" s="94"/>
      <c r="M9361" s="94"/>
    </row>
    <row r="9362" s="93" customFormat="1" spans="3:13">
      <c r="C9362" s="94"/>
      <c r="E9362" s="94"/>
      <c r="G9362" s="94"/>
      <c r="I9362" s="94"/>
      <c r="K9362" s="94"/>
      <c r="M9362" s="94"/>
    </row>
    <row r="9363" s="93" customFormat="1" spans="3:13">
      <c r="C9363" s="94"/>
      <c r="E9363" s="94"/>
      <c r="G9363" s="94"/>
      <c r="I9363" s="94"/>
      <c r="K9363" s="94"/>
      <c r="M9363" s="94"/>
    </row>
    <row r="9364" s="93" customFormat="1" spans="3:13">
      <c r="C9364" s="94"/>
      <c r="E9364" s="94"/>
      <c r="G9364" s="94"/>
      <c r="I9364" s="94"/>
      <c r="K9364" s="94"/>
      <c r="M9364" s="94"/>
    </row>
    <row r="9365" s="93" customFormat="1" spans="3:13">
      <c r="C9365" s="94"/>
      <c r="E9365" s="94"/>
      <c r="G9365" s="94"/>
      <c r="I9365" s="94"/>
      <c r="K9365" s="94"/>
      <c r="M9365" s="94"/>
    </row>
    <row r="9366" s="93" customFormat="1" spans="3:13">
      <c r="C9366" s="94"/>
      <c r="E9366" s="94"/>
      <c r="G9366" s="94"/>
      <c r="I9366" s="94"/>
      <c r="K9366" s="94"/>
      <c r="M9366" s="94"/>
    </row>
    <row r="9367" s="93" customFormat="1" spans="3:13">
      <c r="C9367" s="94"/>
      <c r="E9367" s="94"/>
      <c r="G9367" s="94"/>
      <c r="I9367" s="94"/>
      <c r="K9367" s="94"/>
      <c r="M9367" s="94"/>
    </row>
    <row r="9368" s="93" customFormat="1" spans="3:13">
      <c r="C9368" s="94"/>
      <c r="E9368" s="94"/>
      <c r="G9368" s="94"/>
      <c r="I9368" s="94"/>
      <c r="K9368" s="94"/>
      <c r="M9368" s="94"/>
    </row>
    <row r="9369" s="93" customFormat="1" spans="3:13">
      <c r="C9369" s="94"/>
      <c r="E9369" s="94"/>
      <c r="G9369" s="94"/>
      <c r="I9369" s="94"/>
      <c r="K9369" s="94"/>
      <c r="M9369" s="94"/>
    </row>
    <row r="9370" s="93" customFormat="1" spans="3:13">
      <c r="C9370" s="94"/>
      <c r="E9370" s="94"/>
      <c r="G9370" s="94"/>
      <c r="I9370" s="94"/>
      <c r="K9370" s="94"/>
      <c r="M9370" s="94"/>
    </row>
    <row r="9371" s="93" customFormat="1" spans="3:13">
      <c r="C9371" s="94"/>
      <c r="E9371" s="94"/>
      <c r="G9371" s="94"/>
      <c r="I9371" s="94"/>
      <c r="K9371" s="94"/>
      <c r="M9371" s="94"/>
    </row>
    <row r="9372" s="93" customFormat="1" spans="3:13">
      <c r="C9372" s="94"/>
      <c r="E9372" s="94"/>
      <c r="G9372" s="94"/>
      <c r="I9372" s="94"/>
      <c r="K9372" s="94"/>
      <c r="M9372" s="94"/>
    </row>
    <row r="9373" s="93" customFormat="1" spans="3:13">
      <c r="C9373" s="94"/>
      <c r="E9373" s="94"/>
      <c r="G9373" s="94"/>
      <c r="I9373" s="94"/>
      <c r="K9373" s="94"/>
      <c r="M9373" s="94"/>
    </row>
    <row r="9374" s="93" customFormat="1" spans="3:13">
      <c r="C9374" s="94"/>
      <c r="E9374" s="94"/>
      <c r="G9374" s="94"/>
      <c r="I9374" s="94"/>
      <c r="K9374" s="94"/>
      <c r="M9374" s="94"/>
    </row>
    <row r="9375" s="93" customFormat="1" spans="3:13">
      <c r="C9375" s="94"/>
      <c r="E9375" s="94"/>
      <c r="G9375" s="94"/>
      <c r="I9375" s="94"/>
      <c r="K9375" s="94"/>
      <c r="M9375" s="94"/>
    </row>
    <row r="9376" s="93" customFormat="1" spans="3:13">
      <c r="C9376" s="94"/>
      <c r="E9376" s="94"/>
      <c r="G9376" s="94"/>
      <c r="I9376" s="94"/>
      <c r="K9376" s="94"/>
      <c r="M9376" s="94"/>
    </row>
    <row r="9377" s="93" customFormat="1" spans="3:13">
      <c r="C9377" s="94"/>
      <c r="E9377" s="94"/>
      <c r="G9377" s="94"/>
      <c r="I9377" s="94"/>
      <c r="K9377" s="94"/>
      <c r="M9377" s="94"/>
    </row>
    <row r="9378" s="93" customFormat="1" spans="3:13">
      <c r="C9378" s="94"/>
      <c r="E9378" s="94"/>
      <c r="G9378" s="94"/>
      <c r="I9378" s="94"/>
      <c r="K9378" s="94"/>
      <c r="M9378" s="94"/>
    </row>
    <row r="9379" s="93" customFormat="1" spans="3:13">
      <c r="C9379" s="94"/>
      <c r="E9379" s="94"/>
      <c r="G9379" s="94"/>
      <c r="I9379" s="94"/>
      <c r="K9379" s="94"/>
      <c r="M9379" s="94"/>
    </row>
    <row r="9380" s="93" customFormat="1" spans="3:13">
      <c r="C9380" s="94"/>
      <c r="E9380" s="94"/>
      <c r="G9380" s="94"/>
      <c r="I9380" s="94"/>
      <c r="K9380" s="94"/>
      <c r="M9380" s="94"/>
    </row>
    <row r="9381" s="93" customFormat="1" spans="3:13">
      <c r="C9381" s="94"/>
      <c r="E9381" s="94"/>
      <c r="G9381" s="94"/>
      <c r="I9381" s="94"/>
      <c r="K9381" s="94"/>
      <c r="M9381" s="94"/>
    </row>
    <row r="9382" s="93" customFormat="1" spans="3:13">
      <c r="C9382" s="94"/>
      <c r="E9382" s="94"/>
      <c r="G9382" s="94"/>
      <c r="I9382" s="94"/>
      <c r="K9382" s="94"/>
      <c r="M9382" s="94"/>
    </row>
    <row r="9383" s="93" customFormat="1" spans="3:13">
      <c r="C9383" s="94"/>
      <c r="E9383" s="94"/>
      <c r="G9383" s="94"/>
      <c r="I9383" s="94"/>
      <c r="K9383" s="94"/>
      <c r="M9383" s="94"/>
    </row>
    <row r="9384" s="93" customFormat="1" spans="3:13">
      <c r="C9384" s="94"/>
      <c r="E9384" s="94"/>
      <c r="G9384" s="94"/>
      <c r="I9384" s="94"/>
      <c r="K9384" s="94"/>
      <c r="M9384" s="94"/>
    </row>
    <row r="9385" s="93" customFormat="1" spans="3:13">
      <c r="C9385" s="94"/>
      <c r="E9385" s="94"/>
      <c r="G9385" s="94"/>
      <c r="I9385" s="94"/>
      <c r="K9385" s="94"/>
      <c r="M9385" s="94"/>
    </row>
    <row r="9386" s="93" customFormat="1" spans="3:13">
      <c r="C9386" s="94"/>
      <c r="E9386" s="94"/>
      <c r="G9386" s="94"/>
      <c r="I9386" s="94"/>
      <c r="K9386" s="94"/>
      <c r="M9386" s="94"/>
    </row>
    <row r="9387" s="93" customFormat="1" spans="3:13">
      <c r="C9387" s="94"/>
      <c r="E9387" s="94"/>
      <c r="G9387" s="94"/>
      <c r="I9387" s="94"/>
      <c r="K9387" s="94"/>
      <c r="M9387" s="94"/>
    </row>
    <row r="9388" s="93" customFormat="1" spans="3:13">
      <c r="C9388" s="94"/>
      <c r="E9388" s="94"/>
      <c r="G9388" s="94"/>
      <c r="I9388" s="94"/>
      <c r="K9388" s="94"/>
      <c r="M9388" s="94"/>
    </row>
    <row r="9389" s="93" customFormat="1" spans="3:13">
      <c r="C9389" s="94"/>
      <c r="E9389" s="94"/>
      <c r="G9389" s="94"/>
      <c r="I9389" s="94"/>
      <c r="K9389" s="94"/>
      <c r="M9389" s="94"/>
    </row>
    <row r="9390" s="93" customFormat="1" spans="3:13">
      <c r="C9390" s="94"/>
      <c r="E9390" s="94"/>
      <c r="G9390" s="94"/>
      <c r="I9390" s="94"/>
      <c r="K9390" s="94"/>
      <c r="M9390" s="94"/>
    </row>
    <row r="9391" s="93" customFormat="1" spans="3:13">
      <c r="C9391" s="94"/>
      <c r="E9391" s="94"/>
      <c r="G9391" s="94"/>
      <c r="I9391" s="94"/>
      <c r="K9391" s="94"/>
      <c r="M9391" s="94"/>
    </row>
    <row r="9392" s="93" customFormat="1" spans="3:13">
      <c r="C9392" s="94"/>
      <c r="E9392" s="94"/>
      <c r="G9392" s="94"/>
      <c r="I9392" s="94"/>
      <c r="K9392" s="94"/>
      <c r="M9392" s="94"/>
    </row>
    <row r="9393" s="93" customFormat="1" spans="3:13">
      <c r="C9393" s="94"/>
      <c r="E9393" s="94"/>
      <c r="G9393" s="94"/>
      <c r="I9393" s="94"/>
      <c r="K9393" s="94"/>
      <c r="M9393" s="94"/>
    </row>
    <row r="9394" s="93" customFormat="1" spans="3:13">
      <c r="C9394" s="94"/>
      <c r="E9394" s="94"/>
      <c r="G9394" s="94"/>
      <c r="I9394" s="94"/>
      <c r="K9394" s="94"/>
      <c r="M9394" s="94"/>
    </row>
    <row r="9395" s="93" customFormat="1" spans="3:13">
      <c r="C9395" s="94"/>
      <c r="E9395" s="94"/>
      <c r="G9395" s="94"/>
      <c r="I9395" s="94"/>
      <c r="K9395" s="94"/>
      <c r="M9395" s="94"/>
    </row>
    <row r="9396" s="93" customFormat="1" spans="3:13">
      <c r="C9396" s="94"/>
      <c r="E9396" s="94"/>
      <c r="G9396" s="94"/>
      <c r="I9396" s="94"/>
      <c r="K9396" s="94"/>
      <c r="M9396" s="94"/>
    </row>
    <row r="9397" s="93" customFormat="1" spans="3:13">
      <c r="C9397" s="94"/>
      <c r="E9397" s="94"/>
      <c r="G9397" s="94"/>
      <c r="I9397" s="94"/>
      <c r="K9397" s="94"/>
      <c r="M9397" s="94"/>
    </row>
    <row r="9398" s="93" customFormat="1" spans="3:13">
      <c r="C9398" s="94"/>
      <c r="E9398" s="94"/>
      <c r="G9398" s="94"/>
      <c r="I9398" s="94"/>
      <c r="K9398" s="94"/>
      <c r="M9398" s="94"/>
    </row>
    <row r="9399" s="93" customFormat="1" spans="3:13">
      <c r="C9399" s="94"/>
      <c r="E9399" s="94"/>
      <c r="G9399" s="94"/>
      <c r="I9399" s="94"/>
      <c r="K9399" s="94"/>
      <c r="M9399" s="94"/>
    </row>
    <row r="9400" s="93" customFormat="1" spans="3:13">
      <c r="C9400" s="94"/>
      <c r="E9400" s="94"/>
      <c r="G9400" s="94"/>
      <c r="I9400" s="94"/>
      <c r="K9400" s="94"/>
      <c r="M9400" s="94"/>
    </row>
    <row r="9401" s="93" customFormat="1" spans="3:13">
      <c r="C9401" s="94"/>
      <c r="E9401" s="94"/>
      <c r="G9401" s="94"/>
      <c r="I9401" s="94"/>
      <c r="K9401" s="94"/>
      <c r="M9401" s="94"/>
    </row>
    <row r="9402" s="93" customFormat="1" spans="3:13">
      <c r="C9402" s="94"/>
      <c r="E9402" s="94"/>
      <c r="G9402" s="94"/>
      <c r="I9402" s="94"/>
      <c r="K9402" s="94"/>
      <c r="M9402" s="94"/>
    </row>
    <row r="9403" s="93" customFormat="1" spans="3:13">
      <c r="C9403" s="94"/>
      <c r="E9403" s="94"/>
      <c r="G9403" s="94"/>
      <c r="I9403" s="94"/>
      <c r="K9403" s="94"/>
      <c r="M9403" s="94"/>
    </row>
    <row r="9404" s="93" customFormat="1" spans="3:13">
      <c r="C9404" s="94"/>
      <c r="E9404" s="94"/>
      <c r="G9404" s="94"/>
      <c r="I9404" s="94"/>
      <c r="K9404" s="94"/>
      <c r="M9404" s="94"/>
    </row>
    <row r="9405" s="93" customFormat="1" spans="3:13">
      <c r="C9405" s="94"/>
      <c r="E9405" s="94"/>
      <c r="G9405" s="94"/>
      <c r="I9405" s="94"/>
      <c r="K9405" s="94"/>
      <c r="M9405" s="94"/>
    </row>
    <row r="9406" s="93" customFormat="1" spans="3:13">
      <c r="C9406" s="94"/>
      <c r="E9406" s="94"/>
      <c r="G9406" s="94"/>
      <c r="I9406" s="94"/>
      <c r="K9406" s="94"/>
      <c r="M9406" s="94"/>
    </row>
    <row r="9407" s="93" customFormat="1" spans="3:13">
      <c r="C9407" s="94"/>
      <c r="E9407" s="94"/>
      <c r="G9407" s="94"/>
      <c r="I9407" s="94"/>
      <c r="K9407" s="94"/>
      <c r="M9407" s="94"/>
    </row>
    <row r="9408" s="93" customFormat="1" spans="3:13">
      <c r="C9408" s="94"/>
      <c r="E9408" s="94"/>
      <c r="G9408" s="94"/>
      <c r="I9408" s="94"/>
      <c r="K9408" s="94"/>
      <c r="M9408" s="94"/>
    </row>
    <row r="9409" s="93" customFormat="1" spans="3:13">
      <c r="C9409" s="94"/>
      <c r="E9409" s="94"/>
      <c r="G9409" s="94"/>
      <c r="I9409" s="94"/>
      <c r="K9409" s="94"/>
      <c r="M9409" s="94"/>
    </row>
    <row r="9410" s="93" customFormat="1" spans="3:13">
      <c r="C9410" s="94"/>
      <c r="E9410" s="94"/>
      <c r="G9410" s="94"/>
      <c r="I9410" s="94"/>
      <c r="K9410" s="94"/>
      <c r="M9410" s="94"/>
    </row>
    <row r="9411" s="93" customFormat="1" spans="3:13">
      <c r="C9411" s="94"/>
      <c r="E9411" s="94"/>
      <c r="G9411" s="94"/>
      <c r="I9411" s="94"/>
      <c r="K9411" s="94"/>
      <c r="M9411" s="94"/>
    </row>
    <row r="9412" s="93" customFormat="1" spans="3:13">
      <c r="C9412" s="94"/>
      <c r="E9412" s="94"/>
      <c r="G9412" s="94"/>
      <c r="I9412" s="94"/>
      <c r="K9412" s="94"/>
      <c r="M9412" s="94"/>
    </row>
    <row r="9413" s="93" customFormat="1" spans="3:13">
      <c r="C9413" s="94"/>
      <c r="E9413" s="94"/>
      <c r="G9413" s="94"/>
      <c r="I9413" s="94"/>
      <c r="K9413" s="94"/>
      <c r="M9413" s="94"/>
    </row>
    <row r="9414" s="93" customFormat="1" spans="3:13">
      <c r="C9414" s="94"/>
      <c r="E9414" s="94"/>
      <c r="G9414" s="94"/>
      <c r="I9414" s="94"/>
      <c r="K9414" s="94"/>
      <c r="M9414" s="94"/>
    </row>
    <row r="9415" s="93" customFormat="1" spans="3:13">
      <c r="C9415" s="94"/>
      <c r="E9415" s="94"/>
      <c r="G9415" s="94"/>
      <c r="I9415" s="94"/>
      <c r="K9415" s="94"/>
      <c r="M9415" s="94"/>
    </row>
    <row r="9416" s="93" customFormat="1" spans="3:13">
      <c r="C9416" s="94"/>
      <c r="E9416" s="94"/>
      <c r="G9416" s="94"/>
      <c r="I9416" s="94"/>
      <c r="K9416" s="94"/>
      <c r="M9416" s="94"/>
    </row>
    <row r="9417" s="93" customFormat="1" spans="3:13">
      <c r="C9417" s="94"/>
      <c r="E9417" s="94"/>
      <c r="G9417" s="94"/>
      <c r="I9417" s="94"/>
      <c r="K9417" s="94"/>
      <c r="M9417" s="94"/>
    </row>
    <row r="9418" s="93" customFormat="1" spans="3:13">
      <c r="C9418" s="94"/>
      <c r="E9418" s="94"/>
      <c r="G9418" s="94"/>
      <c r="I9418" s="94"/>
      <c r="K9418" s="94"/>
      <c r="M9418" s="94"/>
    </row>
    <row r="9419" s="93" customFormat="1" spans="3:13">
      <c r="C9419" s="94"/>
      <c r="E9419" s="94"/>
      <c r="G9419" s="94"/>
      <c r="I9419" s="94"/>
      <c r="K9419" s="94"/>
      <c r="M9419" s="94"/>
    </row>
    <row r="9420" s="93" customFormat="1" spans="3:13">
      <c r="C9420" s="94"/>
      <c r="E9420" s="94"/>
      <c r="G9420" s="94"/>
      <c r="I9420" s="94"/>
      <c r="K9420" s="94"/>
      <c r="M9420" s="94"/>
    </row>
    <row r="9421" s="93" customFormat="1" spans="3:13">
      <c r="C9421" s="94"/>
      <c r="E9421" s="94"/>
      <c r="G9421" s="94"/>
      <c r="I9421" s="94"/>
      <c r="K9421" s="94"/>
      <c r="M9421" s="94"/>
    </row>
    <row r="9422" s="93" customFormat="1" spans="3:13">
      <c r="C9422" s="94"/>
      <c r="E9422" s="94"/>
      <c r="G9422" s="94"/>
      <c r="I9422" s="94"/>
      <c r="K9422" s="94"/>
      <c r="M9422" s="94"/>
    </row>
    <row r="9423" s="93" customFormat="1" spans="3:13">
      <c r="C9423" s="94"/>
      <c r="E9423" s="94"/>
      <c r="G9423" s="94"/>
      <c r="I9423" s="94"/>
      <c r="K9423" s="94"/>
      <c r="M9423" s="94"/>
    </row>
    <row r="9424" s="93" customFormat="1" spans="3:13">
      <c r="C9424" s="94"/>
      <c r="E9424" s="94"/>
      <c r="G9424" s="94"/>
      <c r="I9424" s="94"/>
      <c r="K9424" s="94"/>
      <c r="M9424" s="94"/>
    </row>
    <row r="9425" s="93" customFormat="1" spans="3:13">
      <c r="C9425" s="94"/>
      <c r="E9425" s="94"/>
      <c r="G9425" s="94"/>
      <c r="I9425" s="94"/>
      <c r="K9425" s="94"/>
      <c r="M9425" s="94"/>
    </row>
    <row r="9426" s="93" customFormat="1" spans="3:13">
      <c r="C9426" s="94"/>
      <c r="E9426" s="94"/>
      <c r="G9426" s="94"/>
      <c r="I9426" s="94"/>
      <c r="K9426" s="94"/>
      <c r="M9426" s="94"/>
    </row>
    <row r="9427" s="93" customFormat="1" spans="3:13">
      <c r="C9427" s="94"/>
      <c r="E9427" s="94"/>
      <c r="G9427" s="94"/>
      <c r="I9427" s="94"/>
      <c r="K9427" s="94"/>
      <c r="M9427" s="94"/>
    </row>
    <row r="9428" s="93" customFormat="1" spans="3:13">
      <c r="C9428" s="94"/>
      <c r="E9428" s="94"/>
      <c r="G9428" s="94"/>
      <c r="I9428" s="94"/>
      <c r="K9428" s="94"/>
      <c r="M9428" s="94"/>
    </row>
    <row r="9429" s="93" customFormat="1" spans="3:13">
      <c r="C9429" s="94"/>
      <c r="E9429" s="94"/>
      <c r="G9429" s="94"/>
      <c r="I9429" s="94"/>
      <c r="K9429" s="94"/>
      <c r="M9429" s="94"/>
    </row>
    <row r="9430" s="93" customFormat="1" spans="3:13">
      <c r="C9430" s="94"/>
      <c r="E9430" s="94"/>
      <c r="G9430" s="94"/>
      <c r="I9430" s="94"/>
      <c r="K9430" s="94"/>
      <c r="M9430" s="94"/>
    </row>
    <row r="9431" s="93" customFormat="1" spans="3:13">
      <c r="C9431" s="94"/>
      <c r="E9431" s="94"/>
      <c r="G9431" s="94"/>
      <c r="I9431" s="94"/>
      <c r="K9431" s="94"/>
      <c r="M9431" s="94"/>
    </row>
    <row r="9432" s="93" customFormat="1" spans="3:13">
      <c r="C9432" s="94"/>
      <c r="E9432" s="94"/>
      <c r="G9432" s="94"/>
      <c r="I9432" s="94"/>
      <c r="K9432" s="94"/>
      <c r="M9432" s="94"/>
    </row>
    <row r="9433" s="93" customFormat="1" spans="3:13">
      <c r="C9433" s="94"/>
      <c r="E9433" s="94"/>
      <c r="G9433" s="94"/>
      <c r="I9433" s="94"/>
      <c r="K9433" s="94"/>
      <c r="M9433" s="94"/>
    </row>
    <row r="9434" s="93" customFormat="1" spans="3:13">
      <c r="C9434" s="94"/>
      <c r="E9434" s="94"/>
      <c r="G9434" s="94"/>
      <c r="I9434" s="94"/>
      <c r="K9434" s="94"/>
      <c r="M9434" s="94"/>
    </row>
    <row r="9435" s="93" customFormat="1" spans="3:13">
      <c r="C9435" s="94"/>
      <c r="E9435" s="94"/>
      <c r="G9435" s="94"/>
      <c r="I9435" s="94"/>
      <c r="K9435" s="94"/>
      <c r="M9435" s="94"/>
    </row>
    <row r="9436" s="93" customFormat="1" spans="3:13">
      <c r="C9436" s="94"/>
      <c r="E9436" s="94"/>
      <c r="G9436" s="94"/>
      <c r="I9436" s="94"/>
      <c r="K9436" s="94"/>
      <c r="M9436" s="94"/>
    </row>
    <row r="9437" s="93" customFormat="1" spans="3:13">
      <c r="C9437" s="94"/>
      <c r="E9437" s="94"/>
      <c r="G9437" s="94"/>
      <c r="I9437" s="94"/>
      <c r="K9437" s="94"/>
      <c r="M9437" s="94"/>
    </row>
    <row r="9438" s="93" customFormat="1" spans="3:13">
      <c r="C9438" s="94"/>
      <c r="E9438" s="94"/>
      <c r="G9438" s="94"/>
      <c r="I9438" s="94"/>
      <c r="K9438" s="94"/>
      <c r="M9438" s="94"/>
    </row>
    <row r="9439" s="93" customFormat="1" spans="3:13">
      <c r="C9439" s="94"/>
      <c r="E9439" s="94"/>
      <c r="G9439" s="94"/>
      <c r="I9439" s="94"/>
      <c r="K9439" s="94"/>
      <c r="M9439" s="94"/>
    </row>
    <row r="9440" s="93" customFormat="1" spans="3:13">
      <c r="C9440" s="94"/>
      <c r="E9440" s="94"/>
      <c r="G9440" s="94"/>
      <c r="I9440" s="94"/>
      <c r="K9440" s="94"/>
      <c r="M9440" s="94"/>
    </row>
    <row r="9441" s="93" customFormat="1" spans="3:13">
      <c r="C9441" s="94"/>
      <c r="E9441" s="94"/>
      <c r="G9441" s="94"/>
      <c r="I9441" s="94"/>
      <c r="K9441" s="94"/>
      <c r="M9441" s="94"/>
    </row>
    <row r="9442" s="93" customFormat="1" spans="3:13">
      <c r="C9442" s="94"/>
      <c r="E9442" s="94"/>
      <c r="G9442" s="94"/>
      <c r="I9442" s="94"/>
      <c r="K9442" s="94"/>
      <c r="M9442" s="94"/>
    </row>
    <row r="9443" s="93" customFormat="1" spans="3:13">
      <c r="C9443" s="94"/>
      <c r="E9443" s="94"/>
      <c r="G9443" s="94"/>
      <c r="I9443" s="94"/>
      <c r="K9443" s="94"/>
      <c r="M9443" s="94"/>
    </row>
    <row r="9444" s="93" customFormat="1" spans="3:13">
      <c r="C9444" s="94"/>
      <c r="E9444" s="94"/>
      <c r="G9444" s="94"/>
      <c r="I9444" s="94"/>
      <c r="K9444" s="94"/>
      <c r="M9444" s="94"/>
    </row>
    <row r="9445" s="93" customFormat="1" spans="3:13">
      <c r="C9445" s="94"/>
      <c r="E9445" s="94"/>
      <c r="G9445" s="94"/>
      <c r="I9445" s="94"/>
      <c r="K9445" s="94"/>
      <c r="M9445" s="94"/>
    </row>
    <row r="9446" s="93" customFormat="1" spans="3:13">
      <c r="C9446" s="94"/>
      <c r="E9446" s="94"/>
      <c r="G9446" s="94"/>
      <c r="I9446" s="94"/>
      <c r="K9446" s="94"/>
      <c r="M9446" s="94"/>
    </row>
    <row r="9447" s="93" customFormat="1" spans="3:13">
      <c r="C9447" s="94"/>
      <c r="E9447" s="94"/>
      <c r="G9447" s="94"/>
      <c r="I9447" s="94"/>
      <c r="K9447" s="94"/>
      <c r="M9447" s="94"/>
    </row>
    <row r="9448" s="93" customFormat="1" spans="3:13">
      <c r="C9448" s="94"/>
      <c r="E9448" s="94"/>
      <c r="G9448" s="94"/>
      <c r="I9448" s="94"/>
      <c r="K9448" s="94"/>
      <c r="M9448" s="94"/>
    </row>
    <row r="9449" s="93" customFormat="1" spans="3:13">
      <c r="C9449" s="94"/>
      <c r="E9449" s="94"/>
      <c r="G9449" s="94"/>
      <c r="I9449" s="94"/>
      <c r="K9449" s="94"/>
      <c r="M9449" s="94"/>
    </row>
    <row r="9450" s="93" customFormat="1" spans="3:13">
      <c r="C9450" s="94"/>
      <c r="E9450" s="94"/>
      <c r="G9450" s="94"/>
      <c r="I9450" s="94"/>
      <c r="K9450" s="94"/>
      <c r="M9450" s="94"/>
    </row>
    <row r="9451" s="93" customFormat="1" spans="3:13">
      <c r="C9451" s="94"/>
      <c r="E9451" s="94"/>
      <c r="G9451" s="94"/>
      <c r="I9451" s="94"/>
      <c r="K9451" s="94"/>
      <c r="M9451" s="94"/>
    </row>
    <row r="9452" s="93" customFormat="1" spans="3:13">
      <c r="C9452" s="94"/>
      <c r="E9452" s="94"/>
      <c r="G9452" s="94"/>
      <c r="I9452" s="94"/>
      <c r="K9452" s="94"/>
      <c r="M9452" s="94"/>
    </row>
    <row r="9453" s="93" customFormat="1" spans="3:13">
      <c r="C9453" s="94"/>
      <c r="E9453" s="94"/>
      <c r="G9453" s="94"/>
      <c r="I9453" s="94"/>
      <c r="K9453" s="94"/>
      <c r="M9453" s="94"/>
    </row>
    <row r="9454" s="93" customFormat="1" spans="3:13">
      <c r="C9454" s="94"/>
      <c r="E9454" s="94"/>
      <c r="G9454" s="94"/>
      <c r="I9454" s="94"/>
      <c r="K9454" s="94"/>
      <c r="M9454" s="94"/>
    </row>
    <row r="9455" s="93" customFormat="1" spans="3:13">
      <c r="C9455" s="94"/>
      <c r="E9455" s="94"/>
      <c r="G9455" s="94"/>
      <c r="I9455" s="94"/>
      <c r="K9455" s="94"/>
      <c r="M9455" s="94"/>
    </row>
    <row r="9456" s="93" customFormat="1" spans="3:13">
      <c r="C9456" s="94"/>
      <c r="E9456" s="94"/>
      <c r="G9456" s="94"/>
      <c r="I9456" s="94"/>
      <c r="K9456" s="94"/>
      <c r="M9456" s="94"/>
    </row>
    <row r="9457" s="93" customFormat="1" spans="3:13">
      <c r="C9457" s="94"/>
      <c r="E9457" s="94"/>
      <c r="G9457" s="94"/>
      <c r="I9457" s="94"/>
      <c r="K9457" s="94"/>
      <c r="M9457" s="94"/>
    </row>
    <row r="9458" s="93" customFormat="1" spans="3:13">
      <c r="C9458" s="94"/>
      <c r="E9458" s="94"/>
      <c r="G9458" s="94"/>
      <c r="I9458" s="94"/>
      <c r="K9458" s="94"/>
      <c r="M9458" s="94"/>
    </row>
    <row r="9459" s="93" customFormat="1" spans="3:13">
      <c r="C9459" s="94"/>
      <c r="E9459" s="94"/>
      <c r="G9459" s="94"/>
      <c r="I9459" s="94"/>
      <c r="K9459" s="94"/>
      <c r="M9459" s="94"/>
    </row>
    <row r="9460" s="93" customFormat="1" spans="3:13">
      <c r="C9460" s="94"/>
      <c r="E9460" s="94"/>
      <c r="G9460" s="94"/>
      <c r="I9460" s="94"/>
      <c r="K9460" s="94"/>
      <c r="M9460" s="94"/>
    </row>
    <row r="9461" s="93" customFormat="1" spans="3:13">
      <c r="C9461" s="94"/>
      <c r="E9461" s="94"/>
      <c r="G9461" s="94"/>
      <c r="I9461" s="94"/>
      <c r="K9461" s="94"/>
      <c r="M9461" s="94"/>
    </row>
    <row r="9462" s="93" customFormat="1" spans="3:13">
      <c r="C9462" s="94"/>
      <c r="E9462" s="94"/>
      <c r="G9462" s="94"/>
      <c r="I9462" s="94"/>
      <c r="K9462" s="94"/>
      <c r="M9462" s="94"/>
    </row>
    <row r="9463" s="93" customFormat="1" spans="3:13">
      <c r="C9463" s="94"/>
      <c r="E9463" s="94"/>
      <c r="G9463" s="94"/>
      <c r="I9463" s="94"/>
      <c r="K9463" s="94"/>
      <c r="M9463" s="94"/>
    </row>
    <row r="9464" s="93" customFormat="1" spans="3:13">
      <c r="C9464" s="94"/>
      <c r="E9464" s="94"/>
      <c r="G9464" s="94"/>
      <c r="I9464" s="94"/>
      <c r="K9464" s="94"/>
      <c r="M9464" s="94"/>
    </row>
    <row r="9465" s="93" customFormat="1" spans="3:13">
      <c r="C9465" s="94"/>
      <c r="E9465" s="94"/>
      <c r="G9465" s="94"/>
      <c r="I9465" s="94"/>
      <c r="K9465" s="94"/>
      <c r="M9465" s="94"/>
    </row>
    <row r="9466" s="93" customFormat="1" spans="3:13">
      <c r="C9466" s="94"/>
      <c r="E9466" s="94"/>
      <c r="G9466" s="94"/>
      <c r="I9466" s="94"/>
      <c r="K9466" s="94"/>
      <c r="M9466" s="94"/>
    </row>
    <row r="9467" s="93" customFormat="1" spans="3:13">
      <c r="C9467" s="94"/>
      <c r="E9467" s="94"/>
      <c r="G9467" s="94"/>
      <c r="I9467" s="94"/>
      <c r="K9467" s="94"/>
      <c r="M9467" s="94"/>
    </row>
    <row r="9468" s="93" customFormat="1" spans="3:13">
      <c r="C9468" s="94"/>
      <c r="E9468" s="94"/>
      <c r="G9468" s="94"/>
      <c r="I9468" s="94"/>
      <c r="K9468" s="94"/>
      <c r="M9468" s="94"/>
    </row>
    <row r="9469" s="93" customFormat="1" spans="3:13">
      <c r="C9469" s="94"/>
      <c r="E9469" s="94"/>
      <c r="G9469" s="94"/>
      <c r="I9469" s="94"/>
      <c r="K9469" s="94"/>
      <c r="M9469" s="94"/>
    </row>
    <row r="9470" s="93" customFormat="1" spans="3:13">
      <c r="C9470" s="94"/>
      <c r="E9470" s="94"/>
      <c r="G9470" s="94"/>
      <c r="I9470" s="94"/>
      <c r="K9470" s="94"/>
      <c r="M9470" s="94"/>
    </row>
    <row r="9471" s="93" customFormat="1" spans="3:13">
      <c r="C9471" s="94"/>
      <c r="E9471" s="94"/>
      <c r="G9471" s="94"/>
      <c r="I9471" s="94"/>
      <c r="K9471" s="94"/>
      <c r="M9471" s="94"/>
    </row>
    <row r="9472" s="93" customFormat="1" spans="3:13">
      <c r="C9472" s="94"/>
      <c r="E9472" s="94"/>
      <c r="G9472" s="94"/>
      <c r="I9472" s="94"/>
      <c r="K9472" s="94"/>
      <c r="M9472" s="94"/>
    </row>
    <row r="9473" s="93" customFormat="1" spans="3:13">
      <c r="C9473" s="94"/>
      <c r="E9473" s="94"/>
      <c r="G9473" s="94"/>
      <c r="I9473" s="94"/>
      <c r="K9473" s="94"/>
      <c r="M9473" s="94"/>
    </row>
    <row r="9474" s="93" customFormat="1" spans="3:13">
      <c r="C9474" s="94"/>
      <c r="E9474" s="94"/>
      <c r="G9474" s="94"/>
      <c r="I9474" s="94"/>
      <c r="K9474" s="94"/>
      <c r="M9474" s="94"/>
    </row>
    <row r="9475" s="93" customFormat="1" spans="3:13">
      <c r="C9475" s="94"/>
      <c r="E9475" s="94"/>
      <c r="G9475" s="94"/>
      <c r="I9475" s="94"/>
      <c r="K9475" s="94"/>
      <c r="M9475" s="94"/>
    </row>
    <row r="9476" s="93" customFormat="1" spans="3:13">
      <c r="C9476" s="94"/>
      <c r="E9476" s="94"/>
      <c r="G9476" s="94"/>
      <c r="I9476" s="94"/>
      <c r="K9476" s="94"/>
      <c r="M9476" s="94"/>
    </row>
    <row r="9477" s="93" customFormat="1" spans="3:13">
      <c r="C9477" s="94"/>
      <c r="E9477" s="94"/>
      <c r="G9477" s="94"/>
      <c r="I9477" s="94"/>
      <c r="K9477" s="94"/>
      <c r="M9477" s="94"/>
    </row>
    <row r="9478" s="93" customFormat="1" spans="3:13">
      <c r="C9478" s="94"/>
      <c r="E9478" s="94"/>
      <c r="G9478" s="94"/>
      <c r="I9478" s="94"/>
      <c r="K9478" s="94"/>
      <c r="M9478" s="94"/>
    </row>
    <row r="9479" s="93" customFormat="1" spans="3:13">
      <c r="C9479" s="94"/>
      <c r="E9479" s="94"/>
      <c r="G9479" s="94"/>
      <c r="I9479" s="94"/>
      <c r="K9479" s="94"/>
      <c r="M9479" s="94"/>
    </row>
    <row r="9480" s="93" customFormat="1" spans="3:13">
      <c r="C9480" s="94"/>
      <c r="E9480" s="94"/>
      <c r="G9480" s="94"/>
      <c r="I9480" s="94"/>
      <c r="K9480" s="94"/>
      <c r="M9480" s="94"/>
    </row>
    <row r="9481" s="93" customFormat="1" spans="3:13">
      <c r="C9481" s="94"/>
      <c r="E9481" s="94"/>
      <c r="G9481" s="94"/>
      <c r="I9481" s="94"/>
      <c r="K9481" s="94"/>
      <c r="M9481" s="94"/>
    </row>
    <row r="9482" s="93" customFormat="1" spans="3:13">
      <c r="C9482" s="94"/>
      <c r="E9482" s="94"/>
      <c r="G9482" s="94"/>
      <c r="I9482" s="94"/>
      <c r="K9482" s="94"/>
      <c r="M9482" s="94"/>
    </row>
    <row r="9483" s="93" customFormat="1" spans="3:13">
      <c r="C9483" s="94"/>
      <c r="E9483" s="94"/>
      <c r="G9483" s="94"/>
      <c r="I9483" s="94"/>
      <c r="K9483" s="94"/>
      <c r="M9483" s="94"/>
    </row>
    <row r="9484" s="93" customFormat="1" spans="3:13">
      <c r="C9484" s="94"/>
      <c r="E9484" s="94"/>
      <c r="G9484" s="94"/>
      <c r="I9484" s="94"/>
      <c r="K9484" s="94"/>
      <c r="M9484" s="94"/>
    </row>
    <row r="9485" s="93" customFormat="1" spans="3:13">
      <c r="C9485" s="94"/>
      <c r="E9485" s="94"/>
      <c r="G9485" s="94"/>
      <c r="I9485" s="94"/>
      <c r="K9485" s="94"/>
      <c r="M9485" s="94"/>
    </row>
    <row r="9486" s="93" customFormat="1" spans="3:13">
      <c r="C9486" s="94"/>
      <c r="E9486" s="94"/>
      <c r="G9486" s="94"/>
      <c r="I9486" s="94"/>
      <c r="K9486" s="94"/>
      <c r="M9486" s="94"/>
    </row>
    <row r="9487" s="93" customFormat="1" spans="3:13">
      <c r="C9487" s="94"/>
      <c r="E9487" s="94"/>
      <c r="G9487" s="94"/>
      <c r="I9487" s="94"/>
      <c r="K9487" s="94"/>
      <c r="M9487" s="94"/>
    </row>
    <row r="9488" s="93" customFormat="1" spans="3:13">
      <c r="C9488" s="94"/>
      <c r="E9488" s="94"/>
      <c r="G9488" s="94"/>
      <c r="I9488" s="94"/>
      <c r="K9488" s="94"/>
      <c r="M9488" s="94"/>
    </row>
    <row r="9489" s="93" customFormat="1" spans="3:13">
      <c r="C9489" s="94"/>
      <c r="E9489" s="94"/>
      <c r="G9489" s="94"/>
      <c r="I9489" s="94"/>
      <c r="K9489" s="94"/>
      <c r="M9489" s="94"/>
    </row>
    <row r="9490" s="93" customFormat="1" spans="3:13">
      <c r="C9490" s="94"/>
      <c r="E9490" s="94"/>
      <c r="G9490" s="94"/>
      <c r="I9490" s="94"/>
      <c r="K9490" s="94"/>
      <c r="M9490" s="94"/>
    </row>
    <row r="9491" s="93" customFormat="1" spans="3:13">
      <c r="C9491" s="94"/>
      <c r="E9491" s="94"/>
      <c r="G9491" s="94"/>
      <c r="I9491" s="94"/>
      <c r="K9491" s="94"/>
      <c r="M9491" s="94"/>
    </row>
    <row r="9492" s="93" customFormat="1" spans="3:13">
      <c r="C9492" s="94"/>
      <c r="E9492" s="94"/>
      <c r="G9492" s="94"/>
      <c r="I9492" s="94"/>
      <c r="K9492" s="94"/>
      <c r="M9492" s="94"/>
    </row>
    <row r="9493" s="93" customFormat="1" spans="3:13">
      <c r="C9493" s="94"/>
      <c r="E9493" s="94"/>
      <c r="G9493" s="94"/>
      <c r="I9493" s="94"/>
      <c r="K9493" s="94"/>
      <c r="M9493" s="94"/>
    </row>
    <row r="9494" s="93" customFormat="1" spans="3:13">
      <c r="C9494" s="94"/>
      <c r="E9494" s="94"/>
      <c r="G9494" s="94"/>
      <c r="I9494" s="94"/>
      <c r="K9494" s="94"/>
      <c r="M9494" s="94"/>
    </row>
    <row r="9495" s="93" customFormat="1" spans="3:13">
      <c r="C9495" s="94"/>
      <c r="E9495" s="94"/>
      <c r="G9495" s="94"/>
      <c r="I9495" s="94"/>
      <c r="K9495" s="94"/>
      <c r="M9495" s="94"/>
    </row>
    <row r="9496" s="93" customFormat="1" spans="3:13">
      <c r="C9496" s="94"/>
      <c r="E9496" s="94"/>
      <c r="G9496" s="94"/>
      <c r="I9496" s="94"/>
      <c r="K9496" s="94"/>
      <c r="M9496" s="94"/>
    </row>
    <row r="9497" s="93" customFormat="1" spans="3:13">
      <c r="C9497" s="94"/>
      <c r="E9497" s="94"/>
      <c r="G9497" s="94"/>
      <c r="I9497" s="94"/>
      <c r="K9497" s="94"/>
      <c r="M9497" s="94"/>
    </row>
    <row r="9498" s="93" customFormat="1" spans="3:13">
      <c r="C9498" s="94"/>
      <c r="E9498" s="94"/>
      <c r="G9498" s="94"/>
      <c r="I9498" s="94"/>
      <c r="K9498" s="94"/>
      <c r="M9498" s="94"/>
    </row>
    <row r="9499" s="93" customFormat="1" spans="3:13">
      <c r="C9499" s="94"/>
      <c r="E9499" s="94"/>
      <c r="G9499" s="94"/>
      <c r="I9499" s="94"/>
      <c r="K9499" s="94"/>
      <c r="M9499" s="94"/>
    </row>
    <row r="9500" s="93" customFormat="1" spans="3:13">
      <c r="C9500" s="94"/>
      <c r="E9500" s="94"/>
      <c r="G9500" s="94"/>
      <c r="I9500" s="94"/>
      <c r="K9500" s="94"/>
      <c r="M9500" s="94"/>
    </row>
    <row r="9501" s="93" customFormat="1" spans="3:13">
      <c r="C9501" s="94"/>
      <c r="E9501" s="94"/>
      <c r="G9501" s="94"/>
      <c r="I9501" s="94"/>
      <c r="K9501" s="94"/>
      <c r="M9501" s="94"/>
    </row>
    <row r="9502" s="93" customFormat="1" spans="3:13">
      <c r="C9502" s="94"/>
      <c r="E9502" s="94"/>
      <c r="G9502" s="94"/>
      <c r="I9502" s="94"/>
      <c r="K9502" s="94"/>
      <c r="M9502" s="94"/>
    </row>
    <row r="9503" s="93" customFormat="1" spans="3:13">
      <c r="C9503" s="94"/>
      <c r="E9503" s="94"/>
      <c r="G9503" s="94"/>
      <c r="I9503" s="94"/>
      <c r="K9503" s="94"/>
      <c r="M9503" s="94"/>
    </row>
    <row r="9504" s="93" customFormat="1" spans="3:13">
      <c r="C9504" s="94"/>
      <c r="E9504" s="94"/>
      <c r="G9504" s="94"/>
      <c r="I9504" s="94"/>
      <c r="K9504" s="94"/>
      <c r="M9504" s="94"/>
    </row>
    <row r="9505" s="93" customFormat="1" spans="3:13">
      <c r="C9505" s="94"/>
      <c r="E9505" s="94"/>
      <c r="G9505" s="94"/>
      <c r="I9505" s="94"/>
      <c r="K9505" s="94"/>
      <c r="M9505" s="94"/>
    </row>
    <row r="9506" s="93" customFormat="1" spans="3:13">
      <c r="C9506" s="94"/>
      <c r="E9506" s="94"/>
      <c r="G9506" s="94"/>
      <c r="I9506" s="94"/>
      <c r="K9506" s="94"/>
      <c r="M9506" s="94"/>
    </row>
    <row r="9507" s="93" customFormat="1" spans="3:13">
      <c r="C9507" s="94"/>
      <c r="E9507" s="94"/>
      <c r="G9507" s="94"/>
      <c r="I9507" s="94"/>
      <c r="K9507" s="94"/>
      <c r="M9507" s="94"/>
    </row>
    <row r="9508" s="93" customFormat="1" spans="3:13">
      <c r="C9508" s="94"/>
      <c r="E9508" s="94"/>
      <c r="G9508" s="94"/>
      <c r="I9508" s="94"/>
      <c r="K9508" s="94"/>
      <c r="M9508" s="94"/>
    </row>
    <row r="9509" s="93" customFormat="1" spans="3:13">
      <c r="C9509" s="94"/>
      <c r="E9509" s="94"/>
      <c r="G9509" s="94"/>
      <c r="I9509" s="94"/>
      <c r="K9509" s="94"/>
      <c r="M9509" s="94"/>
    </row>
    <row r="9510" s="93" customFormat="1" spans="3:13">
      <c r="C9510" s="94"/>
      <c r="E9510" s="94"/>
      <c r="G9510" s="94"/>
      <c r="I9510" s="94"/>
      <c r="K9510" s="94"/>
      <c r="M9510" s="94"/>
    </row>
    <row r="9511" s="93" customFormat="1" spans="3:13">
      <c r="C9511" s="94"/>
      <c r="E9511" s="94"/>
      <c r="G9511" s="94"/>
      <c r="I9511" s="94"/>
      <c r="K9511" s="94"/>
      <c r="M9511" s="94"/>
    </row>
    <row r="9512" s="93" customFormat="1" spans="3:13">
      <c r="C9512" s="94"/>
      <c r="E9512" s="94"/>
      <c r="G9512" s="94"/>
      <c r="I9512" s="94"/>
      <c r="K9512" s="94"/>
      <c r="M9512" s="94"/>
    </row>
    <row r="9513" s="93" customFormat="1" spans="3:13">
      <c r="C9513" s="94"/>
      <c r="E9513" s="94"/>
      <c r="G9513" s="94"/>
      <c r="I9513" s="94"/>
      <c r="K9513" s="94"/>
      <c r="M9513" s="94"/>
    </row>
    <row r="9514" s="93" customFormat="1" spans="3:13">
      <c r="C9514" s="94"/>
      <c r="E9514" s="94"/>
      <c r="G9514" s="94"/>
      <c r="I9514" s="94"/>
      <c r="K9514" s="94"/>
      <c r="M9514" s="94"/>
    </row>
    <row r="9515" s="93" customFormat="1" spans="3:13">
      <c r="C9515" s="94"/>
      <c r="E9515" s="94"/>
      <c r="G9515" s="94"/>
      <c r="I9515" s="94"/>
      <c r="K9515" s="94"/>
      <c r="M9515" s="94"/>
    </row>
    <row r="9516" s="93" customFormat="1" spans="3:13">
      <c r="C9516" s="94"/>
      <c r="E9516" s="94"/>
      <c r="G9516" s="94"/>
      <c r="I9516" s="94"/>
      <c r="K9516" s="94"/>
      <c r="M9516" s="94"/>
    </row>
    <row r="9517" s="93" customFormat="1" spans="3:13">
      <c r="C9517" s="94"/>
      <c r="E9517" s="94"/>
      <c r="G9517" s="94"/>
      <c r="I9517" s="94"/>
      <c r="K9517" s="94"/>
      <c r="M9517" s="94"/>
    </row>
    <row r="9518" s="93" customFormat="1" spans="3:13">
      <c r="C9518" s="94"/>
      <c r="E9518" s="94"/>
      <c r="G9518" s="94"/>
      <c r="I9518" s="94"/>
      <c r="K9518" s="94"/>
      <c r="M9518" s="94"/>
    </row>
    <row r="9519" s="93" customFormat="1" spans="3:13">
      <c r="C9519" s="94"/>
      <c r="E9519" s="94"/>
      <c r="G9519" s="94"/>
      <c r="I9519" s="94"/>
      <c r="K9519" s="94"/>
      <c r="M9519" s="94"/>
    </row>
    <row r="9520" s="93" customFormat="1" spans="3:13">
      <c r="C9520" s="94"/>
      <c r="E9520" s="94"/>
      <c r="G9520" s="94"/>
      <c r="I9520" s="94"/>
      <c r="K9520" s="94"/>
      <c r="M9520" s="94"/>
    </row>
    <row r="9521" s="93" customFormat="1" spans="3:13">
      <c r="C9521" s="94"/>
      <c r="E9521" s="94"/>
      <c r="G9521" s="94"/>
      <c r="I9521" s="94"/>
      <c r="K9521" s="94"/>
      <c r="M9521" s="94"/>
    </row>
    <row r="9522" s="93" customFormat="1" spans="3:13">
      <c r="C9522" s="94"/>
      <c r="E9522" s="94"/>
      <c r="G9522" s="94"/>
      <c r="I9522" s="94"/>
      <c r="K9522" s="94"/>
      <c r="M9522" s="94"/>
    </row>
    <row r="9523" s="93" customFormat="1" spans="3:13">
      <c r="C9523" s="94"/>
      <c r="E9523" s="94"/>
      <c r="G9523" s="94"/>
      <c r="I9523" s="94"/>
      <c r="K9523" s="94"/>
      <c r="M9523" s="94"/>
    </row>
    <row r="9524" s="93" customFormat="1" spans="3:13">
      <c r="C9524" s="94"/>
      <c r="E9524" s="94"/>
      <c r="G9524" s="94"/>
      <c r="I9524" s="94"/>
      <c r="K9524" s="94"/>
      <c r="M9524" s="94"/>
    </row>
    <row r="9525" s="93" customFormat="1" spans="3:13">
      <c r="C9525" s="94"/>
      <c r="E9525" s="94"/>
      <c r="G9525" s="94"/>
      <c r="I9525" s="94"/>
      <c r="K9525" s="94"/>
      <c r="M9525" s="94"/>
    </row>
    <row r="9526" s="93" customFormat="1" spans="3:13">
      <c r="C9526" s="94"/>
      <c r="E9526" s="94"/>
      <c r="G9526" s="94"/>
      <c r="I9526" s="94"/>
      <c r="K9526" s="94"/>
      <c r="M9526" s="94"/>
    </row>
    <row r="9527" s="93" customFormat="1" spans="3:13">
      <c r="C9527" s="94"/>
      <c r="E9527" s="94"/>
      <c r="G9527" s="94"/>
      <c r="I9527" s="94"/>
      <c r="K9527" s="94"/>
      <c r="M9527" s="94"/>
    </row>
    <row r="9528" s="93" customFormat="1" spans="3:13">
      <c r="C9528" s="94"/>
      <c r="E9528" s="94"/>
      <c r="G9528" s="94"/>
      <c r="I9528" s="94"/>
      <c r="K9528" s="94"/>
      <c r="M9528" s="94"/>
    </row>
    <row r="9529" s="93" customFormat="1" spans="3:13">
      <c r="C9529" s="94"/>
      <c r="E9529" s="94"/>
      <c r="G9529" s="94"/>
      <c r="I9529" s="94"/>
      <c r="K9529" s="94"/>
      <c r="M9529" s="94"/>
    </row>
    <row r="9530" s="93" customFormat="1" spans="3:13">
      <c r="C9530" s="94"/>
      <c r="E9530" s="94"/>
      <c r="G9530" s="94"/>
      <c r="I9530" s="94"/>
      <c r="K9530" s="94"/>
      <c r="M9530" s="94"/>
    </row>
    <row r="9531" s="93" customFormat="1" spans="3:13">
      <c r="C9531" s="94"/>
      <c r="E9531" s="94"/>
      <c r="G9531" s="94"/>
      <c r="I9531" s="94"/>
      <c r="K9531" s="94"/>
      <c r="M9531" s="94"/>
    </row>
    <row r="9532" s="93" customFormat="1" spans="3:13">
      <c r="C9532" s="94"/>
      <c r="E9532" s="94"/>
      <c r="G9532" s="94"/>
      <c r="I9532" s="94"/>
      <c r="K9532" s="94"/>
      <c r="M9532" s="94"/>
    </row>
    <row r="9533" s="93" customFormat="1" spans="3:13">
      <c r="C9533" s="94"/>
      <c r="E9533" s="94"/>
      <c r="G9533" s="94"/>
      <c r="I9533" s="94"/>
      <c r="K9533" s="94"/>
      <c r="M9533" s="94"/>
    </row>
    <row r="9534" s="93" customFormat="1" spans="3:13">
      <c r="C9534" s="94"/>
      <c r="E9534" s="94"/>
      <c r="G9534" s="94"/>
      <c r="I9534" s="94"/>
      <c r="K9534" s="94"/>
      <c r="M9534" s="94"/>
    </row>
    <row r="9535" s="93" customFormat="1" spans="3:13">
      <c r="C9535" s="94"/>
      <c r="E9535" s="94"/>
      <c r="G9535" s="94"/>
      <c r="I9535" s="94"/>
      <c r="K9535" s="94"/>
      <c r="M9535" s="94"/>
    </row>
    <row r="9536" s="93" customFormat="1" spans="3:13">
      <c r="C9536" s="94"/>
      <c r="E9536" s="94"/>
      <c r="G9536" s="94"/>
      <c r="I9536" s="94"/>
      <c r="K9536" s="94"/>
      <c r="M9536" s="94"/>
    </row>
    <row r="9537" s="93" customFormat="1" spans="3:13">
      <c r="C9537" s="94"/>
      <c r="E9537" s="94"/>
      <c r="G9537" s="94"/>
      <c r="I9537" s="94"/>
      <c r="K9537" s="94"/>
      <c r="M9537" s="94"/>
    </row>
    <row r="9538" s="93" customFormat="1" spans="3:13">
      <c r="C9538" s="94"/>
      <c r="E9538" s="94"/>
      <c r="G9538" s="94"/>
      <c r="I9538" s="94"/>
      <c r="K9538" s="94"/>
      <c r="M9538" s="94"/>
    </row>
    <row r="9539" s="93" customFormat="1" spans="3:13">
      <c r="C9539" s="94"/>
      <c r="E9539" s="94"/>
      <c r="G9539" s="94"/>
      <c r="I9539" s="94"/>
      <c r="K9539" s="94"/>
      <c r="M9539" s="94"/>
    </row>
    <row r="9540" s="93" customFormat="1" spans="3:13">
      <c r="C9540" s="94"/>
      <c r="E9540" s="94"/>
      <c r="G9540" s="94"/>
      <c r="I9540" s="94"/>
      <c r="K9540" s="94"/>
      <c r="M9540" s="94"/>
    </row>
    <row r="9541" s="93" customFormat="1" spans="3:13">
      <c r="C9541" s="94"/>
      <c r="E9541" s="94"/>
      <c r="G9541" s="94"/>
      <c r="I9541" s="94"/>
      <c r="K9541" s="94"/>
      <c r="M9541" s="94"/>
    </row>
    <row r="9542" s="93" customFormat="1" spans="3:13">
      <c r="C9542" s="94"/>
      <c r="E9542" s="94"/>
      <c r="G9542" s="94"/>
      <c r="I9542" s="94"/>
      <c r="K9542" s="94"/>
      <c r="M9542" s="94"/>
    </row>
    <row r="9543" s="93" customFormat="1" spans="3:13">
      <c r="C9543" s="94"/>
      <c r="E9543" s="94"/>
      <c r="G9543" s="94"/>
      <c r="I9543" s="94"/>
      <c r="K9543" s="94"/>
      <c r="M9543" s="94"/>
    </row>
    <row r="9544" s="93" customFormat="1" spans="3:13">
      <c r="C9544" s="94"/>
      <c r="E9544" s="94"/>
      <c r="G9544" s="94"/>
      <c r="I9544" s="94"/>
      <c r="K9544" s="94"/>
      <c r="M9544" s="94"/>
    </row>
    <row r="9545" s="93" customFormat="1" spans="3:13">
      <c r="C9545" s="94"/>
      <c r="E9545" s="94"/>
      <c r="G9545" s="94"/>
      <c r="I9545" s="94"/>
      <c r="K9545" s="94"/>
      <c r="M9545" s="94"/>
    </row>
    <row r="9546" s="93" customFormat="1" spans="3:13">
      <c r="C9546" s="94"/>
      <c r="E9546" s="94"/>
      <c r="G9546" s="94"/>
      <c r="I9546" s="94"/>
      <c r="K9546" s="94"/>
      <c r="M9546" s="94"/>
    </row>
    <row r="9547" s="93" customFormat="1" spans="3:13">
      <c r="C9547" s="94"/>
      <c r="E9547" s="94"/>
      <c r="G9547" s="94"/>
      <c r="I9547" s="94"/>
      <c r="K9547" s="94"/>
      <c r="M9547" s="94"/>
    </row>
    <row r="9548" s="93" customFormat="1" spans="3:13">
      <c r="C9548" s="94"/>
      <c r="E9548" s="94"/>
      <c r="G9548" s="94"/>
      <c r="I9548" s="94"/>
      <c r="K9548" s="94"/>
      <c r="M9548" s="94"/>
    </row>
    <row r="9549" s="93" customFormat="1" spans="3:13">
      <c r="C9549" s="94"/>
      <c r="E9549" s="94"/>
      <c r="G9549" s="94"/>
      <c r="I9549" s="94"/>
      <c r="K9549" s="94"/>
      <c r="M9549" s="94"/>
    </row>
    <row r="9550" s="93" customFormat="1" spans="3:13">
      <c r="C9550" s="94"/>
      <c r="E9550" s="94"/>
      <c r="G9550" s="94"/>
      <c r="I9550" s="94"/>
      <c r="K9550" s="94"/>
      <c r="M9550" s="94"/>
    </row>
    <row r="9551" s="93" customFormat="1" spans="3:13">
      <c r="C9551" s="94"/>
      <c r="E9551" s="94"/>
      <c r="G9551" s="94"/>
      <c r="I9551" s="94"/>
      <c r="K9551" s="94"/>
      <c r="M9551" s="94"/>
    </row>
    <row r="9552" s="93" customFormat="1" spans="3:13">
      <c r="C9552" s="94"/>
      <c r="E9552" s="94"/>
      <c r="G9552" s="94"/>
      <c r="I9552" s="94"/>
      <c r="K9552" s="94"/>
      <c r="M9552" s="94"/>
    </row>
    <row r="9553" s="93" customFormat="1" spans="3:13">
      <c r="C9553" s="94"/>
      <c r="E9553" s="94"/>
      <c r="G9553" s="94"/>
      <c r="I9553" s="94"/>
      <c r="K9553" s="94"/>
      <c r="M9553" s="94"/>
    </row>
    <row r="9554" s="93" customFormat="1" spans="3:13">
      <c r="C9554" s="94"/>
      <c r="E9554" s="94"/>
      <c r="G9554" s="94"/>
      <c r="I9554" s="94"/>
      <c r="K9554" s="94"/>
      <c r="M9554" s="94"/>
    </row>
    <row r="9555" s="93" customFormat="1" spans="3:13">
      <c r="C9555" s="94"/>
      <c r="E9555" s="94"/>
      <c r="G9555" s="94"/>
      <c r="I9555" s="94"/>
      <c r="K9555" s="94"/>
      <c r="M9555" s="94"/>
    </row>
    <row r="9556" s="93" customFormat="1" spans="3:13">
      <c r="C9556" s="94"/>
      <c r="E9556" s="94"/>
      <c r="G9556" s="94"/>
      <c r="I9556" s="94"/>
      <c r="K9556" s="94"/>
      <c r="M9556" s="94"/>
    </row>
    <row r="9557" s="93" customFormat="1" spans="3:13">
      <c r="C9557" s="94"/>
      <c r="E9557" s="94"/>
      <c r="G9557" s="94"/>
      <c r="I9557" s="94"/>
      <c r="K9557" s="94"/>
      <c r="M9557" s="94"/>
    </row>
    <row r="9558" s="93" customFormat="1" spans="3:13">
      <c r="C9558" s="94"/>
      <c r="E9558" s="94"/>
      <c r="G9558" s="94"/>
      <c r="I9558" s="94"/>
      <c r="K9558" s="94"/>
      <c r="M9558" s="94"/>
    </row>
    <row r="9559" s="93" customFormat="1" spans="3:13">
      <c r="C9559" s="94"/>
      <c r="E9559" s="94"/>
      <c r="G9559" s="94"/>
      <c r="I9559" s="94"/>
      <c r="K9559" s="94"/>
      <c r="M9559" s="94"/>
    </row>
    <row r="9560" s="93" customFormat="1" spans="3:13">
      <c r="C9560" s="94"/>
      <c r="E9560" s="94"/>
      <c r="G9560" s="94"/>
      <c r="I9560" s="94"/>
      <c r="K9560" s="94"/>
      <c r="M9560" s="94"/>
    </row>
    <row r="9561" s="93" customFormat="1" spans="3:13">
      <c r="C9561" s="94"/>
      <c r="E9561" s="94"/>
      <c r="G9561" s="94"/>
      <c r="I9561" s="94"/>
      <c r="K9561" s="94"/>
      <c r="M9561" s="94"/>
    </row>
    <row r="9562" s="93" customFormat="1" spans="3:13">
      <c r="C9562" s="94"/>
      <c r="E9562" s="94"/>
      <c r="G9562" s="94"/>
      <c r="I9562" s="94"/>
      <c r="K9562" s="94"/>
      <c r="M9562" s="94"/>
    </row>
    <row r="9563" s="93" customFormat="1" spans="3:13">
      <c r="C9563" s="94"/>
      <c r="E9563" s="94"/>
      <c r="G9563" s="94"/>
      <c r="I9563" s="94"/>
      <c r="K9563" s="94"/>
      <c r="M9563" s="94"/>
    </row>
    <row r="9564" s="93" customFormat="1" spans="3:13">
      <c r="C9564" s="94"/>
      <c r="E9564" s="94"/>
      <c r="G9564" s="94"/>
      <c r="I9564" s="94"/>
      <c r="K9564" s="94"/>
      <c r="M9564" s="94"/>
    </row>
    <row r="9565" s="93" customFormat="1" spans="3:13">
      <c r="C9565" s="94"/>
      <c r="E9565" s="94"/>
      <c r="G9565" s="94"/>
      <c r="I9565" s="94"/>
      <c r="K9565" s="94"/>
      <c r="M9565" s="94"/>
    </row>
    <row r="9566" s="93" customFormat="1" spans="3:13">
      <c r="C9566" s="94"/>
      <c r="E9566" s="94"/>
      <c r="G9566" s="94"/>
      <c r="I9566" s="94"/>
      <c r="K9566" s="94"/>
      <c r="M9566" s="94"/>
    </row>
    <row r="9567" s="93" customFormat="1" spans="3:13">
      <c r="C9567" s="94"/>
      <c r="E9567" s="94"/>
      <c r="G9567" s="94"/>
      <c r="I9567" s="94"/>
      <c r="K9567" s="94"/>
      <c r="M9567" s="94"/>
    </row>
    <row r="9568" s="93" customFormat="1" spans="3:13">
      <c r="C9568" s="94"/>
      <c r="E9568" s="94"/>
      <c r="G9568" s="94"/>
      <c r="I9568" s="94"/>
      <c r="K9568" s="94"/>
      <c r="M9568" s="94"/>
    </row>
    <row r="9569" s="93" customFormat="1" spans="3:13">
      <c r="C9569" s="94"/>
      <c r="E9569" s="94"/>
      <c r="G9569" s="94"/>
      <c r="I9569" s="94"/>
      <c r="K9569" s="94"/>
      <c r="M9569" s="94"/>
    </row>
    <row r="9570" s="93" customFormat="1" spans="3:13">
      <c r="C9570" s="94"/>
      <c r="E9570" s="94"/>
      <c r="G9570" s="94"/>
      <c r="I9570" s="94"/>
      <c r="K9570" s="94"/>
      <c r="M9570" s="94"/>
    </row>
    <row r="9571" s="93" customFormat="1" spans="3:13">
      <c r="C9571" s="94"/>
      <c r="E9571" s="94"/>
      <c r="G9571" s="94"/>
      <c r="I9571" s="94"/>
      <c r="K9571" s="94"/>
      <c r="M9571" s="94"/>
    </row>
    <row r="9572" s="93" customFormat="1" spans="3:13">
      <c r="C9572" s="94"/>
      <c r="E9572" s="94"/>
      <c r="G9572" s="94"/>
      <c r="I9572" s="94"/>
      <c r="K9572" s="94"/>
      <c r="M9572" s="94"/>
    </row>
    <row r="9573" s="93" customFormat="1" spans="3:13">
      <c r="C9573" s="94"/>
      <c r="E9573" s="94"/>
      <c r="G9573" s="94"/>
      <c r="I9573" s="94"/>
      <c r="K9573" s="94"/>
      <c r="M9573" s="94"/>
    </row>
    <row r="9574" s="93" customFormat="1" spans="3:13">
      <c r="C9574" s="94"/>
      <c r="E9574" s="94"/>
      <c r="G9574" s="94"/>
      <c r="I9574" s="94"/>
      <c r="K9574" s="94"/>
      <c r="M9574" s="94"/>
    </row>
    <row r="9575" s="93" customFormat="1" spans="3:13">
      <c r="C9575" s="94"/>
      <c r="E9575" s="94"/>
      <c r="G9575" s="94"/>
      <c r="I9575" s="94"/>
      <c r="K9575" s="94"/>
      <c r="M9575" s="94"/>
    </row>
    <row r="9576" s="93" customFormat="1" spans="3:13">
      <c r="C9576" s="94"/>
      <c r="E9576" s="94"/>
      <c r="G9576" s="94"/>
      <c r="I9576" s="94"/>
      <c r="K9576" s="94"/>
      <c r="M9576" s="94"/>
    </row>
    <row r="9577" s="93" customFormat="1" spans="3:13">
      <c r="C9577" s="94"/>
      <c r="E9577" s="94"/>
      <c r="G9577" s="94"/>
      <c r="I9577" s="94"/>
      <c r="K9577" s="94"/>
      <c r="M9577" s="94"/>
    </row>
    <row r="9578" s="93" customFormat="1" spans="3:13">
      <c r="C9578" s="94"/>
      <c r="E9578" s="94"/>
      <c r="G9578" s="94"/>
      <c r="I9578" s="94"/>
      <c r="K9578" s="94"/>
      <c r="M9578" s="94"/>
    </row>
    <row r="9579" s="93" customFormat="1" spans="3:13">
      <c r="C9579" s="94"/>
      <c r="E9579" s="94"/>
      <c r="G9579" s="94"/>
      <c r="I9579" s="94"/>
      <c r="K9579" s="94"/>
      <c r="M9579" s="94"/>
    </row>
    <row r="9580" s="93" customFormat="1" spans="3:13">
      <c r="C9580" s="94"/>
      <c r="E9580" s="94"/>
      <c r="G9580" s="94"/>
      <c r="I9580" s="94"/>
      <c r="K9580" s="94"/>
      <c r="M9580" s="94"/>
    </row>
    <row r="9581" s="93" customFormat="1" spans="3:13">
      <c r="C9581" s="94"/>
      <c r="E9581" s="94"/>
      <c r="G9581" s="94"/>
      <c r="I9581" s="94"/>
      <c r="K9581" s="94"/>
      <c r="M9581" s="94"/>
    </row>
    <row r="9582" s="93" customFormat="1" spans="3:13">
      <c r="C9582" s="94"/>
      <c r="E9582" s="94"/>
      <c r="G9582" s="94"/>
      <c r="I9582" s="94"/>
      <c r="K9582" s="94"/>
      <c r="M9582" s="94"/>
    </row>
    <row r="9583" s="93" customFormat="1" spans="3:13">
      <c r="C9583" s="94"/>
      <c r="E9583" s="94"/>
      <c r="G9583" s="94"/>
      <c r="I9583" s="94"/>
      <c r="K9583" s="94"/>
      <c r="M9583" s="94"/>
    </row>
    <row r="9584" s="93" customFormat="1" spans="3:13">
      <c r="C9584" s="94"/>
      <c r="E9584" s="94"/>
      <c r="G9584" s="94"/>
      <c r="I9584" s="94"/>
      <c r="K9584" s="94"/>
      <c r="M9584" s="94"/>
    </row>
    <row r="9585" s="93" customFormat="1" spans="3:13">
      <c r="C9585" s="94"/>
      <c r="E9585" s="94"/>
      <c r="G9585" s="94"/>
      <c r="I9585" s="94"/>
      <c r="K9585" s="94"/>
      <c r="M9585" s="94"/>
    </row>
    <row r="9586" s="93" customFormat="1" spans="3:13">
      <c r="C9586" s="94"/>
      <c r="E9586" s="94"/>
      <c r="G9586" s="94"/>
      <c r="I9586" s="94"/>
      <c r="K9586" s="94"/>
      <c r="M9586" s="94"/>
    </row>
    <row r="9587" s="93" customFormat="1" spans="3:13">
      <c r="C9587" s="94"/>
      <c r="E9587" s="94"/>
      <c r="G9587" s="94"/>
      <c r="I9587" s="94"/>
      <c r="K9587" s="94"/>
      <c r="M9587" s="94"/>
    </row>
    <row r="9588" s="93" customFormat="1" spans="3:13">
      <c r="C9588" s="94"/>
      <c r="E9588" s="94"/>
      <c r="G9588" s="94"/>
      <c r="I9588" s="94"/>
      <c r="K9588" s="94"/>
      <c r="M9588" s="94"/>
    </row>
    <row r="9589" s="93" customFormat="1" spans="3:13">
      <c r="C9589" s="94"/>
      <c r="E9589" s="94"/>
      <c r="G9589" s="94"/>
      <c r="I9589" s="94"/>
      <c r="K9589" s="94"/>
      <c r="M9589" s="94"/>
    </row>
    <row r="9590" s="93" customFormat="1" spans="3:13">
      <c r="C9590" s="94"/>
      <c r="E9590" s="94"/>
      <c r="G9590" s="94"/>
      <c r="I9590" s="94"/>
      <c r="K9590" s="94"/>
      <c r="M9590" s="94"/>
    </row>
    <row r="9591" s="93" customFormat="1" spans="3:13">
      <c r="C9591" s="94"/>
      <c r="E9591" s="94"/>
      <c r="G9591" s="94"/>
      <c r="I9591" s="94"/>
      <c r="K9591" s="94"/>
      <c r="M9591" s="94"/>
    </row>
    <row r="9592" s="93" customFormat="1" spans="3:13">
      <c r="C9592" s="94"/>
      <c r="E9592" s="94"/>
      <c r="G9592" s="94"/>
      <c r="I9592" s="94"/>
      <c r="K9592" s="94"/>
      <c r="M9592" s="94"/>
    </row>
    <row r="9593" s="93" customFormat="1" spans="3:13">
      <c r="C9593" s="94"/>
      <c r="E9593" s="94"/>
      <c r="G9593" s="94"/>
      <c r="I9593" s="94"/>
      <c r="K9593" s="94"/>
      <c r="M9593" s="94"/>
    </row>
    <row r="9594" s="93" customFormat="1" spans="3:13">
      <c r="C9594" s="94"/>
      <c r="E9594" s="94"/>
      <c r="G9594" s="94"/>
      <c r="I9594" s="94"/>
      <c r="K9594" s="94"/>
      <c r="M9594" s="94"/>
    </row>
    <row r="9595" s="93" customFormat="1" spans="3:13">
      <c r="C9595" s="94"/>
      <c r="E9595" s="94"/>
      <c r="G9595" s="94"/>
      <c r="I9595" s="94"/>
      <c r="K9595" s="94"/>
      <c r="M9595" s="94"/>
    </row>
    <row r="9596" s="93" customFormat="1" spans="3:13">
      <c r="C9596" s="94"/>
      <c r="E9596" s="94"/>
      <c r="G9596" s="94"/>
      <c r="I9596" s="94"/>
      <c r="K9596" s="94"/>
      <c r="M9596" s="94"/>
    </row>
    <row r="9597" s="93" customFormat="1" spans="3:13">
      <c r="C9597" s="94"/>
      <c r="E9597" s="94"/>
      <c r="G9597" s="94"/>
      <c r="I9597" s="94"/>
      <c r="K9597" s="94"/>
      <c r="M9597" s="94"/>
    </row>
    <row r="9598" s="93" customFormat="1" spans="3:13">
      <c r="C9598" s="94"/>
      <c r="E9598" s="94"/>
      <c r="G9598" s="94"/>
      <c r="I9598" s="94"/>
      <c r="K9598" s="94"/>
      <c r="M9598" s="94"/>
    </row>
    <row r="9599" s="93" customFormat="1" spans="3:13">
      <c r="C9599" s="94"/>
      <c r="E9599" s="94"/>
      <c r="G9599" s="94"/>
      <c r="I9599" s="94"/>
      <c r="K9599" s="94"/>
      <c r="M9599" s="94"/>
    </row>
    <row r="9600" s="93" customFormat="1" spans="3:13">
      <c r="C9600" s="94"/>
      <c r="E9600" s="94"/>
      <c r="G9600" s="94"/>
      <c r="I9600" s="94"/>
      <c r="K9600" s="94"/>
      <c r="M9600" s="94"/>
    </row>
    <row r="9601" s="93" customFormat="1" spans="3:13">
      <c r="C9601" s="94"/>
      <c r="E9601" s="94"/>
      <c r="G9601" s="94"/>
      <c r="I9601" s="94"/>
      <c r="K9601" s="94"/>
      <c r="M9601" s="94"/>
    </row>
    <row r="9602" s="93" customFormat="1" spans="3:13">
      <c r="C9602" s="94"/>
      <c r="E9602" s="94"/>
      <c r="G9602" s="94"/>
      <c r="I9602" s="94"/>
      <c r="K9602" s="94"/>
      <c r="M9602" s="94"/>
    </row>
    <row r="9603" s="93" customFormat="1" spans="3:13">
      <c r="C9603" s="94"/>
      <c r="E9603" s="94"/>
      <c r="G9603" s="94"/>
      <c r="I9603" s="94"/>
      <c r="K9603" s="94"/>
      <c r="M9603" s="94"/>
    </row>
    <row r="9604" s="93" customFormat="1" spans="3:13">
      <c r="C9604" s="94"/>
      <c r="E9604" s="94"/>
      <c r="G9604" s="94"/>
      <c r="I9604" s="94"/>
      <c r="K9604" s="94"/>
      <c r="M9604" s="94"/>
    </row>
    <row r="9605" s="93" customFormat="1" spans="3:13">
      <c r="C9605" s="94"/>
      <c r="E9605" s="94"/>
      <c r="G9605" s="94"/>
      <c r="I9605" s="94"/>
      <c r="K9605" s="94"/>
      <c r="M9605" s="94"/>
    </row>
    <row r="9606" s="93" customFormat="1" spans="3:13">
      <c r="C9606" s="94"/>
      <c r="E9606" s="94"/>
      <c r="G9606" s="94"/>
      <c r="I9606" s="94"/>
      <c r="K9606" s="94"/>
      <c r="M9606" s="94"/>
    </row>
    <row r="9607" s="93" customFormat="1" spans="3:13">
      <c r="C9607" s="94"/>
      <c r="E9607" s="94"/>
      <c r="G9607" s="94"/>
      <c r="I9607" s="94"/>
      <c r="K9607" s="94"/>
      <c r="M9607" s="94"/>
    </row>
    <row r="9608" s="93" customFormat="1" spans="3:13">
      <c r="C9608" s="94"/>
      <c r="E9608" s="94"/>
      <c r="G9608" s="94"/>
      <c r="I9608" s="94"/>
      <c r="K9608" s="94"/>
      <c r="M9608" s="94"/>
    </row>
    <row r="9609" s="93" customFormat="1" spans="3:13">
      <c r="C9609" s="94"/>
      <c r="E9609" s="94"/>
      <c r="G9609" s="94"/>
      <c r="I9609" s="94"/>
      <c r="K9609" s="94"/>
      <c r="M9609" s="94"/>
    </row>
    <row r="9610" s="93" customFormat="1" spans="3:13">
      <c r="C9610" s="94"/>
      <c r="E9610" s="94"/>
      <c r="G9610" s="94"/>
      <c r="I9610" s="94"/>
      <c r="K9610" s="94"/>
      <c r="M9610" s="94"/>
    </row>
    <row r="9611" s="93" customFormat="1" spans="3:13">
      <c r="C9611" s="94"/>
      <c r="E9611" s="94"/>
      <c r="G9611" s="94"/>
      <c r="I9611" s="94"/>
      <c r="K9611" s="94"/>
      <c r="M9611" s="94"/>
    </row>
    <row r="9612" s="93" customFormat="1" spans="3:13">
      <c r="C9612" s="94"/>
      <c r="E9612" s="94"/>
      <c r="G9612" s="94"/>
      <c r="I9612" s="94"/>
      <c r="K9612" s="94"/>
      <c r="M9612" s="94"/>
    </row>
    <row r="9613" s="93" customFormat="1" spans="3:13">
      <c r="C9613" s="94"/>
      <c r="E9613" s="94"/>
      <c r="G9613" s="94"/>
      <c r="I9613" s="94"/>
      <c r="K9613" s="94"/>
      <c r="M9613" s="94"/>
    </row>
    <row r="9614" s="93" customFormat="1" spans="3:13">
      <c r="C9614" s="94"/>
      <c r="E9614" s="94"/>
      <c r="G9614" s="94"/>
      <c r="I9614" s="94"/>
      <c r="K9614" s="94"/>
      <c r="M9614" s="94"/>
    </row>
    <row r="9615" s="93" customFormat="1" spans="3:13">
      <c r="C9615" s="94"/>
      <c r="E9615" s="94"/>
      <c r="G9615" s="94"/>
      <c r="I9615" s="94"/>
      <c r="K9615" s="94"/>
      <c r="M9615" s="94"/>
    </row>
    <row r="9616" s="93" customFormat="1" spans="3:13">
      <c r="C9616" s="94"/>
      <c r="E9616" s="94"/>
      <c r="G9616" s="94"/>
      <c r="I9616" s="94"/>
      <c r="K9616" s="94"/>
      <c r="M9616" s="94"/>
    </row>
    <row r="9617" s="93" customFormat="1" spans="3:13">
      <c r="C9617" s="94"/>
      <c r="E9617" s="94"/>
      <c r="G9617" s="94"/>
      <c r="I9617" s="94"/>
      <c r="K9617" s="94"/>
      <c r="M9617" s="94"/>
    </row>
    <row r="9618" s="93" customFormat="1" spans="3:13">
      <c r="C9618" s="94"/>
      <c r="E9618" s="94"/>
      <c r="G9618" s="94"/>
      <c r="I9618" s="94"/>
      <c r="K9618" s="94"/>
      <c r="M9618" s="94"/>
    </row>
    <row r="9619" s="93" customFormat="1" spans="3:13">
      <c r="C9619" s="94"/>
      <c r="E9619" s="94"/>
      <c r="G9619" s="94"/>
      <c r="I9619" s="94"/>
      <c r="K9619" s="94"/>
      <c r="M9619" s="94"/>
    </row>
    <row r="9620" s="93" customFormat="1" spans="3:13">
      <c r="C9620" s="94"/>
      <c r="E9620" s="94"/>
      <c r="G9620" s="94"/>
      <c r="I9620" s="94"/>
      <c r="K9620" s="94"/>
      <c r="M9620" s="94"/>
    </row>
    <row r="9621" s="93" customFormat="1" spans="3:13">
      <c r="C9621" s="94"/>
      <c r="E9621" s="94"/>
      <c r="G9621" s="94"/>
      <c r="I9621" s="94"/>
      <c r="K9621" s="94"/>
      <c r="M9621" s="94"/>
    </row>
    <row r="9622" s="93" customFormat="1" spans="3:13">
      <c r="C9622" s="94"/>
      <c r="E9622" s="94"/>
      <c r="G9622" s="94"/>
      <c r="I9622" s="94"/>
      <c r="K9622" s="94"/>
      <c r="M9622" s="94"/>
    </row>
    <row r="9623" s="93" customFormat="1" spans="3:13">
      <c r="C9623" s="94"/>
      <c r="E9623" s="94"/>
      <c r="G9623" s="94"/>
      <c r="I9623" s="94"/>
      <c r="K9623" s="94"/>
      <c r="M9623" s="94"/>
    </row>
    <row r="9624" s="93" customFormat="1" spans="3:13">
      <c r="C9624" s="94"/>
      <c r="E9624" s="94"/>
      <c r="G9624" s="94"/>
      <c r="I9624" s="94"/>
      <c r="K9624" s="94"/>
      <c r="M9624" s="94"/>
    </row>
    <row r="9625" s="93" customFormat="1" spans="3:13">
      <c r="C9625" s="94"/>
      <c r="E9625" s="94"/>
      <c r="G9625" s="94"/>
      <c r="I9625" s="94"/>
      <c r="K9625" s="94"/>
      <c r="M9625" s="94"/>
    </row>
    <row r="9626" s="93" customFormat="1" spans="3:13">
      <c r="C9626" s="94"/>
      <c r="E9626" s="94"/>
      <c r="G9626" s="94"/>
      <c r="I9626" s="94"/>
      <c r="K9626" s="94"/>
      <c r="M9626" s="94"/>
    </row>
    <row r="9627" s="93" customFormat="1" spans="3:13">
      <c r="C9627" s="94"/>
      <c r="E9627" s="94"/>
      <c r="G9627" s="94"/>
      <c r="I9627" s="94"/>
      <c r="K9627" s="94"/>
      <c r="M9627" s="94"/>
    </row>
    <row r="9628" s="93" customFormat="1" spans="3:13">
      <c r="C9628" s="94"/>
      <c r="E9628" s="94"/>
      <c r="G9628" s="94"/>
      <c r="I9628" s="94"/>
      <c r="K9628" s="94"/>
      <c r="M9628" s="94"/>
    </row>
    <row r="9629" s="93" customFormat="1" spans="3:13">
      <c r="C9629" s="94"/>
      <c r="E9629" s="94"/>
      <c r="G9629" s="94"/>
      <c r="I9629" s="94"/>
      <c r="K9629" s="94"/>
      <c r="M9629" s="94"/>
    </row>
    <row r="9630" s="93" customFormat="1" spans="3:13">
      <c r="C9630" s="94"/>
      <c r="E9630" s="94"/>
      <c r="G9630" s="94"/>
      <c r="I9630" s="94"/>
      <c r="K9630" s="94"/>
      <c r="M9630" s="94"/>
    </row>
    <row r="9631" s="93" customFormat="1" spans="3:13">
      <c r="C9631" s="94"/>
      <c r="E9631" s="94"/>
      <c r="G9631" s="94"/>
      <c r="I9631" s="94"/>
      <c r="K9631" s="94"/>
      <c r="M9631" s="94"/>
    </row>
    <row r="9632" s="93" customFormat="1" spans="3:13">
      <c r="C9632" s="94"/>
      <c r="E9632" s="94"/>
      <c r="G9632" s="94"/>
      <c r="I9632" s="94"/>
      <c r="K9632" s="94"/>
      <c r="M9632" s="94"/>
    </row>
    <row r="9633" s="93" customFormat="1" spans="3:13">
      <c r="C9633" s="94"/>
      <c r="E9633" s="94"/>
      <c r="G9633" s="94"/>
      <c r="I9633" s="94"/>
      <c r="K9633" s="94"/>
      <c r="M9633" s="94"/>
    </row>
    <row r="9634" s="93" customFormat="1" spans="3:13">
      <c r="C9634" s="94"/>
      <c r="E9634" s="94"/>
      <c r="G9634" s="94"/>
      <c r="I9634" s="94"/>
      <c r="K9634" s="94"/>
      <c r="M9634" s="94"/>
    </row>
    <row r="9635" s="93" customFormat="1" spans="3:13">
      <c r="C9635" s="94"/>
      <c r="E9635" s="94"/>
      <c r="G9635" s="94"/>
      <c r="I9635" s="94"/>
      <c r="K9635" s="94"/>
      <c r="M9635" s="94"/>
    </row>
    <row r="9636" s="93" customFormat="1" spans="3:13">
      <c r="C9636" s="94"/>
      <c r="E9636" s="94"/>
      <c r="G9636" s="94"/>
      <c r="I9636" s="94"/>
      <c r="K9636" s="94"/>
      <c r="M9636" s="94"/>
    </row>
    <row r="9637" s="93" customFormat="1" spans="3:13">
      <c r="C9637" s="94"/>
      <c r="E9637" s="94"/>
      <c r="G9637" s="94"/>
      <c r="I9637" s="94"/>
      <c r="K9637" s="94"/>
      <c r="M9637" s="94"/>
    </row>
    <row r="9638" s="93" customFormat="1" spans="3:13">
      <c r="C9638" s="94"/>
      <c r="E9638" s="94"/>
      <c r="G9638" s="94"/>
      <c r="I9638" s="94"/>
      <c r="K9638" s="94"/>
      <c r="M9638" s="94"/>
    </row>
    <row r="9639" s="93" customFormat="1" spans="3:13">
      <c r="C9639" s="94"/>
      <c r="E9639" s="94"/>
      <c r="G9639" s="94"/>
      <c r="I9639" s="94"/>
      <c r="K9639" s="94"/>
      <c r="M9639" s="94"/>
    </row>
    <row r="9640" s="93" customFormat="1" spans="3:13">
      <c r="C9640" s="94"/>
      <c r="E9640" s="94"/>
      <c r="G9640" s="94"/>
      <c r="I9640" s="94"/>
      <c r="K9640" s="94"/>
      <c r="M9640" s="94"/>
    </row>
    <row r="9641" s="93" customFormat="1" spans="3:13">
      <c r="C9641" s="94"/>
      <c r="E9641" s="94"/>
      <c r="G9641" s="94"/>
      <c r="I9641" s="94"/>
      <c r="K9641" s="94"/>
      <c r="M9641" s="94"/>
    </row>
    <row r="9642" s="93" customFormat="1" spans="3:13">
      <c r="C9642" s="94"/>
      <c r="E9642" s="94"/>
      <c r="G9642" s="94"/>
      <c r="I9642" s="94"/>
      <c r="K9642" s="94"/>
      <c r="M9642" s="94"/>
    </row>
    <row r="9643" s="93" customFormat="1" spans="3:13">
      <c r="C9643" s="94"/>
      <c r="E9643" s="94"/>
      <c r="G9643" s="94"/>
      <c r="I9643" s="94"/>
      <c r="K9643" s="94"/>
      <c r="M9643" s="94"/>
    </row>
    <row r="9644" s="93" customFormat="1" spans="3:13">
      <c r="C9644" s="94"/>
      <c r="E9644" s="94"/>
      <c r="G9644" s="94"/>
      <c r="I9644" s="94"/>
      <c r="K9644" s="94"/>
      <c r="M9644" s="94"/>
    </row>
    <row r="9645" s="93" customFormat="1" spans="3:13">
      <c r="C9645" s="94"/>
      <c r="E9645" s="94"/>
      <c r="G9645" s="94"/>
      <c r="I9645" s="94"/>
      <c r="K9645" s="94"/>
      <c r="M9645" s="94"/>
    </row>
    <row r="9646" s="93" customFormat="1" spans="3:13">
      <c r="C9646" s="94"/>
      <c r="E9646" s="94"/>
      <c r="G9646" s="94"/>
      <c r="I9646" s="94"/>
      <c r="K9646" s="94"/>
      <c r="M9646" s="94"/>
    </row>
    <row r="9647" s="93" customFormat="1" spans="3:13">
      <c r="C9647" s="94"/>
      <c r="E9647" s="94"/>
      <c r="G9647" s="94"/>
      <c r="I9647" s="94"/>
      <c r="K9647" s="94"/>
      <c r="M9647" s="94"/>
    </row>
    <row r="9648" s="93" customFormat="1" spans="3:13">
      <c r="C9648" s="94"/>
      <c r="E9648" s="94"/>
      <c r="G9648" s="94"/>
      <c r="I9648" s="94"/>
      <c r="K9648" s="94"/>
      <c r="M9648" s="94"/>
    </row>
    <row r="9649" s="93" customFormat="1" spans="3:13">
      <c r="C9649" s="94"/>
      <c r="E9649" s="94"/>
      <c r="G9649" s="94"/>
      <c r="I9649" s="94"/>
      <c r="K9649" s="94"/>
      <c r="M9649" s="94"/>
    </row>
    <row r="9650" s="93" customFormat="1" spans="3:13">
      <c r="C9650" s="94"/>
      <c r="E9650" s="94"/>
      <c r="G9650" s="94"/>
      <c r="I9650" s="94"/>
      <c r="K9650" s="94"/>
      <c r="M9650" s="94"/>
    </row>
    <row r="9651" s="93" customFormat="1" spans="3:13">
      <c r="C9651" s="94"/>
      <c r="E9651" s="94"/>
      <c r="G9651" s="94"/>
      <c r="I9651" s="94"/>
      <c r="K9651" s="94"/>
      <c r="M9651" s="94"/>
    </row>
    <row r="9652" s="93" customFormat="1" spans="3:13">
      <c r="C9652" s="94"/>
      <c r="E9652" s="94"/>
      <c r="G9652" s="94"/>
      <c r="I9652" s="94"/>
      <c r="K9652" s="94"/>
      <c r="M9652" s="94"/>
    </row>
    <row r="9653" s="93" customFormat="1" spans="3:13">
      <c r="C9653" s="94"/>
      <c r="E9653" s="94"/>
      <c r="G9653" s="94"/>
      <c r="I9653" s="94"/>
      <c r="K9653" s="94"/>
      <c r="M9653" s="94"/>
    </row>
    <row r="9654" s="93" customFormat="1" spans="3:13">
      <c r="C9654" s="94"/>
      <c r="E9654" s="94"/>
      <c r="G9654" s="94"/>
      <c r="I9654" s="94"/>
      <c r="K9654" s="94"/>
      <c r="M9654" s="94"/>
    </row>
    <row r="9655" s="93" customFormat="1" spans="3:13">
      <c r="C9655" s="94"/>
      <c r="E9655" s="94"/>
      <c r="G9655" s="94"/>
      <c r="I9655" s="94"/>
      <c r="K9655" s="94"/>
      <c r="M9655" s="94"/>
    </row>
    <row r="9656" s="93" customFormat="1" spans="3:13">
      <c r="C9656" s="94"/>
      <c r="E9656" s="94"/>
      <c r="G9656" s="94"/>
      <c r="I9656" s="94"/>
      <c r="K9656" s="94"/>
      <c r="M9656" s="94"/>
    </row>
    <row r="9657" s="93" customFormat="1" spans="3:13">
      <c r="C9657" s="94"/>
      <c r="E9657" s="94"/>
      <c r="G9657" s="94"/>
      <c r="I9657" s="94"/>
      <c r="K9657" s="94"/>
      <c r="M9657" s="94"/>
    </row>
    <row r="9658" s="93" customFormat="1" spans="3:13">
      <c r="C9658" s="94"/>
      <c r="E9658" s="94"/>
      <c r="G9658" s="94"/>
      <c r="I9658" s="94"/>
      <c r="K9658" s="94"/>
      <c r="M9658" s="94"/>
    </row>
    <row r="9659" s="93" customFormat="1" spans="3:13">
      <c r="C9659" s="94"/>
      <c r="E9659" s="94"/>
      <c r="G9659" s="94"/>
      <c r="I9659" s="94"/>
      <c r="K9659" s="94"/>
      <c r="M9659" s="94"/>
    </row>
    <row r="9660" s="93" customFormat="1" spans="3:13">
      <c r="C9660" s="94"/>
      <c r="E9660" s="94"/>
      <c r="G9660" s="94"/>
      <c r="I9660" s="94"/>
      <c r="K9660" s="94"/>
      <c r="M9660" s="94"/>
    </row>
    <row r="9661" s="93" customFormat="1" spans="3:13">
      <c r="C9661" s="94"/>
      <c r="E9661" s="94"/>
      <c r="G9661" s="94"/>
      <c r="I9661" s="94"/>
      <c r="K9661" s="94"/>
      <c r="M9661" s="94"/>
    </row>
    <row r="9662" s="93" customFormat="1" spans="3:13">
      <c r="C9662" s="94"/>
      <c r="E9662" s="94"/>
      <c r="G9662" s="94"/>
      <c r="I9662" s="94"/>
      <c r="K9662" s="94"/>
      <c r="M9662" s="94"/>
    </row>
    <row r="9663" s="93" customFormat="1" spans="3:13">
      <c r="C9663" s="94"/>
      <c r="E9663" s="94"/>
      <c r="G9663" s="94"/>
      <c r="I9663" s="94"/>
      <c r="K9663" s="94"/>
      <c r="M9663" s="94"/>
    </row>
    <row r="9664" s="93" customFormat="1" spans="3:13">
      <c r="C9664" s="94"/>
      <c r="E9664" s="94"/>
      <c r="G9664" s="94"/>
      <c r="I9664" s="94"/>
      <c r="K9664" s="94"/>
      <c r="M9664" s="94"/>
    </row>
    <row r="9665" s="93" customFormat="1" spans="3:13">
      <c r="C9665" s="94"/>
      <c r="E9665" s="94"/>
      <c r="G9665" s="94"/>
      <c r="I9665" s="94"/>
      <c r="K9665" s="94"/>
      <c r="M9665" s="94"/>
    </row>
    <row r="9666" s="93" customFormat="1" spans="3:13">
      <c r="C9666" s="94"/>
      <c r="E9666" s="94"/>
      <c r="G9666" s="94"/>
      <c r="I9666" s="94"/>
      <c r="K9666" s="94"/>
      <c r="M9666" s="94"/>
    </row>
    <row r="9667" s="93" customFormat="1" spans="3:13">
      <c r="C9667" s="94"/>
      <c r="E9667" s="94"/>
      <c r="G9667" s="94"/>
      <c r="I9667" s="94"/>
      <c r="K9667" s="94"/>
      <c r="M9667" s="94"/>
    </row>
    <row r="9668" s="93" customFormat="1" spans="3:13">
      <c r="C9668" s="94"/>
      <c r="E9668" s="94"/>
      <c r="G9668" s="94"/>
      <c r="I9668" s="94"/>
      <c r="K9668" s="94"/>
      <c r="M9668" s="94"/>
    </row>
    <row r="9669" s="93" customFormat="1" spans="3:13">
      <c r="C9669" s="94"/>
      <c r="E9669" s="94"/>
      <c r="G9669" s="94"/>
      <c r="I9669" s="94"/>
      <c r="K9669" s="94"/>
      <c r="M9669" s="94"/>
    </row>
    <row r="9670" s="93" customFormat="1" spans="3:13">
      <c r="C9670" s="94"/>
      <c r="E9670" s="94"/>
      <c r="G9670" s="94"/>
      <c r="I9670" s="94"/>
      <c r="K9670" s="94"/>
      <c r="M9670" s="94"/>
    </row>
    <row r="9671" s="93" customFormat="1" spans="3:13">
      <c r="C9671" s="94"/>
      <c r="E9671" s="94"/>
      <c r="G9671" s="94"/>
      <c r="I9671" s="94"/>
      <c r="K9671" s="94"/>
      <c r="M9671" s="94"/>
    </row>
    <row r="9672" s="93" customFormat="1" spans="3:13">
      <c r="C9672" s="94"/>
      <c r="E9672" s="94"/>
      <c r="G9672" s="94"/>
      <c r="I9672" s="94"/>
      <c r="K9672" s="94"/>
      <c r="M9672" s="94"/>
    </row>
    <row r="9673" s="93" customFormat="1" spans="3:13">
      <c r="C9673" s="94"/>
      <c r="E9673" s="94"/>
      <c r="G9673" s="94"/>
      <c r="I9673" s="94"/>
      <c r="K9673" s="94"/>
      <c r="M9673" s="94"/>
    </row>
    <row r="9674" s="93" customFormat="1" spans="3:13">
      <c r="C9674" s="94"/>
      <c r="E9674" s="94"/>
      <c r="G9674" s="94"/>
      <c r="I9674" s="94"/>
      <c r="K9674" s="94"/>
      <c r="M9674" s="94"/>
    </row>
    <row r="9675" s="93" customFormat="1" spans="3:13">
      <c r="C9675" s="94"/>
      <c r="E9675" s="94"/>
      <c r="G9675" s="94"/>
      <c r="I9675" s="94"/>
      <c r="K9675" s="94"/>
      <c r="M9675" s="94"/>
    </row>
    <row r="9676" s="93" customFormat="1" spans="3:13">
      <c r="C9676" s="94"/>
      <c r="E9676" s="94"/>
      <c r="G9676" s="94"/>
      <c r="I9676" s="94"/>
      <c r="K9676" s="94"/>
      <c r="M9676" s="94"/>
    </row>
    <row r="9677" s="93" customFormat="1" spans="3:13">
      <c r="C9677" s="94"/>
      <c r="E9677" s="94"/>
      <c r="G9677" s="94"/>
      <c r="I9677" s="94"/>
      <c r="K9677" s="94"/>
      <c r="M9677" s="94"/>
    </row>
    <row r="9678" s="93" customFormat="1" spans="3:13">
      <c r="C9678" s="94"/>
      <c r="E9678" s="94"/>
      <c r="G9678" s="94"/>
      <c r="I9678" s="94"/>
      <c r="K9678" s="94"/>
      <c r="M9678" s="94"/>
    </row>
    <row r="9679" s="93" customFormat="1" spans="3:13">
      <c r="C9679" s="94"/>
      <c r="E9679" s="94"/>
      <c r="G9679" s="94"/>
      <c r="I9679" s="94"/>
      <c r="K9679" s="94"/>
      <c r="M9679" s="94"/>
    </row>
    <row r="9680" s="93" customFormat="1" spans="3:13">
      <c r="C9680" s="94"/>
      <c r="E9680" s="94"/>
      <c r="G9680" s="94"/>
      <c r="I9680" s="94"/>
      <c r="K9680" s="94"/>
      <c r="M9680" s="94"/>
    </row>
    <row r="9681" s="93" customFormat="1" spans="3:13">
      <c r="C9681" s="94"/>
      <c r="E9681" s="94"/>
      <c r="G9681" s="94"/>
      <c r="I9681" s="94"/>
      <c r="K9681" s="94"/>
      <c r="M9681" s="94"/>
    </row>
    <row r="9682" s="93" customFormat="1" spans="3:13">
      <c r="C9682" s="94"/>
      <c r="E9682" s="94"/>
      <c r="G9682" s="94"/>
      <c r="I9682" s="94"/>
      <c r="K9682" s="94"/>
      <c r="M9682" s="94"/>
    </row>
    <row r="9683" s="93" customFormat="1" spans="3:13">
      <c r="C9683" s="94"/>
      <c r="E9683" s="94"/>
      <c r="G9683" s="94"/>
      <c r="I9683" s="94"/>
      <c r="K9683" s="94"/>
      <c r="M9683" s="94"/>
    </row>
    <row r="9684" s="93" customFormat="1" spans="3:13">
      <c r="C9684" s="94"/>
      <c r="E9684" s="94"/>
      <c r="G9684" s="94"/>
      <c r="I9684" s="94"/>
      <c r="K9684" s="94"/>
      <c r="M9684" s="94"/>
    </row>
    <row r="9685" s="93" customFormat="1" spans="3:13">
      <c r="C9685" s="94"/>
      <c r="E9685" s="94"/>
      <c r="G9685" s="94"/>
      <c r="I9685" s="94"/>
      <c r="K9685" s="94"/>
      <c r="M9685" s="94"/>
    </row>
    <row r="9686" s="93" customFormat="1" spans="3:13">
      <c r="C9686" s="94"/>
      <c r="E9686" s="94"/>
      <c r="G9686" s="94"/>
      <c r="I9686" s="94"/>
      <c r="K9686" s="94"/>
      <c r="M9686" s="94"/>
    </row>
    <row r="9687" s="93" customFormat="1" spans="3:13">
      <c r="C9687" s="94"/>
      <c r="E9687" s="94"/>
      <c r="G9687" s="94"/>
      <c r="I9687" s="94"/>
      <c r="K9687" s="94"/>
      <c r="M9687" s="94"/>
    </row>
    <row r="9688" s="93" customFormat="1" spans="3:13">
      <c r="C9688" s="94"/>
      <c r="E9688" s="94"/>
      <c r="G9688" s="94"/>
      <c r="I9688" s="94"/>
      <c r="K9688" s="94"/>
      <c r="M9688" s="94"/>
    </row>
    <row r="9689" s="93" customFormat="1" spans="3:13">
      <c r="C9689" s="94"/>
      <c r="E9689" s="94"/>
      <c r="G9689" s="94"/>
      <c r="I9689" s="94"/>
      <c r="K9689" s="94"/>
      <c r="M9689" s="94"/>
    </row>
    <row r="9690" s="93" customFormat="1" spans="3:13">
      <c r="C9690" s="94"/>
      <c r="E9690" s="94"/>
      <c r="G9690" s="94"/>
      <c r="I9690" s="94"/>
      <c r="K9690" s="94"/>
      <c r="M9690" s="94"/>
    </row>
    <row r="9691" s="93" customFormat="1" spans="3:13">
      <c r="C9691" s="94"/>
      <c r="E9691" s="94"/>
      <c r="G9691" s="94"/>
      <c r="I9691" s="94"/>
      <c r="K9691" s="94"/>
      <c r="M9691" s="94"/>
    </row>
    <row r="9692" s="93" customFormat="1" spans="3:13">
      <c r="C9692" s="94"/>
      <c r="E9692" s="94"/>
      <c r="G9692" s="94"/>
      <c r="I9692" s="94"/>
      <c r="K9692" s="94"/>
      <c r="M9692" s="94"/>
    </row>
    <row r="9693" s="93" customFormat="1" spans="3:13">
      <c r="C9693" s="94"/>
      <c r="E9693" s="94"/>
      <c r="G9693" s="94"/>
      <c r="I9693" s="94"/>
      <c r="K9693" s="94"/>
      <c r="M9693" s="94"/>
    </row>
    <row r="9694" s="93" customFormat="1" spans="3:13">
      <c r="C9694" s="94"/>
      <c r="E9694" s="94"/>
      <c r="G9694" s="94"/>
      <c r="I9694" s="94"/>
      <c r="K9694" s="94"/>
      <c r="M9694" s="94"/>
    </row>
    <row r="9695" s="93" customFormat="1" spans="3:13">
      <c r="C9695" s="94"/>
      <c r="E9695" s="94"/>
      <c r="G9695" s="94"/>
      <c r="I9695" s="94"/>
      <c r="K9695" s="94"/>
      <c r="M9695" s="94"/>
    </row>
    <row r="9696" s="93" customFormat="1" spans="3:13">
      <c r="C9696" s="94"/>
      <c r="E9696" s="94"/>
      <c r="G9696" s="94"/>
      <c r="I9696" s="94"/>
      <c r="K9696" s="94"/>
      <c r="M9696" s="94"/>
    </row>
    <row r="9697" s="93" customFormat="1" spans="3:13">
      <c r="C9697" s="94"/>
      <c r="E9697" s="94"/>
      <c r="G9697" s="94"/>
      <c r="I9697" s="94"/>
      <c r="K9697" s="94"/>
      <c r="M9697" s="94"/>
    </row>
    <row r="9698" s="93" customFormat="1" spans="3:13">
      <c r="C9698" s="94"/>
      <c r="E9698" s="94"/>
      <c r="G9698" s="94"/>
      <c r="I9698" s="94"/>
      <c r="K9698" s="94"/>
      <c r="M9698" s="94"/>
    </row>
    <row r="9699" s="93" customFormat="1" spans="3:13">
      <c r="C9699" s="94"/>
      <c r="E9699" s="94"/>
      <c r="G9699" s="94"/>
      <c r="I9699" s="94"/>
      <c r="K9699" s="94"/>
      <c r="M9699" s="94"/>
    </row>
    <row r="9700" s="93" customFormat="1" spans="3:13">
      <c r="C9700" s="94"/>
      <c r="E9700" s="94"/>
      <c r="G9700" s="94"/>
      <c r="I9700" s="94"/>
      <c r="K9700" s="94"/>
      <c r="M9700" s="94"/>
    </row>
    <row r="9701" s="93" customFormat="1" spans="3:13">
      <c r="C9701" s="94"/>
      <c r="E9701" s="94"/>
      <c r="G9701" s="94"/>
      <c r="I9701" s="94"/>
      <c r="K9701" s="94"/>
      <c r="M9701" s="94"/>
    </row>
    <row r="9702" s="93" customFormat="1" spans="3:13">
      <c r="C9702" s="94"/>
      <c r="E9702" s="94"/>
      <c r="G9702" s="94"/>
      <c r="I9702" s="94"/>
      <c r="K9702" s="94"/>
      <c r="M9702" s="94"/>
    </row>
    <row r="9703" s="93" customFormat="1" spans="3:13">
      <c r="C9703" s="94"/>
      <c r="E9703" s="94"/>
      <c r="G9703" s="94"/>
      <c r="I9703" s="94"/>
      <c r="K9703" s="94"/>
      <c r="M9703" s="94"/>
    </row>
    <row r="9704" s="93" customFormat="1" spans="3:13">
      <c r="C9704" s="94"/>
      <c r="E9704" s="94"/>
      <c r="G9704" s="94"/>
      <c r="I9704" s="94"/>
      <c r="K9704" s="94"/>
      <c r="M9704" s="94"/>
    </row>
    <row r="9705" s="93" customFormat="1" spans="3:13">
      <c r="C9705" s="94"/>
      <c r="E9705" s="94"/>
      <c r="G9705" s="94"/>
      <c r="I9705" s="94"/>
      <c r="K9705" s="94"/>
      <c r="M9705" s="94"/>
    </row>
    <row r="9706" s="93" customFormat="1" spans="3:13">
      <c r="C9706" s="94"/>
      <c r="E9706" s="94"/>
      <c r="G9706" s="94"/>
      <c r="I9706" s="94"/>
      <c r="K9706" s="94"/>
      <c r="M9706" s="94"/>
    </row>
    <row r="9707" s="93" customFormat="1" spans="3:13">
      <c r="C9707" s="94"/>
      <c r="E9707" s="94"/>
      <c r="G9707" s="94"/>
      <c r="I9707" s="94"/>
      <c r="K9707" s="94"/>
      <c r="M9707" s="94"/>
    </row>
    <row r="9708" s="93" customFormat="1" spans="3:13">
      <c r="C9708" s="94"/>
      <c r="E9708" s="94"/>
      <c r="G9708" s="94"/>
      <c r="I9708" s="94"/>
      <c r="K9708" s="94"/>
      <c r="M9708" s="94"/>
    </row>
    <row r="9709" s="93" customFormat="1" spans="3:13">
      <c r="C9709" s="94"/>
      <c r="E9709" s="94"/>
      <c r="G9709" s="94"/>
      <c r="I9709" s="94"/>
      <c r="K9709" s="94"/>
      <c r="M9709" s="94"/>
    </row>
    <row r="9710" s="93" customFormat="1" spans="3:13">
      <c r="C9710" s="94"/>
      <c r="E9710" s="94"/>
      <c r="G9710" s="94"/>
      <c r="I9710" s="94"/>
      <c r="K9710" s="94"/>
      <c r="M9710" s="94"/>
    </row>
    <row r="9711" s="93" customFormat="1" spans="3:13">
      <c r="C9711" s="94"/>
      <c r="E9711" s="94"/>
      <c r="G9711" s="94"/>
      <c r="I9711" s="94"/>
      <c r="K9711" s="94"/>
      <c r="M9711" s="94"/>
    </row>
    <row r="9712" s="93" customFormat="1" spans="3:13">
      <c r="C9712" s="94"/>
      <c r="E9712" s="94"/>
      <c r="G9712" s="94"/>
      <c r="I9712" s="94"/>
      <c r="K9712" s="94"/>
      <c r="M9712" s="94"/>
    </row>
    <row r="9713" s="93" customFormat="1" spans="3:13">
      <c r="C9713" s="94"/>
      <c r="E9713" s="94"/>
      <c r="G9713" s="94"/>
      <c r="I9713" s="94"/>
      <c r="K9713" s="94"/>
      <c r="M9713" s="94"/>
    </row>
    <row r="9714" s="93" customFormat="1" spans="3:13">
      <c r="C9714" s="94"/>
      <c r="E9714" s="94"/>
      <c r="G9714" s="94"/>
      <c r="I9714" s="94"/>
      <c r="K9714" s="94"/>
      <c r="M9714" s="94"/>
    </row>
    <row r="9715" s="93" customFormat="1" spans="3:13">
      <c r="C9715" s="94"/>
      <c r="E9715" s="94"/>
      <c r="G9715" s="94"/>
      <c r="I9715" s="94"/>
      <c r="K9715" s="94"/>
      <c r="M9715" s="94"/>
    </row>
    <row r="9716" s="93" customFormat="1" spans="3:13">
      <c r="C9716" s="94"/>
      <c r="E9716" s="94"/>
      <c r="G9716" s="94"/>
      <c r="I9716" s="94"/>
      <c r="K9716" s="94"/>
      <c r="M9716" s="94"/>
    </row>
    <row r="9717" s="93" customFormat="1" spans="3:13">
      <c r="C9717" s="94"/>
      <c r="E9717" s="94"/>
      <c r="G9717" s="94"/>
      <c r="I9717" s="94"/>
      <c r="K9717" s="94"/>
      <c r="M9717" s="94"/>
    </row>
    <row r="9718" s="93" customFormat="1" spans="3:13">
      <c r="C9718" s="94"/>
      <c r="E9718" s="94"/>
      <c r="G9718" s="94"/>
      <c r="I9718" s="94"/>
      <c r="K9718" s="94"/>
      <c r="M9718" s="94"/>
    </row>
    <row r="9719" s="93" customFormat="1" spans="3:13">
      <c r="C9719" s="94"/>
      <c r="E9719" s="94"/>
      <c r="G9719" s="94"/>
      <c r="I9719" s="94"/>
      <c r="K9719" s="94"/>
      <c r="M9719" s="94"/>
    </row>
    <row r="9720" s="93" customFormat="1" spans="3:13">
      <c r="C9720" s="94"/>
      <c r="E9720" s="94"/>
      <c r="G9720" s="94"/>
      <c r="I9720" s="94"/>
      <c r="K9720" s="94"/>
      <c r="M9720" s="94"/>
    </row>
    <row r="9721" s="93" customFormat="1" spans="3:13">
      <c r="C9721" s="94"/>
      <c r="E9721" s="94"/>
      <c r="G9721" s="94"/>
      <c r="I9721" s="94"/>
      <c r="K9721" s="94"/>
      <c r="M9721" s="94"/>
    </row>
    <row r="9722" s="93" customFormat="1" spans="3:13">
      <c r="C9722" s="94"/>
      <c r="E9722" s="94"/>
      <c r="G9722" s="94"/>
      <c r="I9722" s="94"/>
      <c r="K9722" s="94"/>
      <c r="M9722" s="94"/>
    </row>
    <row r="9723" s="93" customFormat="1" spans="3:13">
      <c r="C9723" s="94"/>
      <c r="E9723" s="94"/>
      <c r="G9723" s="94"/>
      <c r="I9723" s="94"/>
      <c r="K9723" s="94"/>
      <c r="M9723" s="94"/>
    </row>
    <row r="9724" s="93" customFormat="1" spans="3:13">
      <c r="C9724" s="94"/>
      <c r="E9724" s="94"/>
      <c r="G9724" s="94"/>
      <c r="I9724" s="94"/>
      <c r="K9724" s="94"/>
      <c r="M9724" s="94"/>
    </row>
    <row r="9725" s="93" customFormat="1" spans="3:13">
      <c r="C9725" s="94"/>
      <c r="E9725" s="94"/>
      <c r="G9725" s="94"/>
      <c r="I9725" s="94"/>
      <c r="K9725" s="94"/>
      <c r="M9725" s="94"/>
    </row>
    <row r="9726" s="93" customFormat="1" spans="3:13">
      <c r="C9726" s="94"/>
      <c r="E9726" s="94"/>
      <c r="G9726" s="94"/>
      <c r="I9726" s="94"/>
      <c r="K9726" s="94"/>
      <c r="M9726" s="94"/>
    </row>
    <row r="9727" s="93" customFormat="1" spans="3:13">
      <c r="C9727" s="94"/>
      <c r="E9727" s="94"/>
      <c r="G9727" s="94"/>
      <c r="I9727" s="94"/>
      <c r="K9727" s="94"/>
      <c r="M9727" s="94"/>
    </row>
    <row r="9728" s="93" customFormat="1" spans="3:13">
      <c r="C9728" s="94"/>
      <c r="E9728" s="94"/>
      <c r="G9728" s="94"/>
      <c r="I9728" s="94"/>
      <c r="K9728" s="94"/>
      <c r="M9728" s="94"/>
    </row>
    <row r="9729" s="93" customFormat="1" spans="3:13">
      <c r="C9729" s="94"/>
      <c r="E9729" s="94"/>
      <c r="G9729" s="94"/>
      <c r="I9729" s="94"/>
      <c r="K9729" s="94"/>
      <c r="M9729" s="94"/>
    </row>
    <row r="9730" s="93" customFormat="1" spans="3:13">
      <c r="C9730" s="94"/>
      <c r="E9730" s="94"/>
      <c r="G9730" s="94"/>
      <c r="I9730" s="94"/>
      <c r="K9730" s="94"/>
      <c r="M9730" s="94"/>
    </row>
    <row r="9731" s="93" customFormat="1" spans="3:13">
      <c r="C9731" s="94"/>
      <c r="E9731" s="94"/>
      <c r="G9731" s="94"/>
      <c r="I9731" s="94"/>
      <c r="K9731" s="94"/>
      <c r="M9731" s="94"/>
    </row>
    <row r="9732" s="93" customFormat="1" spans="3:13">
      <c r="C9732" s="94"/>
      <c r="E9732" s="94"/>
      <c r="G9732" s="94"/>
      <c r="I9732" s="94"/>
      <c r="K9732" s="94"/>
      <c r="M9732" s="94"/>
    </row>
    <row r="9733" s="93" customFormat="1" spans="3:13">
      <c r="C9733" s="94"/>
      <c r="E9733" s="94"/>
      <c r="G9733" s="94"/>
      <c r="I9733" s="94"/>
      <c r="K9733" s="94"/>
      <c r="M9733" s="94"/>
    </row>
    <row r="9734" s="93" customFormat="1" spans="3:13">
      <c r="C9734" s="94"/>
      <c r="E9734" s="94"/>
      <c r="G9734" s="94"/>
      <c r="I9734" s="94"/>
      <c r="K9734" s="94"/>
      <c r="M9734" s="94"/>
    </row>
    <row r="9735" s="93" customFormat="1" spans="3:13">
      <c r="C9735" s="94"/>
      <c r="E9735" s="94"/>
      <c r="G9735" s="94"/>
      <c r="I9735" s="94"/>
      <c r="K9735" s="94"/>
      <c r="M9735" s="94"/>
    </row>
    <row r="9736" s="93" customFormat="1" spans="3:13">
      <c r="C9736" s="94"/>
      <c r="E9736" s="94"/>
      <c r="G9736" s="94"/>
      <c r="I9736" s="94"/>
      <c r="K9736" s="94"/>
      <c r="M9736" s="94"/>
    </row>
    <row r="9737" s="93" customFormat="1" spans="3:13">
      <c r="C9737" s="94"/>
      <c r="E9737" s="94"/>
      <c r="G9737" s="94"/>
      <c r="I9737" s="94"/>
      <c r="K9737" s="94"/>
      <c r="M9737" s="94"/>
    </row>
    <row r="9738" s="93" customFormat="1" spans="3:13">
      <c r="C9738" s="94"/>
      <c r="E9738" s="94"/>
      <c r="G9738" s="94"/>
      <c r="I9738" s="94"/>
      <c r="K9738" s="94"/>
      <c r="M9738" s="94"/>
    </row>
    <row r="9739" s="93" customFormat="1" spans="3:13">
      <c r="C9739" s="94"/>
      <c r="E9739" s="94"/>
      <c r="G9739" s="94"/>
      <c r="I9739" s="94"/>
      <c r="K9739" s="94"/>
      <c r="M9739" s="94"/>
    </row>
    <row r="9740" s="93" customFormat="1" spans="3:13">
      <c r="C9740" s="94"/>
      <c r="E9740" s="94"/>
      <c r="G9740" s="94"/>
      <c r="I9740" s="94"/>
      <c r="K9740" s="94"/>
      <c r="M9740" s="94"/>
    </row>
    <row r="9741" s="93" customFormat="1" spans="3:13">
      <c r="C9741" s="94"/>
      <c r="E9741" s="94"/>
      <c r="G9741" s="94"/>
      <c r="I9741" s="94"/>
      <c r="K9741" s="94"/>
      <c r="M9741" s="94"/>
    </row>
    <row r="9742" s="93" customFormat="1" spans="3:13">
      <c r="C9742" s="94"/>
      <c r="E9742" s="94"/>
      <c r="G9742" s="94"/>
      <c r="I9742" s="94"/>
      <c r="K9742" s="94"/>
      <c r="M9742" s="94"/>
    </row>
    <row r="9743" s="93" customFormat="1" spans="3:13">
      <c r="C9743" s="94"/>
      <c r="E9743" s="94"/>
      <c r="G9743" s="94"/>
      <c r="I9743" s="94"/>
      <c r="K9743" s="94"/>
      <c r="M9743" s="94"/>
    </row>
    <row r="9744" s="93" customFormat="1" spans="3:13">
      <c r="C9744" s="94"/>
      <c r="E9744" s="94"/>
      <c r="G9744" s="94"/>
      <c r="I9744" s="94"/>
      <c r="K9744" s="94"/>
      <c r="M9744" s="94"/>
    </row>
    <row r="9745" s="93" customFormat="1" spans="3:13">
      <c r="C9745" s="94"/>
      <c r="E9745" s="94"/>
      <c r="G9745" s="94"/>
      <c r="I9745" s="94"/>
      <c r="K9745" s="94"/>
      <c r="M9745" s="94"/>
    </row>
    <row r="9746" s="93" customFormat="1" spans="3:13">
      <c r="C9746" s="94"/>
      <c r="E9746" s="94"/>
      <c r="G9746" s="94"/>
      <c r="I9746" s="94"/>
      <c r="K9746" s="94"/>
      <c r="M9746" s="94"/>
    </row>
    <row r="9747" s="93" customFormat="1" spans="3:13">
      <c r="C9747" s="94"/>
      <c r="E9747" s="94"/>
      <c r="G9747" s="94"/>
      <c r="I9747" s="94"/>
      <c r="K9747" s="94"/>
      <c r="M9747" s="94"/>
    </row>
    <row r="9748" s="93" customFormat="1" spans="3:13">
      <c r="C9748" s="94"/>
      <c r="E9748" s="94"/>
      <c r="G9748" s="94"/>
      <c r="I9748" s="94"/>
      <c r="K9748" s="94"/>
      <c r="M9748" s="94"/>
    </row>
    <row r="9749" s="93" customFormat="1" spans="3:13">
      <c r="C9749" s="94"/>
      <c r="E9749" s="94"/>
      <c r="G9749" s="94"/>
      <c r="I9749" s="94"/>
      <c r="K9749" s="94"/>
      <c r="M9749" s="94"/>
    </row>
    <row r="9750" s="93" customFormat="1" spans="3:13">
      <c r="C9750" s="94"/>
      <c r="E9750" s="94"/>
      <c r="G9750" s="94"/>
      <c r="I9750" s="94"/>
      <c r="K9750" s="94"/>
      <c r="M9750" s="94"/>
    </row>
    <row r="9751" s="93" customFormat="1" spans="3:13">
      <c r="C9751" s="94"/>
      <c r="E9751" s="94"/>
      <c r="G9751" s="94"/>
      <c r="I9751" s="94"/>
      <c r="K9751" s="94"/>
      <c r="M9751" s="94"/>
    </row>
    <row r="9752" s="93" customFormat="1" spans="3:13">
      <c r="C9752" s="94"/>
      <c r="E9752" s="94"/>
      <c r="G9752" s="94"/>
      <c r="I9752" s="94"/>
      <c r="K9752" s="94"/>
      <c r="M9752" s="94"/>
    </row>
    <row r="9753" s="93" customFormat="1" spans="3:13">
      <c r="C9753" s="94"/>
      <c r="E9753" s="94"/>
      <c r="G9753" s="94"/>
      <c r="I9753" s="94"/>
      <c r="K9753" s="94"/>
      <c r="M9753" s="94"/>
    </row>
    <row r="9754" s="93" customFormat="1" spans="3:13">
      <c r="C9754" s="94"/>
      <c r="E9754" s="94"/>
      <c r="G9754" s="94"/>
      <c r="I9754" s="94"/>
      <c r="K9754" s="94"/>
      <c r="M9754" s="94"/>
    </row>
    <row r="9755" s="93" customFormat="1" spans="3:13">
      <c r="C9755" s="94"/>
      <c r="E9755" s="94"/>
      <c r="G9755" s="94"/>
      <c r="I9755" s="94"/>
      <c r="K9755" s="94"/>
      <c r="M9755" s="94"/>
    </row>
    <row r="9756" s="93" customFormat="1" spans="3:13">
      <c r="C9756" s="94"/>
      <c r="E9756" s="94"/>
      <c r="G9756" s="94"/>
      <c r="I9756" s="94"/>
      <c r="K9756" s="94"/>
      <c r="M9756" s="94"/>
    </row>
    <row r="9757" s="93" customFormat="1" spans="3:13">
      <c r="C9757" s="94"/>
      <c r="E9757" s="94"/>
      <c r="G9757" s="94"/>
      <c r="I9757" s="94"/>
      <c r="K9757" s="94"/>
      <c r="M9757" s="94"/>
    </row>
    <row r="9758" s="93" customFormat="1" spans="3:13">
      <c r="C9758" s="94"/>
      <c r="E9758" s="94"/>
      <c r="G9758" s="94"/>
      <c r="I9758" s="94"/>
      <c r="K9758" s="94"/>
      <c r="M9758" s="94"/>
    </row>
    <row r="9759" s="93" customFormat="1" spans="3:13">
      <c r="C9759" s="94"/>
      <c r="E9759" s="94"/>
      <c r="G9759" s="94"/>
      <c r="I9759" s="94"/>
      <c r="K9759" s="94"/>
      <c r="M9759" s="94"/>
    </row>
    <row r="9760" s="93" customFormat="1" spans="3:13">
      <c r="C9760" s="94"/>
      <c r="E9760" s="94"/>
      <c r="G9760" s="94"/>
      <c r="I9760" s="94"/>
      <c r="K9760" s="94"/>
      <c r="M9760" s="94"/>
    </row>
    <row r="9761" s="93" customFormat="1" spans="3:13">
      <c r="C9761" s="94"/>
      <c r="E9761" s="94"/>
      <c r="G9761" s="94"/>
      <c r="I9761" s="94"/>
      <c r="K9761" s="94"/>
      <c r="M9761" s="94"/>
    </row>
    <row r="9762" s="93" customFormat="1" spans="3:13">
      <c r="C9762" s="94"/>
      <c r="E9762" s="94"/>
      <c r="G9762" s="94"/>
      <c r="I9762" s="94"/>
      <c r="K9762" s="94"/>
      <c r="M9762" s="94"/>
    </row>
    <row r="9763" s="93" customFormat="1" spans="3:13">
      <c r="C9763" s="94"/>
      <c r="E9763" s="94"/>
      <c r="G9763" s="94"/>
      <c r="I9763" s="94"/>
      <c r="K9763" s="94"/>
      <c r="M9763" s="94"/>
    </row>
    <row r="9764" s="93" customFormat="1" spans="3:13">
      <c r="C9764" s="94"/>
      <c r="E9764" s="94"/>
      <c r="G9764" s="94"/>
      <c r="I9764" s="94"/>
      <c r="K9764" s="94"/>
      <c r="M9764" s="94"/>
    </row>
    <row r="9765" s="93" customFormat="1" spans="3:13">
      <c r="C9765" s="94"/>
      <c r="E9765" s="94"/>
      <c r="G9765" s="94"/>
      <c r="I9765" s="94"/>
      <c r="K9765" s="94"/>
      <c r="M9765" s="94"/>
    </row>
    <row r="9766" s="93" customFormat="1" spans="3:13">
      <c r="C9766" s="94"/>
      <c r="E9766" s="94"/>
      <c r="G9766" s="94"/>
      <c r="I9766" s="94"/>
      <c r="K9766" s="94"/>
      <c r="M9766" s="94"/>
    </row>
    <row r="9767" s="93" customFormat="1" spans="3:13">
      <c r="C9767" s="94"/>
      <c r="E9767" s="94"/>
      <c r="G9767" s="94"/>
      <c r="I9767" s="94"/>
      <c r="K9767" s="94"/>
      <c r="M9767" s="94"/>
    </row>
    <row r="9768" s="93" customFormat="1" spans="3:13">
      <c r="C9768" s="94"/>
      <c r="E9768" s="94"/>
      <c r="G9768" s="94"/>
      <c r="I9768" s="94"/>
      <c r="K9768" s="94"/>
      <c r="M9768" s="94"/>
    </row>
    <row r="9769" s="93" customFormat="1" spans="3:13">
      <c r="C9769" s="94"/>
      <c r="E9769" s="94"/>
      <c r="G9769" s="94"/>
      <c r="I9769" s="94"/>
      <c r="K9769" s="94"/>
      <c r="M9769" s="94"/>
    </row>
    <row r="9770" s="93" customFormat="1" spans="3:13">
      <c r="C9770" s="94"/>
      <c r="E9770" s="94"/>
      <c r="G9770" s="94"/>
      <c r="I9770" s="94"/>
      <c r="K9770" s="94"/>
      <c r="M9770" s="94"/>
    </row>
    <row r="9771" s="93" customFormat="1" spans="3:13">
      <c r="C9771" s="94"/>
      <c r="E9771" s="94"/>
      <c r="G9771" s="94"/>
      <c r="I9771" s="94"/>
      <c r="K9771" s="94"/>
      <c r="M9771" s="94"/>
    </row>
    <row r="9772" s="93" customFormat="1" spans="3:13">
      <c r="C9772" s="94"/>
      <c r="E9772" s="94"/>
      <c r="G9772" s="94"/>
      <c r="I9772" s="94"/>
      <c r="K9772" s="94"/>
      <c r="M9772" s="94"/>
    </row>
    <row r="9773" s="93" customFormat="1" spans="3:13">
      <c r="C9773" s="94"/>
      <c r="E9773" s="94"/>
      <c r="G9773" s="94"/>
      <c r="I9773" s="94"/>
      <c r="K9773" s="94"/>
      <c r="M9773" s="94"/>
    </row>
    <row r="9774" s="93" customFormat="1" spans="3:13">
      <c r="C9774" s="94"/>
      <c r="E9774" s="94"/>
      <c r="G9774" s="94"/>
      <c r="I9774" s="94"/>
      <c r="K9774" s="94"/>
      <c r="M9774" s="94"/>
    </row>
    <row r="9775" s="93" customFormat="1" spans="3:13">
      <c r="C9775" s="94"/>
      <c r="E9775" s="94"/>
      <c r="G9775" s="94"/>
      <c r="I9775" s="94"/>
      <c r="K9775" s="94"/>
      <c r="M9775" s="94"/>
    </row>
    <row r="9776" s="93" customFormat="1" spans="3:13">
      <c r="C9776" s="94"/>
      <c r="E9776" s="94"/>
      <c r="G9776" s="94"/>
      <c r="I9776" s="94"/>
      <c r="K9776" s="94"/>
      <c r="M9776" s="94"/>
    </row>
    <row r="9777" s="93" customFormat="1" spans="3:13">
      <c r="C9777" s="94"/>
      <c r="E9777" s="94"/>
      <c r="G9777" s="94"/>
      <c r="I9777" s="94"/>
      <c r="K9777" s="94"/>
      <c r="M9777" s="94"/>
    </row>
    <row r="9778" s="93" customFormat="1" spans="3:13">
      <c r="C9778" s="94"/>
      <c r="E9778" s="94"/>
      <c r="G9778" s="94"/>
      <c r="I9778" s="94"/>
      <c r="K9778" s="94"/>
      <c r="M9778" s="94"/>
    </row>
    <row r="9779" s="93" customFormat="1" spans="3:13">
      <c r="C9779" s="94"/>
      <c r="E9779" s="94"/>
      <c r="G9779" s="94"/>
      <c r="I9779" s="94"/>
      <c r="K9779" s="94"/>
      <c r="M9779" s="94"/>
    </row>
    <row r="9780" s="93" customFormat="1" spans="3:13">
      <c r="C9780" s="94"/>
      <c r="E9780" s="94"/>
      <c r="G9780" s="94"/>
      <c r="I9780" s="94"/>
      <c r="K9780" s="94"/>
      <c r="M9780" s="94"/>
    </row>
    <row r="9781" s="93" customFormat="1" spans="3:13">
      <c r="C9781" s="94"/>
      <c r="E9781" s="94"/>
      <c r="G9781" s="94"/>
      <c r="I9781" s="94"/>
      <c r="K9781" s="94"/>
      <c r="M9781" s="94"/>
    </row>
    <row r="9782" s="93" customFormat="1" spans="3:13">
      <c r="C9782" s="94"/>
      <c r="E9782" s="94"/>
      <c r="G9782" s="94"/>
      <c r="I9782" s="94"/>
      <c r="K9782" s="94"/>
      <c r="M9782" s="94"/>
    </row>
    <row r="9783" s="93" customFormat="1" spans="3:13">
      <c r="C9783" s="94"/>
      <c r="E9783" s="94"/>
      <c r="G9783" s="94"/>
      <c r="I9783" s="94"/>
      <c r="K9783" s="94"/>
      <c r="M9783" s="94"/>
    </row>
    <row r="9784" s="93" customFormat="1" spans="3:13">
      <c r="C9784" s="94"/>
      <c r="E9784" s="94"/>
      <c r="G9784" s="94"/>
      <c r="I9784" s="94"/>
      <c r="K9784" s="94"/>
      <c r="M9784" s="94"/>
    </row>
    <row r="9785" s="93" customFormat="1" spans="3:13">
      <c r="C9785" s="94"/>
      <c r="E9785" s="94"/>
      <c r="G9785" s="94"/>
      <c r="I9785" s="94"/>
      <c r="K9785" s="94"/>
      <c r="M9785" s="94"/>
    </row>
    <row r="9786" s="93" customFormat="1" spans="3:13">
      <c r="C9786" s="94"/>
      <c r="E9786" s="94"/>
      <c r="G9786" s="94"/>
      <c r="I9786" s="94"/>
      <c r="K9786" s="94"/>
      <c r="M9786" s="94"/>
    </row>
    <row r="9787" s="93" customFormat="1" spans="3:13">
      <c r="C9787" s="94"/>
      <c r="E9787" s="94"/>
      <c r="G9787" s="94"/>
      <c r="I9787" s="94"/>
      <c r="K9787" s="94"/>
      <c r="M9787" s="94"/>
    </row>
    <row r="9788" s="93" customFormat="1" spans="3:13">
      <c r="C9788" s="94"/>
      <c r="E9788" s="94"/>
      <c r="G9788" s="94"/>
      <c r="I9788" s="94"/>
      <c r="K9788" s="94"/>
      <c r="M9788" s="94"/>
    </row>
    <row r="9789" s="93" customFormat="1" spans="3:13">
      <c r="C9789" s="94"/>
      <c r="E9789" s="94"/>
      <c r="G9789" s="94"/>
      <c r="I9789" s="94"/>
      <c r="K9789" s="94"/>
      <c r="M9789" s="94"/>
    </row>
    <row r="9790" s="93" customFormat="1" spans="3:13">
      <c r="C9790" s="94"/>
      <c r="E9790" s="94"/>
      <c r="G9790" s="94"/>
      <c r="I9790" s="94"/>
      <c r="K9790" s="94"/>
      <c r="M9790" s="94"/>
    </row>
    <row r="9791" s="93" customFormat="1" spans="3:13">
      <c r="C9791" s="94"/>
      <c r="E9791" s="94"/>
      <c r="G9791" s="94"/>
      <c r="I9791" s="94"/>
      <c r="K9791" s="94"/>
      <c r="M9791" s="94"/>
    </row>
    <row r="9792" s="93" customFormat="1" spans="3:13">
      <c r="C9792" s="94"/>
      <c r="E9792" s="94"/>
      <c r="G9792" s="94"/>
      <c r="I9792" s="94"/>
      <c r="K9792" s="94"/>
      <c r="M9792" s="94"/>
    </row>
    <row r="9793" s="93" customFormat="1" spans="3:13">
      <c r="C9793" s="94"/>
      <c r="E9793" s="94"/>
      <c r="G9793" s="94"/>
      <c r="I9793" s="94"/>
      <c r="K9793" s="94"/>
      <c r="M9793" s="94"/>
    </row>
    <row r="9794" s="93" customFormat="1" spans="3:13">
      <c r="C9794" s="94"/>
      <c r="E9794" s="94"/>
      <c r="G9794" s="94"/>
      <c r="I9794" s="94"/>
      <c r="K9794" s="94"/>
      <c r="M9794" s="94"/>
    </row>
    <row r="9795" s="93" customFormat="1" spans="3:13">
      <c r="C9795" s="94"/>
      <c r="E9795" s="94"/>
      <c r="G9795" s="94"/>
      <c r="I9795" s="94"/>
      <c r="K9795" s="94"/>
      <c r="M9795" s="94"/>
    </row>
    <row r="9796" s="93" customFormat="1" spans="3:13">
      <c r="C9796" s="94"/>
      <c r="E9796" s="94"/>
      <c r="G9796" s="94"/>
      <c r="I9796" s="94"/>
      <c r="K9796" s="94"/>
      <c r="M9796" s="94"/>
    </row>
    <row r="9797" s="93" customFormat="1" spans="3:13">
      <c r="C9797" s="94"/>
      <c r="E9797" s="94"/>
      <c r="G9797" s="94"/>
      <c r="I9797" s="94"/>
      <c r="K9797" s="94"/>
      <c r="M9797" s="94"/>
    </row>
    <row r="9798" s="93" customFormat="1" spans="3:13">
      <c r="C9798" s="94"/>
      <c r="E9798" s="94"/>
      <c r="G9798" s="94"/>
      <c r="I9798" s="94"/>
      <c r="K9798" s="94"/>
      <c r="M9798" s="94"/>
    </row>
    <row r="9799" s="93" customFormat="1" spans="3:13">
      <c r="C9799" s="94"/>
      <c r="E9799" s="94"/>
      <c r="G9799" s="94"/>
      <c r="I9799" s="94"/>
      <c r="K9799" s="94"/>
      <c r="M9799" s="94"/>
    </row>
    <row r="9800" s="93" customFormat="1" spans="3:13">
      <c r="C9800" s="94"/>
      <c r="E9800" s="94"/>
      <c r="G9800" s="94"/>
      <c r="I9800" s="94"/>
      <c r="K9800" s="94"/>
      <c r="M9800" s="94"/>
    </row>
    <row r="9801" s="93" customFormat="1" spans="3:13">
      <c r="C9801" s="94"/>
      <c r="E9801" s="94"/>
      <c r="G9801" s="94"/>
      <c r="I9801" s="94"/>
      <c r="K9801" s="94"/>
      <c r="M9801" s="94"/>
    </row>
    <row r="9802" s="93" customFormat="1" spans="3:13">
      <c r="C9802" s="94"/>
      <c r="E9802" s="94"/>
      <c r="G9802" s="94"/>
      <c r="I9802" s="94"/>
      <c r="K9802" s="94"/>
      <c r="M9802" s="94"/>
    </row>
    <row r="9803" s="93" customFormat="1" spans="3:13">
      <c r="C9803" s="94"/>
      <c r="E9803" s="94"/>
      <c r="G9803" s="94"/>
      <c r="I9803" s="94"/>
      <c r="K9803" s="94"/>
      <c r="M9803" s="94"/>
    </row>
    <row r="9804" s="93" customFormat="1" spans="3:13">
      <c r="C9804" s="94"/>
      <c r="E9804" s="94"/>
      <c r="G9804" s="94"/>
      <c r="I9804" s="94"/>
      <c r="K9804" s="94"/>
      <c r="M9804" s="94"/>
    </row>
    <row r="9805" s="93" customFormat="1" spans="3:13">
      <c r="C9805" s="94"/>
      <c r="E9805" s="94"/>
      <c r="G9805" s="94"/>
      <c r="I9805" s="94"/>
      <c r="K9805" s="94"/>
      <c r="M9805" s="94"/>
    </row>
    <row r="9806" s="93" customFormat="1" spans="3:13">
      <c r="C9806" s="94"/>
      <c r="E9806" s="94"/>
      <c r="G9806" s="94"/>
      <c r="I9806" s="94"/>
      <c r="K9806" s="94"/>
      <c r="M9806" s="94"/>
    </row>
    <row r="9807" s="93" customFormat="1" spans="3:13">
      <c r="C9807" s="94"/>
      <c r="E9807" s="94"/>
      <c r="G9807" s="94"/>
      <c r="I9807" s="94"/>
      <c r="K9807" s="94"/>
      <c r="M9807" s="94"/>
    </row>
    <row r="9808" s="93" customFormat="1" spans="3:13">
      <c r="C9808" s="94"/>
      <c r="E9808" s="94"/>
      <c r="G9808" s="94"/>
      <c r="I9808" s="94"/>
      <c r="K9808" s="94"/>
      <c r="M9808" s="94"/>
    </row>
    <row r="9809" s="93" customFormat="1" spans="3:13">
      <c r="C9809" s="94"/>
      <c r="E9809" s="94"/>
      <c r="G9809" s="94"/>
      <c r="I9809" s="94"/>
      <c r="K9809" s="94"/>
      <c r="M9809" s="94"/>
    </row>
    <row r="9810" s="93" customFormat="1" spans="3:13">
      <c r="C9810" s="94"/>
      <c r="E9810" s="94"/>
      <c r="G9810" s="94"/>
      <c r="I9810" s="94"/>
      <c r="K9810" s="94"/>
      <c r="M9810" s="94"/>
    </row>
    <row r="9811" s="93" customFormat="1" spans="3:13">
      <c r="C9811" s="94"/>
      <c r="E9811" s="94"/>
      <c r="G9811" s="94"/>
      <c r="I9811" s="94"/>
      <c r="K9811" s="94"/>
      <c r="M9811" s="94"/>
    </row>
    <row r="9812" s="93" customFormat="1" spans="3:13">
      <c r="C9812" s="94"/>
      <c r="E9812" s="94"/>
      <c r="G9812" s="94"/>
      <c r="I9812" s="94"/>
      <c r="K9812" s="94"/>
      <c r="M9812" s="94"/>
    </row>
    <row r="9813" s="93" customFormat="1" spans="3:13">
      <c r="C9813" s="94"/>
      <c r="E9813" s="94"/>
      <c r="G9813" s="94"/>
      <c r="I9813" s="94"/>
      <c r="K9813" s="94"/>
      <c r="M9813" s="94"/>
    </row>
    <row r="9814" s="93" customFormat="1" spans="3:13">
      <c r="C9814" s="94"/>
      <c r="E9814" s="94"/>
      <c r="G9814" s="94"/>
      <c r="I9814" s="94"/>
      <c r="K9814" s="94"/>
      <c r="M9814" s="94"/>
    </row>
    <row r="9815" s="93" customFormat="1" spans="3:13">
      <c r="C9815" s="94"/>
      <c r="E9815" s="94"/>
      <c r="G9815" s="94"/>
      <c r="I9815" s="94"/>
      <c r="K9815" s="94"/>
      <c r="M9815" s="94"/>
    </row>
    <row r="9816" s="93" customFormat="1" spans="3:13">
      <c r="C9816" s="94"/>
      <c r="E9816" s="94"/>
      <c r="G9816" s="94"/>
      <c r="I9816" s="94"/>
      <c r="K9816" s="94"/>
      <c r="M9816" s="94"/>
    </row>
    <row r="9817" s="93" customFormat="1" spans="3:13">
      <c r="C9817" s="94"/>
      <c r="E9817" s="94"/>
      <c r="G9817" s="94"/>
      <c r="I9817" s="94"/>
      <c r="K9817" s="94"/>
      <c r="M9817" s="94"/>
    </row>
    <row r="9818" s="93" customFormat="1" spans="3:13">
      <c r="C9818" s="94"/>
      <c r="E9818" s="94"/>
      <c r="G9818" s="94"/>
      <c r="I9818" s="94"/>
      <c r="K9818" s="94"/>
      <c r="M9818" s="94"/>
    </row>
    <row r="9819" s="93" customFormat="1" spans="3:13">
      <c r="C9819" s="94"/>
      <c r="E9819" s="94"/>
      <c r="G9819" s="94"/>
      <c r="I9819" s="94"/>
      <c r="K9819" s="94"/>
      <c r="M9819" s="94"/>
    </row>
    <row r="9820" s="93" customFormat="1" spans="3:13">
      <c r="C9820" s="94"/>
      <c r="E9820" s="94"/>
      <c r="G9820" s="94"/>
      <c r="I9820" s="94"/>
      <c r="K9820" s="94"/>
      <c r="M9820" s="94"/>
    </row>
    <row r="9821" s="93" customFormat="1" spans="3:13">
      <c r="C9821" s="94"/>
      <c r="E9821" s="94"/>
      <c r="G9821" s="94"/>
      <c r="I9821" s="94"/>
      <c r="K9821" s="94"/>
      <c r="M9821" s="94"/>
    </row>
    <row r="9822" s="93" customFormat="1" spans="3:13">
      <c r="C9822" s="94"/>
      <c r="E9822" s="94"/>
      <c r="G9822" s="94"/>
      <c r="I9822" s="94"/>
      <c r="K9822" s="94"/>
      <c r="M9822" s="94"/>
    </row>
    <row r="9823" s="93" customFormat="1" spans="3:13">
      <c r="C9823" s="94"/>
      <c r="E9823" s="94"/>
      <c r="G9823" s="94"/>
      <c r="I9823" s="94"/>
      <c r="K9823" s="94"/>
      <c r="M9823" s="94"/>
    </row>
    <row r="9824" s="93" customFormat="1" spans="3:13">
      <c r="C9824" s="94"/>
      <c r="E9824" s="94"/>
      <c r="G9824" s="94"/>
      <c r="I9824" s="94"/>
      <c r="K9824" s="94"/>
      <c r="M9824" s="94"/>
    </row>
    <row r="9825" s="93" customFormat="1" spans="3:13">
      <c r="C9825" s="94"/>
      <c r="E9825" s="94"/>
      <c r="G9825" s="94"/>
      <c r="I9825" s="94"/>
      <c r="K9825" s="94"/>
      <c r="M9825" s="94"/>
    </row>
    <row r="9826" s="93" customFormat="1" spans="3:13">
      <c r="C9826" s="94"/>
      <c r="E9826" s="94"/>
      <c r="G9826" s="94"/>
      <c r="I9826" s="94"/>
      <c r="K9826" s="94"/>
      <c r="M9826" s="94"/>
    </row>
    <row r="9827" s="93" customFormat="1" spans="3:13">
      <c r="C9827" s="94"/>
      <c r="E9827" s="94"/>
      <c r="G9827" s="94"/>
      <c r="I9827" s="94"/>
      <c r="K9827" s="94"/>
      <c r="M9827" s="94"/>
    </row>
    <row r="9828" s="93" customFormat="1" spans="3:13">
      <c r="C9828" s="94"/>
      <c r="E9828" s="94"/>
      <c r="G9828" s="94"/>
      <c r="I9828" s="94"/>
      <c r="K9828" s="94"/>
      <c r="M9828" s="94"/>
    </row>
    <row r="9829" s="93" customFormat="1" spans="3:13">
      <c r="C9829" s="94"/>
      <c r="E9829" s="94"/>
      <c r="G9829" s="94"/>
      <c r="I9829" s="94"/>
      <c r="K9829" s="94"/>
      <c r="M9829" s="94"/>
    </row>
    <row r="9830" s="93" customFormat="1" spans="3:13">
      <c r="C9830" s="94"/>
      <c r="E9830" s="94"/>
      <c r="G9830" s="94"/>
      <c r="I9830" s="94"/>
      <c r="K9830" s="94"/>
      <c r="M9830" s="94"/>
    </row>
    <row r="9831" s="93" customFormat="1" spans="3:13">
      <c r="C9831" s="94"/>
      <c r="E9831" s="94"/>
      <c r="G9831" s="94"/>
      <c r="I9831" s="94"/>
      <c r="K9831" s="94"/>
      <c r="M9831" s="94"/>
    </row>
    <row r="9832" s="93" customFormat="1" spans="3:13">
      <c r="C9832" s="94"/>
      <c r="E9832" s="94"/>
      <c r="G9832" s="94"/>
      <c r="I9832" s="94"/>
      <c r="K9832" s="94"/>
      <c r="M9832" s="94"/>
    </row>
    <row r="9833" s="93" customFormat="1" spans="3:13">
      <c r="C9833" s="94"/>
      <c r="E9833" s="94"/>
      <c r="G9833" s="94"/>
      <c r="I9833" s="94"/>
      <c r="K9833" s="94"/>
      <c r="M9833" s="94"/>
    </row>
    <row r="9834" s="93" customFormat="1" spans="3:13">
      <c r="C9834" s="94"/>
      <c r="E9834" s="94"/>
      <c r="G9834" s="94"/>
      <c r="I9834" s="94"/>
      <c r="K9834" s="94"/>
      <c r="M9834" s="94"/>
    </row>
    <row r="9835" s="93" customFormat="1" spans="3:13">
      <c r="C9835" s="94"/>
      <c r="E9835" s="94"/>
      <c r="G9835" s="94"/>
      <c r="I9835" s="94"/>
      <c r="K9835" s="94"/>
      <c r="M9835" s="94"/>
    </row>
    <row r="9836" s="93" customFormat="1" spans="3:13">
      <c r="C9836" s="94"/>
      <c r="E9836" s="94"/>
      <c r="G9836" s="94"/>
      <c r="I9836" s="94"/>
      <c r="K9836" s="94"/>
      <c r="M9836" s="94"/>
    </row>
    <row r="9837" s="93" customFormat="1" spans="3:13">
      <c r="C9837" s="94"/>
      <c r="E9837" s="94"/>
      <c r="G9837" s="94"/>
      <c r="I9837" s="94"/>
      <c r="K9837" s="94"/>
      <c r="M9837" s="94"/>
    </row>
    <row r="9838" s="93" customFormat="1" spans="3:13">
      <c r="C9838" s="94"/>
      <c r="E9838" s="94"/>
      <c r="G9838" s="94"/>
      <c r="I9838" s="94"/>
      <c r="K9838" s="94"/>
      <c r="M9838" s="94"/>
    </row>
    <row r="9839" s="93" customFormat="1" spans="3:13">
      <c r="C9839" s="94"/>
      <c r="E9839" s="94"/>
      <c r="G9839" s="94"/>
      <c r="I9839" s="94"/>
      <c r="K9839" s="94"/>
      <c r="M9839" s="94"/>
    </row>
    <row r="9840" s="93" customFormat="1" spans="3:13">
      <c r="C9840" s="94"/>
      <c r="E9840" s="94"/>
      <c r="G9840" s="94"/>
      <c r="I9840" s="94"/>
      <c r="K9840" s="94"/>
      <c r="M9840" s="94"/>
    </row>
    <row r="9841" s="93" customFormat="1" spans="3:13">
      <c r="C9841" s="94"/>
      <c r="E9841" s="94"/>
      <c r="G9841" s="94"/>
      <c r="I9841" s="94"/>
      <c r="K9841" s="94"/>
      <c r="M9841" s="94"/>
    </row>
    <row r="9842" s="93" customFormat="1" spans="3:13">
      <c r="C9842" s="94"/>
      <c r="E9842" s="94"/>
      <c r="G9842" s="94"/>
      <c r="I9842" s="94"/>
      <c r="K9842" s="94"/>
      <c r="M9842" s="94"/>
    </row>
    <row r="9843" s="93" customFormat="1" spans="3:13">
      <c r="C9843" s="94"/>
      <c r="E9843" s="94"/>
      <c r="G9843" s="94"/>
      <c r="I9843" s="94"/>
      <c r="K9843" s="94"/>
      <c r="M9843" s="94"/>
    </row>
    <row r="9844" s="93" customFormat="1" spans="3:13">
      <c r="C9844" s="94"/>
      <c r="E9844" s="94"/>
      <c r="G9844" s="94"/>
      <c r="I9844" s="94"/>
      <c r="K9844" s="94"/>
      <c r="M9844" s="94"/>
    </row>
    <row r="9845" s="93" customFormat="1" spans="3:13">
      <c r="C9845" s="94"/>
      <c r="E9845" s="94"/>
      <c r="G9845" s="94"/>
      <c r="I9845" s="94"/>
      <c r="K9845" s="94"/>
      <c r="M9845" s="94"/>
    </row>
    <row r="9846" s="93" customFormat="1" spans="3:13">
      <c r="C9846" s="94"/>
      <c r="E9846" s="94"/>
      <c r="G9846" s="94"/>
      <c r="I9846" s="94"/>
      <c r="K9846" s="94"/>
      <c r="M9846" s="94"/>
    </row>
    <row r="9847" s="93" customFormat="1" spans="3:13">
      <c r="C9847" s="94"/>
      <c r="E9847" s="94"/>
      <c r="G9847" s="94"/>
      <c r="I9847" s="94"/>
      <c r="K9847" s="94"/>
      <c r="M9847" s="94"/>
    </row>
    <row r="9848" s="93" customFormat="1" spans="3:13">
      <c r="C9848" s="94"/>
      <c r="E9848" s="94"/>
      <c r="G9848" s="94"/>
      <c r="I9848" s="94"/>
      <c r="K9848" s="94"/>
      <c r="M9848" s="94"/>
    </row>
    <row r="9849" s="93" customFormat="1" spans="3:13">
      <c r="C9849" s="94"/>
      <c r="E9849" s="94"/>
      <c r="G9849" s="94"/>
      <c r="I9849" s="94"/>
      <c r="K9849" s="94"/>
      <c r="M9849" s="94"/>
    </row>
    <row r="9850" s="93" customFormat="1" spans="3:13">
      <c r="C9850" s="94"/>
      <c r="E9850" s="94"/>
      <c r="G9850" s="94"/>
      <c r="I9850" s="94"/>
      <c r="K9850" s="94"/>
      <c r="M9850" s="94"/>
    </row>
    <row r="9851" s="93" customFormat="1" spans="3:13">
      <c r="C9851" s="94"/>
      <c r="E9851" s="94"/>
      <c r="G9851" s="94"/>
      <c r="I9851" s="94"/>
      <c r="K9851" s="94"/>
      <c r="M9851" s="94"/>
    </row>
    <row r="9852" s="93" customFormat="1" spans="3:13">
      <c r="C9852" s="94"/>
      <c r="E9852" s="94"/>
      <c r="G9852" s="94"/>
      <c r="I9852" s="94"/>
      <c r="K9852" s="94"/>
      <c r="M9852" s="94"/>
    </row>
    <row r="9853" s="93" customFormat="1" spans="3:13">
      <c r="C9853" s="94"/>
      <c r="E9853" s="94"/>
      <c r="G9853" s="94"/>
      <c r="I9853" s="94"/>
      <c r="K9853" s="94"/>
      <c r="M9853" s="94"/>
    </row>
    <row r="9854" s="93" customFormat="1" spans="3:13">
      <c r="C9854" s="94"/>
      <c r="E9854" s="94"/>
      <c r="G9854" s="94"/>
      <c r="I9854" s="94"/>
      <c r="K9854" s="94"/>
      <c r="M9854" s="94"/>
    </row>
    <row r="9855" s="93" customFormat="1" spans="3:13">
      <c r="C9855" s="94"/>
      <c r="E9855" s="94"/>
      <c r="G9855" s="94"/>
      <c r="I9855" s="94"/>
      <c r="K9855" s="94"/>
      <c r="M9855" s="94"/>
    </row>
    <row r="9856" s="93" customFormat="1" spans="3:13">
      <c r="C9856" s="94"/>
      <c r="E9856" s="94"/>
      <c r="G9856" s="94"/>
      <c r="I9856" s="94"/>
      <c r="K9856" s="94"/>
      <c r="M9856" s="94"/>
    </row>
    <row r="9857" s="93" customFormat="1" spans="3:13">
      <c r="C9857" s="94"/>
      <c r="E9857" s="94"/>
      <c r="G9857" s="94"/>
      <c r="I9857" s="94"/>
      <c r="K9857" s="94"/>
      <c r="M9857" s="94"/>
    </row>
    <row r="9858" s="93" customFormat="1" spans="3:13">
      <c r="C9858" s="94"/>
      <c r="E9858" s="94"/>
      <c r="G9858" s="94"/>
      <c r="I9858" s="94"/>
      <c r="K9858" s="94"/>
      <c r="M9858" s="94"/>
    </row>
    <row r="9859" s="93" customFormat="1" spans="3:13">
      <c r="C9859" s="94"/>
      <c r="E9859" s="94"/>
      <c r="G9859" s="94"/>
      <c r="I9859" s="94"/>
      <c r="K9859" s="94"/>
      <c r="M9859" s="94"/>
    </row>
    <row r="9860" s="93" customFormat="1" spans="3:13">
      <c r="C9860" s="94"/>
      <c r="E9860" s="94"/>
      <c r="G9860" s="94"/>
      <c r="I9860" s="94"/>
      <c r="K9860" s="94"/>
      <c r="M9860" s="94"/>
    </row>
    <row r="9861" s="93" customFormat="1" spans="3:13">
      <c r="C9861" s="94"/>
      <c r="E9861" s="94"/>
      <c r="G9861" s="94"/>
      <c r="I9861" s="94"/>
      <c r="K9861" s="94"/>
      <c r="M9861" s="94"/>
    </row>
    <row r="9862" s="93" customFormat="1" spans="3:13">
      <c r="C9862" s="94"/>
      <c r="E9862" s="94"/>
      <c r="G9862" s="94"/>
      <c r="I9862" s="94"/>
      <c r="K9862" s="94"/>
      <c r="M9862" s="94"/>
    </row>
    <row r="9863" s="93" customFormat="1" spans="3:13">
      <c r="C9863" s="94"/>
      <c r="E9863" s="94"/>
      <c r="G9863" s="94"/>
      <c r="I9863" s="94"/>
      <c r="K9863" s="94"/>
      <c r="M9863" s="94"/>
    </row>
    <row r="9864" s="93" customFormat="1" spans="3:13">
      <c r="C9864" s="94"/>
      <c r="E9864" s="94"/>
      <c r="G9864" s="94"/>
      <c r="I9864" s="94"/>
      <c r="K9864" s="94"/>
      <c r="M9864" s="94"/>
    </row>
    <row r="9865" s="93" customFormat="1" spans="3:13">
      <c r="C9865" s="94"/>
      <c r="E9865" s="94"/>
      <c r="G9865" s="94"/>
      <c r="I9865" s="94"/>
      <c r="K9865" s="94"/>
      <c r="M9865" s="94"/>
    </row>
    <row r="9866" s="93" customFormat="1" spans="3:13">
      <c r="C9866" s="94"/>
      <c r="E9866" s="94"/>
      <c r="G9866" s="94"/>
      <c r="I9866" s="94"/>
      <c r="K9866" s="94"/>
      <c r="M9866" s="94"/>
    </row>
    <row r="9867" s="93" customFormat="1" spans="3:13">
      <c r="C9867" s="94"/>
      <c r="E9867" s="94"/>
      <c r="G9867" s="94"/>
      <c r="I9867" s="94"/>
      <c r="K9867" s="94"/>
      <c r="M9867" s="94"/>
    </row>
    <row r="9868" s="93" customFormat="1" spans="3:13">
      <c r="C9868" s="94"/>
      <c r="E9868" s="94"/>
      <c r="G9868" s="94"/>
      <c r="I9868" s="94"/>
      <c r="K9868" s="94"/>
      <c r="M9868" s="94"/>
    </row>
    <row r="9869" s="93" customFormat="1" spans="3:13">
      <c r="C9869" s="94"/>
      <c r="E9869" s="94"/>
      <c r="G9869" s="94"/>
      <c r="I9869" s="94"/>
      <c r="K9869" s="94"/>
      <c r="M9869" s="94"/>
    </row>
    <row r="9870" s="93" customFormat="1" spans="3:13">
      <c r="C9870" s="94"/>
      <c r="E9870" s="94"/>
      <c r="G9870" s="94"/>
      <c r="I9870" s="94"/>
      <c r="K9870" s="94"/>
      <c r="M9870" s="94"/>
    </row>
    <row r="9871" s="93" customFormat="1" spans="3:13">
      <c r="C9871" s="94"/>
      <c r="E9871" s="94"/>
      <c r="G9871" s="94"/>
      <c r="I9871" s="94"/>
      <c r="K9871" s="94"/>
      <c r="M9871" s="94"/>
    </row>
    <row r="9872" s="93" customFormat="1" spans="3:13">
      <c r="C9872" s="94"/>
      <c r="E9872" s="94"/>
      <c r="G9872" s="94"/>
      <c r="I9872" s="94"/>
      <c r="K9872" s="94"/>
      <c r="M9872" s="94"/>
    </row>
    <row r="9873" s="93" customFormat="1" spans="3:13">
      <c r="C9873" s="94"/>
      <c r="E9873" s="94"/>
      <c r="G9873" s="94"/>
      <c r="I9873" s="94"/>
      <c r="K9873" s="94"/>
      <c r="M9873" s="94"/>
    </row>
    <row r="9874" s="93" customFormat="1" spans="3:13">
      <c r="C9874" s="94"/>
      <c r="E9874" s="94"/>
      <c r="G9874" s="94"/>
      <c r="I9874" s="94"/>
      <c r="K9874" s="94"/>
      <c r="M9874" s="94"/>
    </row>
    <row r="9875" s="93" customFormat="1" spans="3:13">
      <c r="C9875" s="94"/>
      <c r="E9875" s="94"/>
      <c r="G9875" s="94"/>
      <c r="I9875" s="94"/>
      <c r="K9875" s="94"/>
      <c r="M9875" s="94"/>
    </row>
    <row r="9876" s="93" customFormat="1" spans="3:13">
      <c r="C9876" s="94"/>
      <c r="E9876" s="94"/>
      <c r="G9876" s="94"/>
      <c r="I9876" s="94"/>
      <c r="K9876" s="94"/>
      <c r="M9876" s="94"/>
    </row>
    <row r="9877" s="93" customFormat="1" spans="3:13">
      <c r="C9877" s="94"/>
      <c r="E9877" s="94"/>
      <c r="G9877" s="94"/>
      <c r="I9877" s="94"/>
      <c r="K9877" s="94"/>
      <c r="M9877" s="94"/>
    </row>
    <row r="9878" s="93" customFormat="1" spans="3:13">
      <c r="C9878" s="94"/>
      <c r="E9878" s="94"/>
      <c r="G9878" s="94"/>
      <c r="I9878" s="94"/>
      <c r="K9878" s="94"/>
      <c r="M9878" s="94"/>
    </row>
    <row r="9879" s="93" customFormat="1" spans="3:13">
      <c r="C9879" s="94"/>
      <c r="E9879" s="94"/>
      <c r="G9879" s="94"/>
      <c r="I9879" s="94"/>
      <c r="K9879" s="94"/>
      <c r="M9879" s="94"/>
    </row>
    <row r="9880" s="93" customFormat="1" spans="3:13">
      <c r="C9880" s="94"/>
      <c r="E9880" s="94"/>
      <c r="G9880" s="94"/>
      <c r="I9880" s="94"/>
      <c r="K9880" s="94"/>
      <c r="M9880" s="94"/>
    </row>
    <row r="9881" s="93" customFormat="1" spans="3:13">
      <c r="C9881" s="94"/>
      <c r="E9881" s="94"/>
      <c r="G9881" s="94"/>
      <c r="I9881" s="94"/>
      <c r="K9881" s="94"/>
      <c r="M9881" s="94"/>
    </row>
    <row r="9882" s="93" customFormat="1" spans="3:13">
      <c r="C9882" s="94"/>
      <c r="E9882" s="94"/>
      <c r="G9882" s="94"/>
      <c r="I9882" s="94"/>
      <c r="K9882" s="94"/>
      <c r="M9882" s="94"/>
    </row>
    <row r="9883" s="93" customFormat="1" spans="3:13">
      <c r="C9883" s="94"/>
      <c r="E9883" s="94"/>
      <c r="G9883" s="94"/>
      <c r="I9883" s="94"/>
      <c r="K9883" s="94"/>
      <c r="M9883" s="94"/>
    </row>
    <row r="9884" s="93" customFormat="1" spans="3:13">
      <c r="C9884" s="94"/>
      <c r="E9884" s="94"/>
      <c r="G9884" s="94"/>
      <c r="I9884" s="94"/>
      <c r="K9884" s="94"/>
      <c r="M9884" s="94"/>
    </row>
    <row r="9885" s="93" customFormat="1" spans="3:13">
      <c r="C9885" s="94"/>
      <c r="E9885" s="94"/>
      <c r="G9885" s="94"/>
      <c r="I9885" s="94"/>
      <c r="K9885" s="94"/>
      <c r="M9885" s="94"/>
    </row>
    <row r="9886" s="93" customFormat="1" spans="3:13">
      <c r="C9886" s="94"/>
      <c r="E9886" s="94"/>
      <c r="G9886" s="94"/>
      <c r="I9886" s="94"/>
      <c r="K9886" s="94"/>
      <c r="M9886" s="94"/>
    </row>
    <row r="9887" s="93" customFormat="1" spans="3:13">
      <c r="C9887" s="94"/>
      <c r="E9887" s="94"/>
      <c r="G9887" s="94"/>
      <c r="I9887" s="94"/>
      <c r="K9887" s="94"/>
      <c r="M9887" s="94"/>
    </row>
    <row r="9888" s="93" customFormat="1" spans="3:13">
      <c r="C9888" s="94"/>
      <c r="E9888" s="94"/>
      <c r="G9888" s="94"/>
      <c r="I9888" s="94"/>
      <c r="K9888" s="94"/>
      <c r="M9888" s="94"/>
    </row>
    <row r="9889" s="93" customFormat="1" spans="3:13">
      <c r="C9889" s="94"/>
      <c r="E9889" s="94"/>
      <c r="G9889" s="94"/>
      <c r="I9889" s="94"/>
      <c r="K9889" s="94"/>
      <c r="M9889" s="94"/>
    </row>
    <row r="9890" s="93" customFormat="1" spans="3:13">
      <c r="C9890" s="94"/>
      <c r="E9890" s="94"/>
      <c r="G9890" s="94"/>
      <c r="I9890" s="94"/>
      <c r="K9890" s="94"/>
      <c r="M9890" s="94"/>
    </row>
    <row r="9891" s="93" customFormat="1" spans="3:13">
      <c r="C9891" s="94"/>
      <c r="E9891" s="94"/>
      <c r="G9891" s="94"/>
      <c r="I9891" s="94"/>
      <c r="K9891" s="94"/>
      <c r="M9891" s="94"/>
    </row>
    <row r="9892" s="93" customFormat="1" spans="3:13">
      <c r="C9892" s="94"/>
      <c r="E9892" s="94"/>
      <c r="G9892" s="94"/>
      <c r="I9892" s="94"/>
      <c r="K9892" s="94"/>
      <c r="M9892" s="94"/>
    </row>
    <row r="9893" s="93" customFormat="1" spans="3:13">
      <c r="C9893" s="94"/>
      <c r="E9893" s="94"/>
      <c r="G9893" s="94"/>
      <c r="I9893" s="94"/>
      <c r="K9893" s="94"/>
      <c r="M9893" s="94"/>
    </row>
    <row r="9894" s="93" customFormat="1" spans="3:13">
      <c r="C9894" s="94"/>
      <c r="E9894" s="94"/>
      <c r="G9894" s="94"/>
      <c r="I9894" s="94"/>
      <c r="K9894" s="94"/>
      <c r="M9894" s="94"/>
    </row>
    <row r="9895" s="93" customFormat="1" spans="3:13">
      <c r="C9895" s="94"/>
      <c r="E9895" s="94"/>
      <c r="G9895" s="94"/>
      <c r="I9895" s="94"/>
      <c r="K9895" s="94"/>
      <c r="M9895" s="94"/>
    </row>
    <row r="9896" s="93" customFormat="1" spans="3:13">
      <c r="C9896" s="94"/>
      <c r="E9896" s="94"/>
      <c r="G9896" s="94"/>
      <c r="I9896" s="94"/>
      <c r="K9896" s="94"/>
      <c r="M9896" s="94"/>
    </row>
    <row r="9897" s="93" customFormat="1" spans="3:13">
      <c r="C9897" s="94"/>
      <c r="E9897" s="94"/>
      <c r="G9897" s="94"/>
      <c r="I9897" s="94"/>
      <c r="K9897" s="94"/>
      <c r="M9897" s="94"/>
    </row>
    <row r="9898" s="93" customFormat="1" spans="3:13">
      <c r="C9898" s="94"/>
      <c r="E9898" s="94"/>
      <c r="G9898" s="94"/>
      <c r="I9898" s="94"/>
      <c r="K9898" s="94"/>
      <c r="M9898" s="94"/>
    </row>
    <row r="9899" s="93" customFormat="1" spans="3:13">
      <c r="C9899" s="94"/>
      <c r="E9899" s="94"/>
      <c r="G9899" s="94"/>
      <c r="I9899" s="94"/>
      <c r="K9899" s="94"/>
      <c r="M9899" s="94"/>
    </row>
    <row r="9900" s="93" customFormat="1" spans="3:13">
      <c r="C9900" s="94"/>
      <c r="E9900" s="94"/>
      <c r="G9900" s="94"/>
      <c r="I9900" s="94"/>
      <c r="K9900" s="94"/>
      <c r="M9900" s="94"/>
    </row>
    <row r="9901" s="93" customFormat="1" spans="3:13">
      <c r="C9901" s="94"/>
      <c r="E9901" s="94"/>
      <c r="G9901" s="94"/>
      <c r="I9901" s="94"/>
      <c r="K9901" s="94"/>
      <c r="M9901" s="94"/>
    </row>
    <row r="9902" s="93" customFormat="1" spans="3:13">
      <c r="C9902" s="94"/>
      <c r="E9902" s="94"/>
      <c r="G9902" s="94"/>
      <c r="I9902" s="94"/>
      <c r="K9902" s="94"/>
      <c r="M9902" s="94"/>
    </row>
    <row r="9903" s="93" customFormat="1" spans="3:13">
      <c r="C9903" s="94"/>
      <c r="E9903" s="94"/>
      <c r="G9903" s="94"/>
      <c r="I9903" s="94"/>
      <c r="K9903" s="94"/>
      <c r="M9903" s="94"/>
    </row>
    <row r="9904" s="93" customFormat="1" spans="3:13">
      <c r="C9904" s="94"/>
      <c r="E9904" s="94"/>
      <c r="G9904" s="94"/>
      <c r="I9904" s="94"/>
      <c r="K9904" s="94"/>
      <c r="M9904" s="94"/>
    </row>
    <row r="9905" s="93" customFormat="1" spans="3:13">
      <c r="C9905" s="94"/>
      <c r="E9905" s="94"/>
      <c r="G9905" s="94"/>
      <c r="I9905" s="94"/>
      <c r="K9905" s="94"/>
      <c r="M9905" s="94"/>
    </row>
    <row r="9906" s="93" customFormat="1" spans="3:13">
      <c r="C9906" s="94"/>
      <c r="E9906" s="94"/>
      <c r="G9906" s="94"/>
      <c r="I9906" s="94"/>
      <c r="K9906" s="94"/>
      <c r="M9906" s="94"/>
    </row>
    <row r="9907" s="93" customFormat="1" spans="3:13">
      <c r="C9907" s="94"/>
      <c r="E9907" s="94"/>
      <c r="G9907" s="94"/>
      <c r="I9907" s="94"/>
      <c r="K9907" s="94"/>
      <c r="M9907" s="94"/>
    </row>
    <row r="9908" s="93" customFormat="1" spans="3:13">
      <c r="C9908" s="94"/>
      <c r="E9908" s="94"/>
      <c r="G9908" s="94"/>
      <c r="I9908" s="94"/>
      <c r="K9908" s="94"/>
      <c r="M9908" s="94"/>
    </row>
    <row r="9909" s="93" customFormat="1" spans="3:13">
      <c r="C9909" s="94"/>
      <c r="E9909" s="94"/>
      <c r="G9909" s="94"/>
      <c r="I9909" s="94"/>
      <c r="K9909" s="94"/>
      <c r="M9909" s="94"/>
    </row>
    <row r="9910" s="93" customFormat="1" spans="3:13">
      <c r="C9910" s="94"/>
      <c r="E9910" s="94"/>
      <c r="G9910" s="94"/>
      <c r="I9910" s="94"/>
      <c r="K9910" s="94"/>
      <c r="M9910" s="94"/>
    </row>
    <row r="9911" s="93" customFormat="1" spans="3:13">
      <c r="C9911" s="94"/>
      <c r="E9911" s="94"/>
      <c r="G9911" s="94"/>
      <c r="I9911" s="94"/>
      <c r="K9911" s="94"/>
      <c r="M9911" s="94"/>
    </row>
    <row r="9912" s="93" customFormat="1" spans="3:13">
      <c r="C9912" s="94"/>
      <c r="E9912" s="94"/>
      <c r="G9912" s="94"/>
      <c r="I9912" s="94"/>
      <c r="K9912" s="94"/>
      <c r="M9912" s="94"/>
    </row>
    <row r="9913" s="93" customFormat="1" spans="3:13">
      <c r="C9913" s="94"/>
      <c r="E9913" s="94"/>
      <c r="G9913" s="94"/>
      <c r="I9913" s="94"/>
      <c r="K9913" s="94"/>
      <c r="M9913" s="94"/>
    </row>
    <row r="9914" s="93" customFormat="1" spans="3:13">
      <c r="C9914" s="94"/>
      <c r="E9914" s="94"/>
      <c r="G9914" s="94"/>
      <c r="I9914" s="94"/>
      <c r="K9914" s="94"/>
      <c r="M9914" s="94"/>
    </row>
    <row r="9915" s="93" customFormat="1" spans="3:13">
      <c r="C9915" s="94"/>
      <c r="E9915" s="94"/>
      <c r="G9915" s="94"/>
      <c r="I9915" s="94"/>
      <c r="K9915" s="94"/>
      <c r="M9915" s="94"/>
    </row>
    <row r="9916" s="93" customFormat="1" spans="3:13">
      <c r="C9916" s="94"/>
      <c r="E9916" s="94"/>
      <c r="G9916" s="94"/>
      <c r="I9916" s="94"/>
      <c r="K9916" s="94"/>
      <c r="M9916" s="94"/>
    </row>
    <row r="9917" s="93" customFormat="1" spans="3:13">
      <c r="C9917" s="94"/>
      <c r="E9917" s="94"/>
      <c r="G9917" s="94"/>
      <c r="I9917" s="94"/>
      <c r="K9917" s="94"/>
      <c r="M9917" s="94"/>
    </row>
    <row r="9918" s="93" customFormat="1" spans="3:13">
      <c r="C9918" s="94"/>
      <c r="E9918" s="94"/>
      <c r="G9918" s="94"/>
      <c r="I9918" s="94"/>
      <c r="K9918" s="94"/>
      <c r="M9918" s="94"/>
    </row>
    <row r="9919" s="93" customFormat="1" spans="3:13">
      <c r="C9919" s="94"/>
      <c r="E9919" s="94"/>
      <c r="G9919" s="94"/>
      <c r="I9919" s="94"/>
      <c r="K9919" s="94"/>
      <c r="M9919" s="94"/>
    </row>
    <row r="9920" s="93" customFormat="1" spans="3:13">
      <c r="C9920" s="94"/>
      <c r="E9920" s="94"/>
      <c r="G9920" s="94"/>
      <c r="I9920" s="94"/>
      <c r="K9920" s="94"/>
      <c r="M9920" s="94"/>
    </row>
    <row r="9921" s="93" customFormat="1" spans="3:13">
      <c r="C9921" s="94"/>
      <c r="E9921" s="94"/>
      <c r="G9921" s="94"/>
      <c r="I9921" s="94"/>
      <c r="K9921" s="94"/>
      <c r="M9921" s="94"/>
    </row>
    <row r="9922" s="93" customFormat="1" spans="3:13">
      <c r="C9922" s="94"/>
      <c r="E9922" s="94"/>
      <c r="G9922" s="94"/>
      <c r="I9922" s="94"/>
      <c r="K9922" s="94"/>
      <c r="M9922" s="94"/>
    </row>
    <row r="9923" s="93" customFormat="1" spans="3:13">
      <c r="C9923" s="94"/>
      <c r="E9923" s="94"/>
      <c r="G9923" s="94"/>
      <c r="I9923" s="94"/>
      <c r="K9923" s="94"/>
      <c r="M9923" s="94"/>
    </row>
    <row r="9924" s="93" customFormat="1" spans="3:13">
      <c r="C9924" s="94"/>
      <c r="E9924" s="94"/>
      <c r="G9924" s="94"/>
      <c r="I9924" s="94"/>
      <c r="K9924" s="94"/>
      <c r="M9924" s="94"/>
    </row>
    <row r="9925" s="93" customFormat="1" spans="3:13">
      <c r="C9925" s="94"/>
      <c r="E9925" s="94"/>
      <c r="G9925" s="94"/>
      <c r="I9925" s="94"/>
      <c r="K9925" s="94"/>
      <c r="M9925" s="94"/>
    </row>
    <row r="9926" s="93" customFormat="1" spans="3:13">
      <c r="C9926" s="94"/>
      <c r="E9926" s="94"/>
      <c r="G9926" s="94"/>
      <c r="I9926" s="94"/>
      <c r="K9926" s="94"/>
      <c r="M9926" s="94"/>
    </row>
    <row r="9927" s="93" customFormat="1" spans="3:13">
      <c r="C9927" s="94"/>
      <c r="E9927" s="94"/>
      <c r="G9927" s="94"/>
      <c r="I9927" s="94"/>
      <c r="K9927" s="94"/>
      <c r="M9927" s="94"/>
    </row>
    <row r="9928" s="93" customFormat="1" spans="3:13">
      <c r="C9928" s="94"/>
      <c r="E9928" s="94"/>
      <c r="G9928" s="94"/>
      <c r="I9928" s="94"/>
      <c r="K9928" s="94"/>
      <c r="M9928" s="94"/>
    </row>
    <row r="9929" s="93" customFormat="1" spans="3:13">
      <c r="C9929" s="94"/>
      <c r="E9929" s="94"/>
      <c r="G9929" s="94"/>
      <c r="I9929" s="94"/>
      <c r="K9929" s="94"/>
      <c r="M9929" s="94"/>
    </row>
    <row r="9930" s="93" customFormat="1" spans="3:13">
      <c r="C9930" s="94"/>
      <c r="E9930" s="94"/>
      <c r="G9930" s="94"/>
      <c r="I9930" s="94"/>
      <c r="K9930" s="94"/>
      <c r="M9930" s="94"/>
    </row>
    <row r="9931" s="93" customFormat="1" spans="3:13">
      <c r="C9931" s="94"/>
      <c r="E9931" s="94"/>
      <c r="G9931" s="94"/>
      <c r="I9931" s="94"/>
      <c r="K9931" s="94"/>
      <c r="M9931" s="94"/>
    </row>
    <row r="9932" s="93" customFormat="1" spans="3:13">
      <c r="C9932" s="94"/>
      <c r="E9932" s="94"/>
      <c r="G9932" s="94"/>
      <c r="I9932" s="94"/>
      <c r="K9932" s="94"/>
      <c r="M9932" s="94"/>
    </row>
    <row r="9933" s="93" customFormat="1" spans="3:13">
      <c r="C9933" s="94"/>
      <c r="E9933" s="94"/>
      <c r="G9933" s="94"/>
      <c r="I9933" s="94"/>
      <c r="K9933" s="94"/>
      <c r="M9933" s="94"/>
    </row>
    <row r="9934" s="93" customFormat="1" spans="3:13">
      <c r="C9934" s="94"/>
      <c r="E9934" s="94"/>
      <c r="G9934" s="94"/>
      <c r="I9934" s="94"/>
      <c r="K9934" s="94"/>
      <c r="M9934" s="94"/>
    </row>
    <row r="9935" s="93" customFormat="1" spans="3:13">
      <c r="C9935" s="94"/>
      <c r="E9935" s="94"/>
      <c r="G9935" s="94"/>
      <c r="I9935" s="94"/>
      <c r="K9935" s="94"/>
      <c r="M9935" s="94"/>
    </row>
    <row r="9936" s="93" customFormat="1" spans="3:13">
      <c r="C9936" s="94"/>
      <c r="E9936" s="94"/>
      <c r="G9936" s="94"/>
      <c r="I9936" s="94"/>
      <c r="K9936" s="94"/>
      <c r="M9936" s="94"/>
    </row>
    <row r="9937" s="93" customFormat="1" spans="3:13">
      <c r="C9937" s="94"/>
      <c r="E9937" s="94"/>
      <c r="G9937" s="94"/>
      <c r="I9937" s="94"/>
      <c r="K9937" s="94"/>
      <c r="M9937" s="94"/>
    </row>
    <row r="9938" s="93" customFormat="1" spans="3:13">
      <c r="C9938" s="94"/>
      <c r="E9938" s="94"/>
      <c r="G9938" s="94"/>
      <c r="I9938" s="94"/>
      <c r="K9938" s="94"/>
      <c r="M9938" s="94"/>
    </row>
    <row r="9939" s="93" customFormat="1" spans="3:13">
      <c r="C9939" s="94"/>
      <c r="E9939" s="94"/>
      <c r="G9939" s="94"/>
      <c r="I9939" s="94"/>
      <c r="K9939" s="94"/>
      <c r="M9939" s="94"/>
    </row>
    <row r="9940" s="93" customFormat="1" spans="3:13">
      <c r="C9940" s="94"/>
      <c r="E9940" s="94"/>
      <c r="G9940" s="94"/>
      <c r="I9940" s="94"/>
      <c r="K9940" s="94"/>
      <c r="M9940" s="94"/>
    </row>
    <row r="9941" s="93" customFormat="1" spans="3:13">
      <c r="C9941" s="94"/>
      <c r="E9941" s="94"/>
      <c r="G9941" s="94"/>
      <c r="I9941" s="94"/>
      <c r="K9941" s="94"/>
      <c r="M9941" s="94"/>
    </row>
    <row r="9942" s="93" customFormat="1" spans="3:13">
      <c r="C9942" s="94"/>
      <c r="E9942" s="94"/>
      <c r="G9942" s="94"/>
      <c r="I9942" s="94"/>
      <c r="K9942" s="94"/>
      <c r="M9942" s="94"/>
    </row>
    <row r="9943" s="93" customFormat="1" spans="3:13">
      <c r="C9943" s="94"/>
      <c r="E9943" s="94"/>
      <c r="G9943" s="94"/>
      <c r="I9943" s="94"/>
      <c r="K9943" s="94"/>
      <c r="M9943" s="94"/>
    </row>
    <row r="9944" s="93" customFormat="1" spans="3:13">
      <c r="C9944" s="94"/>
      <c r="E9944" s="94"/>
      <c r="G9944" s="94"/>
      <c r="I9944" s="94"/>
      <c r="K9944" s="94"/>
      <c r="M9944" s="94"/>
    </row>
    <row r="9945" s="93" customFormat="1" spans="3:13">
      <c r="C9945" s="94"/>
      <c r="E9945" s="94"/>
      <c r="G9945" s="94"/>
      <c r="I9945" s="94"/>
      <c r="K9945" s="94"/>
      <c r="M9945" s="94"/>
    </row>
    <row r="9946" s="93" customFormat="1" spans="3:13">
      <c r="C9946" s="94"/>
      <c r="E9946" s="94"/>
      <c r="G9946" s="94"/>
      <c r="I9946" s="94"/>
      <c r="K9946" s="94"/>
      <c r="M9946" s="94"/>
    </row>
    <row r="9947" s="93" customFormat="1" spans="3:13">
      <c r="C9947" s="94"/>
      <c r="E9947" s="94"/>
      <c r="G9947" s="94"/>
      <c r="I9947" s="94"/>
      <c r="K9947" s="94"/>
      <c r="M9947" s="94"/>
    </row>
    <row r="9948" s="93" customFormat="1" spans="3:13">
      <c r="C9948" s="94"/>
      <c r="E9948" s="94"/>
      <c r="G9948" s="94"/>
      <c r="I9948" s="94"/>
      <c r="K9948" s="94"/>
      <c r="M9948" s="94"/>
    </row>
    <row r="9949" s="93" customFormat="1" spans="3:13">
      <c r="C9949" s="94"/>
      <c r="E9949" s="94"/>
      <c r="G9949" s="94"/>
      <c r="I9949" s="94"/>
      <c r="K9949" s="94"/>
      <c r="M9949" s="94"/>
    </row>
    <row r="9950" s="93" customFormat="1" spans="3:13">
      <c r="C9950" s="94"/>
      <c r="E9950" s="94"/>
      <c r="G9950" s="94"/>
      <c r="I9950" s="94"/>
      <c r="K9950" s="94"/>
      <c r="M9950" s="94"/>
    </row>
    <row r="9951" s="93" customFormat="1" spans="3:13">
      <c r="C9951" s="94"/>
      <c r="E9951" s="94"/>
      <c r="G9951" s="94"/>
      <c r="I9951" s="94"/>
      <c r="K9951" s="94"/>
      <c r="M9951" s="94"/>
    </row>
    <row r="9952" s="93" customFormat="1" spans="3:13">
      <c r="C9952" s="94"/>
      <c r="E9952" s="94"/>
      <c r="G9952" s="94"/>
      <c r="I9952" s="94"/>
      <c r="K9952" s="94"/>
      <c r="M9952" s="94"/>
    </row>
    <row r="9953" s="93" customFormat="1" spans="3:13">
      <c r="C9953" s="94"/>
      <c r="E9953" s="94"/>
      <c r="G9953" s="94"/>
      <c r="I9953" s="94"/>
      <c r="K9953" s="94"/>
      <c r="M9953" s="94"/>
    </row>
    <row r="9954" s="93" customFormat="1" spans="3:13">
      <c r="C9954" s="94"/>
      <c r="E9954" s="94"/>
      <c r="G9954" s="94"/>
      <c r="I9954" s="94"/>
      <c r="K9954" s="94"/>
      <c r="M9954" s="94"/>
    </row>
    <row r="9955" s="93" customFormat="1" spans="3:13">
      <c r="C9955" s="94"/>
      <c r="E9955" s="94"/>
      <c r="G9955" s="94"/>
      <c r="I9955" s="94"/>
      <c r="K9955" s="94"/>
      <c r="M9955" s="94"/>
    </row>
    <row r="9956" s="93" customFormat="1" spans="3:13">
      <c r="C9956" s="94"/>
      <c r="E9956" s="94"/>
      <c r="G9956" s="94"/>
      <c r="I9956" s="94"/>
      <c r="K9956" s="94"/>
      <c r="M9956" s="94"/>
    </row>
    <row r="9957" s="93" customFormat="1" spans="3:13">
      <c r="C9957" s="94"/>
      <c r="E9957" s="94"/>
      <c r="G9957" s="94"/>
      <c r="I9957" s="94"/>
      <c r="K9957" s="94"/>
      <c r="M9957" s="94"/>
    </row>
    <row r="9958" s="93" customFormat="1" spans="3:13">
      <c r="C9958" s="94"/>
      <c r="E9958" s="94"/>
      <c r="G9958" s="94"/>
      <c r="I9958" s="94"/>
      <c r="K9958" s="94"/>
      <c r="M9958" s="94"/>
    </row>
    <row r="9959" s="93" customFormat="1" spans="3:13">
      <c r="C9959" s="94"/>
      <c r="E9959" s="94"/>
      <c r="G9959" s="94"/>
      <c r="I9959" s="94"/>
      <c r="K9959" s="94"/>
      <c r="M9959" s="94"/>
    </row>
    <row r="9960" s="93" customFormat="1" spans="3:13">
      <c r="C9960" s="94"/>
      <c r="E9960" s="94"/>
      <c r="G9960" s="94"/>
      <c r="I9960" s="94"/>
      <c r="K9960" s="94"/>
      <c r="M9960" s="94"/>
    </row>
    <row r="9961" s="93" customFormat="1" spans="3:13">
      <c r="C9961" s="94"/>
      <c r="E9961" s="94"/>
      <c r="G9961" s="94"/>
      <c r="I9961" s="94"/>
      <c r="K9961" s="94"/>
      <c r="M9961" s="94"/>
    </row>
    <row r="9962" s="93" customFormat="1" spans="3:13">
      <c r="C9962" s="94"/>
      <c r="E9962" s="94"/>
      <c r="G9962" s="94"/>
      <c r="I9962" s="94"/>
      <c r="K9962" s="94"/>
      <c r="M9962" s="94"/>
    </row>
    <row r="9963" s="93" customFormat="1" spans="3:13">
      <c r="C9963" s="94"/>
      <c r="E9963" s="94"/>
      <c r="G9963" s="94"/>
      <c r="I9963" s="94"/>
      <c r="K9963" s="94"/>
      <c r="M9963" s="94"/>
    </row>
    <row r="9964" s="93" customFormat="1" spans="3:13">
      <c r="C9964" s="94"/>
      <c r="E9964" s="94"/>
      <c r="G9964" s="94"/>
      <c r="I9964" s="94"/>
      <c r="K9964" s="94"/>
      <c r="M9964" s="94"/>
    </row>
    <row r="9965" s="93" customFormat="1" spans="3:13">
      <c r="C9965" s="94"/>
      <c r="E9965" s="94"/>
      <c r="G9965" s="94"/>
      <c r="I9965" s="94"/>
      <c r="K9965" s="94"/>
      <c r="M9965" s="94"/>
    </row>
    <row r="9966" s="93" customFormat="1" spans="3:13">
      <c r="C9966" s="94"/>
      <c r="E9966" s="94"/>
      <c r="G9966" s="94"/>
      <c r="I9966" s="94"/>
      <c r="K9966" s="94"/>
      <c r="M9966" s="94"/>
    </row>
    <row r="9967" s="93" customFormat="1" spans="3:13">
      <c r="C9967" s="94"/>
      <c r="E9967" s="94"/>
      <c r="G9967" s="94"/>
      <c r="I9967" s="94"/>
      <c r="K9967" s="94"/>
      <c r="M9967" s="94"/>
    </row>
    <row r="9968" s="93" customFormat="1" spans="3:13">
      <c r="C9968" s="94"/>
      <c r="E9968" s="94"/>
      <c r="G9968" s="94"/>
      <c r="I9968" s="94"/>
      <c r="K9968" s="94"/>
      <c r="M9968" s="94"/>
    </row>
    <row r="9969" s="93" customFormat="1" spans="3:13">
      <c r="C9969" s="94"/>
      <c r="E9969" s="94"/>
      <c r="G9969" s="94"/>
      <c r="I9969" s="94"/>
      <c r="K9969" s="94"/>
      <c r="M9969" s="94"/>
    </row>
    <row r="9970" s="93" customFormat="1" spans="3:13">
      <c r="C9970" s="94"/>
      <c r="E9970" s="94"/>
      <c r="G9970" s="94"/>
      <c r="I9970" s="94"/>
      <c r="K9970" s="94"/>
      <c r="M9970" s="94"/>
    </row>
    <row r="9971" s="93" customFormat="1" spans="3:13">
      <c r="C9971" s="94"/>
      <c r="E9971" s="94"/>
      <c r="G9971" s="94"/>
      <c r="I9971" s="94"/>
      <c r="K9971" s="94"/>
      <c r="M9971" s="94"/>
    </row>
    <row r="9972" s="93" customFormat="1" spans="3:13">
      <c r="C9972" s="94"/>
      <c r="E9972" s="94"/>
      <c r="G9972" s="94"/>
      <c r="I9972" s="94"/>
      <c r="K9972" s="94"/>
      <c r="M9972" s="94"/>
    </row>
    <row r="9973" s="93" customFormat="1" spans="3:13">
      <c r="C9973" s="94"/>
      <c r="E9973" s="94"/>
      <c r="G9973" s="94"/>
      <c r="I9973" s="94"/>
      <c r="K9973" s="94"/>
      <c r="M9973" s="94"/>
    </row>
    <row r="9974" s="93" customFormat="1" spans="3:13">
      <c r="C9974" s="94"/>
      <c r="E9974" s="94"/>
      <c r="G9974" s="94"/>
      <c r="I9974" s="94"/>
      <c r="K9974" s="94"/>
      <c r="M9974" s="94"/>
    </row>
    <row r="9975" s="93" customFormat="1" spans="3:13">
      <c r="C9975" s="94"/>
      <c r="E9975" s="94"/>
      <c r="G9975" s="94"/>
      <c r="I9975" s="94"/>
      <c r="K9975" s="94"/>
      <c r="M9975" s="94"/>
    </row>
    <row r="9976" s="93" customFormat="1" spans="3:13">
      <c r="C9976" s="94"/>
      <c r="E9976" s="94"/>
      <c r="G9976" s="94"/>
      <c r="I9976" s="94"/>
      <c r="K9976" s="94"/>
      <c r="M9976" s="94"/>
    </row>
    <row r="9977" s="93" customFormat="1" spans="3:13">
      <c r="C9977" s="94"/>
      <c r="E9977" s="94"/>
      <c r="G9977" s="94"/>
      <c r="I9977" s="94"/>
      <c r="K9977" s="94"/>
      <c r="M9977" s="94"/>
    </row>
    <row r="9978" s="93" customFormat="1" spans="3:13">
      <c r="C9978" s="94"/>
      <c r="E9978" s="94"/>
      <c r="G9978" s="94"/>
      <c r="I9978" s="94"/>
      <c r="K9978" s="94"/>
      <c r="M9978" s="94"/>
    </row>
    <row r="9979" s="93" customFormat="1" spans="3:13">
      <c r="C9979" s="94"/>
      <c r="E9979" s="94"/>
      <c r="G9979" s="94"/>
      <c r="I9979" s="94"/>
      <c r="K9979" s="94"/>
      <c r="M9979" s="94"/>
    </row>
    <row r="9980" s="93" customFormat="1" spans="3:13">
      <c r="C9980" s="94"/>
      <c r="E9980" s="94"/>
      <c r="G9980" s="94"/>
      <c r="I9980" s="94"/>
      <c r="K9980" s="94"/>
      <c r="M9980" s="94"/>
    </row>
    <row r="9981" s="93" customFormat="1" spans="3:13">
      <c r="C9981" s="94"/>
      <c r="E9981" s="94"/>
      <c r="G9981" s="94"/>
      <c r="I9981" s="94"/>
      <c r="K9981" s="94"/>
      <c r="M9981" s="94"/>
    </row>
    <row r="9982" s="93" customFormat="1" spans="3:13">
      <c r="C9982" s="94"/>
      <c r="E9982" s="94"/>
      <c r="G9982" s="94"/>
      <c r="I9982" s="94"/>
      <c r="K9982" s="94"/>
      <c r="M9982" s="94"/>
    </row>
    <row r="9983" s="93" customFormat="1" spans="3:13">
      <c r="C9983" s="94"/>
      <c r="E9983" s="94"/>
      <c r="G9983" s="94"/>
      <c r="I9983" s="94"/>
      <c r="K9983" s="94"/>
      <c r="M9983" s="94"/>
    </row>
    <row r="9984" s="93" customFormat="1" spans="3:13">
      <c r="C9984" s="94"/>
      <c r="E9984" s="94"/>
      <c r="G9984" s="94"/>
      <c r="I9984" s="94"/>
      <c r="K9984" s="94"/>
      <c r="M9984" s="94"/>
    </row>
    <row r="9985" s="93" customFormat="1" spans="3:13">
      <c r="C9985" s="94"/>
      <c r="E9985" s="94"/>
      <c r="G9985" s="94"/>
      <c r="I9985" s="94"/>
      <c r="K9985" s="94"/>
      <c r="M9985" s="94"/>
    </row>
    <row r="9986" s="93" customFormat="1" spans="3:13">
      <c r="C9986" s="94"/>
      <c r="E9986" s="94"/>
      <c r="G9986" s="94"/>
      <c r="I9986" s="94"/>
      <c r="K9986" s="94"/>
      <c r="M9986" s="94"/>
    </row>
    <row r="9987" s="93" customFormat="1" spans="3:13">
      <c r="C9987" s="94"/>
      <c r="E9987" s="94"/>
      <c r="G9987" s="94"/>
      <c r="I9987" s="94"/>
      <c r="K9987" s="94"/>
      <c r="M9987" s="94"/>
    </row>
    <row r="9988" s="93" customFormat="1" spans="3:13">
      <c r="C9988" s="94"/>
      <c r="E9988" s="94"/>
      <c r="G9988" s="94"/>
      <c r="I9988" s="94"/>
      <c r="K9988" s="94"/>
      <c r="M9988" s="94"/>
    </row>
    <row r="9989" s="93" customFormat="1" spans="3:13">
      <c r="C9989" s="94"/>
      <c r="E9989" s="94"/>
      <c r="G9989" s="94"/>
      <c r="I9989" s="94"/>
      <c r="K9989" s="94"/>
      <c r="M9989" s="94"/>
    </row>
    <row r="9990" s="93" customFormat="1" spans="3:13">
      <c r="C9990" s="94"/>
      <c r="E9990" s="94"/>
      <c r="G9990" s="94"/>
      <c r="I9990" s="94"/>
      <c r="K9990" s="94"/>
      <c r="M9990" s="94"/>
    </row>
    <row r="9991" s="93" customFormat="1" spans="3:13">
      <c r="C9991" s="94"/>
      <c r="E9991" s="94"/>
      <c r="G9991" s="94"/>
      <c r="I9991" s="94"/>
      <c r="K9991" s="94"/>
      <c r="M9991" s="94"/>
    </row>
    <row r="9992" s="93" customFormat="1" spans="3:13">
      <c r="C9992" s="94"/>
      <c r="E9992" s="94"/>
      <c r="G9992" s="94"/>
      <c r="I9992" s="94"/>
      <c r="K9992" s="94"/>
      <c r="M9992" s="94"/>
    </row>
    <row r="9993" s="93" customFormat="1" spans="3:13">
      <c r="C9993" s="94"/>
      <c r="E9993" s="94"/>
      <c r="G9993" s="94"/>
      <c r="I9993" s="94"/>
      <c r="K9993" s="94"/>
      <c r="M9993" s="94"/>
    </row>
    <row r="9994" s="93" customFormat="1" spans="3:13">
      <c r="C9994" s="94"/>
      <c r="E9994" s="94"/>
      <c r="G9994" s="94"/>
      <c r="I9994" s="94"/>
      <c r="K9994" s="94"/>
      <c r="M9994" s="94"/>
    </row>
    <row r="9995" s="93" customFormat="1" spans="3:13">
      <c r="C9995" s="94"/>
      <c r="E9995" s="94"/>
      <c r="G9995" s="94"/>
      <c r="I9995" s="94"/>
      <c r="K9995" s="94"/>
      <c r="M9995" s="94"/>
    </row>
    <row r="9996" s="93" customFormat="1" spans="3:13">
      <c r="C9996" s="94"/>
      <c r="E9996" s="94"/>
      <c r="G9996" s="94"/>
      <c r="I9996" s="94"/>
      <c r="K9996" s="94"/>
      <c r="M9996" s="94"/>
    </row>
    <row r="9997" s="93" customFormat="1" spans="3:13">
      <c r="C9997" s="94"/>
      <c r="E9997" s="94"/>
      <c r="G9997" s="94"/>
      <c r="I9997" s="94"/>
      <c r="K9997" s="94"/>
      <c r="M9997" s="94"/>
    </row>
    <row r="9998" s="93" customFormat="1" spans="3:13">
      <c r="C9998" s="94"/>
      <c r="E9998" s="94"/>
      <c r="G9998" s="94"/>
      <c r="I9998" s="94"/>
      <c r="K9998" s="94"/>
      <c r="M9998" s="94"/>
    </row>
    <row r="9999" s="93" customFormat="1" spans="3:13">
      <c r="C9999" s="94"/>
      <c r="E9999" s="94"/>
      <c r="G9999" s="94"/>
      <c r="I9999" s="94"/>
      <c r="K9999" s="94"/>
      <c r="M9999" s="94"/>
    </row>
    <row r="10000" s="93" customFormat="1" spans="3:13">
      <c r="C10000" s="94"/>
      <c r="E10000" s="94"/>
      <c r="G10000" s="94"/>
      <c r="I10000" s="94"/>
      <c r="K10000" s="94"/>
      <c r="M10000" s="94"/>
    </row>
    <row r="10001" s="93" customFormat="1" spans="3:13">
      <c r="C10001" s="94"/>
      <c r="E10001" s="94"/>
      <c r="G10001" s="94"/>
      <c r="I10001" s="94"/>
      <c r="K10001" s="94"/>
      <c r="M10001" s="94"/>
    </row>
    <row r="10002" s="93" customFormat="1" spans="3:13">
      <c r="C10002" s="94"/>
      <c r="E10002" s="94"/>
      <c r="G10002" s="94"/>
      <c r="I10002" s="94"/>
      <c r="K10002" s="94"/>
      <c r="M10002" s="94"/>
    </row>
    <row r="10003" s="93" customFormat="1" spans="3:13">
      <c r="C10003" s="94"/>
      <c r="E10003" s="94"/>
      <c r="G10003" s="94"/>
      <c r="I10003" s="94"/>
      <c r="K10003" s="94"/>
      <c r="M10003" s="94"/>
    </row>
    <row r="10004" s="93" customFormat="1" spans="3:13">
      <c r="C10004" s="94"/>
      <c r="E10004" s="94"/>
      <c r="G10004" s="94"/>
      <c r="I10004" s="94"/>
      <c r="K10004" s="94"/>
      <c r="M10004" s="94"/>
    </row>
    <row r="10005" s="93" customFormat="1" spans="3:13">
      <c r="C10005" s="94"/>
      <c r="E10005" s="94"/>
      <c r="G10005" s="94"/>
      <c r="I10005" s="94"/>
      <c r="K10005" s="94"/>
      <c r="M10005" s="94"/>
    </row>
    <row r="10006" s="93" customFormat="1" spans="3:13">
      <c r="C10006" s="94"/>
      <c r="E10006" s="94"/>
      <c r="G10006" s="94"/>
      <c r="I10006" s="94"/>
      <c r="K10006" s="94"/>
      <c r="M10006" s="94"/>
    </row>
    <row r="10007" s="93" customFormat="1" spans="3:13">
      <c r="C10007" s="94"/>
      <c r="E10007" s="94"/>
      <c r="G10007" s="94"/>
      <c r="I10007" s="94"/>
      <c r="K10007" s="94"/>
      <c r="M10007" s="94"/>
    </row>
    <row r="10008" s="93" customFormat="1" spans="3:13">
      <c r="C10008" s="94"/>
      <c r="E10008" s="94"/>
      <c r="G10008" s="94"/>
      <c r="I10008" s="94"/>
      <c r="K10008" s="94"/>
      <c r="M10008" s="94"/>
    </row>
    <row r="10009" s="93" customFormat="1" spans="3:13">
      <c r="C10009" s="94"/>
      <c r="E10009" s="94"/>
      <c r="G10009" s="94"/>
      <c r="I10009" s="94"/>
      <c r="K10009" s="94"/>
      <c r="M10009" s="94"/>
    </row>
    <row r="10010" s="93" customFormat="1" spans="3:13">
      <c r="C10010" s="94"/>
      <c r="E10010" s="94"/>
      <c r="G10010" s="94"/>
      <c r="I10010" s="94"/>
      <c r="K10010" s="94"/>
      <c r="M10010" s="94"/>
    </row>
    <row r="10011" s="93" customFormat="1" spans="3:13">
      <c r="C10011" s="94"/>
      <c r="E10011" s="94"/>
      <c r="G10011" s="94"/>
      <c r="I10011" s="94"/>
      <c r="K10011" s="94"/>
      <c r="M10011" s="94"/>
    </row>
    <row r="10012" s="93" customFormat="1" spans="3:13">
      <c r="C10012" s="94"/>
      <c r="E10012" s="94"/>
      <c r="G10012" s="94"/>
      <c r="I10012" s="94"/>
      <c r="K10012" s="94"/>
      <c r="M10012" s="94"/>
    </row>
    <row r="10013" s="93" customFormat="1" spans="3:13">
      <c r="C10013" s="94"/>
      <c r="E10013" s="94"/>
      <c r="G10013" s="94"/>
      <c r="I10013" s="94"/>
      <c r="K10013" s="94"/>
      <c r="M10013" s="94"/>
    </row>
    <row r="10014" s="93" customFormat="1" spans="3:13">
      <c r="C10014" s="94"/>
      <c r="E10014" s="94"/>
      <c r="G10014" s="94"/>
      <c r="I10014" s="94"/>
      <c r="K10014" s="94"/>
      <c r="M10014" s="94"/>
    </row>
    <row r="10015" s="93" customFormat="1" spans="3:13">
      <c r="C10015" s="94"/>
      <c r="E10015" s="94"/>
      <c r="G10015" s="94"/>
      <c r="I10015" s="94"/>
      <c r="K10015" s="94"/>
      <c r="M10015" s="94"/>
    </row>
    <row r="10016" s="93" customFormat="1" spans="3:13">
      <c r="C10016" s="94"/>
      <c r="E10016" s="94"/>
      <c r="G10016" s="94"/>
      <c r="I10016" s="94"/>
      <c r="K10016" s="94"/>
      <c r="M10016" s="94"/>
    </row>
    <row r="10017" s="93" customFormat="1" spans="3:13">
      <c r="C10017" s="94"/>
      <c r="E10017" s="94"/>
      <c r="G10017" s="94"/>
      <c r="I10017" s="94"/>
      <c r="K10017" s="94"/>
      <c r="M10017" s="94"/>
    </row>
    <row r="10018" s="93" customFormat="1" spans="3:13">
      <c r="C10018" s="94"/>
      <c r="E10018" s="94"/>
      <c r="G10018" s="94"/>
      <c r="I10018" s="94"/>
      <c r="K10018" s="94"/>
      <c r="M10018" s="94"/>
    </row>
    <row r="10019" s="93" customFormat="1" spans="3:13">
      <c r="C10019" s="94"/>
      <c r="E10019" s="94"/>
      <c r="G10019" s="94"/>
      <c r="I10019" s="94"/>
      <c r="K10019" s="94"/>
      <c r="M10019" s="94"/>
    </row>
    <row r="10020" s="93" customFormat="1" spans="3:13">
      <c r="C10020" s="94"/>
      <c r="E10020" s="94"/>
      <c r="G10020" s="94"/>
      <c r="I10020" s="94"/>
      <c r="K10020" s="94"/>
      <c r="M10020" s="94"/>
    </row>
    <row r="10021" s="93" customFormat="1" spans="3:13">
      <c r="C10021" s="94"/>
      <c r="E10021" s="94"/>
      <c r="G10021" s="94"/>
      <c r="I10021" s="94"/>
      <c r="K10021" s="94"/>
      <c r="M10021" s="94"/>
    </row>
    <row r="10022" s="93" customFormat="1" spans="3:13">
      <c r="C10022" s="94"/>
      <c r="E10022" s="94"/>
      <c r="G10022" s="94"/>
      <c r="I10022" s="94"/>
      <c r="K10022" s="94"/>
      <c r="M10022" s="94"/>
    </row>
    <row r="10023" s="93" customFormat="1" spans="3:13">
      <c r="C10023" s="94"/>
      <c r="E10023" s="94"/>
      <c r="G10023" s="94"/>
      <c r="I10023" s="94"/>
      <c r="K10023" s="94"/>
      <c r="M10023" s="94"/>
    </row>
    <row r="10024" s="93" customFormat="1" spans="3:13">
      <c r="C10024" s="94"/>
      <c r="E10024" s="94"/>
      <c r="G10024" s="94"/>
      <c r="I10024" s="94"/>
      <c r="K10024" s="94"/>
      <c r="M10024" s="94"/>
    </row>
    <row r="10025" s="93" customFormat="1" spans="3:13">
      <c r="C10025" s="94"/>
      <c r="E10025" s="94"/>
      <c r="G10025" s="94"/>
      <c r="I10025" s="94"/>
      <c r="K10025" s="94"/>
      <c r="M10025" s="94"/>
    </row>
    <row r="10026" s="93" customFormat="1" spans="3:13">
      <c r="C10026" s="94"/>
      <c r="E10026" s="94"/>
      <c r="G10026" s="94"/>
      <c r="I10026" s="94"/>
      <c r="K10026" s="94"/>
      <c r="M10026" s="94"/>
    </row>
    <row r="10027" s="93" customFormat="1" spans="3:13">
      <c r="C10027" s="94"/>
      <c r="E10027" s="94"/>
      <c r="G10027" s="94"/>
      <c r="I10027" s="94"/>
      <c r="K10027" s="94"/>
      <c r="M10027" s="94"/>
    </row>
    <row r="10028" s="93" customFormat="1" spans="3:13">
      <c r="C10028" s="94"/>
      <c r="E10028" s="94"/>
      <c r="G10028" s="94"/>
      <c r="I10028" s="94"/>
      <c r="K10028" s="94"/>
      <c r="M10028" s="94"/>
    </row>
    <row r="10029" s="93" customFormat="1" spans="3:13">
      <c r="C10029" s="94"/>
      <c r="E10029" s="94"/>
      <c r="G10029" s="94"/>
      <c r="I10029" s="94"/>
      <c r="K10029" s="94"/>
      <c r="M10029" s="94"/>
    </row>
    <row r="10030" s="93" customFormat="1" spans="3:13">
      <c r="C10030" s="94"/>
      <c r="E10030" s="94"/>
      <c r="G10030" s="94"/>
      <c r="I10030" s="94"/>
      <c r="K10030" s="94"/>
      <c r="M10030" s="94"/>
    </row>
    <row r="10031" s="93" customFormat="1" spans="3:13">
      <c r="C10031" s="94"/>
      <c r="E10031" s="94"/>
      <c r="G10031" s="94"/>
      <c r="I10031" s="94"/>
      <c r="K10031" s="94"/>
      <c r="M10031" s="94"/>
    </row>
    <row r="10032" s="93" customFormat="1" spans="3:13">
      <c r="C10032" s="94"/>
      <c r="E10032" s="94"/>
      <c r="G10032" s="94"/>
      <c r="I10032" s="94"/>
      <c r="K10032" s="94"/>
      <c r="M10032" s="94"/>
    </row>
    <row r="10033" s="93" customFormat="1" spans="3:13">
      <c r="C10033" s="94"/>
      <c r="E10033" s="94"/>
      <c r="G10033" s="94"/>
      <c r="I10033" s="94"/>
      <c r="K10033" s="94"/>
      <c r="M10033" s="94"/>
    </row>
    <row r="10034" s="93" customFormat="1" spans="3:13">
      <c r="C10034" s="94"/>
      <c r="E10034" s="94"/>
      <c r="G10034" s="94"/>
      <c r="I10034" s="94"/>
      <c r="K10034" s="94"/>
      <c r="M10034" s="94"/>
    </row>
    <row r="10035" s="93" customFormat="1" spans="3:13">
      <c r="C10035" s="94"/>
      <c r="E10035" s="94"/>
      <c r="G10035" s="94"/>
      <c r="I10035" s="94"/>
      <c r="K10035" s="94"/>
      <c r="M10035" s="94"/>
    </row>
    <row r="10036" s="93" customFormat="1" spans="3:13">
      <c r="C10036" s="94"/>
      <c r="E10036" s="94"/>
      <c r="G10036" s="94"/>
      <c r="I10036" s="94"/>
      <c r="K10036" s="94"/>
      <c r="M10036" s="94"/>
    </row>
    <row r="10037" s="93" customFormat="1" spans="3:13">
      <c r="C10037" s="94"/>
      <c r="E10037" s="94"/>
      <c r="G10037" s="94"/>
      <c r="I10037" s="94"/>
      <c r="K10037" s="94"/>
      <c r="M10037" s="94"/>
    </row>
    <row r="10038" s="93" customFormat="1" spans="3:13">
      <c r="C10038" s="94"/>
      <c r="E10038" s="94"/>
      <c r="G10038" s="94"/>
      <c r="I10038" s="94"/>
      <c r="K10038" s="94"/>
      <c r="M10038" s="94"/>
    </row>
    <row r="10039" s="93" customFormat="1" spans="3:13">
      <c r="C10039" s="94"/>
      <c r="E10039" s="94"/>
      <c r="G10039" s="94"/>
      <c r="I10039" s="94"/>
      <c r="K10039" s="94"/>
      <c r="M10039" s="94"/>
    </row>
    <row r="10040" s="93" customFormat="1" spans="3:13">
      <c r="C10040" s="94"/>
      <c r="E10040" s="94"/>
      <c r="G10040" s="94"/>
      <c r="I10040" s="94"/>
      <c r="K10040" s="94"/>
      <c r="M10040" s="94"/>
    </row>
    <row r="10041" s="93" customFormat="1" spans="3:13">
      <c r="C10041" s="94"/>
      <c r="E10041" s="94"/>
      <c r="G10041" s="94"/>
      <c r="I10041" s="94"/>
      <c r="K10041" s="94"/>
      <c r="M10041" s="94"/>
    </row>
    <row r="10042" s="93" customFormat="1" spans="3:13">
      <c r="C10042" s="94"/>
      <c r="E10042" s="94"/>
      <c r="G10042" s="94"/>
      <c r="I10042" s="94"/>
      <c r="K10042" s="94"/>
      <c r="M10042" s="94"/>
    </row>
    <row r="10043" s="93" customFormat="1" spans="3:13">
      <c r="C10043" s="94"/>
      <c r="E10043" s="94"/>
      <c r="G10043" s="94"/>
      <c r="I10043" s="94"/>
      <c r="K10043" s="94"/>
      <c r="M10043" s="94"/>
    </row>
    <row r="10044" s="93" customFormat="1" spans="3:13">
      <c r="C10044" s="94"/>
      <c r="E10044" s="94"/>
      <c r="G10044" s="94"/>
      <c r="I10044" s="94"/>
      <c r="K10044" s="94"/>
      <c r="M10044" s="94"/>
    </row>
    <row r="10045" s="93" customFormat="1" spans="3:13">
      <c r="C10045" s="94"/>
      <c r="E10045" s="94"/>
      <c r="G10045" s="94"/>
      <c r="I10045" s="94"/>
      <c r="K10045" s="94"/>
      <c r="M10045" s="94"/>
    </row>
    <row r="10046" s="93" customFormat="1" spans="3:13">
      <c r="C10046" s="94"/>
      <c r="E10046" s="94"/>
      <c r="G10046" s="94"/>
      <c r="I10046" s="94"/>
      <c r="K10046" s="94"/>
      <c r="M10046" s="94"/>
    </row>
    <row r="10047" s="93" customFormat="1" spans="3:13">
      <c r="C10047" s="94"/>
      <c r="E10047" s="94"/>
      <c r="G10047" s="94"/>
      <c r="I10047" s="94"/>
      <c r="K10047" s="94"/>
      <c r="M10047" s="94"/>
    </row>
    <row r="10048" s="93" customFormat="1" spans="3:13">
      <c r="C10048" s="94"/>
      <c r="E10048" s="94"/>
      <c r="G10048" s="94"/>
      <c r="I10048" s="94"/>
      <c r="K10048" s="94"/>
      <c r="M10048" s="94"/>
    </row>
    <row r="10049" s="93" customFormat="1" spans="3:13">
      <c r="C10049" s="94"/>
      <c r="E10049" s="94"/>
      <c r="G10049" s="94"/>
      <c r="I10049" s="94"/>
      <c r="K10049" s="94"/>
      <c r="M10049" s="94"/>
    </row>
    <row r="10050" s="93" customFormat="1" spans="3:13">
      <c r="C10050" s="94"/>
      <c r="E10050" s="94"/>
      <c r="G10050" s="94"/>
      <c r="I10050" s="94"/>
      <c r="K10050" s="94"/>
      <c r="M10050" s="94"/>
    </row>
    <row r="10051" s="93" customFormat="1" spans="3:13">
      <c r="C10051" s="94"/>
      <c r="E10051" s="94"/>
      <c r="G10051" s="94"/>
      <c r="I10051" s="94"/>
      <c r="K10051" s="94"/>
      <c r="M10051" s="94"/>
    </row>
    <row r="10052" s="93" customFormat="1" spans="3:13">
      <c r="C10052" s="94"/>
      <c r="E10052" s="94"/>
      <c r="G10052" s="94"/>
      <c r="I10052" s="94"/>
      <c r="K10052" s="94"/>
      <c r="M10052" s="94"/>
    </row>
    <row r="10053" s="93" customFormat="1" spans="3:13">
      <c r="C10053" s="94"/>
      <c r="E10053" s="94"/>
      <c r="G10053" s="94"/>
      <c r="I10053" s="94"/>
      <c r="K10053" s="94"/>
      <c r="M10053" s="94"/>
    </row>
    <row r="10054" s="93" customFormat="1" spans="3:13">
      <c r="C10054" s="94"/>
      <c r="E10054" s="94"/>
      <c r="G10054" s="94"/>
      <c r="I10054" s="94"/>
      <c r="K10054" s="94"/>
      <c r="M10054" s="94"/>
    </row>
    <row r="10055" s="93" customFormat="1" spans="3:13">
      <c r="C10055" s="94"/>
      <c r="E10055" s="94"/>
      <c r="G10055" s="94"/>
      <c r="I10055" s="94"/>
      <c r="K10055" s="94"/>
      <c r="M10055" s="94"/>
    </row>
    <row r="10056" s="93" customFormat="1" spans="3:13">
      <c r="C10056" s="94"/>
      <c r="E10056" s="94"/>
      <c r="G10056" s="94"/>
      <c r="I10056" s="94"/>
      <c r="K10056" s="94"/>
      <c r="M10056" s="94"/>
    </row>
    <row r="10057" s="93" customFormat="1" spans="3:13">
      <c r="C10057" s="94"/>
      <c r="E10057" s="94"/>
      <c r="G10057" s="94"/>
      <c r="I10057" s="94"/>
      <c r="K10057" s="94"/>
      <c r="M10057" s="94"/>
    </row>
    <row r="10058" s="93" customFormat="1" spans="3:13">
      <c r="C10058" s="94"/>
      <c r="E10058" s="94"/>
      <c r="G10058" s="94"/>
      <c r="I10058" s="94"/>
      <c r="K10058" s="94"/>
      <c r="M10058" s="94"/>
    </row>
    <row r="10059" s="93" customFormat="1" spans="3:13">
      <c r="C10059" s="94"/>
      <c r="E10059" s="94"/>
      <c r="G10059" s="94"/>
      <c r="I10059" s="94"/>
      <c r="K10059" s="94"/>
      <c r="M10059" s="94"/>
    </row>
    <row r="10060" s="93" customFormat="1" spans="3:13">
      <c r="C10060" s="94"/>
      <c r="E10060" s="94"/>
      <c r="G10060" s="94"/>
      <c r="I10060" s="94"/>
      <c r="K10060" s="94"/>
      <c r="M10060" s="94"/>
    </row>
    <row r="10061" s="93" customFormat="1" spans="3:13">
      <c r="C10061" s="94"/>
      <c r="E10061" s="94"/>
      <c r="G10061" s="94"/>
      <c r="I10061" s="94"/>
      <c r="K10061" s="94"/>
      <c r="M10061" s="94"/>
    </row>
    <row r="10062" s="93" customFormat="1" spans="3:13">
      <c r="C10062" s="94"/>
      <c r="E10062" s="94"/>
      <c r="G10062" s="94"/>
      <c r="I10062" s="94"/>
      <c r="K10062" s="94"/>
      <c r="M10062" s="94"/>
    </row>
    <row r="10063" s="93" customFormat="1" spans="3:13">
      <c r="C10063" s="94"/>
      <c r="E10063" s="94"/>
      <c r="G10063" s="94"/>
      <c r="I10063" s="94"/>
      <c r="K10063" s="94"/>
      <c r="M10063" s="94"/>
    </row>
    <row r="10064" s="93" customFormat="1" spans="3:13">
      <c r="C10064" s="94"/>
      <c r="E10064" s="94"/>
      <c r="G10064" s="94"/>
      <c r="I10064" s="94"/>
      <c r="K10064" s="94"/>
      <c r="M10064" s="94"/>
    </row>
    <row r="10065" s="93" customFormat="1" spans="3:13">
      <c r="C10065" s="94"/>
      <c r="E10065" s="94"/>
      <c r="G10065" s="94"/>
      <c r="I10065" s="94"/>
      <c r="K10065" s="94"/>
      <c r="M10065" s="94"/>
    </row>
    <row r="10066" s="93" customFormat="1" spans="3:13">
      <c r="C10066" s="94"/>
      <c r="E10066" s="94"/>
      <c r="G10066" s="94"/>
      <c r="I10066" s="94"/>
      <c r="K10066" s="94"/>
      <c r="M10066" s="94"/>
    </row>
    <row r="10067" s="93" customFormat="1" spans="3:13">
      <c r="C10067" s="94"/>
      <c r="E10067" s="94"/>
      <c r="G10067" s="94"/>
      <c r="I10067" s="94"/>
      <c r="K10067" s="94"/>
      <c r="M10067" s="94"/>
    </row>
    <row r="10068" s="93" customFormat="1" spans="3:13">
      <c r="C10068" s="94"/>
      <c r="E10068" s="94"/>
      <c r="G10068" s="94"/>
      <c r="I10068" s="94"/>
      <c r="K10068" s="94"/>
      <c r="M10068" s="94"/>
    </row>
    <row r="10069" s="93" customFormat="1" spans="3:13">
      <c r="C10069" s="94"/>
      <c r="E10069" s="94"/>
      <c r="G10069" s="94"/>
      <c r="I10069" s="94"/>
      <c r="K10069" s="94"/>
      <c r="M10069" s="94"/>
    </row>
    <row r="10070" s="93" customFormat="1" spans="3:13">
      <c r="C10070" s="94"/>
      <c r="E10070" s="94"/>
      <c r="G10070" s="94"/>
      <c r="I10070" s="94"/>
      <c r="K10070" s="94"/>
      <c r="M10070" s="94"/>
    </row>
    <row r="10071" s="93" customFormat="1" spans="3:13">
      <c r="C10071" s="94"/>
      <c r="E10071" s="94"/>
      <c r="G10071" s="94"/>
      <c r="I10071" s="94"/>
      <c r="K10071" s="94"/>
      <c r="M10071" s="94"/>
    </row>
    <row r="10072" s="93" customFormat="1" spans="3:13">
      <c r="C10072" s="94"/>
      <c r="E10072" s="94"/>
      <c r="G10072" s="94"/>
      <c r="I10072" s="94"/>
      <c r="K10072" s="94"/>
      <c r="M10072" s="94"/>
    </row>
    <row r="10073" s="93" customFormat="1" spans="3:13">
      <c r="C10073" s="94"/>
      <c r="E10073" s="94"/>
      <c r="G10073" s="94"/>
      <c r="I10073" s="94"/>
      <c r="K10073" s="94"/>
      <c r="M10073" s="94"/>
    </row>
    <row r="10074" s="93" customFormat="1" spans="3:13">
      <c r="C10074" s="94"/>
      <c r="E10074" s="94"/>
      <c r="G10074" s="94"/>
      <c r="I10074" s="94"/>
      <c r="K10074" s="94"/>
      <c r="M10074" s="94"/>
    </row>
    <row r="10075" s="93" customFormat="1" spans="3:13">
      <c r="C10075" s="94"/>
      <c r="E10075" s="94"/>
      <c r="G10075" s="94"/>
      <c r="I10075" s="94"/>
      <c r="K10075" s="94"/>
      <c r="M10075" s="94"/>
    </row>
    <row r="10076" s="93" customFormat="1" spans="3:13">
      <c r="C10076" s="94"/>
      <c r="E10076" s="94"/>
      <c r="G10076" s="94"/>
      <c r="I10076" s="94"/>
      <c r="K10076" s="94"/>
      <c r="M10076" s="94"/>
    </row>
    <row r="10077" s="93" customFormat="1" spans="3:13">
      <c r="C10077" s="94"/>
      <c r="E10077" s="94"/>
      <c r="G10077" s="94"/>
      <c r="I10077" s="94"/>
      <c r="K10077" s="94"/>
      <c r="M10077" s="94"/>
    </row>
    <row r="10078" s="93" customFormat="1" spans="3:13">
      <c r="C10078" s="94"/>
      <c r="E10078" s="94"/>
      <c r="G10078" s="94"/>
      <c r="I10078" s="94"/>
      <c r="K10078" s="94"/>
      <c r="M10078" s="94"/>
    </row>
    <row r="10079" s="93" customFormat="1" spans="3:13">
      <c r="C10079" s="94"/>
      <c r="E10079" s="94"/>
      <c r="G10079" s="94"/>
      <c r="I10079" s="94"/>
      <c r="K10079" s="94"/>
      <c r="M10079" s="94"/>
    </row>
    <row r="10080" s="93" customFormat="1" spans="3:13">
      <c r="C10080" s="94"/>
      <c r="E10080" s="94"/>
      <c r="G10080" s="94"/>
      <c r="I10080" s="94"/>
      <c r="K10080" s="94"/>
      <c r="M10080" s="94"/>
    </row>
    <row r="10081" s="93" customFormat="1" spans="3:13">
      <c r="C10081" s="94"/>
      <c r="E10081" s="94"/>
      <c r="G10081" s="94"/>
      <c r="I10081" s="94"/>
      <c r="K10081" s="94"/>
      <c r="M10081" s="94"/>
    </row>
    <row r="10082" s="93" customFormat="1" spans="3:13">
      <c r="C10082" s="94"/>
      <c r="E10082" s="94"/>
      <c r="G10082" s="94"/>
      <c r="I10082" s="94"/>
      <c r="K10082" s="94"/>
      <c r="M10082" s="94"/>
    </row>
    <row r="10083" s="93" customFormat="1" spans="3:13">
      <c r="C10083" s="94"/>
      <c r="E10083" s="94"/>
      <c r="G10083" s="94"/>
      <c r="I10083" s="94"/>
      <c r="K10083" s="94"/>
      <c r="M10083" s="94"/>
    </row>
    <row r="10084" s="93" customFormat="1" spans="3:13">
      <c r="C10084" s="94"/>
      <c r="E10084" s="94"/>
      <c r="G10084" s="94"/>
      <c r="I10084" s="94"/>
      <c r="K10084" s="94"/>
      <c r="M10084" s="94"/>
    </row>
    <row r="10085" s="93" customFormat="1" spans="3:13">
      <c r="C10085" s="94"/>
      <c r="E10085" s="94"/>
      <c r="G10085" s="94"/>
      <c r="I10085" s="94"/>
      <c r="K10085" s="94"/>
      <c r="M10085" s="94"/>
    </row>
    <row r="10086" s="93" customFormat="1" spans="3:13">
      <c r="C10086" s="94"/>
      <c r="E10086" s="94"/>
      <c r="G10086" s="94"/>
      <c r="I10086" s="94"/>
      <c r="K10086" s="94"/>
      <c r="M10086" s="94"/>
    </row>
    <row r="10087" s="93" customFormat="1" spans="3:13">
      <c r="C10087" s="94"/>
      <c r="E10087" s="94"/>
      <c r="G10087" s="94"/>
      <c r="I10087" s="94"/>
      <c r="K10087" s="94"/>
      <c r="M10087" s="94"/>
    </row>
    <row r="10088" s="93" customFormat="1" spans="3:13">
      <c r="C10088" s="94"/>
      <c r="E10088" s="94"/>
      <c r="G10088" s="94"/>
      <c r="I10088" s="94"/>
      <c r="K10088" s="94"/>
      <c r="M10088" s="94"/>
    </row>
    <row r="10089" s="93" customFormat="1" spans="3:13">
      <c r="C10089" s="94"/>
      <c r="E10089" s="94"/>
      <c r="G10089" s="94"/>
      <c r="I10089" s="94"/>
      <c r="K10089" s="94"/>
      <c r="M10089" s="94"/>
    </row>
    <row r="10090" s="93" customFormat="1" spans="3:13">
      <c r="C10090" s="94"/>
      <c r="E10090" s="94"/>
      <c r="G10090" s="94"/>
      <c r="I10090" s="94"/>
      <c r="K10090" s="94"/>
      <c r="M10090" s="94"/>
    </row>
    <row r="10091" s="93" customFormat="1" spans="3:13">
      <c r="C10091" s="94"/>
      <c r="E10091" s="94"/>
      <c r="G10091" s="94"/>
      <c r="I10091" s="94"/>
      <c r="K10091" s="94"/>
      <c r="M10091" s="94"/>
    </row>
    <row r="10092" s="93" customFormat="1" spans="3:13">
      <c r="C10092" s="94"/>
      <c r="E10092" s="94"/>
      <c r="G10092" s="94"/>
      <c r="I10092" s="94"/>
      <c r="K10092" s="94"/>
      <c r="M10092" s="94"/>
    </row>
    <row r="10093" s="93" customFormat="1" spans="3:13">
      <c r="C10093" s="94"/>
      <c r="E10093" s="94"/>
      <c r="G10093" s="94"/>
      <c r="I10093" s="94"/>
      <c r="K10093" s="94"/>
      <c r="M10093" s="94"/>
    </row>
    <row r="10094" s="93" customFormat="1" spans="3:13">
      <c r="C10094" s="94"/>
      <c r="E10094" s="94"/>
      <c r="G10094" s="94"/>
      <c r="I10094" s="94"/>
      <c r="K10094" s="94"/>
      <c r="M10094" s="94"/>
    </row>
    <row r="10095" s="93" customFormat="1" spans="3:13">
      <c r="C10095" s="94"/>
      <c r="E10095" s="94"/>
      <c r="G10095" s="94"/>
      <c r="I10095" s="94"/>
      <c r="K10095" s="94"/>
      <c r="M10095" s="94"/>
    </row>
    <row r="10096" s="93" customFormat="1" spans="3:13">
      <c r="C10096" s="94"/>
      <c r="E10096" s="94"/>
      <c r="G10096" s="94"/>
      <c r="I10096" s="94"/>
      <c r="K10096" s="94"/>
      <c r="M10096" s="94"/>
    </row>
    <row r="10097" s="93" customFormat="1" spans="3:13">
      <c r="C10097" s="94"/>
      <c r="E10097" s="94"/>
      <c r="G10097" s="94"/>
      <c r="I10097" s="94"/>
      <c r="K10097" s="94"/>
      <c r="M10097" s="94"/>
    </row>
    <row r="10098" s="93" customFormat="1" spans="3:13">
      <c r="C10098" s="94"/>
      <c r="E10098" s="94"/>
      <c r="G10098" s="94"/>
      <c r="I10098" s="94"/>
      <c r="K10098" s="94"/>
      <c r="M10098" s="94"/>
    </row>
    <row r="10099" s="93" customFormat="1" spans="3:13">
      <c r="C10099" s="94"/>
      <c r="E10099" s="94"/>
      <c r="G10099" s="94"/>
      <c r="I10099" s="94"/>
      <c r="K10099" s="94"/>
      <c r="M10099" s="94"/>
    </row>
    <row r="10100" s="93" customFormat="1" spans="3:13">
      <c r="C10100" s="94"/>
      <c r="E10100" s="94"/>
      <c r="G10100" s="94"/>
      <c r="I10100" s="94"/>
      <c r="K10100" s="94"/>
      <c r="M10100" s="94"/>
    </row>
    <row r="10101" s="93" customFormat="1" spans="3:13">
      <c r="C10101" s="94"/>
      <c r="E10101" s="94"/>
      <c r="G10101" s="94"/>
      <c r="I10101" s="94"/>
      <c r="K10101" s="94"/>
      <c r="M10101" s="94"/>
    </row>
    <row r="10102" s="93" customFormat="1" spans="3:13">
      <c r="C10102" s="94"/>
      <c r="E10102" s="94"/>
      <c r="G10102" s="94"/>
      <c r="I10102" s="94"/>
      <c r="K10102" s="94"/>
      <c r="M10102" s="94"/>
    </row>
    <row r="10103" s="93" customFormat="1" spans="3:13">
      <c r="C10103" s="94"/>
      <c r="E10103" s="94"/>
      <c r="G10103" s="94"/>
      <c r="I10103" s="94"/>
      <c r="K10103" s="94"/>
      <c r="M10103" s="94"/>
    </row>
    <row r="10104" s="93" customFormat="1" spans="3:13">
      <c r="C10104" s="94"/>
      <c r="E10104" s="94"/>
      <c r="G10104" s="94"/>
      <c r="I10104" s="94"/>
      <c r="K10104" s="94"/>
      <c r="M10104" s="94"/>
    </row>
    <row r="10105" s="93" customFormat="1" spans="3:13">
      <c r="C10105" s="94"/>
      <c r="E10105" s="94"/>
      <c r="G10105" s="94"/>
      <c r="I10105" s="94"/>
      <c r="K10105" s="94"/>
      <c r="M10105" s="94"/>
    </row>
    <row r="10106" s="93" customFormat="1" spans="3:13">
      <c r="C10106" s="94"/>
      <c r="E10106" s="94"/>
      <c r="G10106" s="94"/>
      <c r="I10106" s="94"/>
      <c r="K10106" s="94"/>
      <c r="M10106" s="94"/>
    </row>
    <row r="10107" s="93" customFormat="1" spans="3:13">
      <c r="C10107" s="94"/>
      <c r="E10107" s="94"/>
      <c r="G10107" s="94"/>
      <c r="I10107" s="94"/>
      <c r="K10107" s="94"/>
      <c r="M10107" s="94"/>
    </row>
    <row r="10108" s="93" customFormat="1" spans="3:13">
      <c r="C10108" s="94"/>
      <c r="E10108" s="94"/>
      <c r="G10108" s="94"/>
      <c r="I10108" s="94"/>
      <c r="K10108" s="94"/>
      <c r="M10108" s="94"/>
    </row>
    <row r="10109" s="93" customFormat="1" spans="3:13">
      <c r="C10109" s="94"/>
      <c r="E10109" s="94"/>
      <c r="G10109" s="94"/>
      <c r="I10109" s="94"/>
      <c r="K10109" s="94"/>
      <c r="M10109" s="94"/>
    </row>
    <row r="10110" s="93" customFormat="1" spans="3:13">
      <c r="C10110" s="94"/>
      <c r="E10110" s="94"/>
      <c r="G10110" s="94"/>
      <c r="I10110" s="94"/>
      <c r="K10110" s="94"/>
      <c r="M10110" s="94"/>
    </row>
    <row r="10111" s="93" customFormat="1" spans="3:13">
      <c r="C10111" s="94"/>
      <c r="E10111" s="94"/>
      <c r="G10111" s="94"/>
      <c r="I10111" s="94"/>
      <c r="K10111" s="94"/>
      <c r="M10111" s="94"/>
    </row>
    <row r="10112" s="93" customFormat="1" spans="3:13">
      <c r="C10112" s="94"/>
      <c r="E10112" s="94"/>
      <c r="G10112" s="94"/>
      <c r="I10112" s="94"/>
      <c r="K10112" s="94"/>
      <c r="M10112" s="94"/>
    </row>
    <row r="10113" s="93" customFormat="1" spans="3:13">
      <c r="C10113" s="94"/>
      <c r="E10113" s="94"/>
      <c r="G10113" s="94"/>
      <c r="I10113" s="94"/>
      <c r="K10113" s="94"/>
      <c r="M10113" s="94"/>
    </row>
    <row r="10114" s="93" customFormat="1" spans="3:13">
      <c r="C10114" s="94"/>
      <c r="E10114" s="94"/>
      <c r="G10114" s="94"/>
      <c r="I10114" s="94"/>
      <c r="K10114" s="94"/>
      <c r="M10114" s="94"/>
    </row>
    <row r="10115" s="93" customFormat="1" spans="3:13">
      <c r="C10115" s="94"/>
      <c r="E10115" s="94"/>
      <c r="G10115" s="94"/>
      <c r="I10115" s="94"/>
      <c r="K10115" s="94"/>
      <c r="M10115" s="94"/>
    </row>
    <row r="10116" s="93" customFormat="1" spans="3:13">
      <c r="C10116" s="94"/>
      <c r="E10116" s="94"/>
      <c r="G10116" s="94"/>
      <c r="I10116" s="94"/>
      <c r="K10116" s="94"/>
      <c r="M10116" s="94"/>
    </row>
    <row r="10117" s="93" customFormat="1" spans="3:13">
      <c r="C10117" s="94"/>
      <c r="E10117" s="94"/>
      <c r="G10117" s="94"/>
      <c r="I10117" s="94"/>
      <c r="K10117" s="94"/>
      <c r="M10117" s="94"/>
    </row>
    <row r="10118" s="93" customFormat="1" spans="3:13">
      <c r="C10118" s="94"/>
      <c r="E10118" s="94"/>
      <c r="G10118" s="94"/>
      <c r="I10118" s="94"/>
      <c r="K10118" s="94"/>
      <c r="M10118" s="94"/>
    </row>
    <row r="10119" s="93" customFormat="1" spans="3:13">
      <c r="C10119" s="94"/>
      <c r="E10119" s="94"/>
      <c r="G10119" s="94"/>
      <c r="I10119" s="94"/>
      <c r="K10119" s="94"/>
      <c r="M10119" s="94"/>
    </row>
    <row r="10120" s="93" customFormat="1" spans="3:13">
      <c r="C10120" s="94"/>
      <c r="E10120" s="94"/>
      <c r="G10120" s="94"/>
      <c r="I10120" s="94"/>
      <c r="K10120" s="94"/>
      <c r="M10120" s="94"/>
    </row>
    <row r="10121" s="93" customFormat="1" spans="3:13">
      <c r="C10121" s="94"/>
      <c r="E10121" s="94"/>
      <c r="G10121" s="94"/>
      <c r="I10121" s="94"/>
      <c r="K10121" s="94"/>
      <c r="M10121" s="94"/>
    </row>
    <row r="10122" s="93" customFormat="1" spans="3:13">
      <c r="C10122" s="94"/>
      <c r="E10122" s="94"/>
      <c r="G10122" s="94"/>
      <c r="I10122" s="94"/>
      <c r="K10122" s="94"/>
      <c r="M10122" s="94"/>
    </row>
    <row r="10123" s="93" customFormat="1" spans="3:13">
      <c r="C10123" s="94"/>
      <c r="E10123" s="94"/>
      <c r="G10123" s="94"/>
      <c r="I10123" s="94"/>
      <c r="K10123" s="94"/>
      <c r="M10123" s="94"/>
    </row>
    <row r="10124" s="93" customFormat="1" spans="3:13">
      <c r="C10124" s="94"/>
      <c r="E10124" s="94"/>
      <c r="G10124" s="94"/>
      <c r="I10124" s="94"/>
      <c r="K10124" s="94"/>
      <c r="M10124" s="94"/>
    </row>
    <row r="10125" s="93" customFormat="1" spans="3:13">
      <c r="C10125" s="94"/>
      <c r="E10125" s="94"/>
      <c r="G10125" s="94"/>
      <c r="I10125" s="94"/>
      <c r="K10125" s="94"/>
      <c r="M10125" s="94"/>
    </row>
    <row r="10126" s="93" customFormat="1" spans="3:13">
      <c r="C10126" s="94"/>
      <c r="E10126" s="94"/>
      <c r="G10126" s="94"/>
      <c r="I10126" s="94"/>
      <c r="K10126" s="94"/>
      <c r="M10126" s="94"/>
    </row>
    <row r="10127" s="93" customFormat="1" spans="3:13">
      <c r="C10127" s="94"/>
      <c r="E10127" s="94"/>
      <c r="G10127" s="94"/>
      <c r="I10127" s="94"/>
      <c r="K10127" s="94"/>
      <c r="M10127" s="94"/>
    </row>
    <row r="10128" s="93" customFormat="1" spans="3:13">
      <c r="C10128" s="94"/>
      <c r="E10128" s="94"/>
      <c r="G10128" s="94"/>
      <c r="I10128" s="94"/>
      <c r="K10128" s="94"/>
      <c r="M10128" s="94"/>
    </row>
    <row r="10129" s="93" customFormat="1" spans="3:13">
      <c r="C10129" s="94"/>
      <c r="E10129" s="94"/>
      <c r="G10129" s="94"/>
      <c r="I10129" s="94"/>
      <c r="K10129" s="94"/>
      <c r="M10129" s="94"/>
    </row>
    <row r="10130" s="93" customFormat="1" spans="3:13">
      <c r="C10130" s="94"/>
      <c r="E10130" s="94"/>
      <c r="G10130" s="94"/>
      <c r="I10130" s="94"/>
      <c r="K10130" s="94"/>
      <c r="M10130" s="94"/>
    </row>
    <row r="10131" s="93" customFormat="1" spans="3:13">
      <c r="C10131" s="94"/>
      <c r="E10131" s="94"/>
      <c r="G10131" s="94"/>
      <c r="I10131" s="94"/>
      <c r="K10131" s="94"/>
      <c r="M10131" s="94"/>
    </row>
    <row r="10132" s="93" customFormat="1" spans="3:13">
      <c r="C10132" s="94"/>
      <c r="E10132" s="94"/>
      <c r="G10132" s="94"/>
      <c r="I10132" s="94"/>
      <c r="K10132" s="94"/>
      <c r="M10132" s="94"/>
    </row>
    <row r="10133" s="93" customFormat="1" spans="3:13">
      <c r="C10133" s="94"/>
      <c r="E10133" s="94"/>
      <c r="G10133" s="94"/>
      <c r="I10133" s="94"/>
      <c r="K10133" s="94"/>
      <c r="M10133" s="94"/>
    </row>
    <row r="10134" s="93" customFormat="1" spans="3:13">
      <c r="C10134" s="94"/>
      <c r="E10134" s="94"/>
      <c r="G10134" s="94"/>
      <c r="I10134" s="94"/>
      <c r="K10134" s="94"/>
      <c r="M10134" s="94"/>
    </row>
    <row r="10135" s="93" customFormat="1" spans="3:13">
      <c r="C10135" s="94"/>
      <c r="E10135" s="94"/>
      <c r="G10135" s="94"/>
      <c r="I10135" s="94"/>
      <c r="K10135" s="94"/>
      <c r="M10135" s="94"/>
    </row>
    <row r="10136" s="93" customFormat="1" spans="3:13">
      <c r="C10136" s="94"/>
      <c r="E10136" s="94"/>
      <c r="G10136" s="94"/>
      <c r="I10136" s="94"/>
      <c r="K10136" s="94"/>
      <c r="M10136" s="94"/>
    </row>
    <row r="10137" s="93" customFormat="1" spans="3:13">
      <c r="C10137" s="94"/>
      <c r="E10137" s="94"/>
      <c r="G10137" s="94"/>
      <c r="I10137" s="94"/>
      <c r="K10137" s="94"/>
      <c r="M10137" s="94"/>
    </row>
    <row r="10138" s="93" customFormat="1" spans="3:13">
      <c r="C10138" s="94"/>
      <c r="E10138" s="94"/>
      <c r="G10138" s="94"/>
      <c r="I10138" s="94"/>
      <c r="K10138" s="94"/>
      <c r="M10138" s="94"/>
    </row>
    <row r="10139" s="93" customFormat="1" spans="3:13">
      <c r="C10139" s="94"/>
      <c r="E10139" s="94"/>
      <c r="G10139" s="94"/>
      <c r="I10139" s="94"/>
      <c r="K10139" s="94"/>
      <c r="M10139" s="94"/>
    </row>
    <row r="10140" s="93" customFormat="1" spans="3:13">
      <c r="C10140" s="94"/>
      <c r="E10140" s="94"/>
      <c r="G10140" s="94"/>
      <c r="I10140" s="94"/>
      <c r="K10140" s="94"/>
      <c r="M10140" s="94"/>
    </row>
    <row r="10141" s="93" customFormat="1" spans="3:13">
      <c r="C10141" s="94"/>
      <c r="E10141" s="94"/>
      <c r="G10141" s="94"/>
      <c r="I10141" s="94"/>
      <c r="K10141" s="94"/>
      <c r="M10141" s="94"/>
    </row>
    <row r="10142" s="93" customFormat="1" spans="3:13">
      <c r="C10142" s="94"/>
      <c r="E10142" s="94"/>
      <c r="G10142" s="94"/>
      <c r="I10142" s="94"/>
      <c r="K10142" s="94"/>
      <c r="M10142" s="94"/>
    </row>
    <row r="10143" s="93" customFormat="1" spans="3:13">
      <c r="C10143" s="94"/>
      <c r="E10143" s="94"/>
      <c r="G10143" s="94"/>
      <c r="I10143" s="94"/>
      <c r="K10143" s="94"/>
      <c r="M10143" s="94"/>
    </row>
    <row r="10144" s="93" customFormat="1" spans="3:13">
      <c r="C10144" s="94"/>
      <c r="E10144" s="94"/>
      <c r="G10144" s="94"/>
      <c r="I10144" s="94"/>
      <c r="K10144" s="94"/>
      <c r="M10144" s="94"/>
    </row>
    <row r="10145" s="93" customFormat="1" spans="3:13">
      <c r="C10145" s="94"/>
      <c r="E10145" s="94"/>
      <c r="G10145" s="94"/>
      <c r="I10145" s="94"/>
      <c r="K10145" s="94"/>
      <c r="M10145" s="94"/>
    </row>
    <row r="10146" s="93" customFormat="1" spans="3:13">
      <c r="C10146" s="94"/>
      <c r="E10146" s="94"/>
      <c r="G10146" s="94"/>
      <c r="I10146" s="94"/>
      <c r="K10146" s="94"/>
      <c r="M10146" s="94"/>
    </row>
    <row r="10147" s="93" customFormat="1" spans="3:13">
      <c r="C10147" s="94"/>
      <c r="E10147" s="94"/>
      <c r="G10147" s="94"/>
      <c r="I10147" s="94"/>
      <c r="K10147" s="94"/>
      <c r="M10147" s="94"/>
    </row>
    <row r="10148" s="93" customFormat="1" spans="3:13">
      <c r="C10148" s="94"/>
      <c r="E10148" s="94"/>
      <c r="G10148" s="94"/>
      <c r="I10148" s="94"/>
      <c r="K10148" s="94"/>
      <c r="M10148" s="94"/>
    </row>
    <row r="10149" s="93" customFormat="1" spans="3:13">
      <c r="C10149" s="94"/>
      <c r="E10149" s="94"/>
      <c r="G10149" s="94"/>
      <c r="I10149" s="94"/>
      <c r="K10149" s="94"/>
      <c r="M10149" s="94"/>
    </row>
    <row r="10150" s="93" customFormat="1" spans="3:13">
      <c r="C10150" s="94"/>
      <c r="E10150" s="94"/>
      <c r="G10150" s="94"/>
      <c r="I10150" s="94"/>
      <c r="K10150" s="94"/>
      <c r="M10150" s="94"/>
    </row>
    <row r="10151" s="93" customFormat="1" spans="3:13">
      <c r="C10151" s="94"/>
      <c r="E10151" s="94"/>
      <c r="G10151" s="94"/>
      <c r="I10151" s="94"/>
      <c r="K10151" s="94"/>
      <c r="M10151" s="94"/>
    </row>
    <row r="10152" s="93" customFormat="1" spans="3:13">
      <c r="C10152" s="94"/>
      <c r="E10152" s="94"/>
      <c r="G10152" s="94"/>
      <c r="I10152" s="94"/>
      <c r="K10152" s="94"/>
      <c r="M10152" s="94"/>
    </row>
    <row r="10153" s="93" customFormat="1" spans="3:13">
      <c r="C10153" s="94"/>
      <c r="E10153" s="94"/>
      <c r="G10153" s="94"/>
      <c r="I10153" s="94"/>
      <c r="K10153" s="94"/>
      <c r="M10153" s="94"/>
    </row>
    <row r="10154" s="93" customFormat="1" spans="3:13">
      <c r="C10154" s="94"/>
      <c r="E10154" s="94"/>
      <c r="G10154" s="94"/>
      <c r="I10154" s="94"/>
      <c r="K10154" s="94"/>
      <c r="M10154" s="94"/>
    </row>
    <row r="10155" s="93" customFormat="1" spans="3:13">
      <c r="C10155" s="94"/>
      <c r="E10155" s="94"/>
      <c r="G10155" s="94"/>
      <c r="I10155" s="94"/>
      <c r="K10155" s="94"/>
      <c r="M10155" s="94"/>
    </row>
    <row r="10156" s="93" customFormat="1" spans="3:13">
      <c r="C10156" s="94"/>
      <c r="E10156" s="94"/>
      <c r="G10156" s="94"/>
      <c r="I10156" s="94"/>
      <c r="K10156" s="94"/>
      <c r="M10156" s="94"/>
    </row>
    <row r="10157" s="93" customFormat="1" spans="3:13">
      <c r="C10157" s="94"/>
      <c r="E10157" s="94"/>
      <c r="G10157" s="94"/>
      <c r="I10157" s="94"/>
      <c r="K10157" s="94"/>
      <c r="M10157" s="94"/>
    </row>
    <row r="10158" s="93" customFormat="1" spans="3:13">
      <c r="C10158" s="94"/>
      <c r="E10158" s="94"/>
      <c r="G10158" s="94"/>
      <c r="I10158" s="94"/>
      <c r="K10158" s="94"/>
      <c r="M10158" s="94"/>
    </row>
    <row r="10159" s="93" customFormat="1" spans="3:13">
      <c r="C10159" s="94"/>
      <c r="E10159" s="94"/>
      <c r="G10159" s="94"/>
      <c r="I10159" s="94"/>
      <c r="K10159" s="94"/>
      <c r="M10159" s="94"/>
    </row>
    <row r="10160" s="93" customFormat="1" spans="3:13">
      <c r="C10160" s="94"/>
      <c r="E10160" s="94"/>
      <c r="G10160" s="94"/>
      <c r="I10160" s="94"/>
      <c r="K10160" s="94"/>
      <c r="M10160" s="94"/>
    </row>
    <row r="10161" s="93" customFormat="1" spans="3:13">
      <c r="C10161" s="94"/>
      <c r="E10161" s="94"/>
      <c r="G10161" s="94"/>
      <c r="I10161" s="94"/>
      <c r="K10161" s="94"/>
      <c r="M10161" s="94"/>
    </row>
    <row r="10162" s="93" customFormat="1" spans="3:13">
      <c r="C10162" s="94"/>
      <c r="E10162" s="94"/>
      <c r="G10162" s="94"/>
      <c r="I10162" s="94"/>
      <c r="K10162" s="94"/>
      <c r="M10162" s="94"/>
    </row>
    <row r="10163" s="93" customFormat="1" spans="3:13">
      <c r="C10163" s="94"/>
      <c r="E10163" s="94"/>
      <c r="G10163" s="94"/>
      <c r="I10163" s="94"/>
      <c r="K10163" s="94"/>
      <c r="M10163" s="94"/>
    </row>
    <row r="10164" s="93" customFormat="1" spans="3:13">
      <c r="C10164" s="94"/>
      <c r="E10164" s="94"/>
      <c r="G10164" s="94"/>
      <c r="I10164" s="94"/>
      <c r="K10164" s="94"/>
      <c r="M10164" s="94"/>
    </row>
    <row r="10165" s="93" customFormat="1" spans="3:13">
      <c r="C10165" s="94"/>
      <c r="E10165" s="94"/>
      <c r="G10165" s="94"/>
      <c r="I10165" s="94"/>
      <c r="K10165" s="94"/>
      <c r="M10165" s="94"/>
    </row>
    <row r="10166" s="93" customFormat="1" spans="3:13">
      <c r="C10166" s="94"/>
      <c r="E10166" s="94"/>
      <c r="G10166" s="94"/>
      <c r="I10166" s="94"/>
      <c r="K10166" s="94"/>
      <c r="M10166" s="94"/>
    </row>
    <row r="10167" s="93" customFormat="1" spans="3:13">
      <c r="C10167" s="94"/>
      <c r="E10167" s="94"/>
      <c r="G10167" s="94"/>
      <c r="I10167" s="94"/>
      <c r="K10167" s="94"/>
      <c r="M10167" s="94"/>
    </row>
    <row r="10168" s="93" customFormat="1" spans="3:13">
      <c r="C10168" s="94"/>
      <c r="E10168" s="94"/>
      <c r="G10168" s="94"/>
      <c r="I10168" s="94"/>
      <c r="K10168" s="94"/>
      <c r="M10168" s="94"/>
    </row>
    <row r="10169" s="93" customFormat="1" spans="3:13">
      <c r="C10169" s="94"/>
      <c r="E10169" s="94"/>
      <c r="G10169" s="94"/>
      <c r="I10169" s="94"/>
      <c r="K10169" s="94"/>
      <c r="M10169" s="94"/>
    </row>
    <row r="10170" s="93" customFormat="1" spans="3:13">
      <c r="C10170" s="94"/>
      <c r="E10170" s="94"/>
      <c r="G10170" s="94"/>
      <c r="I10170" s="94"/>
      <c r="K10170" s="94"/>
      <c r="M10170" s="94"/>
    </row>
    <row r="10171" s="93" customFormat="1" spans="3:13">
      <c r="C10171" s="94"/>
      <c r="E10171" s="94"/>
      <c r="G10171" s="94"/>
      <c r="I10171" s="94"/>
      <c r="K10171" s="94"/>
      <c r="M10171" s="94"/>
    </row>
    <row r="10172" s="93" customFormat="1" spans="3:13">
      <c r="C10172" s="94"/>
      <c r="E10172" s="94"/>
      <c r="G10172" s="94"/>
      <c r="I10172" s="94"/>
      <c r="K10172" s="94"/>
      <c r="M10172" s="94"/>
    </row>
    <row r="10173" s="93" customFormat="1" spans="3:13">
      <c r="C10173" s="94"/>
      <c r="E10173" s="94"/>
      <c r="G10173" s="94"/>
      <c r="I10173" s="94"/>
      <c r="K10173" s="94"/>
      <c r="M10173" s="94"/>
    </row>
    <row r="10174" s="93" customFormat="1" spans="3:13">
      <c r="C10174" s="94"/>
      <c r="E10174" s="94"/>
      <c r="G10174" s="94"/>
      <c r="I10174" s="94"/>
      <c r="K10174" s="94"/>
      <c r="M10174" s="94"/>
    </row>
    <row r="10175" s="93" customFormat="1" spans="3:13">
      <c r="C10175" s="94"/>
      <c r="E10175" s="94"/>
      <c r="G10175" s="94"/>
      <c r="I10175" s="94"/>
      <c r="K10175" s="94"/>
      <c r="M10175" s="94"/>
    </row>
    <row r="10176" s="93" customFormat="1" spans="3:13">
      <c r="C10176" s="94"/>
      <c r="E10176" s="94"/>
      <c r="G10176" s="94"/>
      <c r="I10176" s="94"/>
      <c r="K10176" s="94"/>
      <c r="M10176" s="94"/>
    </row>
    <row r="10177" s="93" customFormat="1" spans="3:13">
      <c r="C10177" s="94"/>
      <c r="E10177" s="94"/>
      <c r="G10177" s="94"/>
      <c r="I10177" s="94"/>
      <c r="K10177" s="94"/>
      <c r="M10177" s="94"/>
    </row>
    <row r="10178" s="93" customFormat="1" spans="3:13">
      <c r="C10178" s="94"/>
      <c r="E10178" s="94"/>
      <c r="G10178" s="94"/>
      <c r="I10178" s="94"/>
      <c r="K10178" s="94"/>
      <c r="M10178" s="94"/>
    </row>
    <row r="10179" s="93" customFormat="1" spans="3:13">
      <c r="C10179" s="94"/>
      <c r="E10179" s="94"/>
      <c r="G10179" s="94"/>
      <c r="I10179" s="94"/>
      <c r="K10179" s="94"/>
      <c r="M10179" s="94"/>
    </row>
    <row r="10180" s="93" customFormat="1" spans="3:13">
      <c r="C10180" s="94"/>
      <c r="E10180" s="94"/>
      <c r="G10180" s="94"/>
      <c r="I10180" s="94"/>
      <c r="K10180" s="94"/>
      <c r="M10180" s="94"/>
    </row>
    <row r="10181" s="93" customFormat="1" spans="3:13">
      <c r="C10181" s="94"/>
      <c r="E10181" s="94"/>
      <c r="G10181" s="94"/>
      <c r="I10181" s="94"/>
      <c r="K10181" s="94"/>
      <c r="M10181" s="94"/>
    </row>
    <row r="10182" s="93" customFormat="1" spans="3:13">
      <c r="C10182" s="94"/>
      <c r="E10182" s="94"/>
      <c r="G10182" s="94"/>
      <c r="I10182" s="94"/>
      <c r="K10182" s="94"/>
      <c r="M10182" s="94"/>
    </row>
    <row r="10183" s="93" customFormat="1" spans="3:13">
      <c r="C10183" s="94"/>
      <c r="E10183" s="94"/>
      <c r="G10183" s="94"/>
      <c r="I10183" s="94"/>
      <c r="K10183" s="94"/>
      <c r="M10183" s="94"/>
    </row>
    <row r="10184" s="93" customFormat="1" spans="3:13">
      <c r="C10184" s="94"/>
      <c r="E10184" s="94"/>
      <c r="G10184" s="94"/>
      <c r="I10184" s="94"/>
      <c r="K10184" s="94"/>
      <c r="M10184" s="94"/>
    </row>
    <row r="10185" s="93" customFormat="1" spans="3:13">
      <c r="C10185" s="94"/>
      <c r="E10185" s="94"/>
      <c r="G10185" s="94"/>
      <c r="I10185" s="94"/>
      <c r="K10185" s="94"/>
      <c r="M10185" s="94"/>
    </row>
    <row r="10186" s="93" customFormat="1" spans="3:13">
      <c r="C10186" s="94"/>
      <c r="E10186" s="94"/>
      <c r="G10186" s="94"/>
      <c r="I10186" s="94"/>
      <c r="K10186" s="94"/>
      <c r="M10186" s="94"/>
    </row>
    <row r="10187" s="93" customFormat="1" spans="3:13">
      <c r="C10187" s="94"/>
      <c r="E10187" s="94"/>
      <c r="G10187" s="94"/>
      <c r="I10187" s="94"/>
      <c r="K10187" s="94"/>
      <c r="M10187" s="94"/>
    </row>
    <row r="10188" s="93" customFormat="1" spans="3:13">
      <c r="C10188" s="94"/>
      <c r="E10188" s="94"/>
      <c r="G10188" s="94"/>
      <c r="I10188" s="94"/>
      <c r="K10188" s="94"/>
      <c r="M10188" s="94"/>
    </row>
    <row r="10189" s="93" customFormat="1" spans="3:13">
      <c r="C10189" s="94"/>
      <c r="E10189" s="94"/>
      <c r="G10189" s="94"/>
      <c r="I10189" s="94"/>
      <c r="K10189" s="94"/>
      <c r="M10189" s="94"/>
    </row>
    <row r="10190" s="93" customFormat="1" spans="3:13">
      <c r="C10190" s="94"/>
      <c r="E10190" s="94"/>
      <c r="G10190" s="94"/>
      <c r="I10190" s="94"/>
      <c r="K10190" s="94"/>
      <c r="M10190" s="94"/>
    </row>
    <row r="10191" s="93" customFormat="1" spans="3:13">
      <c r="C10191" s="94"/>
      <c r="E10191" s="94"/>
      <c r="G10191" s="94"/>
      <c r="I10191" s="94"/>
      <c r="K10191" s="94"/>
      <c r="M10191" s="94"/>
    </row>
    <row r="10192" s="93" customFormat="1" spans="3:13">
      <c r="C10192" s="94"/>
      <c r="E10192" s="94"/>
      <c r="G10192" s="94"/>
      <c r="I10192" s="94"/>
      <c r="K10192" s="94"/>
      <c r="M10192" s="94"/>
    </row>
    <row r="10193" s="93" customFormat="1" spans="3:13">
      <c r="C10193" s="94"/>
      <c r="E10193" s="94"/>
      <c r="G10193" s="94"/>
      <c r="I10193" s="94"/>
      <c r="K10193" s="94"/>
      <c r="M10193" s="94"/>
    </row>
    <row r="10194" s="93" customFormat="1" spans="3:13">
      <c r="C10194" s="94"/>
      <c r="E10194" s="94"/>
      <c r="G10194" s="94"/>
      <c r="I10194" s="94"/>
      <c r="K10194" s="94"/>
      <c r="M10194" s="94"/>
    </row>
    <row r="10195" s="93" customFormat="1" spans="3:13">
      <c r="C10195" s="94"/>
      <c r="E10195" s="94"/>
      <c r="G10195" s="94"/>
      <c r="I10195" s="94"/>
      <c r="K10195" s="94"/>
      <c r="M10195" s="94"/>
    </row>
    <row r="10196" s="93" customFormat="1" spans="3:13">
      <c r="C10196" s="94"/>
      <c r="E10196" s="94"/>
      <c r="G10196" s="94"/>
      <c r="I10196" s="94"/>
      <c r="K10196" s="94"/>
      <c r="M10196" s="94"/>
    </row>
    <row r="10197" s="93" customFormat="1" spans="3:13">
      <c r="C10197" s="94"/>
      <c r="E10197" s="94"/>
      <c r="G10197" s="94"/>
      <c r="I10197" s="94"/>
      <c r="K10197" s="94"/>
      <c r="M10197" s="94"/>
    </row>
    <row r="10198" s="93" customFormat="1" spans="3:13">
      <c r="C10198" s="94"/>
      <c r="E10198" s="94"/>
      <c r="G10198" s="94"/>
      <c r="I10198" s="94"/>
      <c r="K10198" s="94"/>
      <c r="M10198" s="94"/>
    </row>
    <row r="10199" s="93" customFormat="1" spans="3:13">
      <c r="C10199" s="94"/>
      <c r="E10199" s="94"/>
      <c r="G10199" s="94"/>
      <c r="I10199" s="94"/>
      <c r="K10199" s="94"/>
      <c r="M10199" s="94"/>
    </row>
    <row r="10200" s="93" customFormat="1" spans="3:13">
      <c r="C10200" s="94"/>
      <c r="E10200" s="94"/>
      <c r="G10200" s="94"/>
      <c r="I10200" s="94"/>
      <c r="K10200" s="94"/>
      <c r="M10200" s="94"/>
    </row>
    <row r="10201" s="93" customFormat="1" spans="3:13">
      <c r="C10201" s="94"/>
      <c r="E10201" s="94"/>
      <c r="G10201" s="94"/>
      <c r="I10201" s="94"/>
      <c r="K10201" s="94"/>
      <c r="M10201" s="94"/>
    </row>
    <row r="10202" s="93" customFormat="1" spans="3:13">
      <c r="C10202" s="94"/>
      <c r="E10202" s="94"/>
      <c r="G10202" s="94"/>
      <c r="I10202" s="94"/>
      <c r="K10202" s="94"/>
      <c r="M10202" s="94"/>
    </row>
    <row r="10203" s="93" customFormat="1" spans="3:13">
      <c r="C10203" s="94"/>
      <c r="E10203" s="94"/>
      <c r="G10203" s="94"/>
      <c r="I10203" s="94"/>
      <c r="K10203" s="94"/>
      <c r="M10203" s="94"/>
    </row>
    <row r="10204" s="93" customFormat="1" spans="3:13">
      <c r="C10204" s="94"/>
      <c r="E10204" s="94"/>
      <c r="G10204" s="94"/>
      <c r="I10204" s="94"/>
      <c r="K10204" s="94"/>
      <c r="M10204" s="94"/>
    </row>
    <row r="10205" s="93" customFormat="1" spans="3:13">
      <c r="C10205" s="94"/>
      <c r="E10205" s="94"/>
      <c r="G10205" s="94"/>
      <c r="I10205" s="94"/>
      <c r="K10205" s="94"/>
      <c r="M10205" s="94"/>
    </row>
    <row r="10206" s="93" customFormat="1" spans="3:13">
      <c r="C10206" s="94"/>
      <c r="E10206" s="94"/>
      <c r="G10206" s="94"/>
      <c r="I10206" s="94"/>
      <c r="K10206" s="94"/>
      <c r="M10206" s="94"/>
    </row>
    <row r="10207" s="93" customFormat="1" spans="3:13">
      <c r="C10207" s="94"/>
      <c r="E10207" s="94"/>
      <c r="G10207" s="94"/>
      <c r="I10207" s="94"/>
      <c r="K10207" s="94"/>
      <c r="M10207" s="94"/>
    </row>
    <row r="10208" s="93" customFormat="1" spans="3:13">
      <c r="C10208" s="94"/>
      <c r="E10208" s="94"/>
      <c r="G10208" s="94"/>
      <c r="I10208" s="94"/>
      <c r="K10208" s="94"/>
      <c r="M10208" s="94"/>
    </row>
    <row r="10209" s="93" customFormat="1" spans="3:13">
      <c r="C10209" s="94"/>
      <c r="E10209" s="94"/>
      <c r="G10209" s="94"/>
      <c r="I10209" s="94"/>
      <c r="K10209" s="94"/>
      <c r="M10209" s="94"/>
    </row>
    <row r="10210" s="93" customFormat="1" spans="3:13">
      <c r="C10210" s="94"/>
      <c r="E10210" s="94"/>
      <c r="G10210" s="94"/>
      <c r="I10210" s="94"/>
      <c r="K10210" s="94"/>
      <c r="M10210" s="94"/>
    </row>
    <row r="10211" s="93" customFormat="1" spans="3:13">
      <c r="C10211" s="94"/>
      <c r="E10211" s="94"/>
      <c r="G10211" s="94"/>
      <c r="I10211" s="94"/>
      <c r="K10211" s="94"/>
      <c r="M10211" s="94"/>
    </row>
    <row r="10212" s="93" customFormat="1" spans="3:13">
      <c r="C10212" s="94"/>
      <c r="E10212" s="94"/>
      <c r="G10212" s="94"/>
      <c r="I10212" s="94"/>
      <c r="K10212" s="94"/>
      <c r="M10212" s="94"/>
    </row>
    <row r="10213" s="93" customFormat="1" spans="3:13">
      <c r="C10213" s="94"/>
      <c r="E10213" s="94"/>
      <c r="G10213" s="94"/>
      <c r="I10213" s="94"/>
      <c r="K10213" s="94"/>
      <c r="M10213" s="94"/>
    </row>
    <row r="10214" s="93" customFormat="1" spans="3:13">
      <c r="C10214" s="94"/>
      <c r="E10214" s="94"/>
      <c r="G10214" s="94"/>
      <c r="I10214" s="94"/>
      <c r="K10214" s="94"/>
      <c r="M10214" s="94"/>
    </row>
    <row r="10215" s="93" customFormat="1" spans="3:13">
      <c r="C10215" s="94"/>
      <c r="E10215" s="94"/>
      <c r="G10215" s="94"/>
      <c r="I10215" s="94"/>
      <c r="K10215" s="94"/>
      <c r="M10215" s="94"/>
    </row>
    <row r="10216" s="93" customFormat="1" spans="3:13">
      <c r="C10216" s="94"/>
      <c r="E10216" s="94"/>
      <c r="G10216" s="94"/>
      <c r="I10216" s="94"/>
      <c r="K10216" s="94"/>
      <c r="M10216" s="94"/>
    </row>
    <row r="10217" s="93" customFormat="1" spans="3:13">
      <c r="C10217" s="94"/>
      <c r="E10217" s="94"/>
      <c r="G10217" s="94"/>
      <c r="I10217" s="94"/>
      <c r="K10217" s="94"/>
      <c r="M10217" s="94"/>
    </row>
    <row r="10218" s="93" customFormat="1" spans="3:13">
      <c r="C10218" s="94"/>
      <c r="E10218" s="94"/>
      <c r="G10218" s="94"/>
      <c r="I10218" s="94"/>
      <c r="K10218" s="94"/>
      <c r="M10218" s="94"/>
    </row>
    <row r="10219" s="93" customFormat="1" spans="3:13">
      <c r="C10219" s="94"/>
      <c r="E10219" s="94"/>
      <c r="G10219" s="94"/>
      <c r="I10219" s="94"/>
      <c r="K10219" s="94"/>
      <c r="M10219" s="94"/>
    </row>
    <row r="10220" s="93" customFormat="1" spans="3:13">
      <c r="C10220" s="94"/>
      <c r="E10220" s="94"/>
      <c r="G10220" s="94"/>
      <c r="I10220" s="94"/>
      <c r="K10220" s="94"/>
      <c r="M10220" s="94"/>
    </row>
    <row r="10221" s="93" customFormat="1" spans="3:13">
      <c r="C10221" s="94"/>
      <c r="E10221" s="94"/>
      <c r="G10221" s="94"/>
      <c r="I10221" s="94"/>
      <c r="K10221" s="94"/>
      <c r="M10221" s="94"/>
    </row>
    <row r="10222" s="93" customFormat="1" spans="3:13">
      <c r="C10222" s="94"/>
      <c r="E10222" s="94"/>
      <c r="G10222" s="94"/>
      <c r="I10222" s="94"/>
      <c r="K10222" s="94"/>
      <c r="M10222" s="94"/>
    </row>
    <row r="10223" s="93" customFormat="1" spans="3:13">
      <c r="C10223" s="94"/>
      <c r="E10223" s="94"/>
      <c r="G10223" s="94"/>
      <c r="I10223" s="94"/>
      <c r="K10223" s="94"/>
      <c r="M10223" s="94"/>
    </row>
    <row r="10224" s="93" customFormat="1" spans="3:13">
      <c r="C10224" s="94"/>
      <c r="E10224" s="94"/>
      <c r="G10224" s="94"/>
      <c r="I10224" s="94"/>
      <c r="K10224" s="94"/>
      <c r="M10224" s="94"/>
    </row>
    <row r="10225" s="93" customFormat="1" spans="3:13">
      <c r="C10225" s="94"/>
      <c r="E10225" s="94"/>
      <c r="G10225" s="94"/>
      <c r="I10225" s="94"/>
      <c r="K10225" s="94"/>
      <c r="M10225" s="94"/>
    </row>
    <row r="10226" s="93" customFormat="1" spans="3:13">
      <c r="C10226" s="94"/>
      <c r="E10226" s="94"/>
      <c r="G10226" s="94"/>
      <c r="I10226" s="94"/>
      <c r="K10226" s="94"/>
      <c r="M10226" s="94"/>
    </row>
    <row r="10227" s="93" customFormat="1" spans="3:13">
      <c r="C10227" s="94"/>
      <c r="E10227" s="94"/>
      <c r="G10227" s="94"/>
      <c r="I10227" s="94"/>
      <c r="K10227" s="94"/>
      <c r="M10227" s="94"/>
    </row>
    <row r="10228" s="93" customFormat="1" spans="3:13">
      <c r="C10228" s="94"/>
      <c r="E10228" s="94"/>
      <c r="G10228" s="94"/>
      <c r="I10228" s="94"/>
      <c r="K10228" s="94"/>
      <c r="M10228" s="94"/>
    </row>
    <row r="10229" s="93" customFormat="1" spans="3:13">
      <c r="C10229" s="94"/>
      <c r="E10229" s="94"/>
      <c r="G10229" s="94"/>
      <c r="I10229" s="94"/>
      <c r="K10229" s="94"/>
      <c r="M10229" s="94"/>
    </row>
    <row r="10230" s="93" customFormat="1" spans="3:13">
      <c r="C10230" s="94"/>
      <c r="E10230" s="94"/>
      <c r="G10230" s="94"/>
      <c r="I10230" s="94"/>
      <c r="K10230" s="94"/>
      <c r="M10230" s="94"/>
    </row>
    <row r="10231" s="93" customFormat="1" spans="3:13">
      <c r="C10231" s="94"/>
      <c r="E10231" s="94"/>
      <c r="G10231" s="94"/>
      <c r="I10231" s="94"/>
      <c r="K10231" s="94"/>
      <c r="M10231" s="94"/>
    </row>
    <row r="10232" s="93" customFormat="1" spans="3:13">
      <c r="C10232" s="94"/>
      <c r="E10232" s="94"/>
      <c r="G10232" s="94"/>
      <c r="I10232" s="94"/>
      <c r="K10232" s="94"/>
      <c r="M10232" s="94"/>
    </row>
    <row r="10233" s="93" customFormat="1" spans="3:13">
      <c r="C10233" s="94"/>
      <c r="E10233" s="94"/>
      <c r="G10233" s="94"/>
      <c r="I10233" s="94"/>
      <c r="K10233" s="94"/>
      <c r="M10233" s="94"/>
    </row>
    <row r="10234" s="93" customFormat="1" spans="3:13">
      <c r="C10234" s="94"/>
      <c r="E10234" s="94"/>
      <c r="G10234" s="94"/>
      <c r="I10234" s="94"/>
      <c r="K10234" s="94"/>
      <c r="M10234" s="94"/>
    </row>
    <row r="10235" s="93" customFormat="1" spans="3:13">
      <c r="C10235" s="94"/>
      <c r="E10235" s="94"/>
      <c r="G10235" s="94"/>
      <c r="I10235" s="94"/>
      <c r="K10235" s="94"/>
      <c r="M10235" s="94"/>
    </row>
    <row r="10236" s="93" customFormat="1" spans="3:13">
      <c r="C10236" s="94"/>
      <c r="E10236" s="94"/>
      <c r="G10236" s="94"/>
      <c r="I10236" s="94"/>
      <c r="K10236" s="94"/>
      <c r="M10236" s="94"/>
    </row>
    <row r="10237" s="93" customFormat="1" spans="3:13">
      <c r="C10237" s="94"/>
      <c r="E10237" s="94"/>
      <c r="G10237" s="94"/>
      <c r="I10237" s="94"/>
      <c r="K10237" s="94"/>
      <c r="M10237" s="94"/>
    </row>
    <row r="10238" s="93" customFormat="1" spans="3:13">
      <c r="C10238" s="94"/>
      <c r="E10238" s="94"/>
      <c r="G10238" s="94"/>
      <c r="I10238" s="94"/>
      <c r="K10238" s="94"/>
      <c r="M10238" s="94"/>
    </row>
    <row r="10239" s="93" customFormat="1" spans="3:13">
      <c r="C10239" s="94"/>
      <c r="E10239" s="94"/>
      <c r="G10239" s="94"/>
      <c r="I10239" s="94"/>
      <c r="K10239" s="94"/>
      <c r="M10239" s="94"/>
    </row>
    <row r="10240" s="93" customFormat="1" spans="3:13">
      <c r="C10240" s="94"/>
      <c r="E10240" s="94"/>
      <c r="G10240" s="94"/>
      <c r="I10240" s="94"/>
      <c r="K10240" s="94"/>
      <c r="M10240" s="94"/>
    </row>
    <row r="10241" s="93" customFormat="1" spans="3:13">
      <c r="C10241" s="94"/>
      <c r="E10241" s="94"/>
      <c r="G10241" s="94"/>
      <c r="I10241" s="94"/>
      <c r="K10241" s="94"/>
      <c r="M10241" s="94"/>
    </row>
    <row r="10242" s="93" customFormat="1" spans="3:13">
      <c r="C10242" s="94"/>
      <c r="E10242" s="94"/>
      <c r="G10242" s="94"/>
      <c r="I10242" s="94"/>
      <c r="K10242" s="94"/>
      <c r="M10242" s="94"/>
    </row>
    <row r="10243" s="93" customFormat="1" spans="3:13">
      <c r="C10243" s="94"/>
      <c r="E10243" s="94"/>
      <c r="G10243" s="94"/>
      <c r="I10243" s="94"/>
      <c r="K10243" s="94"/>
      <c r="M10243" s="94"/>
    </row>
    <row r="10244" s="93" customFormat="1" spans="3:13">
      <c r="C10244" s="94"/>
      <c r="E10244" s="94"/>
      <c r="G10244" s="94"/>
      <c r="I10244" s="94"/>
      <c r="K10244" s="94"/>
      <c r="M10244" s="94"/>
    </row>
    <row r="10245" s="93" customFormat="1" spans="3:13">
      <c r="C10245" s="94"/>
      <c r="E10245" s="94"/>
      <c r="G10245" s="94"/>
      <c r="I10245" s="94"/>
      <c r="K10245" s="94"/>
      <c r="M10245" s="94"/>
    </row>
    <row r="10246" s="93" customFormat="1" spans="3:13">
      <c r="C10246" s="94"/>
      <c r="E10246" s="94"/>
      <c r="G10246" s="94"/>
      <c r="I10246" s="94"/>
      <c r="K10246" s="94"/>
      <c r="M10246" s="94"/>
    </row>
    <row r="10247" s="93" customFormat="1" spans="3:13">
      <c r="C10247" s="94"/>
      <c r="E10247" s="94"/>
      <c r="G10247" s="94"/>
      <c r="I10247" s="94"/>
      <c r="K10247" s="94"/>
      <c r="M10247" s="94"/>
    </row>
    <row r="10248" s="93" customFormat="1" spans="3:13">
      <c r="C10248" s="94"/>
      <c r="E10248" s="94"/>
      <c r="G10248" s="94"/>
      <c r="I10248" s="94"/>
      <c r="K10248" s="94"/>
      <c r="M10248" s="94"/>
    </row>
    <row r="10249" s="93" customFormat="1" spans="3:13">
      <c r="C10249" s="94"/>
      <c r="E10249" s="94"/>
      <c r="G10249" s="94"/>
      <c r="I10249" s="94"/>
      <c r="K10249" s="94"/>
      <c r="M10249" s="94"/>
    </row>
    <row r="10250" s="93" customFormat="1" spans="3:13">
      <c r="C10250" s="94"/>
      <c r="E10250" s="94"/>
      <c r="G10250" s="94"/>
      <c r="I10250" s="94"/>
      <c r="K10250" s="94"/>
      <c r="M10250" s="94"/>
    </row>
    <row r="10251" s="93" customFormat="1" spans="3:13">
      <c r="C10251" s="94"/>
      <c r="E10251" s="94"/>
      <c r="G10251" s="94"/>
      <c r="I10251" s="94"/>
      <c r="K10251" s="94"/>
      <c r="M10251" s="94"/>
    </row>
    <row r="10252" s="93" customFormat="1" spans="3:13">
      <c r="C10252" s="94"/>
      <c r="E10252" s="94"/>
      <c r="G10252" s="94"/>
      <c r="I10252" s="94"/>
      <c r="K10252" s="94"/>
      <c r="M10252" s="94"/>
    </row>
    <row r="10253" s="93" customFormat="1" spans="3:13">
      <c r="C10253" s="94"/>
      <c r="E10253" s="94"/>
      <c r="G10253" s="94"/>
      <c r="I10253" s="94"/>
      <c r="K10253" s="94"/>
      <c r="M10253" s="94"/>
    </row>
    <row r="10254" s="93" customFormat="1" spans="3:13">
      <c r="C10254" s="94"/>
      <c r="E10254" s="94"/>
      <c r="G10254" s="94"/>
      <c r="I10254" s="94"/>
      <c r="K10254" s="94"/>
      <c r="M10254" s="94"/>
    </row>
    <row r="10255" s="93" customFormat="1" spans="3:13">
      <c r="C10255" s="94"/>
      <c r="E10255" s="94"/>
      <c r="G10255" s="94"/>
      <c r="I10255" s="94"/>
      <c r="K10255" s="94"/>
      <c r="M10255" s="94"/>
    </row>
    <row r="10256" s="93" customFormat="1" spans="3:13">
      <c r="C10256" s="94"/>
      <c r="E10256" s="94"/>
      <c r="G10256" s="94"/>
      <c r="I10256" s="94"/>
      <c r="K10256" s="94"/>
      <c r="M10256" s="94"/>
    </row>
    <row r="10257" s="93" customFormat="1" spans="3:13">
      <c r="C10257" s="94"/>
      <c r="E10257" s="94"/>
      <c r="G10257" s="94"/>
      <c r="I10257" s="94"/>
      <c r="K10257" s="94"/>
      <c r="M10257" s="94"/>
    </row>
    <row r="10258" s="93" customFormat="1" spans="3:13">
      <c r="C10258" s="94"/>
      <c r="E10258" s="94"/>
      <c r="G10258" s="94"/>
      <c r="I10258" s="94"/>
      <c r="K10258" s="94"/>
      <c r="M10258" s="94"/>
    </row>
    <row r="10259" s="93" customFormat="1" spans="3:13">
      <c r="C10259" s="94"/>
      <c r="E10259" s="94"/>
      <c r="G10259" s="94"/>
      <c r="I10259" s="94"/>
      <c r="K10259" s="94"/>
      <c r="M10259" s="94"/>
    </row>
    <row r="10260" s="93" customFormat="1" spans="3:13">
      <c r="C10260" s="94"/>
      <c r="E10260" s="94"/>
      <c r="G10260" s="94"/>
      <c r="I10260" s="94"/>
      <c r="K10260" s="94"/>
      <c r="M10260" s="94"/>
    </row>
    <row r="10261" s="93" customFormat="1" spans="3:13">
      <c r="C10261" s="94"/>
      <c r="E10261" s="94"/>
      <c r="G10261" s="94"/>
      <c r="I10261" s="94"/>
      <c r="K10261" s="94"/>
      <c r="M10261" s="94"/>
    </row>
    <row r="10262" s="93" customFormat="1" spans="3:13">
      <c r="C10262" s="94"/>
      <c r="E10262" s="94"/>
      <c r="G10262" s="94"/>
      <c r="I10262" s="94"/>
      <c r="K10262" s="94"/>
      <c r="M10262" s="94"/>
    </row>
    <row r="10263" s="93" customFormat="1" spans="3:13">
      <c r="C10263" s="94"/>
      <c r="E10263" s="94"/>
      <c r="G10263" s="94"/>
      <c r="I10263" s="94"/>
      <c r="K10263" s="94"/>
      <c r="M10263" s="94"/>
    </row>
    <row r="10264" s="93" customFormat="1" spans="3:13">
      <c r="C10264" s="94"/>
      <c r="E10264" s="94"/>
      <c r="G10264" s="94"/>
      <c r="I10264" s="94"/>
      <c r="K10264" s="94"/>
      <c r="M10264" s="94"/>
    </row>
    <row r="10265" s="93" customFormat="1" spans="3:13">
      <c r="C10265" s="94"/>
      <c r="E10265" s="94"/>
      <c r="G10265" s="94"/>
      <c r="I10265" s="94"/>
      <c r="K10265" s="94"/>
      <c r="M10265" s="94"/>
    </row>
    <row r="10266" s="93" customFormat="1" spans="3:13">
      <c r="C10266" s="94"/>
      <c r="E10266" s="94"/>
      <c r="G10266" s="94"/>
      <c r="I10266" s="94"/>
      <c r="K10266" s="94"/>
      <c r="M10266" s="94"/>
    </row>
    <row r="10267" s="93" customFormat="1" spans="3:13">
      <c r="C10267" s="94"/>
      <c r="E10267" s="94"/>
      <c r="G10267" s="94"/>
      <c r="I10267" s="94"/>
      <c r="K10267" s="94"/>
      <c r="M10267" s="94"/>
    </row>
    <row r="10268" s="93" customFormat="1" spans="3:13">
      <c r="C10268" s="94"/>
      <c r="E10268" s="94"/>
      <c r="G10268" s="94"/>
      <c r="I10268" s="94"/>
      <c r="K10268" s="94"/>
      <c r="M10268" s="94"/>
    </row>
    <row r="10269" s="93" customFormat="1" spans="3:13">
      <c r="C10269" s="94"/>
      <c r="E10269" s="94"/>
      <c r="G10269" s="94"/>
      <c r="I10269" s="94"/>
      <c r="K10269" s="94"/>
      <c r="M10269" s="94"/>
    </row>
    <row r="10270" s="93" customFormat="1" spans="3:13">
      <c r="C10270" s="94"/>
      <c r="E10270" s="94"/>
      <c r="G10270" s="94"/>
      <c r="I10270" s="94"/>
      <c r="K10270" s="94"/>
      <c r="M10270" s="94"/>
    </row>
    <row r="10271" s="93" customFormat="1" spans="3:13">
      <c r="C10271" s="94"/>
      <c r="E10271" s="94"/>
      <c r="G10271" s="94"/>
      <c r="I10271" s="94"/>
      <c r="K10271" s="94"/>
      <c r="M10271" s="94"/>
    </row>
    <row r="10272" s="93" customFormat="1" spans="3:13">
      <c r="C10272" s="94"/>
      <c r="E10272" s="94"/>
      <c r="G10272" s="94"/>
      <c r="I10272" s="94"/>
      <c r="K10272" s="94"/>
      <c r="M10272" s="94"/>
    </row>
    <row r="10273" s="93" customFormat="1" spans="3:13">
      <c r="C10273" s="94"/>
      <c r="E10273" s="94"/>
      <c r="G10273" s="94"/>
      <c r="I10273" s="94"/>
      <c r="K10273" s="94"/>
      <c r="M10273" s="94"/>
    </row>
    <row r="10274" s="93" customFormat="1" spans="3:13">
      <c r="C10274" s="94"/>
      <c r="E10274" s="94"/>
      <c r="G10274" s="94"/>
      <c r="I10274" s="94"/>
      <c r="K10274" s="94"/>
      <c r="M10274" s="94"/>
    </row>
    <row r="10275" s="93" customFormat="1" spans="3:13">
      <c r="C10275" s="94"/>
      <c r="E10275" s="94"/>
      <c r="G10275" s="94"/>
      <c r="I10275" s="94"/>
      <c r="K10275" s="94"/>
      <c r="M10275" s="94"/>
    </row>
    <row r="10276" s="93" customFormat="1" spans="3:13">
      <c r="C10276" s="94"/>
      <c r="E10276" s="94"/>
      <c r="G10276" s="94"/>
      <c r="I10276" s="94"/>
      <c r="K10276" s="94"/>
      <c r="M10276" s="94"/>
    </row>
    <row r="10277" s="93" customFormat="1" spans="3:13">
      <c r="C10277" s="94"/>
      <c r="E10277" s="94"/>
      <c r="G10277" s="94"/>
      <c r="I10277" s="94"/>
      <c r="K10277" s="94"/>
      <c r="M10277" s="94"/>
    </row>
    <row r="10278" s="93" customFormat="1" spans="3:13">
      <c r="C10278" s="94"/>
      <c r="E10278" s="94"/>
      <c r="G10278" s="94"/>
      <c r="I10278" s="94"/>
      <c r="K10278" s="94"/>
      <c r="M10278" s="94"/>
    </row>
    <row r="10279" s="93" customFormat="1" spans="3:13">
      <c r="C10279" s="94"/>
      <c r="E10279" s="94"/>
      <c r="G10279" s="94"/>
      <c r="I10279" s="94"/>
      <c r="K10279" s="94"/>
      <c r="M10279" s="94"/>
    </row>
    <row r="10280" s="93" customFormat="1" spans="3:13">
      <c r="C10280" s="94"/>
      <c r="E10280" s="94"/>
      <c r="G10280" s="94"/>
      <c r="I10280" s="94"/>
      <c r="K10280" s="94"/>
      <c r="M10280" s="94"/>
    </row>
    <row r="10281" s="93" customFormat="1" spans="3:13">
      <c r="C10281" s="94"/>
      <c r="E10281" s="94"/>
      <c r="G10281" s="94"/>
      <c r="I10281" s="94"/>
      <c r="K10281" s="94"/>
      <c r="M10281" s="94"/>
    </row>
    <row r="10282" s="93" customFormat="1" spans="3:13">
      <c r="C10282" s="94"/>
      <c r="E10282" s="94"/>
      <c r="G10282" s="94"/>
      <c r="I10282" s="94"/>
      <c r="K10282" s="94"/>
      <c r="M10282" s="94"/>
    </row>
    <row r="10283" s="93" customFormat="1" spans="3:13">
      <c r="C10283" s="94"/>
      <c r="E10283" s="94"/>
      <c r="G10283" s="94"/>
      <c r="I10283" s="94"/>
      <c r="K10283" s="94"/>
      <c r="M10283" s="94"/>
    </row>
    <row r="10284" s="93" customFormat="1" spans="3:13">
      <c r="C10284" s="94"/>
      <c r="E10284" s="94"/>
      <c r="G10284" s="94"/>
      <c r="I10284" s="94"/>
      <c r="K10284" s="94"/>
      <c r="M10284" s="94"/>
    </row>
    <row r="10285" s="93" customFormat="1" spans="3:13">
      <c r="C10285" s="94"/>
      <c r="E10285" s="94"/>
      <c r="G10285" s="94"/>
      <c r="I10285" s="94"/>
      <c r="K10285" s="94"/>
      <c r="M10285" s="94"/>
    </row>
    <row r="10286" s="93" customFormat="1" spans="3:13">
      <c r="C10286" s="94"/>
      <c r="E10286" s="94"/>
      <c r="G10286" s="94"/>
      <c r="I10286" s="94"/>
      <c r="K10286" s="94"/>
      <c r="M10286" s="94"/>
    </row>
    <row r="10287" s="93" customFormat="1" spans="3:13">
      <c r="C10287" s="94"/>
      <c r="E10287" s="94"/>
      <c r="G10287" s="94"/>
      <c r="I10287" s="94"/>
      <c r="K10287" s="94"/>
      <c r="M10287" s="94"/>
    </row>
    <row r="10288" s="93" customFormat="1" spans="3:13">
      <c r="C10288" s="94"/>
      <c r="E10288" s="94"/>
      <c r="G10288" s="94"/>
      <c r="I10288" s="94"/>
      <c r="K10288" s="94"/>
      <c r="M10288" s="94"/>
    </row>
    <row r="10289" s="93" customFormat="1" spans="3:13">
      <c r="C10289" s="94"/>
      <c r="E10289" s="94"/>
      <c r="G10289" s="94"/>
      <c r="I10289" s="94"/>
      <c r="K10289" s="94"/>
      <c r="M10289" s="94"/>
    </row>
    <row r="10290" s="93" customFormat="1" spans="3:13">
      <c r="C10290" s="94"/>
      <c r="E10290" s="94"/>
      <c r="G10290" s="94"/>
      <c r="I10290" s="94"/>
      <c r="K10290" s="94"/>
      <c r="M10290" s="94"/>
    </row>
    <row r="10291" s="93" customFormat="1" spans="3:13">
      <c r="C10291" s="94"/>
      <c r="E10291" s="94"/>
      <c r="G10291" s="94"/>
      <c r="I10291" s="94"/>
      <c r="K10291" s="94"/>
      <c r="M10291" s="94"/>
    </row>
    <row r="10292" s="93" customFormat="1" spans="3:13">
      <c r="C10292" s="94"/>
      <c r="E10292" s="94"/>
      <c r="G10292" s="94"/>
      <c r="I10292" s="94"/>
      <c r="K10292" s="94"/>
      <c r="M10292" s="94"/>
    </row>
    <row r="10293" s="93" customFormat="1" spans="3:13">
      <c r="C10293" s="94"/>
      <c r="E10293" s="94"/>
      <c r="G10293" s="94"/>
      <c r="I10293" s="94"/>
      <c r="K10293" s="94"/>
      <c r="M10293" s="94"/>
    </row>
    <row r="10294" s="93" customFormat="1" spans="3:13">
      <c r="C10294" s="94"/>
      <c r="E10294" s="94"/>
      <c r="G10294" s="94"/>
      <c r="I10294" s="94"/>
      <c r="K10294" s="94"/>
      <c r="M10294" s="94"/>
    </row>
    <row r="10295" s="93" customFormat="1" spans="3:13">
      <c r="C10295" s="94"/>
      <c r="E10295" s="94"/>
      <c r="G10295" s="94"/>
      <c r="I10295" s="94"/>
      <c r="K10295" s="94"/>
      <c r="M10295" s="94"/>
    </row>
    <row r="10296" s="93" customFormat="1" spans="3:13">
      <c r="C10296" s="94"/>
      <c r="E10296" s="94"/>
      <c r="G10296" s="94"/>
      <c r="I10296" s="94"/>
      <c r="K10296" s="94"/>
      <c r="M10296" s="94"/>
    </row>
    <row r="10297" s="93" customFormat="1" spans="3:13">
      <c r="C10297" s="94"/>
      <c r="E10297" s="94"/>
      <c r="G10297" s="94"/>
      <c r="I10297" s="94"/>
      <c r="K10297" s="94"/>
      <c r="M10297" s="94"/>
    </row>
    <row r="10298" s="93" customFormat="1" spans="3:13">
      <c r="C10298" s="94"/>
      <c r="E10298" s="94"/>
      <c r="G10298" s="94"/>
      <c r="I10298" s="94"/>
      <c r="K10298" s="94"/>
      <c r="M10298" s="94"/>
    </row>
    <row r="10299" s="93" customFormat="1" spans="3:13">
      <c r="C10299" s="94"/>
      <c r="E10299" s="94"/>
      <c r="G10299" s="94"/>
      <c r="I10299" s="94"/>
      <c r="K10299" s="94"/>
      <c r="M10299" s="94"/>
    </row>
    <row r="10300" s="93" customFormat="1" spans="3:13">
      <c r="C10300" s="94"/>
      <c r="E10300" s="94"/>
      <c r="G10300" s="94"/>
      <c r="I10300" s="94"/>
      <c r="K10300" s="94"/>
      <c r="M10300" s="94"/>
    </row>
    <row r="10301" s="93" customFormat="1" spans="3:13">
      <c r="C10301" s="94"/>
      <c r="E10301" s="94"/>
      <c r="G10301" s="94"/>
      <c r="I10301" s="94"/>
      <c r="K10301" s="94"/>
      <c r="M10301" s="94"/>
    </row>
    <row r="10302" s="93" customFormat="1" spans="3:13">
      <c r="C10302" s="94"/>
      <c r="E10302" s="94"/>
      <c r="G10302" s="94"/>
      <c r="I10302" s="94"/>
      <c r="K10302" s="94"/>
      <c r="M10302" s="94"/>
    </row>
    <row r="10303" s="93" customFormat="1" spans="3:13">
      <c r="C10303" s="94"/>
      <c r="E10303" s="94"/>
      <c r="G10303" s="94"/>
      <c r="I10303" s="94"/>
      <c r="K10303" s="94"/>
      <c r="M10303" s="94"/>
    </row>
    <row r="10304" s="93" customFormat="1" spans="3:13">
      <c r="C10304" s="94"/>
      <c r="E10304" s="94"/>
      <c r="G10304" s="94"/>
      <c r="I10304" s="94"/>
      <c r="K10304" s="94"/>
      <c r="M10304" s="94"/>
    </row>
    <row r="10305" s="93" customFormat="1" spans="3:13">
      <c r="C10305" s="94"/>
      <c r="E10305" s="94"/>
      <c r="G10305" s="94"/>
      <c r="I10305" s="94"/>
      <c r="K10305" s="94"/>
      <c r="M10305" s="94"/>
    </row>
    <row r="10306" s="93" customFormat="1" spans="3:13">
      <c r="C10306" s="94"/>
      <c r="E10306" s="94"/>
      <c r="G10306" s="94"/>
      <c r="I10306" s="94"/>
      <c r="K10306" s="94"/>
      <c r="M10306" s="94"/>
    </row>
    <row r="10307" s="93" customFormat="1" spans="3:13">
      <c r="C10307" s="94"/>
      <c r="E10307" s="94"/>
      <c r="G10307" s="94"/>
      <c r="I10307" s="94"/>
      <c r="K10307" s="94"/>
      <c r="M10307" s="94"/>
    </row>
    <row r="10308" s="93" customFormat="1" spans="3:13">
      <c r="C10308" s="94"/>
      <c r="E10308" s="94"/>
      <c r="G10308" s="94"/>
      <c r="I10308" s="94"/>
      <c r="K10308" s="94"/>
      <c r="M10308" s="94"/>
    </row>
    <row r="10309" s="93" customFormat="1" spans="3:13">
      <c r="C10309" s="94"/>
      <c r="E10309" s="94"/>
      <c r="G10309" s="94"/>
      <c r="I10309" s="94"/>
      <c r="K10309" s="94"/>
      <c r="M10309" s="94"/>
    </row>
    <row r="10310" s="93" customFormat="1" spans="3:13">
      <c r="C10310" s="94"/>
      <c r="E10310" s="94"/>
      <c r="G10310" s="94"/>
      <c r="I10310" s="94"/>
      <c r="K10310" s="94"/>
      <c r="M10310" s="94"/>
    </row>
    <row r="10311" s="93" customFormat="1" spans="3:13">
      <c r="C10311" s="94"/>
      <c r="E10311" s="94"/>
      <c r="G10311" s="94"/>
      <c r="I10311" s="94"/>
      <c r="K10311" s="94"/>
      <c r="M10311" s="94"/>
    </row>
    <row r="10312" s="93" customFormat="1" spans="3:13">
      <c r="C10312" s="94"/>
      <c r="E10312" s="94"/>
      <c r="G10312" s="94"/>
      <c r="I10312" s="94"/>
      <c r="K10312" s="94"/>
      <c r="M10312" s="94"/>
    </row>
    <row r="10313" s="93" customFormat="1" spans="3:13">
      <c r="C10313" s="94"/>
      <c r="E10313" s="94"/>
      <c r="G10313" s="94"/>
      <c r="I10313" s="94"/>
      <c r="K10313" s="94"/>
      <c r="M10313" s="94"/>
    </row>
    <row r="10314" s="93" customFormat="1" spans="3:13">
      <c r="C10314" s="94"/>
      <c r="E10314" s="94"/>
      <c r="G10314" s="94"/>
      <c r="I10314" s="94"/>
      <c r="K10314" s="94"/>
      <c r="M10314" s="94"/>
    </row>
    <row r="10315" s="93" customFormat="1" spans="3:13">
      <c r="C10315" s="94"/>
      <c r="E10315" s="94"/>
      <c r="G10315" s="94"/>
      <c r="I10315" s="94"/>
      <c r="K10315" s="94"/>
      <c r="M10315" s="94"/>
    </row>
    <row r="10316" s="93" customFormat="1" spans="3:13">
      <c r="C10316" s="94"/>
      <c r="E10316" s="94"/>
      <c r="G10316" s="94"/>
      <c r="I10316" s="94"/>
      <c r="K10316" s="94"/>
      <c r="M10316" s="94"/>
    </row>
    <row r="10317" s="93" customFormat="1" spans="3:13">
      <c r="C10317" s="94"/>
      <c r="E10317" s="94"/>
      <c r="G10317" s="94"/>
      <c r="I10317" s="94"/>
      <c r="K10317" s="94"/>
      <c r="M10317" s="94"/>
    </row>
    <row r="10318" s="93" customFormat="1" spans="3:13">
      <c r="C10318" s="94"/>
      <c r="E10318" s="94"/>
      <c r="G10318" s="94"/>
      <c r="I10318" s="94"/>
      <c r="K10318" s="94"/>
      <c r="M10318" s="94"/>
    </row>
    <row r="10319" s="93" customFormat="1" spans="3:13">
      <c r="C10319" s="94"/>
      <c r="E10319" s="94"/>
      <c r="G10319" s="94"/>
      <c r="I10319" s="94"/>
      <c r="K10319" s="94"/>
      <c r="M10319" s="94"/>
    </row>
    <row r="10320" s="93" customFormat="1" spans="3:13">
      <c r="C10320" s="94"/>
      <c r="E10320" s="94"/>
      <c r="G10320" s="94"/>
      <c r="I10320" s="94"/>
      <c r="K10320" s="94"/>
      <c r="M10320" s="94"/>
    </row>
    <row r="10321" s="93" customFormat="1" spans="3:13">
      <c r="C10321" s="94"/>
      <c r="E10321" s="94"/>
      <c r="G10321" s="94"/>
      <c r="I10321" s="94"/>
      <c r="K10321" s="94"/>
      <c r="M10321" s="94"/>
    </row>
    <row r="10322" s="93" customFormat="1" spans="3:13">
      <c r="C10322" s="94"/>
      <c r="E10322" s="94"/>
      <c r="G10322" s="94"/>
      <c r="I10322" s="94"/>
      <c r="K10322" s="94"/>
      <c r="M10322" s="94"/>
    </row>
    <row r="10323" s="93" customFormat="1" spans="3:13">
      <c r="C10323" s="94"/>
      <c r="E10323" s="94"/>
      <c r="G10323" s="94"/>
      <c r="I10323" s="94"/>
      <c r="K10323" s="94"/>
      <c r="M10323" s="94"/>
    </row>
    <row r="10324" s="93" customFormat="1" spans="3:13">
      <c r="C10324" s="94"/>
      <c r="E10324" s="94"/>
      <c r="G10324" s="94"/>
      <c r="I10324" s="94"/>
      <c r="K10324" s="94"/>
      <c r="M10324" s="94"/>
    </row>
    <row r="10325" s="93" customFormat="1" spans="3:13">
      <c r="C10325" s="94"/>
      <c r="E10325" s="94"/>
      <c r="G10325" s="94"/>
      <c r="I10325" s="94"/>
      <c r="K10325" s="94"/>
      <c r="M10325" s="94"/>
    </row>
    <row r="10326" s="93" customFormat="1" spans="3:13">
      <c r="C10326" s="94"/>
      <c r="E10326" s="94"/>
      <c r="G10326" s="94"/>
      <c r="I10326" s="94"/>
      <c r="K10326" s="94"/>
      <c r="M10326" s="94"/>
    </row>
    <row r="10327" s="93" customFormat="1" spans="3:13">
      <c r="C10327" s="94"/>
      <c r="E10327" s="94"/>
      <c r="G10327" s="94"/>
      <c r="I10327" s="94"/>
      <c r="K10327" s="94"/>
      <c r="M10327" s="94"/>
    </row>
    <row r="10328" s="93" customFormat="1" spans="3:13">
      <c r="C10328" s="94"/>
      <c r="E10328" s="94"/>
      <c r="G10328" s="94"/>
      <c r="I10328" s="94"/>
      <c r="K10328" s="94"/>
      <c r="M10328" s="94"/>
    </row>
    <row r="10329" s="93" customFormat="1" spans="3:13">
      <c r="C10329" s="94"/>
      <c r="E10329" s="94"/>
      <c r="G10329" s="94"/>
      <c r="I10329" s="94"/>
      <c r="K10329" s="94"/>
      <c r="M10329" s="94"/>
    </row>
    <row r="10330" s="93" customFormat="1" spans="3:13">
      <c r="C10330" s="94"/>
      <c r="E10330" s="94"/>
      <c r="G10330" s="94"/>
      <c r="I10330" s="94"/>
      <c r="K10330" s="94"/>
      <c r="M10330" s="94"/>
    </row>
    <row r="10331" s="93" customFormat="1" spans="3:13">
      <c r="C10331" s="94"/>
      <c r="E10331" s="94"/>
      <c r="G10331" s="94"/>
      <c r="I10331" s="94"/>
      <c r="K10331" s="94"/>
      <c r="M10331" s="94"/>
    </row>
    <row r="10332" s="93" customFormat="1" spans="3:13">
      <c r="C10332" s="94"/>
      <c r="E10332" s="94"/>
      <c r="G10332" s="94"/>
      <c r="I10332" s="94"/>
      <c r="K10332" s="94"/>
      <c r="M10332" s="94"/>
    </row>
    <row r="10333" s="93" customFormat="1" spans="3:13">
      <c r="C10333" s="94"/>
      <c r="E10333" s="94"/>
      <c r="G10333" s="94"/>
      <c r="I10333" s="94"/>
      <c r="K10333" s="94"/>
      <c r="M10333" s="94"/>
    </row>
    <row r="10334" s="93" customFormat="1" spans="3:13">
      <c r="C10334" s="94"/>
      <c r="E10334" s="94"/>
      <c r="G10334" s="94"/>
      <c r="I10334" s="94"/>
      <c r="K10334" s="94"/>
      <c r="M10334" s="94"/>
    </row>
    <row r="10335" s="93" customFormat="1" spans="3:13">
      <c r="C10335" s="94"/>
      <c r="E10335" s="94"/>
      <c r="G10335" s="94"/>
      <c r="I10335" s="94"/>
      <c r="K10335" s="94"/>
      <c r="M10335" s="94"/>
    </row>
    <row r="10336" s="93" customFormat="1" spans="3:13">
      <c r="C10336" s="94"/>
      <c r="E10336" s="94"/>
      <c r="G10336" s="94"/>
      <c r="I10336" s="94"/>
      <c r="K10336" s="94"/>
      <c r="M10336" s="94"/>
    </row>
    <row r="10337" s="93" customFormat="1" spans="3:13">
      <c r="C10337" s="94"/>
      <c r="E10337" s="94"/>
      <c r="G10337" s="94"/>
      <c r="I10337" s="94"/>
      <c r="K10337" s="94"/>
      <c r="M10337" s="94"/>
    </row>
    <row r="10338" s="93" customFormat="1" spans="3:13">
      <c r="C10338" s="94"/>
      <c r="E10338" s="94"/>
      <c r="G10338" s="94"/>
      <c r="I10338" s="94"/>
      <c r="K10338" s="94"/>
      <c r="M10338" s="94"/>
    </row>
    <row r="10339" s="93" customFormat="1" spans="3:13">
      <c r="C10339" s="94"/>
      <c r="E10339" s="94"/>
      <c r="G10339" s="94"/>
      <c r="I10339" s="94"/>
      <c r="K10339" s="94"/>
      <c r="M10339" s="94"/>
    </row>
    <row r="10340" s="93" customFormat="1" spans="3:13">
      <c r="C10340" s="94"/>
      <c r="E10340" s="94"/>
      <c r="G10340" s="94"/>
      <c r="I10340" s="94"/>
      <c r="K10340" s="94"/>
      <c r="M10340" s="94"/>
    </row>
    <row r="10341" s="93" customFormat="1" spans="3:13">
      <c r="C10341" s="94"/>
      <c r="E10341" s="94"/>
      <c r="G10341" s="94"/>
      <c r="I10341" s="94"/>
      <c r="K10341" s="94"/>
      <c r="M10341" s="94"/>
    </row>
    <row r="10342" s="93" customFormat="1" spans="3:13">
      <c r="C10342" s="94"/>
      <c r="E10342" s="94"/>
      <c r="G10342" s="94"/>
      <c r="I10342" s="94"/>
      <c r="K10342" s="94"/>
      <c r="M10342" s="94"/>
    </row>
    <row r="10343" s="93" customFormat="1" spans="3:13">
      <c r="C10343" s="94"/>
      <c r="E10343" s="94"/>
      <c r="G10343" s="94"/>
      <c r="I10343" s="94"/>
      <c r="K10343" s="94"/>
      <c r="M10343" s="94"/>
    </row>
    <row r="10344" s="93" customFormat="1" spans="3:13">
      <c r="C10344" s="94"/>
      <c r="E10344" s="94"/>
      <c r="G10344" s="94"/>
      <c r="I10344" s="94"/>
      <c r="K10344" s="94"/>
      <c r="M10344" s="94"/>
    </row>
    <row r="10345" s="93" customFormat="1" spans="3:13">
      <c r="C10345" s="94"/>
      <c r="E10345" s="94"/>
      <c r="G10345" s="94"/>
      <c r="I10345" s="94"/>
      <c r="K10345" s="94"/>
      <c r="M10345" s="94"/>
    </row>
    <row r="10346" s="93" customFormat="1" spans="3:13">
      <c r="C10346" s="94"/>
      <c r="E10346" s="94"/>
      <c r="G10346" s="94"/>
      <c r="I10346" s="94"/>
      <c r="K10346" s="94"/>
      <c r="M10346" s="94"/>
    </row>
    <row r="10347" s="93" customFormat="1" spans="3:13">
      <c r="C10347" s="94"/>
      <c r="E10347" s="94"/>
      <c r="G10347" s="94"/>
      <c r="I10347" s="94"/>
      <c r="K10347" s="94"/>
      <c r="M10347" s="94"/>
    </row>
    <row r="10348" s="93" customFormat="1" spans="3:13">
      <c r="C10348" s="94"/>
      <c r="E10348" s="94"/>
      <c r="G10348" s="94"/>
      <c r="I10348" s="94"/>
      <c r="K10348" s="94"/>
      <c r="M10348" s="94"/>
    </row>
    <row r="10349" s="93" customFormat="1" spans="3:13">
      <c r="C10349" s="94"/>
      <c r="E10349" s="94"/>
      <c r="G10349" s="94"/>
      <c r="I10349" s="94"/>
      <c r="K10349" s="94"/>
      <c r="M10349" s="94"/>
    </row>
    <row r="10350" s="93" customFormat="1" spans="3:13">
      <c r="C10350" s="94"/>
      <c r="E10350" s="94"/>
      <c r="G10350" s="94"/>
      <c r="I10350" s="94"/>
      <c r="K10350" s="94"/>
      <c r="M10350" s="94"/>
    </row>
    <row r="10351" s="93" customFormat="1" spans="3:13">
      <c r="C10351" s="94"/>
      <c r="E10351" s="94"/>
      <c r="G10351" s="94"/>
      <c r="I10351" s="94"/>
      <c r="K10351" s="94"/>
      <c r="M10351" s="94"/>
    </row>
    <row r="10352" s="93" customFormat="1" spans="3:13">
      <c r="C10352" s="94"/>
      <c r="E10352" s="94"/>
      <c r="G10352" s="94"/>
      <c r="I10352" s="94"/>
      <c r="K10352" s="94"/>
      <c r="M10352" s="94"/>
    </row>
    <row r="10353" s="93" customFormat="1" spans="3:13">
      <c r="C10353" s="94"/>
      <c r="E10353" s="94"/>
      <c r="G10353" s="94"/>
      <c r="I10353" s="94"/>
      <c r="K10353" s="94"/>
      <c r="M10353" s="94"/>
    </row>
    <row r="10354" s="93" customFormat="1" spans="3:13">
      <c r="C10354" s="94"/>
      <c r="E10354" s="94"/>
      <c r="G10354" s="94"/>
      <c r="I10354" s="94"/>
      <c r="K10354" s="94"/>
      <c r="M10354" s="94"/>
    </row>
    <row r="10355" s="93" customFormat="1" spans="3:13">
      <c r="C10355" s="94"/>
      <c r="E10355" s="94"/>
      <c r="G10355" s="94"/>
      <c r="I10355" s="94"/>
      <c r="K10355" s="94"/>
      <c r="M10355" s="94"/>
    </row>
    <row r="10356" s="93" customFormat="1" spans="3:13">
      <c r="C10356" s="94"/>
      <c r="E10356" s="94"/>
      <c r="G10356" s="94"/>
      <c r="I10356" s="94"/>
      <c r="K10356" s="94"/>
      <c r="M10356" s="94"/>
    </row>
    <row r="10357" s="93" customFormat="1" spans="3:13">
      <c r="C10357" s="94"/>
      <c r="E10357" s="94"/>
      <c r="G10357" s="94"/>
      <c r="I10357" s="94"/>
      <c r="K10357" s="94"/>
      <c r="M10357" s="94"/>
    </row>
    <row r="10358" s="93" customFormat="1" spans="3:13">
      <c r="C10358" s="94"/>
      <c r="E10358" s="94"/>
      <c r="G10358" s="94"/>
      <c r="I10358" s="94"/>
      <c r="K10358" s="94"/>
      <c r="M10358" s="94"/>
    </row>
    <row r="10359" s="93" customFormat="1" spans="3:13">
      <c r="C10359" s="94"/>
      <c r="E10359" s="94"/>
      <c r="G10359" s="94"/>
      <c r="I10359" s="94"/>
      <c r="K10359" s="94"/>
      <c r="M10359" s="94"/>
    </row>
    <row r="10360" s="93" customFormat="1" spans="3:13">
      <c r="C10360" s="94"/>
      <c r="E10360" s="94"/>
      <c r="G10360" s="94"/>
      <c r="I10360" s="94"/>
      <c r="K10360" s="94"/>
      <c r="M10360" s="94"/>
    </row>
    <row r="10361" s="93" customFormat="1" spans="3:13">
      <c r="C10361" s="94"/>
      <c r="E10361" s="94"/>
      <c r="G10361" s="94"/>
      <c r="I10361" s="94"/>
      <c r="K10361" s="94"/>
      <c r="M10361" s="94"/>
    </row>
    <row r="10362" s="93" customFormat="1" spans="3:13">
      <c r="C10362" s="94"/>
      <c r="E10362" s="94"/>
      <c r="G10362" s="94"/>
      <c r="I10362" s="94"/>
      <c r="K10362" s="94"/>
      <c r="M10362" s="94"/>
    </row>
    <row r="10363" s="93" customFormat="1" spans="3:13">
      <c r="C10363" s="94"/>
      <c r="E10363" s="94"/>
      <c r="G10363" s="94"/>
      <c r="I10363" s="94"/>
      <c r="K10363" s="94"/>
      <c r="M10363" s="94"/>
    </row>
    <row r="10364" s="93" customFormat="1" spans="3:13">
      <c r="C10364" s="94"/>
      <c r="E10364" s="94"/>
      <c r="G10364" s="94"/>
      <c r="I10364" s="94"/>
      <c r="K10364" s="94"/>
      <c r="M10364" s="94"/>
    </row>
    <row r="10365" s="93" customFormat="1" spans="3:13">
      <c r="C10365" s="94"/>
      <c r="E10365" s="94"/>
      <c r="G10365" s="94"/>
      <c r="I10365" s="94"/>
      <c r="K10365" s="94"/>
      <c r="M10365" s="94"/>
    </row>
    <row r="10366" s="93" customFormat="1" spans="3:13">
      <c r="C10366" s="94"/>
      <c r="E10366" s="94"/>
      <c r="G10366" s="94"/>
      <c r="I10366" s="94"/>
      <c r="K10366" s="94"/>
      <c r="M10366" s="94"/>
    </row>
    <row r="10367" s="93" customFormat="1" spans="3:13">
      <c r="C10367" s="94"/>
      <c r="E10367" s="94"/>
      <c r="G10367" s="94"/>
      <c r="I10367" s="94"/>
      <c r="K10367" s="94"/>
      <c r="M10367" s="94"/>
    </row>
    <row r="10368" s="93" customFormat="1" spans="3:13">
      <c r="C10368" s="94"/>
      <c r="E10368" s="94"/>
      <c r="G10368" s="94"/>
      <c r="I10368" s="94"/>
      <c r="K10368" s="94"/>
      <c r="M10368" s="94"/>
    </row>
    <row r="10369" s="93" customFormat="1" spans="3:13">
      <c r="C10369" s="94"/>
      <c r="E10369" s="94"/>
      <c r="G10369" s="94"/>
      <c r="I10369" s="94"/>
      <c r="K10369" s="94"/>
      <c r="M10369" s="94"/>
    </row>
    <row r="10370" s="93" customFormat="1" spans="3:13">
      <c r="C10370" s="94"/>
      <c r="E10370" s="94"/>
      <c r="G10370" s="94"/>
      <c r="I10370" s="94"/>
      <c r="K10370" s="94"/>
      <c r="M10370" s="94"/>
    </row>
    <row r="10371" s="93" customFormat="1" spans="3:13">
      <c r="C10371" s="94"/>
      <c r="E10371" s="94"/>
      <c r="G10371" s="94"/>
      <c r="I10371" s="94"/>
      <c r="K10371" s="94"/>
      <c r="M10371" s="94"/>
    </row>
    <row r="10372" s="93" customFormat="1" spans="3:13">
      <c r="C10372" s="94"/>
      <c r="E10372" s="94"/>
      <c r="G10372" s="94"/>
      <c r="I10372" s="94"/>
      <c r="K10372" s="94"/>
      <c r="M10372" s="94"/>
    </row>
    <row r="10373" s="93" customFormat="1" spans="3:13">
      <c r="C10373" s="94"/>
      <c r="E10373" s="94"/>
      <c r="G10373" s="94"/>
      <c r="I10373" s="94"/>
      <c r="K10373" s="94"/>
      <c r="M10373" s="94"/>
    </row>
    <row r="10374" s="93" customFormat="1" spans="3:13">
      <c r="C10374" s="94"/>
      <c r="E10374" s="94"/>
      <c r="G10374" s="94"/>
      <c r="I10374" s="94"/>
      <c r="K10374" s="94"/>
      <c r="M10374" s="94"/>
    </row>
    <row r="10375" s="93" customFormat="1" spans="3:13">
      <c r="C10375" s="94"/>
      <c r="E10375" s="94"/>
      <c r="G10375" s="94"/>
      <c r="I10375" s="94"/>
      <c r="K10375" s="94"/>
      <c r="M10375" s="94"/>
    </row>
    <row r="10376" s="93" customFormat="1" spans="3:13">
      <c r="C10376" s="94"/>
      <c r="E10376" s="94"/>
      <c r="G10376" s="94"/>
      <c r="I10376" s="94"/>
      <c r="K10376" s="94"/>
      <c r="M10376" s="94"/>
    </row>
    <row r="10377" s="93" customFormat="1" spans="3:13">
      <c r="C10377" s="94"/>
      <c r="E10377" s="94"/>
      <c r="G10377" s="94"/>
      <c r="I10377" s="94"/>
      <c r="K10377" s="94"/>
      <c r="M10377" s="94"/>
    </row>
    <row r="10378" s="93" customFormat="1" spans="3:13">
      <c r="C10378" s="94"/>
      <c r="E10378" s="94"/>
      <c r="G10378" s="94"/>
      <c r="I10378" s="94"/>
      <c r="K10378" s="94"/>
      <c r="M10378" s="94"/>
    </row>
    <row r="10379" s="93" customFormat="1" spans="3:13">
      <c r="C10379" s="94"/>
      <c r="E10379" s="94"/>
      <c r="G10379" s="94"/>
      <c r="I10379" s="94"/>
      <c r="K10379" s="94"/>
      <c r="M10379" s="94"/>
    </row>
    <row r="10380" s="93" customFormat="1" spans="3:13">
      <c r="C10380" s="94"/>
      <c r="E10380" s="94"/>
      <c r="G10380" s="94"/>
      <c r="I10380" s="94"/>
      <c r="K10380" s="94"/>
      <c r="M10380" s="94"/>
    </row>
    <row r="10381" s="93" customFormat="1" spans="3:13">
      <c r="C10381" s="94"/>
      <c r="E10381" s="94"/>
      <c r="G10381" s="94"/>
      <c r="I10381" s="94"/>
      <c r="K10381" s="94"/>
      <c r="M10381" s="94"/>
    </row>
    <row r="10382" s="93" customFormat="1" spans="3:13">
      <c r="C10382" s="94"/>
      <c r="E10382" s="94"/>
      <c r="G10382" s="94"/>
      <c r="I10382" s="94"/>
      <c r="K10382" s="94"/>
      <c r="M10382" s="94"/>
    </row>
    <row r="10383" s="93" customFormat="1" spans="3:13">
      <c r="C10383" s="94"/>
      <c r="E10383" s="94"/>
      <c r="G10383" s="94"/>
      <c r="I10383" s="94"/>
      <c r="K10383" s="94"/>
      <c r="M10383" s="94"/>
    </row>
    <row r="10384" s="93" customFormat="1" spans="3:13">
      <c r="C10384" s="94"/>
      <c r="E10384" s="94"/>
      <c r="G10384" s="94"/>
      <c r="I10384" s="94"/>
      <c r="K10384" s="94"/>
      <c r="M10384" s="94"/>
    </row>
    <row r="10385" s="93" customFormat="1" spans="3:13">
      <c r="C10385" s="94"/>
      <c r="E10385" s="94"/>
      <c r="G10385" s="94"/>
      <c r="I10385" s="94"/>
      <c r="K10385" s="94"/>
      <c r="M10385" s="94"/>
    </row>
    <row r="10386" s="93" customFormat="1" spans="3:13">
      <c r="C10386" s="94"/>
      <c r="E10386" s="94"/>
      <c r="G10386" s="94"/>
      <c r="I10386" s="94"/>
      <c r="K10386" s="94"/>
      <c r="M10386" s="94"/>
    </row>
    <row r="10387" s="93" customFormat="1" spans="3:13">
      <c r="C10387" s="94"/>
      <c r="E10387" s="94"/>
      <c r="G10387" s="94"/>
      <c r="I10387" s="94"/>
      <c r="K10387" s="94"/>
      <c r="M10387" s="94"/>
    </row>
    <row r="10388" s="93" customFormat="1" spans="3:13">
      <c r="C10388" s="94"/>
      <c r="E10388" s="94"/>
      <c r="G10388" s="94"/>
      <c r="I10388" s="94"/>
      <c r="K10388" s="94"/>
      <c r="M10388" s="94"/>
    </row>
    <row r="10389" s="93" customFormat="1" spans="3:13">
      <c r="C10389" s="94"/>
      <c r="E10389" s="94"/>
      <c r="G10389" s="94"/>
      <c r="I10389" s="94"/>
      <c r="K10389" s="94"/>
      <c r="M10389" s="94"/>
    </row>
    <row r="10390" s="93" customFormat="1" spans="3:13">
      <c r="C10390" s="94"/>
      <c r="E10390" s="94"/>
      <c r="G10390" s="94"/>
      <c r="I10390" s="94"/>
      <c r="K10390" s="94"/>
      <c r="M10390" s="94"/>
    </row>
    <row r="10391" s="93" customFormat="1" spans="3:13">
      <c r="C10391" s="94"/>
      <c r="E10391" s="94"/>
      <c r="G10391" s="94"/>
      <c r="I10391" s="94"/>
      <c r="K10391" s="94"/>
      <c r="M10391" s="94"/>
    </row>
    <row r="10392" s="93" customFormat="1" spans="3:13">
      <c r="C10392" s="94"/>
      <c r="E10392" s="94"/>
      <c r="G10392" s="94"/>
      <c r="I10392" s="94"/>
      <c r="K10392" s="94"/>
      <c r="M10392" s="94"/>
    </row>
    <row r="10393" s="93" customFormat="1" spans="3:13">
      <c r="C10393" s="94"/>
      <c r="E10393" s="94"/>
      <c r="G10393" s="94"/>
      <c r="I10393" s="94"/>
      <c r="K10393" s="94"/>
      <c r="M10393" s="94"/>
    </row>
    <row r="10394" s="93" customFormat="1" spans="3:13">
      <c r="C10394" s="94"/>
      <c r="E10394" s="94"/>
      <c r="G10394" s="94"/>
      <c r="I10394" s="94"/>
      <c r="K10394" s="94"/>
      <c r="M10394" s="94"/>
    </row>
    <row r="10395" s="93" customFormat="1" spans="3:13">
      <c r="C10395" s="94"/>
      <c r="E10395" s="94"/>
      <c r="G10395" s="94"/>
      <c r="I10395" s="94"/>
      <c r="K10395" s="94"/>
      <c r="M10395" s="94"/>
    </row>
    <row r="10396" s="93" customFormat="1" spans="3:13">
      <c r="C10396" s="94"/>
      <c r="E10396" s="94"/>
      <c r="G10396" s="94"/>
      <c r="I10396" s="94"/>
      <c r="K10396" s="94"/>
      <c r="M10396" s="94"/>
    </row>
    <row r="10397" s="93" customFormat="1" spans="3:13">
      <c r="C10397" s="94"/>
      <c r="E10397" s="94"/>
      <c r="G10397" s="94"/>
      <c r="I10397" s="94"/>
      <c r="K10397" s="94"/>
      <c r="M10397" s="94"/>
    </row>
    <row r="10398" s="93" customFormat="1" spans="3:13">
      <c r="C10398" s="94"/>
      <c r="E10398" s="94"/>
      <c r="G10398" s="94"/>
      <c r="I10398" s="94"/>
      <c r="K10398" s="94"/>
      <c r="M10398" s="94"/>
    </row>
    <row r="10399" s="93" customFormat="1" spans="3:13">
      <c r="C10399" s="94"/>
      <c r="E10399" s="94"/>
      <c r="G10399" s="94"/>
      <c r="I10399" s="94"/>
      <c r="K10399" s="94"/>
      <c r="M10399" s="94"/>
    </row>
    <row r="10400" s="93" customFormat="1" spans="3:13">
      <c r="C10400" s="94"/>
      <c r="E10400" s="94"/>
      <c r="G10400" s="94"/>
      <c r="I10400" s="94"/>
      <c r="K10400" s="94"/>
      <c r="M10400" s="94"/>
    </row>
    <row r="10401" s="93" customFormat="1" spans="3:13">
      <c r="C10401" s="94"/>
      <c r="E10401" s="94"/>
      <c r="G10401" s="94"/>
      <c r="I10401" s="94"/>
      <c r="K10401" s="94"/>
      <c r="M10401" s="94"/>
    </row>
    <row r="10402" s="93" customFormat="1" spans="3:13">
      <c r="C10402" s="94"/>
      <c r="E10402" s="94"/>
      <c r="G10402" s="94"/>
      <c r="I10402" s="94"/>
      <c r="K10402" s="94"/>
      <c r="M10402" s="94"/>
    </row>
    <row r="10403" s="93" customFormat="1" spans="3:13">
      <c r="C10403" s="94"/>
      <c r="E10403" s="94"/>
      <c r="G10403" s="94"/>
      <c r="I10403" s="94"/>
      <c r="K10403" s="94"/>
      <c r="M10403" s="94"/>
    </row>
    <row r="10404" s="93" customFormat="1" spans="3:13">
      <c r="C10404" s="94"/>
      <c r="E10404" s="94"/>
      <c r="G10404" s="94"/>
      <c r="I10404" s="94"/>
      <c r="K10404" s="94"/>
      <c r="M10404" s="94"/>
    </row>
    <row r="10405" s="93" customFormat="1" spans="3:13">
      <c r="C10405" s="94"/>
      <c r="E10405" s="94"/>
      <c r="G10405" s="94"/>
      <c r="I10405" s="94"/>
      <c r="K10405" s="94"/>
      <c r="M10405" s="94"/>
    </row>
    <row r="10406" s="93" customFormat="1" spans="3:13">
      <c r="C10406" s="94"/>
      <c r="E10406" s="94"/>
      <c r="G10406" s="94"/>
      <c r="I10406" s="94"/>
      <c r="K10406" s="94"/>
      <c r="M10406" s="94"/>
    </row>
    <row r="10407" s="93" customFormat="1" spans="3:13">
      <c r="C10407" s="94"/>
      <c r="E10407" s="94"/>
      <c r="G10407" s="94"/>
      <c r="I10407" s="94"/>
      <c r="K10407" s="94"/>
      <c r="M10407" s="94"/>
    </row>
    <row r="10408" s="93" customFormat="1" spans="3:13">
      <c r="C10408" s="94"/>
      <c r="E10408" s="94"/>
      <c r="G10408" s="94"/>
      <c r="I10408" s="94"/>
      <c r="K10408" s="94"/>
      <c r="M10408" s="94"/>
    </row>
    <row r="10409" s="93" customFormat="1" spans="3:13">
      <c r="C10409" s="94"/>
      <c r="E10409" s="94"/>
      <c r="G10409" s="94"/>
      <c r="I10409" s="94"/>
      <c r="K10409" s="94"/>
      <c r="M10409" s="94"/>
    </row>
    <row r="10410" s="93" customFormat="1" spans="3:13">
      <c r="C10410" s="94"/>
      <c r="E10410" s="94"/>
      <c r="G10410" s="94"/>
      <c r="I10410" s="94"/>
      <c r="K10410" s="94"/>
      <c r="M10410" s="94"/>
    </row>
    <row r="10411" s="93" customFormat="1" spans="3:13">
      <c r="C10411" s="94"/>
      <c r="E10411" s="94"/>
      <c r="G10411" s="94"/>
      <c r="I10411" s="94"/>
      <c r="K10411" s="94"/>
      <c r="M10411" s="94"/>
    </row>
    <row r="10412" s="93" customFormat="1" spans="3:13">
      <c r="C10412" s="94"/>
      <c r="E10412" s="94"/>
      <c r="G10412" s="94"/>
      <c r="I10412" s="94"/>
      <c r="K10412" s="94"/>
      <c r="M10412" s="94"/>
    </row>
    <row r="10413" s="93" customFormat="1" spans="3:13">
      <c r="C10413" s="94"/>
      <c r="E10413" s="94"/>
      <c r="G10413" s="94"/>
      <c r="I10413" s="94"/>
      <c r="K10413" s="94"/>
      <c r="M10413" s="94"/>
    </row>
    <row r="10414" s="93" customFormat="1" spans="3:13">
      <c r="C10414" s="94"/>
      <c r="E10414" s="94"/>
      <c r="G10414" s="94"/>
      <c r="I10414" s="94"/>
      <c r="K10414" s="94"/>
      <c r="M10414" s="94"/>
    </row>
    <row r="10415" s="93" customFormat="1" spans="3:13">
      <c r="C10415" s="94"/>
      <c r="E10415" s="94"/>
      <c r="G10415" s="94"/>
      <c r="I10415" s="94"/>
      <c r="K10415" s="94"/>
      <c r="M10415" s="94"/>
    </row>
    <row r="10416" s="93" customFormat="1" spans="3:13">
      <c r="C10416" s="94"/>
      <c r="E10416" s="94"/>
      <c r="G10416" s="94"/>
      <c r="I10416" s="94"/>
      <c r="K10416" s="94"/>
      <c r="M10416" s="94"/>
    </row>
    <row r="10417" s="93" customFormat="1" spans="3:13">
      <c r="C10417" s="94"/>
      <c r="E10417" s="94"/>
      <c r="G10417" s="94"/>
      <c r="I10417" s="94"/>
      <c r="K10417" s="94"/>
      <c r="M10417" s="94"/>
    </row>
    <row r="10418" s="93" customFormat="1" spans="3:13">
      <c r="C10418" s="94"/>
      <c r="E10418" s="94"/>
      <c r="G10418" s="94"/>
      <c r="I10418" s="94"/>
      <c r="K10418" s="94"/>
      <c r="M10418" s="94"/>
    </row>
    <row r="10419" s="93" customFormat="1" spans="3:13">
      <c r="C10419" s="94"/>
      <c r="E10419" s="94"/>
      <c r="G10419" s="94"/>
      <c r="I10419" s="94"/>
      <c r="K10419" s="94"/>
      <c r="M10419" s="94"/>
    </row>
    <row r="10420" s="93" customFormat="1" spans="3:13">
      <c r="C10420" s="94"/>
      <c r="E10420" s="94"/>
      <c r="G10420" s="94"/>
      <c r="I10420" s="94"/>
      <c r="K10420" s="94"/>
      <c r="M10420" s="94"/>
    </row>
    <row r="10421" s="93" customFormat="1" spans="3:13">
      <c r="C10421" s="94"/>
      <c r="E10421" s="94"/>
      <c r="G10421" s="94"/>
      <c r="I10421" s="94"/>
      <c r="K10421" s="94"/>
      <c r="M10421" s="94"/>
    </row>
    <row r="10422" s="93" customFormat="1" spans="3:13">
      <c r="C10422" s="94"/>
      <c r="E10422" s="94"/>
      <c r="G10422" s="94"/>
      <c r="I10422" s="94"/>
      <c r="K10422" s="94"/>
      <c r="M10422" s="94"/>
    </row>
    <row r="10423" s="93" customFormat="1" spans="3:13">
      <c r="C10423" s="94"/>
      <c r="E10423" s="94"/>
      <c r="G10423" s="94"/>
      <c r="I10423" s="94"/>
      <c r="K10423" s="94"/>
      <c r="M10423" s="94"/>
    </row>
    <row r="10424" s="93" customFormat="1" spans="3:13">
      <c r="C10424" s="94"/>
      <c r="E10424" s="94"/>
      <c r="G10424" s="94"/>
      <c r="I10424" s="94"/>
      <c r="K10424" s="94"/>
      <c r="M10424" s="94"/>
    </row>
    <row r="10425" s="93" customFormat="1" spans="3:13">
      <c r="C10425" s="94"/>
      <c r="E10425" s="94"/>
      <c r="G10425" s="94"/>
      <c r="I10425" s="94"/>
      <c r="K10425" s="94"/>
      <c r="M10425" s="94"/>
    </row>
    <row r="10426" s="93" customFormat="1" spans="3:13">
      <c r="C10426" s="94"/>
      <c r="E10426" s="94"/>
      <c r="G10426" s="94"/>
      <c r="I10426" s="94"/>
      <c r="K10426" s="94"/>
      <c r="M10426" s="94"/>
    </row>
    <row r="10427" s="93" customFormat="1" spans="3:13">
      <c r="C10427" s="94"/>
      <c r="E10427" s="94"/>
      <c r="G10427" s="94"/>
      <c r="I10427" s="94"/>
      <c r="K10427" s="94"/>
      <c r="M10427" s="94"/>
    </row>
    <row r="10428" s="93" customFormat="1" spans="3:13">
      <c r="C10428" s="94"/>
      <c r="E10428" s="94"/>
      <c r="G10428" s="94"/>
      <c r="I10428" s="94"/>
      <c r="K10428" s="94"/>
      <c r="M10428" s="94"/>
    </row>
    <row r="10429" s="93" customFormat="1" spans="3:13">
      <c r="C10429" s="94"/>
      <c r="E10429" s="94"/>
      <c r="G10429" s="94"/>
      <c r="I10429" s="94"/>
      <c r="K10429" s="94"/>
      <c r="M10429" s="94"/>
    </row>
    <row r="10430" s="93" customFormat="1" spans="3:13">
      <c r="C10430" s="94"/>
      <c r="E10430" s="94"/>
      <c r="G10430" s="94"/>
      <c r="I10430" s="94"/>
      <c r="K10430" s="94"/>
      <c r="M10430" s="94"/>
    </row>
    <row r="10431" s="93" customFormat="1" spans="3:13">
      <c r="C10431" s="94"/>
      <c r="E10431" s="94"/>
      <c r="G10431" s="94"/>
      <c r="I10431" s="94"/>
      <c r="K10431" s="94"/>
      <c r="M10431" s="94"/>
    </row>
    <row r="10432" s="93" customFormat="1" spans="3:13">
      <c r="C10432" s="94"/>
      <c r="E10432" s="94"/>
      <c r="G10432" s="94"/>
      <c r="I10432" s="94"/>
      <c r="K10432" s="94"/>
      <c r="M10432" s="94"/>
    </row>
    <row r="10433" s="93" customFormat="1" spans="3:13">
      <c r="C10433" s="94"/>
      <c r="E10433" s="94"/>
      <c r="G10433" s="94"/>
      <c r="I10433" s="94"/>
      <c r="K10433" s="94"/>
      <c r="M10433" s="94"/>
    </row>
    <row r="10434" s="93" customFormat="1" spans="3:13">
      <c r="C10434" s="94"/>
      <c r="E10434" s="94"/>
      <c r="G10434" s="94"/>
      <c r="I10434" s="94"/>
      <c r="K10434" s="94"/>
      <c r="M10434" s="94"/>
    </row>
    <row r="10435" s="93" customFormat="1" spans="3:13">
      <c r="C10435" s="94"/>
      <c r="E10435" s="94"/>
      <c r="G10435" s="94"/>
      <c r="I10435" s="94"/>
      <c r="K10435" s="94"/>
      <c r="M10435" s="94"/>
    </row>
    <row r="10436" s="93" customFormat="1" spans="3:13">
      <c r="C10436" s="94"/>
      <c r="E10436" s="94"/>
      <c r="G10436" s="94"/>
      <c r="I10436" s="94"/>
      <c r="K10436" s="94"/>
      <c r="M10436" s="94"/>
    </row>
    <row r="10437" s="93" customFormat="1" spans="3:13">
      <c r="C10437" s="94"/>
      <c r="E10437" s="94"/>
      <c r="G10437" s="94"/>
      <c r="I10437" s="94"/>
      <c r="K10437" s="94"/>
      <c r="M10437" s="94"/>
    </row>
    <row r="10438" s="93" customFormat="1" spans="3:13">
      <c r="C10438" s="94"/>
      <c r="E10438" s="94"/>
      <c r="G10438" s="94"/>
      <c r="I10438" s="94"/>
      <c r="K10438" s="94"/>
      <c r="M10438" s="94"/>
    </row>
    <row r="10439" s="93" customFormat="1" spans="3:13">
      <c r="C10439" s="94"/>
      <c r="E10439" s="94"/>
      <c r="G10439" s="94"/>
      <c r="I10439" s="94"/>
      <c r="K10439" s="94"/>
      <c r="M10439" s="94"/>
    </row>
    <row r="10440" s="93" customFormat="1" spans="3:13">
      <c r="C10440" s="94"/>
      <c r="E10440" s="94"/>
      <c r="G10440" s="94"/>
      <c r="I10440" s="94"/>
      <c r="K10440" s="94"/>
      <c r="M10440" s="94"/>
    </row>
    <row r="10441" s="93" customFormat="1" spans="3:13">
      <c r="C10441" s="94"/>
      <c r="E10441" s="94"/>
      <c r="G10441" s="94"/>
      <c r="I10441" s="94"/>
      <c r="K10441" s="94"/>
      <c r="M10441" s="94"/>
    </row>
    <row r="10442" s="93" customFormat="1" spans="3:13">
      <c r="C10442" s="94"/>
      <c r="E10442" s="94"/>
      <c r="G10442" s="94"/>
      <c r="I10442" s="94"/>
      <c r="K10442" s="94"/>
      <c r="M10442" s="94"/>
    </row>
    <row r="10443" s="93" customFormat="1" spans="3:13">
      <c r="C10443" s="94"/>
      <c r="E10443" s="94"/>
      <c r="G10443" s="94"/>
      <c r="I10443" s="94"/>
      <c r="K10443" s="94"/>
      <c r="M10443" s="94"/>
    </row>
    <row r="10444" s="93" customFormat="1" spans="3:13">
      <c r="C10444" s="94"/>
      <c r="E10444" s="94"/>
      <c r="G10444" s="94"/>
      <c r="I10444" s="94"/>
      <c r="K10444" s="94"/>
      <c r="M10444" s="94"/>
    </row>
    <row r="10445" s="93" customFormat="1" spans="3:13">
      <c r="C10445" s="94"/>
      <c r="E10445" s="94"/>
      <c r="G10445" s="94"/>
      <c r="I10445" s="94"/>
      <c r="K10445" s="94"/>
      <c r="M10445" s="94"/>
    </row>
    <row r="10446" s="93" customFormat="1" spans="3:13">
      <c r="C10446" s="94"/>
      <c r="E10446" s="94"/>
      <c r="G10446" s="94"/>
      <c r="I10446" s="94"/>
      <c r="K10446" s="94"/>
      <c r="M10446" s="94"/>
    </row>
    <row r="10447" s="93" customFormat="1" spans="3:13">
      <c r="C10447" s="94"/>
      <c r="E10447" s="94"/>
      <c r="G10447" s="94"/>
      <c r="I10447" s="94"/>
      <c r="K10447" s="94"/>
      <c r="M10447" s="94"/>
    </row>
    <row r="10448" s="93" customFormat="1" spans="3:13">
      <c r="C10448" s="94"/>
      <c r="E10448" s="94"/>
      <c r="G10448" s="94"/>
      <c r="I10448" s="94"/>
      <c r="K10448" s="94"/>
      <c r="M10448" s="94"/>
    </row>
    <row r="10449" s="93" customFormat="1" spans="3:13">
      <c r="C10449" s="94"/>
      <c r="E10449" s="94"/>
      <c r="G10449" s="94"/>
      <c r="I10449" s="94"/>
      <c r="K10449" s="94"/>
      <c r="M10449" s="94"/>
    </row>
    <row r="10450" s="93" customFormat="1" spans="3:13">
      <c r="C10450" s="94"/>
      <c r="E10450" s="94"/>
      <c r="G10450" s="94"/>
      <c r="I10450" s="94"/>
      <c r="K10450" s="94"/>
      <c r="M10450" s="94"/>
    </row>
    <row r="10451" s="93" customFormat="1" spans="3:13">
      <c r="C10451" s="94"/>
      <c r="E10451" s="94"/>
      <c r="G10451" s="94"/>
      <c r="I10451" s="94"/>
      <c r="K10451" s="94"/>
      <c r="M10451" s="94"/>
    </row>
    <row r="10452" s="93" customFormat="1" spans="3:13">
      <c r="C10452" s="94"/>
      <c r="E10452" s="94"/>
      <c r="G10452" s="94"/>
      <c r="I10452" s="94"/>
      <c r="K10452" s="94"/>
      <c r="M10452" s="94"/>
    </row>
    <row r="10453" s="93" customFormat="1" spans="3:13">
      <c r="C10453" s="94"/>
      <c r="E10453" s="94"/>
      <c r="G10453" s="94"/>
      <c r="I10453" s="94"/>
      <c r="K10453" s="94"/>
      <c r="M10453" s="94"/>
    </row>
    <row r="10454" s="93" customFormat="1" spans="3:13">
      <c r="C10454" s="94"/>
      <c r="E10454" s="94"/>
      <c r="G10454" s="94"/>
      <c r="I10454" s="94"/>
      <c r="K10454" s="94"/>
      <c r="M10454" s="94"/>
    </row>
    <row r="10455" s="93" customFormat="1" spans="3:13">
      <c r="C10455" s="94"/>
      <c r="E10455" s="94"/>
      <c r="G10455" s="94"/>
      <c r="I10455" s="94"/>
      <c r="K10455" s="94"/>
      <c r="M10455" s="94"/>
    </row>
    <row r="10456" s="93" customFormat="1" spans="3:13">
      <c r="C10456" s="94"/>
      <c r="E10456" s="94"/>
      <c r="G10456" s="94"/>
      <c r="I10456" s="94"/>
      <c r="K10456" s="94"/>
      <c r="M10456" s="94"/>
    </row>
    <row r="10457" s="93" customFormat="1" spans="3:13">
      <c r="C10457" s="94"/>
      <c r="E10457" s="94"/>
      <c r="G10457" s="94"/>
      <c r="I10457" s="94"/>
      <c r="K10457" s="94"/>
      <c r="M10457" s="94"/>
    </row>
    <row r="10458" s="93" customFormat="1" spans="3:13">
      <c r="C10458" s="94"/>
      <c r="E10458" s="94"/>
      <c r="G10458" s="94"/>
      <c r="I10458" s="94"/>
      <c r="K10458" s="94"/>
      <c r="M10458" s="94"/>
    </row>
    <row r="10459" s="93" customFormat="1" spans="3:13">
      <c r="C10459" s="94"/>
      <c r="E10459" s="94"/>
      <c r="G10459" s="94"/>
      <c r="I10459" s="94"/>
      <c r="K10459" s="94"/>
      <c r="M10459" s="94"/>
    </row>
    <row r="10460" s="93" customFormat="1" spans="3:13">
      <c r="C10460" s="94"/>
      <c r="E10460" s="94"/>
      <c r="G10460" s="94"/>
      <c r="I10460" s="94"/>
      <c r="K10460" s="94"/>
      <c r="M10460" s="94"/>
    </row>
    <row r="10461" s="93" customFormat="1" spans="3:13">
      <c r="C10461" s="94"/>
      <c r="E10461" s="94"/>
      <c r="G10461" s="94"/>
      <c r="I10461" s="94"/>
      <c r="K10461" s="94"/>
      <c r="M10461" s="94"/>
    </row>
    <row r="10462" s="93" customFormat="1" spans="3:13">
      <c r="C10462" s="94"/>
      <c r="E10462" s="94"/>
      <c r="G10462" s="94"/>
      <c r="I10462" s="94"/>
      <c r="K10462" s="94"/>
      <c r="M10462" s="94"/>
    </row>
    <row r="10463" s="93" customFormat="1" spans="3:13">
      <c r="C10463" s="94"/>
      <c r="E10463" s="94"/>
      <c r="G10463" s="94"/>
      <c r="I10463" s="94"/>
      <c r="K10463" s="94"/>
      <c r="M10463" s="94"/>
    </row>
    <row r="10464" s="93" customFormat="1" spans="3:13">
      <c r="C10464" s="94"/>
      <c r="E10464" s="94"/>
      <c r="G10464" s="94"/>
      <c r="I10464" s="94"/>
      <c r="K10464" s="94"/>
      <c r="M10464" s="94"/>
    </row>
    <row r="10465" s="93" customFormat="1" spans="3:13">
      <c r="C10465" s="94"/>
      <c r="E10465" s="94"/>
      <c r="G10465" s="94"/>
      <c r="I10465" s="94"/>
      <c r="K10465" s="94"/>
      <c r="M10465" s="94"/>
    </row>
    <row r="10466" s="93" customFormat="1" spans="3:13">
      <c r="C10466" s="94"/>
      <c r="E10466" s="94"/>
      <c r="G10466" s="94"/>
      <c r="I10466" s="94"/>
      <c r="K10466" s="94"/>
      <c r="M10466" s="94"/>
    </row>
    <row r="10467" s="93" customFormat="1" spans="3:13">
      <c r="C10467" s="94"/>
      <c r="E10467" s="94"/>
      <c r="G10467" s="94"/>
      <c r="I10467" s="94"/>
      <c r="K10467" s="94"/>
      <c r="M10467" s="94"/>
    </row>
    <row r="10468" s="93" customFormat="1" spans="3:13">
      <c r="C10468" s="94"/>
      <c r="E10468" s="94"/>
      <c r="G10468" s="94"/>
      <c r="I10468" s="94"/>
      <c r="K10468" s="94"/>
      <c r="M10468" s="94"/>
    </row>
    <row r="10469" s="93" customFormat="1" spans="3:13">
      <c r="C10469" s="94"/>
      <c r="E10469" s="94"/>
      <c r="G10469" s="94"/>
      <c r="I10469" s="94"/>
      <c r="K10469" s="94"/>
      <c r="M10469" s="94"/>
    </row>
    <row r="10470" s="93" customFormat="1" spans="3:13">
      <c r="C10470" s="94"/>
      <c r="E10470" s="94"/>
      <c r="G10470" s="94"/>
      <c r="I10470" s="94"/>
      <c r="K10470" s="94"/>
      <c r="M10470" s="94"/>
    </row>
    <row r="10471" s="93" customFormat="1" spans="3:13">
      <c r="C10471" s="94"/>
      <c r="E10471" s="94"/>
      <c r="G10471" s="94"/>
      <c r="I10471" s="94"/>
      <c r="K10471" s="94"/>
      <c r="M10471" s="94"/>
    </row>
    <row r="10472" s="93" customFormat="1" spans="3:13">
      <c r="C10472" s="94"/>
      <c r="E10472" s="94"/>
      <c r="G10472" s="94"/>
      <c r="I10472" s="94"/>
      <c r="K10472" s="94"/>
      <c r="M10472" s="94"/>
    </row>
    <row r="10473" s="93" customFormat="1" spans="3:13">
      <c r="C10473" s="94"/>
      <c r="E10473" s="94"/>
      <c r="G10473" s="94"/>
      <c r="I10473" s="94"/>
      <c r="K10473" s="94"/>
      <c r="M10473" s="94"/>
    </row>
    <row r="10474" s="93" customFormat="1" spans="3:13">
      <c r="C10474" s="94"/>
      <c r="E10474" s="94"/>
      <c r="G10474" s="94"/>
      <c r="I10474" s="94"/>
      <c r="K10474" s="94"/>
      <c r="M10474" s="94"/>
    </row>
    <row r="10475" s="93" customFormat="1" spans="3:13">
      <c r="C10475" s="94"/>
      <c r="E10475" s="94"/>
      <c r="G10475" s="94"/>
      <c r="I10475" s="94"/>
      <c r="K10475" s="94"/>
      <c r="M10475" s="94"/>
    </row>
    <row r="10476" s="93" customFormat="1" spans="3:13">
      <c r="C10476" s="94"/>
      <c r="E10476" s="94"/>
      <c r="G10476" s="94"/>
      <c r="I10476" s="94"/>
      <c r="K10476" s="94"/>
      <c r="M10476" s="94"/>
    </row>
    <row r="10477" s="93" customFormat="1" spans="3:13">
      <c r="C10477" s="94"/>
      <c r="E10477" s="94"/>
      <c r="G10477" s="94"/>
      <c r="I10477" s="94"/>
      <c r="K10477" s="94"/>
      <c r="M10477" s="94"/>
    </row>
    <row r="10478" s="93" customFormat="1" spans="3:13">
      <c r="C10478" s="94"/>
      <c r="E10478" s="94"/>
      <c r="G10478" s="94"/>
      <c r="I10478" s="94"/>
      <c r="K10478" s="94"/>
      <c r="M10478" s="94"/>
    </row>
    <row r="10479" s="93" customFormat="1" spans="3:13">
      <c r="C10479" s="94"/>
      <c r="E10479" s="94"/>
      <c r="G10479" s="94"/>
      <c r="I10479" s="94"/>
      <c r="K10479" s="94"/>
      <c r="M10479" s="94"/>
    </row>
    <row r="10480" s="93" customFormat="1" spans="3:13">
      <c r="C10480" s="94"/>
      <c r="E10480" s="94"/>
      <c r="G10480" s="94"/>
      <c r="I10480" s="94"/>
      <c r="K10480" s="94"/>
      <c r="M10480" s="94"/>
    </row>
    <row r="10481" s="93" customFormat="1" spans="3:13">
      <c r="C10481" s="94"/>
      <c r="E10481" s="94"/>
      <c r="G10481" s="94"/>
      <c r="I10481" s="94"/>
      <c r="K10481" s="94"/>
      <c r="M10481" s="94"/>
    </row>
    <row r="10482" s="93" customFormat="1" spans="3:13">
      <c r="C10482" s="94"/>
      <c r="E10482" s="94"/>
      <c r="G10482" s="94"/>
      <c r="I10482" s="94"/>
      <c r="K10482" s="94"/>
      <c r="M10482" s="94"/>
    </row>
    <row r="10483" s="93" customFormat="1" spans="3:13">
      <c r="C10483" s="94"/>
      <c r="E10483" s="94"/>
      <c r="G10483" s="94"/>
      <c r="I10483" s="94"/>
      <c r="K10483" s="94"/>
      <c r="M10483" s="94"/>
    </row>
    <row r="10484" s="93" customFormat="1" spans="3:13">
      <c r="C10484" s="94"/>
      <c r="E10484" s="94"/>
      <c r="G10484" s="94"/>
      <c r="I10484" s="94"/>
      <c r="K10484" s="94"/>
      <c r="M10484" s="94"/>
    </row>
    <row r="10485" s="93" customFormat="1" spans="3:13">
      <c r="C10485" s="94"/>
      <c r="E10485" s="94"/>
      <c r="G10485" s="94"/>
      <c r="I10485" s="94"/>
      <c r="K10485" s="94"/>
      <c r="M10485" s="94"/>
    </row>
    <row r="10486" s="93" customFormat="1" spans="3:13">
      <c r="C10486" s="94"/>
      <c r="E10486" s="94"/>
      <c r="G10486" s="94"/>
      <c r="I10486" s="94"/>
      <c r="K10486" s="94"/>
      <c r="M10486" s="94"/>
    </row>
    <row r="10487" s="93" customFormat="1" spans="3:13">
      <c r="C10487" s="94"/>
      <c r="E10487" s="94"/>
      <c r="G10487" s="94"/>
      <c r="I10487" s="94"/>
      <c r="K10487" s="94"/>
      <c r="M10487" s="94"/>
    </row>
    <row r="10488" s="93" customFormat="1" spans="3:13">
      <c r="C10488" s="94"/>
      <c r="E10488" s="94"/>
      <c r="G10488" s="94"/>
      <c r="I10488" s="94"/>
      <c r="K10488" s="94"/>
      <c r="M10488" s="94"/>
    </row>
    <row r="10489" s="93" customFormat="1" spans="3:13">
      <c r="C10489" s="94"/>
      <c r="E10489" s="94"/>
      <c r="G10489" s="94"/>
      <c r="I10489" s="94"/>
      <c r="K10489" s="94"/>
      <c r="M10489" s="94"/>
    </row>
    <row r="10490" s="93" customFormat="1" spans="3:13">
      <c r="C10490" s="94"/>
      <c r="E10490" s="94"/>
      <c r="G10490" s="94"/>
      <c r="I10490" s="94"/>
      <c r="K10490" s="94"/>
      <c r="M10490" s="94"/>
    </row>
    <row r="10491" s="93" customFormat="1" spans="3:13">
      <c r="C10491" s="94"/>
      <c r="E10491" s="94"/>
      <c r="G10491" s="94"/>
      <c r="I10491" s="94"/>
      <c r="K10491" s="94"/>
      <c r="M10491" s="94"/>
    </row>
    <row r="10492" s="93" customFormat="1" spans="3:13">
      <c r="C10492" s="94"/>
      <c r="E10492" s="94"/>
      <c r="G10492" s="94"/>
      <c r="I10492" s="94"/>
      <c r="K10492" s="94"/>
      <c r="M10492" s="94"/>
    </row>
    <row r="10493" s="93" customFormat="1" spans="3:13">
      <c r="C10493" s="94"/>
      <c r="E10493" s="94"/>
      <c r="G10493" s="94"/>
      <c r="I10493" s="94"/>
      <c r="K10493" s="94"/>
      <c r="M10493" s="94"/>
    </row>
    <row r="10494" s="93" customFormat="1" spans="3:13">
      <c r="C10494" s="94"/>
      <c r="E10494" s="94"/>
      <c r="G10494" s="94"/>
      <c r="I10494" s="94"/>
      <c r="K10494" s="94"/>
      <c r="M10494" s="94"/>
    </row>
    <row r="10495" s="93" customFormat="1" spans="3:13">
      <c r="C10495" s="94"/>
      <c r="E10495" s="94"/>
      <c r="G10495" s="94"/>
      <c r="I10495" s="94"/>
      <c r="K10495" s="94"/>
      <c r="M10495" s="94"/>
    </row>
    <row r="10496" s="93" customFormat="1" spans="3:13">
      <c r="C10496" s="94"/>
      <c r="E10496" s="94"/>
      <c r="G10496" s="94"/>
      <c r="I10496" s="94"/>
      <c r="K10496" s="94"/>
      <c r="M10496" s="94"/>
    </row>
    <row r="10497" s="93" customFormat="1" spans="3:13">
      <c r="C10497" s="94"/>
      <c r="E10497" s="94"/>
      <c r="G10497" s="94"/>
      <c r="I10497" s="94"/>
      <c r="K10497" s="94"/>
      <c r="M10497" s="94"/>
    </row>
    <row r="10498" s="93" customFormat="1" spans="3:13">
      <c r="C10498" s="94"/>
      <c r="E10498" s="94"/>
      <c r="G10498" s="94"/>
      <c r="I10498" s="94"/>
      <c r="K10498" s="94"/>
      <c r="M10498" s="94"/>
    </row>
    <row r="10499" s="93" customFormat="1" spans="3:13">
      <c r="C10499" s="94"/>
      <c r="E10499" s="94"/>
      <c r="G10499" s="94"/>
      <c r="I10499" s="94"/>
      <c r="K10499" s="94"/>
      <c r="M10499" s="94"/>
    </row>
    <row r="10500" s="93" customFormat="1" spans="3:13">
      <c r="C10500" s="94"/>
      <c r="E10500" s="94"/>
      <c r="G10500" s="94"/>
      <c r="I10500" s="94"/>
      <c r="K10500" s="94"/>
      <c r="M10500" s="94"/>
    </row>
    <row r="10501" s="93" customFormat="1" spans="3:13">
      <c r="C10501" s="94"/>
      <c r="E10501" s="94"/>
      <c r="G10501" s="94"/>
      <c r="I10501" s="94"/>
      <c r="K10501" s="94"/>
      <c r="M10501" s="94"/>
    </row>
    <row r="10502" s="93" customFormat="1" spans="3:13">
      <c r="C10502" s="94"/>
      <c r="E10502" s="94"/>
      <c r="G10502" s="94"/>
      <c r="I10502" s="94"/>
      <c r="K10502" s="94"/>
      <c r="M10502" s="94"/>
    </row>
    <row r="10503" s="93" customFormat="1" spans="3:13">
      <c r="C10503" s="94"/>
      <c r="E10503" s="94"/>
      <c r="G10503" s="94"/>
      <c r="I10503" s="94"/>
      <c r="K10503" s="94"/>
      <c r="M10503" s="94"/>
    </row>
    <row r="10504" s="93" customFormat="1" spans="3:13">
      <c r="C10504" s="94"/>
      <c r="E10504" s="94"/>
      <c r="G10504" s="94"/>
      <c r="I10504" s="94"/>
      <c r="K10504" s="94"/>
      <c r="M10504" s="94"/>
    </row>
    <row r="10505" s="93" customFormat="1" spans="3:13">
      <c r="C10505" s="94"/>
      <c r="E10505" s="94"/>
      <c r="G10505" s="94"/>
      <c r="I10505" s="94"/>
      <c r="K10505" s="94"/>
      <c r="M10505" s="94"/>
    </row>
    <row r="10506" s="93" customFormat="1" spans="3:13">
      <c r="C10506" s="94"/>
      <c r="E10506" s="94"/>
      <c r="G10506" s="94"/>
      <c r="I10506" s="94"/>
      <c r="K10506" s="94"/>
      <c r="M10506" s="94"/>
    </row>
    <row r="10507" s="93" customFormat="1" spans="3:13">
      <c r="C10507" s="94"/>
      <c r="E10507" s="94"/>
      <c r="G10507" s="94"/>
      <c r="I10507" s="94"/>
      <c r="K10507" s="94"/>
      <c r="M10507" s="94"/>
    </row>
    <row r="10508" s="93" customFormat="1" spans="3:13">
      <c r="C10508" s="94"/>
      <c r="E10508" s="94"/>
      <c r="G10508" s="94"/>
      <c r="I10508" s="94"/>
      <c r="K10508" s="94"/>
      <c r="M10508" s="94"/>
    </row>
    <row r="10509" s="93" customFormat="1" spans="3:13">
      <c r="C10509" s="94"/>
      <c r="E10509" s="94"/>
      <c r="G10509" s="94"/>
      <c r="I10509" s="94"/>
      <c r="K10509" s="94"/>
      <c r="M10509" s="94"/>
    </row>
    <row r="10510" s="93" customFormat="1" spans="3:13">
      <c r="C10510" s="94"/>
      <c r="E10510" s="94"/>
      <c r="G10510" s="94"/>
      <c r="I10510" s="94"/>
      <c r="K10510" s="94"/>
      <c r="M10510" s="94"/>
    </row>
    <row r="10511" s="93" customFormat="1" spans="3:13">
      <c r="C10511" s="94"/>
      <c r="E10511" s="94"/>
      <c r="G10511" s="94"/>
      <c r="I10511" s="94"/>
      <c r="K10511" s="94"/>
      <c r="M10511" s="94"/>
    </row>
    <row r="10512" s="93" customFormat="1" spans="3:13">
      <c r="C10512" s="94"/>
      <c r="E10512" s="94"/>
      <c r="G10512" s="94"/>
      <c r="I10512" s="94"/>
      <c r="K10512" s="94"/>
      <c r="M10512" s="94"/>
    </row>
    <row r="10513" s="93" customFormat="1" spans="3:13">
      <c r="C10513" s="94"/>
      <c r="E10513" s="94"/>
      <c r="G10513" s="94"/>
      <c r="I10513" s="94"/>
      <c r="K10513" s="94"/>
      <c r="M10513" s="94"/>
    </row>
    <row r="10514" s="93" customFormat="1" spans="3:13">
      <c r="C10514" s="94"/>
      <c r="E10514" s="94"/>
      <c r="G10514" s="94"/>
      <c r="I10514" s="94"/>
      <c r="K10514" s="94"/>
      <c r="M10514" s="94"/>
    </row>
    <row r="10515" s="93" customFormat="1" spans="3:13">
      <c r="C10515" s="94"/>
      <c r="E10515" s="94"/>
      <c r="G10515" s="94"/>
      <c r="I10515" s="94"/>
      <c r="K10515" s="94"/>
      <c r="M10515" s="94"/>
    </row>
    <row r="10516" s="93" customFormat="1" spans="3:13">
      <c r="C10516" s="94"/>
      <c r="E10516" s="94"/>
      <c r="G10516" s="94"/>
      <c r="I10516" s="94"/>
      <c r="K10516" s="94"/>
      <c r="M10516" s="94"/>
    </row>
    <row r="10517" s="93" customFormat="1" spans="3:13">
      <c r="C10517" s="94"/>
      <c r="E10517" s="94"/>
      <c r="G10517" s="94"/>
      <c r="I10517" s="94"/>
      <c r="K10517" s="94"/>
      <c r="M10517" s="94"/>
    </row>
    <row r="10518" s="93" customFormat="1" spans="3:13">
      <c r="C10518" s="94"/>
      <c r="E10518" s="94"/>
      <c r="G10518" s="94"/>
      <c r="I10518" s="94"/>
      <c r="K10518" s="94"/>
      <c r="M10518" s="94"/>
    </row>
    <row r="10519" s="93" customFormat="1" spans="3:13">
      <c r="C10519" s="94"/>
      <c r="E10519" s="94"/>
      <c r="G10519" s="94"/>
      <c r="I10519" s="94"/>
      <c r="K10519" s="94"/>
      <c r="M10519" s="94"/>
    </row>
    <row r="10520" s="93" customFormat="1" spans="3:13">
      <c r="C10520" s="94"/>
      <c r="E10520" s="94"/>
      <c r="G10520" s="94"/>
      <c r="I10520" s="94"/>
      <c r="K10520" s="94"/>
      <c r="M10520" s="94"/>
    </row>
    <row r="10521" s="93" customFormat="1" spans="3:13">
      <c r="C10521" s="94"/>
      <c r="E10521" s="94"/>
      <c r="G10521" s="94"/>
      <c r="I10521" s="94"/>
      <c r="K10521" s="94"/>
      <c r="M10521" s="94"/>
    </row>
    <row r="10522" s="93" customFormat="1" spans="3:13">
      <c r="C10522" s="94"/>
      <c r="E10522" s="94"/>
      <c r="G10522" s="94"/>
      <c r="I10522" s="94"/>
      <c r="K10522" s="94"/>
      <c r="M10522" s="94"/>
    </row>
    <row r="10523" s="93" customFormat="1" spans="3:13">
      <c r="C10523" s="94"/>
      <c r="E10523" s="94"/>
      <c r="G10523" s="94"/>
      <c r="I10523" s="94"/>
      <c r="K10523" s="94"/>
      <c r="M10523" s="94"/>
    </row>
    <row r="10524" s="93" customFormat="1" spans="3:13">
      <c r="C10524" s="94"/>
      <c r="E10524" s="94"/>
      <c r="G10524" s="94"/>
      <c r="I10524" s="94"/>
      <c r="K10524" s="94"/>
      <c r="M10524" s="94"/>
    </row>
    <row r="10525" s="93" customFormat="1" spans="3:13">
      <c r="C10525" s="94"/>
      <c r="E10525" s="94"/>
      <c r="G10525" s="94"/>
      <c r="I10525" s="94"/>
      <c r="K10525" s="94"/>
      <c r="M10525" s="94"/>
    </row>
    <row r="10526" s="93" customFormat="1" spans="3:13">
      <c r="C10526" s="94"/>
      <c r="E10526" s="94"/>
      <c r="G10526" s="94"/>
      <c r="I10526" s="94"/>
      <c r="K10526" s="94"/>
      <c r="M10526" s="94"/>
    </row>
    <row r="10527" s="93" customFormat="1" spans="3:13">
      <c r="C10527" s="94"/>
      <c r="E10527" s="94"/>
      <c r="G10527" s="94"/>
      <c r="I10527" s="94"/>
      <c r="K10527" s="94"/>
      <c r="M10527" s="94"/>
    </row>
    <row r="10528" s="93" customFormat="1" spans="3:13">
      <c r="C10528" s="94"/>
      <c r="E10528" s="94"/>
      <c r="G10528" s="94"/>
      <c r="I10528" s="94"/>
      <c r="K10528" s="94"/>
      <c r="M10528" s="94"/>
    </row>
    <row r="10529" s="93" customFormat="1" spans="3:13">
      <c r="C10529" s="94"/>
      <c r="E10529" s="94"/>
      <c r="G10529" s="94"/>
      <c r="I10529" s="94"/>
      <c r="K10529" s="94"/>
      <c r="M10529" s="94"/>
    </row>
    <row r="10530" s="93" customFormat="1" spans="3:13">
      <c r="C10530" s="94"/>
      <c r="E10530" s="94"/>
      <c r="G10530" s="94"/>
      <c r="I10530" s="94"/>
      <c r="K10530" s="94"/>
      <c r="M10530" s="94"/>
    </row>
    <row r="10531" s="93" customFormat="1" spans="3:13">
      <c r="C10531" s="94"/>
      <c r="E10531" s="94"/>
      <c r="G10531" s="94"/>
      <c r="I10531" s="94"/>
      <c r="K10531" s="94"/>
      <c r="M10531" s="94"/>
    </row>
    <row r="10532" s="93" customFormat="1" spans="3:13">
      <c r="C10532" s="94"/>
      <c r="E10532" s="94"/>
      <c r="G10532" s="94"/>
      <c r="I10532" s="94"/>
      <c r="K10532" s="94"/>
      <c r="M10532" s="94"/>
    </row>
    <row r="10533" s="93" customFormat="1" spans="3:13">
      <c r="C10533" s="94"/>
      <c r="E10533" s="94"/>
      <c r="G10533" s="94"/>
      <c r="I10533" s="94"/>
      <c r="K10533" s="94"/>
      <c r="M10533" s="94"/>
    </row>
    <row r="10534" s="93" customFormat="1" spans="3:13">
      <c r="C10534" s="94"/>
      <c r="E10534" s="94"/>
      <c r="G10534" s="94"/>
      <c r="I10534" s="94"/>
      <c r="K10534" s="94"/>
      <c r="M10534" s="94"/>
    </row>
    <row r="10535" s="93" customFormat="1" spans="3:13">
      <c r="C10535" s="94"/>
      <c r="E10535" s="94"/>
      <c r="G10535" s="94"/>
      <c r="I10535" s="94"/>
      <c r="K10535" s="94"/>
      <c r="M10535" s="94"/>
    </row>
    <row r="10536" s="93" customFormat="1" spans="3:13">
      <c r="C10536" s="94"/>
      <c r="E10536" s="94"/>
      <c r="G10536" s="94"/>
      <c r="I10536" s="94"/>
      <c r="K10536" s="94"/>
      <c r="M10536" s="94"/>
    </row>
    <row r="10537" s="93" customFormat="1" spans="3:13">
      <c r="C10537" s="94"/>
      <c r="E10537" s="94"/>
      <c r="G10537" s="94"/>
      <c r="I10537" s="94"/>
      <c r="K10537" s="94"/>
      <c r="M10537" s="94"/>
    </row>
    <row r="10538" s="93" customFormat="1" spans="3:13">
      <c r="C10538" s="94"/>
      <c r="E10538" s="94"/>
      <c r="G10538" s="94"/>
      <c r="I10538" s="94"/>
      <c r="K10538" s="94"/>
      <c r="M10538" s="94"/>
    </row>
    <row r="10539" s="93" customFormat="1" spans="3:13">
      <c r="C10539" s="94"/>
      <c r="E10539" s="94"/>
      <c r="G10539" s="94"/>
      <c r="I10539" s="94"/>
      <c r="K10539" s="94"/>
      <c r="M10539" s="94"/>
    </row>
    <row r="10540" s="93" customFormat="1" spans="3:13">
      <c r="C10540" s="94"/>
      <c r="E10540" s="94"/>
      <c r="G10540" s="94"/>
      <c r="I10540" s="94"/>
      <c r="K10540" s="94"/>
      <c r="M10540" s="94"/>
    </row>
    <row r="10541" s="93" customFormat="1" spans="3:13">
      <c r="C10541" s="94"/>
      <c r="E10541" s="94"/>
      <c r="G10541" s="94"/>
      <c r="I10541" s="94"/>
      <c r="K10541" s="94"/>
      <c r="M10541" s="94"/>
    </row>
    <row r="10542" s="93" customFormat="1" spans="3:13">
      <c r="C10542" s="94"/>
      <c r="E10542" s="94"/>
      <c r="G10542" s="94"/>
      <c r="I10542" s="94"/>
      <c r="K10542" s="94"/>
      <c r="M10542" s="94"/>
    </row>
    <row r="10543" s="93" customFormat="1" spans="3:13">
      <c r="C10543" s="94"/>
      <c r="E10543" s="94"/>
      <c r="G10543" s="94"/>
      <c r="I10543" s="94"/>
      <c r="K10543" s="94"/>
      <c r="M10543" s="94"/>
    </row>
    <row r="10544" s="93" customFormat="1" spans="3:13">
      <c r="C10544" s="94"/>
      <c r="E10544" s="94"/>
      <c r="G10544" s="94"/>
      <c r="I10544" s="94"/>
      <c r="K10544" s="94"/>
      <c r="M10544" s="94"/>
    </row>
    <row r="10545" s="93" customFormat="1" spans="3:13">
      <c r="C10545" s="94"/>
      <c r="E10545" s="94"/>
      <c r="G10545" s="94"/>
      <c r="I10545" s="94"/>
      <c r="K10545" s="94"/>
      <c r="M10545" s="94"/>
    </row>
    <row r="10546" s="93" customFormat="1" spans="3:13">
      <c r="C10546" s="94"/>
      <c r="E10546" s="94"/>
      <c r="G10546" s="94"/>
      <c r="I10546" s="94"/>
      <c r="K10546" s="94"/>
      <c r="M10546" s="94"/>
    </row>
    <row r="10547" s="93" customFormat="1" spans="3:13">
      <c r="C10547" s="94"/>
      <c r="E10547" s="94"/>
      <c r="G10547" s="94"/>
      <c r="I10547" s="94"/>
      <c r="K10547" s="94"/>
      <c r="M10547" s="94"/>
    </row>
    <row r="10548" s="93" customFormat="1" spans="3:13">
      <c r="C10548" s="94"/>
      <c r="E10548" s="94"/>
      <c r="G10548" s="94"/>
      <c r="I10548" s="94"/>
      <c r="K10548" s="94"/>
      <c r="M10548" s="94"/>
    </row>
    <row r="10549" s="93" customFormat="1" spans="3:13">
      <c r="C10549" s="94"/>
      <c r="E10549" s="94"/>
      <c r="G10549" s="94"/>
      <c r="I10549" s="94"/>
      <c r="K10549" s="94"/>
      <c r="M10549" s="94"/>
    </row>
    <row r="10550" s="93" customFormat="1" spans="3:13">
      <c r="C10550" s="94"/>
      <c r="E10550" s="94"/>
      <c r="G10550" s="94"/>
      <c r="I10550" s="94"/>
      <c r="K10550" s="94"/>
      <c r="M10550" s="94"/>
    </row>
    <row r="10551" s="93" customFormat="1" spans="3:13">
      <c r="C10551" s="94"/>
      <c r="E10551" s="94"/>
      <c r="G10551" s="94"/>
      <c r="I10551" s="94"/>
      <c r="K10551" s="94"/>
      <c r="M10551" s="94"/>
    </row>
    <row r="10552" s="93" customFormat="1" spans="3:13">
      <c r="C10552" s="94"/>
      <c r="E10552" s="94"/>
      <c r="G10552" s="94"/>
      <c r="I10552" s="94"/>
      <c r="K10552" s="94"/>
      <c r="M10552" s="94"/>
    </row>
    <row r="10553" s="93" customFormat="1" spans="3:13">
      <c r="C10553" s="94"/>
      <c r="E10553" s="94"/>
      <c r="G10553" s="94"/>
      <c r="I10553" s="94"/>
      <c r="K10553" s="94"/>
      <c r="M10553" s="94"/>
    </row>
    <row r="10554" s="93" customFormat="1" spans="3:13">
      <c r="C10554" s="94"/>
      <c r="E10554" s="94"/>
      <c r="G10554" s="94"/>
      <c r="I10554" s="94"/>
      <c r="K10554" s="94"/>
      <c r="M10554" s="94"/>
    </row>
    <row r="10555" s="93" customFormat="1" spans="3:13">
      <c r="C10555" s="94"/>
      <c r="E10555" s="94"/>
      <c r="G10555" s="94"/>
      <c r="I10555" s="94"/>
      <c r="K10555" s="94"/>
      <c r="M10555" s="94"/>
    </row>
    <row r="10556" s="93" customFormat="1" spans="3:13">
      <c r="C10556" s="94"/>
      <c r="E10556" s="94"/>
      <c r="G10556" s="94"/>
      <c r="I10556" s="94"/>
      <c r="K10556" s="94"/>
      <c r="M10556" s="94"/>
    </row>
    <row r="10557" s="93" customFormat="1" spans="3:13">
      <c r="C10557" s="94"/>
      <c r="E10557" s="94"/>
      <c r="G10557" s="94"/>
      <c r="I10557" s="94"/>
      <c r="K10557" s="94"/>
      <c r="M10557" s="94"/>
    </row>
    <row r="10558" s="93" customFormat="1" spans="3:13">
      <c r="C10558" s="94"/>
      <c r="E10558" s="94"/>
      <c r="G10558" s="94"/>
      <c r="I10558" s="94"/>
      <c r="K10558" s="94"/>
      <c r="M10558" s="94"/>
    </row>
    <row r="10559" s="93" customFormat="1" spans="3:13">
      <c r="C10559" s="94"/>
      <c r="E10559" s="94"/>
      <c r="G10559" s="94"/>
      <c r="I10559" s="94"/>
      <c r="K10559" s="94"/>
      <c r="M10559" s="94"/>
    </row>
    <row r="10560" s="93" customFormat="1" spans="3:13">
      <c r="C10560" s="94"/>
      <c r="E10560" s="94"/>
      <c r="G10560" s="94"/>
      <c r="I10560" s="94"/>
      <c r="K10560" s="94"/>
      <c r="M10560" s="94"/>
    </row>
    <row r="10561" s="93" customFormat="1" spans="3:13">
      <c r="C10561" s="94"/>
      <c r="E10561" s="94"/>
      <c r="G10561" s="94"/>
      <c r="I10561" s="94"/>
      <c r="K10561" s="94"/>
      <c r="M10561" s="94"/>
    </row>
    <row r="10562" s="93" customFormat="1" spans="3:13">
      <c r="C10562" s="94"/>
      <c r="E10562" s="94"/>
      <c r="G10562" s="94"/>
      <c r="I10562" s="94"/>
      <c r="K10562" s="94"/>
      <c r="M10562" s="94"/>
    </row>
    <row r="10563" s="93" customFormat="1" spans="3:13">
      <c r="C10563" s="94"/>
      <c r="E10563" s="94"/>
      <c r="G10563" s="94"/>
      <c r="I10563" s="94"/>
      <c r="K10563" s="94"/>
      <c r="M10563" s="94"/>
    </row>
    <row r="10564" s="93" customFormat="1" spans="3:13">
      <c r="C10564" s="94"/>
      <c r="E10564" s="94"/>
      <c r="G10564" s="94"/>
      <c r="I10564" s="94"/>
      <c r="K10564" s="94"/>
      <c r="M10564" s="94"/>
    </row>
    <row r="10565" s="93" customFormat="1" spans="3:13">
      <c r="C10565" s="94"/>
      <c r="E10565" s="94"/>
      <c r="G10565" s="94"/>
      <c r="I10565" s="94"/>
      <c r="K10565" s="94"/>
      <c r="M10565" s="94"/>
    </row>
    <row r="10566" s="93" customFormat="1" spans="3:13">
      <c r="C10566" s="94"/>
      <c r="E10566" s="94"/>
      <c r="G10566" s="94"/>
      <c r="I10566" s="94"/>
      <c r="K10566" s="94"/>
      <c r="M10566" s="94"/>
    </row>
    <row r="10567" s="93" customFormat="1" spans="3:13">
      <c r="C10567" s="94"/>
      <c r="E10567" s="94"/>
      <c r="G10567" s="94"/>
      <c r="I10567" s="94"/>
      <c r="K10567" s="94"/>
      <c r="M10567" s="94"/>
    </row>
    <row r="10568" s="93" customFormat="1" spans="3:13">
      <c r="C10568" s="94"/>
      <c r="E10568" s="94"/>
      <c r="G10568" s="94"/>
      <c r="I10568" s="94"/>
      <c r="K10568" s="94"/>
      <c r="M10568" s="94"/>
    </row>
    <row r="10569" s="93" customFormat="1" spans="3:13">
      <c r="C10569" s="94"/>
      <c r="E10569" s="94"/>
      <c r="G10569" s="94"/>
      <c r="I10569" s="94"/>
      <c r="K10569" s="94"/>
      <c r="M10569" s="94"/>
    </row>
    <row r="10570" s="93" customFormat="1" spans="3:13">
      <c r="C10570" s="94"/>
      <c r="E10570" s="94"/>
      <c r="G10570" s="94"/>
      <c r="I10570" s="94"/>
      <c r="K10570" s="94"/>
      <c r="M10570" s="94"/>
    </row>
    <row r="10571" s="93" customFormat="1" spans="3:13">
      <c r="C10571" s="94"/>
      <c r="E10571" s="94"/>
      <c r="G10571" s="94"/>
      <c r="I10571" s="94"/>
      <c r="K10571" s="94"/>
      <c r="M10571" s="94"/>
    </row>
    <row r="10572" s="93" customFormat="1" spans="3:13">
      <c r="C10572" s="94"/>
      <c r="E10572" s="94"/>
      <c r="G10572" s="94"/>
      <c r="I10572" s="94"/>
      <c r="K10572" s="94"/>
      <c r="M10572" s="94"/>
    </row>
    <row r="10573" s="93" customFormat="1" spans="3:13">
      <c r="C10573" s="94"/>
      <c r="E10573" s="94"/>
      <c r="G10573" s="94"/>
      <c r="I10573" s="94"/>
      <c r="K10573" s="94"/>
      <c r="M10573" s="94"/>
    </row>
    <row r="10574" s="93" customFormat="1" spans="3:13">
      <c r="C10574" s="94"/>
      <c r="E10574" s="94"/>
      <c r="G10574" s="94"/>
      <c r="I10574" s="94"/>
      <c r="K10574" s="94"/>
      <c r="M10574" s="94"/>
    </row>
    <row r="10575" s="93" customFormat="1" spans="3:13">
      <c r="C10575" s="94"/>
      <c r="E10575" s="94"/>
      <c r="G10575" s="94"/>
      <c r="I10575" s="94"/>
      <c r="K10575" s="94"/>
      <c r="M10575" s="94"/>
    </row>
    <row r="10576" s="93" customFormat="1" spans="3:13">
      <c r="C10576" s="94"/>
      <c r="E10576" s="94"/>
      <c r="G10576" s="94"/>
      <c r="I10576" s="94"/>
      <c r="K10576" s="94"/>
      <c r="M10576" s="94"/>
    </row>
    <row r="10577" s="93" customFormat="1" spans="3:13">
      <c r="C10577" s="94"/>
      <c r="E10577" s="94"/>
      <c r="G10577" s="94"/>
      <c r="I10577" s="94"/>
      <c r="K10577" s="94"/>
      <c r="M10577" s="94"/>
    </row>
    <row r="10578" s="93" customFormat="1" spans="3:13">
      <c r="C10578" s="94"/>
      <c r="E10578" s="94"/>
      <c r="G10578" s="94"/>
      <c r="I10578" s="94"/>
      <c r="K10578" s="94"/>
      <c r="M10578" s="94"/>
    </row>
    <row r="10579" s="93" customFormat="1" spans="3:13">
      <c r="C10579" s="94"/>
      <c r="E10579" s="94"/>
      <c r="G10579" s="94"/>
      <c r="I10579" s="94"/>
      <c r="K10579" s="94"/>
      <c r="M10579" s="94"/>
    </row>
    <row r="10580" s="93" customFormat="1" spans="3:13">
      <c r="C10580" s="94"/>
      <c r="E10580" s="94"/>
      <c r="G10580" s="94"/>
      <c r="I10580" s="94"/>
      <c r="K10580" s="94"/>
      <c r="M10580" s="94"/>
    </row>
    <row r="10581" s="93" customFormat="1" spans="3:13">
      <c r="C10581" s="94"/>
      <c r="E10581" s="94"/>
      <c r="G10581" s="94"/>
      <c r="I10581" s="94"/>
      <c r="K10581" s="94"/>
      <c r="M10581" s="94"/>
    </row>
    <row r="10582" s="93" customFormat="1" spans="3:13">
      <c r="C10582" s="94"/>
      <c r="E10582" s="94"/>
      <c r="G10582" s="94"/>
      <c r="I10582" s="94"/>
      <c r="K10582" s="94"/>
      <c r="M10582" s="94"/>
    </row>
    <row r="10583" s="93" customFormat="1" spans="3:13">
      <c r="C10583" s="94"/>
      <c r="E10583" s="94"/>
      <c r="G10583" s="94"/>
      <c r="I10583" s="94"/>
      <c r="K10583" s="94"/>
      <c r="M10583" s="94"/>
    </row>
    <row r="10584" s="93" customFormat="1" spans="3:13">
      <c r="C10584" s="94"/>
      <c r="E10584" s="94"/>
      <c r="G10584" s="94"/>
      <c r="I10584" s="94"/>
      <c r="K10584" s="94"/>
      <c r="M10584" s="94"/>
    </row>
    <row r="10585" s="93" customFormat="1" spans="3:13">
      <c r="C10585" s="94"/>
      <c r="E10585" s="94"/>
      <c r="G10585" s="94"/>
      <c r="I10585" s="94"/>
      <c r="K10585" s="94"/>
      <c r="M10585" s="94"/>
    </row>
    <row r="10586" s="93" customFormat="1" spans="3:13">
      <c r="C10586" s="94"/>
      <c r="E10586" s="94"/>
      <c r="G10586" s="94"/>
      <c r="I10586" s="94"/>
      <c r="K10586" s="94"/>
      <c r="M10586" s="94"/>
    </row>
    <row r="10587" s="93" customFormat="1" spans="3:13">
      <c r="C10587" s="94"/>
      <c r="E10587" s="94"/>
      <c r="G10587" s="94"/>
      <c r="I10587" s="94"/>
      <c r="K10587" s="94"/>
      <c r="M10587" s="94"/>
    </row>
    <row r="10588" s="93" customFormat="1" spans="3:13">
      <c r="C10588" s="94"/>
      <c r="E10588" s="94"/>
      <c r="G10588" s="94"/>
      <c r="I10588" s="94"/>
      <c r="K10588" s="94"/>
      <c r="M10588" s="94"/>
    </row>
    <row r="10589" s="93" customFormat="1" spans="3:13">
      <c r="C10589" s="94"/>
      <c r="E10589" s="94"/>
      <c r="G10589" s="94"/>
      <c r="I10589" s="94"/>
      <c r="K10589" s="94"/>
      <c r="M10589" s="94"/>
    </row>
    <row r="10590" s="93" customFormat="1" spans="3:13">
      <c r="C10590" s="94"/>
      <c r="E10590" s="94"/>
      <c r="G10590" s="94"/>
      <c r="I10590" s="94"/>
      <c r="K10590" s="94"/>
      <c r="M10590" s="94"/>
    </row>
    <row r="10591" s="93" customFormat="1" spans="3:13">
      <c r="C10591" s="94"/>
      <c r="E10591" s="94"/>
      <c r="G10591" s="94"/>
      <c r="I10591" s="94"/>
      <c r="K10591" s="94"/>
      <c r="M10591" s="94"/>
    </row>
    <row r="10592" s="93" customFormat="1" spans="3:13">
      <c r="C10592" s="94"/>
      <c r="E10592" s="94"/>
      <c r="G10592" s="94"/>
      <c r="I10592" s="94"/>
      <c r="K10592" s="94"/>
      <c r="M10592" s="94"/>
    </row>
    <row r="10593" s="93" customFormat="1" spans="3:13">
      <c r="C10593" s="94"/>
      <c r="E10593" s="94"/>
      <c r="G10593" s="94"/>
      <c r="I10593" s="94"/>
      <c r="K10593" s="94"/>
      <c r="M10593" s="94"/>
    </row>
    <row r="10594" s="93" customFormat="1" spans="3:13">
      <c r="C10594" s="94"/>
      <c r="E10594" s="94"/>
      <c r="G10594" s="94"/>
      <c r="I10594" s="94"/>
      <c r="K10594" s="94"/>
      <c r="M10594" s="94"/>
    </row>
    <row r="10595" s="93" customFormat="1" spans="3:13">
      <c r="C10595" s="94"/>
      <c r="E10595" s="94"/>
      <c r="G10595" s="94"/>
      <c r="I10595" s="94"/>
      <c r="K10595" s="94"/>
      <c r="M10595" s="94"/>
    </row>
    <row r="10596" s="93" customFormat="1" spans="3:13">
      <c r="C10596" s="94"/>
      <c r="E10596" s="94"/>
      <c r="G10596" s="94"/>
      <c r="I10596" s="94"/>
      <c r="K10596" s="94"/>
      <c r="M10596" s="94"/>
    </row>
    <row r="10597" s="93" customFormat="1" spans="3:13">
      <c r="C10597" s="94"/>
      <c r="E10597" s="94"/>
      <c r="G10597" s="94"/>
      <c r="I10597" s="94"/>
      <c r="K10597" s="94"/>
      <c r="M10597" s="94"/>
    </row>
    <row r="10598" s="93" customFormat="1" spans="3:13">
      <c r="C10598" s="94"/>
      <c r="E10598" s="94"/>
      <c r="G10598" s="94"/>
      <c r="I10598" s="94"/>
      <c r="K10598" s="94"/>
      <c r="M10598" s="94"/>
    </row>
    <row r="10599" s="93" customFormat="1" spans="3:13">
      <c r="C10599" s="94"/>
      <c r="E10599" s="94"/>
      <c r="G10599" s="94"/>
      <c r="I10599" s="94"/>
      <c r="K10599" s="94"/>
      <c r="M10599" s="94"/>
    </row>
    <row r="10600" s="93" customFormat="1" spans="3:13">
      <c r="C10600" s="94"/>
      <c r="E10600" s="94"/>
      <c r="G10600" s="94"/>
      <c r="I10600" s="94"/>
      <c r="K10600" s="94"/>
      <c r="M10600" s="94"/>
    </row>
    <row r="10601" s="93" customFormat="1" spans="3:13">
      <c r="C10601" s="94"/>
      <c r="E10601" s="94"/>
      <c r="G10601" s="94"/>
      <c r="I10601" s="94"/>
      <c r="K10601" s="94"/>
      <c r="M10601" s="94"/>
    </row>
    <row r="10602" s="93" customFormat="1" spans="3:13">
      <c r="C10602" s="94"/>
      <c r="E10602" s="94"/>
      <c r="G10602" s="94"/>
      <c r="I10602" s="94"/>
      <c r="K10602" s="94"/>
      <c r="M10602" s="94"/>
    </row>
    <row r="10603" s="93" customFormat="1" spans="3:13">
      <c r="C10603" s="94"/>
      <c r="E10603" s="94"/>
      <c r="G10603" s="94"/>
      <c r="I10603" s="94"/>
      <c r="K10603" s="94"/>
      <c r="M10603" s="94"/>
    </row>
    <row r="10604" s="93" customFormat="1" spans="3:13">
      <c r="C10604" s="94"/>
      <c r="E10604" s="94"/>
      <c r="G10604" s="94"/>
      <c r="I10604" s="94"/>
      <c r="K10604" s="94"/>
      <c r="M10604" s="94"/>
    </row>
    <row r="10605" s="93" customFormat="1" spans="3:13">
      <c r="C10605" s="94"/>
      <c r="E10605" s="94"/>
      <c r="G10605" s="94"/>
      <c r="I10605" s="94"/>
      <c r="K10605" s="94"/>
      <c r="M10605" s="94"/>
    </row>
    <row r="10606" s="93" customFormat="1" spans="3:13">
      <c r="C10606" s="94"/>
      <c r="E10606" s="94"/>
      <c r="G10606" s="94"/>
      <c r="I10606" s="94"/>
      <c r="K10606" s="94"/>
      <c r="M10606" s="94"/>
    </row>
    <row r="10607" s="93" customFormat="1" spans="3:13">
      <c r="C10607" s="94"/>
      <c r="E10607" s="94"/>
      <c r="G10607" s="94"/>
      <c r="I10607" s="94"/>
      <c r="K10607" s="94"/>
      <c r="M10607" s="94"/>
    </row>
    <row r="10608" s="93" customFormat="1" spans="3:13">
      <c r="C10608" s="94"/>
      <c r="E10608" s="94"/>
      <c r="G10608" s="94"/>
      <c r="I10608" s="94"/>
      <c r="K10608" s="94"/>
      <c r="M10608" s="94"/>
    </row>
    <row r="10609" s="93" customFormat="1" spans="3:13">
      <c r="C10609" s="94"/>
      <c r="E10609" s="94"/>
      <c r="G10609" s="94"/>
      <c r="I10609" s="94"/>
      <c r="K10609" s="94"/>
      <c r="M10609" s="94"/>
    </row>
    <row r="10610" s="93" customFormat="1" spans="3:13">
      <c r="C10610" s="94"/>
      <c r="E10610" s="94"/>
      <c r="G10610" s="94"/>
      <c r="I10610" s="94"/>
      <c r="K10610" s="94"/>
      <c r="M10610" s="94"/>
    </row>
    <row r="10611" s="93" customFormat="1" spans="3:13">
      <c r="C10611" s="94"/>
      <c r="E10611" s="94"/>
      <c r="G10611" s="94"/>
      <c r="I10611" s="94"/>
      <c r="K10611" s="94"/>
      <c r="M10611" s="94"/>
    </row>
    <row r="10612" s="93" customFormat="1" spans="3:13">
      <c r="C10612" s="94"/>
      <c r="E10612" s="94"/>
      <c r="G10612" s="94"/>
      <c r="I10612" s="94"/>
      <c r="K10612" s="94"/>
      <c r="M10612" s="94"/>
    </row>
    <row r="10613" s="93" customFormat="1" spans="3:13">
      <c r="C10613" s="94"/>
      <c r="E10613" s="94"/>
      <c r="G10613" s="94"/>
      <c r="I10613" s="94"/>
      <c r="K10613" s="94"/>
      <c r="M10613" s="94"/>
    </row>
    <row r="10614" s="93" customFormat="1" spans="3:13">
      <c r="C10614" s="94"/>
      <c r="E10614" s="94"/>
      <c r="G10614" s="94"/>
      <c r="I10614" s="94"/>
      <c r="K10614" s="94"/>
      <c r="M10614" s="94"/>
    </row>
    <row r="10615" s="93" customFormat="1" spans="3:13">
      <c r="C10615" s="94"/>
      <c r="E10615" s="94"/>
      <c r="G10615" s="94"/>
      <c r="I10615" s="94"/>
      <c r="K10615" s="94"/>
      <c r="M10615" s="94"/>
    </row>
    <row r="10616" s="93" customFormat="1" spans="3:13">
      <c r="C10616" s="94"/>
      <c r="E10616" s="94"/>
      <c r="G10616" s="94"/>
      <c r="I10616" s="94"/>
      <c r="K10616" s="94"/>
      <c r="M10616" s="94"/>
    </row>
    <row r="10617" s="93" customFormat="1" spans="3:13">
      <c r="C10617" s="94"/>
      <c r="E10617" s="94"/>
      <c r="G10617" s="94"/>
      <c r="I10617" s="94"/>
      <c r="K10617" s="94"/>
      <c r="M10617" s="94"/>
    </row>
    <row r="10618" s="93" customFormat="1" spans="3:13">
      <c r="C10618" s="94"/>
      <c r="E10618" s="94"/>
      <c r="G10618" s="94"/>
      <c r="I10618" s="94"/>
      <c r="K10618" s="94"/>
      <c r="M10618" s="94"/>
    </row>
    <row r="10619" s="93" customFormat="1" spans="3:13">
      <c r="C10619" s="94"/>
      <c r="E10619" s="94"/>
      <c r="G10619" s="94"/>
      <c r="I10619" s="94"/>
      <c r="K10619" s="94"/>
      <c r="M10619" s="94"/>
    </row>
    <row r="10620" s="93" customFormat="1" spans="3:13">
      <c r="C10620" s="94"/>
      <c r="E10620" s="94"/>
      <c r="G10620" s="94"/>
      <c r="I10620" s="94"/>
      <c r="K10620" s="94"/>
      <c r="M10620" s="94"/>
    </row>
    <row r="10621" s="93" customFormat="1" spans="3:13">
      <c r="C10621" s="94"/>
      <c r="E10621" s="94"/>
      <c r="G10621" s="94"/>
      <c r="I10621" s="94"/>
      <c r="K10621" s="94"/>
      <c r="M10621" s="94"/>
    </row>
    <row r="10622" s="93" customFormat="1" spans="3:13">
      <c r="C10622" s="94"/>
      <c r="E10622" s="94"/>
      <c r="G10622" s="94"/>
      <c r="I10622" s="94"/>
      <c r="K10622" s="94"/>
      <c r="M10622" s="94"/>
    </row>
    <row r="10623" s="93" customFormat="1" spans="3:13">
      <c r="C10623" s="94"/>
      <c r="E10623" s="94"/>
      <c r="G10623" s="94"/>
      <c r="I10623" s="94"/>
      <c r="K10623" s="94"/>
      <c r="M10623" s="94"/>
    </row>
    <row r="10624" s="93" customFormat="1" spans="3:13">
      <c r="C10624" s="94"/>
      <c r="E10624" s="94"/>
      <c r="G10624" s="94"/>
      <c r="I10624" s="94"/>
      <c r="K10624" s="94"/>
      <c r="M10624" s="94"/>
    </row>
    <row r="10625" s="93" customFormat="1" spans="3:13">
      <c r="C10625" s="94"/>
      <c r="E10625" s="94"/>
      <c r="G10625" s="94"/>
      <c r="I10625" s="94"/>
      <c r="K10625" s="94"/>
      <c r="M10625" s="94"/>
    </row>
    <row r="10626" s="93" customFormat="1" spans="3:13">
      <c r="C10626" s="94"/>
      <c r="E10626" s="94"/>
      <c r="G10626" s="94"/>
      <c r="I10626" s="94"/>
      <c r="K10626" s="94"/>
      <c r="M10626" s="94"/>
    </row>
    <row r="10627" s="93" customFormat="1" spans="3:13">
      <c r="C10627" s="94"/>
      <c r="E10627" s="94"/>
      <c r="G10627" s="94"/>
      <c r="I10627" s="94"/>
      <c r="K10627" s="94"/>
      <c r="M10627" s="94"/>
    </row>
    <row r="10628" s="93" customFormat="1" spans="3:13">
      <c r="C10628" s="94"/>
      <c r="E10628" s="94"/>
      <c r="G10628" s="94"/>
      <c r="I10628" s="94"/>
      <c r="K10628" s="94"/>
      <c r="M10628" s="94"/>
    </row>
    <row r="10629" s="93" customFormat="1" spans="3:13">
      <c r="C10629" s="94"/>
      <c r="E10629" s="94"/>
      <c r="G10629" s="94"/>
      <c r="I10629" s="94"/>
      <c r="K10629" s="94"/>
      <c r="M10629" s="94"/>
    </row>
    <row r="10630" s="93" customFormat="1" spans="3:13">
      <c r="C10630" s="94"/>
      <c r="E10630" s="94"/>
      <c r="G10630" s="94"/>
      <c r="I10630" s="94"/>
      <c r="K10630" s="94"/>
      <c r="M10630" s="94"/>
    </row>
    <row r="10631" s="93" customFormat="1" spans="3:13">
      <c r="C10631" s="94"/>
      <c r="E10631" s="94"/>
      <c r="G10631" s="94"/>
      <c r="I10631" s="94"/>
      <c r="K10631" s="94"/>
      <c r="M10631" s="94"/>
    </row>
    <row r="10632" s="93" customFormat="1" spans="3:13">
      <c r="C10632" s="94"/>
      <c r="E10632" s="94"/>
      <c r="G10632" s="94"/>
      <c r="I10632" s="94"/>
      <c r="K10632" s="94"/>
      <c r="M10632" s="94"/>
    </row>
    <row r="10633" s="93" customFormat="1" spans="3:13">
      <c r="C10633" s="94"/>
      <c r="E10633" s="94"/>
      <c r="G10633" s="94"/>
      <c r="I10633" s="94"/>
      <c r="K10633" s="94"/>
      <c r="M10633" s="94"/>
    </row>
    <row r="10634" s="93" customFormat="1" spans="3:13">
      <c r="C10634" s="94"/>
      <c r="E10634" s="94"/>
      <c r="G10634" s="94"/>
      <c r="I10634" s="94"/>
      <c r="K10634" s="94"/>
      <c r="M10634" s="94"/>
    </row>
    <row r="10635" s="93" customFormat="1" spans="3:13">
      <c r="C10635" s="94"/>
      <c r="E10635" s="94"/>
      <c r="G10635" s="94"/>
      <c r="I10635" s="94"/>
      <c r="K10635" s="94"/>
      <c r="M10635" s="94"/>
    </row>
    <row r="10636" s="93" customFormat="1" spans="3:13">
      <c r="C10636" s="94"/>
      <c r="E10636" s="94"/>
      <c r="G10636" s="94"/>
      <c r="I10636" s="94"/>
      <c r="K10636" s="94"/>
      <c r="M10636" s="94"/>
    </row>
    <row r="10637" s="93" customFormat="1" spans="3:13">
      <c r="C10637" s="94"/>
      <c r="E10637" s="94"/>
      <c r="G10637" s="94"/>
      <c r="I10637" s="94"/>
      <c r="K10637" s="94"/>
      <c r="M10637" s="94"/>
    </row>
    <row r="10638" s="93" customFormat="1" spans="3:13">
      <c r="C10638" s="94"/>
      <c r="E10638" s="94"/>
      <c r="G10638" s="94"/>
      <c r="I10638" s="94"/>
      <c r="K10638" s="94"/>
      <c r="M10638" s="94"/>
    </row>
    <row r="10639" s="93" customFormat="1" spans="3:13">
      <c r="C10639" s="94"/>
      <c r="E10639" s="94"/>
      <c r="G10639" s="94"/>
      <c r="I10639" s="94"/>
      <c r="K10639" s="94"/>
      <c r="M10639" s="94"/>
    </row>
    <row r="10640" s="93" customFormat="1" spans="3:13">
      <c r="C10640" s="94"/>
      <c r="E10640" s="94"/>
      <c r="G10640" s="94"/>
      <c r="I10640" s="94"/>
      <c r="K10640" s="94"/>
      <c r="M10640" s="94"/>
    </row>
    <row r="10641" s="93" customFormat="1" spans="3:13">
      <c r="C10641" s="94"/>
      <c r="E10641" s="94"/>
      <c r="G10641" s="94"/>
      <c r="I10641" s="94"/>
      <c r="K10641" s="94"/>
      <c r="M10641" s="94"/>
    </row>
    <row r="10642" s="93" customFormat="1" spans="3:13">
      <c r="C10642" s="94"/>
      <c r="E10642" s="94"/>
      <c r="G10642" s="94"/>
      <c r="I10642" s="94"/>
      <c r="K10642" s="94"/>
      <c r="M10642" s="94"/>
    </row>
    <row r="10643" s="93" customFormat="1" spans="3:13">
      <c r="C10643" s="94"/>
      <c r="E10643" s="94"/>
      <c r="G10643" s="94"/>
      <c r="I10643" s="94"/>
      <c r="K10643" s="94"/>
      <c r="M10643" s="94"/>
    </row>
    <row r="10644" s="93" customFormat="1" spans="3:13">
      <c r="C10644" s="94"/>
      <c r="E10644" s="94"/>
      <c r="G10644" s="94"/>
      <c r="I10644" s="94"/>
      <c r="K10644" s="94"/>
      <c r="M10644" s="94"/>
    </row>
    <row r="10645" s="93" customFormat="1" spans="3:13">
      <c r="C10645" s="94"/>
      <c r="E10645" s="94"/>
      <c r="G10645" s="94"/>
      <c r="I10645" s="94"/>
      <c r="K10645" s="94"/>
      <c r="M10645" s="94"/>
    </row>
    <row r="10646" s="93" customFormat="1" spans="3:13">
      <c r="C10646" s="94"/>
      <c r="E10646" s="94"/>
      <c r="G10646" s="94"/>
      <c r="I10646" s="94"/>
      <c r="K10646" s="94"/>
      <c r="M10646" s="94"/>
    </row>
    <row r="10647" s="93" customFormat="1" spans="3:13">
      <c r="C10647" s="94"/>
      <c r="E10647" s="94"/>
      <c r="G10647" s="94"/>
      <c r="I10647" s="94"/>
      <c r="K10647" s="94"/>
      <c r="M10647" s="94"/>
    </row>
    <row r="10648" s="93" customFormat="1" spans="3:13">
      <c r="C10648" s="94"/>
      <c r="E10648" s="94"/>
      <c r="G10648" s="94"/>
      <c r="I10648" s="94"/>
      <c r="K10648" s="94"/>
      <c r="M10648" s="94"/>
    </row>
    <row r="10649" s="93" customFormat="1" spans="3:13">
      <c r="C10649" s="94"/>
      <c r="E10649" s="94"/>
      <c r="G10649" s="94"/>
      <c r="I10649" s="94"/>
      <c r="K10649" s="94"/>
      <c r="M10649" s="94"/>
    </row>
    <row r="10650" s="93" customFormat="1" spans="3:13">
      <c r="C10650" s="94"/>
      <c r="E10650" s="94"/>
      <c r="G10650" s="94"/>
      <c r="I10650" s="94"/>
      <c r="K10650" s="94"/>
      <c r="M10650" s="94"/>
    </row>
    <row r="10651" s="93" customFormat="1" spans="3:13">
      <c r="C10651" s="94"/>
      <c r="E10651" s="94"/>
      <c r="G10651" s="94"/>
      <c r="I10651" s="94"/>
      <c r="K10651" s="94"/>
      <c r="M10651" s="94"/>
    </row>
    <row r="10652" s="93" customFormat="1" spans="3:13">
      <c r="C10652" s="94"/>
      <c r="E10652" s="94"/>
      <c r="G10652" s="94"/>
      <c r="I10652" s="94"/>
      <c r="K10652" s="94"/>
      <c r="M10652" s="94"/>
    </row>
    <row r="10653" s="93" customFormat="1" spans="3:13">
      <c r="C10653" s="94"/>
      <c r="E10653" s="94"/>
      <c r="G10653" s="94"/>
      <c r="I10653" s="94"/>
      <c r="K10653" s="94"/>
      <c r="M10653" s="94"/>
    </row>
    <row r="10654" s="93" customFormat="1" spans="3:13">
      <c r="C10654" s="94"/>
      <c r="E10654" s="94"/>
      <c r="G10654" s="94"/>
      <c r="I10654" s="94"/>
      <c r="K10654" s="94"/>
      <c r="M10654" s="94"/>
    </row>
    <row r="10655" s="93" customFormat="1" spans="3:13">
      <c r="C10655" s="94"/>
      <c r="E10655" s="94"/>
      <c r="G10655" s="94"/>
      <c r="I10655" s="94"/>
      <c r="K10655" s="94"/>
      <c r="M10655" s="94"/>
    </row>
    <row r="10656" s="93" customFormat="1" spans="3:13">
      <c r="C10656" s="94"/>
      <c r="E10656" s="94"/>
      <c r="G10656" s="94"/>
      <c r="I10656" s="94"/>
      <c r="K10656" s="94"/>
      <c r="M10656" s="94"/>
    </row>
    <row r="10657" s="93" customFormat="1" spans="3:13">
      <c r="C10657" s="94"/>
      <c r="E10657" s="94"/>
      <c r="G10657" s="94"/>
      <c r="I10657" s="94"/>
      <c r="K10657" s="94"/>
      <c r="M10657" s="94"/>
    </row>
    <row r="10658" s="93" customFormat="1" spans="3:13">
      <c r="C10658" s="94"/>
      <c r="E10658" s="94"/>
      <c r="G10658" s="94"/>
      <c r="I10658" s="94"/>
      <c r="K10658" s="94"/>
      <c r="M10658" s="94"/>
    </row>
    <row r="10659" s="93" customFormat="1" spans="3:13">
      <c r="C10659" s="94"/>
      <c r="E10659" s="94"/>
      <c r="G10659" s="94"/>
      <c r="I10659" s="94"/>
      <c r="K10659" s="94"/>
      <c r="M10659" s="94"/>
    </row>
    <row r="10660" s="93" customFormat="1" spans="3:13">
      <c r="C10660" s="94"/>
      <c r="E10660" s="94"/>
      <c r="G10660" s="94"/>
      <c r="I10660" s="94"/>
      <c r="K10660" s="94"/>
      <c r="M10660" s="94"/>
    </row>
    <row r="10661" s="93" customFormat="1" spans="3:13">
      <c r="C10661" s="94"/>
      <c r="E10661" s="94"/>
      <c r="G10661" s="94"/>
      <c r="I10661" s="94"/>
      <c r="K10661" s="94"/>
      <c r="M10661" s="94"/>
    </row>
    <row r="10662" s="93" customFormat="1" spans="3:13">
      <c r="C10662" s="94"/>
      <c r="E10662" s="94"/>
      <c r="G10662" s="94"/>
      <c r="I10662" s="94"/>
      <c r="K10662" s="94"/>
      <c r="M10662" s="94"/>
    </row>
    <row r="10663" s="93" customFormat="1" spans="3:13">
      <c r="C10663" s="94"/>
      <c r="E10663" s="94"/>
      <c r="G10663" s="94"/>
      <c r="I10663" s="94"/>
      <c r="K10663" s="94"/>
      <c r="M10663" s="94"/>
    </row>
    <row r="10664" s="93" customFormat="1" spans="3:13">
      <c r="C10664" s="94"/>
      <c r="E10664" s="94"/>
      <c r="G10664" s="94"/>
      <c r="I10664" s="94"/>
      <c r="K10664" s="94"/>
      <c r="M10664" s="94"/>
    </row>
    <row r="10665" s="93" customFormat="1" spans="3:13">
      <c r="C10665" s="94"/>
      <c r="E10665" s="94"/>
      <c r="G10665" s="94"/>
      <c r="I10665" s="94"/>
      <c r="K10665" s="94"/>
      <c r="M10665" s="94"/>
    </row>
    <row r="10666" s="93" customFormat="1" spans="3:13">
      <c r="C10666" s="94"/>
      <c r="E10666" s="94"/>
      <c r="G10666" s="94"/>
      <c r="I10666" s="94"/>
      <c r="K10666" s="94"/>
      <c r="M10666" s="94"/>
    </row>
    <row r="10667" s="93" customFormat="1" spans="3:13">
      <c r="C10667" s="94"/>
      <c r="E10667" s="94"/>
      <c r="G10667" s="94"/>
      <c r="I10667" s="94"/>
      <c r="K10667" s="94"/>
      <c r="M10667" s="94"/>
    </row>
    <row r="10668" s="93" customFormat="1" spans="3:13">
      <c r="C10668" s="94"/>
      <c r="E10668" s="94"/>
      <c r="G10668" s="94"/>
      <c r="I10668" s="94"/>
      <c r="K10668" s="94"/>
      <c r="M10668" s="94"/>
    </row>
    <row r="10669" s="93" customFormat="1" spans="3:13">
      <c r="C10669" s="94"/>
      <c r="E10669" s="94"/>
      <c r="G10669" s="94"/>
      <c r="I10669" s="94"/>
      <c r="K10669" s="94"/>
      <c r="M10669" s="94"/>
    </row>
    <row r="10670" s="93" customFormat="1" spans="3:13">
      <c r="C10670" s="94"/>
      <c r="E10670" s="94"/>
      <c r="G10670" s="94"/>
      <c r="I10670" s="94"/>
      <c r="K10670" s="94"/>
      <c r="M10670" s="94"/>
    </row>
    <row r="10671" s="93" customFormat="1" spans="3:13">
      <c r="C10671" s="94"/>
      <c r="E10671" s="94"/>
      <c r="G10671" s="94"/>
      <c r="I10671" s="94"/>
      <c r="K10671" s="94"/>
      <c r="M10671" s="94"/>
    </row>
    <row r="10672" s="93" customFormat="1" spans="3:13">
      <c r="C10672" s="94"/>
      <c r="E10672" s="94"/>
      <c r="G10672" s="94"/>
      <c r="I10672" s="94"/>
      <c r="K10672" s="94"/>
      <c r="M10672" s="94"/>
    </row>
    <row r="10673" s="93" customFormat="1" spans="3:13">
      <c r="C10673" s="94"/>
      <c r="E10673" s="94"/>
      <c r="G10673" s="94"/>
      <c r="I10673" s="94"/>
      <c r="K10673" s="94"/>
      <c r="M10673" s="94"/>
    </row>
    <row r="10674" s="93" customFormat="1" spans="3:13">
      <c r="C10674" s="94"/>
      <c r="E10674" s="94"/>
      <c r="G10674" s="94"/>
      <c r="I10674" s="94"/>
      <c r="K10674" s="94"/>
      <c r="M10674" s="94"/>
    </row>
    <row r="10675" s="93" customFormat="1" spans="3:13">
      <c r="C10675" s="94"/>
      <c r="E10675" s="94"/>
      <c r="G10675" s="94"/>
      <c r="I10675" s="94"/>
      <c r="K10675" s="94"/>
      <c r="M10675" s="94"/>
    </row>
    <row r="10676" s="93" customFormat="1" spans="3:13">
      <c r="C10676" s="94"/>
      <c r="E10676" s="94"/>
      <c r="G10676" s="94"/>
      <c r="I10676" s="94"/>
      <c r="K10676" s="94"/>
      <c r="M10676" s="94"/>
    </row>
    <row r="10677" s="93" customFormat="1" spans="3:13">
      <c r="C10677" s="94"/>
      <c r="E10677" s="94"/>
      <c r="G10677" s="94"/>
      <c r="I10677" s="94"/>
      <c r="K10677" s="94"/>
      <c r="M10677" s="94"/>
    </row>
    <row r="10678" s="93" customFormat="1" spans="3:13">
      <c r="C10678" s="94"/>
      <c r="E10678" s="94"/>
      <c r="G10678" s="94"/>
      <c r="I10678" s="94"/>
      <c r="K10678" s="94"/>
      <c r="M10678" s="94"/>
    </row>
    <row r="10679" s="93" customFormat="1" spans="3:13">
      <c r="C10679" s="94"/>
      <c r="E10679" s="94"/>
      <c r="G10679" s="94"/>
      <c r="I10679" s="94"/>
      <c r="K10679" s="94"/>
      <c r="M10679" s="94"/>
    </row>
    <row r="10680" s="93" customFormat="1" spans="3:13">
      <c r="C10680" s="94"/>
      <c r="E10680" s="94"/>
      <c r="G10680" s="94"/>
      <c r="I10680" s="94"/>
      <c r="K10680" s="94"/>
      <c r="M10680" s="94"/>
    </row>
    <row r="10681" s="93" customFormat="1" spans="3:13">
      <c r="C10681" s="94"/>
      <c r="E10681" s="94"/>
      <c r="G10681" s="94"/>
      <c r="I10681" s="94"/>
      <c r="K10681" s="94"/>
      <c r="M10681" s="94"/>
    </row>
    <row r="10682" s="93" customFormat="1" spans="3:13">
      <c r="C10682" s="94"/>
      <c r="E10682" s="94"/>
      <c r="G10682" s="94"/>
      <c r="I10682" s="94"/>
      <c r="K10682" s="94"/>
      <c r="M10682" s="94"/>
    </row>
    <row r="10683" s="93" customFormat="1" spans="3:13">
      <c r="C10683" s="94"/>
      <c r="E10683" s="94"/>
      <c r="G10683" s="94"/>
      <c r="I10683" s="94"/>
      <c r="K10683" s="94"/>
      <c r="M10683" s="94"/>
    </row>
    <row r="10684" s="93" customFormat="1" spans="3:13">
      <c r="C10684" s="94"/>
      <c r="E10684" s="94"/>
      <c r="G10684" s="94"/>
      <c r="I10684" s="94"/>
      <c r="K10684" s="94"/>
      <c r="M10684" s="94"/>
    </row>
    <row r="10685" s="93" customFormat="1" spans="3:13">
      <c r="C10685" s="94"/>
      <c r="E10685" s="94"/>
      <c r="G10685" s="94"/>
      <c r="I10685" s="94"/>
      <c r="K10685" s="94"/>
      <c r="M10685" s="94"/>
    </row>
    <row r="10686" s="93" customFormat="1" spans="3:13">
      <c r="C10686" s="94"/>
      <c r="E10686" s="94"/>
      <c r="G10686" s="94"/>
      <c r="I10686" s="94"/>
      <c r="K10686" s="94"/>
      <c r="M10686" s="94"/>
    </row>
    <row r="10687" s="93" customFormat="1" spans="3:13">
      <c r="C10687" s="94"/>
      <c r="E10687" s="94"/>
      <c r="G10687" s="94"/>
      <c r="I10687" s="94"/>
      <c r="K10687" s="94"/>
      <c r="M10687" s="94"/>
    </row>
    <row r="10688" s="93" customFormat="1" spans="3:13">
      <c r="C10688" s="94"/>
      <c r="E10688" s="94"/>
      <c r="G10688" s="94"/>
      <c r="I10688" s="94"/>
      <c r="K10688" s="94"/>
      <c r="M10688" s="94"/>
    </row>
    <row r="10689" s="93" customFormat="1" spans="3:13">
      <c r="C10689" s="94"/>
      <c r="E10689" s="94"/>
      <c r="G10689" s="94"/>
      <c r="I10689" s="94"/>
      <c r="K10689" s="94"/>
      <c r="M10689" s="94"/>
    </row>
    <row r="10690" s="93" customFormat="1" spans="3:13">
      <c r="C10690" s="94"/>
      <c r="E10690" s="94"/>
      <c r="G10690" s="94"/>
      <c r="I10690" s="94"/>
      <c r="K10690" s="94"/>
      <c r="M10690" s="94"/>
    </row>
    <row r="10691" s="93" customFormat="1" spans="3:13">
      <c r="C10691" s="94"/>
      <c r="E10691" s="94"/>
      <c r="G10691" s="94"/>
      <c r="I10691" s="94"/>
      <c r="K10691" s="94"/>
      <c r="M10691" s="94"/>
    </row>
    <row r="10692" s="93" customFormat="1" spans="3:13">
      <c r="C10692" s="94"/>
      <c r="E10692" s="94"/>
      <c r="G10692" s="94"/>
      <c r="I10692" s="94"/>
      <c r="K10692" s="94"/>
      <c r="M10692" s="94"/>
    </row>
    <row r="10693" s="93" customFormat="1" spans="3:13">
      <c r="C10693" s="94"/>
      <c r="E10693" s="94"/>
      <c r="G10693" s="94"/>
      <c r="I10693" s="94"/>
      <c r="K10693" s="94"/>
      <c r="M10693" s="94"/>
    </row>
    <row r="10694" s="93" customFormat="1" spans="3:13">
      <c r="C10694" s="94"/>
      <c r="E10694" s="94"/>
      <c r="G10694" s="94"/>
      <c r="I10694" s="94"/>
      <c r="K10694" s="94"/>
      <c r="M10694" s="94"/>
    </row>
    <row r="10695" s="93" customFormat="1" spans="3:13">
      <c r="C10695" s="94"/>
      <c r="E10695" s="94"/>
      <c r="G10695" s="94"/>
      <c r="I10695" s="94"/>
      <c r="K10695" s="94"/>
      <c r="M10695" s="94"/>
    </row>
    <row r="10696" s="93" customFormat="1" spans="3:13">
      <c r="C10696" s="94"/>
      <c r="E10696" s="94"/>
      <c r="G10696" s="94"/>
      <c r="I10696" s="94"/>
      <c r="K10696" s="94"/>
      <c r="M10696" s="94"/>
    </row>
    <row r="10697" s="93" customFormat="1" spans="3:13">
      <c r="C10697" s="94"/>
      <c r="E10697" s="94"/>
      <c r="G10697" s="94"/>
      <c r="I10697" s="94"/>
      <c r="K10697" s="94"/>
      <c r="M10697" s="94"/>
    </row>
    <row r="10698" s="93" customFormat="1" spans="3:13">
      <c r="C10698" s="94"/>
      <c r="E10698" s="94"/>
      <c r="G10698" s="94"/>
      <c r="I10698" s="94"/>
      <c r="K10698" s="94"/>
      <c r="M10698" s="94"/>
    </row>
    <row r="10699" s="93" customFormat="1" spans="3:13">
      <c r="C10699" s="94"/>
      <c r="E10699" s="94"/>
      <c r="G10699" s="94"/>
      <c r="I10699" s="94"/>
      <c r="K10699" s="94"/>
      <c r="M10699" s="94"/>
    </row>
    <row r="10700" s="93" customFormat="1" spans="3:13">
      <c r="C10700" s="94"/>
      <c r="E10700" s="94"/>
      <c r="G10700" s="94"/>
      <c r="I10700" s="94"/>
      <c r="K10700" s="94"/>
      <c r="M10700" s="94"/>
    </row>
    <row r="10701" s="93" customFormat="1" spans="3:13">
      <c r="C10701" s="94"/>
      <c r="E10701" s="94"/>
      <c r="G10701" s="94"/>
      <c r="I10701" s="94"/>
      <c r="K10701" s="94"/>
      <c r="M10701" s="94"/>
    </row>
    <row r="10702" s="93" customFormat="1" spans="3:13">
      <c r="C10702" s="94"/>
      <c r="E10702" s="94"/>
      <c r="G10702" s="94"/>
      <c r="I10702" s="94"/>
      <c r="K10702" s="94"/>
      <c r="M10702" s="94"/>
    </row>
    <row r="10703" s="93" customFormat="1" spans="3:13">
      <c r="C10703" s="94"/>
      <c r="E10703" s="94"/>
      <c r="G10703" s="94"/>
      <c r="I10703" s="94"/>
      <c r="K10703" s="94"/>
      <c r="M10703" s="94"/>
    </row>
    <row r="10704" s="93" customFormat="1" spans="3:13">
      <c r="C10704" s="94"/>
      <c r="E10704" s="94"/>
      <c r="G10704" s="94"/>
      <c r="I10704" s="94"/>
      <c r="K10704" s="94"/>
      <c r="M10704" s="94"/>
    </row>
    <row r="10705" s="93" customFormat="1" spans="3:13">
      <c r="C10705" s="94"/>
      <c r="E10705" s="94"/>
      <c r="G10705" s="94"/>
      <c r="I10705" s="94"/>
      <c r="K10705" s="94"/>
      <c r="M10705" s="94"/>
    </row>
    <row r="10706" s="93" customFormat="1" spans="3:13">
      <c r="C10706" s="94"/>
      <c r="E10706" s="94"/>
      <c r="G10706" s="94"/>
      <c r="I10706" s="94"/>
      <c r="K10706" s="94"/>
      <c r="M10706" s="94"/>
    </row>
    <row r="10707" s="93" customFormat="1" spans="3:13">
      <c r="C10707" s="94"/>
      <c r="E10707" s="94"/>
      <c r="G10707" s="94"/>
      <c r="I10707" s="94"/>
      <c r="K10707" s="94"/>
      <c r="M10707" s="94"/>
    </row>
    <row r="10708" s="93" customFormat="1" spans="3:13">
      <c r="C10708" s="94"/>
      <c r="E10708" s="94"/>
      <c r="G10708" s="94"/>
      <c r="I10708" s="94"/>
      <c r="K10708" s="94"/>
      <c r="M10708" s="94"/>
    </row>
    <row r="10709" s="93" customFormat="1" spans="3:13">
      <c r="C10709" s="94"/>
      <c r="E10709" s="94"/>
      <c r="G10709" s="94"/>
      <c r="I10709" s="94"/>
      <c r="K10709" s="94"/>
      <c r="M10709" s="94"/>
    </row>
    <row r="10710" s="93" customFormat="1" spans="3:13">
      <c r="C10710" s="94"/>
      <c r="E10710" s="94"/>
      <c r="G10710" s="94"/>
      <c r="I10710" s="94"/>
      <c r="K10710" s="94"/>
      <c r="M10710" s="94"/>
    </row>
    <row r="10711" s="93" customFormat="1" spans="3:13">
      <c r="C10711" s="94"/>
      <c r="E10711" s="94"/>
      <c r="G10711" s="94"/>
      <c r="I10711" s="94"/>
      <c r="K10711" s="94"/>
      <c r="M10711" s="94"/>
    </row>
    <row r="10712" s="93" customFormat="1" spans="3:13">
      <c r="C10712" s="94"/>
      <c r="E10712" s="94"/>
      <c r="G10712" s="94"/>
      <c r="I10712" s="94"/>
      <c r="K10712" s="94"/>
      <c r="M10712" s="94"/>
    </row>
    <row r="10713" s="93" customFormat="1" spans="3:13">
      <c r="C10713" s="94"/>
      <c r="E10713" s="94"/>
      <c r="G10713" s="94"/>
      <c r="I10713" s="94"/>
      <c r="K10713" s="94"/>
      <c r="M10713" s="94"/>
    </row>
    <row r="10714" s="93" customFormat="1" spans="3:13">
      <c r="C10714" s="94"/>
      <c r="E10714" s="94"/>
      <c r="G10714" s="94"/>
      <c r="I10714" s="94"/>
      <c r="K10714" s="94"/>
      <c r="M10714" s="94"/>
    </row>
    <row r="10715" s="93" customFormat="1" spans="3:13">
      <c r="C10715" s="94"/>
      <c r="E10715" s="94"/>
      <c r="G10715" s="94"/>
      <c r="I10715" s="94"/>
      <c r="K10715" s="94"/>
      <c r="M10715" s="94"/>
    </row>
    <row r="10716" s="93" customFormat="1" spans="3:13">
      <c r="C10716" s="94"/>
      <c r="E10716" s="94"/>
      <c r="G10716" s="94"/>
      <c r="I10716" s="94"/>
      <c r="K10716" s="94"/>
      <c r="M10716" s="94"/>
    </row>
    <row r="10717" s="93" customFormat="1" spans="3:13">
      <c r="C10717" s="94"/>
      <c r="E10717" s="94"/>
      <c r="G10717" s="94"/>
      <c r="I10717" s="94"/>
      <c r="K10717" s="94"/>
      <c r="M10717" s="94"/>
    </row>
    <row r="10718" s="93" customFormat="1" spans="3:13">
      <c r="C10718" s="94"/>
      <c r="E10718" s="94"/>
      <c r="G10718" s="94"/>
      <c r="I10718" s="94"/>
      <c r="K10718" s="94"/>
      <c r="M10718" s="94"/>
    </row>
    <row r="10719" s="93" customFormat="1" spans="3:13">
      <c r="C10719" s="94"/>
      <c r="E10719" s="94"/>
      <c r="G10719" s="94"/>
      <c r="I10719" s="94"/>
      <c r="K10719" s="94"/>
      <c r="M10719" s="94"/>
    </row>
    <row r="10720" s="93" customFormat="1" spans="3:13">
      <c r="C10720" s="94"/>
      <c r="E10720" s="94"/>
      <c r="G10720" s="94"/>
      <c r="I10720" s="94"/>
      <c r="K10720" s="94"/>
      <c r="M10720" s="94"/>
    </row>
    <row r="10721" s="93" customFormat="1" spans="3:13">
      <c r="C10721" s="94"/>
      <c r="E10721" s="94"/>
      <c r="G10721" s="94"/>
      <c r="I10721" s="94"/>
      <c r="K10721" s="94"/>
      <c r="M10721" s="94"/>
    </row>
    <row r="10722" s="93" customFormat="1" spans="3:13">
      <c r="C10722" s="94"/>
      <c r="E10722" s="94"/>
      <c r="G10722" s="94"/>
      <c r="I10722" s="94"/>
      <c r="K10722" s="94"/>
      <c r="M10722" s="94"/>
    </row>
    <row r="10723" s="93" customFormat="1" spans="3:13">
      <c r="C10723" s="94"/>
      <c r="E10723" s="94"/>
      <c r="G10723" s="94"/>
      <c r="I10723" s="94"/>
      <c r="K10723" s="94"/>
      <c r="M10723" s="94"/>
    </row>
    <row r="10724" s="93" customFormat="1" spans="3:13">
      <c r="C10724" s="94"/>
      <c r="E10724" s="94"/>
      <c r="G10724" s="94"/>
      <c r="I10724" s="94"/>
      <c r="K10724" s="94"/>
      <c r="M10724" s="94"/>
    </row>
    <row r="10725" s="93" customFormat="1" spans="3:13">
      <c r="C10725" s="94"/>
      <c r="E10725" s="94"/>
      <c r="G10725" s="94"/>
      <c r="I10725" s="94"/>
      <c r="K10725" s="94"/>
      <c r="M10725" s="94"/>
    </row>
    <row r="10726" s="93" customFormat="1" spans="3:13">
      <c r="C10726" s="94"/>
      <c r="E10726" s="94"/>
      <c r="G10726" s="94"/>
      <c r="I10726" s="94"/>
      <c r="K10726" s="94"/>
      <c r="M10726" s="94"/>
    </row>
    <row r="10727" s="93" customFormat="1" spans="3:13">
      <c r="C10727" s="94"/>
      <c r="E10727" s="94"/>
      <c r="G10727" s="94"/>
      <c r="I10727" s="94"/>
      <c r="K10727" s="94"/>
      <c r="M10727" s="94"/>
    </row>
    <row r="10728" s="93" customFormat="1" spans="3:13">
      <c r="C10728" s="94"/>
      <c r="E10728" s="94"/>
      <c r="G10728" s="94"/>
      <c r="I10728" s="94"/>
      <c r="K10728" s="94"/>
      <c r="M10728" s="94"/>
    </row>
    <row r="10729" s="93" customFormat="1" spans="3:13">
      <c r="C10729" s="94"/>
      <c r="E10729" s="94"/>
      <c r="G10729" s="94"/>
      <c r="I10729" s="94"/>
      <c r="K10729" s="94"/>
      <c r="M10729" s="94"/>
    </row>
    <row r="10730" s="93" customFormat="1" spans="3:13">
      <c r="C10730" s="94"/>
      <c r="E10730" s="94"/>
      <c r="G10730" s="94"/>
      <c r="I10730" s="94"/>
      <c r="K10730" s="94"/>
      <c r="M10730" s="94"/>
    </row>
    <row r="10731" s="93" customFormat="1" spans="3:13">
      <c r="C10731" s="94"/>
      <c r="E10731" s="94"/>
      <c r="G10731" s="94"/>
      <c r="I10731" s="94"/>
      <c r="K10731" s="94"/>
      <c r="M10731" s="94"/>
    </row>
    <row r="10732" s="93" customFormat="1" spans="3:13">
      <c r="C10732" s="94"/>
      <c r="E10732" s="94"/>
      <c r="G10732" s="94"/>
      <c r="I10732" s="94"/>
      <c r="K10732" s="94"/>
      <c r="M10732" s="94"/>
    </row>
    <row r="10733" s="93" customFormat="1" spans="3:13">
      <c r="C10733" s="94"/>
      <c r="E10733" s="94"/>
      <c r="G10733" s="94"/>
      <c r="I10733" s="94"/>
      <c r="K10733" s="94"/>
      <c r="M10733" s="94"/>
    </row>
    <row r="10734" s="93" customFormat="1" spans="3:13">
      <c r="C10734" s="94"/>
      <c r="E10734" s="94"/>
      <c r="G10734" s="94"/>
      <c r="I10734" s="94"/>
      <c r="K10734" s="94"/>
      <c r="M10734" s="94"/>
    </row>
    <row r="10735" s="93" customFormat="1" spans="3:13">
      <c r="C10735" s="94"/>
      <c r="E10735" s="94"/>
      <c r="G10735" s="94"/>
      <c r="I10735" s="94"/>
      <c r="K10735" s="94"/>
      <c r="M10735" s="94"/>
    </row>
    <row r="10736" s="93" customFormat="1" spans="3:13">
      <c r="C10736" s="94"/>
      <c r="E10736" s="94"/>
      <c r="G10736" s="94"/>
      <c r="I10736" s="94"/>
      <c r="K10736" s="94"/>
      <c r="M10736" s="94"/>
    </row>
    <row r="10737" s="93" customFormat="1" spans="3:13">
      <c r="C10737" s="94"/>
      <c r="E10737" s="94"/>
      <c r="G10737" s="94"/>
      <c r="I10737" s="94"/>
      <c r="K10737" s="94"/>
      <c r="M10737" s="94"/>
    </row>
    <row r="10738" s="93" customFormat="1" spans="3:13">
      <c r="C10738" s="94"/>
      <c r="E10738" s="94"/>
      <c r="G10738" s="94"/>
      <c r="I10738" s="94"/>
      <c r="K10738" s="94"/>
      <c r="M10738" s="94"/>
    </row>
    <row r="10739" s="93" customFormat="1" spans="3:13">
      <c r="C10739" s="94"/>
      <c r="E10739" s="94"/>
      <c r="G10739" s="94"/>
      <c r="I10739" s="94"/>
      <c r="K10739" s="94"/>
      <c r="M10739" s="94"/>
    </row>
    <row r="10740" s="93" customFormat="1" spans="3:13">
      <c r="C10740" s="94"/>
      <c r="E10740" s="94"/>
      <c r="G10740" s="94"/>
      <c r="I10740" s="94"/>
      <c r="K10740" s="94"/>
      <c r="M10740" s="94"/>
    </row>
    <row r="10741" s="93" customFormat="1" spans="3:13">
      <c r="C10741" s="94"/>
      <c r="E10741" s="94"/>
      <c r="G10741" s="94"/>
      <c r="I10741" s="94"/>
      <c r="K10741" s="94"/>
      <c r="M10741" s="94"/>
    </row>
    <row r="10742" s="93" customFormat="1" spans="3:13">
      <c r="C10742" s="94"/>
      <c r="E10742" s="94"/>
      <c r="G10742" s="94"/>
      <c r="I10742" s="94"/>
      <c r="K10742" s="94"/>
      <c r="M10742" s="94"/>
    </row>
    <row r="10743" s="93" customFormat="1" spans="3:13">
      <c r="C10743" s="94"/>
      <c r="E10743" s="94"/>
      <c r="G10743" s="94"/>
      <c r="I10743" s="94"/>
      <c r="K10743" s="94"/>
      <c r="M10743" s="94"/>
    </row>
    <row r="10744" s="93" customFormat="1" spans="3:13">
      <c r="C10744" s="94"/>
      <c r="E10744" s="94"/>
      <c r="G10744" s="94"/>
      <c r="I10744" s="94"/>
      <c r="K10744" s="94"/>
      <c r="M10744" s="94"/>
    </row>
    <row r="10745" s="93" customFormat="1" spans="3:13">
      <c r="C10745" s="94"/>
      <c r="E10745" s="94"/>
      <c r="G10745" s="94"/>
      <c r="I10745" s="94"/>
      <c r="K10745" s="94"/>
      <c r="M10745" s="94"/>
    </row>
    <row r="10746" s="93" customFormat="1" spans="3:13">
      <c r="C10746" s="94"/>
      <c r="E10746" s="94"/>
      <c r="G10746" s="94"/>
      <c r="I10746" s="94"/>
      <c r="K10746" s="94"/>
      <c r="M10746" s="94"/>
    </row>
    <row r="10747" s="93" customFormat="1" spans="3:13">
      <c r="C10747" s="94"/>
      <c r="E10747" s="94"/>
      <c r="G10747" s="94"/>
      <c r="I10747" s="94"/>
      <c r="K10747" s="94"/>
      <c r="M10747" s="94"/>
    </row>
    <row r="10748" s="93" customFormat="1" spans="3:13">
      <c r="C10748" s="94"/>
      <c r="E10748" s="94"/>
      <c r="G10748" s="94"/>
      <c r="I10748" s="94"/>
      <c r="K10748" s="94"/>
      <c r="M10748" s="94"/>
    </row>
    <row r="10749" s="93" customFormat="1" spans="3:13">
      <c r="C10749" s="94"/>
      <c r="E10749" s="94"/>
      <c r="G10749" s="94"/>
      <c r="I10749" s="94"/>
      <c r="K10749" s="94"/>
      <c r="M10749" s="94"/>
    </row>
    <row r="10750" s="93" customFormat="1" spans="3:13">
      <c r="C10750" s="94"/>
      <c r="E10750" s="94"/>
      <c r="G10750" s="94"/>
      <c r="I10750" s="94"/>
      <c r="K10750" s="94"/>
      <c r="M10750" s="94"/>
    </row>
    <row r="10751" s="93" customFormat="1" spans="3:13">
      <c r="C10751" s="94"/>
      <c r="E10751" s="94"/>
      <c r="G10751" s="94"/>
      <c r="I10751" s="94"/>
      <c r="K10751" s="94"/>
      <c r="M10751" s="94"/>
    </row>
    <row r="10752" s="93" customFormat="1" spans="3:13">
      <c r="C10752" s="94"/>
      <c r="E10752" s="94"/>
      <c r="G10752" s="94"/>
      <c r="I10752" s="94"/>
      <c r="K10752" s="94"/>
      <c r="M10752" s="94"/>
    </row>
    <row r="10753" s="93" customFormat="1" spans="3:13">
      <c r="C10753" s="94"/>
      <c r="E10753" s="94"/>
      <c r="G10753" s="94"/>
      <c r="I10753" s="94"/>
      <c r="K10753" s="94"/>
      <c r="M10753" s="94"/>
    </row>
    <row r="10754" s="93" customFormat="1" spans="3:13">
      <c r="C10754" s="94"/>
      <c r="E10754" s="94"/>
      <c r="G10754" s="94"/>
      <c r="I10754" s="94"/>
      <c r="K10754" s="94"/>
      <c r="M10754" s="94"/>
    </row>
    <row r="10755" s="93" customFormat="1" spans="3:13">
      <c r="C10755" s="94"/>
      <c r="E10755" s="94"/>
      <c r="G10755" s="94"/>
      <c r="I10755" s="94"/>
      <c r="K10755" s="94"/>
      <c r="M10755" s="94"/>
    </row>
    <row r="10756" s="93" customFormat="1" spans="3:13">
      <c r="C10756" s="94"/>
      <c r="E10756" s="94"/>
      <c r="G10756" s="94"/>
      <c r="I10756" s="94"/>
      <c r="K10756" s="94"/>
      <c r="M10756" s="94"/>
    </row>
    <row r="10757" s="93" customFormat="1" spans="3:13">
      <c r="C10757" s="94"/>
      <c r="E10757" s="94"/>
      <c r="G10757" s="94"/>
      <c r="I10757" s="94"/>
      <c r="K10757" s="94"/>
      <c r="M10757" s="94"/>
    </row>
    <row r="10758" s="93" customFormat="1" spans="3:13">
      <c r="C10758" s="94"/>
      <c r="E10758" s="94"/>
      <c r="G10758" s="94"/>
      <c r="I10758" s="94"/>
      <c r="K10758" s="94"/>
      <c r="M10758" s="94"/>
    </row>
    <row r="10759" s="93" customFormat="1" spans="3:13">
      <c r="C10759" s="94"/>
      <c r="E10759" s="94"/>
      <c r="G10759" s="94"/>
      <c r="I10759" s="94"/>
      <c r="K10759" s="94"/>
      <c r="M10759" s="94"/>
    </row>
    <row r="10760" s="93" customFormat="1" spans="3:13">
      <c r="C10760" s="94"/>
      <c r="E10760" s="94"/>
      <c r="G10760" s="94"/>
      <c r="I10760" s="94"/>
      <c r="K10760" s="94"/>
      <c r="M10760" s="94"/>
    </row>
    <row r="10761" s="93" customFormat="1" spans="3:13">
      <c r="C10761" s="94"/>
      <c r="E10761" s="94"/>
      <c r="G10761" s="94"/>
      <c r="I10761" s="94"/>
      <c r="K10761" s="94"/>
      <c r="M10761" s="94"/>
    </row>
    <row r="10762" s="93" customFormat="1" spans="3:13">
      <c r="C10762" s="94"/>
      <c r="E10762" s="94"/>
      <c r="G10762" s="94"/>
      <c r="I10762" s="94"/>
      <c r="K10762" s="94"/>
      <c r="M10762" s="94"/>
    </row>
    <row r="10763" s="93" customFormat="1" spans="3:13">
      <c r="C10763" s="94"/>
      <c r="E10763" s="94"/>
      <c r="G10763" s="94"/>
      <c r="I10763" s="94"/>
      <c r="K10763" s="94"/>
      <c r="M10763" s="94"/>
    </row>
    <row r="10764" s="93" customFormat="1" spans="3:13">
      <c r="C10764" s="94"/>
      <c r="E10764" s="94"/>
      <c r="G10764" s="94"/>
      <c r="I10764" s="94"/>
      <c r="K10764" s="94"/>
      <c r="M10764" s="94"/>
    </row>
    <row r="10765" s="93" customFormat="1" spans="3:13">
      <c r="C10765" s="94"/>
      <c r="E10765" s="94"/>
      <c r="G10765" s="94"/>
      <c r="I10765" s="94"/>
      <c r="K10765" s="94"/>
      <c r="M10765" s="94"/>
    </row>
    <row r="10766" s="93" customFormat="1" spans="3:13">
      <c r="C10766" s="94"/>
      <c r="E10766" s="94"/>
      <c r="G10766" s="94"/>
      <c r="I10766" s="94"/>
      <c r="K10766" s="94"/>
      <c r="M10766" s="94"/>
    </row>
    <row r="10767" s="93" customFormat="1" spans="3:13">
      <c r="C10767" s="94"/>
      <c r="E10767" s="94"/>
      <c r="G10767" s="94"/>
      <c r="I10767" s="94"/>
      <c r="K10767" s="94"/>
      <c r="M10767" s="94"/>
    </row>
    <row r="10768" s="93" customFormat="1" spans="3:13">
      <c r="C10768" s="94"/>
      <c r="E10768" s="94"/>
      <c r="G10768" s="94"/>
      <c r="I10768" s="94"/>
      <c r="K10768" s="94"/>
      <c r="M10768" s="94"/>
    </row>
    <row r="10769" s="93" customFormat="1" spans="3:13">
      <c r="C10769" s="94"/>
      <c r="E10769" s="94"/>
      <c r="G10769" s="94"/>
      <c r="I10769" s="94"/>
      <c r="K10769" s="94"/>
      <c r="M10769" s="94"/>
    </row>
    <row r="10770" s="93" customFormat="1" spans="3:13">
      <c r="C10770" s="94"/>
      <c r="E10770" s="94"/>
      <c r="G10770" s="94"/>
      <c r="I10770" s="94"/>
      <c r="K10770" s="94"/>
      <c r="M10770" s="94"/>
    </row>
    <row r="10771" s="93" customFormat="1" spans="3:13">
      <c r="C10771" s="94"/>
      <c r="E10771" s="94"/>
      <c r="G10771" s="94"/>
      <c r="I10771" s="94"/>
      <c r="K10771" s="94"/>
      <c r="M10771" s="94"/>
    </row>
    <row r="10772" s="93" customFormat="1" spans="3:13">
      <c r="C10772" s="94"/>
      <c r="E10772" s="94"/>
      <c r="G10772" s="94"/>
      <c r="I10772" s="94"/>
      <c r="K10772" s="94"/>
      <c r="M10772" s="94"/>
    </row>
    <row r="10773" s="93" customFormat="1" spans="3:13">
      <c r="C10773" s="94"/>
      <c r="E10773" s="94"/>
      <c r="G10773" s="94"/>
      <c r="I10773" s="94"/>
      <c r="K10773" s="94"/>
      <c r="M10773" s="94"/>
    </row>
    <row r="10774" s="93" customFormat="1" spans="3:13">
      <c r="C10774" s="94"/>
      <c r="E10774" s="94"/>
      <c r="G10774" s="94"/>
      <c r="I10774" s="94"/>
      <c r="K10774" s="94"/>
      <c r="M10774" s="94"/>
    </row>
    <row r="10775" s="93" customFormat="1" spans="3:13">
      <c r="C10775" s="94"/>
      <c r="E10775" s="94"/>
      <c r="G10775" s="94"/>
      <c r="I10775" s="94"/>
      <c r="K10775" s="94"/>
      <c r="M10775" s="94"/>
    </row>
    <row r="10776" s="93" customFormat="1" spans="3:13">
      <c r="C10776" s="94"/>
      <c r="E10776" s="94"/>
      <c r="G10776" s="94"/>
      <c r="I10776" s="94"/>
      <c r="K10776" s="94"/>
      <c r="M10776" s="94"/>
    </row>
    <row r="10777" s="93" customFormat="1" spans="3:13">
      <c r="C10777" s="94"/>
      <c r="E10777" s="94"/>
      <c r="G10777" s="94"/>
      <c r="I10777" s="94"/>
      <c r="K10777" s="94"/>
      <c r="M10777" s="94"/>
    </row>
    <row r="10778" s="93" customFormat="1" spans="3:13">
      <c r="C10778" s="94"/>
      <c r="E10778" s="94"/>
      <c r="G10778" s="94"/>
      <c r="I10778" s="94"/>
      <c r="K10778" s="94"/>
      <c r="M10778" s="94"/>
    </row>
    <row r="10779" s="93" customFormat="1" spans="3:13">
      <c r="C10779" s="94"/>
      <c r="E10779" s="94"/>
      <c r="G10779" s="94"/>
      <c r="I10779" s="94"/>
      <c r="K10779" s="94"/>
      <c r="M10779" s="94"/>
    </row>
    <row r="10780" s="93" customFormat="1" spans="3:13">
      <c r="C10780" s="94"/>
      <c r="E10780" s="94"/>
      <c r="G10780" s="94"/>
      <c r="I10780" s="94"/>
      <c r="K10780" s="94"/>
      <c r="M10780" s="94"/>
    </row>
    <row r="10781" s="93" customFormat="1" spans="3:13">
      <c r="C10781" s="94"/>
      <c r="E10781" s="94"/>
      <c r="G10781" s="94"/>
      <c r="I10781" s="94"/>
      <c r="K10781" s="94"/>
      <c r="M10781" s="94"/>
    </row>
    <row r="10782" s="93" customFormat="1" spans="3:13">
      <c r="C10782" s="94"/>
      <c r="E10782" s="94"/>
      <c r="G10782" s="94"/>
      <c r="I10782" s="94"/>
      <c r="K10782" s="94"/>
      <c r="M10782" s="94"/>
    </row>
    <row r="10783" s="93" customFormat="1" spans="3:13">
      <c r="C10783" s="94"/>
      <c r="E10783" s="94"/>
      <c r="G10783" s="94"/>
      <c r="I10783" s="94"/>
      <c r="K10783" s="94"/>
      <c r="M10783" s="94"/>
    </row>
    <row r="10784" s="93" customFormat="1" spans="3:13">
      <c r="C10784" s="94"/>
      <c r="E10784" s="94"/>
      <c r="G10784" s="94"/>
      <c r="I10784" s="94"/>
      <c r="K10784" s="94"/>
      <c r="M10784" s="94"/>
    </row>
    <row r="10785" s="93" customFormat="1" spans="3:13">
      <c r="C10785" s="94"/>
      <c r="E10785" s="94"/>
      <c r="G10785" s="94"/>
      <c r="I10785" s="94"/>
      <c r="K10785" s="94"/>
      <c r="M10785" s="94"/>
    </row>
    <row r="10786" s="93" customFormat="1" spans="3:13">
      <c r="C10786" s="94"/>
      <c r="E10786" s="94"/>
      <c r="G10786" s="94"/>
      <c r="I10786" s="94"/>
      <c r="K10786" s="94"/>
      <c r="M10786" s="94"/>
    </row>
    <row r="10787" s="93" customFormat="1" spans="3:13">
      <c r="C10787" s="94"/>
      <c r="E10787" s="94"/>
      <c r="G10787" s="94"/>
      <c r="I10787" s="94"/>
      <c r="K10787" s="94"/>
      <c r="M10787" s="94"/>
    </row>
    <row r="10788" s="93" customFormat="1" spans="3:13">
      <c r="C10788" s="94"/>
      <c r="E10788" s="94"/>
      <c r="G10788" s="94"/>
      <c r="I10788" s="94"/>
      <c r="K10788" s="94"/>
      <c r="M10788" s="94"/>
    </row>
    <row r="10789" s="93" customFormat="1" spans="3:13">
      <c r="C10789" s="94"/>
      <c r="E10789" s="94"/>
      <c r="G10789" s="94"/>
      <c r="I10789" s="94"/>
      <c r="K10789" s="94"/>
      <c r="M10789" s="94"/>
    </row>
    <row r="10790" s="93" customFormat="1" spans="3:13">
      <c r="C10790" s="94"/>
      <c r="E10790" s="94"/>
      <c r="G10790" s="94"/>
      <c r="I10790" s="94"/>
      <c r="K10790" s="94"/>
      <c r="M10790" s="94"/>
    </row>
    <row r="10791" s="93" customFormat="1" spans="3:13">
      <c r="C10791" s="94"/>
      <c r="E10791" s="94"/>
      <c r="G10791" s="94"/>
      <c r="I10791" s="94"/>
      <c r="K10791" s="94"/>
      <c r="M10791" s="94"/>
    </row>
    <row r="10792" s="93" customFormat="1" spans="3:13">
      <c r="C10792" s="94"/>
      <c r="E10792" s="94"/>
      <c r="G10792" s="94"/>
      <c r="I10792" s="94"/>
      <c r="K10792" s="94"/>
      <c r="M10792" s="94"/>
    </row>
    <row r="10793" s="93" customFormat="1" spans="3:13">
      <c r="C10793" s="94"/>
      <c r="E10793" s="94"/>
      <c r="G10793" s="94"/>
      <c r="I10793" s="94"/>
      <c r="K10793" s="94"/>
      <c r="M10793" s="94"/>
    </row>
    <row r="10794" s="93" customFormat="1" spans="3:13">
      <c r="C10794" s="94"/>
      <c r="E10794" s="94"/>
      <c r="G10794" s="94"/>
      <c r="I10794" s="94"/>
      <c r="K10794" s="94"/>
      <c r="M10794" s="94"/>
    </row>
    <row r="10795" s="93" customFormat="1" spans="3:13">
      <c r="C10795" s="94"/>
      <c r="E10795" s="94"/>
      <c r="G10795" s="94"/>
      <c r="I10795" s="94"/>
      <c r="K10795" s="94"/>
      <c r="M10795" s="94"/>
    </row>
    <row r="10796" s="93" customFormat="1" spans="3:13">
      <c r="C10796" s="94"/>
      <c r="E10796" s="94"/>
      <c r="G10796" s="94"/>
      <c r="I10796" s="94"/>
      <c r="K10796" s="94"/>
      <c r="M10796" s="94"/>
    </row>
    <row r="10797" s="93" customFormat="1" spans="3:13">
      <c r="C10797" s="94"/>
      <c r="E10797" s="94"/>
      <c r="G10797" s="94"/>
      <c r="I10797" s="94"/>
      <c r="K10797" s="94"/>
      <c r="M10797" s="94"/>
    </row>
    <row r="10798" s="93" customFormat="1" spans="3:13">
      <c r="C10798" s="94"/>
      <c r="E10798" s="94"/>
      <c r="G10798" s="94"/>
      <c r="I10798" s="94"/>
      <c r="K10798" s="94"/>
      <c r="M10798" s="94"/>
    </row>
    <row r="10799" s="93" customFormat="1" spans="3:13">
      <c r="C10799" s="94"/>
      <c r="E10799" s="94"/>
      <c r="G10799" s="94"/>
      <c r="I10799" s="94"/>
      <c r="K10799" s="94"/>
      <c r="M10799" s="94"/>
    </row>
    <row r="10800" s="93" customFormat="1" spans="3:13">
      <c r="C10800" s="94"/>
      <c r="E10800" s="94"/>
      <c r="G10800" s="94"/>
      <c r="I10800" s="94"/>
      <c r="K10800" s="94"/>
      <c r="M10800" s="94"/>
    </row>
    <row r="10801" s="93" customFormat="1" spans="3:13">
      <c r="C10801" s="94"/>
      <c r="E10801" s="94"/>
      <c r="G10801" s="94"/>
      <c r="I10801" s="94"/>
      <c r="K10801" s="94"/>
      <c r="M10801" s="94"/>
    </row>
    <row r="10802" s="93" customFormat="1" spans="3:13">
      <c r="C10802" s="94"/>
      <c r="E10802" s="94"/>
      <c r="G10802" s="94"/>
      <c r="I10802" s="94"/>
      <c r="K10802" s="94"/>
      <c r="M10802" s="94"/>
    </row>
    <row r="10803" s="93" customFormat="1" spans="3:13">
      <c r="C10803" s="94"/>
      <c r="E10803" s="94"/>
      <c r="G10803" s="94"/>
      <c r="I10803" s="94"/>
      <c r="K10803" s="94"/>
      <c r="M10803" s="94"/>
    </row>
    <row r="10804" s="93" customFormat="1" spans="3:13">
      <c r="C10804" s="94"/>
      <c r="E10804" s="94"/>
      <c r="G10804" s="94"/>
      <c r="I10804" s="94"/>
      <c r="K10804" s="94"/>
      <c r="M10804" s="94"/>
    </row>
    <row r="10805" s="93" customFormat="1" spans="3:13">
      <c r="C10805" s="94"/>
      <c r="E10805" s="94"/>
      <c r="G10805" s="94"/>
      <c r="I10805" s="94"/>
      <c r="K10805" s="94"/>
      <c r="M10805" s="94"/>
    </row>
    <row r="10806" s="93" customFormat="1" spans="3:13">
      <c r="C10806" s="94"/>
      <c r="E10806" s="94"/>
      <c r="G10806" s="94"/>
      <c r="I10806" s="94"/>
      <c r="K10806" s="94"/>
      <c r="M10806" s="94"/>
    </row>
    <row r="10807" s="93" customFormat="1" spans="3:13">
      <c r="C10807" s="94"/>
      <c r="E10807" s="94"/>
      <c r="G10807" s="94"/>
      <c r="I10807" s="94"/>
      <c r="K10807" s="94"/>
      <c r="M10807" s="94"/>
    </row>
    <row r="10808" s="93" customFormat="1" spans="3:13">
      <c r="C10808" s="94"/>
      <c r="E10808" s="94"/>
      <c r="G10808" s="94"/>
      <c r="I10808" s="94"/>
      <c r="K10808" s="94"/>
      <c r="M10808" s="94"/>
    </row>
    <row r="10809" s="93" customFormat="1" spans="3:13">
      <c r="C10809" s="94"/>
      <c r="E10809" s="94"/>
      <c r="G10809" s="94"/>
      <c r="I10809" s="94"/>
      <c r="K10809" s="94"/>
      <c r="M10809" s="94"/>
    </row>
    <row r="10810" s="93" customFormat="1" spans="3:13">
      <c r="C10810" s="94"/>
      <c r="E10810" s="94"/>
      <c r="G10810" s="94"/>
      <c r="I10810" s="94"/>
      <c r="K10810" s="94"/>
      <c r="M10810" s="94"/>
    </row>
    <row r="10811" s="93" customFormat="1" spans="3:13">
      <c r="C10811" s="94"/>
      <c r="E10811" s="94"/>
      <c r="G10811" s="94"/>
      <c r="I10811" s="94"/>
      <c r="K10811" s="94"/>
      <c r="M10811" s="94"/>
    </row>
    <row r="10812" s="93" customFormat="1" spans="3:13">
      <c r="C10812" s="94"/>
      <c r="E10812" s="94"/>
      <c r="G10812" s="94"/>
      <c r="I10812" s="94"/>
      <c r="K10812" s="94"/>
      <c r="M10812" s="94"/>
    </row>
    <row r="10813" s="93" customFormat="1" spans="3:13">
      <c r="C10813" s="94"/>
      <c r="E10813" s="94"/>
      <c r="G10813" s="94"/>
      <c r="I10813" s="94"/>
      <c r="K10813" s="94"/>
      <c r="M10813" s="94"/>
    </row>
    <row r="10814" s="93" customFormat="1" spans="3:13">
      <c r="C10814" s="94"/>
      <c r="E10814" s="94"/>
      <c r="G10814" s="94"/>
      <c r="I10814" s="94"/>
      <c r="K10814" s="94"/>
      <c r="M10814" s="94"/>
    </row>
    <row r="10815" s="93" customFormat="1" spans="3:13">
      <c r="C10815" s="94"/>
      <c r="E10815" s="94"/>
      <c r="G10815" s="94"/>
      <c r="I10815" s="94"/>
      <c r="K10815" s="94"/>
      <c r="M10815" s="94"/>
    </row>
    <row r="10816" s="93" customFormat="1" spans="3:13">
      <c r="C10816" s="94"/>
      <c r="E10816" s="94"/>
      <c r="G10816" s="94"/>
      <c r="I10816" s="94"/>
      <c r="K10816" s="94"/>
      <c r="M10816" s="94"/>
    </row>
    <row r="10817" s="93" customFormat="1" spans="3:13">
      <c r="C10817" s="94"/>
      <c r="E10817" s="94"/>
      <c r="G10817" s="94"/>
      <c r="I10817" s="94"/>
      <c r="K10817" s="94"/>
      <c r="M10817" s="94"/>
    </row>
    <row r="10818" s="93" customFormat="1" spans="3:13">
      <c r="C10818" s="94"/>
      <c r="E10818" s="94"/>
      <c r="G10818" s="94"/>
      <c r="I10818" s="94"/>
      <c r="K10818" s="94"/>
      <c r="M10818" s="94"/>
    </row>
    <row r="10819" s="93" customFormat="1" spans="3:13">
      <c r="C10819" s="94"/>
      <c r="E10819" s="94"/>
      <c r="G10819" s="94"/>
      <c r="I10819" s="94"/>
      <c r="K10819" s="94"/>
      <c r="M10819" s="94"/>
    </row>
    <row r="10820" s="93" customFormat="1" spans="3:13">
      <c r="C10820" s="94"/>
      <c r="E10820" s="94"/>
      <c r="G10820" s="94"/>
      <c r="I10820" s="94"/>
      <c r="K10820" s="94"/>
      <c r="M10820" s="94"/>
    </row>
    <row r="10821" s="93" customFormat="1" spans="3:13">
      <c r="C10821" s="94"/>
      <c r="E10821" s="94"/>
      <c r="G10821" s="94"/>
      <c r="I10821" s="94"/>
      <c r="K10821" s="94"/>
      <c r="M10821" s="94"/>
    </row>
    <row r="10822" s="93" customFormat="1" spans="3:13">
      <c r="C10822" s="94"/>
      <c r="E10822" s="94"/>
      <c r="G10822" s="94"/>
      <c r="I10822" s="94"/>
      <c r="K10822" s="94"/>
      <c r="M10822" s="94"/>
    </row>
    <row r="10823" s="93" customFormat="1" spans="3:13">
      <c r="C10823" s="94"/>
      <c r="E10823" s="94"/>
      <c r="G10823" s="94"/>
      <c r="I10823" s="94"/>
      <c r="K10823" s="94"/>
      <c r="M10823" s="94"/>
    </row>
    <row r="10824" s="93" customFormat="1" spans="3:13">
      <c r="C10824" s="94"/>
      <c r="E10824" s="94"/>
      <c r="G10824" s="94"/>
      <c r="I10824" s="94"/>
      <c r="K10824" s="94"/>
      <c r="M10824" s="94"/>
    </row>
    <row r="10825" s="93" customFormat="1" spans="3:13">
      <c r="C10825" s="94"/>
      <c r="E10825" s="94"/>
      <c r="G10825" s="94"/>
      <c r="I10825" s="94"/>
      <c r="K10825" s="94"/>
      <c r="M10825" s="94"/>
    </row>
    <row r="10826" s="93" customFormat="1" spans="3:13">
      <c r="C10826" s="94"/>
      <c r="E10826" s="94"/>
      <c r="G10826" s="94"/>
      <c r="I10826" s="94"/>
      <c r="K10826" s="94"/>
      <c r="M10826" s="94"/>
    </row>
    <row r="10827" s="93" customFormat="1" spans="3:13">
      <c r="C10827" s="94"/>
      <c r="E10827" s="94"/>
      <c r="G10827" s="94"/>
      <c r="I10827" s="94"/>
      <c r="K10827" s="94"/>
      <c r="M10827" s="94"/>
    </row>
    <row r="10828" s="93" customFormat="1" spans="3:13">
      <c r="C10828" s="94"/>
      <c r="E10828" s="94"/>
      <c r="G10828" s="94"/>
      <c r="I10828" s="94"/>
      <c r="K10828" s="94"/>
      <c r="M10828" s="94"/>
    </row>
    <row r="10829" s="93" customFormat="1" spans="3:13">
      <c r="C10829" s="94"/>
      <c r="E10829" s="94"/>
      <c r="G10829" s="94"/>
      <c r="I10829" s="94"/>
      <c r="K10829" s="94"/>
      <c r="M10829" s="94"/>
    </row>
    <row r="10830" s="93" customFormat="1" spans="3:13">
      <c r="C10830" s="94"/>
      <c r="E10830" s="94"/>
      <c r="G10830" s="94"/>
      <c r="I10830" s="94"/>
      <c r="K10830" s="94"/>
      <c r="M10830" s="94"/>
    </row>
    <row r="10831" s="93" customFormat="1" spans="3:13">
      <c r="C10831" s="94"/>
      <c r="E10831" s="94"/>
      <c r="G10831" s="94"/>
      <c r="I10831" s="94"/>
      <c r="K10831" s="94"/>
      <c r="M10831" s="94"/>
    </row>
    <row r="10832" s="93" customFormat="1" spans="3:13">
      <c r="C10832" s="94"/>
      <c r="E10832" s="94"/>
      <c r="G10832" s="94"/>
      <c r="I10832" s="94"/>
      <c r="K10832" s="94"/>
      <c r="M10832" s="94"/>
    </row>
    <row r="10833" s="93" customFormat="1" spans="3:13">
      <c r="C10833" s="94"/>
      <c r="E10833" s="94"/>
      <c r="G10833" s="94"/>
      <c r="I10833" s="94"/>
      <c r="K10833" s="94"/>
      <c r="M10833" s="94"/>
    </row>
    <row r="10834" s="93" customFormat="1" spans="3:13">
      <c r="C10834" s="94"/>
      <c r="E10834" s="94"/>
      <c r="G10834" s="94"/>
      <c r="I10834" s="94"/>
      <c r="K10834" s="94"/>
      <c r="M10834" s="94"/>
    </row>
    <row r="10835" s="93" customFormat="1" spans="3:13">
      <c r="C10835" s="94"/>
      <c r="E10835" s="94"/>
      <c r="G10835" s="94"/>
      <c r="I10835" s="94"/>
      <c r="K10835" s="94"/>
      <c r="M10835" s="94"/>
    </row>
    <row r="10836" s="93" customFormat="1" spans="3:13">
      <c r="C10836" s="94"/>
      <c r="E10836" s="94"/>
      <c r="G10836" s="94"/>
      <c r="I10836" s="94"/>
      <c r="K10836" s="94"/>
      <c r="M10836" s="94"/>
    </row>
    <row r="10837" s="93" customFormat="1" spans="3:13">
      <c r="C10837" s="94"/>
      <c r="E10837" s="94"/>
      <c r="G10837" s="94"/>
      <c r="I10837" s="94"/>
      <c r="K10837" s="94"/>
      <c r="M10837" s="94"/>
    </row>
    <row r="10838" s="93" customFormat="1" spans="3:13">
      <c r="C10838" s="94"/>
      <c r="E10838" s="94"/>
      <c r="G10838" s="94"/>
      <c r="I10838" s="94"/>
      <c r="K10838" s="94"/>
      <c r="M10838" s="94"/>
    </row>
    <row r="10839" s="93" customFormat="1" spans="3:13">
      <c r="C10839" s="94"/>
      <c r="E10839" s="94"/>
      <c r="G10839" s="94"/>
      <c r="I10839" s="94"/>
      <c r="K10839" s="94"/>
      <c r="M10839" s="94"/>
    </row>
    <row r="10840" s="93" customFormat="1" spans="3:13">
      <c r="C10840" s="94"/>
      <c r="E10840" s="94"/>
      <c r="G10840" s="94"/>
      <c r="I10840" s="94"/>
      <c r="K10840" s="94"/>
      <c r="M10840" s="94"/>
    </row>
    <row r="10841" s="93" customFormat="1" spans="3:13">
      <c r="C10841" s="94"/>
      <c r="E10841" s="94"/>
      <c r="G10841" s="94"/>
      <c r="I10841" s="94"/>
      <c r="K10841" s="94"/>
      <c r="M10841" s="94"/>
    </row>
    <row r="10842" s="93" customFormat="1" spans="3:13">
      <c r="C10842" s="94"/>
      <c r="E10842" s="94"/>
      <c r="G10842" s="94"/>
      <c r="I10842" s="94"/>
      <c r="K10842" s="94"/>
      <c r="M10842" s="94"/>
    </row>
    <row r="10843" s="93" customFormat="1" spans="3:13">
      <c r="C10843" s="94"/>
      <c r="E10843" s="94"/>
      <c r="G10843" s="94"/>
      <c r="I10843" s="94"/>
      <c r="K10843" s="94"/>
      <c r="M10843" s="94"/>
    </row>
    <row r="10844" s="93" customFormat="1" spans="3:13">
      <c r="C10844" s="94"/>
      <c r="E10844" s="94"/>
      <c r="G10844" s="94"/>
      <c r="I10844" s="94"/>
      <c r="K10844" s="94"/>
      <c r="M10844" s="94"/>
    </row>
    <row r="10845" s="93" customFormat="1" spans="3:13">
      <c r="C10845" s="94"/>
      <c r="E10845" s="94"/>
      <c r="G10845" s="94"/>
      <c r="I10845" s="94"/>
      <c r="K10845" s="94"/>
      <c r="M10845" s="94"/>
    </row>
    <row r="10846" s="93" customFormat="1" spans="3:13">
      <c r="C10846" s="94"/>
      <c r="E10846" s="94"/>
      <c r="G10846" s="94"/>
      <c r="I10846" s="94"/>
      <c r="K10846" s="94"/>
      <c r="M10846" s="94"/>
    </row>
    <row r="10847" s="93" customFormat="1" spans="3:13">
      <c r="C10847" s="94"/>
      <c r="E10847" s="94"/>
      <c r="G10847" s="94"/>
      <c r="I10847" s="94"/>
      <c r="K10847" s="94"/>
      <c r="M10847" s="94"/>
    </row>
    <row r="10848" s="93" customFormat="1" spans="3:13">
      <c r="C10848" s="94"/>
      <c r="E10848" s="94"/>
      <c r="G10848" s="94"/>
      <c r="I10848" s="94"/>
      <c r="K10848" s="94"/>
      <c r="M10848" s="94"/>
    </row>
    <row r="10849" s="93" customFormat="1" spans="3:13">
      <c r="C10849" s="94"/>
      <c r="E10849" s="94"/>
      <c r="G10849" s="94"/>
      <c r="I10849" s="94"/>
      <c r="K10849" s="94"/>
      <c r="M10849" s="94"/>
    </row>
    <row r="10850" s="93" customFormat="1" spans="3:13">
      <c r="C10850" s="94"/>
      <c r="E10850" s="94"/>
      <c r="G10850" s="94"/>
      <c r="I10850" s="94"/>
      <c r="K10850" s="94"/>
      <c r="M10850" s="94"/>
    </row>
    <row r="10851" s="93" customFormat="1" spans="3:13">
      <c r="C10851" s="94"/>
      <c r="E10851" s="94"/>
      <c r="G10851" s="94"/>
      <c r="I10851" s="94"/>
      <c r="K10851" s="94"/>
      <c r="M10851" s="94"/>
    </row>
    <row r="10852" s="93" customFormat="1" spans="3:13">
      <c r="C10852" s="94"/>
      <c r="E10852" s="94"/>
      <c r="G10852" s="94"/>
      <c r="I10852" s="94"/>
      <c r="K10852" s="94"/>
      <c r="M10852" s="94"/>
    </row>
    <row r="10853" s="93" customFormat="1" spans="3:13">
      <c r="C10853" s="94"/>
      <c r="E10853" s="94"/>
      <c r="G10853" s="94"/>
      <c r="I10853" s="94"/>
      <c r="K10853" s="94"/>
      <c r="M10853" s="94"/>
    </row>
    <row r="10854" s="93" customFormat="1" spans="3:13">
      <c r="C10854" s="94"/>
      <c r="E10854" s="94"/>
      <c r="G10854" s="94"/>
      <c r="I10854" s="94"/>
      <c r="K10854" s="94"/>
      <c r="M10854" s="94"/>
    </row>
    <row r="10855" s="93" customFormat="1" spans="3:13">
      <c r="C10855" s="94"/>
      <c r="E10855" s="94"/>
      <c r="G10855" s="94"/>
      <c r="I10855" s="94"/>
      <c r="K10855" s="94"/>
      <c r="M10855" s="94"/>
    </row>
    <row r="10856" s="93" customFormat="1" spans="3:13">
      <c r="C10856" s="94"/>
      <c r="E10856" s="94"/>
      <c r="G10856" s="94"/>
      <c r="I10856" s="94"/>
      <c r="K10856" s="94"/>
      <c r="M10856" s="94"/>
    </row>
    <row r="10857" s="93" customFormat="1" spans="3:13">
      <c r="C10857" s="94"/>
      <c r="E10857" s="94"/>
      <c r="G10857" s="94"/>
      <c r="I10857" s="94"/>
      <c r="K10857" s="94"/>
      <c r="M10857" s="94"/>
    </row>
    <row r="10858" s="93" customFormat="1" spans="3:13">
      <c r="C10858" s="94"/>
      <c r="E10858" s="94"/>
      <c r="G10858" s="94"/>
      <c r="I10858" s="94"/>
      <c r="K10858" s="94"/>
      <c r="M10858" s="94"/>
    </row>
    <row r="10859" s="93" customFormat="1" spans="3:13">
      <c r="C10859" s="94"/>
      <c r="E10859" s="94"/>
      <c r="G10859" s="94"/>
      <c r="I10859" s="94"/>
      <c r="K10859" s="94"/>
      <c r="M10859" s="94"/>
    </row>
    <row r="10860" s="93" customFormat="1" spans="3:13">
      <c r="C10860" s="94"/>
      <c r="E10860" s="94"/>
      <c r="G10860" s="94"/>
      <c r="I10860" s="94"/>
      <c r="K10860" s="94"/>
      <c r="M10860" s="94"/>
    </row>
    <row r="10861" s="93" customFormat="1" spans="3:13">
      <c r="C10861" s="94"/>
      <c r="E10861" s="94"/>
      <c r="G10861" s="94"/>
      <c r="I10861" s="94"/>
      <c r="K10861" s="94"/>
      <c r="M10861" s="94"/>
    </row>
    <row r="10862" s="93" customFormat="1" spans="3:13">
      <c r="C10862" s="94"/>
      <c r="E10862" s="94"/>
      <c r="G10862" s="94"/>
      <c r="I10862" s="94"/>
      <c r="K10862" s="94"/>
      <c r="M10862" s="94"/>
    </row>
    <row r="10863" s="93" customFormat="1" spans="3:13">
      <c r="C10863" s="94"/>
      <c r="E10863" s="94"/>
      <c r="G10863" s="94"/>
      <c r="I10863" s="94"/>
      <c r="K10863" s="94"/>
      <c r="M10863" s="94"/>
    </row>
    <row r="10864" s="93" customFormat="1" spans="3:13">
      <c r="C10864" s="94"/>
      <c r="E10864" s="94"/>
      <c r="G10864" s="94"/>
      <c r="I10864" s="94"/>
      <c r="K10864" s="94"/>
      <c r="M10864" s="94"/>
    </row>
    <row r="10865" s="93" customFormat="1" spans="3:13">
      <c r="C10865" s="94"/>
      <c r="E10865" s="94"/>
      <c r="G10865" s="94"/>
      <c r="I10865" s="94"/>
      <c r="K10865" s="94"/>
      <c r="M10865" s="94"/>
    </row>
    <row r="10866" s="93" customFormat="1" spans="3:13">
      <c r="C10866" s="94"/>
      <c r="E10866" s="94"/>
      <c r="G10866" s="94"/>
      <c r="I10866" s="94"/>
      <c r="K10866" s="94"/>
      <c r="M10866" s="94"/>
    </row>
    <row r="10867" s="93" customFormat="1" spans="3:13">
      <c r="C10867" s="94"/>
      <c r="E10867" s="94"/>
      <c r="G10867" s="94"/>
      <c r="I10867" s="94"/>
      <c r="K10867" s="94"/>
      <c r="M10867" s="94"/>
    </row>
    <row r="10868" s="93" customFormat="1" spans="3:13">
      <c r="C10868" s="94"/>
      <c r="E10868" s="94"/>
      <c r="G10868" s="94"/>
      <c r="I10868" s="94"/>
      <c r="K10868" s="94"/>
      <c r="M10868" s="94"/>
    </row>
    <row r="10869" s="93" customFormat="1" spans="3:13">
      <c r="C10869" s="94"/>
      <c r="E10869" s="94"/>
      <c r="G10869" s="94"/>
      <c r="I10869" s="94"/>
      <c r="K10869" s="94"/>
      <c r="M10869" s="94"/>
    </row>
    <row r="10870" s="93" customFormat="1" spans="3:13">
      <c r="C10870" s="94"/>
      <c r="E10870" s="94"/>
      <c r="G10870" s="94"/>
      <c r="I10870" s="94"/>
      <c r="K10870" s="94"/>
      <c r="M10870" s="94"/>
    </row>
    <row r="10871" s="93" customFormat="1" spans="3:13">
      <c r="C10871" s="94"/>
      <c r="E10871" s="94"/>
      <c r="G10871" s="94"/>
      <c r="I10871" s="94"/>
      <c r="K10871" s="94"/>
      <c r="M10871" s="94"/>
    </row>
    <row r="10872" s="93" customFormat="1" spans="3:13">
      <c r="C10872" s="94"/>
      <c r="E10872" s="94"/>
      <c r="G10872" s="94"/>
      <c r="I10872" s="94"/>
      <c r="K10872" s="94"/>
      <c r="M10872" s="94"/>
    </row>
    <row r="10873" s="93" customFormat="1" spans="3:13">
      <c r="C10873" s="94"/>
      <c r="E10873" s="94"/>
      <c r="G10873" s="94"/>
      <c r="I10873" s="94"/>
      <c r="K10873" s="94"/>
      <c r="M10873" s="94"/>
    </row>
    <row r="10874" s="93" customFormat="1" spans="3:13">
      <c r="C10874" s="94"/>
      <c r="E10874" s="94"/>
      <c r="G10874" s="94"/>
      <c r="I10874" s="94"/>
      <c r="K10874" s="94"/>
      <c r="M10874" s="94"/>
    </row>
    <row r="10875" s="93" customFormat="1" spans="3:13">
      <c r="C10875" s="94"/>
      <c r="E10875" s="94"/>
      <c r="G10875" s="94"/>
      <c r="I10875" s="94"/>
      <c r="K10875" s="94"/>
      <c r="M10875" s="94"/>
    </row>
    <row r="10876" s="93" customFormat="1" spans="3:13">
      <c r="C10876" s="94"/>
      <c r="E10876" s="94"/>
      <c r="G10876" s="94"/>
      <c r="I10876" s="94"/>
      <c r="K10876" s="94"/>
      <c r="M10876" s="94"/>
    </row>
    <row r="10877" s="93" customFormat="1" spans="3:13">
      <c r="C10877" s="94"/>
      <c r="E10877" s="94"/>
      <c r="G10877" s="94"/>
      <c r="I10877" s="94"/>
      <c r="K10877" s="94"/>
      <c r="M10877" s="94"/>
    </row>
    <row r="10878" s="93" customFormat="1" spans="3:13">
      <c r="C10878" s="94"/>
      <c r="E10878" s="94"/>
      <c r="G10878" s="94"/>
      <c r="I10878" s="94"/>
      <c r="K10878" s="94"/>
      <c r="M10878" s="94"/>
    </row>
    <row r="10879" s="93" customFormat="1" spans="3:13">
      <c r="C10879" s="94"/>
      <c r="E10879" s="94"/>
      <c r="G10879" s="94"/>
      <c r="I10879" s="94"/>
      <c r="K10879" s="94"/>
      <c r="M10879" s="94"/>
    </row>
    <row r="10880" s="93" customFormat="1" spans="3:13">
      <c r="C10880" s="94"/>
      <c r="E10880" s="94"/>
      <c r="G10880" s="94"/>
      <c r="I10880" s="94"/>
      <c r="K10880" s="94"/>
      <c r="M10880" s="94"/>
    </row>
    <row r="10881" s="93" customFormat="1" spans="3:13">
      <c r="C10881" s="94"/>
      <c r="E10881" s="94"/>
      <c r="G10881" s="94"/>
      <c r="I10881" s="94"/>
      <c r="K10881" s="94"/>
      <c r="M10881" s="94"/>
    </row>
    <row r="10882" s="93" customFormat="1" spans="3:13">
      <c r="C10882" s="94"/>
      <c r="E10882" s="94"/>
      <c r="G10882" s="94"/>
      <c r="I10882" s="94"/>
      <c r="K10882" s="94"/>
      <c r="M10882" s="94"/>
    </row>
    <row r="10883" s="93" customFormat="1" spans="3:13">
      <c r="C10883" s="94"/>
      <c r="E10883" s="94"/>
      <c r="G10883" s="94"/>
      <c r="I10883" s="94"/>
      <c r="K10883" s="94"/>
      <c r="M10883" s="94"/>
    </row>
    <row r="10884" s="93" customFormat="1" spans="3:13">
      <c r="C10884" s="94"/>
      <c r="E10884" s="94"/>
      <c r="G10884" s="94"/>
      <c r="I10884" s="94"/>
      <c r="K10884" s="94"/>
      <c r="M10884" s="94"/>
    </row>
    <row r="10885" s="93" customFormat="1" spans="3:13">
      <c r="C10885" s="94"/>
      <c r="E10885" s="94"/>
      <c r="G10885" s="94"/>
      <c r="I10885" s="94"/>
      <c r="K10885" s="94"/>
      <c r="M10885" s="94"/>
    </row>
    <row r="10886" s="93" customFormat="1" spans="3:13">
      <c r="C10886" s="94"/>
      <c r="E10886" s="94"/>
      <c r="G10886" s="94"/>
      <c r="I10886" s="94"/>
      <c r="K10886" s="94"/>
      <c r="M10886" s="94"/>
    </row>
    <row r="10887" s="93" customFormat="1" spans="3:13">
      <c r="C10887" s="94"/>
      <c r="E10887" s="94"/>
      <c r="G10887" s="94"/>
      <c r="I10887" s="94"/>
      <c r="K10887" s="94"/>
      <c r="M10887" s="94"/>
    </row>
    <row r="10888" s="93" customFormat="1" spans="3:13">
      <c r="C10888" s="94"/>
      <c r="E10888" s="94"/>
      <c r="G10888" s="94"/>
      <c r="I10888" s="94"/>
      <c r="K10888" s="94"/>
      <c r="M10888" s="94"/>
    </row>
    <row r="10889" s="93" customFormat="1" spans="3:13">
      <c r="C10889" s="94"/>
      <c r="E10889" s="94"/>
      <c r="G10889" s="94"/>
      <c r="I10889" s="94"/>
      <c r="K10889" s="94"/>
      <c r="M10889" s="94"/>
    </row>
    <row r="10890" s="93" customFormat="1" spans="3:13">
      <c r="C10890" s="94"/>
      <c r="E10890" s="94"/>
      <c r="G10890" s="94"/>
      <c r="I10890" s="94"/>
      <c r="K10890" s="94"/>
      <c r="M10890" s="94"/>
    </row>
    <row r="10891" s="93" customFormat="1" spans="3:13">
      <c r="C10891" s="94"/>
      <c r="E10891" s="94"/>
      <c r="G10891" s="94"/>
      <c r="I10891" s="94"/>
      <c r="K10891" s="94"/>
      <c r="M10891" s="94"/>
    </row>
    <row r="10892" s="93" customFormat="1" spans="3:13">
      <c r="C10892" s="94"/>
      <c r="E10892" s="94"/>
      <c r="G10892" s="94"/>
      <c r="I10892" s="94"/>
      <c r="K10892" s="94"/>
      <c r="M10892" s="94"/>
    </row>
    <row r="10893" s="93" customFormat="1" spans="3:13">
      <c r="C10893" s="94"/>
      <c r="E10893" s="94"/>
      <c r="G10893" s="94"/>
      <c r="I10893" s="94"/>
      <c r="K10893" s="94"/>
      <c r="M10893" s="94"/>
    </row>
    <row r="10894" s="93" customFormat="1" spans="3:13">
      <c r="C10894" s="94"/>
      <c r="E10894" s="94"/>
      <c r="G10894" s="94"/>
      <c r="I10894" s="94"/>
      <c r="K10894" s="94"/>
      <c r="M10894" s="94"/>
    </row>
    <row r="10895" s="93" customFormat="1" spans="3:13">
      <c r="C10895" s="94"/>
      <c r="E10895" s="94"/>
      <c r="G10895" s="94"/>
      <c r="I10895" s="94"/>
      <c r="K10895" s="94"/>
      <c r="M10895" s="94"/>
    </row>
    <row r="10896" s="93" customFormat="1" spans="3:13">
      <c r="C10896" s="94"/>
      <c r="E10896" s="94"/>
      <c r="G10896" s="94"/>
      <c r="I10896" s="94"/>
      <c r="K10896" s="94"/>
      <c r="M10896" s="94"/>
    </row>
    <row r="10897" s="93" customFormat="1" spans="3:13">
      <c r="C10897" s="94"/>
      <c r="E10897" s="94"/>
      <c r="G10897" s="94"/>
      <c r="I10897" s="94"/>
      <c r="K10897" s="94"/>
      <c r="M10897" s="94"/>
    </row>
    <row r="10898" s="93" customFormat="1" spans="3:13">
      <c r="C10898" s="94"/>
      <c r="E10898" s="94"/>
      <c r="G10898" s="94"/>
      <c r="I10898" s="94"/>
      <c r="K10898" s="94"/>
      <c r="M10898" s="94"/>
    </row>
    <row r="10899" s="93" customFormat="1" spans="3:13">
      <c r="C10899" s="94"/>
      <c r="E10899" s="94"/>
      <c r="G10899" s="94"/>
      <c r="I10899" s="94"/>
      <c r="K10899" s="94"/>
      <c r="M10899" s="94"/>
    </row>
    <row r="10900" s="93" customFormat="1" spans="3:13">
      <c r="C10900" s="94"/>
      <c r="E10900" s="94"/>
      <c r="G10900" s="94"/>
      <c r="I10900" s="94"/>
      <c r="K10900" s="94"/>
      <c r="M10900" s="94"/>
    </row>
    <row r="10901" s="93" customFormat="1" spans="3:13">
      <c r="C10901" s="94"/>
      <c r="E10901" s="94"/>
      <c r="G10901" s="94"/>
      <c r="I10901" s="94"/>
      <c r="K10901" s="94"/>
      <c r="M10901" s="94"/>
    </row>
    <row r="10902" s="93" customFormat="1" spans="3:13">
      <c r="C10902" s="94"/>
      <c r="E10902" s="94"/>
      <c r="G10902" s="94"/>
      <c r="I10902" s="94"/>
      <c r="K10902" s="94"/>
      <c r="M10902" s="94"/>
    </row>
    <row r="10903" s="93" customFormat="1" spans="3:13">
      <c r="C10903" s="94"/>
      <c r="E10903" s="94"/>
      <c r="G10903" s="94"/>
      <c r="I10903" s="94"/>
      <c r="K10903" s="94"/>
      <c r="M10903" s="94"/>
    </row>
    <row r="10904" s="93" customFormat="1" spans="3:13">
      <c r="C10904" s="94"/>
      <c r="E10904" s="94"/>
      <c r="G10904" s="94"/>
      <c r="I10904" s="94"/>
      <c r="K10904" s="94"/>
      <c r="M10904" s="94"/>
    </row>
    <row r="10905" s="93" customFormat="1" spans="3:13">
      <c r="C10905" s="94"/>
      <c r="E10905" s="94"/>
      <c r="G10905" s="94"/>
      <c r="I10905" s="94"/>
      <c r="K10905" s="94"/>
      <c r="M10905" s="94"/>
    </row>
    <row r="10906" s="93" customFormat="1" spans="3:13">
      <c r="C10906" s="94"/>
      <c r="E10906" s="94"/>
      <c r="G10906" s="94"/>
      <c r="I10906" s="94"/>
      <c r="K10906" s="94"/>
      <c r="M10906" s="94"/>
    </row>
    <row r="10907" s="93" customFormat="1" spans="3:13">
      <c r="C10907" s="94"/>
      <c r="E10907" s="94"/>
      <c r="G10907" s="94"/>
      <c r="I10907" s="94"/>
      <c r="K10907" s="94"/>
      <c r="M10907" s="94"/>
    </row>
    <row r="10908" s="93" customFormat="1" spans="3:13">
      <c r="C10908" s="94"/>
      <c r="E10908" s="94"/>
      <c r="G10908" s="94"/>
      <c r="I10908" s="94"/>
      <c r="K10908" s="94"/>
      <c r="M10908" s="94"/>
    </row>
    <row r="10909" s="93" customFormat="1" spans="3:13">
      <c r="C10909" s="94"/>
      <c r="E10909" s="94"/>
      <c r="G10909" s="94"/>
      <c r="I10909" s="94"/>
      <c r="K10909" s="94"/>
      <c r="M10909" s="94"/>
    </row>
    <row r="10910" s="93" customFormat="1" spans="3:13">
      <c r="C10910" s="94"/>
      <c r="E10910" s="94"/>
      <c r="G10910" s="94"/>
      <c r="I10910" s="94"/>
      <c r="K10910" s="94"/>
      <c r="M10910" s="94"/>
    </row>
    <row r="10911" s="93" customFormat="1" spans="3:13">
      <c r="C10911" s="94"/>
      <c r="E10911" s="94"/>
      <c r="G10911" s="94"/>
      <c r="I10911" s="94"/>
      <c r="K10911" s="94"/>
      <c r="M10911" s="94"/>
    </row>
    <row r="10912" s="93" customFormat="1" spans="3:13">
      <c r="C10912" s="94"/>
      <c r="E10912" s="94"/>
      <c r="G10912" s="94"/>
      <c r="I10912" s="94"/>
      <c r="K10912" s="94"/>
      <c r="M10912" s="94"/>
    </row>
    <row r="10913" s="93" customFormat="1" spans="3:13">
      <c r="C10913" s="94"/>
      <c r="E10913" s="94"/>
      <c r="G10913" s="94"/>
      <c r="I10913" s="94"/>
      <c r="K10913" s="94"/>
      <c r="M10913" s="94"/>
    </row>
    <row r="10914" s="93" customFormat="1" spans="3:13">
      <c r="C10914" s="94"/>
      <c r="E10914" s="94"/>
      <c r="G10914" s="94"/>
      <c r="I10914" s="94"/>
      <c r="K10914" s="94"/>
      <c r="M10914" s="94"/>
    </row>
    <row r="10915" s="93" customFormat="1" spans="3:13">
      <c r="C10915" s="94"/>
      <c r="E10915" s="94"/>
      <c r="G10915" s="94"/>
      <c r="I10915" s="94"/>
      <c r="K10915" s="94"/>
      <c r="M10915" s="94"/>
    </row>
    <row r="10916" s="93" customFormat="1" spans="3:13">
      <c r="C10916" s="94"/>
      <c r="E10916" s="94"/>
      <c r="G10916" s="94"/>
      <c r="I10916" s="94"/>
      <c r="K10916" s="94"/>
      <c r="M10916" s="94"/>
    </row>
    <row r="10917" s="93" customFormat="1" spans="3:13">
      <c r="C10917" s="94"/>
      <c r="E10917" s="94"/>
      <c r="G10917" s="94"/>
      <c r="I10917" s="94"/>
      <c r="K10917" s="94"/>
      <c r="M10917" s="94"/>
    </row>
    <row r="10918" s="93" customFormat="1" spans="3:13">
      <c r="C10918" s="94"/>
      <c r="E10918" s="94"/>
      <c r="G10918" s="94"/>
      <c r="I10918" s="94"/>
      <c r="K10918" s="94"/>
      <c r="M10918" s="94"/>
    </row>
    <row r="10919" s="93" customFormat="1" spans="3:13">
      <c r="C10919" s="94"/>
      <c r="E10919" s="94"/>
      <c r="G10919" s="94"/>
      <c r="I10919" s="94"/>
      <c r="K10919" s="94"/>
      <c r="M10919" s="94"/>
    </row>
    <row r="10920" s="93" customFormat="1" spans="3:13">
      <c r="C10920" s="94"/>
      <c r="E10920" s="94"/>
      <c r="G10920" s="94"/>
      <c r="I10920" s="94"/>
      <c r="K10920" s="94"/>
      <c r="M10920" s="94"/>
    </row>
    <row r="10921" s="93" customFormat="1" spans="3:13">
      <c r="C10921" s="94"/>
      <c r="E10921" s="94"/>
      <c r="G10921" s="94"/>
      <c r="I10921" s="94"/>
      <c r="K10921" s="94"/>
      <c r="M10921" s="94"/>
    </row>
    <row r="10922" s="93" customFormat="1" spans="3:13">
      <c r="C10922" s="94"/>
      <c r="E10922" s="94"/>
      <c r="G10922" s="94"/>
      <c r="I10922" s="94"/>
      <c r="K10922" s="94"/>
      <c r="M10922" s="94"/>
    </row>
    <row r="10923" s="93" customFormat="1" spans="3:13">
      <c r="C10923" s="94"/>
      <c r="E10923" s="94"/>
      <c r="G10923" s="94"/>
      <c r="I10923" s="94"/>
      <c r="K10923" s="94"/>
      <c r="M10923" s="94"/>
    </row>
    <row r="10924" s="93" customFormat="1" spans="3:13">
      <c r="C10924" s="94"/>
      <c r="E10924" s="94"/>
      <c r="G10924" s="94"/>
      <c r="I10924" s="94"/>
      <c r="K10924" s="94"/>
      <c r="M10924" s="94"/>
    </row>
    <row r="10925" s="93" customFormat="1" spans="3:13">
      <c r="C10925" s="94"/>
      <c r="E10925" s="94"/>
      <c r="G10925" s="94"/>
      <c r="I10925" s="94"/>
      <c r="K10925" s="94"/>
      <c r="M10925" s="94"/>
    </row>
    <row r="10926" s="93" customFormat="1" spans="3:13">
      <c r="C10926" s="94"/>
      <c r="E10926" s="94"/>
      <c r="G10926" s="94"/>
      <c r="I10926" s="94"/>
      <c r="K10926" s="94"/>
      <c r="M10926" s="94"/>
    </row>
    <row r="10927" s="93" customFormat="1" spans="3:13">
      <c r="C10927" s="94"/>
      <c r="E10927" s="94"/>
      <c r="G10927" s="94"/>
      <c r="I10927" s="94"/>
      <c r="K10927" s="94"/>
      <c r="M10927" s="94"/>
    </row>
    <row r="10928" s="93" customFormat="1" spans="3:13">
      <c r="C10928" s="94"/>
      <c r="E10928" s="94"/>
      <c r="G10928" s="94"/>
      <c r="I10928" s="94"/>
      <c r="K10928" s="94"/>
      <c r="M10928" s="94"/>
    </row>
    <row r="10929" s="93" customFormat="1" spans="3:13">
      <c r="C10929" s="94"/>
      <c r="E10929" s="94"/>
      <c r="G10929" s="94"/>
      <c r="I10929" s="94"/>
      <c r="K10929" s="94"/>
      <c r="M10929" s="94"/>
    </row>
    <row r="10930" s="93" customFormat="1" spans="3:13">
      <c r="C10930" s="94"/>
      <c r="E10930" s="94"/>
      <c r="G10930" s="94"/>
      <c r="I10930" s="94"/>
      <c r="K10930" s="94"/>
      <c r="M10930" s="94"/>
    </row>
    <row r="10931" s="93" customFormat="1" spans="3:13">
      <c r="C10931" s="94"/>
      <c r="E10931" s="94"/>
      <c r="G10931" s="94"/>
      <c r="I10931" s="94"/>
      <c r="K10931" s="94"/>
      <c r="M10931" s="94"/>
    </row>
    <row r="10932" s="93" customFormat="1" spans="3:13">
      <c r="C10932" s="94"/>
      <c r="E10932" s="94"/>
      <c r="G10932" s="94"/>
      <c r="I10932" s="94"/>
      <c r="K10932" s="94"/>
      <c r="M10932" s="94"/>
    </row>
    <row r="10933" s="93" customFormat="1" spans="3:13">
      <c r="C10933" s="94"/>
      <c r="E10933" s="94"/>
      <c r="G10933" s="94"/>
      <c r="I10933" s="94"/>
      <c r="K10933" s="94"/>
      <c r="M10933" s="94"/>
    </row>
    <row r="10934" s="93" customFormat="1" spans="3:13">
      <c r="C10934" s="94"/>
      <c r="E10934" s="94"/>
      <c r="G10934" s="94"/>
      <c r="I10934" s="94"/>
      <c r="K10934" s="94"/>
      <c r="M10934" s="94"/>
    </row>
    <row r="10935" s="93" customFormat="1" spans="3:13">
      <c r="C10935" s="94"/>
      <c r="E10935" s="94"/>
      <c r="G10935" s="94"/>
      <c r="I10935" s="94"/>
      <c r="K10935" s="94"/>
      <c r="M10935" s="94"/>
    </row>
    <row r="10936" s="93" customFormat="1" spans="3:13">
      <c r="C10936" s="94"/>
      <c r="E10936" s="94"/>
      <c r="G10936" s="94"/>
      <c r="I10936" s="94"/>
      <c r="K10936" s="94"/>
      <c r="M10936" s="94"/>
    </row>
    <row r="10937" s="93" customFormat="1" spans="3:13">
      <c r="C10937" s="94"/>
      <c r="E10937" s="94"/>
      <c r="G10937" s="94"/>
      <c r="I10937" s="94"/>
      <c r="K10937" s="94"/>
      <c r="M10937" s="94"/>
    </row>
    <row r="10938" s="93" customFormat="1" spans="3:13">
      <c r="C10938" s="94"/>
      <c r="E10938" s="94"/>
      <c r="G10938" s="94"/>
      <c r="I10938" s="94"/>
      <c r="K10938" s="94"/>
      <c r="M10938" s="94"/>
    </row>
    <row r="10939" s="93" customFormat="1" spans="3:13">
      <c r="C10939" s="94"/>
      <c r="E10939" s="94"/>
      <c r="G10939" s="94"/>
      <c r="I10939" s="94"/>
      <c r="K10939" s="94"/>
      <c r="M10939" s="94"/>
    </row>
    <row r="10940" s="93" customFormat="1" spans="3:13">
      <c r="C10940" s="94"/>
      <c r="E10940" s="94"/>
      <c r="G10940" s="94"/>
      <c r="I10940" s="94"/>
      <c r="K10940" s="94"/>
      <c r="M10940" s="94"/>
    </row>
    <row r="10941" s="93" customFormat="1" spans="3:13">
      <c r="C10941" s="94"/>
      <c r="E10941" s="94"/>
      <c r="G10941" s="94"/>
      <c r="I10941" s="94"/>
      <c r="K10941" s="94"/>
      <c r="M10941" s="94"/>
    </row>
    <row r="10942" s="93" customFormat="1" spans="3:13">
      <c r="C10942" s="94"/>
      <c r="E10942" s="94"/>
      <c r="G10942" s="94"/>
      <c r="I10942" s="94"/>
      <c r="K10942" s="94"/>
      <c r="M10942" s="94"/>
    </row>
    <row r="10943" s="93" customFormat="1" spans="3:13">
      <c r="C10943" s="94"/>
      <c r="E10943" s="94"/>
      <c r="G10943" s="94"/>
      <c r="I10943" s="94"/>
      <c r="K10943" s="94"/>
      <c r="M10943" s="94"/>
    </row>
    <row r="10944" s="93" customFormat="1" spans="3:13">
      <c r="C10944" s="94"/>
      <c r="E10944" s="94"/>
      <c r="G10944" s="94"/>
      <c r="I10944" s="94"/>
      <c r="K10944" s="94"/>
      <c r="M10944" s="94"/>
    </row>
    <row r="10945" s="93" customFormat="1" spans="3:13">
      <c r="C10945" s="94"/>
      <c r="E10945" s="94"/>
      <c r="G10945" s="94"/>
      <c r="I10945" s="94"/>
      <c r="K10945" s="94"/>
      <c r="M10945" s="94"/>
    </row>
    <row r="10946" s="93" customFormat="1" spans="3:13">
      <c r="C10946" s="94"/>
      <c r="E10946" s="94"/>
      <c r="G10946" s="94"/>
      <c r="I10946" s="94"/>
      <c r="K10946" s="94"/>
      <c r="M10946" s="94"/>
    </row>
    <row r="10947" s="93" customFormat="1" spans="3:13">
      <c r="C10947" s="94"/>
      <c r="E10947" s="94"/>
      <c r="G10947" s="94"/>
      <c r="I10947" s="94"/>
      <c r="K10947" s="94"/>
      <c r="M10947" s="94"/>
    </row>
    <row r="10948" s="93" customFormat="1" spans="3:13">
      <c r="C10948" s="94"/>
      <c r="E10948" s="94"/>
      <c r="G10948" s="94"/>
      <c r="I10948" s="94"/>
      <c r="K10948" s="94"/>
      <c r="M10948" s="94"/>
    </row>
    <row r="10949" s="93" customFormat="1" spans="3:13">
      <c r="C10949" s="94"/>
      <c r="E10949" s="94"/>
      <c r="G10949" s="94"/>
      <c r="I10949" s="94"/>
      <c r="K10949" s="94"/>
      <c r="M10949" s="94"/>
    </row>
    <row r="10950" s="93" customFormat="1" spans="3:13">
      <c r="C10950" s="94"/>
      <c r="E10950" s="94"/>
      <c r="G10950" s="94"/>
      <c r="I10950" s="94"/>
      <c r="K10950" s="94"/>
      <c r="M10950" s="94"/>
    </row>
    <row r="10951" s="93" customFormat="1" spans="3:13">
      <c r="C10951" s="94"/>
      <c r="E10951" s="94"/>
      <c r="G10951" s="94"/>
      <c r="I10951" s="94"/>
      <c r="K10951" s="94"/>
      <c r="M10951" s="94"/>
    </row>
    <row r="10952" s="93" customFormat="1" spans="3:13">
      <c r="C10952" s="94"/>
      <c r="E10952" s="94"/>
      <c r="G10952" s="94"/>
      <c r="I10952" s="94"/>
      <c r="K10952" s="94"/>
      <c r="M10952" s="94"/>
    </row>
    <row r="10953" s="93" customFormat="1" spans="3:13">
      <c r="C10953" s="94"/>
      <c r="E10953" s="94"/>
      <c r="G10953" s="94"/>
      <c r="I10953" s="94"/>
      <c r="K10953" s="94"/>
      <c r="M10953" s="94"/>
    </row>
    <row r="10954" s="93" customFormat="1" spans="3:13">
      <c r="C10954" s="94"/>
      <c r="E10954" s="94"/>
      <c r="G10954" s="94"/>
      <c r="I10954" s="94"/>
      <c r="K10954" s="94"/>
      <c r="M10954" s="94"/>
    </row>
    <row r="10955" s="93" customFormat="1" spans="3:13">
      <c r="C10955" s="94"/>
      <c r="E10955" s="94"/>
      <c r="G10955" s="94"/>
      <c r="I10955" s="94"/>
      <c r="K10955" s="94"/>
      <c r="M10955" s="94"/>
    </row>
    <row r="10956" s="93" customFormat="1" spans="3:13">
      <c r="C10956" s="94"/>
      <c r="E10956" s="94"/>
      <c r="G10956" s="94"/>
      <c r="I10956" s="94"/>
      <c r="K10956" s="94"/>
      <c r="M10956" s="94"/>
    </row>
    <row r="10957" s="93" customFormat="1" spans="3:13">
      <c r="C10957" s="94"/>
      <c r="E10957" s="94"/>
      <c r="G10957" s="94"/>
      <c r="I10957" s="94"/>
      <c r="K10957" s="94"/>
      <c r="M10957" s="94"/>
    </row>
    <row r="10958" s="93" customFormat="1" spans="3:13">
      <c r="C10958" s="94"/>
      <c r="E10958" s="94"/>
      <c r="G10958" s="94"/>
      <c r="I10958" s="94"/>
      <c r="K10958" s="94"/>
      <c r="M10958" s="94"/>
    </row>
    <row r="10959" s="93" customFormat="1" spans="3:13">
      <c r="C10959" s="94"/>
      <c r="E10959" s="94"/>
      <c r="G10959" s="94"/>
      <c r="I10959" s="94"/>
      <c r="K10959" s="94"/>
      <c r="M10959" s="94"/>
    </row>
    <row r="10960" s="93" customFormat="1" spans="3:13">
      <c r="C10960" s="94"/>
      <c r="E10960" s="94"/>
      <c r="G10960" s="94"/>
      <c r="I10960" s="94"/>
      <c r="K10960" s="94"/>
      <c r="M10960" s="94"/>
    </row>
    <row r="10961" s="93" customFormat="1" spans="3:13">
      <c r="C10961" s="94"/>
      <c r="E10961" s="94"/>
      <c r="G10961" s="94"/>
      <c r="I10961" s="94"/>
      <c r="K10961" s="94"/>
      <c r="M10961" s="94"/>
    </row>
    <row r="10962" s="93" customFormat="1" spans="3:13">
      <c r="C10962" s="94"/>
      <c r="E10962" s="94"/>
      <c r="G10962" s="94"/>
      <c r="I10962" s="94"/>
      <c r="K10962" s="94"/>
      <c r="M10962" s="94"/>
    </row>
    <row r="10963" s="93" customFormat="1" spans="3:13">
      <c r="C10963" s="94"/>
      <c r="E10963" s="94"/>
      <c r="G10963" s="94"/>
      <c r="I10963" s="94"/>
      <c r="K10963" s="94"/>
      <c r="M10963" s="94"/>
    </row>
    <row r="10964" s="93" customFormat="1" spans="3:13">
      <c r="C10964" s="94"/>
      <c r="E10964" s="94"/>
      <c r="G10964" s="94"/>
      <c r="I10964" s="94"/>
      <c r="K10964" s="94"/>
      <c r="M10964" s="94"/>
    </row>
    <row r="10965" s="93" customFormat="1" spans="3:13">
      <c r="C10965" s="94"/>
      <c r="E10965" s="94"/>
      <c r="G10965" s="94"/>
      <c r="I10965" s="94"/>
      <c r="K10965" s="94"/>
      <c r="M10965" s="94"/>
    </row>
    <row r="10966" s="93" customFormat="1" spans="3:13">
      <c r="C10966" s="94"/>
      <c r="E10966" s="94"/>
      <c r="G10966" s="94"/>
      <c r="I10966" s="94"/>
      <c r="K10966" s="94"/>
      <c r="M10966" s="94"/>
    </row>
    <row r="10967" s="93" customFormat="1" spans="3:13">
      <c r="C10967" s="94"/>
      <c r="E10967" s="94"/>
      <c r="G10967" s="94"/>
      <c r="I10967" s="94"/>
      <c r="K10967" s="94"/>
      <c r="M10967" s="94"/>
    </row>
    <row r="10968" s="93" customFormat="1" spans="3:13">
      <c r="C10968" s="94"/>
      <c r="E10968" s="94"/>
      <c r="G10968" s="94"/>
      <c r="I10968" s="94"/>
      <c r="K10968" s="94"/>
      <c r="M10968" s="94"/>
    </row>
    <row r="10969" s="93" customFormat="1" spans="3:13">
      <c r="C10969" s="94"/>
      <c r="E10969" s="94"/>
      <c r="G10969" s="94"/>
      <c r="I10969" s="94"/>
      <c r="K10969" s="94"/>
      <c r="M10969" s="94"/>
    </row>
    <row r="10970" s="93" customFormat="1" spans="3:13">
      <c r="C10970" s="94"/>
      <c r="E10970" s="94"/>
      <c r="G10970" s="94"/>
      <c r="I10970" s="94"/>
      <c r="K10970" s="94"/>
      <c r="M10970" s="94"/>
    </row>
    <row r="10971" s="93" customFormat="1" spans="3:13">
      <c r="C10971" s="94"/>
      <c r="E10971" s="94"/>
      <c r="G10971" s="94"/>
      <c r="I10971" s="94"/>
      <c r="K10971" s="94"/>
      <c r="M10971" s="94"/>
    </row>
    <row r="10972" s="93" customFormat="1" spans="3:13">
      <c r="C10972" s="94"/>
      <c r="E10972" s="94"/>
      <c r="G10972" s="94"/>
      <c r="I10972" s="94"/>
      <c r="K10972" s="94"/>
      <c r="M10972" s="94"/>
    </row>
    <row r="10973" s="93" customFormat="1" spans="3:13">
      <c r="C10973" s="94"/>
      <c r="E10973" s="94"/>
      <c r="G10973" s="94"/>
      <c r="I10973" s="94"/>
      <c r="K10973" s="94"/>
      <c r="M10973" s="94"/>
    </row>
    <row r="10974" s="93" customFormat="1" spans="3:13">
      <c r="C10974" s="94"/>
      <c r="E10974" s="94"/>
      <c r="G10974" s="94"/>
      <c r="I10974" s="94"/>
      <c r="K10974" s="94"/>
      <c r="M10974" s="94"/>
    </row>
    <row r="10975" s="93" customFormat="1" spans="3:13">
      <c r="C10975" s="94"/>
      <c r="E10975" s="94"/>
      <c r="G10975" s="94"/>
      <c r="I10975" s="94"/>
      <c r="K10975" s="94"/>
      <c r="M10975" s="94"/>
    </row>
    <row r="10976" s="93" customFormat="1" spans="3:13">
      <c r="C10976" s="94"/>
      <c r="E10976" s="94"/>
      <c r="G10976" s="94"/>
      <c r="I10976" s="94"/>
      <c r="K10976" s="94"/>
      <c r="M10976" s="94"/>
    </row>
    <row r="10977" s="93" customFormat="1" spans="3:13">
      <c r="C10977" s="94"/>
      <c r="E10977" s="94"/>
      <c r="G10977" s="94"/>
      <c r="I10977" s="94"/>
      <c r="K10977" s="94"/>
      <c r="M10977" s="94"/>
    </row>
    <row r="10978" s="93" customFormat="1" spans="3:13">
      <c r="C10978" s="94"/>
      <c r="E10978" s="94"/>
      <c r="G10978" s="94"/>
      <c r="I10978" s="94"/>
      <c r="K10978" s="94"/>
      <c r="M10978" s="94"/>
    </row>
    <row r="10979" s="93" customFormat="1" spans="3:13">
      <c r="C10979" s="94"/>
      <c r="E10979" s="94"/>
      <c r="G10979" s="94"/>
      <c r="I10979" s="94"/>
      <c r="K10979" s="94"/>
      <c r="M10979" s="94"/>
    </row>
    <row r="10980" s="93" customFormat="1" spans="3:13">
      <c r="C10980" s="94"/>
      <c r="E10980" s="94"/>
      <c r="G10980" s="94"/>
      <c r="I10980" s="94"/>
      <c r="K10980" s="94"/>
      <c r="M10980" s="94"/>
    </row>
    <row r="10981" s="93" customFormat="1" spans="3:13">
      <c r="C10981" s="94"/>
      <c r="E10981" s="94"/>
      <c r="G10981" s="94"/>
      <c r="I10981" s="94"/>
      <c r="K10981" s="94"/>
      <c r="M10981" s="94"/>
    </row>
    <row r="10982" s="93" customFormat="1" spans="3:13">
      <c r="C10982" s="94"/>
      <c r="E10982" s="94"/>
      <c r="G10982" s="94"/>
      <c r="I10982" s="94"/>
      <c r="K10982" s="94"/>
      <c r="M10982" s="94"/>
    </row>
    <row r="10983" s="93" customFormat="1" spans="3:13">
      <c r="C10983" s="94"/>
      <c r="E10983" s="94"/>
      <c r="G10983" s="94"/>
      <c r="I10983" s="94"/>
      <c r="K10983" s="94"/>
      <c r="M10983" s="94"/>
    </row>
    <row r="10984" s="93" customFormat="1" spans="3:13">
      <c r="C10984" s="94"/>
      <c r="E10984" s="94"/>
      <c r="G10984" s="94"/>
      <c r="I10984" s="94"/>
      <c r="K10984" s="94"/>
      <c r="M10984" s="94"/>
    </row>
    <row r="10985" s="93" customFormat="1" spans="3:13">
      <c r="C10985" s="94"/>
      <c r="E10985" s="94"/>
      <c r="G10985" s="94"/>
      <c r="I10985" s="94"/>
      <c r="K10985" s="94"/>
      <c r="M10985" s="94"/>
    </row>
    <row r="10986" s="93" customFormat="1" spans="3:13">
      <c r="C10986" s="94"/>
      <c r="E10986" s="94"/>
      <c r="G10986" s="94"/>
      <c r="I10986" s="94"/>
      <c r="K10986" s="94"/>
      <c r="M10986" s="94"/>
    </row>
    <row r="10987" s="93" customFormat="1" spans="3:13">
      <c r="C10987" s="94"/>
      <c r="E10987" s="94"/>
      <c r="G10987" s="94"/>
      <c r="I10987" s="94"/>
      <c r="K10987" s="94"/>
      <c r="M10987" s="94"/>
    </row>
    <row r="10988" s="93" customFormat="1" spans="3:13">
      <c r="C10988" s="94"/>
      <c r="E10988" s="94"/>
      <c r="G10988" s="94"/>
      <c r="I10988" s="94"/>
      <c r="K10988" s="94"/>
      <c r="M10988" s="94"/>
    </row>
    <row r="10989" s="93" customFormat="1" spans="3:13">
      <c r="C10989" s="94"/>
      <c r="E10989" s="94"/>
      <c r="G10989" s="94"/>
      <c r="I10989" s="94"/>
      <c r="K10989" s="94"/>
      <c r="M10989" s="94"/>
    </row>
    <row r="10990" s="93" customFormat="1" spans="3:13">
      <c r="C10990" s="94"/>
      <c r="E10990" s="94"/>
      <c r="G10990" s="94"/>
      <c r="I10990" s="94"/>
      <c r="K10990" s="94"/>
      <c r="M10990" s="94"/>
    </row>
    <row r="10991" s="93" customFormat="1" spans="3:13">
      <c r="C10991" s="94"/>
      <c r="E10991" s="94"/>
      <c r="G10991" s="94"/>
      <c r="I10991" s="94"/>
      <c r="K10991" s="94"/>
      <c r="M10991" s="94"/>
    </row>
    <row r="10992" s="93" customFormat="1" spans="3:13">
      <c r="C10992" s="94"/>
      <c r="E10992" s="94"/>
      <c r="G10992" s="94"/>
      <c r="I10992" s="94"/>
      <c r="K10992" s="94"/>
      <c r="M10992" s="94"/>
    </row>
    <row r="10993" s="93" customFormat="1" spans="3:13">
      <c r="C10993" s="94"/>
      <c r="E10993" s="94"/>
      <c r="G10993" s="94"/>
      <c r="I10993" s="94"/>
      <c r="K10993" s="94"/>
      <c r="M10993" s="94"/>
    </row>
    <row r="10994" s="93" customFormat="1" spans="3:13">
      <c r="C10994" s="94"/>
      <c r="E10994" s="94"/>
      <c r="G10994" s="94"/>
      <c r="I10994" s="94"/>
      <c r="K10994" s="94"/>
      <c r="M10994" s="94"/>
    </row>
    <row r="10995" s="93" customFormat="1" spans="3:13">
      <c r="C10995" s="94"/>
      <c r="E10995" s="94"/>
      <c r="G10995" s="94"/>
      <c r="I10995" s="94"/>
      <c r="K10995" s="94"/>
      <c r="M10995" s="94"/>
    </row>
    <row r="10996" s="93" customFormat="1" spans="3:13">
      <c r="C10996" s="94"/>
      <c r="E10996" s="94"/>
      <c r="G10996" s="94"/>
      <c r="I10996" s="94"/>
      <c r="K10996" s="94"/>
      <c r="M10996" s="94"/>
    </row>
    <row r="10997" s="93" customFormat="1" spans="3:13">
      <c r="C10997" s="94"/>
      <c r="E10997" s="94"/>
      <c r="G10997" s="94"/>
      <c r="I10997" s="94"/>
      <c r="K10997" s="94"/>
      <c r="M10997" s="94"/>
    </row>
    <row r="10998" s="93" customFormat="1" spans="3:13">
      <c r="C10998" s="94"/>
      <c r="E10998" s="94"/>
      <c r="G10998" s="94"/>
      <c r="I10998" s="94"/>
      <c r="K10998" s="94"/>
      <c r="M10998" s="94"/>
    </row>
    <row r="10999" s="93" customFormat="1" spans="3:13">
      <c r="C10999" s="94"/>
      <c r="E10999" s="94"/>
      <c r="G10999" s="94"/>
      <c r="I10999" s="94"/>
      <c r="K10999" s="94"/>
      <c r="M10999" s="94"/>
    </row>
    <row r="11000" s="93" customFormat="1" spans="3:13">
      <c r="C11000" s="94"/>
      <c r="E11000" s="94"/>
      <c r="G11000" s="94"/>
      <c r="I11000" s="94"/>
      <c r="K11000" s="94"/>
      <c r="M11000" s="94"/>
    </row>
    <row r="11001" s="93" customFormat="1" spans="3:13">
      <c r="C11001" s="94"/>
      <c r="E11001" s="94"/>
      <c r="G11001" s="94"/>
      <c r="I11001" s="94"/>
      <c r="K11001" s="94"/>
      <c r="M11001" s="94"/>
    </row>
    <row r="11002" s="93" customFormat="1" spans="3:13">
      <c r="C11002" s="94"/>
      <c r="E11002" s="94"/>
      <c r="G11002" s="94"/>
      <c r="I11002" s="94"/>
      <c r="K11002" s="94"/>
      <c r="M11002" s="94"/>
    </row>
    <row r="11003" s="93" customFormat="1" spans="3:13">
      <c r="C11003" s="94"/>
      <c r="E11003" s="94"/>
      <c r="G11003" s="94"/>
      <c r="I11003" s="94"/>
      <c r="K11003" s="94"/>
      <c r="M11003" s="94"/>
    </row>
    <row r="11004" s="93" customFormat="1" spans="3:13">
      <c r="C11004" s="94"/>
      <c r="E11004" s="94"/>
      <c r="G11004" s="94"/>
      <c r="I11004" s="94"/>
      <c r="K11004" s="94"/>
      <c r="M11004" s="94"/>
    </row>
    <row r="11005" s="93" customFormat="1" spans="3:13">
      <c r="C11005" s="94"/>
      <c r="E11005" s="94"/>
      <c r="G11005" s="94"/>
      <c r="I11005" s="94"/>
      <c r="K11005" s="94"/>
      <c r="M11005" s="94"/>
    </row>
    <row r="11006" s="93" customFormat="1" spans="3:13">
      <c r="C11006" s="94"/>
      <c r="E11006" s="94"/>
      <c r="G11006" s="94"/>
      <c r="I11006" s="94"/>
      <c r="K11006" s="94"/>
      <c r="M11006" s="94"/>
    </row>
    <row r="11007" s="93" customFormat="1" spans="3:13">
      <c r="C11007" s="94"/>
      <c r="E11007" s="94"/>
      <c r="G11007" s="94"/>
      <c r="I11007" s="94"/>
      <c r="K11007" s="94"/>
      <c r="M11007" s="94"/>
    </row>
    <row r="11008" s="93" customFormat="1" spans="3:13">
      <c r="C11008" s="94"/>
      <c r="E11008" s="94"/>
      <c r="G11008" s="94"/>
      <c r="I11008" s="94"/>
      <c r="K11008" s="94"/>
      <c r="M11008" s="94"/>
    </row>
    <row r="11009" s="93" customFormat="1" spans="3:13">
      <c r="C11009" s="94"/>
      <c r="E11009" s="94"/>
      <c r="G11009" s="94"/>
      <c r="I11009" s="94"/>
      <c r="K11009" s="94"/>
      <c r="M11009" s="94"/>
    </row>
    <row r="11010" s="93" customFormat="1" spans="3:13">
      <c r="C11010" s="94"/>
      <c r="E11010" s="94"/>
      <c r="G11010" s="94"/>
      <c r="I11010" s="94"/>
      <c r="K11010" s="94"/>
      <c r="M11010" s="94"/>
    </row>
    <row r="11011" s="93" customFormat="1" spans="3:13">
      <c r="C11011" s="94"/>
      <c r="E11011" s="94"/>
      <c r="G11011" s="94"/>
      <c r="I11011" s="94"/>
      <c r="K11011" s="94"/>
      <c r="M11011" s="94"/>
    </row>
    <row r="11012" s="93" customFormat="1" spans="3:13">
      <c r="C11012" s="94"/>
      <c r="E11012" s="94"/>
      <c r="G11012" s="94"/>
      <c r="I11012" s="94"/>
      <c r="K11012" s="94"/>
      <c r="M11012" s="94"/>
    </row>
    <row r="11013" s="93" customFormat="1" spans="3:13">
      <c r="C11013" s="94"/>
      <c r="E11013" s="94"/>
      <c r="G11013" s="94"/>
      <c r="I11013" s="94"/>
      <c r="K11013" s="94"/>
      <c r="M11013" s="94"/>
    </row>
    <row r="11014" s="93" customFormat="1" spans="3:13">
      <c r="C11014" s="94"/>
      <c r="E11014" s="94"/>
      <c r="G11014" s="94"/>
      <c r="I11014" s="94"/>
      <c r="K11014" s="94"/>
      <c r="M11014" s="94"/>
    </row>
    <row r="11015" s="93" customFormat="1" spans="3:13">
      <c r="C11015" s="94"/>
      <c r="E11015" s="94"/>
      <c r="G11015" s="94"/>
      <c r="I11015" s="94"/>
      <c r="K11015" s="94"/>
      <c r="M11015" s="94"/>
    </row>
    <row r="11016" s="93" customFormat="1" spans="3:13">
      <c r="C11016" s="94"/>
      <c r="E11016" s="94"/>
      <c r="G11016" s="94"/>
      <c r="I11016" s="94"/>
      <c r="K11016" s="94"/>
      <c r="M11016" s="94"/>
    </row>
    <row r="11017" s="93" customFormat="1" spans="3:13">
      <c r="C11017" s="94"/>
      <c r="E11017" s="94"/>
      <c r="G11017" s="94"/>
      <c r="I11017" s="94"/>
      <c r="K11017" s="94"/>
      <c r="M11017" s="94"/>
    </row>
    <row r="11018" s="93" customFormat="1" spans="3:13">
      <c r="C11018" s="94"/>
      <c r="E11018" s="94"/>
      <c r="G11018" s="94"/>
      <c r="I11018" s="94"/>
      <c r="K11018" s="94"/>
      <c r="M11018" s="94"/>
    </row>
    <row r="11019" s="93" customFormat="1" spans="3:13">
      <c r="C11019" s="94"/>
      <c r="E11019" s="94"/>
      <c r="G11019" s="94"/>
      <c r="I11019" s="94"/>
      <c r="K11019" s="94"/>
      <c r="M11019" s="94"/>
    </row>
    <row r="11020" s="93" customFormat="1" spans="3:13">
      <c r="C11020" s="94"/>
      <c r="E11020" s="94"/>
      <c r="G11020" s="94"/>
      <c r="I11020" s="94"/>
      <c r="K11020" s="94"/>
      <c r="M11020" s="94"/>
    </row>
    <row r="11021" s="93" customFormat="1" spans="3:13">
      <c r="C11021" s="94"/>
      <c r="E11021" s="94"/>
      <c r="G11021" s="94"/>
      <c r="I11021" s="94"/>
      <c r="K11021" s="94"/>
      <c r="M11021" s="94"/>
    </row>
    <row r="11022" s="93" customFormat="1" spans="3:13">
      <c r="C11022" s="94"/>
      <c r="E11022" s="94"/>
      <c r="G11022" s="94"/>
      <c r="I11022" s="94"/>
      <c r="K11022" s="94"/>
      <c r="M11022" s="94"/>
    </row>
    <row r="11023" s="93" customFormat="1" spans="3:13">
      <c r="C11023" s="94"/>
      <c r="E11023" s="94"/>
      <c r="G11023" s="94"/>
      <c r="I11023" s="94"/>
      <c r="K11023" s="94"/>
      <c r="M11023" s="94"/>
    </row>
    <row r="11024" s="93" customFormat="1" spans="3:13">
      <c r="C11024" s="94"/>
      <c r="E11024" s="94"/>
      <c r="G11024" s="94"/>
      <c r="I11024" s="94"/>
      <c r="K11024" s="94"/>
      <c r="M11024" s="94"/>
    </row>
    <row r="11025" s="93" customFormat="1" spans="3:13">
      <c r="C11025" s="94"/>
      <c r="E11025" s="94"/>
      <c r="G11025" s="94"/>
      <c r="I11025" s="94"/>
      <c r="K11025" s="94"/>
      <c r="M11025" s="94"/>
    </row>
    <row r="11026" s="93" customFormat="1" spans="3:13">
      <c r="C11026" s="94"/>
      <c r="E11026" s="94"/>
      <c r="G11026" s="94"/>
      <c r="I11026" s="94"/>
      <c r="K11026" s="94"/>
      <c r="M11026" s="94"/>
    </row>
    <row r="11027" s="93" customFormat="1" spans="3:13">
      <c r="C11027" s="94"/>
      <c r="E11027" s="94"/>
      <c r="G11027" s="94"/>
      <c r="I11027" s="94"/>
      <c r="K11027" s="94"/>
      <c r="M11027" s="94"/>
    </row>
    <row r="11028" s="93" customFormat="1" spans="3:13">
      <c r="C11028" s="94"/>
      <c r="E11028" s="94"/>
      <c r="G11028" s="94"/>
      <c r="I11028" s="94"/>
      <c r="K11028" s="94"/>
      <c r="M11028" s="94"/>
    </row>
    <row r="11029" s="93" customFormat="1" spans="3:13">
      <c r="C11029" s="94"/>
      <c r="E11029" s="94"/>
      <c r="G11029" s="94"/>
      <c r="I11029" s="94"/>
      <c r="K11029" s="94"/>
      <c r="M11029" s="94"/>
    </row>
    <row r="11030" s="93" customFormat="1" spans="3:13">
      <c r="C11030" s="94"/>
      <c r="E11030" s="94"/>
      <c r="G11030" s="94"/>
      <c r="I11030" s="94"/>
      <c r="K11030" s="94"/>
      <c r="M11030" s="94"/>
    </row>
    <row r="11031" s="93" customFormat="1" spans="3:13">
      <c r="C11031" s="94"/>
      <c r="E11031" s="94"/>
      <c r="G11031" s="94"/>
      <c r="I11031" s="94"/>
      <c r="K11031" s="94"/>
      <c r="M11031" s="94"/>
    </row>
    <row r="11032" s="93" customFormat="1" spans="3:13">
      <c r="C11032" s="94"/>
      <c r="E11032" s="94"/>
      <c r="G11032" s="94"/>
      <c r="I11032" s="94"/>
      <c r="K11032" s="94"/>
      <c r="M11032" s="94"/>
    </row>
    <row r="11033" s="93" customFormat="1" spans="3:13">
      <c r="C11033" s="94"/>
      <c r="E11033" s="94"/>
      <c r="G11033" s="94"/>
      <c r="I11033" s="94"/>
      <c r="K11033" s="94"/>
      <c r="M11033" s="94"/>
    </row>
    <row r="11034" s="93" customFormat="1" spans="3:13">
      <c r="C11034" s="94"/>
      <c r="E11034" s="94"/>
      <c r="G11034" s="94"/>
      <c r="I11034" s="94"/>
      <c r="K11034" s="94"/>
      <c r="M11034" s="94"/>
    </row>
    <row r="11035" s="93" customFormat="1" spans="3:13">
      <c r="C11035" s="94"/>
      <c r="E11035" s="94"/>
      <c r="G11035" s="94"/>
      <c r="I11035" s="94"/>
      <c r="K11035" s="94"/>
      <c r="M11035" s="94"/>
    </row>
    <row r="11036" s="93" customFormat="1" spans="3:13">
      <c r="C11036" s="94"/>
      <c r="E11036" s="94"/>
      <c r="G11036" s="94"/>
      <c r="I11036" s="94"/>
      <c r="K11036" s="94"/>
      <c r="M11036" s="94"/>
    </row>
    <row r="11037" s="93" customFormat="1" spans="3:13">
      <c r="C11037" s="94"/>
      <c r="E11037" s="94"/>
      <c r="G11037" s="94"/>
      <c r="I11037" s="94"/>
      <c r="K11037" s="94"/>
      <c r="M11037" s="94"/>
    </row>
    <row r="11038" s="93" customFormat="1" spans="3:13">
      <c r="C11038" s="94"/>
      <c r="E11038" s="94"/>
      <c r="G11038" s="94"/>
      <c r="I11038" s="94"/>
      <c r="K11038" s="94"/>
      <c r="M11038" s="94"/>
    </row>
    <row r="11039" s="93" customFormat="1" spans="3:13">
      <c r="C11039" s="94"/>
      <c r="E11039" s="94"/>
      <c r="G11039" s="94"/>
      <c r="I11039" s="94"/>
      <c r="K11039" s="94"/>
      <c r="M11039" s="94"/>
    </row>
    <row r="11040" s="93" customFormat="1" spans="3:13">
      <c r="C11040" s="94"/>
      <c r="E11040" s="94"/>
      <c r="G11040" s="94"/>
      <c r="I11040" s="94"/>
      <c r="K11040" s="94"/>
      <c r="M11040" s="94"/>
    </row>
    <row r="11041" s="93" customFormat="1" spans="3:13">
      <c r="C11041" s="94"/>
      <c r="E11041" s="94"/>
      <c r="G11041" s="94"/>
      <c r="I11041" s="94"/>
      <c r="K11041" s="94"/>
      <c r="M11041" s="94"/>
    </row>
    <row r="11042" s="93" customFormat="1" spans="3:13">
      <c r="C11042" s="94"/>
      <c r="E11042" s="94"/>
      <c r="G11042" s="94"/>
      <c r="I11042" s="94"/>
      <c r="K11042" s="94"/>
      <c r="M11042" s="94"/>
    </row>
    <row r="11043" s="93" customFormat="1" spans="3:13">
      <c r="C11043" s="94"/>
      <c r="E11043" s="94"/>
      <c r="G11043" s="94"/>
      <c r="I11043" s="94"/>
      <c r="K11043" s="94"/>
      <c r="M11043" s="94"/>
    </row>
    <row r="11044" s="93" customFormat="1" spans="3:13">
      <c r="C11044" s="94"/>
      <c r="E11044" s="94"/>
      <c r="G11044" s="94"/>
      <c r="I11044" s="94"/>
      <c r="K11044" s="94"/>
      <c r="M11044" s="94"/>
    </row>
    <row r="11045" s="93" customFormat="1" spans="3:13">
      <c r="C11045" s="94"/>
      <c r="E11045" s="94"/>
      <c r="G11045" s="94"/>
      <c r="I11045" s="94"/>
      <c r="K11045" s="94"/>
      <c r="M11045" s="94"/>
    </row>
    <row r="11046" s="93" customFormat="1" spans="3:13">
      <c r="C11046" s="94"/>
      <c r="E11046" s="94"/>
      <c r="G11046" s="94"/>
      <c r="I11046" s="94"/>
      <c r="K11046" s="94"/>
      <c r="M11046" s="94"/>
    </row>
    <row r="11047" s="93" customFormat="1" spans="3:13">
      <c r="C11047" s="94"/>
      <c r="E11047" s="94"/>
      <c r="G11047" s="94"/>
      <c r="I11047" s="94"/>
      <c r="K11047" s="94"/>
      <c r="M11047" s="94"/>
    </row>
    <row r="11048" s="93" customFormat="1" spans="3:13">
      <c r="C11048" s="94"/>
      <c r="E11048" s="94"/>
      <c r="G11048" s="94"/>
      <c r="I11048" s="94"/>
      <c r="K11048" s="94"/>
      <c r="M11048" s="94"/>
    </row>
    <row r="11049" s="93" customFormat="1" spans="3:13">
      <c r="C11049" s="94"/>
      <c r="E11049" s="94"/>
      <c r="G11049" s="94"/>
      <c r="I11049" s="94"/>
      <c r="K11049" s="94"/>
      <c r="M11049" s="94"/>
    </row>
    <row r="11050" s="93" customFormat="1" spans="3:13">
      <c r="C11050" s="94"/>
      <c r="E11050" s="94"/>
      <c r="G11050" s="94"/>
      <c r="I11050" s="94"/>
      <c r="K11050" s="94"/>
      <c r="M11050" s="94"/>
    </row>
    <row r="11051" s="93" customFormat="1" spans="3:13">
      <c r="C11051" s="94"/>
      <c r="E11051" s="94"/>
      <c r="G11051" s="94"/>
      <c r="I11051" s="94"/>
      <c r="K11051" s="94"/>
      <c r="M11051" s="94"/>
    </row>
    <row r="11052" s="93" customFormat="1" spans="3:13">
      <c r="C11052" s="94"/>
      <c r="E11052" s="94"/>
      <c r="G11052" s="94"/>
      <c r="I11052" s="94"/>
      <c r="K11052" s="94"/>
      <c r="M11052" s="94"/>
    </row>
    <row r="11053" s="93" customFormat="1" spans="3:13">
      <c r="C11053" s="94"/>
      <c r="E11053" s="94"/>
      <c r="G11053" s="94"/>
      <c r="I11053" s="94"/>
      <c r="K11053" s="94"/>
      <c r="M11053" s="94"/>
    </row>
    <row r="11054" s="93" customFormat="1" spans="3:13">
      <c r="C11054" s="94"/>
      <c r="E11054" s="94"/>
      <c r="G11054" s="94"/>
      <c r="I11054" s="94"/>
      <c r="K11054" s="94"/>
      <c r="M11054" s="94"/>
    </row>
    <row r="11055" s="93" customFormat="1" spans="3:13">
      <c r="C11055" s="94"/>
      <c r="E11055" s="94"/>
      <c r="G11055" s="94"/>
      <c r="I11055" s="94"/>
      <c r="K11055" s="94"/>
      <c r="M11055" s="94"/>
    </row>
    <row r="11056" s="93" customFormat="1" spans="3:13">
      <c r="C11056" s="94"/>
      <c r="E11056" s="94"/>
      <c r="G11056" s="94"/>
      <c r="I11056" s="94"/>
      <c r="K11056" s="94"/>
      <c r="M11056" s="94"/>
    </row>
    <row r="11057" s="93" customFormat="1" spans="3:13">
      <c r="C11057" s="94"/>
      <c r="E11057" s="94"/>
      <c r="G11057" s="94"/>
      <c r="I11057" s="94"/>
      <c r="K11057" s="94"/>
      <c r="M11057" s="94"/>
    </row>
    <row r="11058" s="93" customFormat="1" spans="3:13">
      <c r="C11058" s="94"/>
      <c r="E11058" s="94"/>
      <c r="G11058" s="94"/>
      <c r="I11058" s="94"/>
      <c r="K11058" s="94"/>
      <c r="M11058" s="94"/>
    </row>
    <row r="11059" s="93" customFormat="1" spans="3:13">
      <c r="C11059" s="94"/>
      <c r="E11059" s="94"/>
      <c r="G11059" s="94"/>
      <c r="I11059" s="94"/>
      <c r="K11059" s="94"/>
      <c r="M11059" s="94"/>
    </row>
    <row r="11060" s="93" customFormat="1" spans="3:13">
      <c r="C11060" s="94"/>
      <c r="E11060" s="94"/>
      <c r="G11060" s="94"/>
      <c r="I11060" s="94"/>
      <c r="K11060" s="94"/>
      <c r="M11060" s="94"/>
    </row>
    <row r="11061" s="93" customFormat="1" spans="3:13">
      <c r="C11061" s="94"/>
      <c r="E11061" s="94"/>
      <c r="G11061" s="94"/>
      <c r="I11061" s="94"/>
      <c r="K11061" s="94"/>
      <c r="M11061" s="94"/>
    </row>
    <row r="11062" s="93" customFormat="1" spans="3:13">
      <c r="C11062" s="94"/>
      <c r="E11062" s="94"/>
      <c r="G11062" s="94"/>
      <c r="I11062" s="94"/>
      <c r="K11062" s="94"/>
      <c r="M11062" s="94"/>
    </row>
    <row r="11063" s="93" customFormat="1" spans="3:13">
      <c r="C11063" s="94"/>
      <c r="E11063" s="94"/>
      <c r="G11063" s="94"/>
      <c r="I11063" s="94"/>
      <c r="K11063" s="94"/>
      <c r="M11063" s="94"/>
    </row>
    <row r="11064" s="93" customFormat="1" spans="3:13">
      <c r="C11064" s="94"/>
      <c r="E11064" s="94"/>
      <c r="G11064" s="94"/>
      <c r="I11064" s="94"/>
      <c r="K11064" s="94"/>
      <c r="M11064" s="94"/>
    </row>
    <row r="11065" s="93" customFormat="1" spans="3:13">
      <c r="C11065" s="94"/>
      <c r="E11065" s="94"/>
      <c r="G11065" s="94"/>
      <c r="I11065" s="94"/>
      <c r="K11065" s="94"/>
      <c r="M11065" s="94"/>
    </row>
    <row r="11066" s="93" customFormat="1" spans="3:13">
      <c r="C11066" s="94"/>
      <c r="E11066" s="94"/>
      <c r="G11066" s="94"/>
      <c r="I11066" s="94"/>
      <c r="K11066" s="94"/>
      <c r="M11066" s="94"/>
    </row>
    <row r="11067" s="93" customFormat="1" spans="3:13">
      <c r="C11067" s="94"/>
      <c r="E11067" s="94"/>
      <c r="G11067" s="94"/>
      <c r="I11067" s="94"/>
      <c r="K11067" s="94"/>
      <c r="M11067" s="94"/>
    </row>
    <row r="11068" s="93" customFormat="1" spans="3:13">
      <c r="C11068" s="94"/>
      <c r="E11068" s="94"/>
      <c r="G11068" s="94"/>
      <c r="I11068" s="94"/>
      <c r="K11068" s="94"/>
      <c r="M11068" s="94"/>
    </row>
    <row r="11069" s="93" customFormat="1" spans="3:13">
      <c r="C11069" s="94"/>
      <c r="E11069" s="94"/>
      <c r="G11069" s="94"/>
      <c r="I11069" s="94"/>
      <c r="K11069" s="94"/>
      <c r="M11069" s="94"/>
    </row>
    <row r="11070" s="93" customFormat="1" spans="3:13">
      <c r="C11070" s="94"/>
      <c r="E11070" s="94"/>
      <c r="G11070" s="94"/>
      <c r="I11070" s="94"/>
      <c r="K11070" s="94"/>
      <c r="M11070" s="94"/>
    </row>
    <row r="11071" s="93" customFormat="1" spans="3:13">
      <c r="C11071" s="94"/>
      <c r="E11071" s="94"/>
      <c r="G11071" s="94"/>
      <c r="I11071" s="94"/>
      <c r="K11071" s="94"/>
      <c r="M11071" s="94"/>
    </row>
    <row r="11072" s="93" customFormat="1" spans="3:13">
      <c r="C11072" s="94"/>
      <c r="E11072" s="94"/>
      <c r="G11072" s="94"/>
      <c r="I11072" s="94"/>
      <c r="K11072" s="94"/>
      <c r="M11072" s="94"/>
    </row>
    <row r="11073" s="93" customFormat="1" spans="3:13">
      <c r="C11073" s="94"/>
      <c r="E11073" s="94"/>
      <c r="G11073" s="94"/>
      <c r="I11073" s="94"/>
      <c r="K11073" s="94"/>
      <c r="M11073" s="94"/>
    </row>
    <row r="11074" s="93" customFormat="1" spans="3:13">
      <c r="C11074" s="94"/>
      <c r="E11074" s="94"/>
      <c r="G11074" s="94"/>
      <c r="I11074" s="94"/>
      <c r="K11074" s="94"/>
      <c r="M11074" s="94"/>
    </row>
    <row r="11075" s="93" customFormat="1" spans="3:13">
      <c r="C11075" s="94"/>
      <c r="E11075" s="94"/>
      <c r="G11075" s="94"/>
      <c r="I11075" s="94"/>
      <c r="K11075" s="94"/>
      <c r="M11075" s="94"/>
    </row>
    <row r="11076" s="93" customFormat="1" spans="3:13">
      <c r="C11076" s="94"/>
      <c r="E11076" s="94"/>
      <c r="G11076" s="94"/>
      <c r="I11076" s="94"/>
      <c r="K11076" s="94"/>
      <c r="M11076" s="94"/>
    </row>
    <row r="11077" s="93" customFormat="1" spans="3:13">
      <c r="C11077" s="94"/>
      <c r="E11077" s="94"/>
      <c r="G11077" s="94"/>
      <c r="I11077" s="94"/>
      <c r="K11077" s="94"/>
      <c r="M11077" s="94"/>
    </row>
    <row r="11078" s="93" customFormat="1" spans="3:13">
      <c r="C11078" s="94"/>
      <c r="E11078" s="94"/>
      <c r="G11078" s="94"/>
      <c r="I11078" s="94"/>
      <c r="K11078" s="94"/>
      <c r="M11078" s="94"/>
    </row>
    <row r="11079" s="93" customFormat="1" spans="3:13">
      <c r="C11079" s="94"/>
      <c r="E11079" s="94"/>
      <c r="G11079" s="94"/>
      <c r="I11079" s="94"/>
      <c r="K11079" s="94"/>
      <c r="M11079" s="94"/>
    </row>
    <row r="11080" s="93" customFormat="1" spans="3:13">
      <c r="C11080" s="94"/>
      <c r="E11080" s="94"/>
      <c r="G11080" s="94"/>
      <c r="I11080" s="94"/>
      <c r="K11080" s="94"/>
      <c r="M11080" s="94"/>
    </row>
    <row r="11081" s="93" customFormat="1" spans="3:13">
      <c r="C11081" s="94"/>
      <c r="E11081" s="94"/>
      <c r="G11081" s="94"/>
      <c r="I11081" s="94"/>
      <c r="K11081" s="94"/>
      <c r="M11081" s="94"/>
    </row>
    <row r="11082" s="93" customFormat="1" spans="3:13">
      <c r="C11082" s="94"/>
      <c r="E11082" s="94"/>
      <c r="G11082" s="94"/>
      <c r="I11082" s="94"/>
      <c r="K11082" s="94"/>
      <c r="M11082" s="94"/>
    </row>
    <row r="11083" s="93" customFormat="1" spans="3:13">
      <c r="C11083" s="94"/>
      <c r="E11083" s="94"/>
      <c r="G11083" s="94"/>
      <c r="I11083" s="94"/>
      <c r="K11083" s="94"/>
      <c r="M11083" s="94"/>
    </row>
    <row r="11084" s="93" customFormat="1" spans="3:13">
      <c r="C11084" s="94"/>
      <c r="E11084" s="94"/>
      <c r="G11084" s="94"/>
      <c r="I11084" s="94"/>
      <c r="K11084" s="94"/>
      <c r="M11084" s="94"/>
    </row>
    <row r="11085" s="93" customFormat="1" spans="3:13">
      <c r="C11085" s="94"/>
      <c r="E11085" s="94"/>
      <c r="G11085" s="94"/>
      <c r="I11085" s="94"/>
      <c r="K11085" s="94"/>
      <c r="M11085" s="94"/>
    </row>
    <row r="11086" s="93" customFormat="1" spans="3:13">
      <c r="C11086" s="94"/>
      <c r="E11086" s="94"/>
      <c r="G11086" s="94"/>
      <c r="I11086" s="94"/>
      <c r="K11086" s="94"/>
      <c r="M11086" s="94"/>
    </row>
    <row r="11087" s="93" customFormat="1" spans="3:13">
      <c r="C11087" s="94"/>
      <c r="E11087" s="94"/>
      <c r="G11087" s="94"/>
      <c r="I11087" s="94"/>
      <c r="K11087" s="94"/>
      <c r="M11087" s="94"/>
    </row>
    <row r="11088" s="93" customFormat="1" spans="3:13">
      <c r="C11088" s="94"/>
      <c r="E11088" s="94"/>
      <c r="G11088" s="94"/>
      <c r="I11088" s="94"/>
      <c r="K11088" s="94"/>
      <c r="M11088" s="94"/>
    </row>
    <row r="11089" s="93" customFormat="1" spans="3:13">
      <c r="C11089" s="94"/>
      <c r="E11089" s="94"/>
      <c r="G11089" s="94"/>
      <c r="I11089" s="94"/>
      <c r="K11089" s="94"/>
      <c r="M11089" s="94"/>
    </row>
    <row r="11090" s="93" customFormat="1" spans="3:13">
      <c r="C11090" s="94"/>
      <c r="E11090" s="94"/>
      <c r="G11090" s="94"/>
      <c r="I11090" s="94"/>
      <c r="K11090" s="94"/>
      <c r="M11090" s="94"/>
    </row>
    <row r="11091" s="93" customFormat="1" spans="3:13">
      <c r="C11091" s="94"/>
      <c r="E11091" s="94"/>
      <c r="G11091" s="94"/>
      <c r="I11091" s="94"/>
      <c r="K11091" s="94"/>
      <c r="M11091" s="94"/>
    </row>
    <row r="11092" s="93" customFormat="1" spans="3:13">
      <c r="C11092" s="94"/>
      <c r="E11092" s="94"/>
      <c r="G11092" s="94"/>
      <c r="I11092" s="94"/>
      <c r="K11092" s="94"/>
      <c r="M11092" s="94"/>
    </row>
    <row r="11093" s="93" customFormat="1" spans="3:13">
      <c r="C11093" s="94"/>
      <c r="E11093" s="94"/>
      <c r="G11093" s="94"/>
      <c r="I11093" s="94"/>
      <c r="K11093" s="94"/>
      <c r="M11093" s="94"/>
    </row>
    <row r="11094" s="93" customFormat="1" spans="3:13">
      <c r="C11094" s="94"/>
      <c r="E11094" s="94"/>
      <c r="G11094" s="94"/>
      <c r="I11094" s="94"/>
      <c r="K11094" s="94"/>
      <c r="M11094" s="94"/>
    </row>
    <row r="11095" s="93" customFormat="1" spans="3:13">
      <c r="C11095" s="94"/>
      <c r="E11095" s="94"/>
      <c r="G11095" s="94"/>
      <c r="I11095" s="94"/>
      <c r="K11095" s="94"/>
      <c r="M11095" s="94"/>
    </row>
    <row r="11096" s="93" customFormat="1" spans="3:13">
      <c r="C11096" s="94"/>
      <c r="E11096" s="94"/>
      <c r="G11096" s="94"/>
      <c r="I11096" s="94"/>
      <c r="K11096" s="94"/>
      <c r="M11096" s="94"/>
    </row>
    <row r="11097" s="93" customFormat="1" spans="3:13">
      <c r="C11097" s="94"/>
      <c r="E11097" s="94"/>
      <c r="G11097" s="94"/>
      <c r="I11097" s="94"/>
      <c r="K11097" s="94"/>
      <c r="M11097" s="94"/>
    </row>
    <row r="11098" s="93" customFormat="1" spans="3:13">
      <c r="C11098" s="94"/>
      <c r="E11098" s="94"/>
      <c r="G11098" s="94"/>
      <c r="I11098" s="94"/>
      <c r="K11098" s="94"/>
      <c r="M11098" s="94"/>
    </row>
    <row r="11099" s="93" customFormat="1" spans="3:13">
      <c r="C11099" s="94"/>
      <c r="E11099" s="94"/>
      <c r="G11099" s="94"/>
      <c r="I11099" s="94"/>
      <c r="K11099" s="94"/>
      <c r="M11099" s="94"/>
    </row>
    <row r="11100" s="93" customFormat="1" spans="3:13">
      <c r="C11100" s="94"/>
      <c r="E11100" s="94"/>
      <c r="G11100" s="94"/>
      <c r="I11100" s="94"/>
      <c r="K11100" s="94"/>
      <c r="M11100" s="94"/>
    </row>
    <row r="11101" s="93" customFormat="1" spans="3:13">
      <c r="C11101" s="94"/>
      <c r="E11101" s="94"/>
      <c r="G11101" s="94"/>
      <c r="I11101" s="94"/>
      <c r="K11101" s="94"/>
      <c r="M11101" s="94"/>
    </row>
    <row r="11102" s="93" customFormat="1" spans="3:13">
      <c r="C11102" s="94"/>
      <c r="E11102" s="94"/>
      <c r="G11102" s="94"/>
      <c r="I11102" s="94"/>
      <c r="K11102" s="94"/>
      <c r="M11102" s="94"/>
    </row>
    <row r="11103" s="93" customFormat="1" spans="3:13">
      <c r="C11103" s="94"/>
      <c r="E11103" s="94"/>
      <c r="G11103" s="94"/>
      <c r="I11103" s="94"/>
      <c r="K11103" s="94"/>
      <c r="M11103" s="94"/>
    </row>
    <row r="11104" s="93" customFormat="1" spans="3:13">
      <c r="C11104" s="94"/>
      <c r="E11104" s="94"/>
      <c r="G11104" s="94"/>
      <c r="I11104" s="94"/>
      <c r="K11104" s="94"/>
      <c r="M11104" s="94"/>
    </row>
    <row r="11105" s="93" customFormat="1" spans="3:13">
      <c r="C11105" s="94"/>
      <c r="E11105" s="94"/>
      <c r="G11105" s="94"/>
      <c r="I11105" s="94"/>
      <c r="K11105" s="94"/>
      <c r="M11105" s="94"/>
    </row>
    <row r="11106" s="93" customFormat="1" spans="3:13">
      <c r="C11106" s="94"/>
      <c r="E11106" s="94"/>
      <c r="G11106" s="94"/>
      <c r="I11106" s="94"/>
      <c r="K11106" s="94"/>
      <c r="M11106" s="94"/>
    </row>
    <row r="11107" s="93" customFormat="1" spans="3:13">
      <c r="C11107" s="94"/>
      <c r="E11107" s="94"/>
      <c r="G11107" s="94"/>
      <c r="I11107" s="94"/>
      <c r="K11107" s="94"/>
      <c r="M11107" s="94"/>
    </row>
    <row r="11108" s="93" customFormat="1" spans="3:13">
      <c r="C11108" s="94"/>
      <c r="E11108" s="94"/>
      <c r="G11108" s="94"/>
      <c r="I11108" s="94"/>
      <c r="K11108" s="94"/>
      <c r="M11108" s="94"/>
    </row>
    <row r="11109" s="93" customFormat="1" spans="3:13">
      <c r="C11109" s="94"/>
      <c r="E11109" s="94"/>
      <c r="G11109" s="94"/>
      <c r="I11109" s="94"/>
      <c r="K11109" s="94"/>
      <c r="M11109" s="94"/>
    </row>
    <row r="11110" s="93" customFormat="1" spans="3:13">
      <c r="C11110" s="94"/>
      <c r="E11110" s="94"/>
      <c r="G11110" s="94"/>
      <c r="I11110" s="94"/>
      <c r="K11110" s="94"/>
      <c r="M11110" s="94"/>
    </row>
    <row r="11111" s="93" customFormat="1" spans="3:13">
      <c r="C11111" s="94"/>
      <c r="E11111" s="94"/>
      <c r="G11111" s="94"/>
      <c r="I11111" s="94"/>
      <c r="K11111" s="94"/>
      <c r="M11111" s="94"/>
    </row>
    <row r="11112" s="93" customFormat="1" spans="3:13">
      <c r="C11112" s="94"/>
      <c r="E11112" s="94"/>
      <c r="G11112" s="94"/>
      <c r="I11112" s="94"/>
      <c r="K11112" s="94"/>
      <c r="M11112" s="94"/>
    </row>
    <row r="11113" s="93" customFormat="1" spans="3:13">
      <c r="C11113" s="94"/>
      <c r="E11113" s="94"/>
      <c r="G11113" s="94"/>
      <c r="I11113" s="94"/>
      <c r="K11113" s="94"/>
      <c r="M11113" s="94"/>
    </row>
    <row r="11114" s="93" customFormat="1" spans="3:13">
      <c r="C11114" s="94"/>
      <c r="E11114" s="94"/>
      <c r="G11114" s="94"/>
      <c r="I11114" s="94"/>
      <c r="K11114" s="94"/>
      <c r="M11114" s="94"/>
    </row>
    <row r="11115" s="93" customFormat="1" spans="3:13">
      <c r="C11115" s="94"/>
      <c r="E11115" s="94"/>
      <c r="G11115" s="94"/>
      <c r="I11115" s="94"/>
      <c r="K11115" s="94"/>
      <c r="M11115" s="94"/>
    </row>
    <row r="11116" s="93" customFormat="1" spans="3:13">
      <c r="C11116" s="94"/>
      <c r="E11116" s="94"/>
      <c r="G11116" s="94"/>
      <c r="I11116" s="94"/>
      <c r="K11116" s="94"/>
      <c r="M11116" s="94"/>
    </row>
    <row r="11117" s="93" customFormat="1" spans="3:13">
      <c r="C11117" s="94"/>
      <c r="E11117" s="94"/>
      <c r="G11117" s="94"/>
      <c r="I11117" s="94"/>
      <c r="K11117" s="94"/>
      <c r="M11117" s="94"/>
    </row>
    <row r="11118" s="93" customFormat="1" spans="3:13">
      <c r="C11118" s="94"/>
      <c r="E11118" s="94"/>
      <c r="G11118" s="94"/>
      <c r="I11118" s="94"/>
      <c r="K11118" s="94"/>
      <c r="M11118" s="94"/>
    </row>
    <row r="11119" s="93" customFormat="1" spans="3:13">
      <c r="C11119" s="94"/>
      <c r="E11119" s="94"/>
      <c r="G11119" s="94"/>
      <c r="I11119" s="94"/>
      <c r="K11119" s="94"/>
      <c r="M11119" s="94"/>
    </row>
    <row r="11120" s="93" customFormat="1" spans="3:13">
      <c r="C11120" s="94"/>
      <c r="E11120" s="94"/>
      <c r="G11120" s="94"/>
      <c r="I11120" s="94"/>
      <c r="K11120" s="94"/>
      <c r="M11120" s="94"/>
    </row>
    <row r="11121" s="93" customFormat="1" spans="3:13">
      <c r="C11121" s="94"/>
      <c r="E11121" s="94"/>
      <c r="G11121" s="94"/>
      <c r="I11121" s="94"/>
      <c r="K11121" s="94"/>
      <c r="M11121" s="94"/>
    </row>
    <row r="11122" s="93" customFormat="1" spans="3:13">
      <c r="C11122" s="94"/>
      <c r="E11122" s="94"/>
      <c r="G11122" s="94"/>
      <c r="I11122" s="94"/>
      <c r="K11122" s="94"/>
      <c r="M11122" s="94"/>
    </row>
    <row r="11123" s="93" customFormat="1" spans="3:13">
      <c r="C11123" s="94"/>
      <c r="E11123" s="94"/>
      <c r="G11123" s="94"/>
      <c r="I11123" s="94"/>
      <c r="K11123" s="94"/>
      <c r="M11123" s="94"/>
    </row>
    <row r="11124" s="93" customFormat="1" spans="3:13">
      <c r="C11124" s="94"/>
      <c r="E11124" s="94"/>
      <c r="G11124" s="94"/>
      <c r="I11124" s="94"/>
      <c r="K11124" s="94"/>
      <c r="M11124" s="94"/>
    </row>
    <row r="11125" s="93" customFormat="1" spans="3:13">
      <c r="C11125" s="94"/>
      <c r="E11125" s="94"/>
      <c r="G11125" s="94"/>
      <c r="I11125" s="94"/>
      <c r="K11125" s="94"/>
      <c r="M11125" s="94"/>
    </row>
    <row r="11126" s="93" customFormat="1" spans="3:13">
      <c r="C11126" s="94"/>
      <c r="E11126" s="94"/>
      <c r="G11126" s="94"/>
      <c r="I11126" s="94"/>
      <c r="K11126" s="94"/>
      <c r="M11126" s="94"/>
    </row>
    <row r="11127" s="93" customFormat="1" spans="3:13">
      <c r="C11127" s="94"/>
      <c r="E11127" s="94"/>
      <c r="G11127" s="94"/>
      <c r="I11127" s="94"/>
      <c r="K11127" s="94"/>
      <c r="M11127" s="94"/>
    </row>
    <row r="11128" s="93" customFormat="1" spans="3:13">
      <c r="C11128" s="94"/>
      <c r="E11128" s="94"/>
      <c r="G11128" s="94"/>
      <c r="I11128" s="94"/>
      <c r="K11128" s="94"/>
      <c r="M11128" s="94"/>
    </row>
    <row r="11129" s="93" customFormat="1" spans="3:13">
      <c r="C11129" s="94"/>
      <c r="E11129" s="94"/>
      <c r="G11129" s="94"/>
      <c r="I11129" s="94"/>
      <c r="K11129" s="94"/>
      <c r="M11129" s="94"/>
    </row>
    <row r="11130" s="93" customFormat="1" spans="3:13">
      <c r="C11130" s="94"/>
      <c r="E11130" s="94"/>
      <c r="G11130" s="94"/>
      <c r="I11130" s="94"/>
      <c r="K11130" s="94"/>
      <c r="M11130" s="94"/>
    </row>
    <row r="11131" s="93" customFormat="1" spans="3:13">
      <c r="C11131" s="94"/>
      <c r="E11131" s="94"/>
      <c r="G11131" s="94"/>
      <c r="I11131" s="94"/>
      <c r="K11131" s="94"/>
      <c r="M11131" s="94"/>
    </row>
    <row r="11132" s="93" customFormat="1" spans="3:13">
      <c r="C11132" s="94"/>
      <c r="E11132" s="94"/>
      <c r="G11132" s="94"/>
      <c r="I11132" s="94"/>
      <c r="K11132" s="94"/>
      <c r="M11132" s="94"/>
    </row>
    <row r="11133" s="93" customFormat="1" spans="3:13">
      <c r="C11133" s="94"/>
      <c r="E11133" s="94"/>
      <c r="G11133" s="94"/>
      <c r="I11133" s="94"/>
      <c r="K11133" s="94"/>
      <c r="M11133" s="94"/>
    </row>
    <row r="11134" s="93" customFormat="1" spans="3:13">
      <c r="C11134" s="94"/>
      <c r="E11134" s="94"/>
      <c r="G11134" s="94"/>
      <c r="I11134" s="94"/>
      <c r="K11134" s="94"/>
      <c r="M11134" s="94"/>
    </row>
    <row r="11135" s="93" customFormat="1" spans="3:13">
      <c r="C11135" s="94"/>
      <c r="E11135" s="94"/>
      <c r="G11135" s="94"/>
      <c r="I11135" s="94"/>
      <c r="K11135" s="94"/>
      <c r="M11135" s="94"/>
    </row>
    <row r="11136" s="93" customFormat="1" spans="3:13">
      <c r="C11136" s="94"/>
      <c r="E11136" s="94"/>
      <c r="G11136" s="94"/>
      <c r="I11136" s="94"/>
      <c r="K11136" s="94"/>
      <c r="M11136" s="94"/>
    </row>
    <row r="11137" s="93" customFormat="1" spans="3:13">
      <c r="C11137" s="94"/>
      <c r="E11137" s="94"/>
      <c r="G11137" s="94"/>
      <c r="I11137" s="94"/>
      <c r="K11137" s="94"/>
      <c r="M11137" s="94"/>
    </row>
    <row r="11138" s="93" customFormat="1" spans="3:13">
      <c r="C11138" s="94"/>
      <c r="E11138" s="94"/>
      <c r="G11138" s="94"/>
      <c r="I11138" s="94"/>
      <c r="K11138" s="94"/>
      <c r="M11138" s="94"/>
    </row>
    <row r="11139" s="93" customFormat="1" spans="3:13">
      <c r="C11139" s="94"/>
      <c r="E11139" s="94"/>
      <c r="G11139" s="94"/>
      <c r="I11139" s="94"/>
      <c r="K11139" s="94"/>
      <c r="M11139" s="94"/>
    </row>
    <row r="11140" s="93" customFormat="1" spans="3:13">
      <c r="C11140" s="94"/>
      <c r="E11140" s="94"/>
      <c r="G11140" s="94"/>
      <c r="I11140" s="94"/>
      <c r="K11140" s="94"/>
      <c r="M11140" s="94"/>
    </row>
    <row r="11141" s="93" customFormat="1" spans="3:13">
      <c r="C11141" s="94"/>
      <c r="E11141" s="94"/>
      <c r="G11141" s="94"/>
      <c r="I11141" s="94"/>
      <c r="K11141" s="94"/>
      <c r="M11141" s="94"/>
    </row>
    <row r="11142" s="93" customFormat="1" spans="3:13">
      <c r="C11142" s="94"/>
      <c r="E11142" s="94"/>
      <c r="G11142" s="94"/>
      <c r="I11142" s="94"/>
      <c r="K11142" s="94"/>
      <c r="M11142" s="94"/>
    </row>
    <row r="11143" s="93" customFormat="1" spans="3:13">
      <c r="C11143" s="94"/>
      <c r="E11143" s="94"/>
      <c r="G11143" s="94"/>
      <c r="I11143" s="94"/>
      <c r="K11143" s="94"/>
      <c r="M11143" s="94"/>
    </row>
    <row r="11144" s="93" customFormat="1" spans="3:13">
      <c r="C11144" s="94"/>
      <c r="E11144" s="94"/>
      <c r="G11144" s="94"/>
      <c r="I11144" s="94"/>
      <c r="K11144" s="94"/>
      <c r="M11144" s="94"/>
    </row>
    <row r="11145" s="93" customFormat="1" spans="3:13">
      <c r="C11145" s="94"/>
      <c r="E11145" s="94"/>
      <c r="G11145" s="94"/>
      <c r="I11145" s="94"/>
      <c r="K11145" s="94"/>
      <c r="M11145" s="94"/>
    </row>
    <row r="11146" s="93" customFormat="1" spans="3:13">
      <c r="C11146" s="94"/>
      <c r="E11146" s="94"/>
      <c r="G11146" s="94"/>
      <c r="I11146" s="94"/>
      <c r="K11146" s="94"/>
      <c r="M11146" s="94"/>
    </row>
    <row r="11147" s="93" customFormat="1" spans="3:13">
      <c r="C11147" s="94"/>
      <c r="E11147" s="94"/>
      <c r="G11147" s="94"/>
      <c r="I11147" s="94"/>
      <c r="K11147" s="94"/>
      <c r="M11147" s="94"/>
    </row>
    <row r="11148" s="93" customFormat="1" spans="3:13">
      <c r="C11148" s="94"/>
      <c r="E11148" s="94"/>
      <c r="G11148" s="94"/>
      <c r="I11148" s="94"/>
      <c r="K11148" s="94"/>
      <c r="M11148" s="94"/>
    </row>
    <row r="11149" s="93" customFormat="1" spans="3:13">
      <c r="C11149" s="94"/>
      <c r="E11149" s="94"/>
      <c r="G11149" s="94"/>
      <c r="I11149" s="94"/>
      <c r="K11149" s="94"/>
      <c r="M11149" s="94"/>
    </row>
    <row r="11150" s="93" customFormat="1" spans="3:13">
      <c r="C11150" s="94"/>
      <c r="E11150" s="94"/>
      <c r="G11150" s="94"/>
      <c r="I11150" s="94"/>
      <c r="K11150" s="94"/>
      <c r="M11150" s="94"/>
    </row>
    <row r="11151" s="93" customFormat="1" spans="3:13">
      <c r="C11151" s="94"/>
      <c r="E11151" s="94"/>
      <c r="G11151" s="94"/>
      <c r="I11151" s="94"/>
      <c r="K11151" s="94"/>
      <c r="M11151" s="94"/>
    </row>
    <row r="11152" s="93" customFormat="1" spans="3:13">
      <c r="C11152" s="94"/>
      <c r="E11152" s="94"/>
      <c r="G11152" s="94"/>
      <c r="I11152" s="94"/>
      <c r="K11152" s="94"/>
      <c r="M11152" s="94"/>
    </row>
    <row r="11153" s="93" customFormat="1" spans="3:13">
      <c r="C11153" s="94"/>
      <c r="E11153" s="94"/>
      <c r="G11153" s="94"/>
      <c r="I11153" s="94"/>
      <c r="K11153" s="94"/>
      <c r="M11153" s="94"/>
    </row>
    <row r="11154" s="93" customFormat="1" spans="3:13">
      <c r="C11154" s="94"/>
      <c r="E11154" s="94"/>
      <c r="G11154" s="94"/>
      <c r="I11154" s="94"/>
      <c r="K11154" s="94"/>
      <c r="M11154" s="94"/>
    </row>
    <row r="11155" s="93" customFormat="1" spans="3:13">
      <c r="C11155" s="94"/>
      <c r="E11155" s="94"/>
      <c r="G11155" s="94"/>
      <c r="I11155" s="94"/>
      <c r="K11155" s="94"/>
      <c r="M11155" s="94"/>
    </row>
    <row r="11156" s="93" customFormat="1" spans="3:13">
      <c r="C11156" s="94"/>
      <c r="E11156" s="94"/>
      <c r="G11156" s="94"/>
      <c r="I11156" s="94"/>
      <c r="K11156" s="94"/>
      <c r="M11156" s="94"/>
    </row>
    <row r="11157" s="93" customFormat="1" spans="3:13">
      <c r="C11157" s="94"/>
      <c r="E11157" s="94"/>
      <c r="G11157" s="94"/>
      <c r="I11157" s="94"/>
      <c r="K11157" s="94"/>
      <c r="M11157" s="94"/>
    </row>
    <row r="11158" s="93" customFormat="1" spans="3:13">
      <c r="C11158" s="94"/>
      <c r="E11158" s="94"/>
      <c r="G11158" s="94"/>
      <c r="I11158" s="94"/>
      <c r="K11158" s="94"/>
      <c r="M11158" s="94"/>
    </row>
    <row r="11159" s="93" customFormat="1" spans="3:13">
      <c r="C11159" s="94"/>
      <c r="E11159" s="94"/>
      <c r="G11159" s="94"/>
      <c r="I11159" s="94"/>
      <c r="K11159" s="94"/>
      <c r="M11159" s="94"/>
    </row>
    <row r="11160" s="93" customFormat="1" spans="3:13">
      <c r="C11160" s="94"/>
      <c r="E11160" s="94"/>
      <c r="G11160" s="94"/>
      <c r="I11160" s="94"/>
      <c r="K11160" s="94"/>
      <c r="M11160" s="94"/>
    </row>
    <row r="11161" s="93" customFormat="1" spans="3:13">
      <c r="C11161" s="94"/>
      <c r="E11161" s="94"/>
      <c r="G11161" s="94"/>
      <c r="I11161" s="94"/>
      <c r="K11161" s="94"/>
      <c r="M11161" s="94"/>
    </row>
    <row r="11162" s="93" customFormat="1" spans="3:13">
      <c r="C11162" s="94"/>
      <c r="E11162" s="94"/>
      <c r="G11162" s="94"/>
      <c r="I11162" s="94"/>
      <c r="K11162" s="94"/>
      <c r="M11162" s="94"/>
    </row>
    <row r="11163" s="93" customFormat="1" spans="3:13">
      <c r="C11163" s="94"/>
      <c r="E11163" s="94"/>
      <c r="G11163" s="94"/>
      <c r="I11163" s="94"/>
      <c r="K11163" s="94"/>
      <c r="M11163" s="94"/>
    </row>
    <row r="11164" s="93" customFormat="1" spans="3:13">
      <c r="C11164" s="94"/>
      <c r="E11164" s="94"/>
      <c r="G11164" s="94"/>
      <c r="I11164" s="94"/>
      <c r="K11164" s="94"/>
      <c r="M11164" s="94"/>
    </row>
    <row r="11165" s="93" customFormat="1" spans="3:13">
      <c r="C11165" s="94"/>
      <c r="E11165" s="94"/>
      <c r="G11165" s="94"/>
      <c r="I11165" s="94"/>
      <c r="K11165" s="94"/>
      <c r="M11165" s="94"/>
    </row>
    <row r="11166" s="93" customFormat="1" spans="3:13">
      <c r="C11166" s="94"/>
      <c r="E11166" s="94"/>
      <c r="G11166" s="94"/>
      <c r="I11166" s="94"/>
      <c r="K11166" s="94"/>
      <c r="M11166" s="94"/>
    </row>
    <row r="11167" s="93" customFormat="1" spans="3:13">
      <c r="C11167" s="94"/>
      <c r="E11167" s="94"/>
      <c r="G11167" s="94"/>
      <c r="I11167" s="94"/>
      <c r="K11167" s="94"/>
      <c r="M11167" s="94"/>
    </row>
    <row r="11168" s="93" customFormat="1" spans="3:13">
      <c r="C11168" s="94"/>
      <c r="E11168" s="94"/>
      <c r="G11168" s="94"/>
      <c r="I11168" s="94"/>
      <c r="K11168" s="94"/>
      <c r="M11168" s="94"/>
    </row>
    <row r="11169" s="93" customFormat="1" spans="3:13">
      <c r="C11169" s="94"/>
      <c r="E11169" s="94"/>
      <c r="G11169" s="94"/>
      <c r="I11169" s="94"/>
      <c r="K11169" s="94"/>
      <c r="M11169" s="94"/>
    </row>
    <row r="11170" s="93" customFormat="1" spans="3:13">
      <c r="C11170" s="94"/>
      <c r="E11170" s="94"/>
      <c r="G11170" s="94"/>
      <c r="I11170" s="94"/>
      <c r="K11170" s="94"/>
      <c r="M11170" s="94"/>
    </row>
    <row r="11171" s="93" customFormat="1" spans="3:13">
      <c r="C11171" s="94"/>
      <c r="E11171" s="94"/>
      <c r="G11171" s="94"/>
      <c r="I11171" s="94"/>
      <c r="K11171" s="94"/>
      <c r="M11171" s="94"/>
    </row>
    <row r="11172" s="93" customFormat="1" spans="3:13">
      <c r="C11172" s="94"/>
      <c r="E11172" s="94"/>
      <c r="G11172" s="94"/>
      <c r="I11172" s="94"/>
      <c r="K11172" s="94"/>
      <c r="M11172" s="94"/>
    </row>
    <row r="11173" s="93" customFormat="1" spans="3:13">
      <c r="C11173" s="94"/>
      <c r="E11173" s="94"/>
      <c r="G11173" s="94"/>
      <c r="I11173" s="94"/>
      <c r="K11173" s="94"/>
      <c r="M11173" s="94"/>
    </row>
    <row r="11174" s="93" customFormat="1" spans="3:13">
      <c r="C11174" s="94"/>
      <c r="E11174" s="94"/>
      <c r="G11174" s="94"/>
      <c r="I11174" s="94"/>
      <c r="K11174" s="94"/>
      <c r="M11174" s="94"/>
    </row>
    <row r="11175" s="93" customFormat="1" spans="3:13">
      <c r="C11175" s="94"/>
      <c r="E11175" s="94"/>
      <c r="G11175" s="94"/>
      <c r="I11175" s="94"/>
      <c r="K11175" s="94"/>
      <c r="M11175" s="94"/>
    </row>
    <row r="11176" s="93" customFormat="1" spans="3:13">
      <c r="C11176" s="94"/>
      <c r="E11176" s="94"/>
      <c r="G11176" s="94"/>
      <c r="I11176" s="94"/>
      <c r="K11176" s="94"/>
      <c r="M11176" s="94"/>
    </row>
    <row r="11177" s="93" customFormat="1" spans="3:13">
      <c r="C11177" s="94"/>
      <c r="E11177" s="94"/>
      <c r="G11177" s="94"/>
      <c r="I11177" s="94"/>
      <c r="K11177" s="94"/>
      <c r="M11177" s="94"/>
    </row>
    <row r="11178" s="93" customFormat="1" spans="3:13">
      <c r="C11178" s="94"/>
      <c r="E11178" s="94"/>
      <c r="G11178" s="94"/>
      <c r="I11178" s="94"/>
      <c r="K11178" s="94"/>
      <c r="M11178" s="94"/>
    </row>
    <row r="11179" s="93" customFormat="1" spans="3:13">
      <c r="C11179" s="94"/>
      <c r="E11179" s="94"/>
      <c r="G11179" s="94"/>
      <c r="I11179" s="94"/>
      <c r="K11179" s="94"/>
      <c r="M11179" s="94"/>
    </row>
    <row r="11180" s="93" customFormat="1" spans="3:13">
      <c r="C11180" s="94"/>
      <c r="E11180" s="94"/>
      <c r="G11180" s="94"/>
      <c r="I11180" s="94"/>
      <c r="K11180" s="94"/>
      <c r="M11180" s="94"/>
    </row>
    <row r="11181" s="93" customFormat="1" spans="3:13">
      <c r="C11181" s="94"/>
      <c r="E11181" s="94"/>
      <c r="G11181" s="94"/>
      <c r="I11181" s="94"/>
      <c r="K11181" s="94"/>
      <c r="M11181" s="94"/>
    </row>
    <row r="11182" s="93" customFormat="1" spans="3:13">
      <c r="C11182" s="94"/>
      <c r="E11182" s="94"/>
      <c r="G11182" s="94"/>
      <c r="I11182" s="94"/>
      <c r="K11182" s="94"/>
      <c r="M11182" s="94"/>
    </row>
    <row r="11183" s="93" customFormat="1" spans="3:13">
      <c r="C11183" s="94"/>
      <c r="E11183" s="94"/>
      <c r="G11183" s="94"/>
      <c r="I11183" s="94"/>
      <c r="K11183" s="94"/>
      <c r="M11183" s="94"/>
    </row>
    <row r="11184" s="93" customFormat="1" spans="3:13">
      <c r="C11184" s="94"/>
      <c r="E11184" s="94"/>
      <c r="G11184" s="94"/>
      <c r="I11184" s="94"/>
      <c r="K11184" s="94"/>
      <c r="M11184" s="94"/>
    </row>
    <row r="11185" s="93" customFormat="1" spans="3:13">
      <c r="C11185" s="94"/>
      <c r="E11185" s="94"/>
      <c r="G11185" s="94"/>
      <c r="I11185" s="94"/>
      <c r="K11185" s="94"/>
      <c r="M11185" s="94"/>
    </row>
    <row r="11186" s="93" customFormat="1" spans="3:13">
      <c r="C11186" s="94"/>
      <c r="E11186" s="94"/>
      <c r="G11186" s="94"/>
      <c r="I11186" s="94"/>
      <c r="K11186" s="94"/>
      <c r="M11186" s="94"/>
    </row>
    <row r="11187" s="93" customFormat="1" spans="3:13">
      <c r="C11187" s="94"/>
      <c r="E11187" s="94"/>
      <c r="G11187" s="94"/>
      <c r="I11187" s="94"/>
      <c r="K11187" s="94"/>
      <c r="M11187" s="94"/>
    </row>
    <row r="11188" s="93" customFormat="1" spans="3:13">
      <c r="C11188" s="94"/>
      <c r="E11188" s="94"/>
      <c r="G11188" s="94"/>
      <c r="I11188" s="94"/>
      <c r="K11188" s="94"/>
      <c r="M11188" s="94"/>
    </row>
    <row r="11189" s="93" customFormat="1" spans="3:13">
      <c r="C11189" s="94"/>
      <c r="E11189" s="94"/>
      <c r="G11189" s="94"/>
      <c r="I11189" s="94"/>
      <c r="K11189" s="94"/>
      <c r="M11189" s="94"/>
    </row>
    <row r="11190" s="93" customFormat="1" spans="3:13">
      <c r="C11190" s="94"/>
      <c r="E11190" s="94"/>
      <c r="G11190" s="94"/>
      <c r="I11190" s="94"/>
      <c r="K11190" s="94"/>
      <c r="M11190" s="94"/>
    </row>
    <row r="11191" s="93" customFormat="1" spans="3:13">
      <c r="C11191" s="94"/>
      <c r="E11191" s="94"/>
      <c r="G11191" s="94"/>
      <c r="I11191" s="94"/>
      <c r="K11191" s="94"/>
      <c r="M11191" s="94"/>
    </row>
    <row r="11192" s="93" customFormat="1" spans="3:13">
      <c r="C11192" s="94"/>
      <c r="E11192" s="94"/>
      <c r="G11192" s="94"/>
      <c r="I11192" s="94"/>
      <c r="K11192" s="94"/>
      <c r="M11192" s="94"/>
    </row>
    <row r="11193" s="93" customFormat="1" spans="3:13">
      <c r="C11193" s="94"/>
      <c r="E11193" s="94"/>
      <c r="G11193" s="94"/>
      <c r="I11193" s="94"/>
      <c r="K11193" s="94"/>
      <c r="M11193" s="94"/>
    </row>
    <row r="11194" s="93" customFormat="1" spans="3:13">
      <c r="C11194" s="94"/>
      <c r="E11194" s="94"/>
      <c r="G11194" s="94"/>
      <c r="I11194" s="94"/>
      <c r="K11194" s="94"/>
      <c r="M11194" s="94"/>
    </row>
    <row r="11195" s="93" customFormat="1" spans="3:13">
      <c r="C11195" s="94"/>
      <c r="E11195" s="94"/>
      <c r="G11195" s="94"/>
      <c r="I11195" s="94"/>
      <c r="K11195" s="94"/>
      <c r="M11195" s="94"/>
    </row>
    <row r="11196" s="93" customFormat="1" spans="3:13">
      <c r="C11196" s="94"/>
      <c r="E11196" s="94"/>
      <c r="G11196" s="94"/>
      <c r="I11196" s="94"/>
      <c r="K11196" s="94"/>
      <c r="M11196" s="94"/>
    </row>
    <row r="11197" s="93" customFormat="1" spans="3:13">
      <c r="C11197" s="94"/>
      <c r="E11197" s="94"/>
      <c r="G11197" s="94"/>
      <c r="I11197" s="94"/>
      <c r="K11197" s="94"/>
      <c r="M11197" s="94"/>
    </row>
    <row r="11198" s="93" customFormat="1" spans="3:13">
      <c r="C11198" s="94"/>
      <c r="E11198" s="94"/>
      <c r="G11198" s="94"/>
      <c r="I11198" s="94"/>
      <c r="K11198" s="94"/>
      <c r="M11198" s="94"/>
    </row>
    <row r="11199" s="93" customFormat="1" spans="3:13">
      <c r="C11199" s="94"/>
      <c r="E11199" s="94"/>
      <c r="G11199" s="94"/>
      <c r="I11199" s="94"/>
      <c r="K11199" s="94"/>
      <c r="M11199" s="94"/>
    </row>
    <row r="11200" s="93" customFormat="1" spans="3:13">
      <c r="C11200" s="94"/>
      <c r="E11200" s="94"/>
      <c r="G11200" s="94"/>
      <c r="I11200" s="94"/>
      <c r="K11200" s="94"/>
      <c r="M11200" s="94"/>
    </row>
    <row r="11201" s="93" customFormat="1" spans="3:13">
      <c r="C11201" s="94"/>
      <c r="E11201" s="94"/>
      <c r="G11201" s="94"/>
      <c r="I11201" s="94"/>
      <c r="K11201" s="94"/>
      <c r="M11201" s="94"/>
    </row>
    <row r="11202" s="93" customFormat="1" spans="3:13">
      <c r="C11202" s="94"/>
      <c r="E11202" s="94"/>
      <c r="G11202" s="94"/>
      <c r="I11202" s="94"/>
      <c r="K11202" s="94"/>
      <c r="M11202" s="94"/>
    </row>
    <row r="11203" s="93" customFormat="1" spans="3:13">
      <c r="C11203" s="94"/>
      <c r="E11203" s="94"/>
      <c r="G11203" s="94"/>
      <c r="I11203" s="94"/>
      <c r="K11203" s="94"/>
      <c r="M11203" s="94"/>
    </row>
    <row r="11204" s="93" customFormat="1" spans="3:13">
      <c r="C11204" s="94"/>
      <c r="E11204" s="94"/>
      <c r="G11204" s="94"/>
      <c r="I11204" s="94"/>
      <c r="K11204" s="94"/>
      <c r="M11204" s="94"/>
    </row>
    <row r="11205" s="93" customFormat="1" spans="3:13">
      <c r="C11205" s="94"/>
      <c r="E11205" s="94"/>
      <c r="G11205" s="94"/>
      <c r="I11205" s="94"/>
      <c r="K11205" s="94"/>
      <c r="M11205" s="94"/>
    </row>
    <row r="11206" s="93" customFormat="1" spans="3:13">
      <c r="C11206" s="94"/>
      <c r="E11206" s="94"/>
      <c r="G11206" s="94"/>
      <c r="I11206" s="94"/>
      <c r="K11206" s="94"/>
      <c r="M11206" s="94"/>
    </row>
    <row r="11207" s="93" customFormat="1" spans="3:13">
      <c r="C11207" s="94"/>
      <c r="E11207" s="94"/>
      <c r="G11207" s="94"/>
      <c r="I11207" s="94"/>
      <c r="K11207" s="94"/>
      <c r="M11207" s="94"/>
    </row>
    <row r="11208" s="93" customFormat="1" spans="3:13">
      <c r="C11208" s="94"/>
      <c r="E11208" s="94"/>
      <c r="G11208" s="94"/>
      <c r="I11208" s="94"/>
      <c r="K11208" s="94"/>
      <c r="M11208" s="94"/>
    </row>
    <row r="11209" s="93" customFormat="1" spans="3:13">
      <c r="C11209" s="94"/>
      <c r="E11209" s="94"/>
      <c r="G11209" s="94"/>
      <c r="I11209" s="94"/>
      <c r="K11209" s="94"/>
      <c r="M11209" s="94"/>
    </row>
    <row r="11210" s="93" customFormat="1" spans="3:13">
      <c r="C11210" s="94"/>
      <c r="E11210" s="94"/>
      <c r="G11210" s="94"/>
      <c r="I11210" s="94"/>
      <c r="K11210" s="94"/>
      <c r="M11210" s="94"/>
    </row>
    <row r="11211" s="93" customFormat="1" spans="3:13">
      <c r="C11211" s="94"/>
      <c r="E11211" s="94"/>
      <c r="G11211" s="94"/>
      <c r="I11211" s="94"/>
      <c r="K11211" s="94"/>
      <c r="M11211" s="94"/>
    </row>
    <row r="11212" s="93" customFormat="1" spans="3:13">
      <c r="C11212" s="94"/>
      <c r="E11212" s="94"/>
      <c r="G11212" s="94"/>
      <c r="I11212" s="94"/>
      <c r="K11212" s="94"/>
      <c r="M11212" s="94"/>
    </row>
    <row r="11213" s="93" customFormat="1" spans="3:13">
      <c r="C11213" s="94"/>
      <c r="E11213" s="94"/>
      <c r="G11213" s="94"/>
      <c r="I11213" s="94"/>
      <c r="K11213" s="94"/>
      <c r="M11213" s="94"/>
    </row>
    <row r="11214" s="93" customFormat="1" spans="3:13">
      <c r="C11214" s="94"/>
      <c r="E11214" s="94"/>
      <c r="G11214" s="94"/>
      <c r="I11214" s="94"/>
      <c r="K11214" s="94"/>
      <c r="M11214" s="94"/>
    </row>
    <row r="11215" s="93" customFormat="1" spans="3:13">
      <c r="C11215" s="94"/>
      <c r="E11215" s="94"/>
      <c r="G11215" s="94"/>
      <c r="I11215" s="94"/>
      <c r="K11215" s="94"/>
      <c r="M11215" s="94"/>
    </row>
    <row r="11216" s="93" customFormat="1" spans="3:13">
      <c r="C11216" s="94"/>
      <c r="E11216" s="94"/>
      <c r="G11216" s="94"/>
      <c r="I11216" s="94"/>
      <c r="K11216" s="94"/>
      <c r="M11216" s="94"/>
    </row>
    <row r="11217" s="93" customFormat="1" spans="3:13">
      <c r="C11217" s="94"/>
      <c r="E11217" s="94"/>
      <c r="G11217" s="94"/>
      <c r="I11217" s="94"/>
      <c r="K11217" s="94"/>
      <c r="M11217" s="94"/>
    </row>
    <row r="11218" s="93" customFormat="1" spans="3:13">
      <c r="C11218" s="94"/>
      <c r="E11218" s="94"/>
      <c r="G11218" s="94"/>
      <c r="I11218" s="94"/>
      <c r="K11218" s="94"/>
      <c r="M11218" s="94"/>
    </row>
    <row r="11219" s="93" customFormat="1" spans="3:13">
      <c r="C11219" s="94"/>
      <c r="E11219" s="94"/>
      <c r="G11219" s="94"/>
      <c r="I11219" s="94"/>
      <c r="K11219" s="94"/>
      <c r="M11219" s="94"/>
    </row>
    <row r="11220" s="93" customFormat="1" spans="3:13">
      <c r="C11220" s="94"/>
      <c r="E11220" s="94"/>
      <c r="G11220" s="94"/>
      <c r="I11220" s="94"/>
      <c r="K11220" s="94"/>
      <c r="M11220" s="94"/>
    </row>
    <row r="11221" s="93" customFormat="1" spans="3:13">
      <c r="C11221" s="94"/>
      <c r="E11221" s="94"/>
      <c r="G11221" s="94"/>
      <c r="I11221" s="94"/>
      <c r="K11221" s="94"/>
      <c r="M11221" s="94"/>
    </row>
    <row r="11222" s="93" customFormat="1" spans="3:13">
      <c r="C11222" s="94"/>
      <c r="E11222" s="94"/>
      <c r="G11222" s="94"/>
      <c r="I11222" s="94"/>
      <c r="K11222" s="94"/>
      <c r="M11222" s="94"/>
    </row>
    <row r="11223" s="93" customFormat="1" spans="3:13">
      <c r="C11223" s="94"/>
      <c r="E11223" s="94"/>
      <c r="G11223" s="94"/>
      <c r="I11223" s="94"/>
      <c r="K11223" s="94"/>
      <c r="M11223" s="94"/>
    </row>
    <row r="11224" s="93" customFormat="1" spans="3:13">
      <c r="C11224" s="94"/>
      <c r="E11224" s="94"/>
      <c r="G11224" s="94"/>
      <c r="I11224" s="94"/>
      <c r="K11224" s="94"/>
      <c r="M11224" s="94"/>
    </row>
    <row r="11225" s="93" customFormat="1" spans="3:13">
      <c r="C11225" s="94"/>
      <c r="E11225" s="94"/>
      <c r="G11225" s="94"/>
      <c r="I11225" s="94"/>
      <c r="K11225" s="94"/>
      <c r="M11225" s="94"/>
    </row>
    <row r="11226" s="93" customFormat="1" spans="3:13">
      <c r="C11226" s="94"/>
      <c r="E11226" s="94"/>
      <c r="G11226" s="94"/>
      <c r="I11226" s="94"/>
      <c r="K11226" s="94"/>
      <c r="M11226" s="94"/>
    </row>
    <row r="11227" s="93" customFormat="1" spans="3:13">
      <c r="C11227" s="94"/>
      <c r="E11227" s="94"/>
      <c r="G11227" s="94"/>
      <c r="I11227" s="94"/>
      <c r="K11227" s="94"/>
      <c r="M11227" s="94"/>
    </row>
    <row r="11228" s="93" customFormat="1" spans="3:13">
      <c r="C11228" s="94"/>
      <c r="E11228" s="94"/>
      <c r="G11228" s="94"/>
      <c r="I11228" s="94"/>
      <c r="K11228" s="94"/>
      <c r="M11228" s="94"/>
    </row>
    <row r="11229" s="93" customFormat="1" spans="3:13">
      <c r="C11229" s="94"/>
      <c r="E11229" s="94"/>
      <c r="G11229" s="94"/>
      <c r="I11229" s="94"/>
      <c r="K11229" s="94"/>
      <c r="M11229" s="94"/>
    </row>
    <row r="11230" s="93" customFormat="1" spans="3:13">
      <c r="C11230" s="94"/>
      <c r="E11230" s="94"/>
      <c r="G11230" s="94"/>
      <c r="I11230" s="94"/>
      <c r="K11230" s="94"/>
      <c r="M11230" s="94"/>
    </row>
    <row r="11231" s="93" customFormat="1" spans="3:13">
      <c r="C11231" s="94"/>
      <c r="E11231" s="94"/>
      <c r="G11231" s="94"/>
      <c r="I11231" s="94"/>
      <c r="K11231" s="94"/>
      <c r="M11231" s="94"/>
    </row>
    <row r="11232" s="93" customFormat="1" spans="3:13">
      <c r="C11232" s="94"/>
      <c r="E11232" s="94"/>
      <c r="G11232" s="94"/>
      <c r="I11232" s="94"/>
      <c r="K11232" s="94"/>
      <c r="M11232" s="94"/>
    </row>
    <row r="11233" s="93" customFormat="1" spans="3:13">
      <c r="C11233" s="94"/>
      <c r="E11233" s="94"/>
      <c r="G11233" s="94"/>
      <c r="I11233" s="94"/>
      <c r="K11233" s="94"/>
      <c r="M11233" s="94"/>
    </row>
    <row r="11234" s="93" customFormat="1" spans="3:13">
      <c r="C11234" s="94"/>
      <c r="E11234" s="94"/>
      <c r="G11234" s="94"/>
      <c r="I11234" s="94"/>
      <c r="K11234" s="94"/>
      <c r="M11234" s="94"/>
    </row>
    <row r="11235" s="93" customFormat="1" spans="3:13">
      <c r="C11235" s="94"/>
      <c r="E11235" s="94"/>
      <c r="G11235" s="94"/>
      <c r="I11235" s="94"/>
      <c r="K11235" s="94"/>
      <c r="M11235" s="94"/>
    </row>
    <row r="11236" s="93" customFormat="1" spans="3:13">
      <c r="C11236" s="94"/>
      <c r="E11236" s="94"/>
      <c r="G11236" s="94"/>
      <c r="I11236" s="94"/>
      <c r="K11236" s="94"/>
      <c r="M11236" s="94"/>
    </row>
    <row r="11237" s="93" customFormat="1" spans="3:13">
      <c r="C11237" s="94"/>
      <c r="E11237" s="94"/>
      <c r="G11237" s="94"/>
      <c r="I11237" s="94"/>
      <c r="K11237" s="94"/>
      <c r="M11237" s="94"/>
    </row>
    <row r="11238" s="93" customFormat="1" spans="3:13">
      <c r="C11238" s="94"/>
      <c r="E11238" s="94"/>
      <c r="G11238" s="94"/>
      <c r="I11238" s="94"/>
      <c r="K11238" s="94"/>
      <c r="M11238" s="94"/>
    </row>
    <row r="11239" s="93" customFormat="1" spans="3:13">
      <c r="C11239" s="94"/>
      <c r="E11239" s="94"/>
      <c r="G11239" s="94"/>
      <c r="I11239" s="94"/>
      <c r="K11239" s="94"/>
      <c r="M11239" s="94"/>
    </row>
    <row r="11240" s="93" customFormat="1" spans="3:13">
      <c r="C11240" s="94"/>
      <c r="E11240" s="94"/>
      <c r="G11240" s="94"/>
      <c r="I11240" s="94"/>
      <c r="K11240" s="94"/>
      <c r="M11240" s="94"/>
    </row>
    <row r="11241" s="93" customFormat="1" spans="3:13">
      <c r="C11241" s="94"/>
      <c r="E11241" s="94"/>
      <c r="G11241" s="94"/>
      <c r="I11241" s="94"/>
      <c r="K11241" s="94"/>
      <c r="M11241" s="94"/>
    </row>
    <row r="11242" s="93" customFormat="1" spans="3:13">
      <c r="C11242" s="94"/>
      <c r="E11242" s="94"/>
      <c r="G11242" s="94"/>
      <c r="I11242" s="94"/>
      <c r="K11242" s="94"/>
      <c r="M11242" s="94"/>
    </row>
    <row r="11243" s="93" customFormat="1" spans="3:13">
      <c r="C11243" s="94"/>
      <c r="E11243" s="94"/>
      <c r="G11243" s="94"/>
      <c r="I11243" s="94"/>
      <c r="K11243" s="94"/>
      <c r="M11243" s="94"/>
    </row>
    <row r="11244" s="93" customFormat="1" spans="3:13">
      <c r="C11244" s="94"/>
      <c r="E11244" s="94"/>
      <c r="G11244" s="94"/>
      <c r="I11244" s="94"/>
      <c r="K11244" s="94"/>
      <c r="M11244" s="94"/>
    </row>
    <row r="11245" s="93" customFormat="1" spans="3:13">
      <c r="C11245" s="94"/>
      <c r="E11245" s="94"/>
      <c r="G11245" s="94"/>
      <c r="I11245" s="94"/>
      <c r="K11245" s="94"/>
      <c r="M11245" s="94"/>
    </row>
    <row r="11246" s="93" customFormat="1" spans="3:13">
      <c r="C11246" s="94"/>
      <c r="E11246" s="94"/>
      <c r="G11246" s="94"/>
      <c r="I11246" s="94"/>
      <c r="K11246" s="94"/>
      <c r="M11246" s="94"/>
    </row>
    <row r="11247" s="93" customFormat="1" spans="3:13">
      <c r="C11247" s="94"/>
      <c r="E11247" s="94"/>
      <c r="G11247" s="94"/>
      <c r="I11247" s="94"/>
      <c r="K11247" s="94"/>
      <c r="M11247" s="94"/>
    </row>
    <row r="11248" s="93" customFormat="1" spans="3:13">
      <c r="C11248" s="94"/>
      <c r="E11248" s="94"/>
      <c r="G11248" s="94"/>
      <c r="I11248" s="94"/>
      <c r="K11248" s="94"/>
      <c r="M11248" s="94"/>
    </row>
    <row r="11249" s="93" customFormat="1" spans="3:13">
      <c r="C11249" s="94"/>
      <c r="E11249" s="94"/>
      <c r="G11249" s="94"/>
      <c r="I11249" s="94"/>
      <c r="K11249" s="94"/>
      <c r="M11249" s="94"/>
    </row>
    <row r="11250" s="93" customFormat="1" spans="3:13">
      <c r="C11250" s="94"/>
      <c r="E11250" s="94"/>
      <c r="G11250" s="94"/>
      <c r="I11250" s="94"/>
      <c r="K11250" s="94"/>
      <c r="M11250" s="94"/>
    </row>
    <row r="11251" s="93" customFormat="1" spans="3:13">
      <c r="C11251" s="94"/>
      <c r="E11251" s="94"/>
      <c r="G11251" s="94"/>
      <c r="I11251" s="94"/>
      <c r="K11251" s="94"/>
      <c r="M11251" s="94"/>
    </row>
    <row r="11252" s="93" customFormat="1" spans="3:13">
      <c r="C11252" s="94"/>
      <c r="E11252" s="94"/>
      <c r="G11252" s="94"/>
      <c r="I11252" s="94"/>
      <c r="K11252" s="94"/>
      <c r="M11252" s="94"/>
    </row>
    <row r="11253" s="93" customFormat="1" spans="3:13">
      <c r="C11253" s="94"/>
      <c r="E11253" s="94"/>
      <c r="G11253" s="94"/>
      <c r="I11253" s="94"/>
      <c r="K11253" s="94"/>
      <c r="M11253" s="94"/>
    </row>
    <row r="11254" s="93" customFormat="1" spans="3:13">
      <c r="C11254" s="94"/>
      <c r="E11254" s="94"/>
      <c r="G11254" s="94"/>
      <c r="I11254" s="94"/>
      <c r="K11254" s="94"/>
      <c r="M11254" s="94"/>
    </row>
    <row r="11255" s="93" customFormat="1" spans="3:13">
      <c r="C11255" s="94"/>
      <c r="E11255" s="94"/>
      <c r="G11255" s="94"/>
      <c r="I11255" s="94"/>
      <c r="K11255" s="94"/>
      <c r="M11255" s="94"/>
    </row>
    <row r="11256" s="93" customFormat="1" spans="3:13">
      <c r="C11256" s="94"/>
      <c r="E11256" s="94"/>
      <c r="G11256" s="94"/>
      <c r="I11256" s="94"/>
      <c r="K11256" s="94"/>
      <c r="M11256" s="94"/>
    </row>
    <row r="11257" s="93" customFormat="1" spans="3:13">
      <c r="C11257" s="94"/>
      <c r="E11257" s="94"/>
      <c r="G11257" s="94"/>
      <c r="I11257" s="94"/>
      <c r="K11257" s="94"/>
      <c r="M11257" s="94"/>
    </row>
    <row r="11258" s="93" customFormat="1" spans="3:13">
      <c r="C11258" s="94"/>
      <c r="E11258" s="94"/>
      <c r="G11258" s="94"/>
      <c r="I11258" s="94"/>
      <c r="K11258" s="94"/>
      <c r="M11258" s="94"/>
    </row>
    <row r="11259" s="93" customFormat="1" spans="3:13">
      <c r="C11259" s="94"/>
      <c r="E11259" s="94"/>
      <c r="G11259" s="94"/>
      <c r="I11259" s="94"/>
      <c r="K11259" s="94"/>
      <c r="M11259" s="94"/>
    </row>
    <row r="11260" s="93" customFormat="1" spans="3:13">
      <c r="C11260" s="94"/>
      <c r="E11260" s="94"/>
      <c r="G11260" s="94"/>
      <c r="I11260" s="94"/>
      <c r="K11260" s="94"/>
      <c r="M11260" s="94"/>
    </row>
    <row r="11261" s="93" customFormat="1" spans="3:13">
      <c r="C11261" s="94"/>
      <c r="E11261" s="94"/>
      <c r="G11261" s="94"/>
      <c r="I11261" s="94"/>
      <c r="K11261" s="94"/>
      <c r="M11261" s="94"/>
    </row>
    <row r="11262" s="93" customFormat="1" spans="3:13">
      <c r="C11262" s="94"/>
      <c r="E11262" s="94"/>
      <c r="G11262" s="94"/>
      <c r="I11262" s="94"/>
      <c r="K11262" s="94"/>
      <c r="M11262" s="94"/>
    </row>
    <row r="11263" s="93" customFormat="1" spans="3:13">
      <c r="C11263" s="94"/>
      <c r="E11263" s="94"/>
      <c r="G11263" s="94"/>
      <c r="I11263" s="94"/>
      <c r="K11263" s="94"/>
      <c r="M11263" s="94"/>
    </row>
    <row r="11264" s="93" customFormat="1" spans="3:13">
      <c r="C11264" s="94"/>
      <c r="E11264" s="94"/>
      <c r="G11264" s="94"/>
      <c r="I11264" s="94"/>
      <c r="K11264" s="94"/>
      <c r="M11264" s="94"/>
    </row>
    <row r="11265" s="93" customFormat="1" spans="3:13">
      <c r="C11265" s="94"/>
      <c r="E11265" s="94"/>
      <c r="G11265" s="94"/>
      <c r="I11265" s="94"/>
      <c r="K11265" s="94"/>
      <c r="M11265" s="94"/>
    </row>
    <row r="11266" s="93" customFormat="1" spans="3:13">
      <c r="C11266" s="94"/>
      <c r="E11266" s="94"/>
      <c r="G11266" s="94"/>
      <c r="I11266" s="94"/>
      <c r="K11266" s="94"/>
      <c r="M11266" s="94"/>
    </row>
    <row r="11267" s="93" customFormat="1" spans="3:13">
      <c r="C11267" s="94"/>
      <c r="E11267" s="94"/>
      <c r="G11267" s="94"/>
      <c r="I11267" s="94"/>
      <c r="K11267" s="94"/>
      <c r="M11267" s="94"/>
    </row>
    <row r="11268" s="93" customFormat="1" spans="3:13">
      <c r="C11268" s="94"/>
      <c r="E11268" s="94"/>
      <c r="G11268" s="94"/>
      <c r="I11268" s="94"/>
      <c r="K11268" s="94"/>
      <c r="M11268" s="94"/>
    </row>
    <row r="11269" s="93" customFormat="1" spans="3:13">
      <c r="C11269" s="94"/>
      <c r="E11269" s="94"/>
      <c r="G11269" s="94"/>
      <c r="I11269" s="94"/>
      <c r="K11269" s="94"/>
      <c r="M11269" s="94"/>
    </row>
    <row r="11270" s="93" customFormat="1" spans="3:13">
      <c r="C11270" s="94"/>
      <c r="E11270" s="94"/>
      <c r="G11270" s="94"/>
      <c r="I11270" s="94"/>
      <c r="K11270" s="94"/>
      <c r="M11270" s="94"/>
    </row>
    <row r="11271" s="93" customFormat="1" spans="3:13">
      <c r="C11271" s="94"/>
      <c r="E11271" s="94"/>
      <c r="G11271" s="94"/>
      <c r="I11271" s="94"/>
      <c r="K11271" s="94"/>
      <c r="M11271" s="94"/>
    </row>
    <row r="11272" s="93" customFormat="1" spans="3:13">
      <c r="C11272" s="94"/>
      <c r="E11272" s="94"/>
      <c r="G11272" s="94"/>
      <c r="I11272" s="94"/>
      <c r="K11272" s="94"/>
      <c r="M11272" s="94"/>
    </row>
    <row r="11273" s="93" customFormat="1" spans="3:13">
      <c r="C11273" s="94"/>
      <c r="E11273" s="94"/>
      <c r="G11273" s="94"/>
      <c r="I11273" s="94"/>
      <c r="K11273" s="94"/>
      <c r="M11273" s="94"/>
    </row>
    <row r="11274" s="93" customFormat="1" spans="3:13">
      <c r="C11274" s="94"/>
      <c r="E11274" s="94"/>
      <c r="G11274" s="94"/>
      <c r="I11274" s="94"/>
      <c r="K11274" s="94"/>
      <c r="M11274" s="94"/>
    </row>
    <row r="11275" s="93" customFormat="1" spans="3:13">
      <c r="C11275" s="94"/>
      <c r="E11275" s="94"/>
      <c r="G11275" s="94"/>
      <c r="I11275" s="94"/>
      <c r="K11275" s="94"/>
      <c r="M11275" s="94"/>
    </row>
    <row r="11276" s="93" customFormat="1" spans="3:13">
      <c r="C11276" s="94"/>
      <c r="E11276" s="94"/>
      <c r="G11276" s="94"/>
      <c r="I11276" s="94"/>
      <c r="K11276" s="94"/>
      <c r="M11276" s="94"/>
    </row>
    <row r="11277" s="93" customFormat="1" spans="3:13">
      <c r="C11277" s="94"/>
      <c r="E11277" s="94"/>
      <c r="G11277" s="94"/>
      <c r="I11277" s="94"/>
      <c r="K11277" s="94"/>
      <c r="M11277" s="94"/>
    </row>
    <row r="11278" s="93" customFormat="1" spans="3:13">
      <c r="C11278" s="94"/>
      <c r="E11278" s="94"/>
      <c r="G11278" s="94"/>
      <c r="I11278" s="94"/>
      <c r="K11278" s="94"/>
      <c r="M11278" s="94"/>
    </row>
    <row r="11279" s="93" customFormat="1" spans="3:13">
      <c r="C11279" s="94"/>
      <c r="E11279" s="94"/>
      <c r="G11279" s="94"/>
      <c r="I11279" s="94"/>
      <c r="K11279" s="94"/>
      <c r="M11279" s="94"/>
    </row>
    <row r="11280" s="93" customFormat="1" spans="3:13">
      <c r="C11280" s="94"/>
      <c r="E11280" s="94"/>
      <c r="G11280" s="94"/>
      <c r="I11280" s="94"/>
      <c r="K11280" s="94"/>
      <c r="M11280" s="94"/>
    </row>
    <row r="11281" s="93" customFormat="1" spans="3:13">
      <c r="C11281" s="94"/>
      <c r="E11281" s="94"/>
      <c r="G11281" s="94"/>
      <c r="I11281" s="94"/>
      <c r="K11281" s="94"/>
      <c r="M11281" s="94"/>
    </row>
    <row r="11282" s="93" customFormat="1" spans="3:13">
      <c r="C11282" s="94"/>
      <c r="E11282" s="94"/>
      <c r="G11282" s="94"/>
      <c r="I11282" s="94"/>
      <c r="K11282" s="94"/>
      <c r="M11282" s="94"/>
    </row>
    <row r="11283" s="93" customFormat="1" spans="3:13">
      <c r="C11283" s="94"/>
      <c r="E11283" s="94"/>
      <c r="G11283" s="94"/>
      <c r="I11283" s="94"/>
      <c r="K11283" s="94"/>
      <c r="M11283" s="94"/>
    </row>
    <row r="11284" s="93" customFormat="1" spans="3:13">
      <c r="C11284" s="94"/>
      <c r="E11284" s="94"/>
      <c r="G11284" s="94"/>
      <c r="I11284" s="94"/>
      <c r="K11284" s="94"/>
      <c r="M11284" s="94"/>
    </row>
    <row r="11285" s="93" customFormat="1" spans="3:13">
      <c r="C11285" s="94"/>
      <c r="E11285" s="94"/>
      <c r="G11285" s="94"/>
      <c r="I11285" s="94"/>
      <c r="K11285" s="94"/>
      <c r="M11285" s="94"/>
    </row>
    <row r="11286" s="93" customFormat="1" spans="3:13">
      <c r="C11286" s="94"/>
      <c r="E11286" s="94"/>
      <c r="G11286" s="94"/>
      <c r="I11286" s="94"/>
      <c r="K11286" s="94"/>
      <c r="M11286" s="94"/>
    </row>
    <row r="11287" s="93" customFormat="1" spans="3:13">
      <c r="C11287" s="94"/>
      <c r="E11287" s="94"/>
      <c r="G11287" s="94"/>
      <c r="I11287" s="94"/>
      <c r="K11287" s="94"/>
      <c r="M11287" s="94"/>
    </row>
    <row r="11288" s="93" customFormat="1" spans="3:13">
      <c r="C11288" s="94"/>
      <c r="E11288" s="94"/>
      <c r="G11288" s="94"/>
      <c r="I11288" s="94"/>
      <c r="K11288" s="94"/>
      <c r="M11288" s="94"/>
    </row>
    <row r="11289" s="93" customFormat="1" spans="3:13">
      <c r="C11289" s="94"/>
      <c r="E11289" s="94"/>
      <c r="G11289" s="94"/>
      <c r="I11289" s="94"/>
      <c r="K11289" s="94"/>
      <c r="M11289" s="94"/>
    </row>
    <row r="11290" s="93" customFormat="1" spans="3:13">
      <c r="C11290" s="94"/>
      <c r="E11290" s="94"/>
      <c r="G11290" s="94"/>
      <c r="I11290" s="94"/>
      <c r="K11290" s="94"/>
      <c r="M11290" s="94"/>
    </row>
    <row r="11291" s="93" customFormat="1" spans="3:13">
      <c r="C11291" s="94"/>
      <c r="E11291" s="94"/>
      <c r="G11291" s="94"/>
      <c r="I11291" s="94"/>
      <c r="K11291" s="94"/>
      <c r="M11291" s="94"/>
    </row>
    <row r="11292" s="93" customFormat="1" spans="3:13">
      <c r="C11292" s="94"/>
      <c r="E11292" s="94"/>
      <c r="G11292" s="94"/>
      <c r="I11292" s="94"/>
      <c r="K11292" s="94"/>
      <c r="M11292" s="94"/>
    </row>
    <row r="11293" s="93" customFormat="1" spans="3:13">
      <c r="C11293" s="94"/>
      <c r="E11293" s="94"/>
      <c r="G11293" s="94"/>
      <c r="I11293" s="94"/>
      <c r="K11293" s="94"/>
      <c r="M11293" s="94"/>
    </row>
    <row r="11294" s="93" customFormat="1" spans="3:13">
      <c r="C11294" s="94"/>
      <c r="E11294" s="94"/>
      <c r="G11294" s="94"/>
      <c r="I11294" s="94"/>
      <c r="K11294" s="94"/>
      <c r="M11294" s="94"/>
    </row>
    <row r="11295" s="93" customFormat="1" spans="3:13">
      <c r="C11295" s="94"/>
      <c r="E11295" s="94"/>
      <c r="G11295" s="94"/>
      <c r="I11295" s="94"/>
      <c r="K11295" s="94"/>
      <c r="M11295" s="94"/>
    </row>
    <row r="11296" s="93" customFormat="1" spans="3:13">
      <c r="C11296" s="94"/>
      <c r="E11296" s="94"/>
      <c r="G11296" s="94"/>
      <c r="I11296" s="94"/>
      <c r="K11296" s="94"/>
      <c r="M11296" s="94"/>
    </row>
    <row r="11297" s="93" customFormat="1" spans="3:13">
      <c r="C11297" s="94"/>
      <c r="E11297" s="94"/>
      <c r="G11297" s="94"/>
      <c r="I11297" s="94"/>
      <c r="K11297" s="94"/>
      <c r="M11297" s="94"/>
    </row>
    <row r="11298" s="93" customFormat="1" spans="3:13">
      <c r="C11298" s="94"/>
      <c r="E11298" s="94"/>
      <c r="G11298" s="94"/>
      <c r="I11298" s="94"/>
      <c r="K11298" s="94"/>
      <c r="M11298" s="94"/>
    </row>
    <row r="11299" s="93" customFormat="1" spans="3:13">
      <c r="C11299" s="94"/>
      <c r="E11299" s="94"/>
      <c r="G11299" s="94"/>
      <c r="I11299" s="94"/>
      <c r="K11299" s="94"/>
      <c r="M11299" s="94"/>
    </row>
    <row r="11300" s="93" customFormat="1" spans="3:13">
      <c r="C11300" s="94"/>
      <c r="E11300" s="94"/>
      <c r="G11300" s="94"/>
      <c r="I11300" s="94"/>
      <c r="K11300" s="94"/>
      <c r="M11300" s="94"/>
    </row>
    <row r="11301" s="93" customFormat="1" spans="3:13">
      <c r="C11301" s="94"/>
      <c r="E11301" s="94"/>
      <c r="G11301" s="94"/>
      <c r="I11301" s="94"/>
      <c r="K11301" s="94"/>
      <c r="M11301" s="94"/>
    </row>
    <row r="11302" s="93" customFormat="1" spans="3:13">
      <c r="C11302" s="94"/>
      <c r="E11302" s="94"/>
      <c r="G11302" s="94"/>
      <c r="I11302" s="94"/>
      <c r="K11302" s="94"/>
      <c r="M11302" s="94"/>
    </row>
    <row r="11303" s="93" customFormat="1" spans="3:13">
      <c r="C11303" s="94"/>
      <c r="E11303" s="94"/>
      <c r="G11303" s="94"/>
      <c r="I11303" s="94"/>
      <c r="K11303" s="94"/>
      <c r="M11303" s="94"/>
    </row>
    <row r="11304" s="93" customFormat="1" spans="3:13">
      <c r="C11304" s="94"/>
      <c r="E11304" s="94"/>
      <c r="G11304" s="94"/>
      <c r="I11304" s="94"/>
      <c r="K11304" s="94"/>
      <c r="M11304" s="94"/>
    </row>
    <row r="11305" s="93" customFormat="1" spans="3:13">
      <c r="C11305" s="94"/>
      <c r="E11305" s="94"/>
      <c r="G11305" s="94"/>
      <c r="I11305" s="94"/>
      <c r="K11305" s="94"/>
      <c r="M11305" s="94"/>
    </row>
    <row r="11306" s="93" customFormat="1" spans="3:13">
      <c r="C11306" s="94"/>
      <c r="E11306" s="94"/>
      <c r="G11306" s="94"/>
      <c r="I11306" s="94"/>
      <c r="K11306" s="94"/>
      <c r="M11306" s="94"/>
    </row>
    <row r="11307" s="93" customFormat="1" spans="3:13">
      <c r="C11307" s="94"/>
      <c r="E11307" s="94"/>
      <c r="G11307" s="94"/>
      <c r="I11307" s="94"/>
      <c r="K11307" s="94"/>
      <c r="M11307" s="94"/>
    </row>
    <row r="11308" s="93" customFormat="1" spans="3:13">
      <c r="C11308" s="94"/>
      <c r="E11308" s="94"/>
      <c r="G11308" s="94"/>
      <c r="I11308" s="94"/>
      <c r="K11308" s="94"/>
      <c r="M11308" s="94"/>
    </row>
    <row r="11309" s="93" customFormat="1" spans="3:13">
      <c r="C11309" s="94"/>
      <c r="E11309" s="94"/>
      <c r="G11309" s="94"/>
      <c r="I11309" s="94"/>
      <c r="K11309" s="94"/>
      <c r="M11309" s="94"/>
    </row>
    <row r="11310" s="93" customFormat="1" spans="3:13">
      <c r="C11310" s="94"/>
      <c r="E11310" s="94"/>
      <c r="G11310" s="94"/>
      <c r="I11310" s="94"/>
      <c r="K11310" s="94"/>
      <c r="M11310" s="94"/>
    </row>
    <row r="11311" s="93" customFormat="1" spans="3:13">
      <c r="C11311" s="94"/>
      <c r="E11311" s="94"/>
      <c r="G11311" s="94"/>
      <c r="I11311" s="94"/>
      <c r="K11311" s="94"/>
      <c r="M11311" s="94"/>
    </row>
    <row r="11312" s="93" customFormat="1" spans="3:13">
      <c r="C11312" s="94"/>
      <c r="E11312" s="94"/>
      <c r="G11312" s="94"/>
      <c r="I11312" s="94"/>
      <c r="K11312" s="94"/>
      <c r="M11312" s="94"/>
    </row>
    <row r="11313" s="93" customFormat="1" spans="3:13">
      <c r="C11313" s="94"/>
      <c r="E11313" s="94"/>
      <c r="G11313" s="94"/>
      <c r="I11313" s="94"/>
      <c r="K11313" s="94"/>
      <c r="M11313" s="94"/>
    </row>
    <row r="11314" s="93" customFormat="1" spans="3:13">
      <c r="C11314" s="94"/>
      <c r="E11314" s="94"/>
      <c r="G11314" s="94"/>
      <c r="I11314" s="94"/>
      <c r="K11314" s="94"/>
      <c r="M11314" s="94"/>
    </row>
    <row r="11315" s="93" customFormat="1" spans="3:13">
      <c r="C11315" s="94"/>
      <c r="E11315" s="94"/>
      <c r="G11315" s="94"/>
      <c r="I11315" s="94"/>
      <c r="K11315" s="94"/>
      <c r="M11315" s="94"/>
    </row>
    <row r="11316" s="93" customFormat="1" spans="3:13">
      <c r="C11316" s="94"/>
      <c r="E11316" s="94"/>
      <c r="G11316" s="94"/>
      <c r="I11316" s="94"/>
      <c r="K11316" s="94"/>
      <c r="M11316" s="94"/>
    </row>
    <row r="11317" s="93" customFormat="1" spans="3:13">
      <c r="C11317" s="94"/>
      <c r="E11317" s="94"/>
      <c r="G11317" s="94"/>
      <c r="I11317" s="94"/>
      <c r="K11317" s="94"/>
      <c r="M11317" s="94"/>
    </row>
    <row r="11318" s="93" customFormat="1" spans="3:13">
      <c r="C11318" s="94"/>
      <c r="E11318" s="94"/>
      <c r="G11318" s="94"/>
      <c r="I11318" s="94"/>
      <c r="K11318" s="94"/>
      <c r="M11318" s="94"/>
    </row>
    <row r="11319" s="93" customFormat="1" spans="3:13">
      <c r="C11319" s="94"/>
      <c r="E11319" s="94"/>
      <c r="G11319" s="94"/>
      <c r="I11319" s="94"/>
      <c r="K11319" s="94"/>
      <c r="M11319" s="94"/>
    </row>
    <row r="11320" s="93" customFormat="1" spans="3:13">
      <c r="C11320" s="94"/>
      <c r="E11320" s="94"/>
      <c r="G11320" s="94"/>
      <c r="I11320" s="94"/>
      <c r="K11320" s="94"/>
      <c r="M11320" s="94"/>
    </row>
    <row r="11321" s="93" customFormat="1" spans="3:13">
      <c r="C11321" s="94"/>
      <c r="E11321" s="94"/>
      <c r="G11321" s="94"/>
      <c r="I11321" s="94"/>
      <c r="K11321" s="94"/>
      <c r="M11321" s="94"/>
    </row>
    <row r="11322" s="93" customFormat="1" spans="3:13">
      <c r="C11322" s="94"/>
      <c r="E11322" s="94"/>
      <c r="G11322" s="94"/>
      <c r="I11322" s="94"/>
      <c r="K11322" s="94"/>
      <c r="M11322" s="94"/>
    </row>
    <row r="11323" s="93" customFormat="1" spans="3:13">
      <c r="C11323" s="94"/>
      <c r="E11323" s="94"/>
      <c r="G11323" s="94"/>
      <c r="I11323" s="94"/>
      <c r="K11323" s="94"/>
      <c r="M11323" s="94"/>
    </row>
    <row r="11324" s="93" customFormat="1" spans="3:13">
      <c r="C11324" s="94"/>
      <c r="E11324" s="94"/>
      <c r="G11324" s="94"/>
      <c r="I11324" s="94"/>
      <c r="K11324" s="94"/>
      <c r="M11324" s="94"/>
    </row>
    <row r="11325" s="93" customFormat="1" spans="3:13">
      <c r="C11325" s="94"/>
      <c r="E11325" s="94"/>
      <c r="G11325" s="94"/>
      <c r="I11325" s="94"/>
      <c r="K11325" s="94"/>
      <c r="M11325" s="94"/>
    </row>
    <row r="11326" s="93" customFormat="1" spans="3:13">
      <c r="C11326" s="94"/>
      <c r="E11326" s="94"/>
      <c r="G11326" s="94"/>
      <c r="I11326" s="94"/>
      <c r="K11326" s="94"/>
      <c r="M11326" s="94"/>
    </row>
    <row r="11327" s="93" customFormat="1" spans="3:13">
      <c r="C11327" s="94"/>
      <c r="E11327" s="94"/>
      <c r="G11327" s="94"/>
      <c r="I11327" s="94"/>
      <c r="K11327" s="94"/>
      <c r="M11327" s="94"/>
    </row>
    <row r="11328" s="93" customFormat="1" spans="3:13">
      <c r="C11328" s="94"/>
      <c r="E11328" s="94"/>
      <c r="G11328" s="94"/>
      <c r="I11328" s="94"/>
      <c r="K11328" s="94"/>
      <c r="M11328" s="94"/>
    </row>
    <row r="11329" s="93" customFormat="1" spans="3:13">
      <c r="C11329" s="94"/>
      <c r="E11329" s="94"/>
      <c r="G11329" s="94"/>
      <c r="I11329" s="94"/>
      <c r="K11329" s="94"/>
      <c r="M11329" s="94"/>
    </row>
    <row r="11330" s="93" customFormat="1" spans="3:13">
      <c r="C11330" s="94"/>
      <c r="E11330" s="94"/>
      <c r="G11330" s="94"/>
      <c r="I11330" s="94"/>
      <c r="K11330" s="94"/>
      <c r="M11330" s="94"/>
    </row>
    <row r="11331" s="93" customFormat="1" spans="3:13">
      <c r="C11331" s="94"/>
      <c r="E11331" s="94"/>
      <c r="G11331" s="94"/>
      <c r="I11331" s="94"/>
      <c r="K11331" s="94"/>
      <c r="M11331" s="94"/>
    </row>
    <row r="11332" s="93" customFormat="1" spans="3:13">
      <c r="C11332" s="94"/>
      <c r="E11332" s="94"/>
      <c r="G11332" s="94"/>
      <c r="I11332" s="94"/>
      <c r="K11332" s="94"/>
      <c r="M11332" s="94"/>
    </row>
    <row r="11333" s="93" customFormat="1" spans="3:13">
      <c r="C11333" s="94"/>
      <c r="E11333" s="94"/>
      <c r="G11333" s="94"/>
      <c r="I11333" s="94"/>
      <c r="K11333" s="94"/>
      <c r="M11333" s="94"/>
    </row>
    <row r="11334" s="93" customFormat="1" spans="3:13">
      <c r="C11334" s="94"/>
      <c r="E11334" s="94"/>
      <c r="G11334" s="94"/>
      <c r="I11334" s="94"/>
      <c r="K11334" s="94"/>
      <c r="M11334" s="94"/>
    </row>
    <row r="11335" s="93" customFormat="1" spans="3:13">
      <c r="C11335" s="94"/>
      <c r="E11335" s="94"/>
      <c r="G11335" s="94"/>
      <c r="I11335" s="94"/>
      <c r="K11335" s="94"/>
      <c r="M11335" s="94"/>
    </row>
    <row r="11336" s="93" customFormat="1" spans="3:13">
      <c r="C11336" s="94"/>
      <c r="E11336" s="94"/>
      <c r="G11336" s="94"/>
      <c r="I11336" s="94"/>
      <c r="K11336" s="94"/>
      <c r="M11336" s="94"/>
    </row>
    <row r="11337" s="93" customFormat="1" spans="3:13">
      <c r="C11337" s="94"/>
      <c r="E11337" s="94"/>
      <c r="G11337" s="94"/>
      <c r="I11337" s="94"/>
      <c r="K11337" s="94"/>
      <c r="M11337" s="94"/>
    </row>
    <row r="11338" s="93" customFormat="1" spans="3:13">
      <c r="C11338" s="94"/>
      <c r="E11338" s="94"/>
      <c r="G11338" s="94"/>
      <c r="I11338" s="94"/>
      <c r="K11338" s="94"/>
      <c r="M11338" s="94"/>
    </row>
    <row r="11339" s="93" customFormat="1" spans="3:13">
      <c r="C11339" s="94"/>
      <c r="E11339" s="94"/>
      <c r="G11339" s="94"/>
      <c r="I11339" s="94"/>
      <c r="K11339" s="94"/>
      <c r="M11339" s="94"/>
    </row>
    <row r="11340" s="93" customFormat="1" spans="3:13">
      <c r="C11340" s="94"/>
      <c r="E11340" s="94"/>
      <c r="G11340" s="94"/>
      <c r="I11340" s="94"/>
      <c r="K11340" s="94"/>
      <c r="M11340" s="94"/>
    </row>
    <row r="11341" s="93" customFormat="1" spans="3:13">
      <c r="C11341" s="94"/>
      <c r="E11341" s="94"/>
      <c r="G11341" s="94"/>
      <c r="I11341" s="94"/>
      <c r="K11341" s="94"/>
      <c r="M11341" s="94"/>
    </row>
    <row r="11342" s="93" customFormat="1" spans="3:13">
      <c r="C11342" s="94"/>
      <c r="E11342" s="94"/>
      <c r="G11342" s="94"/>
      <c r="I11342" s="94"/>
      <c r="K11342" s="94"/>
      <c r="M11342" s="94"/>
    </row>
    <row r="11343" s="93" customFormat="1" spans="3:13">
      <c r="C11343" s="94"/>
      <c r="E11343" s="94"/>
      <c r="G11343" s="94"/>
      <c r="I11343" s="94"/>
      <c r="K11343" s="94"/>
      <c r="M11343" s="94"/>
    </row>
    <row r="11344" s="93" customFormat="1" spans="3:13">
      <c r="C11344" s="94"/>
      <c r="E11344" s="94"/>
      <c r="G11344" s="94"/>
      <c r="I11344" s="94"/>
      <c r="K11344" s="94"/>
      <c r="M11344" s="94"/>
    </row>
    <row r="11345" s="93" customFormat="1" spans="3:13">
      <c r="C11345" s="94"/>
      <c r="E11345" s="94"/>
      <c r="G11345" s="94"/>
      <c r="I11345" s="94"/>
      <c r="K11345" s="94"/>
      <c r="M11345" s="94"/>
    </row>
    <row r="11346" s="93" customFormat="1" spans="3:13">
      <c r="C11346" s="94"/>
      <c r="E11346" s="94"/>
      <c r="G11346" s="94"/>
      <c r="I11346" s="94"/>
      <c r="K11346" s="94"/>
      <c r="M11346" s="94"/>
    </row>
    <row r="11347" s="93" customFormat="1" spans="3:13">
      <c r="C11347" s="94"/>
      <c r="E11347" s="94"/>
      <c r="G11347" s="94"/>
      <c r="I11347" s="94"/>
      <c r="K11347" s="94"/>
      <c r="M11347" s="94"/>
    </row>
    <row r="11348" s="93" customFormat="1" spans="3:13">
      <c r="C11348" s="94"/>
      <c r="E11348" s="94"/>
      <c r="G11348" s="94"/>
      <c r="I11348" s="94"/>
      <c r="K11348" s="94"/>
      <c r="M11348" s="94"/>
    </row>
    <row r="11349" s="93" customFormat="1" spans="3:13">
      <c r="C11349" s="94"/>
      <c r="E11349" s="94"/>
      <c r="G11349" s="94"/>
      <c r="I11349" s="94"/>
      <c r="K11349" s="94"/>
      <c r="M11349" s="94"/>
    </row>
    <row r="11350" s="93" customFormat="1" spans="3:13">
      <c r="C11350" s="94"/>
      <c r="E11350" s="94"/>
      <c r="G11350" s="94"/>
      <c r="I11350" s="94"/>
      <c r="K11350" s="94"/>
      <c r="M11350" s="94"/>
    </row>
    <row r="11351" s="93" customFormat="1" spans="3:13">
      <c r="C11351" s="94"/>
      <c r="E11351" s="94"/>
      <c r="G11351" s="94"/>
      <c r="I11351" s="94"/>
      <c r="K11351" s="94"/>
      <c r="M11351" s="94"/>
    </row>
    <row r="11352" s="93" customFormat="1" spans="3:13">
      <c r="C11352" s="94"/>
      <c r="E11352" s="94"/>
      <c r="G11352" s="94"/>
      <c r="I11352" s="94"/>
      <c r="K11352" s="94"/>
      <c r="M11352" s="94"/>
    </row>
    <row r="11353" s="93" customFormat="1" spans="3:13">
      <c r="C11353" s="94"/>
      <c r="E11353" s="94"/>
      <c r="G11353" s="94"/>
      <c r="I11353" s="94"/>
      <c r="K11353" s="94"/>
      <c r="M11353" s="94"/>
    </row>
    <row r="11354" s="93" customFormat="1" spans="3:13">
      <c r="C11354" s="94"/>
      <c r="E11354" s="94"/>
      <c r="G11354" s="94"/>
      <c r="I11354" s="94"/>
      <c r="K11354" s="94"/>
      <c r="M11354" s="94"/>
    </row>
    <row r="11355" s="93" customFormat="1" spans="3:13">
      <c r="C11355" s="94"/>
      <c r="E11355" s="94"/>
      <c r="G11355" s="94"/>
      <c r="I11355" s="94"/>
      <c r="K11355" s="94"/>
      <c r="M11355" s="94"/>
    </row>
    <row r="11356" s="93" customFormat="1" spans="3:13">
      <c r="C11356" s="94"/>
      <c r="E11356" s="94"/>
      <c r="G11356" s="94"/>
      <c r="I11356" s="94"/>
      <c r="K11356" s="94"/>
      <c r="M11356" s="94"/>
    </row>
    <row r="11357" s="93" customFormat="1" spans="3:13">
      <c r="C11357" s="94"/>
      <c r="E11357" s="94"/>
      <c r="G11357" s="94"/>
      <c r="I11357" s="94"/>
      <c r="K11357" s="94"/>
      <c r="M11357" s="94"/>
    </row>
    <row r="11358" s="93" customFormat="1" spans="3:13">
      <c r="C11358" s="94"/>
      <c r="E11358" s="94"/>
      <c r="G11358" s="94"/>
      <c r="I11358" s="94"/>
      <c r="K11358" s="94"/>
      <c r="M11358" s="94"/>
    </row>
    <row r="11359" s="93" customFormat="1" spans="3:13">
      <c r="C11359" s="94"/>
      <c r="E11359" s="94"/>
      <c r="G11359" s="94"/>
      <c r="I11359" s="94"/>
      <c r="K11359" s="94"/>
      <c r="M11359" s="94"/>
    </row>
    <row r="11360" s="93" customFormat="1" spans="3:13">
      <c r="C11360" s="94"/>
      <c r="E11360" s="94"/>
      <c r="G11360" s="94"/>
      <c r="I11360" s="94"/>
      <c r="K11360" s="94"/>
      <c r="M11360" s="94"/>
    </row>
    <row r="11361" s="93" customFormat="1" spans="3:13">
      <c r="C11361" s="94"/>
      <c r="E11361" s="94"/>
      <c r="G11361" s="94"/>
      <c r="I11361" s="94"/>
      <c r="K11361" s="94"/>
      <c r="M11361" s="94"/>
    </row>
    <row r="11362" s="93" customFormat="1" spans="3:13">
      <c r="C11362" s="94"/>
      <c r="E11362" s="94"/>
      <c r="G11362" s="94"/>
      <c r="I11362" s="94"/>
      <c r="K11362" s="94"/>
      <c r="M11362" s="94"/>
    </row>
    <row r="11363" s="93" customFormat="1" spans="3:13">
      <c r="C11363" s="94"/>
      <c r="E11363" s="94"/>
      <c r="G11363" s="94"/>
      <c r="I11363" s="94"/>
      <c r="K11363" s="94"/>
      <c r="M11363" s="94"/>
    </row>
    <row r="11364" s="93" customFormat="1" spans="3:13">
      <c r="C11364" s="94"/>
      <c r="E11364" s="94"/>
      <c r="G11364" s="94"/>
      <c r="I11364" s="94"/>
      <c r="K11364" s="94"/>
      <c r="M11364" s="94"/>
    </row>
    <row r="11365" s="93" customFormat="1" spans="3:13">
      <c r="C11365" s="94"/>
      <c r="E11365" s="94"/>
      <c r="G11365" s="94"/>
      <c r="I11365" s="94"/>
      <c r="K11365" s="94"/>
      <c r="M11365" s="94"/>
    </row>
    <row r="11366" s="93" customFormat="1" spans="3:13">
      <c r="C11366" s="94"/>
      <c r="E11366" s="94"/>
      <c r="G11366" s="94"/>
      <c r="I11366" s="94"/>
      <c r="K11366" s="94"/>
      <c r="M11366" s="94"/>
    </row>
    <row r="11367" s="93" customFormat="1" spans="3:13">
      <c r="C11367" s="94"/>
      <c r="E11367" s="94"/>
      <c r="G11367" s="94"/>
      <c r="I11367" s="94"/>
      <c r="K11367" s="94"/>
      <c r="M11367" s="94"/>
    </row>
    <row r="11368" s="93" customFormat="1" spans="3:13">
      <c r="C11368" s="94"/>
      <c r="E11368" s="94"/>
      <c r="G11368" s="94"/>
      <c r="I11368" s="94"/>
      <c r="K11368" s="94"/>
      <c r="M11368" s="94"/>
    </row>
    <row r="11369" s="93" customFormat="1" spans="3:13">
      <c r="C11369" s="94"/>
      <c r="E11369" s="94"/>
      <c r="G11369" s="94"/>
      <c r="I11369" s="94"/>
      <c r="K11369" s="94"/>
      <c r="M11369" s="94"/>
    </row>
    <row r="11370" s="93" customFormat="1" spans="3:13">
      <c r="C11370" s="94"/>
      <c r="E11370" s="94"/>
      <c r="G11370" s="94"/>
      <c r="I11370" s="94"/>
      <c r="K11370" s="94"/>
      <c r="M11370" s="94"/>
    </row>
    <row r="11371" s="93" customFormat="1" spans="3:13">
      <c r="C11371" s="94"/>
      <c r="E11371" s="94"/>
      <c r="G11371" s="94"/>
      <c r="I11371" s="94"/>
      <c r="K11371" s="94"/>
      <c r="M11371" s="94"/>
    </row>
    <row r="11372" s="93" customFormat="1" spans="3:13">
      <c r="C11372" s="94"/>
      <c r="E11372" s="94"/>
      <c r="G11372" s="94"/>
      <c r="I11372" s="94"/>
      <c r="K11372" s="94"/>
      <c r="M11372" s="94"/>
    </row>
    <row r="11373" s="93" customFormat="1" spans="3:13">
      <c r="C11373" s="94"/>
      <c r="E11373" s="94"/>
      <c r="G11373" s="94"/>
      <c r="I11373" s="94"/>
      <c r="K11373" s="94"/>
      <c r="M11373" s="94"/>
    </row>
    <row r="11374" s="93" customFormat="1" spans="3:13">
      <c r="C11374" s="94"/>
      <c r="E11374" s="94"/>
      <c r="G11374" s="94"/>
      <c r="I11374" s="94"/>
      <c r="K11374" s="94"/>
      <c r="M11374" s="94"/>
    </row>
    <row r="11375" s="93" customFormat="1" spans="3:13">
      <c r="C11375" s="94"/>
      <c r="E11375" s="94"/>
      <c r="G11375" s="94"/>
      <c r="I11375" s="94"/>
      <c r="K11375" s="94"/>
      <c r="M11375" s="94"/>
    </row>
    <row r="11376" s="93" customFormat="1" spans="3:13">
      <c r="C11376" s="94"/>
      <c r="E11376" s="94"/>
      <c r="G11376" s="94"/>
      <c r="I11376" s="94"/>
      <c r="K11376" s="94"/>
      <c r="M11376" s="94"/>
    </row>
    <row r="11377" s="93" customFormat="1" spans="3:13">
      <c r="C11377" s="94"/>
      <c r="E11377" s="94"/>
      <c r="G11377" s="94"/>
      <c r="I11377" s="94"/>
      <c r="K11377" s="94"/>
      <c r="M11377" s="94"/>
    </row>
    <row r="11378" s="93" customFormat="1" spans="3:13">
      <c r="C11378" s="94"/>
      <c r="E11378" s="94"/>
      <c r="G11378" s="94"/>
      <c r="I11378" s="94"/>
      <c r="K11378" s="94"/>
      <c r="M11378" s="94"/>
    </row>
    <row r="11379" s="93" customFormat="1" spans="3:13">
      <c r="C11379" s="94"/>
      <c r="E11379" s="94"/>
      <c r="G11379" s="94"/>
      <c r="I11379" s="94"/>
      <c r="K11379" s="94"/>
      <c r="M11379" s="94"/>
    </row>
    <row r="11380" s="93" customFormat="1" spans="3:13">
      <c r="C11380" s="94"/>
      <c r="E11380" s="94"/>
      <c r="G11380" s="94"/>
      <c r="I11380" s="94"/>
      <c r="K11380" s="94"/>
      <c r="M11380" s="94"/>
    </row>
    <row r="11381" s="93" customFormat="1" spans="3:13">
      <c r="C11381" s="94"/>
      <c r="E11381" s="94"/>
      <c r="G11381" s="94"/>
      <c r="I11381" s="94"/>
      <c r="K11381" s="94"/>
      <c r="M11381" s="94"/>
    </row>
    <row r="11382" s="93" customFormat="1" spans="3:13">
      <c r="C11382" s="94"/>
      <c r="E11382" s="94"/>
      <c r="G11382" s="94"/>
      <c r="I11382" s="94"/>
      <c r="K11382" s="94"/>
      <c r="M11382" s="94"/>
    </row>
    <row r="11383" s="93" customFormat="1" spans="3:13">
      <c r="C11383" s="94"/>
      <c r="E11383" s="94"/>
      <c r="G11383" s="94"/>
      <c r="I11383" s="94"/>
      <c r="K11383" s="94"/>
      <c r="M11383" s="94"/>
    </row>
    <row r="11384" s="93" customFormat="1" spans="3:13">
      <c r="C11384" s="94"/>
      <c r="E11384" s="94"/>
      <c r="G11384" s="94"/>
      <c r="I11384" s="94"/>
      <c r="K11384" s="94"/>
      <c r="M11384" s="94"/>
    </row>
    <row r="11385" s="93" customFormat="1" spans="3:13">
      <c r="C11385" s="94"/>
      <c r="E11385" s="94"/>
      <c r="G11385" s="94"/>
      <c r="I11385" s="94"/>
      <c r="K11385" s="94"/>
      <c r="M11385" s="94"/>
    </row>
    <row r="11386" s="93" customFormat="1" spans="3:13">
      <c r="C11386" s="94"/>
      <c r="E11386" s="94"/>
      <c r="G11386" s="94"/>
      <c r="I11386" s="94"/>
      <c r="K11386" s="94"/>
      <c r="M11386" s="94"/>
    </row>
    <row r="11387" s="93" customFormat="1" spans="3:13">
      <c r="C11387" s="94"/>
      <c r="E11387" s="94"/>
      <c r="G11387" s="94"/>
      <c r="I11387" s="94"/>
      <c r="K11387" s="94"/>
      <c r="M11387" s="94"/>
    </row>
    <row r="11388" s="93" customFormat="1" spans="3:13">
      <c r="C11388" s="94"/>
      <c r="E11388" s="94"/>
      <c r="G11388" s="94"/>
      <c r="I11388" s="94"/>
      <c r="K11388" s="94"/>
      <c r="M11388" s="94"/>
    </row>
    <row r="11389" s="93" customFormat="1" spans="3:13">
      <c r="C11389" s="94"/>
      <c r="E11389" s="94"/>
      <c r="G11389" s="94"/>
      <c r="I11389" s="94"/>
      <c r="K11389" s="94"/>
      <c r="M11389" s="94"/>
    </row>
    <row r="11390" s="93" customFormat="1" spans="3:13">
      <c r="C11390" s="94"/>
      <c r="E11390" s="94"/>
      <c r="G11390" s="94"/>
      <c r="I11390" s="94"/>
      <c r="K11390" s="94"/>
      <c r="M11390" s="94"/>
    </row>
    <row r="11391" s="93" customFormat="1" spans="3:13">
      <c r="C11391" s="94"/>
      <c r="E11391" s="94"/>
      <c r="G11391" s="94"/>
      <c r="I11391" s="94"/>
      <c r="K11391" s="94"/>
      <c r="M11391" s="94"/>
    </row>
    <row r="11392" s="93" customFormat="1" spans="3:13">
      <c r="C11392" s="94"/>
      <c r="E11392" s="94"/>
      <c r="G11392" s="94"/>
      <c r="I11392" s="94"/>
      <c r="K11392" s="94"/>
      <c r="M11392" s="94"/>
    </row>
    <row r="11393" s="93" customFormat="1" spans="3:13">
      <c r="C11393" s="94"/>
      <c r="E11393" s="94"/>
      <c r="G11393" s="94"/>
      <c r="I11393" s="94"/>
      <c r="K11393" s="94"/>
      <c r="M11393" s="94"/>
    </row>
    <row r="11394" s="93" customFormat="1" spans="3:13">
      <c r="C11394" s="94"/>
      <c r="E11394" s="94"/>
      <c r="G11394" s="94"/>
      <c r="I11394" s="94"/>
      <c r="K11394" s="94"/>
      <c r="M11394" s="94"/>
    </row>
    <row r="11395" s="93" customFormat="1" spans="3:13">
      <c r="C11395" s="94"/>
      <c r="E11395" s="94"/>
      <c r="G11395" s="94"/>
      <c r="I11395" s="94"/>
      <c r="K11395" s="94"/>
      <c r="M11395" s="94"/>
    </row>
    <row r="11396" s="93" customFormat="1" spans="3:13">
      <c r="C11396" s="94"/>
      <c r="E11396" s="94"/>
      <c r="G11396" s="94"/>
      <c r="I11396" s="94"/>
      <c r="K11396" s="94"/>
      <c r="M11396" s="94"/>
    </row>
    <row r="11397" s="93" customFormat="1" spans="3:13">
      <c r="C11397" s="94"/>
      <c r="E11397" s="94"/>
      <c r="G11397" s="94"/>
      <c r="I11397" s="94"/>
      <c r="K11397" s="94"/>
      <c r="M11397" s="94"/>
    </row>
    <row r="11398" s="93" customFormat="1" spans="3:13">
      <c r="C11398" s="94"/>
      <c r="E11398" s="94"/>
      <c r="G11398" s="94"/>
      <c r="I11398" s="94"/>
      <c r="K11398" s="94"/>
      <c r="M11398" s="94"/>
    </row>
    <row r="11399" s="93" customFormat="1" spans="3:13">
      <c r="C11399" s="94"/>
      <c r="E11399" s="94"/>
      <c r="G11399" s="94"/>
      <c r="I11399" s="94"/>
      <c r="K11399" s="94"/>
      <c r="M11399" s="94"/>
    </row>
    <row r="11400" s="93" customFormat="1" spans="3:13">
      <c r="C11400" s="94"/>
      <c r="E11400" s="94"/>
      <c r="G11400" s="94"/>
      <c r="I11400" s="94"/>
      <c r="K11400" s="94"/>
      <c r="M11400" s="94"/>
    </row>
    <row r="11401" s="93" customFormat="1" spans="3:13">
      <c r="C11401" s="94"/>
      <c r="E11401" s="94"/>
      <c r="G11401" s="94"/>
      <c r="I11401" s="94"/>
      <c r="K11401" s="94"/>
      <c r="M11401" s="94"/>
    </row>
    <row r="11402" s="93" customFormat="1" spans="3:13">
      <c r="C11402" s="94"/>
      <c r="E11402" s="94"/>
      <c r="G11402" s="94"/>
      <c r="I11402" s="94"/>
      <c r="K11402" s="94"/>
      <c r="M11402" s="94"/>
    </row>
    <row r="11403" s="93" customFormat="1" spans="3:13">
      <c r="C11403" s="94"/>
      <c r="E11403" s="94"/>
      <c r="G11403" s="94"/>
      <c r="I11403" s="94"/>
      <c r="K11403" s="94"/>
      <c r="M11403" s="94"/>
    </row>
    <row r="11404" s="93" customFormat="1" spans="3:13">
      <c r="C11404" s="94"/>
      <c r="E11404" s="94"/>
      <c r="G11404" s="94"/>
      <c r="I11404" s="94"/>
      <c r="K11404" s="94"/>
      <c r="M11404" s="94"/>
    </row>
    <row r="11405" s="93" customFormat="1" spans="3:13">
      <c r="C11405" s="94"/>
      <c r="E11405" s="94"/>
      <c r="G11405" s="94"/>
      <c r="I11405" s="94"/>
      <c r="K11405" s="94"/>
      <c r="M11405" s="94"/>
    </row>
    <row r="11406" s="93" customFormat="1" spans="3:13">
      <c r="C11406" s="94"/>
      <c r="E11406" s="94"/>
      <c r="G11406" s="94"/>
      <c r="I11406" s="94"/>
      <c r="K11406" s="94"/>
      <c r="M11406" s="94"/>
    </row>
    <row r="11407" s="93" customFormat="1" spans="3:13">
      <c r="C11407" s="94"/>
      <c r="E11407" s="94"/>
      <c r="G11407" s="94"/>
      <c r="I11407" s="94"/>
      <c r="K11407" s="94"/>
      <c r="M11407" s="94"/>
    </row>
    <row r="11408" s="93" customFormat="1" spans="3:13">
      <c r="C11408" s="94"/>
      <c r="E11408" s="94"/>
      <c r="G11408" s="94"/>
      <c r="I11408" s="94"/>
      <c r="K11408" s="94"/>
      <c r="M11408" s="94"/>
    </row>
    <row r="11409" s="93" customFormat="1" spans="3:13">
      <c r="C11409" s="94"/>
      <c r="E11409" s="94"/>
      <c r="G11409" s="94"/>
      <c r="I11409" s="94"/>
      <c r="K11409" s="94"/>
      <c r="M11409" s="94"/>
    </row>
    <row r="11410" s="93" customFormat="1" spans="3:13">
      <c r="C11410" s="94"/>
      <c r="E11410" s="94"/>
      <c r="G11410" s="94"/>
      <c r="I11410" s="94"/>
      <c r="K11410" s="94"/>
      <c r="M11410" s="94"/>
    </row>
    <row r="11411" s="93" customFormat="1" spans="3:13">
      <c r="C11411" s="94"/>
      <c r="E11411" s="94"/>
      <c r="G11411" s="94"/>
      <c r="I11411" s="94"/>
      <c r="K11411" s="94"/>
      <c r="M11411" s="94"/>
    </row>
    <row r="11412" s="93" customFormat="1" spans="3:13">
      <c r="C11412" s="94"/>
      <c r="E11412" s="94"/>
      <c r="G11412" s="94"/>
      <c r="I11412" s="94"/>
      <c r="K11412" s="94"/>
      <c r="M11412" s="94"/>
    </row>
    <row r="11413" s="93" customFormat="1" spans="3:13">
      <c r="C11413" s="94"/>
      <c r="E11413" s="94"/>
      <c r="G11413" s="94"/>
      <c r="I11413" s="94"/>
      <c r="K11413" s="94"/>
      <c r="M11413" s="94"/>
    </row>
    <row r="11414" s="93" customFormat="1" spans="3:13">
      <c r="C11414" s="94"/>
      <c r="E11414" s="94"/>
      <c r="G11414" s="94"/>
      <c r="I11414" s="94"/>
      <c r="K11414" s="94"/>
      <c r="M11414" s="94"/>
    </row>
    <row r="11415" s="93" customFormat="1" spans="3:13">
      <c r="C11415" s="94"/>
      <c r="E11415" s="94"/>
      <c r="G11415" s="94"/>
      <c r="I11415" s="94"/>
      <c r="K11415" s="94"/>
      <c r="M11415" s="94"/>
    </row>
    <row r="11416" s="93" customFormat="1" spans="3:13">
      <c r="C11416" s="94"/>
      <c r="E11416" s="94"/>
      <c r="G11416" s="94"/>
      <c r="I11416" s="94"/>
      <c r="K11416" s="94"/>
      <c r="M11416" s="94"/>
    </row>
    <row r="11417" s="93" customFormat="1" spans="3:13">
      <c r="C11417" s="94"/>
      <c r="E11417" s="94"/>
      <c r="G11417" s="94"/>
      <c r="I11417" s="94"/>
      <c r="K11417" s="94"/>
      <c r="M11417" s="94"/>
    </row>
    <row r="11418" s="93" customFormat="1" spans="3:13">
      <c r="C11418" s="94"/>
      <c r="E11418" s="94"/>
      <c r="G11418" s="94"/>
      <c r="I11418" s="94"/>
      <c r="K11418" s="94"/>
      <c r="M11418" s="94"/>
    </row>
    <row r="11419" s="93" customFormat="1" spans="3:13">
      <c r="C11419" s="94"/>
      <c r="E11419" s="94"/>
      <c r="G11419" s="94"/>
      <c r="I11419" s="94"/>
      <c r="K11419" s="94"/>
      <c r="M11419" s="94"/>
    </row>
    <row r="11420" s="93" customFormat="1" spans="3:13">
      <c r="C11420" s="94"/>
      <c r="E11420" s="94"/>
      <c r="G11420" s="94"/>
      <c r="I11420" s="94"/>
      <c r="K11420" s="94"/>
      <c r="M11420" s="94"/>
    </row>
    <row r="11421" s="93" customFormat="1" spans="3:13">
      <c r="C11421" s="94"/>
      <c r="E11421" s="94"/>
      <c r="G11421" s="94"/>
      <c r="I11421" s="94"/>
      <c r="K11421" s="94"/>
      <c r="M11421" s="94"/>
    </row>
    <row r="11422" s="93" customFormat="1" spans="3:13">
      <c r="C11422" s="94"/>
      <c r="E11422" s="94"/>
      <c r="G11422" s="94"/>
      <c r="I11422" s="94"/>
      <c r="K11422" s="94"/>
      <c r="M11422" s="94"/>
    </row>
    <row r="11423" s="93" customFormat="1" spans="3:13">
      <c r="C11423" s="94"/>
      <c r="E11423" s="94"/>
      <c r="G11423" s="94"/>
      <c r="I11423" s="94"/>
      <c r="K11423" s="94"/>
      <c r="M11423" s="94"/>
    </row>
    <row r="11424" s="93" customFormat="1" spans="3:13">
      <c r="C11424" s="94"/>
      <c r="E11424" s="94"/>
      <c r="G11424" s="94"/>
      <c r="I11424" s="94"/>
      <c r="K11424" s="94"/>
      <c r="M11424" s="94"/>
    </row>
    <row r="11425" s="93" customFormat="1" spans="3:13">
      <c r="C11425" s="94"/>
      <c r="E11425" s="94"/>
      <c r="G11425" s="94"/>
      <c r="I11425" s="94"/>
      <c r="K11425" s="94"/>
      <c r="M11425" s="94"/>
    </row>
    <row r="11426" s="93" customFormat="1" spans="3:13">
      <c r="C11426" s="94"/>
      <c r="E11426" s="94"/>
      <c r="G11426" s="94"/>
      <c r="I11426" s="94"/>
      <c r="K11426" s="94"/>
      <c r="M11426" s="94"/>
    </row>
    <row r="11427" s="93" customFormat="1" spans="3:13">
      <c r="C11427" s="94"/>
      <c r="E11427" s="94"/>
      <c r="G11427" s="94"/>
      <c r="I11427" s="94"/>
      <c r="K11427" s="94"/>
      <c r="M11427" s="94"/>
    </row>
    <row r="11428" s="93" customFormat="1" spans="3:13">
      <c r="C11428" s="94"/>
      <c r="E11428" s="94"/>
      <c r="G11428" s="94"/>
      <c r="I11428" s="94"/>
      <c r="K11428" s="94"/>
      <c r="M11428" s="94"/>
    </row>
    <row r="11429" s="93" customFormat="1" spans="3:13">
      <c r="C11429" s="94"/>
      <c r="E11429" s="94"/>
      <c r="G11429" s="94"/>
      <c r="I11429" s="94"/>
      <c r="K11429" s="94"/>
      <c r="M11429" s="94"/>
    </row>
    <row r="11430" s="93" customFormat="1" spans="3:13">
      <c r="C11430" s="94"/>
      <c r="E11430" s="94"/>
      <c r="G11430" s="94"/>
      <c r="I11430" s="94"/>
      <c r="K11430" s="94"/>
      <c r="M11430" s="94"/>
    </row>
    <row r="11431" s="93" customFormat="1" spans="3:13">
      <c r="C11431" s="94"/>
      <c r="E11431" s="94"/>
      <c r="G11431" s="94"/>
      <c r="I11431" s="94"/>
      <c r="K11431" s="94"/>
      <c r="M11431" s="94"/>
    </row>
    <row r="11432" s="93" customFormat="1" spans="3:13">
      <c r="C11432" s="94"/>
      <c r="E11432" s="94"/>
      <c r="G11432" s="94"/>
      <c r="I11432" s="94"/>
      <c r="K11432" s="94"/>
      <c r="M11432" s="94"/>
    </row>
    <row r="11433" s="93" customFormat="1" spans="3:13">
      <c r="C11433" s="94"/>
      <c r="E11433" s="94"/>
      <c r="G11433" s="94"/>
      <c r="I11433" s="94"/>
      <c r="K11433" s="94"/>
      <c r="M11433" s="94"/>
    </row>
    <row r="11434" s="93" customFormat="1" spans="3:13">
      <c r="C11434" s="94"/>
      <c r="E11434" s="94"/>
      <c r="G11434" s="94"/>
      <c r="I11434" s="94"/>
      <c r="K11434" s="94"/>
      <c r="M11434" s="94"/>
    </row>
    <row r="11435" s="93" customFormat="1" spans="3:13">
      <c r="C11435" s="94"/>
      <c r="E11435" s="94"/>
      <c r="G11435" s="94"/>
      <c r="I11435" s="94"/>
      <c r="K11435" s="94"/>
      <c r="M11435" s="94"/>
    </row>
    <row r="11436" s="93" customFormat="1" spans="3:13">
      <c r="C11436" s="94"/>
      <c r="E11436" s="94"/>
      <c r="G11436" s="94"/>
      <c r="I11436" s="94"/>
      <c r="K11436" s="94"/>
      <c r="M11436" s="94"/>
    </row>
    <row r="11437" s="93" customFormat="1" spans="3:13">
      <c r="C11437" s="94"/>
      <c r="E11437" s="94"/>
      <c r="G11437" s="94"/>
      <c r="I11437" s="94"/>
      <c r="K11437" s="94"/>
      <c r="M11437" s="94"/>
    </row>
    <row r="11438" s="93" customFormat="1" spans="3:13">
      <c r="C11438" s="94"/>
      <c r="E11438" s="94"/>
      <c r="G11438" s="94"/>
      <c r="I11438" s="94"/>
      <c r="K11438" s="94"/>
      <c r="M11438" s="94"/>
    </row>
    <row r="11439" s="93" customFormat="1" spans="3:13">
      <c r="C11439" s="94"/>
      <c r="E11439" s="94"/>
      <c r="G11439" s="94"/>
      <c r="I11439" s="94"/>
      <c r="K11439" s="94"/>
      <c r="M11439" s="94"/>
    </row>
    <row r="11440" s="93" customFormat="1" spans="3:13">
      <c r="C11440" s="94"/>
      <c r="E11440" s="94"/>
      <c r="G11440" s="94"/>
      <c r="I11440" s="94"/>
      <c r="K11440" s="94"/>
      <c r="M11440" s="94"/>
    </row>
    <row r="11441" s="93" customFormat="1" spans="3:13">
      <c r="C11441" s="94"/>
      <c r="E11441" s="94"/>
      <c r="G11441" s="94"/>
      <c r="I11441" s="94"/>
      <c r="K11441" s="94"/>
      <c r="M11441" s="94"/>
    </row>
    <row r="11442" s="93" customFormat="1" spans="3:13">
      <c r="C11442" s="94"/>
      <c r="E11442" s="94"/>
      <c r="G11442" s="94"/>
      <c r="I11442" s="94"/>
      <c r="K11442" s="94"/>
      <c r="M11442" s="94"/>
    </row>
    <row r="11443" s="93" customFormat="1" spans="3:13">
      <c r="C11443" s="94"/>
      <c r="E11443" s="94"/>
      <c r="G11443" s="94"/>
      <c r="I11443" s="94"/>
      <c r="K11443" s="94"/>
      <c r="M11443" s="94"/>
    </row>
    <row r="11444" s="93" customFormat="1" spans="3:13">
      <c r="C11444" s="94"/>
      <c r="E11444" s="94"/>
      <c r="G11444" s="94"/>
      <c r="I11444" s="94"/>
      <c r="K11444" s="94"/>
      <c r="M11444" s="94"/>
    </row>
    <row r="11445" s="93" customFormat="1" spans="3:13">
      <c r="C11445" s="94"/>
      <c r="E11445" s="94"/>
      <c r="G11445" s="94"/>
      <c r="I11445" s="94"/>
      <c r="K11445" s="94"/>
      <c r="M11445" s="94"/>
    </row>
    <row r="11446" s="93" customFormat="1" spans="3:13">
      <c r="C11446" s="94"/>
      <c r="E11446" s="94"/>
      <c r="G11446" s="94"/>
      <c r="I11446" s="94"/>
      <c r="K11446" s="94"/>
      <c r="M11446" s="94"/>
    </row>
    <row r="11447" s="93" customFormat="1" spans="3:13">
      <c r="C11447" s="94"/>
      <c r="E11447" s="94"/>
      <c r="G11447" s="94"/>
      <c r="I11447" s="94"/>
      <c r="K11447" s="94"/>
      <c r="M11447" s="94"/>
    </row>
    <row r="11448" s="93" customFormat="1" spans="3:13">
      <c r="C11448" s="94"/>
      <c r="E11448" s="94"/>
      <c r="G11448" s="94"/>
      <c r="I11448" s="94"/>
      <c r="K11448" s="94"/>
      <c r="M11448" s="94"/>
    </row>
    <row r="11449" s="93" customFormat="1" spans="3:13">
      <c r="C11449" s="94"/>
      <c r="E11449" s="94"/>
      <c r="G11449" s="94"/>
      <c r="I11449" s="94"/>
      <c r="K11449" s="94"/>
      <c r="M11449" s="94"/>
    </row>
    <row r="11450" s="93" customFormat="1" spans="3:13">
      <c r="C11450" s="94"/>
      <c r="E11450" s="94"/>
      <c r="G11450" s="94"/>
      <c r="I11450" s="94"/>
      <c r="K11450" s="94"/>
      <c r="M11450" s="94"/>
    </row>
    <row r="11451" s="93" customFormat="1" spans="3:13">
      <c r="C11451" s="94"/>
      <c r="E11451" s="94"/>
      <c r="G11451" s="94"/>
      <c r="I11451" s="94"/>
      <c r="K11451" s="94"/>
      <c r="M11451" s="94"/>
    </row>
    <row r="11452" s="93" customFormat="1" spans="3:13">
      <c r="C11452" s="94"/>
      <c r="E11452" s="94"/>
      <c r="G11452" s="94"/>
      <c r="I11452" s="94"/>
      <c r="K11452" s="94"/>
      <c r="M11452" s="94"/>
    </row>
    <row r="11453" s="93" customFormat="1" spans="3:13">
      <c r="C11453" s="94"/>
      <c r="E11453" s="94"/>
      <c r="G11453" s="94"/>
      <c r="I11453" s="94"/>
      <c r="K11453" s="94"/>
      <c r="M11453" s="94"/>
    </row>
    <row r="11454" s="93" customFormat="1" spans="3:13">
      <c r="C11454" s="94"/>
      <c r="E11454" s="94"/>
      <c r="G11454" s="94"/>
      <c r="I11454" s="94"/>
      <c r="K11454" s="94"/>
      <c r="M11454" s="94"/>
    </row>
    <row r="11455" s="93" customFormat="1" spans="3:13">
      <c r="C11455" s="94"/>
      <c r="E11455" s="94"/>
      <c r="G11455" s="94"/>
      <c r="I11455" s="94"/>
      <c r="K11455" s="94"/>
      <c r="M11455" s="94"/>
    </row>
    <row r="11456" s="93" customFormat="1" spans="3:13">
      <c r="C11456" s="94"/>
      <c r="E11456" s="94"/>
      <c r="G11456" s="94"/>
      <c r="I11456" s="94"/>
      <c r="K11456" s="94"/>
      <c r="M11456" s="94"/>
    </row>
    <row r="11457" s="93" customFormat="1" spans="3:13">
      <c r="C11457" s="94"/>
      <c r="E11457" s="94"/>
      <c r="G11457" s="94"/>
      <c r="I11457" s="94"/>
      <c r="K11457" s="94"/>
      <c r="M11457" s="94"/>
    </row>
    <row r="11458" s="93" customFormat="1" spans="3:13">
      <c r="C11458" s="94"/>
      <c r="E11458" s="94"/>
      <c r="G11458" s="94"/>
      <c r="I11458" s="94"/>
      <c r="K11458" s="94"/>
      <c r="M11458" s="94"/>
    </row>
    <row r="11459" s="93" customFormat="1" spans="3:13">
      <c r="C11459" s="94"/>
      <c r="E11459" s="94"/>
      <c r="G11459" s="94"/>
      <c r="I11459" s="94"/>
      <c r="K11459" s="94"/>
      <c r="M11459" s="94"/>
    </row>
    <row r="11460" s="93" customFormat="1" spans="3:13">
      <c r="C11460" s="94"/>
      <c r="E11460" s="94"/>
      <c r="G11460" s="94"/>
      <c r="I11460" s="94"/>
      <c r="K11460" s="94"/>
      <c r="M11460" s="94"/>
    </row>
    <row r="11461" s="93" customFormat="1" spans="3:13">
      <c r="C11461" s="94"/>
      <c r="E11461" s="94"/>
      <c r="G11461" s="94"/>
      <c r="I11461" s="94"/>
      <c r="K11461" s="94"/>
      <c r="M11461" s="94"/>
    </row>
    <row r="11462" s="93" customFormat="1" spans="3:13">
      <c r="C11462" s="94"/>
      <c r="E11462" s="94"/>
      <c r="G11462" s="94"/>
      <c r="I11462" s="94"/>
      <c r="K11462" s="94"/>
      <c r="M11462" s="94"/>
    </row>
    <row r="11463" s="93" customFormat="1" spans="3:13">
      <c r="C11463" s="94"/>
      <c r="E11463" s="94"/>
      <c r="G11463" s="94"/>
      <c r="I11463" s="94"/>
      <c r="K11463" s="94"/>
      <c r="M11463" s="94"/>
    </row>
    <row r="11464" s="93" customFormat="1" spans="3:13">
      <c r="C11464" s="94"/>
      <c r="E11464" s="94"/>
      <c r="G11464" s="94"/>
      <c r="I11464" s="94"/>
      <c r="K11464" s="94"/>
      <c r="M11464" s="94"/>
    </row>
    <row r="11465" s="93" customFormat="1" spans="3:13">
      <c r="C11465" s="94"/>
      <c r="E11465" s="94"/>
      <c r="G11465" s="94"/>
      <c r="I11465" s="94"/>
      <c r="K11465" s="94"/>
      <c r="M11465" s="94"/>
    </row>
    <row r="11466" s="93" customFormat="1" spans="3:13">
      <c r="C11466" s="94"/>
      <c r="E11466" s="94"/>
      <c r="G11466" s="94"/>
      <c r="I11466" s="94"/>
      <c r="K11466" s="94"/>
      <c r="M11466" s="94"/>
    </row>
    <row r="11467" s="93" customFormat="1" spans="3:13">
      <c r="C11467" s="94"/>
      <c r="E11467" s="94"/>
      <c r="G11467" s="94"/>
      <c r="I11467" s="94"/>
      <c r="K11467" s="94"/>
      <c r="M11467" s="94"/>
    </row>
    <row r="11468" s="93" customFormat="1" spans="3:13">
      <c r="C11468" s="94"/>
      <c r="E11468" s="94"/>
      <c r="G11468" s="94"/>
      <c r="I11468" s="94"/>
      <c r="K11468" s="94"/>
      <c r="M11468" s="94"/>
    </row>
    <row r="11469" s="93" customFormat="1" spans="3:13">
      <c r="C11469" s="94"/>
      <c r="E11469" s="94"/>
      <c r="G11469" s="94"/>
      <c r="I11469" s="94"/>
      <c r="K11469" s="94"/>
      <c r="M11469" s="94"/>
    </row>
    <row r="11470" s="93" customFormat="1" spans="3:13">
      <c r="C11470" s="94"/>
      <c r="E11470" s="94"/>
      <c r="G11470" s="94"/>
      <c r="I11470" s="94"/>
      <c r="K11470" s="94"/>
      <c r="M11470" s="94"/>
    </row>
    <row r="11471" s="93" customFormat="1" spans="3:13">
      <c r="C11471" s="94"/>
      <c r="E11471" s="94"/>
      <c r="G11471" s="94"/>
      <c r="I11471" s="94"/>
      <c r="K11471" s="94"/>
      <c r="M11471" s="94"/>
    </row>
    <row r="11472" s="93" customFormat="1" spans="3:13">
      <c r="C11472" s="94"/>
      <c r="E11472" s="94"/>
      <c r="G11472" s="94"/>
      <c r="I11472" s="94"/>
      <c r="K11472" s="94"/>
      <c r="M11472" s="94"/>
    </row>
    <row r="11473" s="93" customFormat="1" spans="3:13">
      <c r="C11473" s="94"/>
      <c r="E11473" s="94"/>
      <c r="G11473" s="94"/>
      <c r="I11473" s="94"/>
      <c r="K11473" s="94"/>
      <c r="M11473" s="94"/>
    </row>
    <row r="11474" s="93" customFormat="1" spans="3:13">
      <c r="C11474" s="94"/>
      <c r="E11474" s="94"/>
      <c r="G11474" s="94"/>
      <c r="I11474" s="94"/>
      <c r="K11474" s="94"/>
      <c r="M11474" s="94"/>
    </row>
    <row r="11475" s="93" customFormat="1" spans="3:13">
      <c r="C11475" s="94"/>
      <c r="E11475" s="94"/>
      <c r="G11475" s="94"/>
      <c r="I11475" s="94"/>
      <c r="K11475" s="94"/>
      <c r="M11475" s="94"/>
    </row>
    <row r="11476" s="93" customFormat="1" spans="3:13">
      <c r="C11476" s="94"/>
      <c r="E11476" s="94"/>
      <c r="G11476" s="94"/>
      <c r="I11476" s="94"/>
      <c r="K11476" s="94"/>
      <c r="M11476" s="94"/>
    </row>
    <row r="11477" s="93" customFormat="1" spans="3:13">
      <c r="C11477" s="94"/>
      <c r="E11477" s="94"/>
      <c r="G11477" s="94"/>
      <c r="I11477" s="94"/>
      <c r="K11477" s="94"/>
      <c r="M11477" s="94"/>
    </row>
    <row r="11478" s="93" customFormat="1" spans="3:13">
      <c r="C11478" s="94"/>
      <c r="E11478" s="94"/>
      <c r="G11478" s="94"/>
      <c r="I11478" s="94"/>
      <c r="K11478" s="94"/>
      <c r="M11478" s="94"/>
    </row>
    <row r="11479" s="93" customFormat="1" spans="3:13">
      <c r="C11479" s="94"/>
      <c r="E11479" s="94"/>
      <c r="G11479" s="94"/>
      <c r="I11479" s="94"/>
      <c r="K11479" s="94"/>
      <c r="M11479" s="94"/>
    </row>
    <row r="11480" s="93" customFormat="1" spans="3:13">
      <c r="C11480" s="94"/>
      <c r="E11480" s="94"/>
      <c r="G11480" s="94"/>
      <c r="I11480" s="94"/>
      <c r="K11480" s="94"/>
      <c r="M11480" s="94"/>
    </row>
    <row r="11481" s="93" customFormat="1" spans="3:13">
      <c r="C11481" s="94"/>
      <c r="E11481" s="94"/>
      <c r="G11481" s="94"/>
      <c r="I11481" s="94"/>
      <c r="K11481" s="94"/>
      <c r="M11481" s="94"/>
    </row>
    <row r="11482" s="93" customFormat="1" spans="3:13">
      <c r="C11482" s="94"/>
      <c r="E11482" s="94"/>
      <c r="G11482" s="94"/>
      <c r="I11482" s="94"/>
      <c r="K11482" s="94"/>
      <c r="M11482" s="94"/>
    </row>
    <row r="11483" s="93" customFormat="1" spans="3:13">
      <c r="C11483" s="94"/>
      <c r="E11483" s="94"/>
      <c r="G11483" s="94"/>
      <c r="I11483" s="94"/>
      <c r="K11483" s="94"/>
      <c r="M11483" s="94"/>
    </row>
    <row r="11484" s="93" customFormat="1" spans="3:13">
      <c r="C11484" s="94"/>
      <c r="E11484" s="94"/>
      <c r="G11484" s="94"/>
      <c r="I11484" s="94"/>
      <c r="K11484" s="94"/>
      <c r="M11484" s="94"/>
    </row>
    <row r="11485" s="93" customFormat="1" spans="3:13">
      <c r="C11485" s="94"/>
      <c r="E11485" s="94"/>
      <c r="G11485" s="94"/>
      <c r="I11485" s="94"/>
      <c r="K11485" s="94"/>
      <c r="M11485" s="94"/>
    </row>
    <row r="11486" s="93" customFormat="1" spans="3:13">
      <c r="C11486" s="94"/>
      <c r="E11486" s="94"/>
      <c r="G11486" s="94"/>
      <c r="I11486" s="94"/>
      <c r="K11486" s="94"/>
      <c r="M11486" s="94"/>
    </row>
    <row r="11487" s="93" customFormat="1" spans="3:13">
      <c r="C11487" s="94"/>
      <c r="E11487" s="94"/>
      <c r="G11487" s="94"/>
      <c r="I11487" s="94"/>
      <c r="K11487" s="94"/>
      <c r="M11487" s="94"/>
    </row>
    <row r="11488" s="93" customFormat="1" spans="3:13">
      <c r="C11488" s="94"/>
      <c r="E11488" s="94"/>
      <c r="G11488" s="94"/>
      <c r="I11488" s="94"/>
      <c r="K11488" s="94"/>
      <c r="M11488" s="94"/>
    </row>
    <row r="11489" s="93" customFormat="1" spans="3:13">
      <c r="C11489" s="94"/>
      <c r="E11489" s="94"/>
      <c r="G11489" s="94"/>
      <c r="I11489" s="94"/>
      <c r="K11489" s="94"/>
      <c r="M11489" s="94"/>
    </row>
    <row r="11490" s="93" customFormat="1" spans="3:13">
      <c r="C11490" s="94"/>
      <c r="E11490" s="94"/>
      <c r="G11490" s="94"/>
      <c r="I11490" s="94"/>
      <c r="K11490" s="94"/>
      <c r="M11490" s="94"/>
    </row>
    <row r="11491" s="93" customFormat="1" spans="3:13">
      <c r="C11491" s="94"/>
      <c r="E11491" s="94"/>
      <c r="G11491" s="94"/>
      <c r="I11491" s="94"/>
      <c r="K11491" s="94"/>
      <c r="M11491" s="94"/>
    </row>
    <row r="11492" s="93" customFormat="1" spans="3:13">
      <c r="C11492" s="94"/>
      <c r="E11492" s="94"/>
      <c r="G11492" s="94"/>
      <c r="I11492" s="94"/>
      <c r="K11492" s="94"/>
      <c r="M11492" s="94"/>
    </row>
    <row r="11493" s="93" customFormat="1" spans="3:13">
      <c r="C11493" s="94"/>
      <c r="E11493" s="94"/>
      <c r="G11493" s="94"/>
      <c r="I11493" s="94"/>
      <c r="K11493" s="94"/>
      <c r="M11493" s="94"/>
    </row>
    <row r="11494" s="93" customFormat="1" spans="3:13">
      <c r="C11494" s="94"/>
      <c r="E11494" s="94"/>
      <c r="G11494" s="94"/>
      <c r="I11494" s="94"/>
      <c r="K11494" s="94"/>
      <c r="M11494" s="94"/>
    </row>
    <row r="11495" s="93" customFormat="1" spans="3:13">
      <c r="C11495" s="94"/>
      <c r="E11495" s="94"/>
      <c r="G11495" s="94"/>
      <c r="I11495" s="94"/>
      <c r="K11495" s="94"/>
      <c r="M11495" s="94"/>
    </row>
    <row r="11496" s="93" customFormat="1" spans="3:13">
      <c r="C11496" s="94"/>
      <c r="E11496" s="94"/>
      <c r="G11496" s="94"/>
      <c r="I11496" s="94"/>
      <c r="K11496" s="94"/>
      <c r="M11496" s="94"/>
    </row>
    <row r="11497" s="93" customFormat="1" spans="3:13">
      <c r="C11497" s="94"/>
      <c r="E11497" s="94"/>
      <c r="G11497" s="94"/>
      <c r="I11497" s="94"/>
      <c r="K11497" s="94"/>
      <c r="M11497" s="94"/>
    </row>
    <row r="11498" s="93" customFormat="1" spans="3:13">
      <c r="C11498" s="94"/>
      <c r="E11498" s="94"/>
      <c r="G11498" s="94"/>
      <c r="I11498" s="94"/>
      <c r="K11498" s="94"/>
      <c r="M11498" s="94"/>
    </row>
    <row r="11499" s="93" customFormat="1" spans="3:13">
      <c r="C11499" s="94"/>
      <c r="E11499" s="94"/>
      <c r="G11499" s="94"/>
      <c r="I11499" s="94"/>
      <c r="K11499" s="94"/>
      <c r="M11499" s="94"/>
    </row>
    <row r="11500" s="93" customFormat="1" spans="3:13">
      <c r="C11500" s="94"/>
      <c r="E11500" s="94"/>
      <c r="G11500" s="94"/>
      <c r="I11500" s="94"/>
      <c r="K11500" s="94"/>
      <c r="M11500" s="94"/>
    </row>
    <row r="11501" s="93" customFormat="1" spans="3:13">
      <c r="C11501" s="94"/>
      <c r="E11501" s="94"/>
      <c r="G11501" s="94"/>
      <c r="I11501" s="94"/>
      <c r="K11501" s="94"/>
      <c r="M11501" s="94"/>
    </row>
    <row r="11502" s="93" customFormat="1" spans="3:13">
      <c r="C11502" s="94"/>
      <c r="E11502" s="94"/>
      <c r="G11502" s="94"/>
      <c r="I11502" s="94"/>
      <c r="K11502" s="94"/>
      <c r="M11502" s="94"/>
    </row>
    <row r="11503" s="93" customFormat="1" spans="3:13">
      <c r="C11503" s="94"/>
      <c r="E11503" s="94"/>
      <c r="G11503" s="94"/>
      <c r="I11503" s="94"/>
      <c r="K11503" s="94"/>
      <c r="M11503" s="94"/>
    </row>
    <row r="11504" s="93" customFormat="1" spans="3:13">
      <c r="C11504" s="94"/>
      <c r="E11504" s="94"/>
      <c r="G11504" s="94"/>
      <c r="I11504" s="94"/>
      <c r="K11504" s="94"/>
      <c r="M11504" s="94"/>
    </row>
    <row r="11505" s="93" customFormat="1" spans="3:13">
      <c r="C11505" s="94"/>
      <c r="E11505" s="94"/>
      <c r="G11505" s="94"/>
      <c r="I11505" s="94"/>
      <c r="K11505" s="94"/>
      <c r="M11505" s="94"/>
    </row>
    <row r="11506" s="93" customFormat="1" spans="3:13">
      <c r="C11506" s="94"/>
      <c r="E11506" s="94"/>
      <c r="G11506" s="94"/>
      <c r="I11506" s="94"/>
      <c r="K11506" s="94"/>
      <c r="M11506" s="94"/>
    </row>
    <row r="11507" s="93" customFormat="1" spans="3:13">
      <c r="C11507" s="94"/>
      <c r="E11507" s="94"/>
      <c r="G11507" s="94"/>
      <c r="I11507" s="94"/>
      <c r="K11507" s="94"/>
      <c r="M11507" s="94"/>
    </row>
    <row r="11508" s="93" customFormat="1" spans="3:13">
      <c r="C11508" s="94"/>
      <c r="E11508" s="94"/>
      <c r="G11508" s="94"/>
      <c r="I11508" s="94"/>
      <c r="K11508" s="94"/>
      <c r="M11508" s="94"/>
    </row>
    <row r="11509" s="93" customFormat="1" spans="3:13">
      <c r="C11509" s="94"/>
      <c r="E11509" s="94"/>
      <c r="G11509" s="94"/>
      <c r="I11509" s="94"/>
      <c r="K11509" s="94"/>
      <c r="M11509" s="94"/>
    </row>
    <row r="11510" s="93" customFormat="1" spans="3:13">
      <c r="C11510" s="94"/>
      <c r="E11510" s="94"/>
      <c r="G11510" s="94"/>
      <c r="I11510" s="94"/>
      <c r="K11510" s="94"/>
      <c r="M11510" s="94"/>
    </row>
    <row r="11511" s="93" customFormat="1" spans="3:13">
      <c r="C11511" s="94"/>
      <c r="E11511" s="94"/>
      <c r="G11511" s="94"/>
      <c r="I11511" s="94"/>
      <c r="K11511" s="94"/>
      <c r="M11511" s="94"/>
    </row>
    <row r="11512" s="93" customFormat="1" spans="3:13">
      <c r="C11512" s="94"/>
      <c r="E11512" s="94"/>
      <c r="G11512" s="94"/>
      <c r="I11512" s="94"/>
      <c r="K11512" s="94"/>
      <c r="M11512" s="94"/>
    </row>
    <row r="11513" s="93" customFormat="1" spans="3:13">
      <c r="C11513" s="94"/>
      <c r="E11513" s="94"/>
      <c r="G11513" s="94"/>
      <c r="I11513" s="94"/>
      <c r="K11513" s="94"/>
      <c r="M11513" s="94"/>
    </row>
    <row r="11514" s="93" customFormat="1" spans="3:13">
      <c r="C11514" s="94"/>
      <c r="E11514" s="94"/>
      <c r="G11514" s="94"/>
      <c r="I11514" s="94"/>
      <c r="K11514" s="94"/>
      <c r="M11514" s="94"/>
    </row>
    <row r="11515" s="93" customFormat="1" spans="3:13">
      <c r="C11515" s="94"/>
      <c r="E11515" s="94"/>
      <c r="G11515" s="94"/>
      <c r="I11515" s="94"/>
      <c r="K11515" s="94"/>
      <c r="M11515" s="94"/>
    </row>
    <row r="11516" s="93" customFormat="1" spans="3:13">
      <c r="C11516" s="94"/>
      <c r="E11516" s="94"/>
      <c r="G11516" s="94"/>
      <c r="I11516" s="94"/>
      <c r="K11516" s="94"/>
      <c r="M11516" s="94"/>
    </row>
    <row r="11517" s="93" customFormat="1" spans="3:13">
      <c r="C11517" s="94"/>
      <c r="E11517" s="94"/>
      <c r="G11517" s="94"/>
      <c r="I11517" s="94"/>
      <c r="K11517" s="94"/>
      <c r="M11517" s="94"/>
    </row>
    <row r="11518" s="93" customFormat="1" spans="3:13">
      <c r="C11518" s="94"/>
      <c r="E11518" s="94"/>
      <c r="G11518" s="94"/>
      <c r="I11518" s="94"/>
      <c r="K11518" s="94"/>
      <c r="M11518" s="94"/>
    </row>
    <row r="11519" s="93" customFormat="1" spans="3:13">
      <c r="C11519" s="94"/>
      <c r="E11519" s="94"/>
      <c r="G11519" s="94"/>
      <c r="I11519" s="94"/>
      <c r="K11519" s="94"/>
      <c r="M11519" s="94"/>
    </row>
    <row r="11520" s="93" customFormat="1" spans="3:13">
      <c r="C11520" s="94"/>
      <c r="E11520" s="94"/>
      <c r="G11520" s="94"/>
      <c r="I11520" s="94"/>
      <c r="K11520" s="94"/>
      <c r="M11520" s="94"/>
    </row>
    <row r="11521" s="93" customFormat="1" spans="3:13">
      <c r="C11521" s="94"/>
      <c r="E11521" s="94"/>
      <c r="G11521" s="94"/>
      <c r="I11521" s="94"/>
      <c r="K11521" s="94"/>
      <c r="M11521" s="94"/>
    </row>
    <row r="11522" s="93" customFormat="1" spans="3:13">
      <c r="C11522" s="94"/>
      <c r="E11522" s="94"/>
      <c r="G11522" s="94"/>
      <c r="I11522" s="94"/>
      <c r="K11522" s="94"/>
      <c r="M11522" s="94"/>
    </row>
    <row r="11523" s="93" customFormat="1" spans="3:13">
      <c r="C11523" s="94"/>
      <c r="E11523" s="94"/>
      <c r="G11523" s="94"/>
      <c r="I11523" s="94"/>
      <c r="K11523" s="94"/>
      <c r="M11523" s="94"/>
    </row>
    <row r="11524" s="93" customFormat="1" spans="3:13">
      <c r="C11524" s="94"/>
      <c r="E11524" s="94"/>
      <c r="G11524" s="94"/>
      <c r="I11524" s="94"/>
      <c r="K11524" s="94"/>
      <c r="M11524" s="94"/>
    </row>
    <row r="11525" s="93" customFormat="1" spans="3:13">
      <c r="C11525" s="94"/>
      <c r="E11525" s="94"/>
      <c r="G11525" s="94"/>
      <c r="I11525" s="94"/>
      <c r="K11525" s="94"/>
      <c r="M11525" s="94"/>
    </row>
    <row r="11526" s="93" customFormat="1" spans="3:13">
      <c r="C11526" s="94"/>
      <c r="E11526" s="94"/>
      <c r="G11526" s="94"/>
      <c r="I11526" s="94"/>
      <c r="K11526" s="94"/>
      <c r="M11526" s="94"/>
    </row>
    <row r="11527" s="93" customFormat="1" spans="3:13">
      <c r="C11527" s="94"/>
      <c r="E11527" s="94"/>
      <c r="G11527" s="94"/>
      <c r="I11527" s="94"/>
      <c r="K11527" s="94"/>
      <c r="M11527" s="94"/>
    </row>
    <row r="11528" s="93" customFormat="1" spans="3:13">
      <c r="C11528" s="94"/>
      <c r="E11528" s="94"/>
      <c r="G11528" s="94"/>
      <c r="I11528" s="94"/>
      <c r="K11528" s="94"/>
      <c r="M11528" s="94"/>
    </row>
    <row r="11529" s="93" customFormat="1" spans="3:13">
      <c r="C11529" s="94"/>
      <c r="E11529" s="94"/>
      <c r="G11529" s="94"/>
      <c r="I11529" s="94"/>
      <c r="K11529" s="94"/>
      <c r="M11529" s="94"/>
    </row>
    <row r="11530" s="93" customFormat="1" spans="3:13">
      <c r="C11530" s="94"/>
      <c r="E11530" s="94"/>
      <c r="G11530" s="94"/>
      <c r="I11530" s="94"/>
      <c r="K11530" s="94"/>
      <c r="M11530" s="94"/>
    </row>
    <row r="11531" s="93" customFormat="1" spans="3:13">
      <c r="C11531" s="94"/>
      <c r="E11531" s="94"/>
      <c r="G11531" s="94"/>
      <c r="I11531" s="94"/>
      <c r="K11531" s="94"/>
      <c r="M11531" s="94"/>
    </row>
    <row r="11532" s="93" customFormat="1" spans="3:13">
      <c r="C11532" s="94"/>
      <c r="E11532" s="94"/>
      <c r="G11532" s="94"/>
      <c r="I11532" s="94"/>
      <c r="K11532" s="94"/>
      <c r="M11532" s="94"/>
    </row>
    <row r="11533" s="93" customFormat="1" spans="3:13">
      <c r="C11533" s="94"/>
      <c r="E11533" s="94"/>
      <c r="G11533" s="94"/>
      <c r="I11533" s="94"/>
      <c r="K11533" s="94"/>
      <c r="M11533" s="94"/>
    </row>
    <row r="11534" s="93" customFormat="1" spans="3:13">
      <c r="C11534" s="94"/>
      <c r="E11534" s="94"/>
      <c r="G11534" s="94"/>
      <c r="I11534" s="94"/>
      <c r="K11534" s="94"/>
      <c r="M11534" s="94"/>
    </row>
    <row r="11535" s="93" customFormat="1" spans="3:13">
      <c r="C11535" s="94"/>
      <c r="E11535" s="94"/>
      <c r="G11535" s="94"/>
      <c r="I11535" s="94"/>
      <c r="K11535" s="94"/>
      <c r="M11535" s="94"/>
    </row>
    <row r="11536" s="93" customFormat="1" spans="3:13">
      <c r="C11536" s="94"/>
      <c r="E11536" s="94"/>
      <c r="G11536" s="94"/>
      <c r="I11536" s="94"/>
      <c r="K11536" s="94"/>
      <c r="M11536" s="94"/>
    </row>
    <row r="11537" s="93" customFormat="1" spans="3:13">
      <c r="C11537" s="94"/>
      <c r="E11537" s="94"/>
      <c r="G11537" s="94"/>
      <c r="I11537" s="94"/>
      <c r="K11537" s="94"/>
      <c r="M11537" s="94"/>
    </row>
    <row r="11538" s="93" customFormat="1" spans="3:13">
      <c r="C11538" s="94"/>
      <c r="E11538" s="94"/>
      <c r="G11538" s="94"/>
      <c r="I11538" s="94"/>
      <c r="K11538" s="94"/>
      <c r="M11538" s="94"/>
    </row>
    <row r="11539" s="93" customFormat="1" spans="3:13">
      <c r="C11539" s="94"/>
      <c r="E11539" s="94"/>
      <c r="G11539" s="94"/>
      <c r="I11539" s="94"/>
      <c r="K11539" s="94"/>
      <c r="M11539" s="94"/>
    </row>
    <row r="11540" s="93" customFormat="1" spans="3:13">
      <c r="C11540" s="94"/>
      <c r="E11540" s="94"/>
      <c r="G11540" s="94"/>
      <c r="I11540" s="94"/>
      <c r="K11540" s="94"/>
      <c r="M11540" s="94"/>
    </row>
    <row r="11541" s="93" customFormat="1" spans="3:13">
      <c r="C11541" s="94"/>
      <c r="E11541" s="94"/>
      <c r="G11541" s="94"/>
      <c r="I11541" s="94"/>
      <c r="K11541" s="94"/>
      <c r="M11541" s="94"/>
    </row>
    <row r="11542" s="93" customFormat="1" spans="3:13">
      <c r="C11542" s="94"/>
      <c r="E11542" s="94"/>
      <c r="G11542" s="94"/>
      <c r="I11542" s="94"/>
      <c r="K11542" s="94"/>
      <c r="M11542" s="94"/>
    </row>
    <row r="11543" s="93" customFormat="1" spans="3:13">
      <c r="C11543" s="94"/>
      <c r="E11543" s="94"/>
      <c r="G11543" s="94"/>
      <c r="I11543" s="94"/>
      <c r="K11543" s="94"/>
      <c r="M11543" s="94"/>
    </row>
    <row r="11544" s="93" customFormat="1" spans="3:13">
      <c r="C11544" s="94"/>
      <c r="E11544" s="94"/>
      <c r="G11544" s="94"/>
      <c r="I11544" s="94"/>
      <c r="K11544" s="94"/>
      <c r="M11544" s="94"/>
    </row>
    <row r="11545" s="93" customFormat="1" spans="3:13">
      <c r="C11545" s="94"/>
      <c r="E11545" s="94"/>
      <c r="G11545" s="94"/>
      <c r="I11545" s="94"/>
      <c r="K11545" s="94"/>
      <c r="M11545" s="94"/>
    </row>
    <row r="11546" s="93" customFormat="1" spans="3:13">
      <c r="C11546" s="94"/>
      <c r="E11546" s="94"/>
      <c r="G11546" s="94"/>
      <c r="I11546" s="94"/>
      <c r="K11546" s="94"/>
      <c r="M11546" s="94"/>
    </row>
    <row r="11547" s="93" customFormat="1" spans="3:13">
      <c r="C11547" s="94"/>
      <c r="E11547" s="94"/>
      <c r="G11547" s="94"/>
      <c r="I11547" s="94"/>
      <c r="K11547" s="94"/>
      <c r="M11547" s="94"/>
    </row>
    <row r="11548" s="93" customFormat="1" spans="3:13">
      <c r="C11548" s="94"/>
      <c r="E11548" s="94"/>
      <c r="G11548" s="94"/>
      <c r="I11548" s="94"/>
      <c r="K11548" s="94"/>
      <c r="M11548" s="94"/>
    </row>
    <row r="11549" s="93" customFormat="1" spans="3:13">
      <c r="C11549" s="94"/>
      <c r="E11549" s="94"/>
      <c r="G11549" s="94"/>
      <c r="I11549" s="94"/>
      <c r="K11549" s="94"/>
      <c r="M11549" s="94"/>
    </row>
    <row r="11550" s="93" customFormat="1" spans="3:13">
      <c r="C11550" s="94"/>
      <c r="E11550" s="94"/>
      <c r="G11550" s="94"/>
      <c r="I11550" s="94"/>
      <c r="K11550" s="94"/>
      <c r="M11550" s="94"/>
    </row>
    <row r="11551" s="93" customFormat="1" spans="3:13">
      <c r="C11551" s="94"/>
      <c r="E11551" s="94"/>
      <c r="G11551" s="94"/>
      <c r="I11551" s="94"/>
      <c r="K11551" s="94"/>
      <c r="M11551" s="94"/>
    </row>
    <row r="11552" s="93" customFormat="1" spans="3:13">
      <c r="C11552" s="94"/>
      <c r="E11552" s="94"/>
      <c r="G11552" s="94"/>
      <c r="I11552" s="94"/>
      <c r="K11552" s="94"/>
      <c r="M11552" s="94"/>
    </row>
    <row r="11553" s="93" customFormat="1" spans="3:13">
      <c r="C11553" s="94"/>
      <c r="E11553" s="94"/>
      <c r="G11553" s="94"/>
      <c r="I11553" s="94"/>
      <c r="K11553" s="94"/>
      <c r="M11553" s="94"/>
    </row>
    <row r="11554" s="93" customFormat="1" spans="3:13">
      <c r="C11554" s="94"/>
      <c r="E11554" s="94"/>
      <c r="G11554" s="94"/>
      <c r="I11554" s="94"/>
      <c r="K11554" s="94"/>
      <c r="M11554" s="94"/>
    </row>
    <row r="11555" s="93" customFormat="1" spans="3:13">
      <c r="C11555" s="94"/>
      <c r="E11555" s="94"/>
      <c r="G11555" s="94"/>
      <c r="I11555" s="94"/>
      <c r="K11555" s="94"/>
      <c r="M11555" s="94"/>
    </row>
    <row r="11556" s="93" customFormat="1" spans="3:13">
      <c r="C11556" s="94"/>
      <c r="E11556" s="94"/>
      <c r="G11556" s="94"/>
      <c r="I11556" s="94"/>
      <c r="K11556" s="94"/>
      <c r="M11556" s="94"/>
    </row>
    <row r="11557" s="93" customFormat="1" spans="3:13">
      <c r="C11557" s="94"/>
      <c r="E11557" s="94"/>
      <c r="G11557" s="94"/>
      <c r="I11557" s="94"/>
      <c r="K11557" s="94"/>
      <c r="M11557" s="94"/>
    </row>
    <row r="11558" s="93" customFormat="1" spans="3:13">
      <c r="C11558" s="94"/>
      <c r="E11558" s="94"/>
      <c r="G11558" s="94"/>
      <c r="I11558" s="94"/>
      <c r="K11558" s="94"/>
      <c r="M11558" s="94"/>
    </row>
    <row r="11559" s="93" customFormat="1" spans="3:13">
      <c r="C11559" s="94"/>
      <c r="E11559" s="94"/>
      <c r="G11559" s="94"/>
      <c r="I11559" s="94"/>
      <c r="K11559" s="94"/>
      <c r="M11559" s="94"/>
    </row>
    <row r="11560" s="93" customFormat="1" spans="3:13">
      <c r="C11560" s="94"/>
      <c r="E11560" s="94"/>
      <c r="G11560" s="94"/>
      <c r="I11560" s="94"/>
      <c r="K11560" s="94"/>
      <c r="M11560" s="94"/>
    </row>
    <row r="11561" s="93" customFormat="1" spans="3:13">
      <c r="C11561" s="94"/>
      <c r="E11561" s="94"/>
      <c r="G11561" s="94"/>
      <c r="I11561" s="94"/>
      <c r="K11561" s="94"/>
      <c r="M11561" s="94"/>
    </row>
    <row r="11562" s="93" customFormat="1" spans="3:13">
      <c r="C11562" s="94"/>
      <c r="E11562" s="94"/>
      <c r="G11562" s="94"/>
      <c r="I11562" s="94"/>
      <c r="K11562" s="94"/>
      <c r="M11562" s="94"/>
    </row>
    <row r="11563" s="93" customFormat="1" spans="3:13">
      <c r="C11563" s="94"/>
      <c r="E11563" s="94"/>
      <c r="G11563" s="94"/>
      <c r="I11563" s="94"/>
      <c r="K11563" s="94"/>
      <c r="M11563" s="94"/>
    </row>
    <row r="11564" s="93" customFormat="1" spans="3:13">
      <c r="C11564" s="94"/>
      <c r="E11564" s="94"/>
      <c r="G11564" s="94"/>
      <c r="I11564" s="94"/>
      <c r="K11564" s="94"/>
      <c r="M11564" s="94"/>
    </row>
    <row r="11565" s="93" customFormat="1" spans="3:13">
      <c r="C11565" s="94"/>
      <c r="E11565" s="94"/>
      <c r="G11565" s="94"/>
      <c r="I11565" s="94"/>
      <c r="K11565" s="94"/>
      <c r="M11565" s="94"/>
    </row>
    <row r="11566" s="93" customFormat="1" spans="3:13">
      <c r="C11566" s="94"/>
      <c r="E11566" s="94"/>
      <c r="G11566" s="94"/>
      <c r="I11566" s="94"/>
      <c r="K11566" s="94"/>
      <c r="M11566" s="94"/>
    </row>
    <row r="11567" s="93" customFormat="1" spans="3:13">
      <c r="C11567" s="94"/>
      <c r="E11567" s="94"/>
      <c r="G11567" s="94"/>
      <c r="I11567" s="94"/>
      <c r="K11567" s="94"/>
      <c r="M11567" s="94"/>
    </row>
    <row r="11568" s="93" customFormat="1" spans="3:13">
      <c r="C11568" s="94"/>
      <c r="E11568" s="94"/>
      <c r="G11568" s="94"/>
      <c r="I11568" s="94"/>
      <c r="K11568" s="94"/>
      <c r="M11568" s="94"/>
    </row>
    <row r="11569" s="93" customFormat="1" spans="3:13">
      <c r="C11569" s="94"/>
      <c r="E11569" s="94"/>
      <c r="G11569" s="94"/>
      <c r="I11569" s="94"/>
      <c r="K11569" s="94"/>
      <c r="M11569" s="94"/>
    </row>
    <row r="11570" s="93" customFormat="1" spans="3:13">
      <c r="C11570" s="94"/>
      <c r="E11570" s="94"/>
      <c r="G11570" s="94"/>
      <c r="I11570" s="94"/>
      <c r="K11570" s="94"/>
      <c r="M11570" s="94"/>
    </row>
    <row r="11571" s="93" customFormat="1" spans="3:13">
      <c r="C11571" s="94"/>
      <c r="E11571" s="94"/>
      <c r="G11571" s="94"/>
      <c r="I11571" s="94"/>
      <c r="K11571" s="94"/>
      <c r="M11571" s="94"/>
    </row>
    <row r="11572" s="93" customFormat="1" spans="3:13">
      <c r="C11572" s="94"/>
      <c r="E11572" s="94"/>
      <c r="G11572" s="94"/>
      <c r="I11572" s="94"/>
      <c r="K11572" s="94"/>
      <c r="M11572" s="94"/>
    </row>
    <row r="11573" s="93" customFormat="1" spans="3:13">
      <c r="C11573" s="94"/>
      <c r="E11573" s="94"/>
      <c r="G11573" s="94"/>
      <c r="I11573" s="94"/>
      <c r="K11573" s="94"/>
      <c r="M11573" s="94"/>
    </row>
    <row r="11574" s="93" customFormat="1" spans="3:13">
      <c r="C11574" s="94"/>
      <c r="E11574" s="94"/>
      <c r="G11574" s="94"/>
      <c r="I11574" s="94"/>
      <c r="K11574" s="94"/>
      <c r="M11574" s="94"/>
    </row>
    <row r="11575" s="93" customFormat="1" spans="3:13">
      <c r="C11575" s="94"/>
      <c r="E11575" s="94"/>
      <c r="G11575" s="94"/>
      <c r="I11575" s="94"/>
      <c r="K11575" s="94"/>
      <c r="M11575" s="94"/>
    </row>
    <row r="11576" s="93" customFormat="1" spans="3:13">
      <c r="C11576" s="94"/>
      <c r="E11576" s="94"/>
      <c r="G11576" s="94"/>
      <c r="I11576" s="94"/>
      <c r="K11576" s="94"/>
      <c r="M11576" s="94"/>
    </row>
    <row r="11577" s="93" customFormat="1" spans="3:13">
      <c r="C11577" s="94"/>
      <c r="E11577" s="94"/>
      <c r="G11577" s="94"/>
      <c r="I11577" s="94"/>
      <c r="K11577" s="94"/>
      <c r="M11577" s="94"/>
    </row>
    <row r="11578" s="93" customFormat="1" spans="3:13">
      <c r="C11578" s="94"/>
      <c r="E11578" s="94"/>
      <c r="G11578" s="94"/>
      <c r="I11578" s="94"/>
      <c r="K11578" s="94"/>
      <c r="M11578" s="94"/>
    </row>
    <row r="11579" s="93" customFormat="1" spans="3:13">
      <c r="C11579" s="94"/>
      <c r="E11579" s="94"/>
      <c r="G11579" s="94"/>
      <c r="I11579" s="94"/>
      <c r="K11579" s="94"/>
      <c r="M11579" s="94"/>
    </row>
    <row r="11580" s="93" customFormat="1" spans="3:13">
      <c r="C11580" s="94"/>
      <c r="E11580" s="94"/>
      <c r="G11580" s="94"/>
      <c r="I11580" s="94"/>
      <c r="K11580" s="94"/>
      <c r="M11580" s="94"/>
    </row>
    <row r="11581" s="93" customFormat="1" spans="3:13">
      <c r="C11581" s="94"/>
      <c r="E11581" s="94"/>
      <c r="G11581" s="94"/>
      <c r="I11581" s="94"/>
      <c r="K11581" s="94"/>
      <c r="M11581" s="94"/>
    </row>
    <row r="11582" s="93" customFormat="1" spans="3:13">
      <c r="C11582" s="94"/>
      <c r="E11582" s="94"/>
      <c r="G11582" s="94"/>
      <c r="I11582" s="94"/>
      <c r="K11582" s="94"/>
      <c r="M11582" s="94"/>
    </row>
    <row r="11583" s="93" customFormat="1" spans="3:13">
      <c r="C11583" s="94"/>
      <c r="E11583" s="94"/>
      <c r="G11583" s="94"/>
      <c r="I11583" s="94"/>
      <c r="K11583" s="94"/>
      <c r="M11583" s="94"/>
    </row>
    <row r="11584" s="93" customFormat="1" spans="3:13">
      <c r="C11584" s="94"/>
      <c r="E11584" s="94"/>
      <c r="G11584" s="94"/>
      <c r="I11584" s="94"/>
      <c r="K11584" s="94"/>
      <c r="M11584" s="94"/>
    </row>
    <row r="11585" s="93" customFormat="1" spans="3:13">
      <c r="C11585" s="94"/>
      <c r="E11585" s="94"/>
      <c r="G11585" s="94"/>
      <c r="I11585" s="94"/>
      <c r="K11585" s="94"/>
      <c r="M11585" s="94"/>
    </row>
    <row r="11586" s="93" customFormat="1" spans="3:13">
      <c r="C11586" s="94"/>
      <c r="E11586" s="94"/>
      <c r="G11586" s="94"/>
      <c r="I11586" s="94"/>
      <c r="K11586" s="94"/>
      <c r="M11586" s="94"/>
    </row>
    <row r="11587" s="93" customFormat="1" spans="3:13">
      <c r="C11587" s="94"/>
      <c r="E11587" s="94"/>
      <c r="G11587" s="94"/>
      <c r="I11587" s="94"/>
      <c r="K11587" s="94"/>
      <c r="M11587" s="94"/>
    </row>
    <row r="11588" s="93" customFormat="1" spans="3:13">
      <c r="C11588" s="94"/>
      <c r="E11588" s="94"/>
      <c r="G11588" s="94"/>
      <c r="I11588" s="94"/>
      <c r="K11588" s="94"/>
      <c r="M11588" s="94"/>
    </row>
    <row r="11589" s="93" customFormat="1" spans="3:13">
      <c r="C11589" s="94"/>
      <c r="E11589" s="94"/>
      <c r="G11589" s="94"/>
      <c r="I11589" s="94"/>
      <c r="K11589" s="94"/>
      <c r="M11589" s="94"/>
    </row>
    <row r="11590" s="93" customFormat="1" spans="3:13">
      <c r="C11590" s="94"/>
      <c r="E11590" s="94"/>
      <c r="G11590" s="94"/>
      <c r="I11590" s="94"/>
      <c r="K11590" s="94"/>
      <c r="M11590" s="94"/>
    </row>
    <row r="11591" s="93" customFormat="1" spans="3:13">
      <c r="C11591" s="94"/>
      <c r="E11591" s="94"/>
      <c r="G11591" s="94"/>
      <c r="I11591" s="94"/>
      <c r="K11591" s="94"/>
      <c r="M11591" s="94"/>
    </row>
    <row r="11592" s="93" customFormat="1" spans="3:13">
      <c r="C11592" s="94"/>
      <c r="E11592" s="94"/>
      <c r="G11592" s="94"/>
      <c r="I11592" s="94"/>
      <c r="K11592" s="94"/>
      <c r="M11592" s="94"/>
    </row>
    <row r="11593" s="93" customFormat="1" spans="3:13">
      <c r="C11593" s="94"/>
      <c r="E11593" s="94"/>
      <c r="G11593" s="94"/>
      <c r="I11593" s="94"/>
      <c r="K11593" s="94"/>
      <c r="M11593" s="94"/>
    </row>
    <row r="11594" s="93" customFormat="1" spans="3:13">
      <c r="C11594" s="94"/>
      <c r="E11594" s="94"/>
      <c r="G11594" s="94"/>
      <c r="I11594" s="94"/>
      <c r="K11594" s="94"/>
      <c r="M11594" s="94"/>
    </row>
    <row r="11595" s="93" customFormat="1" spans="3:13">
      <c r="C11595" s="94"/>
      <c r="E11595" s="94"/>
      <c r="G11595" s="94"/>
      <c r="I11595" s="94"/>
      <c r="K11595" s="94"/>
      <c r="M11595" s="94"/>
    </row>
    <row r="11596" s="93" customFormat="1" spans="3:13">
      <c r="C11596" s="94"/>
      <c r="E11596" s="94"/>
      <c r="G11596" s="94"/>
      <c r="I11596" s="94"/>
      <c r="K11596" s="94"/>
      <c r="M11596" s="94"/>
    </row>
    <row r="11597" s="93" customFormat="1" spans="3:13">
      <c r="C11597" s="94"/>
      <c r="E11597" s="94"/>
      <c r="G11597" s="94"/>
      <c r="I11597" s="94"/>
      <c r="K11597" s="94"/>
      <c r="M11597" s="94"/>
    </row>
    <row r="11598" s="93" customFormat="1" spans="3:13">
      <c r="C11598" s="94"/>
      <c r="E11598" s="94"/>
      <c r="G11598" s="94"/>
      <c r="I11598" s="94"/>
      <c r="K11598" s="94"/>
      <c r="M11598" s="94"/>
    </row>
    <row r="11599" s="93" customFormat="1" spans="3:13">
      <c r="C11599" s="94"/>
      <c r="E11599" s="94"/>
      <c r="G11599" s="94"/>
      <c r="I11599" s="94"/>
      <c r="K11599" s="94"/>
      <c r="M11599" s="94"/>
    </row>
    <row r="11600" s="93" customFormat="1" spans="3:13">
      <c r="C11600" s="94"/>
      <c r="E11600" s="94"/>
      <c r="G11600" s="94"/>
      <c r="I11600" s="94"/>
      <c r="K11600" s="94"/>
      <c r="M11600" s="94"/>
    </row>
    <row r="11601" s="93" customFormat="1" spans="3:13">
      <c r="C11601" s="94"/>
      <c r="E11601" s="94"/>
      <c r="G11601" s="94"/>
      <c r="I11601" s="94"/>
      <c r="K11601" s="94"/>
      <c r="M11601" s="94"/>
    </row>
    <row r="11602" s="93" customFormat="1" spans="3:13">
      <c r="C11602" s="94"/>
      <c r="E11602" s="94"/>
      <c r="G11602" s="94"/>
      <c r="I11602" s="94"/>
      <c r="K11602" s="94"/>
      <c r="M11602" s="94"/>
    </row>
    <row r="11603" s="93" customFormat="1" spans="3:13">
      <c r="C11603" s="94"/>
      <c r="E11603" s="94"/>
      <c r="G11603" s="94"/>
      <c r="I11603" s="94"/>
      <c r="K11603" s="94"/>
      <c r="M11603" s="94"/>
    </row>
    <row r="11604" s="93" customFormat="1" spans="3:13">
      <c r="C11604" s="94"/>
      <c r="E11604" s="94"/>
      <c r="G11604" s="94"/>
      <c r="I11604" s="94"/>
      <c r="K11604" s="94"/>
      <c r="M11604" s="94"/>
    </row>
    <row r="11605" s="93" customFormat="1" spans="3:13">
      <c r="C11605" s="94"/>
      <c r="E11605" s="94"/>
      <c r="G11605" s="94"/>
      <c r="I11605" s="94"/>
      <c r="K11605" s="94"/>
      <c r="M11605" s="94"/>
    </row>
    <row r="11606" s="93" customFormat="1" spans="3:13">
      <c r="C11606" s="94"/>
      <c r="E11606" s="94"/>
      <c r="G11606" s="94"/>
      <c r="I11606" s="94"/>
      <c r="K11606" s="94"/>
      <c r="M11606" s="94"/>
    </row>
    <row r="11607" s="93" customFormat="1" spans="3:13">
      <c r="C11607" s="94"/>
      <c r="E11607" s="94"/>
      <c r="G11607" s="94"/>
      <c r="I11607" s="94"/>
      <c r="K11607" s="94"/>
      <c r="M11607" s="94"/>
    </row>
    <row r="11608" s="93" customFormat="1" spans="3:13">
      <c r="C11608" s="94"/>
      <c r="E11608" s="94"/>
      <c r="G11608" s="94"/>
      <c r="I11608" s="94"/>
      <c r="K11608" s="94"/>
      <c r="M11608" s="94"/>
    </row>
    <row r="11609" s="93" customFormat="1" spans="3:13">
      <c r="C11609" s="94"/>
      <c r="E11609" s="94"/>
      <c r="G11609" s="94"/>
      <c r="I11609" s="94"/>
      <c r="K11609" s="94"/>
      <c r="M11609" s="94"/>
    </row>
    <row r="11610" s="93" customFormat="1" spans="3:13">
      <c r="C11610" s="94"/>
      <c r="E11610" s="94"/>
      <c r="G11610" s="94"/>
      <c r="I11610" s="94"/>
      <c r="K11610" s="94"/>
      <c r="M11610" s="94"/>
    </row>
    <row r="11611" s="93" customFormat="1" spans="3:13">
      <c r="C11611" s="94"/>
      <c r="E11611" s="94"/>
      <c r="G11611" s="94"/>
      <c r="I11611" s="94"/>
      <c r="K11611" s="94"/>
      <c r="M11611" s="94"/>
    </row>
    <row r="11612" s="93" customFormat="1" spans="3:13">
      <c r="C11612" s="94"/>
      <c r="E11612" s="94"/>
      <c r="G11612" s="94"/>
      <c r="I11612" s="94"/>
      <c r="K11612" s="94"/>
      <c r="M11612" s="94"/>
    </row>
    <row r="11613" s="93" customFormat="1" spans="3:13">
      <c r="C11613" s="94"/>
      <c r="E11613" s="94"/>
      <c r="G11613" s="94"/>
      <c r="I11613" s="94"/>
      <c r="K11613" s="94"/>
      <c r="M11613" s="94"/>
    </row>
    <row r="11614" s="93" customFormat="1" spans="3:13">
      <c r="C11614" s="94"/>
      <c r="E11614" s="94"/>
      <c r="G11614" s="94"/>
      <c r="I11614" s="94"/>
      <c r="K11614" s="94"/>
      <c r="M11614" s="94"/>
    </row>
    <row r="11615" s="93" customFormat="1" spans="3:13">
      <c r="C11615" s="94"/>
      <c r="E11615" s="94"/>
      <c r="G11615" s="94"/>
      <c r="I11615" s="94"/>
      <c r="K11615" s="94"/>
      <c r="M11615" s="94"/>
    </row>
    <row r="11616" s="93" customFormat="1" spans="3:13">
      <c r="C11616" s="94"/>
      <c r="E11616" s="94"/>
      <c r="G11616" s="94"/>
      <c r="I11616" s="94"/>
      <c r="K11616" s="94"/>
      <c r="M11616" s="94"/>
    </row>
    <row r="11617" s="93" customFormat="1" spans="3:13">
      <c r="C11617" s="94"/>
      <c r="E11617" s="94"/>
      <c r="G11617" s="94"/>
      <c r="I11617" s="94"/>
      <c r="K11617" s="94"/>
      <c r="M11617" s="94"/>
    </row>
    <row r="11618" s="93" customFormat="1" spans="3:13">
      <c r="C11618" s="94"/>
      <c r="E11618" s="94"/>
      <c r="G11618" s="94"/>
      <c r="I11618" s="94"/>
      <c r="K11618" s="94"/>
      <c r="M11618" s="94"/>
    </row>
    <row r="11619" s="93" customFormat="1" spans="3:13">
      <c r="C11619" s="94"/>
      <c r="E11619" s="94"/>
      <c r="G11619" s="94"/>
      <c r="I11619" s="94"/>
      <c r="K11619" s="94"/>
      <c r="M11619" s="94"/>
    </row>
    <row r="11620" s="93" customFormat="1" spans="3:13">
      <c r="C11620" s="94"/>
      <c r="E11620" s="94"/>
      <c r="G11620" s="94"/>
      <c r="I11620" s="94"/>
      <c r="K11620" s="94"/>
      <c r="M11620" s="94"/>
    </row>
    <row r="11621" s="93" customFormat="1" spans="3:13">
      <c r="C11621" s="94"/>
      <c r="E11621" s="94"/>
      <c r="G11621" s="94"/>
      <c r="I11621" s="94"/>
      <c r="K11621" s="94"/>
      <c r="M11621" s="94"/>
    </row>
    <row r="11622" s="93" customFormat="1" spans="3:13">
      <c r="C11622" s="94"/>
      <c r="E11622" s="94"/>
      <c r="G11622" s="94"/>
      <c r="I11622" s="94"/>
      <c r="K11622" s="94"/>
      <c r="M11622" s="94"/>
    </row>
    <row r="11623" s="93" customFormat="1" spans="3:13">
      <c r="C11623" s="94"/>
      <c r="E11623" s="94"/>
      <c r="G11623" s="94"/>
      <c r="I11623" s="94"/>
      <c r="K11623" s="94"/>
      <c r="M11623" s="94"/>
    </row>
    <row r="11624" s="93" customFormat="1" spans="3:13">
      <c r="C11624" s="94"/>
      <c r="E11624" s="94"/>
      <c r="G11624" s="94"/>
      <c r="I11624" s="94"/>
      <c r="K11624" s="94"/>
      <c r="M11624" s="94"/>
    </row>
    <row r="11625" s="93" customFormat="1" spans="3:13">
      <c r="C11625" s="94"/>
      <c r="E11625" s="94"/>
      <c r="G11625" s="94"/>
      <c r="I11625" s="94"/>
      <c r="K11625" s="94"/>
      <c r="M11625" s="94"/>
    </row>
    <row r="11626" s="93" customFormat="1" spans="3:13">
      <c r="C11626" s="94"/>
      <c r="E11626" s="94"/>
      <c r="G11626" s="94"/>
      <c r="I11626" s="94"/>
      <c r="K11626" s="94"/>
      <c r="M11626" s="94"/>
    </row>
    <row r="11627" s="93" customFormat="1" spans="3:13">
      <c r="C11627" s="94"/>
      <c r="E11627" s="94"/>
      <c r="G11627" s="94"/>
      <c r="I11627" s="94"/>
      <c r="K11627" s="94"/>
      <c r="M11627" s="94"/>
    </row>
    <row r="11628" s="93" customFormat="1" spans="3:13">
      <c r="C11628" s="94"/>
      <c r="E11628" s="94"/>
      <c r="G11628" s="94"/>
      <c r="I11628" s="94"/>
      <c r="K11628" s="94"/>
      <c r="M11628" s="94"/>
    </row>
    <row r="11629" s="93" customFormat="1" spans="3:13">
      <c r="C11629" s="94"/>
      <c r="E11629" s="94"/>
      <c r="G11629" s="94"/>
      <c r="I11629" s="94"/>
      <c r="K11629" s="94"/>
      <c r="M11629" s="94"/>
    </row>
    <row r="11630" s="93" customFormat="1" spans="3:13">
      <c r="C11630" s="94"/>
      <c r="E11630" s="94"/>
      <c r="G11630" s="94"/>
      <c r="I11630" s="94"/>
      <c r="K11630" s="94"/>
      <c r="M11630" s="94"/>
    </row>
    <row r="11631" s="93" customFormat="1" spans="3:13">
      <c r="C11631" s="94"/>
      <c r="E11631" s="94"/>
      <c r="G11631" s="94"/>
      <c r="I11631" s="94"/>
      <c r="K11631" s="94"/>
      <c r="M11631" s="94"/>
    </row>
    <row r="11632" s="93" customFormat="1" spans="3:13">
      <c r="C11632" s="94"/>
      <c r="E11632" s="94"/>
      <c r="G11632" s="94"/>
      <c r="I11632" s="94"/>
      <c r="K11632" s="94"/>
      <c r="M11632" s="94"/>
    </row>
    <row r="11633" s="93" customFormat="1" spans="3:13">
      <c r="C11633" s="94"/>
      <c r="E11633" s="94"/>
      <c r="G11633" s="94"/>
      <c r="I11633" s="94"/>
      <c r="K11633" s="94"/>
      <c r="M11633" s="94"/>
    </row>
    <row r="11634" s="93" customFormat="1" spans="3:13">
      <c r="C11634" s="94"/>
      <c r="E11634" s="94"/>
      <c r="G11634" s="94"/>
      <c r="I11634" s="94"/>
      <c r="K11634" s="94"/>
      <c r="M11634" s="94"/>
    </row>
    <row r="11635" s="93" customFormat="1" spans="3:13">
      <c r="C11635" s="94"/>
      <c r="E11635" s="94"/>
      <c r="G11635" s="94"/>
      <c r="I11635" s="94"/>
      <c r="K11635" s="94"/>
      <c r="M11635" s="94"/>
    </row>
    <row r="11636" s="93" customFormat="1" spans="3:13">
      <c r="C11636" s="94"/>
      <c r="E11636" s="94"/>
      <c r="G11636" s="94"/>
      <c r="I11636" s="94"/>
      <c r="K11636" s="94"/>
      <c r="M11636" s="94"/>
    </row>
    <row r="11637" s="93" customFormat="1" spans="3:13">
      <c r="C11637" s="94"/>
      <c r="E11637" s="94"/>
      <c r="G11637" s="94"/>
      <c r="I11637" s="94"/>
      <c r="K11637" s="94"/>
      <c r="M11637" s="94"/>
    </row>
    <row r="11638" s="93" customFormat="1" spans="3:13">
      <c r="C11638" s="94"/>
      <c r="E11638" s="94"/>
      <c r="G11638" s="94"/>
      <c r="I11638" s="94"/>
      <c r="K11638" s="94"/>
      <c r="M11638" s="94"/>
    </row>
    <row r="11639" s="93" customFormat="1" spans="3:13">
      <c r="C11639" s="94"/>
      <c r="E11639" s="94"/>
      <c r="G11639" s="94"/>
      <c r="I11639" s="94"/>
      <c r="K11639" s="94"/>
      <c r="M11639" s="94"/>
    </row>
    <row r="11640" s="93" customFormat="1" spans="3:13">
      <c r="C11640" s="94"/>
      <c r="E11640" s="94"/>
      <c r="G11640" s="94"/>
      <c r="I11640" s="94"/>
      <c r="K11640" s="94"/>
      <c r="M11640" s="94"/>
    </row>
    <row r="11641" s="93" customFormat="1" spans="3:13">
      <c r="C11641" s="94"/>
      <c r="E11641" s="94"/>
      <c r="G11641" s="94"/>
      <c r="I11641" s="94"/>
      <c r="K11641" s="94"/>
      <c r="M11641" s="94"/>
    </row>
    <row r="11642" s="93" customFormat="1" spans="3:13">
      <c r="C11642" s="94"/>
      <c r="E11642" s="94"/>
      <c r="G11642" s="94"/>
      <c r="I11642" s="94"/>
      <c r="K11642" s="94"/>
      <c r="M11642" s="94"/>
    </row>
    <row r="11643" s="93" customFormat="1" spans="3:13">
      <c r="C11643" s="94"/>
      <c r="E11643" s="94"/>
      <c r="G11643" s="94"/>
      <c r="I11643" s="94"/>
      <c r="K11643" s="94"/>
      <c r="M11643" s="94"/>
    </row>
    <row r="11644" s="93" customFormat="1" spans="3:13">
      <c r="C11644" s="94"/>
      <c r="E11644" s="94"/>
      <c r="G11644" s="94"/>
      <c r="I11644" s="94"/>
      <c r="K11644" s="94"/>
      <c r="M11644" s="94"/>
    </row>
    <row r="11645" s="93" customFormat="1" spans="3:13">
      <c r="C11645" s="94"/>
      <c r="E11645" s="94"/>
      <c r="G11645" s="94"/>
      <c r="I11645" s="94"/>
      <c r="K11645" s="94"/>
      <c r="M11645" s="94"/>
    </row>
    <row r="11646" s="93" customFormat="1" spans="3:13">
      <c r="C11646" s="94"/>
      <c r="E11646" s="94"/>
      <c r="G11646" s="94"/>
      <c r="I11646" s="94"/>
      <c r="K11646" s="94"/>
      <c r="M11646" s="94"/>
    </row>
    <row r="11647" s="93" customFormat="1" spans="3:13">
      <c r="C11647" s="94"/>
      <c r="E11647" s="94"/>
      <c r="G11647" s="94"/>
      <c r="I11647" s="94"/>
      <c r="K11647" s="94"/>
      <c r="M11647" s="94"/>
    </row>
    <row r="11648" s="93" customFormat="1" spans="3:13">
      <c r="C11648" s="94"/>
      <c r="E11648" s="94"/>
      <c r="G11648" s="94"/>
      <c r="I11648" s="94"/>
      <c r="K11648" s="94"/>
      <c r="M11648" s="94"/>
    </row>
    <row r="11649" s="93" customFormat="1" spans="3:13">
      <c r="C11649" s="94"/>
      <c r="E11649" s="94"/>
      <c r="G11649" s="94"/>
      <c r="I11649" s="94"/>
      <c r="K11649" s="94"/>
      <c r="M11649" s="94"/>
    </row>
    <row r="11650" s="93" customFormat="1" spans="3:13">
      <c r="C11650" s="94"/>
      <c r="E11650" s="94"/>
      <c r="G11650" s="94"/>
      <c r="I11650" s="94"/>
      <c r="K11650" s="94"/>
      <c r="M11650" s="94"/>
    </row>
    <row r="11651" s="93" customFormat="1" spans="3:13">
      <c r="C11651" s="94"/>
      <c r="E11651" s="94"/>
      <c r="G11651" s="94"/>
      <c r="I11651" s="94"/>
      <c r="K11651" s="94"/>
      <c r="M11651" s="94"/>
    </row>
    <row r="11652" s="93" customFormat="1" spans="3:13">
      <c r="C11652" s="94"/>
      <c r="E11652" s="94"/>
      <c r="G11652" s="94"/>
      <c r="I11652" s="94"/>
      <c r="K11652" s="94"/>
      <c r="M11652" s="94"/>
    </row>
    <row r="11653" s="93" customFormat="1" spans="3:13">
      <c r="C11653" s="94"/>
      <c r="E11653" s="94"/>
      <c r="G11653" s="94"/>
      <c r="I11653" s="94"/>
      <c r="K11653" s="94"/>
      <c r="M11653" s="94"/>
    </row>
    <row r="11654" s="93" customFormat="1" spans="3:13">
      <c r="C11654" s="94"/>
      <c r="E11654" s="94"/>
      <c r="G11654" s="94"/>
      <c r="I11654" s="94"/>
      <c r="K11654" s="94"/>
      <c r="M11654" s="94"/>
    </row>
    <row r="11655" s="93" customFormat="1" spans="3:13">
      <c r="C11655" s="94"/>
      <c r="E11655" s="94"/>
      <c r="G11655" s="94"/>
      <c r="I11655" s="94"/>
      <c r="K11655" s="94"/>
      <c r="M11655" s="94"/>
    </row>
    <row r="11656" s="93" customFormat="1" spans="3:13">
      <c r="C11656" s="94"/>
      <c r="E11656" s="94"/>
      <c r="G11656" s="94"/>
      <c r="I11656" s="94"/>
      <c r="K11656" s="94"/>
      <c r="M11656" s="94"/>
    </row>
    <row r="11657" s="93" customFormat="1" spans="3:13">
      <c r="C11657" s="94"/>
      <c r="E11657" s="94"/>
      <c r="G11657" s="94"/>
      <c r="I11657" s="94"/>
      <c r="K11657" s="94"/>
      <c r="M11657" s="94"/>
    </row>
    <row r="11658" s="93" customFormat="1" spans="3:13">
      <c r="C11658" s="94"/>
      <c r="E11658" s="94"/>
      <c r="G11658" s="94"/>
      <c r="I11658" s="94"/>
      <c r="K11658" s="94"/>
      <c r="M11658" s="94"/>
    </row>
    <row r="11659" s="93" customFormat="1" spans="3:13">
      <c r="C11659" s="94"/>
      <c r="E11659" s="94"/>
      <c r="G11659" s="94"/>
      <c r="I11659" s="94"/>
      <c r="K11659" s="94"/>
      <c r="M11659" s="94"/>
    </row>
    <row r="11660" s="93" customFormat="1" spans="3:13">
      <c r="C11660" s="94"/>
      <c r="E11660" s="94"/>
      <c r="G11660" s="94"/>
      <c r="I11660" s="94"/>
      <c r="K11660" s="94"/>
      <c r="M11660" s="94"/>
    </row>
    <row r="11661" s="93" customFormat="1" spans="3:13">
      <c r="C11661" s="94"/>
      <c r="E11661" s="94"/>
      <c r="G11661" s="94"/>
      <c r="I11661" s="94"/>
      <c r="K11661" s="94"/>
      <c r="M11661" s="94"/>
    </row>
    <row r="11662" s="93" customFormat="1" spans="3:13">
      <c r="C11662" s="94"/>
      <c r="E11662" s="94"/>
      <c r="G11662" s="94"/>
      <c r="I11662" s="94"/>
      <c r="K11662" s="94"/>
      <c r="M11662" s="94"/>
    </row>
    <row r="11663" s="93" customFormat="1" spans="3:13">
      <c r="C11663" s="94"/>
      <c r="E11663" s="94"/>
      <c r="G11663" s="94"/>
      <c r="I11663" s="94"/>
      <c r="K11663" s="94"/>
      <c r="M11663" s="94"/>
    </row>
    <row r="11664" s="93" customFormat="1" spans="3:13">
      <c r="C11664" s="94"/>
      <c r="E11664" s="94"/>
      <c r="G11664" s="94"/>
      <c r="I11664" s="94"/>
      <c r="K11664" s="94"/>
      <c r="M11664" s="94"/>
    </row>
    <row r="11665" s="93" customFormat="1" spans="3:13">
      <c r="C11665" s="94"/>
      <c r="E11665" s="94"/>
      <c r="G11665" s="94"/>
      <c r="I11665" s="94"/>
      <c r="K11665" s="94"/>
      <c r="M11665" s="94"/>
    </row>
    <row r="11666" s="93" customFormat="1" spans="3:13">
      <c r="C11666" s="94"/>
      <c r="E11666" s="94"/>
      <c r="G11666" s="94"/>
      <c r="I11666" s="94"/>
      <c r="K11666" s="94"/>
      <c r="M11666" s="94"/>
    </row>
    <row r="11667" s="93" customFormat="1" spans="3:13">
      <c r="C11667" s="94"/>
      <c r="E11667" s="94"/>
      <c r="G11667" s="94"/>
      <c r="I11667" s="94"/>
      <c r="K11667" s="94"/>
      <c r="M11667" s="94"/>
    </row>
    <row r="11668" s="93" customFormat="1" spans="3:13">
      <c r="C11668" s="94"/>
      <c r="E11668" s="94"/>
      <c r="G11668" s="94"/>
      <c r="I11668" s="94"/>
      <c r="K11668" s="94"/>
      <c r="M11668" s="94"/>
    </row>
    <row r="11669" s="93" customFormat="1" spans="3:13">
      <c r="C11669" s="94"/>
      <c r="E11669" s="94"/>
      <c r="G11669" s="94"/>
      <c r="I11669" s="94"/>
      <c r="K11669" s="94"/>
      <c r="M11669" s="94"/>
    </row>
    <row r="11670" s="93" customFormat="1" spans="3:13">
      <c r="C11670" s="94"/>
      <c r="E11670" s="94"/>
      <c r="G11670" s="94"/>
      <c r="I11670" s="94"/>
      <c r="K11670" s="94"/>
      <c r="M11670" s="94"/>
    </row>
    <row r="11671" s="93" customFormat="1" spans="3:13">
      <c r="C11671" s="94"/>
      <c r="E11671" s="94"/>
      <c r="G11671" s="94"/>
      <c r="I11671" s="94"/>
      <c r="K11671" s="94"/>
      <c r="M11671" s="94"/>
    </row>
    <row r="11672" s="93" customFormat="1" spans="3:13">
      <c r="C11672" s="94"/>
      <c r="E11672" s="94"/>
      <c r="G11672" s="94"/>
      <c r="I11672" s="94"/>
      <c r="K11672" s="94"/>
      <c r="M11672" s="94"/>
    </row>
    <row r="11673" s="93" customFormat="1" spans="3:13">
      <c r="C11673" s="94"/>
      <c r="E11673" s="94"/>
      <c r="G11673" s="94"/>
      <c r="I11673" s="94"/>
      <c r="K11673" s="94"/>
      <c r="M11673" s="94"/>
    </row>
    <row r="11674" s="93" customFormat="1" spans="3:13">
      <c r="C11674" s="94"/>
      <c r="E11674" s="94"/>
      <c r="G11674" s="94"/>
      <c r="I11674" s="94"/>
      <c r="K11674" s="94"/>
      <c r="M11674" s="94"/>
    </row>
    <row r="11675" s="93" customFormat="1" spans="3:13">
      <c r="C11675" s="94"/>
      <c r="E11675" s="94"/>
      <c r="G11675" s="94"/>
      <c r="I11675" s="94"/>
      <c r="K11675" s="94"/>
      <c r="M11675" s="94"/>
    </row>
    <row r="11676" s="93" customFormat="1" spans="3:13">
      <c r="C11676" s="94"/>
      <c r="E11676" s="94"/>
      <c r="G11676" s="94"/>
      <c r="I11676" s="94"/>
      <c r="K11676" s="94"/>
      <c r="M11676" s="94"/>
    </row>
    <row r="11677" s="93" customFormat="1" spans="3:13">
      <c r="C11677" s="94"/>
      <c r="E11677" s="94"/>
      <c r="G11677" s="94"/>
      <c r="I11677" s="94"/>
      <c r="K11677" s="94"/>
      <c r="M11677" s="94"/>
    </row>
    <row r="11678" s="93" customFormat="1" spans="3:13">
      <c r="C11678" s="94"/>
      <c r="E11678" s="94"/>
      <c r="G11678" s="94"/>
      <c r="I11678" s="94"/>
      <c r="K11678" s="94"/>
      <c r="M11678" s="94"/>
    </row>
    <row r="11679" s="93" customFormat="1" spans="3:13">
      <c r="C11679" s="94"/>
      <c r="E11679" s="94"/>
      <c r="G11679" s="94"/>
      <c r="I11679" s="94"/>
      <c r="K11679" s="94"/>
      <c r="M11679" s="94"/>
    </row>
    <row r="11680" s="93" customFormat="1" spans="3:13">
      <c r="C11680" s="94"/>
      <c r="E11680" s="94"/>
      <c r="G11680" s="94"/>
      <c r="I11680" s="94"/>
      <c r="K11680" s="94"/>
      <c r="M11680" s="94"/>
    </row>
    <row r="11681" s="93" customFormat="1" spans="3:13">
      <c r="C11681" s="94"/>
      <c r="E11681" s="94"/>
      <c r="G11681" s="94"/>
      <c r="I11681" s="94"/>
      <c r="K11681" s="94"/>
      <c r="M11681" s="94"/>
    </row>
    <row r="11682" s="93" customFormat="1" spans="3:13">
      <c r="C11682" s="94"/>
      <c r="E11682" s="94"/>
      <c r="G11682" s="94"/>
      <c r="I11682" s="94"/>
      <c r="K11682" s="94"/>
      <c r="M11682" s="94"/>
    </row>
    <row r="11683" s="93" customFormat="1" spans="3:13">
      <c r="C11683" s="94"/>
      <c r="E11683" s="94"/>
      <c r="G11683" s="94"/>
      <c r="I11683" s="94"/>
      <c r="K11683" s="94"/>
      <c r="M11683" s="94"/>
    </row>
    <row r="11684" s="93" customFormat="1" spans="3:13">
      <c r="C11684" s="94"/>
      <c r="E11684" s="94"/>
      <c r="G11684" s="94"/>
      <c r="I11684" s="94"/>
      <c r="K11684" s="94"/>
      <c r="M11684" s="94"/>
    </row>
    <row r="11685" s="93" customFormat="1" spans="3:13">
      <c r="C11685" s="94"/>
      <c r="E11685" s="94"/>
      <c r="G11685" s="94"/>
      <c r="I11685" s="94"/>
      <c r="K11685" s="94"/>
      <c r="M11685" s="94"/>
    </row>
    <row r="11686" s="93" customFormat="1" spans="3:13">
      <c r="C11686" s="94"/>
      <c r="E11686" s="94"/>
      <c r="G11686" s="94"/>
      <c r="I11686" s="94"/>
      <c r="K11686" s="94"/>
      <c r="M11686" s="94"/>
    </row>
    <row r="11687" s="93" customFormat="1" spans="3:13">
      <c r="C11687" s="94"/>
      <c r="E11687" s="94"/>
      <c r="G11687" s="94"/>
      <c r="I11687" s="94"/>
      <c r="K11687" s="94"/>
      <c r="M11687" s="94"/>
    </row>
    <row r="11688" s="93" customFormat="1" spans="3:13">
      <c r="C11688" s="94"/>
      <c r="E11688" s="94"/>
      <c r="G11688" s="94"/>
      <c r="I11688" s="94"/>
      <c r="K11688" s="94"/>
      <c r="M11688" s="94"/>
    </row>
    <row r="11689" s="93" customFormat="1" spans="3:13">
      <c r="C11689" s="94"/>
      <c r="E11689" s="94"/>
      <c r="G11689" s="94"/>
      <c r="I11689" s="94"/>
      <c r="K11689" s="94"/>
      <c r="M11689" s="94"/>
    </row>
    <row r="11690" s="93" customFormat="1" spans="3:13">
      <c r="C11690" s="94"/>
      <c r="E11690" s="94"/>
      <c r="G11690" s="94"/>
      <c r="I11690" s="94"/>
      <c r="K11690" s="94"/>
      <c r="M11690" s="94"/>
    </row>
    <row r="11691" s="93" customFormat="1" spans="3:13">
      <c r="C11691" s="94"/>
      <c r="E11691" s="94"/>
      <c r="G11691" s="94"/>
      <c r="I11691" s="94"/>
      <c r="K11691" s="94"/>
      <c r="M11691" s="94"/>
    </row>
    <row r="11692" s="93" customFormat="1" spans="3:13">
      <c r="C11692" s="94"/>
      <c r="E11692" s="94"/>
      <c r="G11692" s="94"/>
      <c r="I11692" s="94"/>
      <c r="K11692" s="94"/>
      <c r="M11692" s="94"/>
    </row>
    <row r="11693" s="93" customFormat="1" spans="3:13">
      <c r="C11693" s="94"/>
      <c r="E11693" s="94"/>
      <c r="G11693" s="94"/>
      <c r="I11693" s="94"/>
      <c r="K11693" s="94"/>
      <c r="M11693" s="94"/>
    </row>
    <row r="11694" s="93" customFormat="1" spans="3:13">
      <c r="C11694" s="94"/>
      <c r="E11694" s="94"/>
      <c r="G11694" s="94"/>
      <c r="I11694" s="94"/>
      <c r="K11694" s="94"/>
      <c r="M11694" s="94"/>
    </row>
    <row r="11695" s="93" customFormat="1" spans="3:13">
      <c r="C11695" s="94"/>
      <c r="E11695" s="94"/>
      <c r="G11695" s="94"/>
      <c r="I11695" s="94"/>
      <c r="K11695" s="94"/>
      <c r="M11695" s="94"/>
    </row>
    <row r="11696" s="93" customFormat="1" spans="3:13">
      <c r="C11696" s="94"/>
      <c r="E11696" s="94"/>
      <c r="G11696" s="94"/>
      <c r="I11696" s="94"/>
      <c r="K11696" s="94"/>
      <c r="M11696" s="94"/>
    </row>
    <row r="11697" s="93" customFormat="1" spans="3:13">
      <c r="C11697" s="94"/>
      <c r="E11697" s="94"/>
      <c r="G11697" s="94"/>
      <c r="I11697" s="94"/>
      <c r="K11697" s="94"/>
      <c r="M11697" s="94"/>
    </row>
    <row r="11698" s="93" customFormat="1" spans="3:13">
      <c r="C11698" s="94"/>
      <c r="E11698" s="94"/>
      <c r="G11698" s="94"/>
      <c r="I11698" s="94"/>
      <c r="K11698" s="94"/>
      <c r="M11698" s="94"/>
    </row>
    <row r="11699" s="93" customFormat="1" spans="3:13">
      <c r="C11699" s="94"/>
      <c r="E11699" s="94"/>
      <c r="G11699" s="94"/>
      <c r="I11699" s="94"/>
      <c r="K11699" s="94"/>
      <c r="M11699" s="94"/>
    </row>
    <row r="11700" s="93" customFormat="1" spans="3:13">
      <c r="C11700" s="94"/>
      <c r="E11700" s="94"/>
      <c r="G11700" s="94"/>
      <c r="I11700" s="94"/>
      <c r="K11700" s="94"/>
      <c r="M11700" s="94"/>
    </row>
    <row r="11701" s="93" customFormat="1" spans="3:13">
      <c r="C11701" s="94"/>
      <c r="E11701" s="94"/>
      <c r="G11701" s="94"/>
      <c r="I11701" s="94"/>
      <c r="K11701" s="94"/>
      <c r="M11701" s="94"/>
    </row>
    <row r="11702" s="93" customFormat="1" spans="3:13">
      <c r="C11702" s="94"/>
      <c r="E11702" s="94"/>
      <c r="G11702" s="94"/>
      <c r="I11702" s="94"/>
      <c r="K11702" s="94"/>
      <c r="M11702" s="94"/>
    </row>
    <row r="11703" s="93" customFormat="1" spans="3:13">
      <c r="C11703" s="94"/>
      <c r="E11703" s="94"/>
      <c r="G11703" s="94"/>
      <c r="I11703" s="94"/>
      <c r="K11703" s="94"/>
      <c r="M11703" s="94"/>
    </row>
    <row r="11704" s="93" customFormat="1" spans="3:13">
      <c r="C11704" s="94"/>
      <c r="E11704" s="94"/>
      <c r="G11704" s="94"/>
      <c r="I11704" s="94"/>
      <c r="K11704" s="94"/>
      <c r="M11704" s="94"/>
    </row>
    <row r="11705" s="93" customFormat="1" spans="3:13">
      <c r="C11705" s="94"/>
      <c r="E11705" s="94"/>
      <c r="G11705" s="94"/>
      <c r="I11705" s="94"/>
      <c r="K11705" s="94"/>
      <c r="M11705" s="94"/>
    </row>
    <row r="11706" s="93" customFormat="1" spans="3:13">
      <c r="C11706" s="94"/>
      <c r="E11706" s="94"/>
      <c r="G11706" s="94"/>
      <c r="I11706" s="94"/>
      <c r="K11706" s="94"/>
      <c r="M11706" s="94"/>
    </row>
    <row r="11707" s="93" customFormat="1" spans="3:13">
      <c r="C11707" s="94"/>
      <c r="E11707" s="94"/>
      <c r="G11707" s="94"/>
      <c r="I11707" s="94"/>
      <c r="K11707" s="94"/>
      <c r="M11707" s="94"/>
    </row>
    <row r="11708" s="93" customFormat="1" spans="3:13">
      <c r="C11708" s="94"/>
      <c r="E11708" s="94"/>
      <c r="G11708" s="94"/>
      <c r="I11708" s="94"/>
      <c r="K11708" s="94"/>
      <c r="M11708" s="94"/>
    </row>
    <row r="11709" s="93" customFormat="1" spans="3:13">
      <c r="C11709" s="94"/>
      <c r="E11709" s="94"/>
      <c r="G11709" s="94"/>
      <c r="I11709" s="94"/>
      <c r="K11709" s="94"/>
      <c r="M11709" s="94"/>
    </row>
    <row r="11710" s="93" customFormat="1" spans="3:13">
      <c r="C11710" s="94"/>
      <c r="E11710" s="94"/>
      <c r="G11710" s="94"/>
      <c r="I11710" s="94"/>
      <c r="K11710" s="94"/>
      <c r="M11710" s="94"/>
    </row>
    <row r="11711" s="93" customFormat="1" spans="3:13">
      <c r="C11711" s="94"/>
      <c r="E11711" s="94"/>
      <c r="G11711" s="94"/>
      <c r="I11711" s="94"/>
      <c r="K11711" s="94"/>
      <c r="M11711" s="94"/>
    </row>
    <row r="11712" s="93" customFormat="1" spans="3:13">
      <c r="C11712" s="94"/>
      <c r="E11712" s="94"/>
      <c r="G11712" s="94"/>
      <c r="I11712" s="94"/>
      <c r="K11712" s="94"/>
      <c r="M11712" s="94"/>
    </row>
    <row r="11713" s="93" customFormat="1" spans="3:13">
      <c r="C11713" s="94"/>
      <c r="E11713" s="94"/>
      <c r="G11713" s="94"/>
      <c r="I11713" s="94"/>
      <c r="K11713" s="94"/>
      <c r="M11713" s="94"/>
    </row>
    <row r="11714" s="93" customFormat="1" spans="3:13">
      <c r="C11714" s="94"/>
      <c r="E11714" s="94"/>
      <c r="G11714" s="94"/>
      <c r="I11714" s="94"/>
      <c r="K11714" s="94"/>
      <c r="M11714" s="94"/>
    </row>
    <row r="11715" s="93" customFormat="1" spans="3:13">
      <c r="C11715" s="94"/>
      <c r="E11715" s="94"/>
      <c r="G11715" s="94"/>
      <c r="I11715" s="94"/>
      <c r="K11715" s="94"/>
      <c r="M11715" s="94"/>
    </row>
    <row r="11716" s="93" customFormat="1" spans="3:13">
      <c r="C11716" s="94"/>
      <c r="E11716" s="94"/>
      <c r="G11716" s="94"/>
      <c r="I11716" s="94"/>
      <c r="K11716" s="94"/>
      <c r="M11716" s="94"/>
    </row>
    <row r="11717" s="93" customFormat="1" spans="3:13">
      <c r="C11717" s="94"/>
      <c r="E11717" s="94"/>
      <c r="G11717" s="94"/>
      <c r="I11717" s="94"/>
      <c r="K11717" s="94"/>
      <c r="M11717" s="94"/>
    </row>
    <row r="11718" s="93" customFormat="1" spans="3:13">
      <c r="C11718" s="94"/>
      <c r="E11718" s="94"/>
      <c r="G11718" s="94"/>
      <c r="I11718" s="94"/>
      <c r="K11718" s="94"/>
      <c r="M11718" s="94"/>
    </row>
    <row r="11719" s="93" customFormat="1" spans="3:13">
      <c r="C11719" s="94"/>
      <c r="E11719" s="94"/>
      <c r="G11719" s="94"/>
      <c r="I11719" s="94"/>
      <c r="K11719" s="94"/>
      <c r="M11719" s="94"/>
    </row>
    <row r="11720" s="93" customFormat="1" spans="3:13">
      <c r="C11720" s="94"/>
      <c r="E11720" s="94"/>
      <c r="G11720" s="94"/>
      <c r="I11720" s="94"/>
      <c r="K11720" s="94"/>
      <c r="M11720" s="94"/>
    </row>
    <row r="11721" s="93" customFormat="1" spans="3:13">
      <c r="C11721" s="94"/>
      <c r="E11721" s="94"/>
      <c r="G11721" s="94"/>
      <c r="I11721" s="94"/>
      <c r="K11721" s="94"/>
      <c r="M11721" s="94"/>
    </row>
    <row r="11722" s="93" customFormat="1" spans="3:13">
      <c r="C11722" s="94"/>
      <c r="E11722" s="94"/>
      <c r="G11722" s="94"/>
      <c r="I11722" s="94"/>
      <c r="K11722" s="94"/>
      <c r="M11722" s="94"/>
    </row>
    <row r="11723" s="93" customFormat="1" spans="3:13">
      <c r="C11723" s="94"/>
      <c r="E11723" s="94"/>
      <c r="G11723" s="94"/>
      <c r="I11723" s="94"/>
      <c r="K11723" s="94"/>
      <c r="M11723" s="94"/>
    </row>
    <row r="11724" s="93" customFormat="1" spans="3:13">
      <c r="C11724" s="94"/>
      <c r="E11724" s="94"/>
      <c r="G11724" s="94"/>
      <c r="I11724" s="94"/>
      <c r="K11724" s="94"/>
      <c r="M11724" s="94"/>
    </row>
    <row r="11725" s="93" customFormat="1" spans="3:13">
      <c r="C11725" s="94"/>
      <c r="E11725" s="94"/>
      <c r="G11725" s="94"/>
      <c r="I11725" s="94"/>
      <c r="K11725" s="94"/>
      <c r="M11725" s="94"/>
    </row>
    <row r="11726" s="93" customFormat="1" spans="3:13">
      <c r="C11726" s="94"/>
      <c r="E11726" s="94"/>
      <c r="G11726" s="94"/>
      <c r="I11726" s="94"/>
      <c r="K11726" s="94"/>
      <c r="M11726" s="94"/>
    </row>
    <row r="11727" s="93" customFormat="1" spans="3:13">
      <c r="C11727" s="94"/>
      <c r="E11727" s="94"/>
      <c r="G11727" s="94"/>
      <c r="I11727" s="94"/>
      <c r="K11727" s="94"/>
      <c r="M11727" s="94"/>
    </row>
    <row r="11728" s="93" customFormat="1" spans="3:13">
      <c r="C11728" s="94"/>
      <c r="E11728" s="94"/>
      <c r="G11728" s="94"/>
      <c r="I11728" s="94"/>
      <c r="K11728" s="94"/>
      <c r="M11728" s="94"/>
    </row>
    <row r="11729" s="93" customFormat="1" spans="3:13">
      <c r="C11729" s="94"/>
      <c r="E11729" s="94"/>
      <c r="G11729" s="94"/>
      <c r="I11729" s="94"/>
      <c r="K11729" s="94"/>
      <c r="M11729" s="94"/>
    </row>
    <row r="11730" s="93" customFormat="1" spans="3:13">
      <c r="C11730" s="94"/>
      <c r="E11730" s="94"/>
      <c r="G11730" s="94"/>
      <c r="I11730" s="94"/>
      <c r="K11730" s="94"/>
      <c r="M11730" s="94"/>
    </row>
    <row r="11731" s="93" customFormat="1" spans="3:13">
      <c r="C11731" s="94"/>
      <c r="E11731" s="94"/>
      <c r="G11731" s="94"/>
      <c r="I11731" s="94"/>
      <c r="K11731" s="94"/>
      <c r="M11731" s="94"/>
    </row>
    <row r="11732" s="93" customFormat="1" spans="3:13">
      <c r="C11732" s="94"/>
      <c r="E11732" s="94"/>
      <c r="G11732" s="94"/>
      <c r="I11732" s="94"/>
      <c r="K11732" s="94"/>
      <c r="M11732" s="94"/>
    </row>
    <row r="11733" s="93" customFormat="1" spans="3:13">
      <c r="C11733" s="94"/>
      <c r="E11733" s="94"/>
      <c r="G11733" s="94"/>
      <c r="I11733" s="94"/>
      <c r="K11733" s="94"/>
      <c r="M11733" s="94"/>
    </row>
    <row r="11734" s="93" customFormat="1" spans="3:13">
      <c r="C11734" s="94"/>
      <c r="E11734" s="94"/>
      <c r="G11734" s="94"/>
      <c r="I11734" s="94"/>
      <c r="K11734" s="94"/>
      <c r="M11734" s="94"/>
    </row>
    <row r="11735" s="93" customFormat="1" spans="3:13">
      <c r="C11735" s="94"/>
      <c r="E11735" s="94"/>
      <c r="G11735" s="94"/>
      <c r="I11735" s="94"/>
      <c r="K11735" s="94"/>
      <c r="M11735" s="94"/>
    </row>
    <row r="11736" s="93" customFormat="1" spans="3:13">
      <c r="C11736" s="94"/>
      <c r="E11736" s="94"/>
      <c r="G11736" s="94"/>
      <c r="I11736" s="94"/>
      <c r="K11736" s="94"/>
      <c r="M11736" s="94"/>
    </row>
    <row r="11737" s="93" customFormat="1" spans="3:13">
      <c r="C11737" s="94"/>
      <c r="E11737" s="94"/>
      <c r="G11737" s="94"/>
      <c r="I11737" s="94"/>
      <c r="K11737" s="94"/>
      <c r="M11737" s="94"/>
    </row>
    <row r="11738" s="93" customFormat="1" spans="3:13">
      <c r="C11738" s="94"/>
      <c r="E11738" s="94"/>
      <c r="G11738" s="94"/>
      <c r="I11738" s="94"/>
      <c r="K11738" s="94"/>
      <c r="M11738" s="94"/>
    </row>
    <row r="11739" s="93" customFormat="1" spans="3:13">
      <c r="C11739" s="94"/>
      <c r="E11739" s="94"/>
      <c r="G11739" s="94"/>
      <c r="I11739" s="94"/>
      <c r="K11739" s="94"/>
      <c r="M11739" s="94"/>
    </row>
    <row r="11740" s="93" customFormat="1" spans="3:13">
      <c r="C11740" s="94"/>
      <c r="E11740" s="94"/>
      <c r="G11740" s="94"/>
      <c r="I11740" s="94"/>
      <c r="K11740" s="94"/>
      <c r="M11740" s="94"/>
    </row>
    <row r="11741" s="93" customFormat="1" spans="3:13">
      <c r="C11741" s="94"/>
      <c r="E11741" s="94"/>
      <c r="G11741" s="94"/>
      <c r="I11741" s="94"/>
      <c r="K11741" s="94"/>
      <c r="M11741" s="94"/>
    </row>
    <row r="11742" s="93" customFormat="1" spans="3:13">
      <c r="C11742" s="94"/>
      <c r="E11742" s="94"/>
      <c r="G11742" s="94"/>
      <c r="I11742" s="94"/>
      <c r="K11742" s="94"/>
      <c r="M11742" s="94"/>
    </row>
    <row r="11743" s="93" customFormat="1" spans="3:13">
      <c r="C11743" s="94"/>
      <c r="E11743" s="94"/>
      <c r="G11743" s="94"/>
      <c r="I11743" s="94"/>
      <c r="K11743" s="94"/>
      <c r="M11743" s="94"/>
    </row>
    <row r="11744" s="93" customFormat="1" spans="3:13">
      <c r="C11744" s="94"/>
      <c r="E11744" s="94"/>
      <c r="G11744" s="94"/>
      <c r="I11744" s="94"/>
      <c r="K11744" s="94"/>
      <c r="M11744" s="94"/>
    </row>
    <row r="11745" s="93" customFormat="1" spans="3:13">
      <c r="C11745" s="94"/>
      <c r="E11745" s="94"/>
      <c r="G11745" s="94"/>
      <c r="I11745" s="94"/>
      <c r="K11745" s="94"/>
      <c r="M11745" s="94"/>
    </row>
    <row r="11746" s="93" customFormat="1" spans="3:13">
      <c r="C11746" s="94"/>
      <c r="E11746" s="94"/>
      <c r="G11746" s="94"/>
      <c r="I11746" s="94"/>
      <c r="K11746" s="94"/>
      <c r="M11746" s="94"/>
    </row>
    <row r="11747" s="93" customFormat="1" spans="3:13">
      <c r="C11747" s="94"/>
      <c r="E11747" s="94"/>
      <c r="G11747" s="94"/>
      <c r="I11747" s="94"/>
      <c r="K11747" s="94"/>
      <c r="M11747" s="94"/>
    </row>
    <row r="11748" s="93" customFormat="1" spans="3:13">
      <c r="C11748" s="94"/>
      <c r="E11748" s="94"/>
      <c r="G11748" s="94"/>
      <c r="I11748" s="94"/>
      <c r="K11748" s="94"/>
      <c r="M11748" s="94"/>
    </row>
    <row r="11749" s="93" customFormat="1" spans="3:13">
      <c r="C11749" s="94"/>
      <c r="E11749" s="94"/>
      <c r="G11749" s="94"/>
      <c r="I11749" s="94"/>
      <c r="K11749" s="94"/>
      <c r="M11749" s="94"/>
    </row>
    <row r="11750" s="93" customFormat="1" spans="3:13">
      <c r="C11750" s="94"/>
      <c r="E11750" s="94"/>
      <c r="G11750" s="94"/>
      <c r="I11750" s="94"/>
      <c r="K11750" s="94"/>
      <c r="M11750" s="94"/>
    </row>
    <row r="11751" s="93" customFormat="1" spans="3:13">
      <c r="C11751" s="94"/>
      <c r="E11751" s="94"/>
      <c r="G11751" s="94"/>
      <c r="I11751" s="94"/>
      <c r="K11751" s="94"/>
      <c r="M11751" s="94"/>
    </row>
    <row r="11752" s="93" customFormat="1" spans="3:13">
      <c r="C11752" s="94"/>
      <c r="E11752" s="94"/>
      <c r="G11752" s="94"/>
      <c r="I11752" s="94"/>
      <c r="K11752" s="94"/>
      <c r="M11752" s="94"/>
    </row>
    <row r="11753" s="93" customFormat="1" spans="3:13">
      <c r="C11753" s="94"/>
      <c r="E11753" s="94"/>
      <c r="G11753" s="94"/>
      <c r="I11753" s="94"/>
      <c r="K11753" s="94"/>
      <c r="M11753" s="94"/>
    </row>
    <row r="11754" s="93" customFormat="1" spans="3:13">
      <c r="C11754" s="94"/>
      <c r="E11754" s="94"/>
      <c r="G11754" s="94"/>
      <c r="I11754" s="94"/>
      <c r="K11754" s="94"/>
      <c r="M11754" s="94"/>
    </row>
    <row r="11755" s="93" customFormat="1" spans="3:13">
      <c r="C11755" s="94"/>
      <c r="E11755" s="94"/>
      <c r="G11755" s="94"/>
      <c r="I11755" s="94"/>
      <c r="K11755" s="94"/>
      <c r="M11755" s="94"/>
    </row>
    <row r="11756" s="93" customFormat="1" spans="3:13">
      <c r="C11756" s="94"/>
      <c r="E11756" s="94"/>
      <c r="G11756" s="94"/>
      <c r="I11756" s="94"/>
      <c r="K11756" s="94"/>
      <c r="M11756" s="94"/>
    </row>
    <row r="11757" s="93" customFormat="1" spans="3:13">
      <c r="C11757" s="94"/>
      <c r="E11757" s="94"/>
      <c r="G11757" s="94"/>
      <c r="I11757" s="94"/>
      <c r="K11757" s="94"/>
      <c r="M11757" s="94"/>
    </row>
    <row r="11758" s="93" customFormat="1" spans="3:13">
      <c r="C11758" s="94"/>
      <c r="E11758" s="94"/>
      <c r="G11758" s="94"/>
      <c r="I11758" s="94"/>
      <c r="K11758" s="94"/>
      <c r="M11758" s="94"/>
    </row>
    <row r="11759" s="93" customFormat="1" spans="3:13">
      <c r="C11759" s="94"/>
      <c r="E11759" s="94"/>
      <c r="G11759" s="94"/>
      <c r="I11759" s="94"/>
      <c r="K11759" s="94"/>
      <c r="M11759" s="94"/>
    </row>
    <row r="11760" s="93" customFormat="1" spans="3:13">
      <c r="C11760" s="94"/>
      <c r="E11760" s="94"/>
      <c r="G11760" s="94"/>
      <c r="I11760" s="94"/>
      <c r="K11760" s="94"/>
      <c r="M11760" s="94"/>
    </row>
    <row r="11761" s="93" customFormat="1" spans="3:13">
      <c r="C11761" s="94"/>
      <c r="E11761" s="94"/>
      <c r="G11761" s="94"/>
      <c r="I11761" s="94"/>
      <c r="K11761" s="94"/>
      <c r="M11761" s="94"/>
    </row>
    <row r="11762" s="93" customFormat="1" spans="3:13">
      <c r="C11762" s="94"/>
      <c r="E11762" s="94"/>
      <c r="G11762" s="94"/>
      <c r="I11762" s="94"/>
      <c r="K11762" s="94"/>
      <c r="M11762" s="94"/>
    </row>
    <row r="11763" s="93" customFormat="1" spans="3:13">
      <c r="C11763" s="94"/>
      <c r="E11763" s="94"/>
      <c r="G11763" s="94"/>
      <c r="I11763" s="94"/>
      <c r="K11763" s="94"/>
      <c r="M11763" s="94"/>
    </row>
    <row r="11764" s="93" customFormat="1" spans="3:13">
      <c r="C11764" s="94"/>
      <c r="E11764" s="94"/>
      <c r="G11764" s="94"/>
      <c r="I11764" s="94"/>
      <c r="K11764" s="94"/>
      <c r="M11764" s="94"/>
    </row>
    <row r="11765" s="93" customFormat="1" spans="3:13">
      <c r="C11765" s="94"/>
      <c r="E11765" s="94"/>
      <c r="G11765" s="94"/>
      <c r="I11765" s="94"/>
      <c r="K11765" s="94"/>
      <c r="M11765" s="94"/>
    </row>
    <row r="11766" s="93" customFormat="1" spans="3:13">
      <c r="C11766" s="94"/>
      <c r="E11766" s="94"/>
      <c r="G11766" s="94"/>
      <c r="I11766" s="94"/>
      <c r="K11766" s="94"/>
      <c r="M11766" s="94"/>
    </row>
    <row r="11767" s="93" customFormat="1" spans="3:13">
      <c r="C11767" s="94"/>
      <c r="E11767" s="94"/>
      <c r="G11767" s="94"/>
      <c r="I11767" s="94"/>
      <c r="K11767" s="94"/>
      <c r="M11767" s="94"/>
    </row>
    <row r="11768" s="93" customFormat="1" spans="3:13">
      <c r="C11768" s="94"/>
      <c r="E11768" s="94"/>
      <c r="G11768" s="94"/>
      <c r="I11768" s="94"/>
      <c r="K11768" s="94"/>
      <c r="M11768" s="94"/>
    </row>
    <row r="11769" s="93" customFormat="1" spans="3:13">
      <c r="C11769" s="94"/>
      <c r="E11769" s="94"/>
      <c r="G11769" s="94"/>
      <c r="I11769" s="94"/>
      <c r="K11769" s="94"/>
      <c r="M11769" s="94"/>
    </row>
    <row r="11770" s="93" customFormat="1" spans="3:13">
      <c r="C11770" s="94"/>
      <c r="E11770" s="94"/>
      <c r="G11770" s="94"/>
      <c r="I11770" s="94"/>
      <c r="K11770" s="94"/>
      <c r="M11770" s="94"/>
    </row>
    <row r="11771" s="93" customFormat="1" spans="3:13">
      <c r="C11771" s="94"/>
      <c r="E11771" s="94"/>
      <c r="G11771" s="94"/>
      <c r="I11771" s="94"/>
      <c r="K11771" s="94"/>
      <c r="M11771" s="94"/>
    </row>
    <row r="11772" s="93" customFormat="1" spans="3:13">
      <c r="C11772" s="94"/>
      <c r="E11772" s="94"/>
      <c r="G11772" s="94"/>
      <c r="I11772" s="94"/>
      <c r="K11772" s="94"/>
      <c r="M11772" s="94"/>
    </row>
    <row r="11773" s="93" customFormat="1" spans="3:13">
      <c r="C11773" s="94"/>
      <c r="E11773" s="94"/>
      <c r="G11773" s="94"/>
      <c r="I11773" s="94"/>
      <c r="K11773" s="94"/>
      <c r="M11773" s="94"/>
    </row>
    <row r="11774" s="93" customFormat="1" spans="3:13">
      <c r="C11774" s="94"/>
      <c r="E11774" s="94"/>
      <c r="G11774" s="94"/>
      <c r="I11774" s="94"/>
      <c r="K11774" s="94"/>
      <c r="M11774" s="94"/>
    </row>
    <row r="11775" s="93" customFormat="1" spans="3:13">
      <c r="C11775" s="94"/>
      <c r="E11775" s="94"/>
      <c r="G11775" s="94"/>
      <c r="I11775" s="94"/>
      <c r="K11775" s="94"/>
      <c r="M11775" s="94"/>
    </row>
    <row r="11776" s="93" customFormat="1" spans="3:13">
      <c r="C11776" s="94"/>
      <c r="E11776" s="94"/>
      <c r="G11776" s="94"/>
      <c r="I11776" s="94"/>
      <c r="K11776" s="94"/>
      <c r="M11776" s="94"/>
    </row>
    <row r="11777" s="93" customFormat="1" spans="3:13">
      <c r="C11777" s="94"/>
      <c r="E11777" s="94"/>
      <c r="G11777" s="94"/>
      <c r="I11777" s="94"/>
      <c r="K11777" s="94"/>
      <c r="M11777" s="94"/>
    </row>
    <row r="11778" s="93" customFormat="1" spans="3:13">
      <c r="C11778" s="94"/>
      <c r="E11778" s="94"/>
      <c r="G11778" s="94"/>
      <c r="I11778" s="94"/>
      <c r="K11778" s="94"/>
      <c r="M11778" s="94"/>
    </row>
    <row r="11779" s="93" customFormat="1" spans="3:13">
      <c r="C11779" s="94"/>
      <c r="E11779" s="94"/>
      <c r="G11779" s="94"/>
      <c r="I11779" s="94"/>
      <c r="K11779" s="94"/>
      <c r="M11779" s="94"/>
    </row>
    <row r="11780" s="93" customFormat="1" spans="3:13">
      <c r="C11780" s="94"/>
      <c r="E11780" s="94"/>
      <c r="G11780" s="94"/>
      <c r="I11780" s="94"/>
      <c r="K11780" s="94"/>
      <c r="M11780" s="94"/>
    </row>
    <row r="11781" s="93" customFormat="1" spans="3:13">
      <c r="C11781" s="94"/>
      <c r="E11781" s="94"/>
      <c r="G11781" s="94"/>
      <c r="I11781" s="94"/>
      <c r="K11781" s="94"/>
      <c r="M11781" s="94"/>
    </row>
    <row r="11782" s="93" customFormat="1" spans="3:13">
      <c r="C11782" s="94"/>
      <c r="E11782" s="94"/>
      <c r="G11782" s="94"/>
      <c r="I11782" s="94"/>
      <c r="K11782" s="94"/>
      <c r="M11782" s="94"/>
    </row>
    <row r="11783" s="93" customFormat="1" spans="3:13">
      <c r="C11783" s="94"/>
      <c r="E11783" s="94"/>
      <c r="G11783" s="94"/>
      <c r="I11783" s="94"/>
      <c r="K11783" s="94"/>
      <c r="M11783" s="94"/>
    </row>
    <row r="11784" s="93" customFormat="1" spans="3:13">
      <c r="C11784" s="94"/>
      <c r="E11784" s="94"/>
      <c r="G11784" s="94"/>
      <c r="I11784" s="94"/>
      <c r="K11784" s="94"/>
      <c r="M11784" s="94"/>
    </row>
    <row r="11785" s="93" customFormat="1" spans="3:13">
      <c r="C11785" s="94"/>
      <c r="E11785" s="94"/>
      <c r="G11785" s="94"/>
      <c r="I11785" s="94"/>
      <c r="K11785" s="94"/>
      <c r="M11785" s="94"/>
    </row>
    <row r="11786" s="93" customFormat="1" spans="3:13">
      <c r="C11786" s="94"/>
      <c r="E11786" s="94"/>
      <c r="G11786" s="94"/>
      <c r="I11786" s="94"/>
      <c r="K11786" s="94"/>
      <c r="M11786" s="94"/>
    </row>
    <row r="11787" s="93" customFormat="1" spans="3:13">
      <c r="C11787" s="94"/>
      <c r="E11787" s="94"/>
      <c r="G11787" s="94"/>
      <c r="I11787" s="94"/>
      <c r="K11787" s="94"/>
      <c r="M11787" s="94"/>
    </row>
    <row r="11788" s="93" customFormat="1" spans="3:13">
      <c r="C11788" s="94"/>
      <c r="E11788" s="94"/>
      <c r="G11788" s="94"/>
      <c r="I11788" s="94"/>
      <c r="K11788" s="94"/>
      <c r="M11788" s="94"/>
    </row>
    <row r="11789" s="93" customFormat="1" spans="3:13">
      <c r="C11789" s="94"/>
      <c r="E11789" s="94"/>
      <c r="G11789" s="94"/>
      <c r="I11789" s="94"/>
      <c r="K11789" s="94"/>
      <c r="M11789" s="94"/>
    </row>
    <row r="11790" s="93" customFormat="1" spans="3:13">
      <c r="C11790" s="94"/>
      <c r="E11790" s="94"/>
      <c r="G11790" s="94"/>
      <c r="I11790" s="94"/>
      <c r="K11790" s="94"/>
      <c r="M11790" s="94"/>
    </row>
    <row r="11791" s="93" customFormat="1" spans="3:13">
      <c r="C11791" s="94"/>
      <c r="E11791" s="94"/>
      <c r="G11791" s="94"/>
      <c r="I11791" s="94"/>
      <c r="K11791" s="94"/>
      <c r="M11791" s="94"/>
    </row>
    <row r="11792" s="93" customFormat="1" spans="3:13">
      <c r="C11792" s="94"/>
      <c r="E11792" s="94"/>
      <c r="G11792" s="94"/>
      <c r="I11792" s="94"/>
      <c r="K11792" s="94"/>
      <c r="M11792" s="94"/>
    </row>
    <row r="11793" s="93" customFormat="1" spans="3:13">
      <c r="C11793" s="94"/>
      <c r="E11793" s="94"/>
      <c r="G11793" s="94"/>
      <c r="I11793" s="94"/>
      <c r="K11793" s="94"/>
      <c r="M11793" s="94"/>
    </row>
    <row r="11794" s="93" customFormat="1" spans="3:13">
      <c r="C11794" s="94"/>
      <c r="E11794" s="94"/>
      <c r="G11794" s="94"/>
      <c r="I11794" s="94"/>
      <c r="K11794" s="94"/>
      <c r="M11794" s="94"/>
    </row>
    <row r="11795" s="93" customFormat="1" spans="3:13">
      <c r="C11795" s="94"/>
      <c r="E11795" s="94"/>
      <c r="G11795" s="94"/>
      <c r="I11795" s="94"/>
      <c r="K11795" s="94"/>
      <c r="M11795" s="94"/>
    </row>
    <row r="11796" s="93" customFormat="1" spans="3:13">
      <c r="C11796" s="94"/>
      <c r="E11796" s="94"/>
      <c r="G11796" s="94"/>
      <c r="I11796" s="94"/>
      <c r="K11796" s="94"/>
      <c r="M11796" s="94"/>
    </row>
    <row r="11797" s="93" customFormat="1" spans="3:13">
      <c r="C11797" s="94"/>
      <c r="E11797" s="94"/>
      <c r="G11797" s="94"/>
      <c r="I11797" s="94"/>
      <c r="K11797" s="94"/>
      <c r="M11797" s="94"/>
    </row>
    <row r="11798" s="93" customFormat="1" spans="3:13">
      <c r="C11798" s="94"/>
      <c r="E11798" s="94"/>
      <c r="G11798" s="94"/>
      <c r="I11798" s="94"/>
      <c r="K11798" s="94"/>
      <c r="M11798" s="94"/>
    </row>
    <row r="11799" s="93" customFormat="1" spans="3:13">
      <c r="C11799" s="94"/>
      <c r="E11799" s="94"/>
      <c r="G11799" s="94"/>
      <c r="I11799" s="94"/>
      <c r="K11799" s="94"/>
      <c r="M11799" s="94"/>
    </row>
    <row r="11800" s="93" customFormat="1" spans="3:13">
      <c r="C11800" s="94"/>
      <c r="E11800" s="94"/>
      <c r="G11800" s="94"/>
      <c r="I11800" s="94"/>
      <c r="K11800" s="94"/>
      <c r="M11800" s="94"/>
    </row>
    <row r="11801" s="93" customFormat="1" spans="3:13">
      <c r="C11801" s="94"/>
      <c r="E11801" s="94"/>
      <c r="G11801" s="94"/>
      <c r="I11801" s="94"/>
      <c r="K11801" s="94"/>
      <c r="M11801" s="94"/>
    </row>
    <row r="11802" s="93" customFormat="1" spans="3:13">
      <c r="C11802" s="94"/>
      <c r="E11802" s="94"/>
      <c r="G11802" s="94"/>
      <c r="I11802" s="94"/>
      <c r="K11802" s="94"/>
      <c r="M11802" s="94"/>
    </row>
    <row r="11803" s="93" customFormat="1" spans="3:13">
      <c r="C11803" s="94"/>
      <c r="E11803" s="94"/>
      <c r="G11803" s="94"/>
      <c r="I11803" s="94"/>
      <c r="K11803" s="94"/>
      <c r="M11803" s="94"/>
    </row>
    <row r="11804" s="93" customFormat="1" spans="3:13">
      <c r="C11804" s="94"/>
      <c r="E11804" s="94"/>
      <c r="G11804" s="94"/>
      <c r="I11804" s="94"/>
      <c r="K11804" s="94"/>
      <c r="M11804" s="94"/>
    </row>
    <row r="11805" s="93" customFormat="1" spans="3:13">
      <c r="C11805" s="94"/>
      <c r="E11805" s="94"/>
      <c r="G11805" s="94"/>
      <c r="I11805" s="94"/>
      <c r="K11805" s="94"/>
      <c r="M11805" s="94"/>
    </row>
    <row r="11806" s="93" customFormat="1" spans="3:13">
      <c r="C11806" s="94"/>
      <c r="E11806" s="94"/>
      <c r="G11806" s="94"/>
      <c r="I11806" s="94"/>
      <c r="K11806" s="94"/>
      <c r="M11806" s="94"/>
    </row>
    <row r="11807" s="93" customFormat="1" spans="3:13">
      <c r="C11807" s="94"/>
      <c r="E11807" s="94"/>
      <c r="G11807" s="94"/>
      <c r="I11807" s="94"/>
      <c r="K11807" s="94"/>
      <c r="M11807" s="94"/>
    </row>
    <row r="11808" s="93" customFormat="1" spans="3:13">
      <c r="C11808" s="94"/>
      <c r="E11808" s="94"/>
      <c r="G11808" s="94"/>
      <c r="I11808" s="94"/>
      <c r="K11808" s="94"/>
      <c r="M11808" s="94"/>
    </row>
    <row r="11809" s="93" customFormat="1" spans="3:13">
      <c r="C11809" s="94"/>
      <c r="E11809" s="94"/>
      <c r="G11809" s="94"/>
      <c r="I11809" s="94"/>
      <c r="K11809" s="94"/>
      <c r="M11809" s="94"/>
    </row>
    <row r="11810" s="93" customFormat="1" spans="3:13">
      <c r="C11810" s="94"/>
      <c r="E11810" s="94"/>
      <c r="G11810" s="94"/>
      <c r="I11810" s="94"/>
      <c r="K11810" s="94"/>
      <c r="M11810" s="94"/>
    </row>
    <row r="11811" s="93" customFormat="1" spans="3:13">
      <c r="C11811" s="94"/>
      <c r="E11811" s="94"/>
      <c r="G11811" s="94"/>
      <c r="I11811" s="94"/>
      <c r="K11811" s="94"/>
      <c r="M11811" s="94"/>
    </row>
    <row r="11812" s="93" customFormat="1" spans="3:13">
      <c r="C11812" s="94"/>
      <c r="E11812" s="94"/>
      <c r="G11812" s="94"/>
      <c r="I11812" s="94"/>
      <c r="K11812" s="94"/>
      <c r="M11812" s="94"/>
    </row>
    <row r="11813" s="93" customFormat="1" spans="3:13">
      <c r="C11813" s="94"/>
      <c r="E11813" s="94"/>
      <c r="G11813" s="94"/>
      <c r="I11813" s="94"/>
      <c r="K11813" s="94"/>
      <c r="M11813" s="94"/>
    </row>
    <row r="11814" s="93" customFormat="1" spans="3:13">
      <c r="C11814" s="94"/>
      <c r="E11814" s="94"/>
      <c r="G11814" s="94"/>
      <c r="I11814" s="94"/>
      <c r="K11814" s="94"/>
      <c r="M11814" s="94"/>
    </row>
    <row r="11815" s="93" customFormat="1" spans="3:13">
      <c r="C11815" s="94"/>
      <c r="E11815" s="94"/>
      <c r="G11815" s="94"/>
      <c r="I11815" s="94"/>
      <c r="K11815" s="94"/>
      <c r="M11815" s="94"/>
    </row>
    <row r="11816" s="93" customFormat="1" spans="3:13">
      <c r="C11816" s="94"/>
      <c r="E11816" s="94"/>
      <c r="G11816" s="94"/>
      <c r="I11816" s="94"/>
      <c r="K11816" s="94"/>
      <c r="M11816" s="94"/>
    </row>
    <row r="11817" s="93" customFormat="1" spans="3:13">
      <c r="C11817" s="94"/>
      <c r="E11817" s="94"/>
      <c r="G11817" s="94"/>
      <c r="I11817" s="94"/>
      <c r="K11817" s="94"/>
      <c r="M11817" s="94"/>
    </row>
    <row r="11818" s="93" customFormat="1" spans="3:13">
      <c r="C11818" s="94"/>
      <c r="E11818" s="94"/>
      <c r="G11818" s="94"/>
      <c r="I11818" s="94"/>
      <c r="K11818" s="94"/>
      <c r="M11818" s="94"/>
    </row>
    <row r="11819" s="93" customFormat="1" spans="3:13">
      <c r="C11819" s="94"/>
      <c r="E11819" s="94"/>
      <c r="G11819" s="94"/>
      <c r="I11819" s="94"/>
      <c r="K11819" s="94"/>
      <c r="M11819" s="94"/>
    </row>
    <row r="11820" s="93" customFormat="1" spans="3:13">
      <c r="C11820" s="94"/>
      <c r="E11820" s="94"/>
      <c r="G11820" s="94"/>
      <c r="I11820" s="94"/>
      <c r="K11820" s="94"/>
      <c r="M11820" s="94"/>
    </row>
    <row r="11821" s="93" customFormat="1" spans="3:13">
      <c r="C11821" s="94"/>
      <c r="E11821" s="94"/>
      <c r="G11821" s="94"/>
      <c r="I11821" s="94"/>
      <c r="K11821" s="94"/>
      <c r="M11821" s="94"/>
    </row>
    <row r="11822" s="93" customFormat="1" spans="3:13">
      <c r="C11822" s="94"/>
      <c r="E11822" s="94"/>
      <c r="G11822" s="94"/>
      <c r="I11822" s="94"/>
      <c r="K11822" s="94"/>
      <c r="M11822" s="94"/>
    </row>
    <row r="11823" s="93" customFormat="1" spans="3:13">
      <c r="C11823" s="94"/>
      <c r="E11823" s="94"/>
      <c r="G11823" s="94"/>
      <c r="I11823" s="94"/>
      <c r="K11823" s="94"/>
      <c r="M11823" s="94"/>
    </row>
    <row r="11824" s="93" customFormat="1" spans="3:13">
      <c r="C11824" s="94"/>
      <c r="E11824" s="94"/>
      <c r="G11824" s="94"/>
      <c r="I11824" s="94"/>
      <c r="K11824" s="94"/>
      <c r="M11824" s="94"/>
    </row>
    <row r="11825" s="93" customFormat="1" spans="3:13">
      <c r="C11825" s="94"/>
      <c r="E11825" s="94"/>
      <c r="G11825" s="94"/>
      <c r="I11825" s="94"/>
      <c r="K11825" s="94"/>
      <c r="M11825" s="94"/>
    </row>
    <row r="11826" s="93" customFormat="1" spans="3:13">
      <c r="C11826" s="94"/>
      <c r="E11826" s="94"/>
      <c r="G11826" s="94"/>
      <c r="I11826" s="94"/>
      <c r="K11826" s="94"/>
      <c r="M11826" s="94"/>
    </row>
    <row r="11827" s="93" customFormat="1" spans="3:13">
      <c r="C11827" s="94"/>
      <c r="E11827" s="94"/>
      <c r="G11827" s="94"/>
      <c r="I11827" s="94"/>
      <c r="K11827" s="94"/>
      <c r="M11827" s="94"/>
    </row>
    <row r="11828" s="93" customFormat="1" spans="3:13">
      <c r="C11828" s="94"/>
      <c r="E11828" s="94"/>
      <c r="G11828" s="94"/>
      <c r="I11828" s="94"/>
      <c r="K11828" s="94"/>
      <c r="M11828" s="94"/>
    </row>
    <row r="11829" s="93" customFormat="1" spans="3:13">
      <c r="C11829" s="94"/>
      <c r="E11829" s="94"/>
      <c r="G11829" s="94"/>
      <c r="I11829" s="94"/>
      <c r="K11829" s="94"/>
      <c r="M11829" s="94"/>
    </row>
    <row r="11830" s="93" customFormat="1" spans="3:13">
      <c r="C11830" s="94"/>
      <c r="E11830" s="94"/>
      <c r="G11830" s="94"/>
      <c r="I11830" s="94"/>
      <c r="K11830" s="94"/>
      <c r="M11830" s="94"/>
    </row>
    <row r="11831" s="93" customFormat="1" spans="3:13">
      <c r="C11831" s="94"/>
      <c r="E11831" s="94"/>
      <c r="G11831" s="94"/>
      <c r="I11831" s="94"/>
      <c r="K11831" s="94"/>
      <c r="M11831" s="94"/>
    </row>
    <row r="11832" s="93" customFormat="1" spans="3:13">
      <c r="C11832" s="94"/>
      <c r="E11832" s="94"/>
      <c r="G11832" s="94"/>
      <c r="I11832" s="94"/>
      <c r="K11832" s="94"/>
      <c r="M11832" s="94"/>
    </row>
    <row r="11833" s="93" customFormat="1" spans="3:13">
      <c r="C11833" s="94"/>
      <c r="E11833" s="94"/>
      <c r="G11833" s="94"/>
      <c r="I11833" s="94"/>
      <c r="K11833" s="94"/>
      <c r="M11833" s="94"/>
    </row>
    <row r="11834" s="93" customFormat="1" spans="3:13">
      <c r="C11834" s="94"/>
      <c r="E11834" s="94"/>
      <c r="G11834" s="94"/>
      <c r="I11834" s="94"/>
      <c r="K11834" s="94"/>
      <c r="M11834" s="94"/>
    </row>
    <row r="11835" s="93" customFormat="1" spans="3:13">
      <c r="C11835" s="94"/>
      <c r="E11835" s="94"/>
      <c r="G11835" s="94"/>
      <c r="I11835" s="94"/>
      <c r="K11835" s="94"/>
      <c r="M11835" s="94"/>
    </row>
    <row r="11836" s="93" customFormat="1" spans="3:13">
      <c r="C11836" s="94"/>
      <c r="E11836" s="94"/>
      <c r="G11836" s="94"/>
      <c r="I11836" s="94"/>
      <c r="K11836" s="94"/>
      <c r="M11836" s="94"/>
    </row>
    <row r="11837" s="93" customFormat="1" spans="3:13">
      <c r="C11837" s="94"/>
      <c r="E11837" s="94"/>
      <c r="G11837" s="94"/>
      <c r="I11837" s="94"/>
      <c r="K11837" s="94"/>
      <c r="M11837" s="94"/>
    </row>
    <row r="11838" s="93" customFormat="1" spans="3:13">
      <c r="C11838" s="94"/>
      <c r="E11838" s="94"/>
      <c r="G11838" s="94"/>
      <c r="I11838" s="94"/>
      <c r="K11838" s="94"/>
      <c r="M11838" s="94"/>
    </row>
    <row r="11839" s="93" customFormat="1" spans="3:13">
      <c r="C11839" s="94"/>
      <c r="E11839" s="94"/>
      <c r="G11839" s="94"/>
      <c r="I11839" s="94"/>
      <c r="K11839" s="94"/>
      <c r="M11839" s="94"/>
    </row>
    <row r="11840" s="93" customFormat="1" spans="3:13">
      <c r="C11840" s="94"/>
      <c r="E11840" s="94"/>
      <c r="G11840" s="94"/>
      <c r="I11840" s="94"/>
      <c r="K11840" s="94"/>
      <c r="M11840" s="94"/>
    </row>
    <row r="11841" s="93" customFormat="1" spans="3:13">
      <c r="C11841" s="94"/>
      <c r="E11841" s="94"/>
      <c r="G11841" s="94"/>
      <c r="I11841" s="94"/>
      <c r="K11841" s="94"/>
      <c r="M11841" s="94"/>
    </row>
    <row r="11842" s="93" customFormat="1" spans="3:13">
      <c r="C11842" s="94"/>
      <c r="E11842" s="94"/>
      <c r="G11842" s="94"/>
      <c r="I11842" s="94"/>
      <c r="K11842" s="94"/>
      <c r="M11842" s="94"/>
    </row>
    <row r="11843" s="93" customFormat="1" spans="3:13">
      <c r="C11843" s="94"/>
      <c r="E11843" s="94"/>
      <c r="G11843" s="94"/>
      <c r="I11843" s="94"/>
      <c r="K11843" s="94"/>
      <c r="M11843" s="94"/>
    </row>
    <row r="11844" s="93" customFormat="1" spans="3:13">
      <c r="C11844" s="94"/>
      <c r="E11844" s="94"/>
      <c r="G11844" s="94"/>
      <c r="I11844" s="94"/>
      <c r="K11844" s="94"/>
      <c r="M11844" s="94"/>
    </row>
    <row r="11845" s="93" customFormat="1" spans="3:13">
      <c r="C11845" s="94"/>
      <c r="E11845" s="94"/>
      <c r="G11845" s="94"/>
      <c r="I11845" s="94"/>
      <c r="K11845" s="94"/>
      <c r="M11845" s="94"/>
    </row>
    <row r="11846" s="93" customFormat="1" spans="3:13">
      <c r="C11846" s="94"/>
      <c r="E11846" s="94"/>
      <c r="G11846" s="94"/>
      <c r="I11846" s="94"/>
      <c r="K11846" s="94"/>
      <c r="M11846" s="94"/>
    </row>
    <row r="11847" s="93" customFormat="1" spans="3:13">
      <c r="C11847" s="94"/>
      <c r="E11847" s="94"/>
      <c r="G11847" s="94"/>
      <c r="I11847" s="94"/>
      <c r="K11847" s="94"/>
      <c r="M11847" s="94"/>
    </row>
    <row r="11848" s="93" customFormat="1" spans="3:13">
      <c r="C11848" s="94"/>
      <c r="E11848" s="94"/>
      <c r="G11848" s="94"/>
      <c r="I11848" s="94"/>
      <c r="K11848" s="94"/>
      <c r="M11848" s="94"/>
    </row>
    <row r="11849" s="93" customFormat="1" spans="3:13">
      <c r="C11849" s="94"/>
      <c r="E11849" s="94"/>
      <c r="G11849" s="94"/>
      <c r="I11849" s="94"/>
      <c r="K11849" s="94"/>
      <c r="M11849" s="94"/>
    </row>
    <row r="11850" s="93" customFormat="1" spans="3:13">
      <c r="C11850" s="94"/>
      <c r="E11850" s="94"/>
      <c r="G11850" s="94"/>
      <c r="I11850" s="94"/>
      <c r="K11850" s="94"/>
      <c r="M11850" s="94"/>
    </row>
    <row r="11851" s="93" customFormat="1" spans="3:13">
      <c r="C11851" s="94"/>
      <c r="E11851" s="94"/>
      <c r="G11851" s="94"/>
      <c r="I11851" s="94"/>
      <c r="K11851" s="94"/>
      <c r="M11851" s="94"/>
    </row>
    <row r="11852" s="93" customFormat="1" spans="3:13">
      <c r="C11852" s="94"/>
      <c r="E11852" s="94"/>
      <c r="G11852" s="94"/>
      <c r="I11852" s="94"/>
      <c r="K11852" s="94"/>
      <c r="M11852" s="94"/>
    </row>
    <row r="11853" s="93" customFormat="1" spans="3:13">
      <c r="C11853" s="94"/>
      <c r="E11853" s="94"/>
      <c r="G11853" s="94"/>
      <c r="I11853" s="94"/>
      <c r="K11853" s="94"/>
      <c r="M11853" s="94"/>
    </row>
    <row r="11854" s="93" customFormat="1" spans="3:13">
      <c r="C11854" s="94"/>
      <c r="E11854" s="94"/>
      <c r="G11854" s="94"/>
      <c r="I11854" s="94"/>
      <c r="K11854" s="94"/>
      <c r="M11854" s="94"/>
    </row>
    <row r="11855" s="93" customFormat="1" spans="3:13">
      <c r="C11855" s="94"/>
      <c r="E11855" s="94"/>
      <c r="G11855" s="94"/>
      <c r="I11855" s="94"/>
      <c r="K11855" s="94"/>
      <c r="M11855" s="94"/>
    </row>
    <row r="11856" s="93" customFormat="1" spans="3:13">
      <c r="C11856" s="94"/>
      <c r="E11856" s="94"/>
      <c r="G11856" s="94"/>
      <c r="I11856" s="94"/>
      <c r="K11856" s="94"/>
      <c r="M11856" s="94"/>
    </row>
    <row r="11857" s="93" customFormat="1" spans="3:13">
      <c r="C11857" s="94"/>
      <c r="E11857" s="94"/>
      <c r="G11857" s="94"/>
      <c r="I11857" s="94"/>
      <c r="K11857" s="94"/>
      <c r="M11857" s="94"/>
    </row>
    <row r="11858" s="93" customFormat="1" spans="3:13">
      <c r="C11858" s="94"/>
      <c r="E11858" s="94"/>
      <c r="G11858" s="94"/>
      <c r="I11858" s="94"/>
      <c r="K11858" s="94"/>
      <c r="M11858" s="94"/>
    </row>
    <row r="11859" s="93" customFormat="1" spans="3:13">
      <c r="C11859" s="94"/>
      <c r="E11859" s="94"/>
      <c r="G11859" s="94"/>
      <c r="I11859" s="94"/>
      <c r="K11859" s="94"/>
      <c r="M11859" s="94"/>
    </row>
    <row r="11860" s="93" customFormat="1" spans="3:13">
      <c r="C11860" s="94"/>
      <c r="E11860" s="94"/>
      <c r="G11860" s="94"/>
      <c r="I11860" s="94"/>
      <c r="K11860" s="94"/>
      <c r="M11860" s="94"/>
    </row>
    <row r="11861" s="93" customFormat="1" spans="3:13">
      <c r="C11861" s="94"/>
      <c r="E11861" s="94"/>
      <c r="G11861" s="94"/>
      <c r="I11861" s="94"/>
      <c r="K11861" s="94"/>
      <c r="M11861" s="94"/>
    </row>
    <row r="11862" s="93" customFormat="1" spans="3:13">
      <c r="C11862" s="94"/>
      <c r="E11862" s="94"/>
      <c r="G11862" s="94"/>
      <c r="I11862" s="94"/>
      <c r="K11862" s="94"/>
      <c r="M11862" s="94"/>
    </row>
    <row r="11863" s="93" customFormat="1" spans="3:13">
      <c r="C11863" s="94"/>
      <c r="E11863" s="94"/>
      <c r="G11863" s="94"/>
      <c r="I11863" s="94"/>
      <c r="K11863" s="94"/>
      <c r="M11863" s="94"/>
    </row>
    <row r="11864" s="93" customFormat="1" spans="3:13">
      <c r="C11864" s="94"/>
      <c r="E11864" s="94"/>
      <c r="G11864" s="94"/>
      <c r="I11864" s="94"/>
      <c r="K11864" s="94"/>
      <c r="M11864" s="94"/>
    </row>
    <row r="11865" s="93" customFormat="1" spans="3:13">
      <c r="C11865" s="94"/>
      <c r="E11865" s="94"/>
      <c r="G11865" s="94"/>
      <c r="I11865" s="94"/>
      <c r="K11865" s="94"/>
      <c r="M11865" s="94"/>
    </row>
    <row r="11866" s="93" customFormat="1" spans="3:13">
      <c r="C11866" s="94"/>
      <c r="E11866" s="94"/>
      <c r="G11866" s="94"/>
      <c r="I11866" s="94"/>
      <c r="K11866" s="94"/>
      <c r="M11866" s="94"/>
    </row>
    <row r="11867" s="93" customFormat="1" spans="3:13">
      <c r="C11867" s="94"/>
      <c r="E11867" s="94"/>
      <c r="G11867" s="94"/>
      <c r="I11867" s="94"/>
      <c r="K11867" s="94"/>
      <c r="M11867" s="94"/>
    </row>
    <row r="11868" s="93" customFormat="1" spans="3:13">
      <c r="C11868" s="94"/>
      <c r="E11868" s="94"/>
      <c r="G11868" s="94"/>
      <c r="I11868" s="94"/>
      <c r="K11868" s="94"/>
      <c r="M11868" s="94"/>
    </row>
    <row r="11869" s="93" customFormat="1" spans="3:13">
      <c r="C11869" s="94"/>
      <c r="E11869" s="94"/>
      <c r="G11869" s="94"/>
      <c r="I11869" s="94"/>
      <c r="K11869" s="94"/>
      <c r="M11869" s="94"/>
    </row>
    <row r="11870" s="93" customFormat="1" spans="3:13">
      <c r="C11870" s="94"/>
      <c r="E11870" s="94"/>
      <c r="G11870" s="94"/>
      <c r="I11870" s="94"/>
      <c r="K11870" s="94"/>
      <c r="M11870" s="94"/>
    </row>
    <row r="11871" s="93" customFormat="1" spans="3:13">
      <c r="C11871" s="94"/>
      <c r="E11871" s="94"/>
      <c r="G11871" s="94"/>
      <c r="I11871" s="94"/>
      <c r="K11871" s="94"/>
      <c r="M11871" s="94"/>
    </row>
    <row r="11872" s="93" customFormat="1" spans="3:13">
      <c r="C11872" s="94"/>
      <c r="E11872" s="94"/>
      <c r="G11872" s="94"/>
      <c r="I11872" s="94"/>
      <c r="K11872" s="94"/>
      <c r="M11872" s="94"/>
    </row>
    <row r="11873" s="93" customFormat="1" spans="3:13">
      <c r="C11873" s="94"/>
      <c r="E11873" s="94"/>
      <c r="G11873" s="94"/>
      <c r="I11873" s="94"/>
      <c r="K11873" s="94"/>
      <c r="M11873" s="94"/>
    </row>
    <row r="11874" s="93" customFormat="1" spans="3:13">
      <c r="C11874" s="94"/>
      <c r="E11874" s="94"/>
      <c r="G11874" s="94"/>
      <c r="I11874" s="94"/>
      <c r="K11874" s="94"/>
      <c r="M11874" s="94"/>
    </row>
    <row r="11875" s="93" customFormat="1" spans="3:13">
      <c r="C11875" s="94"/>
      <c r="E11875" s="94"/>
      <c r="G11875" s="94"/>
      <c r="I11875" s="94"/>
      <c r="K11875" s="94"/>
      <c r="M11875" s="94"/>
    </row>
    <row r="11876" s="93" customFormat="1" spans="3:13">
      <c r="C11876" s="94"/>
      <c r="E11876" s="94"/>
      <c r="G11876" s="94"/>
      <c r="I11876" s="94"/>
      <c r="K11876" s="94"/>
      <c r="M11876" s="94"/>
    </row>
    <row r="11877" s="93" customFormat="1" spans="3:13">
      <c r="C11877" s="94"/>
      <c r="E11877" s="94"/>
      <c r="G11877" s="94"/>
      <c r="I11877" s="94"/>
      <c r="K11877" s="94"/>
      <c r="M11877" s="94"/>
    </row>
    <row r="11878" s="93" customFormat="1" spans="3:13">
      <c r="C11878" s="94"/>
      <c r="E11878" s="94"/>
      <c r="G11878" s="94"/>
      <c r="I11878" s="94"/>
      <c r="K11878" s="94"/>
      <c r="M11878" s="94"/>
    </row>
    <row r="11879" s="93" customFormat="1" spans="3:13">
      <c r="C11879" s="94"/>
      <c r="E11879" s="94"/>
      <c r="G11879" s="94"/>
      <c r="I11879" s="94"/>
      <c r="K11879" s="94"/>
      <c r="M11879" s="94"/>
    </row>
    <row r="11880" s="93" customFormat="1" spans="3:13">
      <c r="C11880" s="94"/>
      <c r="E11880" s="94"/>
      <c r="G11880" s="94"/>
      <c r="I11880" s="94"/>
      <c r="K11880" s="94"/>
      <c r="M11880" s="94"/>
    </row>
    <row r="11881" s="93" customFormat="1" spans="3:13">
      <c r="C11881" s="94"/>
      <c r="E11881" s="94"/>
      <c r="G11881" s="94"/>
      <c r="I11881" s="94"/>
      <c r="K11881" s="94"/>
      <c r="M11881" s="94"/>
    </row>
    <row r="11882" s="93" customFormat="1" spans="3:13">
      <c r="C11882" s="94"/>
      <c r="E11882" s="94"/>
      <c r="G11882" s="94"/>
      <c r="I11882" s="94"/>
      <c r="K11882" s="94"/>
      <c r="M11882" s="94"/>
    </row>
    <row r="11883" s="93" customFormat="1" spans="3:13">
      <c r="C11883" s="94"/>
      <c r="E11883" s="94"/>
      <c r="G11883" s="94"/>
      <c r="I11883" s="94"/>
      <c r="K11883" s="94"/>
      <c r="M11883" s="94"/>
    </row>
    <row r="11884" s="93" customFormat="1" spans="3:13">
      <c r="C11884" s="94"/>
      <c r="E11884" s="94"/>
      <c r="G11884" s="94"/>
      <c r="I11884" s="94"/>
      <c r="K11884" s="94"/>
      <c r="M11884" s="94"/>
    </row>
    <row r="11885" s="93" customFormat="1" spans="3:13">
      <c r="C11885" s="94"/>
      <c r="E11885" s="94"/>
      <c r="G11885" s="94"/>
      <c r="I11885" s="94"/>
      <c r="K11885" s="94"/>
      <c r="M11885" s="94"/>
    </row>
    <row r="11886" s="93" customFormat="1" spans="3:13">
      <c r="C11886" s="94"/>
      <c r="E11886" s="94"/>
      <c r="G11886" s="94"/>
      <c r="I11886" s="94"/>
      <c r="K11886" s="94"/>
      <c r="M11886" s="94"/>
    </row>
    <row r="11887" s="93" customFormat="1" spans="3:13">
      <c r="C11887" s="94"/>
      <c r="E11887" s="94"/>
      <c r="G11887" s="94"/>
      <c r="I11887" s="94"/>
      <c r="K11887" s="94"/>
      <c r="M11887" s="94"/>
    </row>
    <row r="11888" s="93" customFormat="1" spans="3:13">
      <c r="C11888" s="94"/>
      <c r="E11888" s="94"/>
      <c r="G11888" s="94"/>
      <c r="I11888" s="94"/>
      <c r="K11888" s="94"/>
      <c r="M11888" s="94"/>
    </row>
    <row r="11889" s="93" customFormat="1" spans="3:13">
      <c r="C11889" s="94"/>
      <c r="E11889" s="94"/>
      <c r="G11889" s="94"/>
      <c r="I11889" s="94"/>
      <c r="K11889" s="94"/>
      <c r="M11889" s="94"/>
    </row>
    <row r="11890" s="93" customFormat="1" spans="3:13">
      <c r="C11890" s="94"/>
      <c r="E11890" s="94"/>
      <c r="G11890" s="94"/>
      <c r="I11890" s="94"/>
      <c r="K11890" s="94"/>
      <c r="M11890" s="94"/>
    </row>
    <row r="11891" s="93" customFormat="1" spans="3:13">
      <c r="C11891" s="94"/>
      <c r="E11891" s="94"/>
      <c r="G11891" s="94"/>
      <c r="I11891" s="94"/>
      <c r="K11891" s="94"/>
      <c r="M11891" s="94"/>
    </row>
    <row r="11892" s="93" customFormat="1" spans="3:13">
      <c r="C11892" s="94"/>
      <c r="E11892" s="94"/>
      <c r="G11892" s="94"/>
      <c r="I11892" s="94"/>
      <c r="K11892" s="94"/>
      <c r="M11892" s="94"/>
    </row>
    <row r="11893" s="93" customFormat="1" spans="3:13">
      <c r="C11893" s="94"/>
      <c r="E11893" s="94"/>
      <c r="G11893" s="94"/>
      <c r="I11893" s="94"/>
      <c r="K11893" s="94"/>
      <c r="M11893" s="94"/>
    </row>
    <row r="11894" s="93" customFormat="1" spans="3:13">
      <c r="C11894" s="94"/>
      <c r="E11894" s="94"/>
      <c r="G11894" s="94"/>
      <c r="I11894" s="94"/>
      <c r="K11894" s="94"/>
      <c r="M11894" s="94"/>
    </row>
    <row r="11895" s="93" customFormat="1" spans="3:13">
      <c r="C11895" s="94"/>
      <c r="E11895" s="94"/>
      <c r="G11895" s="94"/>
      <c r="I11895" s="94"/>
      <c r="K11895" s="94"/>
      <c r="M11895" s="94"/>
    </row>
    <row r="11896" s="93" customFormat="1" spans="3:13">
      <c r="C11896" s="94"/>
      <c r="E11896" s="94"/>
      <c r="G11896" s="94"/>
      <c r="I11896" s="94"/>
      <c r="K11896" s="94"/>
      <c r="M11896" s="94"/>
    </row>
    <row r="11897" s="93" customFormat="1" spans="3:13">
      <c r="C11897" s="94"/>
      <c r="E11897" s="94"/>
      <c r="G11897" s="94"/>
      <c r="I11897" s="94"/>
      <c r="K11897" s="94"/>
      <c r="M11897" s="94"/>
    </row>
    <row r="11898" s="93" customFormat="1" spans="3:13">
      <c r="C11898" s="94"/>
      <c r="E11898" s="94"/>
      <c r="G11898" s="94"/>
      <c r="I11898" s="94"/>
      <c r="K11898" s="94"/>
      <c r="M11898" s="94"/>
    </row>
    <row r="11899" s="93" customFormat="1" spans="3:13">
      <c r="C11899" s="94"/>
      <c r="E11899" s="94"/>
      <c r="G11899" s="94"/>
      <c r="I11899" s="94"/>
      <c r="K11899" s="94"/>
      <c r="M11899" s="94"/>
    </row>
    <row r="11900" s="93" customFormat="1" spans="3:13">
      <c r="C11900" s="94"/>
      <c r="E11900" s="94"/>
      <c r="G11900" s="94"/>
      <c r="I11900" s="94"/>
      <c r="K11900" s="94"/>
      <c r="M11900" s="94"/>
    </row>
    <row r="11901" s="93" customFormat="1" spans="3:13">
      <c r="C11901" s="94"/>
      <c r="E11901" s="94"/>
      <c r="G11901" s="94"/>
      <c r="I11901" s="94"/>
      <c r="K11901" s="94"/>
      <c r="M11901" s="94"/>
    </row>
    <row r="11902" s="93" customFormat="1" spans="3:13">
      <c r="C11902" s="94"/>
      <c r="E11902" s="94"/>
      <c r="G11902" s="94"/>
      <c r="I11902" s="94"/>
      <c r="K11902" s="94"/>
      <c r="M11902" s="94"/>
    </row>
    <row r="11903" s="93" customFormat="1" spans="3:13">
      <c r="C11903" s="94"/>
      <c r="E11903" s="94"/>
      <c r="G11903" s="94"/>
      <c r="I11903" s="94"/>
      <c r="K11903" s="94"/>
      <c r="M11903" s="94"/>
    </row>
    <row r="11904" s="93" customFormat="1" spans="3:13">
      <c r="C11904" s="94"/>
      <c r="E11904" s="94"/>
      <c r="G11904" s="94"/>
      <c r="I11904" s="94"/>
      <c r="K11904" s="94"/>
      <c r="M11904" s="94"/>
    </row>
    <row r="11905" s="93" customFormat="1" spans="3:13">
      <c r="C11905" s="94"/>
      <c r="E11905" s="94"/>
      <c r="G11905" s="94"/>
      <c r="I11905" s="94"/>
      <c r="K11905" s="94"/>
      <c r="M11905" s="94"/>
    </row>
    <row r="11906" s="93" customFormat="1" spans="3:13">
      <c r="C11906" s="94"/>
      <c r="E11906" s="94"/>
      <c r="G11906" s="94"/>
      <c r="I11906" s="94"/>
      <c r="K11906" s="94"/>
      <c r="M11906" s="94"/>
    </row>
    <row r="11907" s="93" customFormat="1" spans="3:13">
      <c r="C11907" s="94"/>
      <c r="E11907" s="94"/>
      <c r="G11907" s="94"/>
      <c r="I11907" s="94"/>
      <c r="K11907" s="94"/>
      <c r="M11907" s="94"/>
    </row>
    <row r="11908" s="93" customFormat="1" spans="3:13">
      <c r="C11908" s="94"/>
      <c r="E11908" s="94"/>
      <c r="G11908" s="94"/>
      <c r="I11908" s="94"/>
      <c r="K11908" s="94"/>
      <c r="M11908" s="94"/>
    </row>
    <row r="11909" s="93" customFormat="1" spans="3:13">
      <c r="C11909" s="94"/>
      <c r="E11909" s="94"/>
      <c r="G11909" s="94"/>
      <c r="I11909" s="94"/>
      <c r="K11909" s="94"/>
      <c r="M11909" s="94"/>
    </row>
    <row r="11910" s="93" customFormat="1" spans="3:13">
      <c r="C11910" s="94"/>
      <c r="E11910" s="94"/>
      <c r="G11910" s="94"/>
      <c r="I11910" s="94"/>
      <c r="K11910" s="94"/>
      <c r="M11910" s="94"/>
    </row>
    <row r="11911" s="93" customFormat="1" spans="3:13">
      <c r="C11911" s="94"/>
      <c r="E11911" s="94"/>
      <c r="G11911" s="94"/>
      <c r="I11911" s="94"/>
      <c r="K11911" s="94"/>
      <c r="M11911" s="94"/>
    </row>
    <row r="11912" s="93" customFormat="1" spans="3:13">
      <c r="C11912" s="94"/>
      <c r="E11912" s="94"/>
      <c r="G11912" s="94"/>
      <c r="I11912" s="94"/>
      <c r="K11912" s="94"/>
      <c r="M11912" s="94"/>
    </row>
    <row r="11913" s="93" customFormat="1" spans="3:13">
      <c r="C11913" s="94"/>
      <c r="E11913" s="94"/>
      <c r="G11913" s="94"/>
      <c r="I11913" s="94"/>
      <c r="K11913" s="94"/>
      <c r="M11913" s="94"/>
    </row>
    <row r="11914" s="93" customFormat="1" spans="3:13">
      <c r="C11914" s="94"/>
      <c r="E11914" s="94"/>
      <c r="G11914" s="94"/>
      <c r="I11914" s="94"/>
      <c r="K11914" s="94"/>
      <c r="M11914" s="94"/>
    </row>
    <row r="11915" s="93" customFormat="1" spans="3:13">
      <c r="C11915" s="94"/>
      <c r="E11915" s="94"/>
      <c r="G11915" s="94"/>
      <c r="I11915" s="94"/>
      <c r="K11915" s="94"/>
      <c r="M11915" s="94"/>
    </row>
    <row r="11916" s="93" customFormat="1" spans="3:13">
      <c r="C11916" s="94"/>
      <c r="E11916" s="94"/>
      <c r="G11916" s="94"/>
      <c r="I11916" s="94"/>
      <c r="K11916" s="94"/>
      <c r="M11916" s="94"/>
    </row>
    <row r="11917" s="93" customFormat="1" spans="3:13">
      <c r="C11917" s="94"/>
      <c r="E11917" s="94"/>
      <c r="G11917" s="94"/>
      <c r="I11917" s="94"/>
      <c r="K11917" s="94"/>
      <c r="M11917" s="94"/>
    </row>
    <row r="11918" s="93" customFormat="1" spans="3:13">
      <c r="C11918" s="94"/>
      <c r="E11918" s="94"/>
      <c r="G11918" s="94"/>
      <c r="I11918" s="94"/>
      <c r="K11918" s="94"/>
      <c r="M11918" s="94"/>
    </row>
    <row r="11919" s="93" customFormat="1" spans="3:13">
      <c r="C11919" s="94"/>
      <c r="E11919" s="94"/>
      <c r="G11919" s="94"/>
      <c r="I11919" s="94"/>
      <c r="K11919" s="94"/>
      <c r="M11919" s="94"/>
    </row>
    <row r="11920" s="93" customFormat="1" spans="3:13">
      <c r="C11920" s="94"/>
      <c r="E11920" s="94"/>
      <c r="G11920" s="94"/>
      <c r="I11920" s="94"/>
      <c r="K11920" s="94"/>
      <c r="M11920" s="94"/>
    </row>
    <row r="11921" s="93" customFormat="1" spans="3:13">
      <c r="C11921" s="94"/>
      <c r="E11921" s="94"/>
      <c r="G11921" s="94"/>
      <c r="I11921" s="94"/>
      <c r="K11921" s="94"/>
      <c r="M11921" s="94"/>
    </row>
    <row r="11922" s="93" customFormat="1" spans="3:13">
      <c r="C11922" s="94"/>
      <c r="E11922" s="94"/>
      <c r="G11922" s="94"/>
      <c r="I11922" s="94"/>
      <c r="K11922" s="94"/>
      <c r="M11922" s="94"/>
    </row>
    <row r="11923" s="93" customFormat="1" spans="3:13">
      <c r="C11923" s="94"/>
      <c r="E11923" s="94"/>
      <c r="G11923" s="94"/>
      <c r="I11923" s="94"/>
      <c r="K11923" s="94"/>
      <c r="M11923" s="94"/>
    </row>
    <row r="11924" s="93" customFormat="1" spans="3:13">
      <c r="C11924" s="94"/>
      <c r="E11924" s="94"/>
      <c r="G11924" s="94"/>
      <c r="I11924" s="94"/>
      <c r="K11924" s="94"/>
      <c r="M11924" s="94"/>
    </row>
    <row r="11925" s="93" customFormat="1" spans="3:13">
      <c r="C11925" s="94"/>
      <c r="E11925" s="94"/>
      <c r="G11925" s="94"/>
      <c r="I11925" s="94"/>
      <c r="K11925" s="94"/>
      <c r="M11925" s="94"/>
    </row>
    <row r="11926" s="93" customFormat="1" spans="3:13">
      <c r="C11926" s="94"/>
      <c r="E11926" s="94"/>
      <c r="G11926" s="94"/>
      <c r="I11926" s="94"/>
      <c r="K11926" s="94"/>
      <c r="M11926" s="94"/>
    </row>
    <row r="11927" s="93" customFormat="1" spans="3:13">
      <c r="C11927" s="94"/>
      <c r="E11927" s="94"/>
      <c r="G11927" s="94"/>
      <c r="I11927" s="94"/>
      <c r="K11927" s="94"/>
      <c r="M11927" s="94"/>
    </row>
    <row r="11928" s="93" customFormat="1" spans="3:13">
      <c r="C11928" s="94"/>
      <c r="E11928" s="94"/>
      <c r="G11928" s="94"/>
      <c r="I11928" s="94"/>
      <c r="K11928" s="94"/>
      <c r="M11928" s="94"/>
    </row>
    <row r="11929" s="93" customFormat="1" spans="3:13">
      <c r="C11929" s="94"/>
      <c r="E11929" s="94"/>
      <c r="G11929" s="94"/>
      <c r="I11929" s="94"/>
      <c r="K11929" s="94"/>
      <c r="M11929" s="94"/>
    </row>
    <row r="11930" s="93" customFormat="1" spans="3:13">
      <c r="C11930" s="94"/>
      <c r="E11930" s="94"/>
      <c r="G11930" s="94"/>
      <c r="I11930" s="94"/>
      <c r="K11930" s="94"/>
      <c r="M11930" s="94"/>
    </row>
    <row r="11931" s="93" customFormat="1" spans="3:13">
      <c r="C11931" s="94"/>
      <c r="E11931" s="94"/>
      <c r="G11931" s="94"/>
      <c r="I11931" s="94"/>
      <c r="K11931" s="94"/>
      <c r="M11931" s="94"/>
    </row>
    <row r="11932" s="93" customFormat="1" spans="3:13">
      <c r="C11932" s="94"/>
      <c r="E11932" s="94"/>
      <c r="G11932" s="94"/>
      <c r="I11932" s="94"/>
      <c r="K11932" s="94"/>
      <c r="M11932" s="94"/>
    </row>
    <row r="11933" s="93" customFormat="1" spans="3:13">
      <c r="C11933" s="94"/>
      <c r="E11933" s="94"/>
      <c r="G11933" s="94"/>
      <c r="I11933" s="94"/>
      <c r="K11933" s="94"/>
      <c r="M11933" s="94"/>
    </row>
    <row r="11934" s="93" customFormat="1" spans="3:13">
      <c r="C11934" s="94"/>
      <c r="E11934" s="94"/>
      <c r="G11934" s="94"/>
      <c r="I11934" s="94"/>
      <c r="K11934" s="94"/>
      <c r="M11934" s="94"/>
    </row>
    <row r="11935" s="93" customFormat="1" spans="3:13">
      <c r="C11935" s="94"/>
      <c r="E11935" s="94"/>
      <c r="G11935" s="94"/>
      <c r="I11935" s="94"/>
      <c r="K11935" s="94"/>
      <c r="M11935" s="94"/>
    </row>
    <row r="11936" s="93" customFormat="1" spans="3:13">
      <c r="C11936" s="94"/>
      <c r="E11936" s="94"/>
      <c r="G11936" s="94"/>
      <c r="I11936" s="94"/>
      <c r="K11936" s="94"/>
      <c r="M11936" s="94"/>
    </row>
    <row r="11937" s="93" customFormat="1" spans="3:13">
      <c r="C11937" s="94"/>
      <c r="E11937" s="94"/>
      <c r="G11937" s="94"/>
      <c r="I11937" s="94"/>
      <c r="K11937" s="94"/>
      <c r="M11937" s="94"/>
    </row>
    <row r="11938" s="93" customFormat="1" spans="3:13">
      <c r="C11938" s="94"/>
      <c r="E11938" s="94"/>
      <c r="G11938" s="94"/>
      <c r="I11938" s="94"/>
      <c r="K11938" s="94"/>
      <c r="M11938" s="94"/>
    </row>
    <row r="11939" s="93" customFormat="1" spans="3:13">
      <c r="C11939" s="94"/>
      <c r="E11939" s="94"/>
      <c r="G11939" s="94"/>
      <c r="I11939" s="94"/>
      <c r="K11939" s="94"/>
      <c r="M11939" s="94"/>
    </row>
    <row r="11940" s="93" customFormat="1" spans="3:13">
      <c r="C11940" s="94"/>
      <c r="E11940" s="94"/>
      <c r="G11940" s="94"/>
      <c r="I11940" s="94"/>
      <c r="K11940" s="94"/>
      <c r="M11940" s="94"/>
    </row>
    <row r="11941" s="93" customFormat="1" spans="3:13">
      <c r="C11941" s="94"/>
      <c r="E11941" s="94"/>
      <c r="G11941" s="94"/>
      <c r="I11941" s="94"/>
      <c r="K11941" s="94"/>
      <c r="M11941" s="94"/>
    </row>
    <row r="11942" s="93" customFormat="1" spans="3:13">
      <c r="C11942" s="94"/>
      <c r="E11942" s="94"/>
      <c r="G11942" s="94"/>
      <c r="I11942" s="94"/>
      <c r="K11942" s="94"/>
      <c r="M11942" s="94"/>
    </row>
    <row r="11943" s="93" customFormat="1" spans="3:13">
      <c r="C11943" s="94"/>
      <c r="E11943" s="94"/>
      <c r="G11943" s="94"/>
      <c r="I11943" s="94"/>
      <c r="K11943" s="94"/>
      <c r="M11943" s="94"/>
    </row>
    <row r="11944" s="93" customFormat="1" spans="3:13">
      <c r="C11944" s="94"/>
      <c r="E11944" s="94"/>
      <c r="G11944" s="94"/>
      <c r="I11944" s="94"/>
      <c r="K11944" s="94"/>
      <c r="M11944" s="94"/>
    </row>
    <row r="11945" s="93" customFormat="1" spans="3:13">
      <c r="C11945" s="94"/>
      <c r="E11945" s="94"/>
      <c r="G11945" s="94"/>
      <c r="I11945" s="94"/>
      <c r="K11945" s="94"/>
      <c r="M11945" s="94"/>
    </row>
    <row r="11946" s="93" customFormat="1" spans="3:13">
      <c r="C11946" s="94"/>
      <c r="E11946" s="94"/>
      <c r="G11946" s="94"/>
      <c r="I11946" s="94"/>
      <c r="K11946" s="94"/>
      <c r="M11946" s="94"/>
    </row>
    <row r="11947" s="93" customFormat="1" spans="3:13">
      <c r="C11947" s="94"/>
      <c r="E11947" s="94"/>
      <c r="G11947" s="94"/>
      <c r="I11947" s="94"/>
      <c r="K11947" s="94"/>
      <c r="M11947" s="94"/>
    </row>
    <row r="11948" s="93" customFormat="1" spans="3:13">
      <c r="C11948" s="94"/>
      <c r="E11948" s="94"/>
      <c r="G11948" s="94"/>
      <c r="I11948" s="94"/>
      <c r="K11948" s="94"/>
      <c r="M11948" s="94"/>
    </row>
    <row r="11949" s="93" customFormat="1" spans="3:13">
      <c r="C11949" s="94"/>
      <c r="E11949" s="94"/>
      <c r="G11949" s="94"/>
      <c r="I11949" s="94"/>
      <c r="K11949" s="94"/>
      <c r="M11949" s="94"/>
    </row>
    <row r="11950" s="93" customFormat="1" spans="3:13">
      <c r="C11950" s="94"/>
      <c r="E11950" s="94"/>
      <c r="G11950" s="94"/>
      <c r="I11950" s="94"/>
      <c r="K11950" s="94"/>
      <c r="M11950" s="94"/>
    </row>
    <row r="11951" s="93" customFormat="1" spans="3:13">
      <c r="C11951" s="94"/>
      <c r="E11951" s="94"/>
      <c r="G11951" s="94"/>
      <c r="I11951" s="94"/>
      <c r="K11951" s="94"/>
      <c r="M11951" s="94"/>
    </row>
    <row r="11952" s="93" customFormat="1" spans="3:13">
      <c r="C11952" s="94"/>
      <c r="E11952" s="94"/>
      <c r="G11952" s="94"/>
      <c r="I11952" s="94"/>
      <c r="K11952" s="94"/>
      <c r="M11952" s="94"/>
    </row>
    <row r="11953" s="93" customFormat="1" spans="3:13">
      <c r="C11953" s="94"/>
      <c r="E11953" s="94"/>
      <c r="G11953" s="94"/>
      <c r="I11953" s="94"/>
      <c r="K11953" s="94"/>
      <c r="M11953" s="94"/>
    </row>
    <row r="11954" s="93" customFormat="1" spans="3:13">
      <c r="C11954" s="94"/>
      <c r="E11954" s="94"/>
      <c r="G11954" s="94"/>
      <c r="I11954" s="94"/>
      <c r="K11954" s="94"/>
      <c r="M11954" s="94"/>
    </row>
    <row r="11955" s="93" customFormat="1" spans="3:13">
      <c r="C11955" s="94"/>
      <c r="E11955" s="94"/>
      <c r="G11955" s="94"/>
      <c r="I11955" s="94"/>
      <c r="K11955" s="94"/>
      <c r="M11955" s="94"/>
    </row>
    <row r="11956" s="93" customFormat="1" spans="3:13">
      <c r="C11956" s="94"/>
      <c r="E11956" s="94"/>
      <c r="G11956" s="94"/>
      <c r="I11956" s="94"/>
      <c r="K11956" s="94"/>
      <c r="M11956" s="94"/>
    </row>
    <row r="11957" s="93" customFormat="1" spans="3:13">
      <c r="C11957" s="94"/>
      <c r="E11957" s="94"/>
      <c r="G11957" s="94"/>
      <c r="I11957" s="94"/>
      <c r="K11957" s="94"/>
      <c r="M11957" s="94"/>
    </row>
    <row r="11958" s="93" customFormat="1" spans="3:13">
      <c r="C11958" s="94"/>
      <c r="E11958" s="94"/>
      <c r="G11958" s="94"/>
      <c r="I11958" s="94"/>
      <c r="K11958" s="94"/>
      <c r="M11958" s="94"/>
    </row>
    <row r="11959" s="93" customFormat="1" spans="3:13">
      <c r="C11959" s="94"/>
      <c r="E11959" s="94"/>
      <c r="G11959" s="94"/>
      <c r="I11959" s="94"/>
      <c r="K11959" s="94"/>
      <c r="M11959" s="94"/>
    </row>
    <row r="11960" s="93" customFormat="1" spans="3:13">
      <c r="C11960" s="94"/>
      <c r="E11960" s="94"/>
      <c r="G11960" s="94"/>
      <c r="I11960" s="94"/>
      <c r="K11960" s="94"/>
      <c r="M11960" s="94"/>
    </row>
    <row r="11961" s="93" customFormat="1" spans="3:13">
      <c r="C11961" s="94"/>
      <c r="E11961" s="94"/>
      <c r="G11961" s="94"/>
      <c r="I11961" s="94"/>
      <c r="K11961" s="94"/>
      <c r="M11961" s="94"/>
    </row>
    <row r="11962" s="93" customFormat="1" spans="3:13">
      <c r="C11962" s="94"/>
      <c r="E11962" s="94"/>
      <c r="G11962" s="94"/>
      <c r="I11962" s="94"/>
      <c r="K11962" s="94"/>
      <c r="M11962" s="94"/>
    </row>
    <row r="11963" s="93" customFormat="1" spans="3:13">
      <c r="C11963" s="94"/>
      <c r="E11963" s="94"/>
      <c r="G11963" s="94"/>
      <c r="I11963" s="94"/>
      <c r="K11963" s="94"/>
      <c r="M11963" s="94"/>
    </row>
    <row r="11964" s="93" customFormat="1" spans="3:13">
      <c r="C11964" s="94"/>
      <c r="E11964" s="94"/>
      <c r="G11964" s="94"/>
      <c r="I11964" s="94"/>
      <c r="K11964" s="94"/>
      <c r="M11964" s="94"/>
    </row>
    <row r="11965" s="93" customFormat="1" spans="3:13">
      <c r="C11965" s="94"/>
      <c r="E11965" s="94"/>
      <c r="G11965" s="94"/>
      <c r="I11965" s="94"/>
      <c r="K11965" s="94"/>
      <c r="M11965" s="94"/>
    </row>
    <row r="11966" s="93" customFormat="1" spans="3:13">
      <c r="C11966" s="94"/>
      <c r="E11966" s="94"/>
      <c r="G11966" s="94"/>
      <c r="I11966" s="94"/>
      <c r="K11966" s="94"/>
      <c r="M11966" s="94"/>
    </row>
    <row r="11967" s="93" customFormat="1" spans="3:13">
      <c r="C11967" s="94"/>
      <c r="E11967" s="94"/>
      <c r="G11967" s="94"/>
      <c r="I11967" s="94"/>
      <c r="K11967" s="94"/>
      <c r="M11967" s="94"/>
    </row>
    <row r="11968" s="93" customFormat="1" spans="3:13">
      <c r="C11968" s="94"/>
      <c r="E11968" s="94"/>
      <c r="G11968" s="94"/>
      <c r="I11968" s="94"/>
      <c r="K11968" s="94"/>
      <c r="M11968" s="94"/>
    </row>
    <row r="11969" s="93" customFormat="1" spans="3:13">
      <c r="C11969" s="94"/>
      <c r="E11969" s="94"/>
      <c r="G11969" s="94"/>
      <c r="I11969" s="94"/>
      <c r="K11969" s="94"/>
      <c r="M11969" s="94"/>
    </row>
    <row r="11970" s="93" customFormat="1" spans="3:13">
      <c r="C11970" s="94"/>
      <c r="E11970" s="94"/>
      <c r="G11970" s="94"/>
      <c r="I11970" s="94"/>
      <c r="K11970" s="94"/>
      <c r="M11970" s="94"/>
    </row>
    <row r="11971" s="93" customFormat="1" spans="3:13">
      <c r="C11971" s="94"/>
      <c r="E11971" s="94"/>
      <c r="G11971" s="94"/>
      <c r="I11971" s="94"/>
      <c r="K11971" s="94"/>
      <c r="M11971" s="94"/>
    </row>
    <row r="11972" s="93" customFormat="1" spans="3:13">
      <c r="C11972" s="94"/>
      <c r="E11972" s="94"/>
      <c r="G11972" s="94"/>
      <c r="I11972" s="94"/>
      <c r="K11972" s="94"/>
      <c r="M11972" s="94"/>
    </row>
    <row r="11973" s="93" customFormat="1" spans="3:13">
      <c r="C11973" s="94"/>
      <c r="E11973" s="94"/>
      <c r="G11973" s="94"/>
      <c r="I11973" s="94"/>
      <c r="K11973" s="94"/>
      <c r="M11973" s="94"/>
    </row>
    <row r="11974" s="93" customFormat="1" spans="3:13">
      <c r="C11974" s="94"/>
      <c r="E11974" s="94"/>
      <c r="G11974" s="94"/>
      <c r="I11974" s="94"/>
      <c r="K11974" s="94"/>
      <c r="M11974" s="94"/>
    </row>
    <row r="11975" s="93" customFormat="1" spans="3:13">
      <c r="C11975" s="94"/>
      <c r="E11975" s="94"/>
      <c r="G11975" s="94"/>
      <c r="I11975" s="94"/>
      <c r="K11975" s="94"/>
      <c r="M11975" s="94"/>
    </row>
    <row r="11976" s="93" customFormat="1" spans="3:13">
      <c r="C11976" s="94"/>
      <c r="E11976" s="94"/>
      <c r="G11976" s="94"/>
      <c r="I11976" s="94"/>
      <c r="K11976" s="94"/>
      <c r="M11976" s="94"/>
    </row>
    <row r="11977" s="93" customFormat="1" spans="3:13">
      <c r="C11977" s="94"/>
      <c r="E11977" s="94"/>
      <c r="G11977" s="94"/>
      <c r="I11977" s="94"/>
      <c r="K11977" s="94"/>
      <c r="M11977" s="94"/>
    </row>
    <row r="11978" s="93" customFormat="1" spans="3:13">
      <c r="C11978" s="94"/>
      <c r="E11978" s="94"/>
      <c r="G11978" s="94"/>
      <c r="I11978" s="94"/>
      <c r="K11978" s="94"/>
      <c r="M11978" s="94"/>
    </row>
    <row r="11979" s="93" customFormat="1" spans="3:13">
      <c r="C11979" s="94"/>
      <c r="E11979" s="94"/>
      <c r="G11979" s="94"/>
      <c r="I11979" s="94"/>
      <c r="K11979" s="94"/>
      <c r="M11979" s="94"/>
    </row>
    <row r="11980" s="93" customFormat="1" spans="3:13">
      <c r="C11980" s="94"/>
      <c r="E11980" s="94"/>
      <c r="G11980" s="94"/>
      <c r="I11980" s="94"/>
      <c r="K11980" s="94"/>
      <c r="M11980" s="94"/>
    </row>
    <row r="11981" s="93" customFormat="1" spans="3:13">
      <c r="C11981" s="94"/>
      <c r="E11981" s="94"/>
      <c r="G11981" s="94"/>
      <c r="I11981" s="94"/>
      <c r="K11981" s="94"/>
      <c r="M11981" s="94"/>
    </row>
    <row r="11982" s="93" customFormat="1" spans="3:13">
      <c r="C11982" s="94"/>
      <c r="E11982" s="94"/>
      <c r="G11982" s="94"/>
      <c r="I11982" s="94"/>
      <c r="K11982" s="94"/>
      <c r="M11982" s="94"/>
    </row>
    <row r="11983" s="93" customFormat="1" spans="3:13">
      <c r="C11983" s="94"/>
      <c r="E11983" s="94"/>
      <c r="G11983" s="94"/>
      <c r="I11983" s="94"/>
      <c r="K11983" s="94"/>
      <c r="M11983" s="94"/>
    </row>
    <row r="11984" s="93" customFormat="1" spans="3:13">
      <c r="C11984" s="94"/>
      <c r="E11984" s="94"/>
      <c r="G11984" s="94"/>
      <c r="I11984" s="94"/>
      <c r="K11984" s="94"/>
      <c r="M11984" s="94"/>
    </row>
    <row r="11985" s="93" customFormat="1" spans="3:13">
      <c r="C11985" s="94"/>
      <c r="E11985" s="94"/>
      <c r="G11985" s="94"/>
      <c r="I11985" s="94"/>
      <c r="K11985" s="94"/>
      <c r="M11985" s="94"/>
    </row>
    <row r="11986" s="93" customFormat="1" spans="3:13">
      <c r="C11986" s="94"/>
      <c r="E11986" s="94"/>
      <c r="G11986" s="94"/>
      <c r="I11986" s="94"/>
      <c r="K11986" s="94"/>
      <c r="M11986" s="94"/>
    </row>
    <row r="11987" s="93" customFormat="1" spans="3:13">
      <c r="C11987" s="94"/>
      <c r="E11987" s="94"/>
      <c r="G11987" s="94"/>
      <c r="I11987" s="94"/>
      <c r="K11987" s="94"/>
      <c r="M11987" s="94"/>
    </row>
    <row r="11988" s="93" customFormat="1" spans="3:13">
      <c r="C11988" s="94"/>
      <c r="E11988" s="94"/>
      <c r="G11988" s="94"/>
      <c r="I11988" s="94"/>
      <c r="K11988" s="94"/>
      <c r="M11988" s="94"/>
    </row>
    <row r="11989" s="93" customFormat="1" spans="3:13">
      <c r="C11989" s="94"/>
      <c r="E11989" s="94"/>
      <c r="G11989" s="94"/>
      <c r="I11989" s="94"/>
      <c r="K11989" s="94"/>
      <c r="M11989" s="94"/>
    </row>
    <row r="11990" s="93" customFormat="1" spans="3:13">
      <c r="C11990" s="94"/>
      <c r="E11990" s="94"/>
      <c r="G11990" s="94"/>
      <c r="I11990" s="94"/>
      <c r="K11990" s="94"/>
      <c r="M11990" s="94"/>
    </row>
    <row r="11991" s="93" customFormat="1" spans="3:13">
      <c r="C11991" s="94"/>
      <c r="E11991" s="94"/>
      <c r="G11991" s="94"/>
      <c r="I11991" s="94"/>
      <c r="K11991" s="94"/>
      <c r="M11991" s="94"/>
    </row>
    <row r="11992" s="93" customFormat="1" spans="3:13">
      <c r="C11992" s="94"/>
      <c r="E11992" s="94"/>
      <c r="G11992" s="94"/>
      <c r="I11992" s="94"/>
      <c r="K11992" s="94"/>
      <c r="M11992" s="94"/>
    </row>
    <row r="11993" s="93" customFormat="1" spans="3:13">
      <c r="C11993" s="94"/>
      <c r="E11993" s="94"/>
      <c r="G11993" s="94"/>
      <c r="I11993" s="94"/>
      <c r="K11993" s="94"/>
      <c r="M11993" s="94"/>
    </row>
    <row r="11994" s="93" customFormat="1" spans="3:13">
      <c r="C11994" s="94"/>
      <c r="E11994" s="94"/>
      <c r="G11994" s="94"/>
      <c r="I11994" s="94"/>
      <c r="K11994" s="94"/>
      <c r="M11994" s="94"/>
    </row>
    <row r="11995" s="93" customFormat="1" spans="3:13">
      <c r="C11995" s="94"/>
      <c r="E11995" s="94"/>
      <c r="G11995" s="94"/>
      <c r="I11995" s="94"/>
      <c r="K11995" s="94"/>
      <c r="M11995" s="94"/>
    </row>
    <row r="11996" s="93" customFormat="1" spans="3:13">
      <c r="C11996" s="94"/>
      <c r="E11996" s="94"/>
      <c r="G11996" s="94"/>
      <c r="I11996" s="94"/>
      <c r="K11996" s="94"/>
      <c r="M11996" s="94"/>
    </row>
    <row r="11997" s="93" customFormat="1" spans="3:13">
      <c r="C11997" s="94"/>
      <c r="E11997" s="94"/>
      <c r="G11997" s="94"/>
      <c r="I11997" s="94"/>
      <c r="K11997" s="94"/>
      <c r="M11997" s="94"/>
    </row>
    <row r="11998" s="93" customFormat="1" spans="3:13">
      <c r="C11998" s="94"/>
      <c r="E11998" s="94"/>
      <c r="G11998" s="94"/>
      <c r="I11998" s="94"/>
      <c r="K11998" s="94"/>
      <c r="M11998" s="94"/>
    </row>
    <row r="11999" s="93" customFormat="1" spans="3:13">
      <c r="C11999" s="94"/>
      <c r="E11999" s="94"/>
      <c r="G11999" s="94"/>
      <c r="I11999" s="94"/>
      <c r="K11999" s="94"/>
      <c r="M11999" s="94"/>
    </row>
    <row r="12000" s="93" customFormat="1" spans="3:13">
      <c r="C12000" s="94"/>
      <c r="E12000" s="94"/>
      <c r="G12000" s="94"/>
      <c r="I12000" s="94"/>
      <c r="K12000" s="94"/>
      <c r="M12000" s="94"/>
    </row>
    <row r="12001" s="93" customFormat="1" spans="3:13">
      <c r="C12001" s="94"/>
      <c r="E12001" s="94"/>
      <c r="G12001" s="94"/>
      <c r="I12001" s="94"/>
      <c r="K12001" s="94"/>
      <c r="M12001" s="94"/>
    </row>
    <row r="12002" s="93" customFormat="1" spans="3:13">
      <c r="C12002" s="94"/>
      <c r="E12002" s="94"/>
      <c r="G12002" s="94"/>
      <c r="I12002" s="94"/>
      <c r="K12002" s="94"/>
      <c r="M12002" s="94"/>
    </row>
    <row r="12003" s="93" customFormat="1" spans="3:13">
      <c r="C12003" s="94"/>
      <c r="E12003" s="94"/>
      <c r="G12003" s="94"/>
      <c r="I12003" s="94"/>
      <c r="K12003" s="94"/>
      <c r="M12003" s="94"/>
    </row>
    <row r="12004" s="93" customFormat="1" spans="3:13">
      <c r="C12004" s="94"/>
      <c r="E12004" s="94"/>
      <c r="G12004" s="94"/>
      <c r="I12004" s="94"/>
      <c r="K12004" s="94"/>
      <c r="M12004" s="94"/>
    </row>
    <row r="12005" s="93" customFormat="1" spans="3:13">
      <c r="C12005" s="94"/>
      <c r="E12005" s="94"/>
      <c r="G12005" s="94"/>
      <c r="I12005" s="94"/>
      <c r="K12005" s="94"/>
      <c r="M12005" s="94"/>
    </row>
    <row r="12006" s="93" customFormat="1" spans="3:13">
      <c r="C12006" s="94"/>
      <c r="E12006" s="94"/>
      <c r="G12006" s="94"/>
      <c r="I12006" s="94"/>
      <c r="K12006" s="94"/>
      <c r="M12006" s="94"/>
    </row>
    <row r="12007" s="93" customFormat="1" spans="3:13">
      <c r="C12007" s="94"/>
      <c r="E12007" s="94"/>
      <c r="G12007" s="94"/>
      <c r="I12007" s="94"/>
      <c r="K12007" s="94"/>
      <c r="M12007" s="94"/>
    </row>
    <row r="12008" s="93" customFormat="1" spans="3:13">
      <c r="C12008" s="94"/>
      <c r="E12008" s="94"/>
      <c r="G12008" s="94"/>
      <c r="I12008" s="94"/>
      <c r="K12008" s="94"/>
      <c r="M12008" s="94"/>
    </row>
    <row r="12009" s="93" customFormat="1" spans="3:13">
      <c r="C12009" s="94"/>
      <c r="E12009" s="94"/>
      <c r="G12009" s="94"/>
      <c r="I12009" s="94"/>
      <c r="K12009" s="94"/>
      <c r="M12009" s="94"/>
    </row>
    <row r="12010" s="93" customFormat="1" spans="3:13">
      <c r="C12010" s="94"/>
      <c r="E12010" s="94"/>
      <c r="G12010" s="94"/>
      <c r="I12010" s="94"/>
      <c r="K12010" s="94"/>
      <c r="M12010" s="94"/>
    </row>
    <row r="12011" s="93" customFormat="1" spans="3:13">
      <c r="C12011" s="94"/>
      <c r="E12011" s="94"/>
      <c r="G12011" s="94"/>
      <c r="I12011" s="94"/>
      <c r="K12011" s="94"/>
      <c r="M12011" s="94"/>
    </row>
    <row r="12012" s="93" customFormat="1" spans="3:13">
      <c r="C12012" s="94"/>
      <c r="E12012" s="94"/>
      <c r="G12012" s="94"/>
      <c r="I12012" s="94"/>
      <c r="K12012" s="94"/>
      <c r="M12012" s="94"/>
    </row>
    <row r="12013" s="93" customFormat="1" spans="3:13">
      <c r="C12013" s="94"/>
      <c r="E12013" s="94"/>
      <c r="G12013" s="94"/>
      <c r="I12013" s="94"/>
      <c r="K12013" s="94"/>
      <c r="M12013" s="94"/>
    </row>
    <row r="12014" s="93" customFormat="1" spans="3:13">
      <c r="C12014" s="94"/>
      <c r="E12014" s="94"/>
      <c r="G12014" s="94"/>
      <c r="I12014" s="94"/>
      <c r="K12014" s="94"/>
      <c r="M12014" s="94"/>
    </row>
    <row r="12015" s="93" customFormat="1" spans="3:13">
      <c r="C12015" s="94"/>
      <c r="E12015" s="94"/>
      <c r="G12015" s="94"/>
      <c r="I12015" s="94"/>
      <c r="K12015" s="94"/>
      <c r="M12015" s="94"/>
    </row>
    <row r="12016" s="93" customFormat="1" spans="3:13">
      <c r="C12016" s="94"/>
      <c r="E12016" s="94"/>
      <c r="G12016" s="94"/>
      <c r="I12016" s="94"/>
      <c r="K12016" s="94"/>
      <c r="M12016" s="94"/>
    </row>
    <row r="12017" s="93" customFormat="1" spans="3:13">
      <c r="C12017" s="94"/>
      <c r="E12017" s="94"/>
      <c r="G12017" s="94"/>
      <c r="I12017" s="94"/>
      <c r="K12017" s="94"/>
      <c r="M12017" s="94"/>
    </row>
    <row r="12018" s="93" customFormat="1" spans="3:13">
      <c r="C12018" s="94"/>
      <c r="E12018" s="94"/>
      <c r="G12018" s="94"/>
      <c r="I12018" s="94"/>
      <c r="K12018" s="94"/>
      <c r="M12018" s="94"/>
    </row>
    <row r="12019" s="93" customFormat="1" spans="3:13">
      <c r="C12019" s="94"/>
      <c r="E12019" s="94"/>
      <c r="G12019" s="94"/>
      <c r="I12019" s="94"/>
      <c r="K12019" s="94"/>
      <c r="M12019" s="94"/>
    </row>
    <row r="12020" s="93" customFormat="1" spans="3:13">
      <c r="C12020" s="94"/>
      <c r="E12020" s="94"/>
      <c r="G12020" s="94"/>
      <c r="I12020" s="94"/>
      <c r="K12020" s="94"/>
      <c r="M12020" s="94"/>
    </row>
    <row r="12021" s="93" customFormat="1" spans="3:13">
      <c r="C12021" s="94"/>
      <c r="E12021" s="94"/>
      <c r="G12021" s="94"/>
      <c r="I12021" s="94"/>
      <c r="K12021" s="94"/>
      <c r="M12021" s="94"/>
    </row>
    <row r="12022" s="93" customFormat="1" spans="3:13">
      <c r="C12022" s="94"/>
      <c r="E12022" s="94"/>
      <c r="G12022" s="94"/>
      <c r="I12022" s="94"/>
      <c r="K12022" s="94"/>
      <c r="M12022" s="94"/>
    </row>
    <row r="12023" s="93" customFormat="1" spans="3:13">
      <c r="C12023" s="94"/>
      <c r="E12023" s="94"/>
      <c r="G12023" s="94"/>
      <c r="I12023" s="94"/>
      <c r="K12023" s="94"/>
      <c r="M12023" s="94"/>
    </row>
    <row r="12024" s="93" customFormat="1" spans="3:13">
      <c r="C12024" s="94"/>
      <c r="E12024" s="94"/>
      <c r="G12024" s="94"/>
      <c r="I12024" s="94"/>
      <c r="K12024" s="94"/>
      <c r="M12024" s="94"/>
    </row>
    <row r="12025" s="93" customFormat="1" spans="3:13">
      <c r="C12025" s="94"/>
      <c r="E12025" s="94"/>
      <c r="G12025" s="94"/>
      <c r="I12025" s="94"/>
      <c r="K12025" s="94"/>
      <c r="M12025" s="94"/>
    </row>
    <row r="12026" s="93" customFormat="1" spans="3:13">
      <c r="C12026" s="94"/>
      <c r="E12026" s="94"/>
      <c r="G12026" s="94"/>
      <c r="I12026" s="94"/>
      <c r="K12026" s="94"/>
      <c r="M12026" s="94"/>
    </row>
    <row r="12027" s="93" customFormat="1" spans="3:13">
      <c r="C12027" s="94"/>
      <c r="E12027" s="94"/>
      <c r="G12027" s="94"/>
      <c r="I12027" s="94"/>
      <c r="K12027" s="94"/>
      <c r="M12027" s="94"/>
    </row>
    <row r="12028" s="93" customFormat="1" spans="3:13">
      <c r="C12028" s="94"/>
      <c r="E12028" s="94"/>
      <c r="G12028" s="94"/>
      <c r="I12028" s="94"/>
      <c r="K12028" s="94"/>
      <c r="M12028" s="94"/>
    </row>
    <row r="12029" s="93" customFormat="1" spans="3:13">
      <c r="C12029" s="94"/>
      <c r="E12029" s="94"/>
      <c r="G12029" s="94"/>
      <c r="I12029" s="94"/>
      <c r="K12029" s="94"/>
      <c r="M12029" s="94"/>
    </row>
    <row r="12030" s="93" customFormat="1" spans="3:13">
      <c r="C12030" s="94"/>
      <c r="E12030" s="94"/>
      <c r="G12030" s="94"/>
      <c r="I12030" s="94"/>
      <c r="K12030" s="94"/>
      <c r="M12030" s="94"/>
    </row>
    <row r="12031" s="93" customFormat="1" spans="3:13">
      <c r="C12031" s="94"/>
      <c r="E12031" s="94"/>
      <c r="G12031" s="94"/>
      <c r="I12031" s="94"/>
      <c r="K12031" s="94"/>
      <c r="M12031" s="94"/>
    </row>
    <row r="12032" s="93" customFormat="1" spans="3:13">
      <c r="C12032" s="94"/>
      <c r="E12032" s="94"/>
      <c r="G12032" s="94"/>
      <c r="I12032" s="94"/>
      <c r="K12032" s="94"/>
      <c r="M12032" s="94"/>
    </row>
    <row r="12033" s="93" customFormat="1" spans="3:13">
      <c r="C12033" s="94"/>
      <c r="E12033" s="94"/>
      <c r="G12033" s="94"/>
      <c r="I12033" s="94"/>
      <c r="K12033" s="94"/>
      <c r="M12033" s="94"/>
    </row>
    <row r="12034" s="93" customFormat="1" spans="3:13">
      <c r="C12034" s="94"/>
      <c r="E12034" s="94"/>
      <c r="G12034" s="94"/>
      <c r="I12034" s="94"/>
      <c r="K12034" s="94"/>
      <c r="M12034" s="94"/>
    </row>
    <row r="12035" s="93" customFormat="1" spans="3:13">
      <c r="C12035" s="94"/>
      <c r="E12035" s="94"/>
      <c r="G12035" s="94"/>
      <c r="I12035" s="94"/>
      <c r="K12035" s="94"/>
      <c r="M12035" s="94"/>
    </row>
    <row r="12036" s="93" customFormat="1" spans="3:13">
      <c r="C12036" s="94"/>
      <c r="E12036" s="94"/>
      <c r="G12036" s="94"/>
      <c r="I12036" s="94"/>
      <c r="K12036" s="94"/>
      <c r="M12036" s="94"/>
    </row>
    <row r="12037" s="93" customFormat="1" spans="3:13">
      <c r="C12037" s="94"/>
      <c r="E12037" s="94"/>
      <c r="G12037" s="94"/>
      <c r="I12037" s="94"/>
      <c r="K12037" s="94"/>
      <c r="M12037" s="94"/>
    </row>
    <row r="12038" s="93" customFormat="1" spans="3:13">
      <c r="C12038" s="94"/>
      <c r="E12038" s="94"/>
      <c r="G12038" s="94"/>
      <c r="I12038" s="94"/>
      <c r="K12038" s="94"/>
      <c r="M12038" s="94"/>
    </row>
    <row r="12039" s="93" customFormat="1" spans="3:13">
      <c r="C12039" s="94"/>
      <c r="E12039" s="94"/>
      <c r="G12039" s="94"/>
      <c r="I12039" s="94"/>
      <c r="K12039" s="94"/>
      <c r="M12039" s="94"/>
    </row>
    <row r="12040" s="93" customFormat="1" spans="3:13">
      <c r="C12040" s="94"/>
      <c r="E12040" s="94"/>
      <c r="G12040" s="94"/>
      <c r="I12040" s="94"/>
      <c r="K12040" s="94"/>
      <c r="M12040" s="94"/>
    </row>
    <row r="12041" s="93" customFormat="1" spans="3:13">
      <c r="C12041" s="94"/>
      <c r="E12041" s="94"/>
      <c r="G12041" s="94"/>
      <c r="I12041" s="94"/>
      <c r="K12041" s="94"/>
      <c r="M12041" s="94"/>
    </row>
    <row r="12042" s="93" customFormat="1" spans="3:13">
      <c r="C12042" s="94"/>
      <c r="E12042" s="94"/>
      <c r="G12042" s="94"/>
      <c r="I12042" s="94"/>
      <c r="K12042" s="94"/>
      <c r="M12042" s="94"/>
    </row>
    <row r="12043" s="93" customFormat="1" spans="3:13">
      <c r="C12043" s="94"/>
      <c r="E12043" s="94"/>
      <c r="G12043" s="94"/>
      <c r="I12043" s="94"/>
      <c r="K12043" s="94"/>
      <c r="M12043" s="94"/>
    </row>
    <row r="12044" s="93" customFormat="1" spans="3:13">
      <c r="C12044" s="94"/>
      <c r="E12044" s="94"/>
      <c r="G12044" s="94"/>
      <c r="I12044" s="94"/>
      <c r="K12044" s="94"/>
      <c r="M12044" s="94"/>
    </row>
    <row r="12045" s="93" customFormat="1" spans="3:13">
      <c r="C12045" s="94"/>
      <c r="E12045" s="94"/>
      <c r="G12045" s="94"/>
      <c r="I12045" s="94"/>
      <c r="K12045" s="94"/>
      <c r="M12045" s="94"/>
    </row>
    <row r="12046" s="93" customFormat="1" spans="3:13">
      <c r="C12046" s="94"/>
      <c r="E12046" s="94"/>
      <c r="G12046" s="94"/>
      <c r="I12046" s="94"/>
      <c r="K12046" s="94"/>
      <c r="M12046" s="94"/>
    </row>
    <row r="12047" s="93" customFormat="1" spans="3:13">
      <c r="C12047" s="94"/>
      <c r="E12047" s="94"/>
      <c r="G12047" s="94"/>
      <c r="I12047" s="94"/>
      <c r="K12047" s="94"/>
      <c r="M12047" s="94"/>
    </row>
    <row r="12048" s="93" customFormat="1" spans="3:13">
      <c r="C12048" s="94"/>
      <c r="E12048" s="94"/>
      <c r="G12048" s="94"/>
      <c r="I12048" s="94"/>
      <c r="K12048" s="94"/>
      <c r="M12048" s="94"/>
    </row>
    <row r="12049" s="93" customFormat="1" spans="3:13">
      <c r="C12049" s="94"/>
      <c r="E12049" s="94"/>
      <c r="G12049" s="94"/>
      <c r="I12049" s="94"/>
      <c r="K12049" s="94"/>
      <c r="M12049" s="94"/>
    </row>
    <row r="12050" s="93" customFormat="1" spans="3:13">
      <c r="C12050" s="94"/>
      <c r="E12050" s="94"/>
      <c r="G12050" s="94"/>
      <c r="I12050" s="94"/>
      <c r="K12050" s="94"/>
      <c r="M12050" s="94"/>
    </row>
    <row r="12051" s="93" customFormat="1" spans="3:13">
      <c r="C12051" s="94"/>
      <c r="E12051" s="94"/>
      <c r="G12051" s="94"/>
      <c r="I12051" s="94"/>
      <c r="K12051" s="94"/>
      <c r="M12051" s="94"/>
    </row>
    <row r="12052" s="93" customFormat="1" spans="3:13">
      <c r="C12052" s="94"/>
      <c r="E12052" s="94"/>
      <c r="G12052" s="94"/>
      <c r="I12052" s="94"/>
      <c r="K12052" s="94"/>
      <c r="M12052" s="94"/>
    </row>
    <row r="12053" s="93" customFormat="1" spans="3:13">
      <c r="C12053" s="94"/>
      <c r="E12053" s="94"/>
      <c r="G12053" s="94"/>
      <c r="I12053" s="94"/>
      <c r="K12053" s="94"/>
      <c r="M12053" s="94"/>
    </row>
    <row r="12054" s="93" customFormat="1" spans="3:13">
      <c r="C12054" s="94"/>
      <c r="E12054" s="94"/>
      <c r="G12054" s="94"/>
      <c r="I12054" s="94"/>
      <c r="K12054" s="94"/>
      <c r="M12054" s="94"/>
    </row>
    <row r="12055" s="93" customFormat="1" spans="3:13">
      <c r="C12055" s="94"/>
      <c r="E12055" s="94"/>
      <c r="G12055" s="94"/>
      <c r="I12055" s="94"/>
      <c r="K12055" s="94"/>
      <c r="M12055" s="94"/>
    </row>
    <row r="12056" s="93" customFormat="1" spans="3:13">
      <c r="C12056" s="94"/>
      <c r="E12056" s="94"/>
      <c r="G12056" s="94"/>
      <c r="I12056" s="94"/>
      <c r="K12056" s="94"/>
      <c r="M12056" s="94"/>
    </row>
    <row r="12057" s="93" customFormat="1" spans="3:13">
      <c r="C12057" s="94"/>
      <c r="E12057" s="94"/>
      <c r="G12057" s="94"/>
      <c r="I12057" s="94"/>
      <c r="K12057" s="94"/>
      <c r="M12057" s="94"/>
    </row>
    <row r="12058" s="93" customFormat="1" spans="3:13">
      <c r="C12058" s="94"/>
      <c r="E12058" s="94"/>
      <c r="G12058" s="94"/>
      <c r="I12058" s="94"/>
      <c r="K12058" s="94"/>
      <c r="M12058" s="94"/>
    </row>
    <row r="12059" s="93" customFormat="1" spans="3:13">
      <c r="C12059" s="94"/>
      <c r="E12059" s="94"/>
      <c r="G12059" s="94"/>
      <c r="I12059" s="94"/>
      <c r="K12059" s="94"/>
      <c r="M12059" s="94"/>
    </row>
    <row r="12060" s="93" customFormat="1" spans="3:13">
      <c r="C12060" s="94"/>
      <c r="E12060" s="94"/>
      <c r="G12060" s="94"/>
      <c r="I12060" s="94"/>
      <c r="K12060" s="94"/>
      <c r="M12060" s="94"/>
    </row>
    <row r="12061" s="93" customFormat="1" spans="3:13">
      <c r="C12061" s="94"/>
      <c r="E12061" s="94"/>
      <c r="G12061" s="94"/>
      <c r="I12061" s="94"/>
      <c r="K12061" s="94"/>
      <c r="M12061" s="94"/>
    </row>
    <row r="12062" s="93" customFormat="1" spans="3:13">
      <c r="C12062" s="94"/>
      <c r="E12062" s="94"/>
      <c r="G12062" s="94"/>
      <c r="I12062" s="94"/>
      <c r="K12062" s="94"/>
      <c r="M12062" s="94"/>
    </row>
    <row r="12063" s="93" customFormat="1" spans="3:13">
      <c r="C12063" s="94"/>
      <c r="E12063" s="94"/>
      <c r="G12063" s="94"/>
      <c r="I12063" s="94"/>
      <c r="K12063" s="94"/>
      <c r="M12063" s="94"/>
    </row>
    <row r="12064" s="93" customFormat="1" spans="3:13">
      <c r="C12064" s="94"/>
      <c r="E12064" s="94"/>
      <c r="G12064" s="94"/>
      <c r="I12064" s="94"/>
      <c r="K12064" s="94"/>
      <c r="M12064" s="94"/>
    </row>
    <row r="12065" s="93" customFormat="1" spans="3:13">
      <c r="C12065" s="94"/>
      <c r="E12065" s="94"/>
      <c r="G12065" s="94"/>
      <c r="I12065" s="94"/>
      <c r="K12065" s="94"/>
      <c r="M12065" s="94"/>
    </row>
    <row r="12066" s="93" customFormat="1" spans="3:13">
      <c r="C12066" s="94"/>
      <c r="E12066" s="94"/>
      <c r="G12066" s="94"/>
      <c r="I12066" s="94"/>
      <c r="K12066" s="94"/>
      <c r="M12066" s="94"/>
    </row>
    <row r="12067" s="93" customFormat="1" spans="3:13">
      <c r="C12067" s="94"/>
      <c r="E12067" s="94"/>
      <c r="G12067" s="94"/>
      <c r="I12067" s="94"/>
      <c r="K12067" s="94"/>
      <c r="M12067" s="94"/>
    </row>
    <row r="12068" s="93" customFormat="1" spans="3:13">
      <c r="C12068" s="94"/>
      <c r="E12068" s="94"/>
      <c r="G12068" s="94"/>
      <c r="I12068" s="94"/>
      <c r="K12068" s="94"/>
      <c r="M12068" s="94"/>
    </row>
    <row r="12069" s="93" customFormat="1" spans="3:13">
      <c r="C12069" s="94"/>
      <c r="E12069" s="94"/>
      <c r="G12069" s="94"/>
      <c r="I12069" s="94"/>
      <c r="K12069" s="94"/>
      <c r="M12069" s="94"/>
    </row>
    <row r="12070" s="93" customFormat="1" spans="3:13">
      <c r="C12070" s="94"/>
      <c r="E12070" s="94"/>
      <c r="G12070" s="94"/>
      <c r="I12070" s="94"/>
      <c r="K12070" s="94"/>
      <c r="M12070" s="94"/>
    </row>
    <row r="12071" s="93" customFormat="1" spans="3:13">
      <c r="C12071" s="94"/>
      <c r="E12071" s="94"/>
      <c r="G12071" s="94"/>
      <c r="I12071" s="94"/>
      <c r="K12071" s="94"/>
      <c r="M12071" s="94"/>
    </row>
    <row r="12072" s="93" customFormat="1" spans="3:13">
      <c r="C12072" s="94"/>
      <c r="E12072" s="94"/>
      <c r="G12072" s="94"/>
      <c r="I12072" s="94"/>
      <c r="K12072" s="94"/>
      <c r="M12072" s="94"/>
    </row>
    <row r="12073" s="93" customFormat="1" spans="3:13">
      <c r="C12073" s="94"/>
      <c r="E12073" s="94"/>
      <c r="G12073" s="94"/>
      <c r="I12073" s="94"/>
      <c r="K12073" s="94"/>
      <c r="M12073" s="94"/>
    </row>
    <row r="12074" s="93" customFormat="1" spans="3:13">
      <c r="C12074" s="94"/>
      <c r="E12074" s="94"/>
      <c r="G12074" s="94"/>
      <c r="I12074" s="94"/>
      <c r="K12074" s="94"/>
      <c r="M12074" s="94"/>
    </row>
    <row r="12075" s="93" customFormat="1" spans="3:13">
      <c r="C12075" s="94"/>
      <c r="E12075" s="94"/>
      <c r="G12075" s="94"/>
      <c r="I12075" s="94"/>
      <c r="K12075" s="94"/>
      <c r="M12075" s="94"/>
    </row>
    <row r="12076" s="93" customFormat="1" spans="3:13">
      <c r="C12076" s="94"/>
      <c r="E12076" s="94"/>
      <c r="G12076" s="94"/>
      <c r="I12076" s="94"/>
      <c r="K12076" s="94"/>
      <c r="M12076" s="94"/>
    </row>
    <row r="12077" s="93" customFormat="1" spans="3:13">
      <c r="C12077" s="94"/>
      <c r="E12077" s="94"/>
      <c r="G12077" s="94"/>
      <c r="I12077" s="94"/>
      <c r="K12077" s="94"/>
      <c r="M12077" s="94"/>
    </row>
    <row r="12078" s="93" customFormat="1" spans="3:13">
      <c r="C12078" s="94"/>
      <c r="E12078" s="94"/>
      <c r="G12078" s="94"/>
      <c r="I12078" s="94"/>
      <c r="K12078" s="94"/>
      <c r="M12078" s="94"/>
    </row>
    <row r="12079" s="93" customFormat="1" spans="3:13">
      <c r="C12079" s="94"/>
      <c r="E12079" s="94"/>
      <c r="G12079" s="94"/>
      <c r="I12079" s="94"/>
      <c r="K12079" s="94"/>
      <c r="M12079" s="94"/>
    </row>
    <row r="12080" s="93" customFormat="1" spans="3:13">
      <c r="C12080" s="94"/>
      <c r="E12080" s="94"/>
      <c r="G12080" s="94"/>
      <c r="I12080" s="94"/>
      <c r="K12080" s="94"/>
      <c r="M12080" s="94"/>
    </row>
    <row r="12081" s="93" customFormat="1" spans="3:13">
      <c r="C12081" s="94"/>
      <c r="E12081" s="94"/>
      <c r="G12081" s="94"/>
      <c r="I12081" s="94"/>
      <c r="K12081" s="94"/>
      <c r="M12081" s="94"/>
    </row>
    <row r="12082" s="93" customFormat="1" spans="3:13">
      <c r="C12082" s="94"/>
      <c r="E12082" s="94"/>
      <c r="G12082" s="94"/>
      <c r="I12082" s="94"/>
      <c r="K12082" s="94"/>
      <c r="M12082" s="94"/>
    </row>
    <row r="12083" s="93" customFormat="1" spans="3:13">
      <c r="C12083" s="94"/>
      <c r="E12083" s="94"/>
      <c r="G12083" s="94"/>
      <c r="I12083" s="94"/>
      <c r="K12083" s="94"/>
      <c r="M12083" s="94"/>
    </row>
    <row r="12084" s="93" customFormat="1" spans="3:13">
      <c r="C12084" s="94"/>
      <c r="E12084" s="94"/>
      <c r="G12084" s="94"/>
      <c r="I12084" s="94"/>
      <c r="K12084" s="94"/>
      <c r="M12084" s="94"/>
    </row>
    <row r="12085" s="93" customFormat="1" spans="3:13">
      <c r="C12085" s="94"/>
      <c r="E12085" s="94"/>
      <c r="G12085" s="94"/>
      <c r="I12085" s="94"/>
      <c r="K12085" s="94"/>
      <c r="M12085" s="94"/>
    </row>
    <row r="12086" s="93" customFormat="1" spans="3:13">
      <c r="C12086" s="94"/>
      <c r="E12086" s="94"/>
      <c r="G12086" s="94"/>
      <c r="I12086" s="94"/>
      <c r="K12086" s="94"/>
      <c r="M12086" s="94"/>
    </row>
    <row r="12087" s="93" customFormat="1" spans="3:13">
      <c r="C12087" s="94"/>
      <c r="E12087" s="94"/>
      <c r="G12087" s="94"/>
      <c r="I12087" s="94"/>
      <c r="K12087" s="94"/>
      <c r="M12087" s="94"/>
    </row>
    <row r="12088" s="93" customFormat="1" spans="3:13">
      <c r="C12088" s="94"/>
      <c r="E12088" s="94"/>
      <c r="G12088" s="94"/>
      <c r="I12088" s="94"/>
      <c r="K12088" s="94"/>
      <c r="M12088" s="94"/>
    </row>
    <row r="12089" s="93" customFormat="1" spans="3:13">
      <c r="C12089" s="94"/>
      <c r="E12089" s="94"/>
      <c r="G12089" s="94"/>
      <c r="I12089" s="94"/>
      <c r="K12089" s="94"/>
      <c r="M12089" s="94"/>
    </row>
    <row r="12090" s="93" customFormat="1" spans="3:13">
      <c r="C12090" s="94"/>
      <c r="E12090" s="94"/>
      <c r="G12090" s="94"/>
      <c r="I12090" s="94"/>
      <c r="K12090" s="94"/>
      <c r="M12090" s="94"/>
    </row>
    <row r="12091" s="93" customFormat="1" spans="3:13">
      <c r="C12091" s="94"/>
      <c r="E12091" s="94"/>
      <c r="G12091" s="94"/>
      <c r="I12091" s="94"/>
      <c r="K12091" s="94"/>
      <c r="M12091" s="94"/>
    </row>
    <row r="12092" s="93" customFormat="1" spans="3:13">
      <c r="C12092" s="94"/>
      <c r="E12092" s="94"/>
      <c r="G12092" s="94"/>
      <c r="I12092" s="94"/>
      <c r="K12092" s="94"/>
      <c r="M12092" s="94"/>
    </row>
    <row r="12093" s="93" customFormat="1" spans="3:13">
      <c r="C12093" s="94"/>
      <c r="E12093" s="94"/>
      <c r="G12093" s="94"/>
      <c r="I12093" s="94"/>
      <c r="K12093" s="94"/>
      <c r="M12093" s="94"/>
    </row>
    <row r="12094" s="93" customFormat="1" spans="3:13">
      <c r="C12094" s="94"/>
      <c r="E12094" s="94"/>
      <c r="G12094" s="94"/>
      <c r="I12094" s="94"/>
      <c r="K12094" s="94"/>
      <c r="M12094" s="94"/>
    </row>
    <row r="12095" s="93" customFormat="1" spans="3:13">
      <c r="C12095" s="94"/>
      <c r="E12095" s="94"/>
      <c r="G12095" s="94"/>
      <c r="I12095" s="94"/>
      <c r="K12095" s="94"/>
      <c r="M12095" s="94"/>
    </row>
    <row r="12096" s="93" customFormat="1" spans="3:13">
      <c r="C12096" s="94"/>
      <c r="E12096" s="94"/>
      <c r="G12096" s="94"/>
      <c r="I12096" s="94"/>
      <c r="K12096" s="94"/>
      <c r="M12096" s="94"/>
    </row>
    <row r="12097" s="93" customFormat="1" spans="3:13">
      <c r="C12097" s="94"/>
      <c r="E12097" s="94"/>
      <c r="G12097" s="94"/>
      <c r="I12097" s="94"/>
      <c r="K12097" s="94"/>
      <c r="M12097" s="94"/>
    </row>
    <row r="12098" s="93" customFormat="1" spans="3:13">
      <c r="C12098" s="94"/>
      <c r="E12098" s="94"/>
      <c r="G12098" s="94"/>
      <c r="I12098" s="94"/>
      <c r="K12098" s="94"/>
      <c r="M12098" s="94"/>
    </row>
    <row r="12099" s="93" customFormat="1" spans="3:13">
      <c r="C12099" s="94"/>
      <c r="E12099" s="94"/>
      <c r="G12099" s="94"/>
      <c r="I12099" s="94"/>
      <c r="K12099" s="94"/>
      <c r="M12099" s="94"/>
    </row>
    <row r="12100" s="93" customFormat="1" spans="3:13">
      <c r="C12100" s="94"/>
      <c r="E12100" s="94"/>
      <c r="G12100" s="94"/>
      <c r="I12100" s="94"/>
      <c r="K12100" s="94"/>
      <c r="M12100" s="94"/>
    </row>
    <row r="12101" s="93" customFormat="1" spans="3:13">
      <c r="C12101" s="94"/>
      <c r="E12101" s="94"/>
      <c r="G12101" s="94"/>
      <c r="I12101" s="94"/>
      <c r="K12101" s="94"/>
      <c r="M12101" s="94"/>
    </row>
    <row r="12102" s="93" customFormat="1" spans="3:13">
      <c r="C12102" s="94"/>
      <c r="E12102" s="94"/>
      <c r="G12102" s="94"/>
      <c r="I12102" s="94"/>
      <c r="K12102" s="94"/>
      <c r="M12102" s="94"/>
    </row>
    <row r="12103" s="93" customFormat="1" spans="3:13">
      <c r="C12103" s="94"/>
      <c r="E12103" s="94"/>
      <c r="G12103" s="94"/>
      <c r="I12103" s="94"/>
      <c r="K12103" s="94"/>
      <c r="M12103" s="94"/>
    </row>
    <row r="12104" s="93" customFormat="1" spans="3:13">
      <c r="C12104" s="94"/>
      <c r="E12104" s="94"/>
      <c r="G12104" s="94"/>
      <c r="I12104" s="94"/>
      <c r="K12104" s="94"/>
      <c r="M12104" s="94"/>
    </row>
    <row r="12105" s="93" customFormat="1" spans="3:13">
      <c r="C12105" s="94"/>
      <c r="E12105" s="94"/>
      <c r="G12105" s="94"/>
      <c r="I12105" s="94"/>
      <c r="K12105" s="94"/>
      <c r="M12105" s="94"/>
    </row>
    <row r="12106" s="93" customFormat="1" spans="3:13">
      <c r="C12106" s="94"/>
      <c r="E12106" s="94"/>
      <c r="G12106" s="94"/>
      <c r="I12106" s="94"/>
      <c r="K12106" s="94"/>
      <c r="M12106" s="94"/>
    </row>
    <row r="12107" s="93" customFormat="1" spans="3:13">
      <c r="C12107" s="94"/>
      <c r="E12107" s="94"/>
      <c r="G12107" s="94"/>
      <c r="I12107" s="94"/>
      <c r="K12107" s="94"/>
      <c r="M12107" s="94"/>
    </row>
    <row r="12108" s="93" customFormat="1" spans="3:13">
      <c r="C12108" s="94"/>
      <c r="E12108" s="94"/>
      <c r="G12108" s="94"/>
      <c r="I12108" s="94"/>
      <c r="K12108" s="94"/>
      <c r="M12108" s="94"/>
    </row>
    <row r="12109" s="93" customFormat="1" spans="3:13">
      <c r="C12109" s="94"/>
      <c r="E12109" s="94"/>
      <c r="G12109" s="94"/>
      <c r="I12109" s="94"/>
      <c r="K12109" s="94"/>
      <c r="M12109" s="94"/>
    </row>
    <row r="12110" s="93" customFormat="1" spans="3:13">
      <c r="C12110" s="94"/>
      <c r="E12110" s="94"/>
      <c r="G12110" s="94"/>
      <c r="I12110" s="94"/>
      <c r="K12110" s="94"/>
      <c r="M12110" s="94"/>
    </row>
    <row r="12111" s="93" customFormat="1" spans="3:13">
      <c r="C12111" s="94"/>
      <c r="E12111" s="94"/>
      <c r="G12111" s="94"/>
      <c r="I12111" s="94"/>
      <c r="K12111" s="94"/>
      <c r="M12111" s="94"/>
    </row>
    <row r="12112" s="93" customFormat="1" spans="3:13">
      <c r="C12112" s="94"/>
      <c r="E12112" s="94"/>
      <c r="G12112" s="94"/>
      <c r="I12112" s="94"/>
      <c r="K12112" s="94"/>
      <c r="M12112" s="94"/>
    </row>
    <row r="12113" s="93" customFormat="1" spans="3:13">
      <c r="C12113" s="94"/>
      <c r="E12113" s="94"/>
      <c r="G12113" s="94"/>
      <c r="I12113" s="94"/>
      <c r="K12113" s="94"/>
      <c r="M12113" s="94"/>
    </row>
    <row r="12114" s="93" customFormat="1" spans="3:13">
      <c r="C12114" s="94"/>
      <c r="E12114" s="94"/>
      <c r="G12114" s="94"/>
      <c r="I12114" s="94"/>
      <c r="K12114" s="94"/>
      <c r="M12114" s="94"/>
    </row>
    <row r="12115" s="93" customFormat="1" spans="3:13">
      <c r="C12115" s="94"/>
      <c r="E12115" s="94"/>
      <c r="G12115" s="94"/>
      <c r="I12115" s="94"/>
      <c r="K12115" s="94"/>
      <c r="M12115" s="94"/>
    </row>
    <row r="12116" s="93" customFormat="1" spans="3:13">
      <c r="C12116" s="94"/>
      <c r="E12116" s="94"/>
      <c r="G12116" s="94"/>
      <c r="I12116" s="94"/>
      <c r="K12116" s="94"/>
      <c r="M12116" s="94"/>
    </row>
    <row r="12117" s="93" customFormat="1" spans="3:13">
      <c r="C12117" s="94"/>
      <c r="E12117" s="94"/>
      <c r="G12117" s="94"/>
      <c r="I12117" s="94"/>
      <c r="K12117" s="94"/>
      <c r="M12117" s="94"/>
    </row>
    <row r="12118" s="93" customFormat="1" spans="3:13">
      <c r="C12118" s="94"/>
      <c r="E12118" s="94"/>
      <c r="G12118" s="94"/>
      <c r="I12118" s="94"/>
      <c r="K12118" s="94"/>
      <c r="M12118" s="94"/>
    </row>
    <row r="12119" s="93" customFormat="1" spans="3:13">
      <c r="C12119" s="94"/>
      <c r="E12119" s="94"/>
      <c r="G12119" s="94"/>
      <c r="I12119" s="94"/>
      <c r="K12119" s="94"/>
      <c r="M12119" s="94"/>
    </row>
    <row r="12120" s="93" customFormat="1" spans="3:13">
      <c r="C12120" s="94"/>
      <c r="E12120" s="94"/>
      <c r="G12120" s="94"/>
      <c r="I12120" s="94"/>
      <c r="K12120" s="94"/>
      <c r="M12120" s="94"/>
    </row>
    <row r="12121" s="93" customFormat="1" spans="3:13">
      <c r="C12121" s="94"/>
      <c r="E12121" s="94"/>
      <c r="G12121" s="94"/>
      <c r="I12121" s="94"/>
      <c r="K12121" s="94"/>
      <c r="M12121" s="94"/>
    </row>
    <row r="12122" s="93" customFormat="1" spans="3:13">
      <c r="C12122" s="94"/>
      <c r="E12122" s="94"/>
      <c r="G12122" s="94"/>
      <c r="I12122" s="94"/>
      <c r="K12122" s="94"/>
      <c r="M12122" s="94"/>
    </row>
    <row r="12123" s="93" customFormat="1" spans="3:13">
      <c r="C12123" s="94"/>
      <c r="E12123" s="94"/>
      <c r="G12123" s="94"/>
      <c r="I12123" s="94"/>
      <c r="K12123" s="94"/>
      <c r="M12123" s="94"/>
    </row>
    <row r="12124" s="93" customFormat="1" spans="3:13">
      <c r="C12124" s="94"/>
      <c r="E12124" s="94"/>
      <c r="G12124" s="94"/>
      <c r="I12124" s="94"/>
      <c r="K12124" s="94"/>
      <c r="M12124" s="94"/>
    </row>
    <row r="12125" s="93" customFormat="1" spans="3:13">
      <c r="C12125" s="94"/>
      <c r="E12125" s="94"/>
      <c r="G12125" s="94"/>
      <c r="I12125" s="94"/>
      <c r="K12125" s="94"/>
      <c r="M12125" s="94"/>
    </row>
    <row r="12126" s="93" customFormat="1" spans="3:13">
      <c r="C12126" s="94"/>
      <c r="E12126" s="94"/>
      <c r="G12126" s="94"/>
      <c r="I12126" s="94"/>
      <c r="K12126" s="94"/>
      <c r="M12126" s="94"/>
    </row>
    <row r="12127" s="93" customFormat="1" spans="3:13">
      <c r="C12127" s="94"/>
      <c r="E12127" s="94"/>
      <c r="G12127" s="94"/>
      <c r="I12127" s="94"/>
      <c r="K12127" s="94"/>
      <c r="M12127" s="94"/>
    </row>
    <row r="12128" s="93" customFormat="1" spans="3:13">
      <c r="C12128" s="94"/>
      <c r="E12128" s="94"/>
      <c r="G12128" s="94"/>
      <c r="I12128" s="94"/>
      <c r="K12128" s="94"/>
      <c r="M12128" s="94"/>
    </row>
    <row r="12129" s="93" customFormat="1" spans="3:13">
      <c r="C12129" s="94"/>
      <c r="E12129" s="94"/>
      <c r="G12129" s="94"/>
      <c r="I12129" s="94"/>
      <c r="K12129" s="94"/>
      <c r="M12129" s="94"/>
    </row>
    <row r="12130" s="93" customFormat="1" spans="3:13">
      <c r="C12130" s="94"/>
      <c r="E12130" s="94"/>
      <c r="G12130" s="94"/>
      <c r="I12130" s="94"/>
      <c r="K12130" s="94"/>
      <c r="M12130" s="94"/>
    </row>
    <row r="12131" s="93" customFormat="1" spans="3:13">
      <c r="C12131" s="94"/>
      <c r="E12131" s="94"/>
      <c r="G12131" s="94"/>
      <c r="I12131" s="94"/>
      <c r="K12131" s="94"/>
      <c r="M12131" s="94"/>
    </row>
    <row r="12132" s="93" customFormat="1" spans="3:13">
      <c r="C12132" s="94"/>
      <c r="E12132" s="94"/>
      <c r="G12132" s="94"/>
      <c r="I12132" s="94"/>
      <c r="K12132" s="94"/>
      <c r="M12132" s="94"/>
    </row>
    <row r="12133" s="93" customFormat="1" spans="3:13">
      <c r="C12133" s="94"/>
      <c r="E12133" s="94"/>
      <c r="G12133" s="94"/>
      <c r="I12133" s="94"/>
      <c r="K12133" s="94"/>
      <c r="M12133" s="94"/>
    </row>
    <row r="12134" s="93" customFormat="1" spans="3:13">
      <c r="C12134" s="94"/>
      <c r="E12134" s="94"/>
      <c r="G12134" s="94"/>
      <c r="I12134" s="94"/>
      <c r="K12134" s="94"/>
      <c r="M12134" s="94"/>
    </row>
    <row r="12135" s="93" customFormat="1" spans="3:13">
      <c r="C12135" s="94"/>
      <c r="E12135" s="94"/>
      <c r="G12135" s="94"/>
      <c r="I12135" s="94"/>
      <c r="K12135" s="94"/>
      <c r="M12135" s="94"/>
    </row>
    <row r="12136" s="93" customFormat="1" spans="3:13">
      <c r="C12136" s="94"/>
      <c r="E12136" s="94"/>
      <c r="G12136" s="94"/>
      <c r="I12136" s="94"/>
      <c r="K12136" s="94"/>
      <c r="M12136" s="94"/>
    </row>
    <row r="12137" s="93" customFormat="1" spans="3:13">
      <c r="C12137" s="94"/>
      <c r="E12137" s="94"/>
      <c r="G12137" s="94"/>
      <c r="I12137" s="94"/>
      <c r="K12137" s="94"/>
      <c r="M12137" s="94"/>
    </row>
    <row r="12138" s="93" customFormat="1" spans="3:13">
      <c r="C12138" s="94"/>
      <c r="E12138" s="94"/>
      <c r="G12138" s="94"/>
      <c r="I12138" s="94"/>
      <c r="K12138" s="94"/>
      <c r="M12138" s="94"/>
    </row>
    <row r="12139" s="93" customFormat="1" spans="3:13">
      <c r="C12139" s="94"/>
      <c r="E12139" s="94"/>
      <c r="G12139" s="94"/>
      <c r="I12139" s="94"/>
      <c r="K12139" s="94"/>
      <c r="M12139" s="94"/>
    </row>
    <row r="12140" s="93" customFormat="1" spans="3:13">
      <c r="C12140" s="94"/>
      <c r="E12140" s="94"/>
      <c r="G12140" s="94"/>
      <c r="I12140" s="94"/>
      <c r="K12140" s="94"/>
      <c r="M12140" s="94"/>
    </row>
    <row r="12141" s="93" customFormat="1" spans="3:13">
      <c r="C12141" s="94"/>
      <c r="E12141" s="94"/>
      <c r="G12141" s="94"/>
      <c r="I12141" s="94"/>
      <c r="K12141" s="94"/>
      <c r="M12141" s="94"/>
    </row>
    <row r="12142" s="93" customFormat="1" spans="3:13">
      <c r="C12142" s="94"/>
      <c r="E12142" s="94"/>
      <c r="G12142" s="94"/>
      <c r="I12142" s="94"/>
      <c r="K12142" s="94"/>
      <c r="M12142" s="94"/>
    </row>
    <row r="12143" s="93" customFormat="1" spans="3:13">
      <c r="C12143" s="94"/>
      <c r="E12143" s="94"/>
      <c r="G12143" s="94"/>
      <c r="I12143" s="94"/>
      <c r="K12143" s="94"/>
      <c r="M12143" s="94"/>
    </row>
    <row r="12144" s="93" customFormat="1" spans="3:13">
      <c r="C12144" s="94"/>
      <c r="E12144" s="94"/>
      <c r="G12144" s="94"/>
      <c r="I12144" s="94"/>
      <c r="K12144" s="94"/>
      <c r="M12144" s="94"/>
    </row>
    <row r="12145" s="93" customFormat="1" spans="3:13">
      <c r="C12145" s="94"/>
      <c r="E12145" s="94"/>
      <c r="G12145" s="94"/>
      <c r="I12145" s="94"/>
      <c r="K12145" s="94"/>
      <c r="M12145" s="94"/>
    </row>
    <row r="12146" s="93" customFormat="1" spans="3:13">
      <c r="C12146" s="94"/>
      <c r="E12146" s="94"/>
      <c r="G12146" s="94"/>
      <c r="I12146" s="94"/>
      <c r="K12146" s="94"/>
      <c r="M12146" s="94"/>
    </row>
    <row r="12147" s="93" customFormat="1" spans="3:13">
      <c r="C12147" s="94"/>
      <c r="E12147" s="94"/>
      <c r="G12147" s="94"/>
      <c r="I12147" s="94"/>
      <c r="K12147" s="94"/>
      <c r="M12147" s="94"/>
    </row>
    <row r="12148" s="93" customFormat="1" spans="3:13">
      <c r="C12148" s="94"/>
      <c r="E12148" s="94"/>
      <c r="G12148" s="94"/>
      <c r="I12148" s="94"/>
      <c r="K12148" s="94"/>
      <c r="M12148" s="94"/>
    </row>
    <row r="12149" s="93" customFormat="1" spans="3:13">
      <c r="C12149" s="94"/>
      <c r="E12149" s="94"/>
      <c r="G12149" s="94"/>
      <c r="I12149" s="94"/>
      <c r="K12149" s="94"/>
      <c r="M12149" s="94"/>
    </row>
    <row r="12150" s="93" customFormat="1" spans="3:13">
      <c r="C12150" s="94"/>
      <c r="E12150" s="94"/>
      <c r="G12150" s="94"/>
      <c r="I12150" s="94"/>
      <c r="K12150" s="94"/>
      <c r="M12150" s="94"/>
    </row>
    <row r="12151" s="93" customFormat="1" spans="3:13">
      <c r="C12151" s="94"/>
      <c r="E12151" s="94"/>
      <c r="G12151" s="94"/>
      <c r="I12151" s="94"/>
      <c r="K12151" s="94"/>
      <c r="M12151" s="94"/>
    </row>
    <row r="12152" s="93" customFormat="1" spans="3:13">
      <c r="C12152" s="94"/>
      <c r="E12152" s="94"/>
      <c r="G12152" s="94"/>
      <c r="I12152" s="94"/>
      <c r="K12152" s="94"/>
      <c r="M12152" s="94"/>
    </row>
    <row r="12153" s="93" customFormat="1" spans="3:13">
      <c r="C12153" s="94"/>
      <c r="E12153" s="94"/>
      <c r="G12153" s="94"/>
      <c r="I12153" s="94"/>
      <c r="K12153" s="94"/>
      <c r="M12153" s="94"/>
    </row>
    <row r="12154" s="93" customFormat="1" spans="3:13">
      <c r="C12154" s="94"/>
      <c r="E12154" s="94"/>
      <c r="G12154" s="94"/>
      <c r="I12154" s="94"/>
      <c r="K12154" s="94"/>
      <c r="M12154" s="94"/>
    </row>
    <row r="12155" s="93" customFormat="1" spans="3:13">
      <c r="C12155" s="94"/>
      <c r="E12155" s="94"/>
      <c r="G12155" s="94"/>
      <c r="I12155" s="94"/>
      <c r="K12155" s="94"/>
      <c r="M12155" s="94"/>
    </row>
    <row r="12156" s="93" customFormat="1" spans="3:13">
      <c r="C12156" s="94"/>
      <c r="E12156" s="94"/>
      <c r="G12156" s="94"/>
      <c r="I12156" s="94"/>
      <c r="K12156" s="94"/>
      <c r="M12156" s="94"/>
    </row>
    <row r="12157" s="93" customFormat="1" spans="3:13">
      <c r="C12157" s="94"/>
      <c r="E12157" s="94"/>
      <c r="G12157" s="94"/>
      <c r="I12157" s="94"/>
      <c r="K12157" s="94"/>
      <c r="M12157" s="94"/>
    </row>
    <row r="12158" s="93" customFormat="1" spans="3:13">
      <c r="C12158" s="94"/>
      <c r="E12158" s="94"/>
      <c r="G12158" s="94"/>
      <c r="I12158" s="94"/>
      <c r="K12158" s="94"/>
      <c r="M12158" s="94"/>
    </row>
    <row r="12159" s="93" customFormat="1" spans="3:13">
      <c r="C12159" s="94"/>
      <c r="E12159" s="94"/>
      <c r="G12159" s="94"/>
      <c r="I12159" s="94"/>
      <c r="K12159" s="94"/>
      <c r="M12159" s="94"/>
    </row>
    <row r="12160" s="93" customFormat="1" spans="3:13">
      <c r="C12160" s="94"/>
      <c r="E12160" s="94"/>
      <c r="G12160" s="94"/>
      <c r="I12160" s="94"/>
      <c r="K12160" s="94"/>
      <c r="M12160" s="94"/>
    </row>
    <row r="12161" s="93" customFormat="1" spans="3:13">
      <c r="C12161" s="94"/>
      <c r="E12161" s="94"/>
      <c r="G12161" s="94"/>
      <c r="I12161" s="94"/>
      <c r="K12161" s="94"/>
      <c r="M12161" s="94"/>
    </row>
    <row r="12162" s="93" customFormat="1" spans="3:13">
      <c r="C12162" s="94"/>
      <c r="E12162" s="94"/>
      <c r="G12162" s="94"/>
      <c r="I12162" s="94"/>
      <c r="K12162" s="94"/>
      <c r="M12162" s="94"/>
    </row>
    <row r="12163" s="93" customFormat="1" spans="3:13">
      <c r="C12163" s="94"/>
      <c r="E12163" s="94"/>
      <c r="G12163" s="94"/>
      <c r="I12163" s="94"/>
      <c r="K12163" s="94"/>
      <c r="M12163" s="94"/>
    </row>
    <row r="12164" s="93" customFormat="1" spans="3:13">
      <c r="C12164" s="94"/>
      <c r="E12164" s="94"/>
      <c r="G12164" s="94"/>
      <c r="I12164" s="94"/>
      <c r="K12164" s="94"/>
      <c r="M12164" s="94"/>
    </row>
    <row r="12165" s="93" customFormat="1" spans="3:13">
      <c r="C12165" s="94"/>
      <c r="E12165" s="94"/>
      <c r="G12165" s="94"/>
      <c r="I12165" s="94"/>
      <c r="K12165" s="94"/>
      <c r="M12165" s="94"/>
    </row>
    <row r="12166" s="93" customFormat="1" spans="3:13">
      <c r="C12166" s="94"/>
      <c r="E12166" s="94"/>
      <c r="G12166" s="94"/>
      <c r="I12166" s="94"/>
      <c r="K12166" s="94"/>
      <c r="M12166" s="94"/>
    </row>
    <row r="12167" s="93" customFormat="1" spans="3:13">
      <c r="C12167" s="94"/>
      <c r="E12167" s="94"/>
      <c r="G12167" s="94"/>
      <c r="I12167" s="94"/>
      <c r="K12167" s="94"/>
      <c r="M12167" s="94"/>
    </row>
    <row r="12168" s="93" customFormat="1" spans="3:13">
      <c r="C12168" s="94"/>
      <c r="E12168" s="94"/>
      <c r="G12168" s="94"/>
      <c r="I12168" s="94"/>
      <c r="K12168" s="94"/>
      <c r="M12168" s="94"/>
    </row>
    <row r="12169" s="93" customFormat="1" spans="3:13">
      <c r="C12169" s="94"/>
      <c r="E12169" s="94"/>
      <c r="G12169" s="94"/>
      <c r="I12169" s="94"/>
      <c r="K12169" s="94"/>
      <c r="M12169" s="94"/>
    </row>
    <row r="12170" s="93" customFormat="1" spans="3:13">
      <c r="C12170" s="94"/>
      <c r="E12170" s="94"/>
      <c r="G12170" s="94"/>
      <c r="I12170" s="94"/>
      <c r="K12170" s="94"/>
      <c r="M12170" s="94"/>
    </row>
    <row r="12171" s="93" customFormat="1" spans="3:13">
      <c r="C12171" s="94"/>
      <c r="E12171" s="94"/>
      <c r="G12171" s="94"/>
      <c r="I12171" s="94"/>
      <c r="K12171" s="94"/>
      <c r="M12171" s="94"/>
    </row>
    <row r="12172" s="93" customFormat="1" spans="3:13">
      <c r="C12172" s="94"/>
      <c r="E12172" s="94"/>
      <c r="G12172" s="94"/>
      <c r="I12172" s="94"/>
      <c r="K12172" s="94"/>
      <c r="M12172" s="94"/>
    </row>
    <row r="12173" s="93" customFormat="1" spans="3:13">
      <c r="C12173" s="94"/>
      <c r="E12173" s="94"/>
      <c r="G12173" s="94"/>
      <c r="I12173" s="94"/>
      <c r="K12173" s="94"/>
      <c r="M12173" s="94"/>
    </row>
    <row r="12174" s="93" customFormat="1" spans="3:13">
      <c r="C12174" s="94"/>
      <c r="E12174" s="94"/>
      <c r="G12174" s="94"/>
      <c r="I12174" s="94"/>
      <c r="K12174" s="94"/>
      <c r="M12174" s="94"/>
    </row>
    <row r="12175" s="93" customFormat="1" spans="3:13">
      <c r="C12175" s="94"/>
      <c r="E12175" s="94"/>
      <c r="G12175" s="94"/>
      <c r="I12175" s="94"/>
      <c r="K12175" s="94"/>
      <c r="M12175" s="94"/>
    </row>
    <row r="12176" s="93" customFormat="1" spans="3:13">
      <c r="C12176" s="94"/>
      <c r="E12176" s="94"/>
      <c r="G12176" s="94"/>
      <c r="I12176" s="94"/>
      <c r="K12176" s="94"/>
      <c r="M12176" s="94"/>
    </row>
    <row r="12177" s="93" customFormat="1" spans="3:13">
      <c r="C12177" s="94"/>
      <c r="E12177" s="94"/>
      <c r="G12177" s="94"/>
      <c r="I12177" s="94"/>
      <c r="K12177" s="94"/>
      <c r="M12177" s="94"/>
    </row>
    <row r="12178" s="93" customFormat="1" spans="3:13">
      <c r="C12178" s="94"/>
      <c r="E12178" s="94"/>
      <c r="G12178" s="94"/>
      <c r="I12178" s="94"/>
      <c r="K12178" s="94"/>
      <c r="M12178" s="94"/>
    </row>
    <row r="12179" s="93" customFormat="1" spans="3:13">
      <c r="C12179" s="94"/>
      <c r="E12179" s="94"/>
      <c r="G12179" s="94"/>
      <c r="I12179" s="94"/>
      <c r="K12179" s="94"/>
      <c r="M12179" s="94"/>
    </row>
    <row r="12180" s="93" customFormat="1" spans="3:13">
      <c r="C12180" s="94"/>
      <c r="E12180" s="94"/>
      <c r="G12180" s="94"/>
      <c r="I12180" s="94"/>
      <c r="K12180" s="94"/>
      <c r="M12180" s="94"/>
    </row>
    <row r="12181" s="93" customFormat="1" spans="3:13">
      <c r="C12181" s="94"/>
      <c r="E12181" s="94"/>
      <c r="G12181" s="94"/>
      <c r="I12181" s="94"/>
      <c r="K12181" s="94"/>
      <c r="M12181" s="94"/>
    </row>
    <row r="12182" s="93" customFormat="1" spans="3:13">
      <c r="C12182" s="94"/>
      <c r="E12182" s="94"/>
      <c r="G12182" s="94"/>
      <c r="I12182" s="94"/>
      <c r="K12182" s="94"/>
      <c r="M12182" s="94"/>
    </row>
    <row r="12183" s="93" customFormat="1" spans="3:13">
      <c r="C12183" s="94"/>
      <c r="E12183" s="94"/>
      <c r="G12183" s="94"/>
      <c r="I12183" s="94"/>
      <c r="K12183" s="94"/>
      <c r="M12183" s="94"/>
    </row>
    <row r="12184" s="93" customFormat="1" spans="3:13">
      <c r="C12184" s="94"/>
      <c r="E12184" s="94"/>
      <c r="G12184" s="94"/>
      <c r="I12184" s="94"/>
      <c r="K12184" s="94"/>
      <c r="M12184" s="94"/>
    </row>
    <row r="12185" s="93" customFormat="1" spans="3:13">
      <c r="C12185" s="94"/>
      <c r="E12185" s="94"/>
      <c r="G12185" s="94"/>
      <c r="I12185" s="94"/>
      <c r="K12185" s="94"/>
      <c r="M12185" s="94"/>
    </row>
    <row r="12186" s="93" customFormat="1" spans="3:13">
      <c r="C12186" s="94"/>
      <c r="E12186" s="94"/>
      <c r="G12186" s="94"/>
      <c r="I12186" s="94"/>
      <c r="K12186" s="94"/>
      <c r="M12186" s="94"/>
    </row>
    <row r="12187" s="93" customFormat="1" spans="3:13">
      <c r="C12187" s="94"/>
      <c r="E12187" s="94"/>
      <c r="G12187" s="94"/>
      <c r="I12187" s="94"/>
      <c r="K12187" s="94"/>
      <c r="M12187" s="94"/>
    </row>
    <row r="12188" s="93" customFormat="1" spans="3:13">
      <c r="C12188" s="94"/>
      <c r="E12188" s="94"/>
      <c r="G12188" s="94"/>
      <c r="I12188" s="94"/>
      <c r="K12188" s="94"/>
      <c r="M12188" s="94"/>
    </row>
    <row r="12189" s="93" customFormat="1" spans="3:13">
      <c r="C12189" s="94"/>
      <c r="E12189" s="94"/>
      <c r="G12189" s="94"/>
      <c r="I12189" s="94"/>
      <c r="K12189" s="94"/>
      <c r="M12189" s="94"/>
    </row>
    <row r="12190" s="93" customFormat="1" spans="3:13">
      <c r="C12190" s="94"/>
      <c r="E12190" s="94"/>
      <c r="G12190" s="94"/>
      <c r="I12190" s="94"/>
      <c r="K12190" s="94"/>
      <c r="M12190" s="94"/>
    </row>
    <row r="12191" s="93" customFormat="1" spans="3:13">
      <c r="C12191" s="94"/>
      <c r="E12191" s="94"/>
      <c r="G12191" s="94"/>
      <c r="I12191" s="94"/>
      <c r="K12191" s="94"/>
      <c r="M12191" s="94"/>
    </row>
    <row r="12192" s="93" customFormat="1" spans="3:13">
      <c r="C12192" s="94"/>
      <c r="E12192" s="94"/>
      <c r="G12192" s="94"/>
      <c r="I12192" s="94"/>
      <c r="K12192" s="94"/>
      <c r="M12192" s="94"/>
    </row>
    <row r="12193" s="93" customFormat="1" spans="3:13">
      <c r="C12193" s="94"/>
      <c r="E12193" s="94"/>
      <c r="G12193" s="94"/>
      <c r="I12193" s="94"/>
      <c r="K12193" s="94"/>
      <c r="M12193" s="94"/>
    </row>
    <row r="12194" s="93" customFormat="1" spans="3:13">
      <c r="C12194" s="94"/>
      <c r="E12194" s="94"/>
      <c r="G12194" s="94"/>
      <c r="I12194" s="94"/>
      <c r="K12194" s="94"/>
      <c r="M12194" s="94"/>
    </row>
    <row r="12195" s="93" customFormat="1" spans="3:13">
      <c r="C12195" s="94"/>
      <c r="E12195" s="94"/>
      <c r="G12195" s="94"/>
      <c r="I12195" s="94"/>
      <c r="K12195" s="94"/>
      <c r="M12195" s="94"/>
    </row>
    <row r="12196" s="93" customFormat="1" spans="3:13">
      <c r="C12196" s="94"/>
      <c r="E12196" s="94"/>
      <c r="G12196" s="94"/>
      <c r="I12196" s="94"/>
      <c r="K12196" s="94"/>
      <c r="M12196" s="94"/>
    </row>
    <row r="12197" s="93" customFormat="1" spans="3:13">
      <c r="C12197" s="94"/>
      <c r="E12197" s="94"/>
      <c r="G12197" s="94"/>
      <c r="I12197" s="94"/>
      <c r="K12197" s="94"/>
      <c r="M12197" s="94"/>
    </row>
    <row r="12198" s="93" customFormat="1" spans="3:13">
      <c r="C12198" s="94"/>
      <c r="E12198" s="94"/>
      <c r="G12198" s="94"/>
      <c r="I12198" s="94"/>
      <c r="K12198" s="94"/>
      <c r="M12198" s="94"/>
    </row>
    <row r="12199" s="93" customFormat="1" spans="3:13">
      <c r="C12199" s="94"/>
      <c r="E12199" s="94"/>
      <c r="G12199" s="94"/>
      <c r="I12199" s="94"/>
      <c r="K12199" s="94"/>
      <c r="M12199" s="94"/>
    </row>
    <row r="12200" s="93" customFormat="1" spans="3:13">
      <c r="C12200" s="94"/>
      <c r="E12200" s="94"/>
      <c r="G12200" s="94"/>
      <c r="I12200" s="94"/>
      <c r="K12200" s="94"/>
      <c r="M12200" s="94"/>
    </row>
    <row r="12201" s="93" customFormat="1" spans="3:13">
      <c r="C12201" s="94"/>
      <c r="E12201" s="94"/>
      <c r="G12201" s="94"/>
      <c r="I12201" s="94"/>
      <c r="K12201" s="94"/>
      <c r="M12201" s="94"/>
    </row>
    <row r="12202" s="93" customFormat="1" spans="3:13">
      <c r="C12202" s="94"/>
      <c r="E12202" s="94"/>
      <c r="G12202" s="94"/>
      <c r="I12202" s="94"/>
      <c r="K12202" s="94"/>
      <c r="M12202" s="94"/>
    </row>
    <row r="12203" s="93" customFormat="1" spans="3:13">
      <c r="C12203" s="94"/>
      <c r="E12203" s="94"/>
      <c r="G12203" s="94"/>
      <c r="I12203" s="94"/>
      <c r="K12203" s="94"/>
      <c r="M12203" s="94"/>
    </row>
    <row r="12204" s="93" customFormat="1" spans="3:13">
      <c r="C12204" s="94"/>
      <c r="E12204" s="94"/>
      <c r="G12204" s="94"/>
      <c r="I12204" s="94"/>
      <c r="K12204" s="94"/>
      <c r="M12204" s="94"/>
    </row>
    <row r="12205" s="93" customFormat="1" spans="3:13">
      <c r="C12205" s="94"/>
      <c r="E12205" s="94"/>
      <c r="G12205" s="94"/>
      <c r="I12205" s="94"/>
      <c r="K12205" s="94"/>
      <c r="M12205" s="94"/>
    </row>
    <row r="12206" s="93" customFormat="1" spans="3:13">
      <c r="C12206" s="94"/>
      <c r="E12206" s="94"/>
      <c r="G12206" s="94"/>
      <c r="I12206" s="94"/>
      <c r="K12206" s="94"/>
      <c r="M12206" s="94"/>
    </row>
    <row r="12207" s="93" customFormat="1" spans="3:13">
      <c r="C12207" s="94"/>
      <c r="E12207" s="94"/>
      <c r="G12207" s="94"/>
      <c r="I12207" s="94"/>
      <c r="K12207" s="94"/>
      <c r="M12207" s="94"/>
    </row>
    <row r="12208" s="93" customFormat="1" spans="3:13">
      <c r="C12208" s="94"/>
      <c r="E12208" s="94"/>
      <c r="G12208" s="94"/>
      <c r="I12208" s="94"/>
      <c r="K12208" s="94"/>
      <c r="M12208" s="94"/>
    </row>
    <row r="12209" s="93" customFormat="1" spans="3:13">
      <c r="C12209" s="94"/>
      <c r="E12209" s="94"/>
      <c r="G12209" s="94"/>
      <c r="I12209" s="94"/>
      <c r="K12209" s="94"/>
      <c r="M12209" s="94"/>
    </row>
    <row r="12210" s="93" customFormat="1" spans="3:13">
      <c r="C12210" s="94"/>
      <c r="E12210" s="94"/>
      <c r="G12210" s="94"/>
      <c r="I12210" s="94"/>
      <c r="K12210" s="94"/>
      <c r="M12210" s="94"/>
    </row>
    <row r="12211" s="93" customFormat="1" spans="3:13">
      <c r="C12211" s="94"/>
      <c r="E12211" s="94"/>
      <c r="G12211" s="94"/>
      <c r="I12211" s="94"/>
      <c r="K12211" s="94"/>
      <c r="M12211" s="94"/>
    </row>
    <row r="12212" s="93" customFormat="1" spans="3:13">
      <c r="C12212" s="94"/>
      <c r="E12212" s="94"/>
      <c r="G12212" s="94"/>
      <c r="I12212" s="94"/>
      <c r="K12212" s="94"/>
      <c r="M12212" s="94"/>
    </row>
    <row r="12213" s="93" customFormat="1" spans="3:13">
      <c r="C12213" s="94"/>
      <c r="E12213" s="94"/>
      <c r="G12213" s="94"/>
      <c r="I12213" s="94"/>
      <c r="K12213" s="94"/>
      <c r="M12213" s="94"/>
    </row>
    <row r="12214" s="93" customFormat="1" spans="3:13">
      <c r="C12214" s="94"/>
      <c r="E12214" s="94"/>
      <c r="G12214" s="94"/>
      <c r="I12214" s="94"/>
      <c r="K12214" s="94"/>
      <c r="M12214" s="94"/>
    </row>
    <row r="12215" s="93" customFormat="1" spans="3:13">
      <c r="C12215" s="94"/>
      <c r="E12215" s="94"/>
      <c r="G12215" s="94"/>
      <c r="I12215" s="94"/>
      <c r="K12215" s="94"/>
      <c r="M12215" s="94"/>
    </row>
    <row r="12216" s="93" customFormat="1" spans="3:13">
      <c r="C12216" s="94"/>
      <c r="E12216" s="94"/>
      <c r="G12216" s="94"/>
      <c r="I12216" s="94"/>
      <c r="K12216" s="94"/>
      <c r="M12216" s="94"/>
    </row>
    <row r="12217" s="93" customFormat="1" spans="3:13">
      <c r="C12217" s="94"/>
      <c r="E12217" s="94"/>
      <c r="G12217" s="94"/>
      <c r="I12217" s="94"/>
      <c r="K12217" s="94"/>
      <c r="M12217" s="94"/>
    </row>
    <row r="12218" s="93" customFormat="1" spans="3:13">
      <c r="C12218" s="94"/>
      <c r="E12218" s="94"/>
      <c r="G12218" s="94"/>
      <c r="I12218" s="94"/>
      <c r="K12218" s="94"/>
      <c r="M12218" s="94"/>
    </row>
    <row r="12219" s="93" customFormat="1" spans="3:13">
      <c r="C12219" s="94"/>
      <c r="E12219" s="94"/>
      <c r="G12219" s="94"/>
      <c r="I12219" s="94"/>
      <c r="K12219" s="94"/>
      <c r="M12219" s="94"/>
    </row>
    <row r="12220" s="93" customFormat="1" spans="3:13">
      <c r="C12220" s="94"/>
      <c r="E12220" s="94"/>
      <c r="G12220" s="94"/>
      <c r="I12220" s="94"/>
      <c r="K12220" s="94"/>
      <c r="M12220" s="94"/>
    </row>
    <row r="12221" s="93" customFormat="1" spans="3:13">
      <c r="C12221" s="94"/>
      <c r="E12221" s="94"/>
      <c r="G12221" s="94"/>
      <c r="I12221" s="94"/>
      <c r="K12221" s="94"/>
      <c r="M12221" s="94"/>
    </row>
    <row r="12222" s="93" customFormat="1" spans="3:13">
      <c r="C12222" s="94"/>
      <c r="E12222" s="94"/>
      <c r="G12222" s="94"/>
      <c r="I12222" s="94"/>
      <c r="K12222" s="94"/>
      <c r="M12222" s="94"/>
    </row>
    <row r="12223" s="93" customFormat="1" spans="3:13">
      <c r="C12223" s="94"/>
      <c r="E12223" s="94"/>
      <c r="G12223" s="94"/>
      <c r="I12223" s="94"/>
      <c r="K12223" s="94"/>
      <c r="M12223" s="94"/>
    </row>
    <row r="12224" s="93" customFormat="1" spans="3:13">
      <c r="C12224" s="94"/>
      <c r="E12224" s="94"/>
      <c r="G12224" s="94"/>
      <c r="I12224" s="94"/>
      <c r="K12224" s="94"/>
      <c r="M12224" s="94"/>
    </row>
    <row r="12225" s="93" customFormat="1" spans="3:13">
      <c r="C12225" s="94"/>
      <c r="E12225" s="94"/>
      <c r="G12225" s="94"/>
      <c r="I12225" s="94"/>
      <c r="K12225" s="94"/>
      <c r="M12225" s="94"/>
    </row>
    <row r="12226" s="93" customFormat="1" spans="3:13">
      <c r="C12226" s="94"/>
      <c r="E12226" s="94"/>
      <c r="G12226" s="94"/>
      <c r="I12226" s="94"/>
      <c r="K12226" s="94"/>
      <c r="M12226" s="94"/>
    </row>
    <row r="12227" s="93" customFormat="1" spans="3:13">
      <c r="C12227" s="94"/>
      <c r="E12227" s="94"/>
      <c r="G12227" s="94"/>
      <c r="I12227" s="94"/>
      <c r="K12227" s="94"/>
      <c r="M12227" s="94"/>
    </row>
    <row r="12228" s="93" customFormat="1" spans="3:13">
      <c r="C12228" s="94"/>
      <c r="E12228" s="94"/>
      <c r="G12228" s="94"/>
      <c r="I12228" s="94"/>
      <c r="K12228" s="94"/>
      <c r="M12228" s="94"/>
    </row>
    <row r="12229" s="93" customFormat="1" spans="3:13">
      <c r="C12229" s="94"/>
      <c r="E12229" s="94"/>
      <c r="G12229" s="94"/>
      <c r="I12229" s="94"/>
      <c r="K12229" s="94"/>
      <c r="M12229" s="94"/>
    </row>
    <row r="12230" s="93" customFormat="1" spans="3:13">
      <c r="C12230" s="94"/>
      <c r="E12230" s="94"/>
      <c r="G12230" s="94"/>
      <c r="I12230" s="94"/>
      <c r="K12230" s="94"/>
      <c r="M12230" s="94"/>
    </row>
    <row r="12231" s="93" customFormat="1" spans="3:13">
      <c r="C12231" s="94"/>
      <c r="E12231" s="94"/>
      <c r="G12231" s="94"/>
      <c r="I12231" s="94"/>
      <c r="K12231" s="94"/>
      <c r="M12231" s="94"/>
    </row>
    <row r="12232" s="93" customFormat="1" spans="3:13">
      <c r="C12232" s="94"/>
      <c r="E12232" s="94"/>
      <c r="G12232" s="94"/>
      <c r="I12232" s="94"/>
      <c r="K12232" s="94"/>
      <c r="M12232" s="94"/>
    </row>
    <row r="12233" s="93" customFormat="1" spans="3:13">
      <c r="C12233" s="94"/>
      <c r="E12233" s="94"/>
      <c r="G12233" s="94"/>
      <c r="I12233" s="94"/>
      <c r="K12233" s="94"/>
      <c r="M12233" s="94"/>
    </row>
    <row r="12234" s="93" customFormat="1" spans="3:13">
      <c r="C12234" s="94"/>
      <c r="E12234" s="94"/>
      <c r="G12234" s="94"/>
      <c r="I12234" s="94"/>
      <c r="K12234" s="94"/>
      <c r="M12234" s="94"/>
    </row>
    <row r="12235" s="93" customFormat="1" spans="3:13">
      <c r="C12235" s="94"/>
      <c r="E12235" s="94"/>
      <c r="G12235" s="94"/>
      <c r="I12235" s="94"/>
      <c r="K12235" s="94"/>
      <c r="M12235" s="94"/>
    </row>
    <row r="12236" s="93" customFormat="1" spans="3:13">
      <c r="C12236" s="94"/>
      <c r="E12236" s="94"/>
      <c r="G12236" s="94"/>
      <c r="I12236" s="94"/>
      <c r="K12236" s="94"/>
      <c r="M12236" s="94"/>
    </row>
    <row r="12237" s="93" customFormat="1" spans="3:13">
      <c r="C12237" s="94"/>
      <c r="E12237" s="94"/>
      <c r="G12237" s="94"/>
      <c r="I12237" s="94"/>
      <c r="K12237" s="94"/>
      <c r="M12237" s="94"/>
    </row>
    <row r="12238" s="93" customFormat="1" spans="3:13">
      <c r="C12238" s="94"/>
      <c r="E12238" s="94"/>
      <c r="G12238" s="94"/>
      <c r="I12238" s="94"/>
      <c r="K12238" s="94"/>
      <c r="M12238" s="94"/>
    </row>
    <row r="12239" s="93" customFormat="1" spans="3:13">
      <c r="C12239" s="94"/>
      <c r="E12239" s="94"/>
      <c r="G12239" s="94"/>
      <c r="I12239" s="94"/>
      <c r="K12239" s="94"/>
      <c r="M12239" s="94"/>
    </row>
    <row r="12240" s="93" customFormat="1" spans="3:13">
      <c r="C12240" s="94"/>
      <c r="E12240" s="94"/>
      <c r="G12240" s="94"/>
      <c r="I12240" s="94"/>
      <c r="K12240" s="94"/>
      <c r="M12240" s="94"/>
    </row>
    <row r="12241" s="93" customFormat="1" spans="3:13">
      <c r="C12241" s="94"/>
      <c r="E12241" s="94"/>
      <c r="G12241" s="94"/>
      <c r="I12241" s="94"/>
      <c r="K12241" s="94"/>
      <c r="M12241" s="94"/>
    </row>
    <row r="12242" s="93" customFormat="1" spans="3:13">
      <c r="C12242" s="94"/>
      <c r="E12242" s="94"/>
      <c r="G12242" s="94"/>
      <c r="I12242" s="94"/>
      <c r="K12242" s="94"/>
      <c r="M12242" s="94"/>
    </row>
    <row r="12243" s="93" customFormat="1" spans="3:13">
      <c r="C12243" s="94"/>
      <c r="E12243" s="94"/>
      <c r="G12243" s="94"/>
      <c r="I12243" s="94"/>
      <c r="K12243" s="94"/>
      <c r="M12243" s="94"/>
    </row>
    <row r="12244" s="93" customFormat="1" spans="3:13">
      <c r="C12244" s="94"/>
      <c r="E12244" s="94"/>
      <c r="G12244" s="94"/>
      <c r="I12244" s="94"/>
      <c r="K12244" s="94"/>
      <c r="M12244" s="94"/>
    </row>
    <row r="12245" s="93" customFormat="1" spans="3:13">
      <c r="C12245" s="94"/>
      <c r="E12245" s="94"/>
      <c r="G12245" s="94"/>
      <c r="I12245" s="94"/>
      <c r="K12245" s="94"/>
      <c r="M12245" s="94"/>
    </row>
    <row r="12246" s="93" customFormat="1" spans="3:13">
      <c r="C12246" s="94"/>
      <c r="E12246" s="94"/>
      <c r="G12246" s="94"/>
      <c r="I12246" s="94"/>
      <c r="K12246" s="94"/>
      <c r="M12246" s="94"/>
    </row>
    <row r="12247" s="93" customFormat="1" spans="3:13">
      <c r="C12247" s="94"/>
      <c r="E12247" s="94"/>
      <c r="G12247" s="94"/>
      <c r="I12247" s="94"/>
      <c r="K12247" s="94"/>
      <c r="M12247" s="94"/>
    </row>
    <row r="12248" s="93" customFormat="1" spans="3:13">
      <c r="C12248" s="94"/>
      <c r="E12248" s="94"/>
      <c r="G12248" s="94"/>
      <c r="I12248" s="94"/>
      <c r="K12248" s="94"/>
      <c r="M12248" s="94"/>
    </row>
    <row r="12249" s="93" customFormat="1" spans="3:13">
      <c r="C12249" s="94"/>
      <c r="E12249" s="94"/>
      <c r="G12249" s="94"/>
      <c r="I12249" s="94"/>
      <c r="K12249" s="94"/>
      <c r="M12249" s="94"/>
    </row>
    <row r="12250" s="93" customFormat="1" spans="3:13">
      <c r="C12250" s="94"/>
      <c r="E12250" s="94"/>
      <c r="G12250" s="94"/>
      <c r="I12250" s="94"/>
      <c r="K12250" s="94"/>
      <c r="M12250" s="94"/>
    </row>
    <row r="12251" s="93" customFormat="1" spans="3:13">
      <c r="C12251" s="94"/>
      <c r="E12251" s="94"/>
      <c r="G12251" s="94"/>
      <c r="I12251" s="94"/>
      <c r="K12251" s="94"/>
      <c r="M12251" s="94"/>
    </row>
    <row r="12252" s="93" customFormat="1" spans="3:13">
      <c r="C12252" s="94"/>
      <c r="E12252" s="94"/>
      <c r="G12252" s="94"/>
      <c r="I12252" s="94"/>
      <c r="K12252" s="94"/>
      <c r="M12252" s="94"/>
    </row>
    <row r="12253" s="93" customFormat="1" spans="3:13">
      <c r="C12253" s="94"/>
      <c r="E12253" s="94"/>
      <c r="G12253" s="94"/>
      <c r="I12253" s="94"/>
      <c r="K12253" s="94"/>
      <c r="M12253" s="94"/>
    </row>
    <row r="12254" s="93" customFormat="1" spans="3:13">
      <c r="C12254" s="94"/>
      <c r="E12254" s="94"/>
      <c r="G12254" s="94"/>
      <c r="I12254" s="94"/>
      <c r="K12254" s="94"/>
      <c r="M12254" s="94"/>
    </row>
    <row r="12255" s="93" customFormat="1" spans="3:13">
      <c r="C12255" s="94"/>
      <c r="E12255" s="94"/>
      <c r="G12255" s="94"/>
      <c r="I12255" s="94"/>
      <c r="K12255" s="94"/>
      <c r="M12255" s="94"/>
    </row>
    <row r="12256" s="93" customFormat="1" spans="3:13">
      <c r="C12256" s="94"/>
      <c r="E12256" s="94"/>
      <c r="G12256" s="94"/>
      <c r="I12256" s="94"/>
      <c r="K12256" s="94"/>
      <c r="M12256" s="94"/>
    </row>
    <row r="12257" s="93" customFormat="1" spans="3:13">
      <c r="C12257" s="94"/>
      <c r="E12257" s="94"/>
      <c r="G12257" s="94"/>
      <c r="I12257" s="94"/>
      <c r="K12257" s="94"/>
      <c r="M12257" s="94"/>
    </row>
    <row r="12258" s="93" customFormat="1" spans="3:13">
      <c r="C12258" s="94"/>
      <c r="E12258" s="94"/>
      <c r="G12258" s="94"/>
      <c r="I12258" s="94"/>
      <c r="K12258" s="94"/>
      <c r="M12258" s="94"/>
    </row>
    <row r="12259" s="93" customFormat="1" spans="3:13">
      <c r="C12259" s="94"/>
      <c r="E12259" s="94"/>
      <c r="G12259" s="94"/>
      <c r="I12259" s="94"/>
      <c r="K12259" s="94"/>
      <c r="M12259" s="94"/>
    </row>
    <row r="12260" s="93" customFormat="1" spans="3:13">
      <c r="C12260" s="94"/>
      <c r="E12260" s="94"/>
      <c r="G12260" s="94"/>
      <c r="I12260" s="94"/>
      <c r="K12260" s="94"/>
      <c r="M12260" s="94"/>
    </row>
    <row r="12261" s="93" customFormat="1" spans="3:13">
      <c r="C12261" s="94"/>
      <c r="E12261" s="94"/>
      <c r="G12261" s="94"/>
      <c r="I12261" s="94"/>
      <c r="K12261" s="94"/>
      <c r="M12261" s="94"/>
    </row>
    <row r="12262" s="93" customFormat="1" spans="3:13">
      <c r="C12262" s="94"/>
      <c r="E12262" s="94"/>
      <c r="G12262" s="94"/>
      <c r="I12262" s="94"/>
      <c r="K12262" s="94"/>
      <c r="M12262" s="94"/>
    </row>
    <row r="12263" s="93" customFormat="1" spans="3:13">
      <c r="C12263" s="94"/>
      <c r="E12263" s="94"/>
      <c r="G12263" s="94"/>
      <c r="I12263" s="94"/>
      <c r="K12263" s="94"/>
      <c r="M12263" s="94"/>
    </row>
    <row r="12264" s="93" customFormat="1" spans="3:13">
      <c r="C12264" s="94"/>
      <c r="E12264" s="94"/>
      <c r="G12264" s="94"/>
      <c r="I12264" s="94"/>
      <c r="K12264" s="94"/>
      <c r="M12264" s="94"/>
    </row>
    <row r="12265" s="93" customFormat="1" spans="3:13">
      <c r="C12265" s="94"/>
      <c r="E12265" s="94"/>
      <c r="G12265" s="94"/>
      <c r="I12265" s="94"/>
      <c r="K12265" s="94"/>
      <c r="M12265" s="94"/>
    </row>
    <row r="12266" s="93" customFormat="1" spans="3:13">
      <c r="C12266" s="94"/>
      <c r="E12266" s="94"/>
      <c r="G12266" s="94"/>
      <c r="I12266" s="94"/>
      <c r="K12266" s="94"/>
      <c r="M12266" s="94"/>
    </row>
    <row r="12267" s="93" customFormat="1" spans="3:13">
      <c r="C12267" s="94"/>
      <c r="E12267" s="94"/>
      <c r="G12267" s="94"/>
      <c r="I12267" s="94"/>
      <c r="K12267" s="94"/>
      <c r="M12267" s="94"/>
    </row>
    <row r="12268" s="93" customFormat="1" spans="3:13">
      <c r="C12268" s="94"/>
      <c r="E12268" s="94"/>
      <c r="G12268" s="94"/>
      <c r="I12268" s="94"/>
      <c r="K12268" s="94"/>
      <c r="M12268" s="94"/>
    </row>
    <row r="12269" s="93" customFormat="1" spans="3:13">
      <c r="C12269" s="94"/>
      <c r="E12269" s="94"/>
      <c r="G12269" s="94"/>
      <c r="I12269" s="94"/>
      <c r="K12269" s="94"/>
      <c r="M12269" s="94"/>
    </row>
    <row r="12270" s="93" customFormat="1" spans="3:13">
      <c r="C12270" s="94"/>
      <c r="E12270" s="94"/>
      <c r="G12270" s="94"/>
      <c r="I12270" s="94"/>
      <c r="K12270" s="94"/>
      <c r="M12270" s="94"/>
    </row>
    <row r="12271" s="93" customFormat="1" spans="3:13">
      <c r="C12271" s="94"/>
      <c r="E12271" s="94"/>
      <c r="G12271" s="94"/>
      <c r="I12271" s="94"/>
      <c r="K12271" s="94"/>
      <c r="M12271" s="94"/>
    </row>
    <row r="12272" s="93" customFormat="1" spans="3:13">
      <c r="C12272" s="94"/>
      <c r="E12272" s="94"/>
      <c r="G12272" s="94"/>
      <c r="I12272" s="94"/>
      <c r="K12272" s="94"/>
      <c r="M12272" s="94"/>
    </row>
    <row r="12273" s="93" customFormat="1" spans="3:13">
      <c r="C12273" s="94"/>
      <c r="E12273" s="94"/>
      <c r="G12273" s="94"/>
      <c r="I12273" s="94"/>
      <c r="K12273" s="94"/>
      <c r="M12273" s="94"/>
    </row>
    <row r="12274" s="93" customFormat="1" spans="3:13">
      <c r="C12274" s="94"/>
      <c r="E12274" s="94"/>
      <c r="G12274" s="94"/>
      <c r="I12274" s="94"/>
      <c r="K12274" s="94"/>
      <c r="M12274" s="94"/>
    </row>
    <row r="12275" s="93" customFormat="1" spans="3:13">
      <c r="C12275" s="94"/>
      <c r="E12275" s="94"/>
      <c r="G12275" s="94"/>
      <c r="I12275" s="94"/>
      <c r="K12275" s="94"/>
      <c r="M12275" s="94"/>
    </row>
    <row r="12276" s="93" customFormat="1" spans="3:13">
      <c r="C12276" s="94"/>
      <c r="E12276" s="94"/>
      <c r="G12276" s="94"/>
      <c r="I12276" s="94"/>
      <c r="K12276" s="94"/>
      <c r="M12276" s="94"/>
    </row>
    <row r="12277" s="93" customFormat="1" spans="3:13">
      <c r="C12277" s="94"/>
      <c r="E12277" s="94"/>
      <c r="G12277" s="94"/>
      <c r="I12277" s="94"/>
      <c r="K12277" s="94"/>
      <c r="M12277" s="94"/>
    </row>
    <row r="12278" s="93" customFormat="1" spans="3:13">
      <c r="C12278" s="94"/>
      <c r="E12278" s="94"/>
      <c r="G12278" s="94"/>
      <c r="I12278" s="94"/>
      <c r="K12278" s="94"/>
      <c r="M12278" s="94"/>
    </row>
    <row r="12279" s="93" customFormat="1" spans="3:13">
      <c r="C12279" s="94"/>
      <c r="E12279" s="94"/>
      <c r="G12279" s="94"/>
      <c r="I12279" s="94"/>
      <c r="K12279" s="94"/>
      <c r="M12279" s="94"/>
    </row>
    <row r="12280" s="93" customFormat="1" spans="3:13">
      <c r="C12280" s="94"/>
      <c r="E12280" s="94"/>
      <c r="G12280" s="94"/>
      <c r="I12280" s="94"/>
      <c r="K12280" s="94"/>
      <c r="M12280" s="94"/>
    </row>
    <row r="12281" s="93" customFormat="1" spans="3:13">
      <c r="C12281" s="94"/>
      <c r="E12281" s="94"/>
      <c r="G12281" s="94"/>
      <c r="I12281" s="94"/>
      <c r="K12281" s="94"/>
      <c r="M12281" s="94"/>
    </row>
    <row r="12282" s="93" customFormat="1" spans="3:13">
      <c r="C12282" s="94"/>
      <c r="E12282" s="94"/>
      <c r="G12282" s="94"/>
      <c r="I12282" s="94"/>
      <c r="K12282" s="94"/>
      <c r="M12282" s="94"/>
    </row>
    <row r="12283" s="93" customFormat="1" spans="3:13">
      <c r="C12283" s="94"/>
      <c r="E12283" s="94"/>
      <c r="G12283" s="94"/>
      <c r="I12283" s="94"/>
      <c r="K12283" s="94"/>
      <c r="M12283" s="94"/>
    </row>
    <row r="12284" s="93" customFormat="1" spans="3:13">
      <c r="C12284" s="94"/>
      <c r="E12284" s="94"/>
      <c r="G12284" s="94"/>
      <c r="I12284" s="94"/>
      <c r="K12284" s="94"/>
      <c r="M12284" s="94"/>
    </row>
    <row r="12285" s="93" customFormat="1" spans="3:13">
      <c r="C12285" s="94"/>
      <c r="E12285" s="94"/>
      <c r="G12285" s="94"/>
      <c r="I12285" s="94"/>
      <c r="K12285" s="94"/>
      <c r="M12285" s="94"/>
    </row>
    <row r="12286" s="93" customFormat="1" spans="3:13">
      <c r="C12286" s="94"/>
      <c r="E12286" s="94"/>
      <c r="G12286" s="94"/>
      <c r="I12286" s="94"/>
      <c r="K12286" s="94"/>
      <c r="M12286" s="94"/>
    </row>
    <row r="12287" s="93" customFormat="1" spans="3:13">
      <c r="C12287" s="94"/>
      <c r="E12287" s="94"/>
      <c r="G12287" s="94"/>
      <c r="I12287" s="94"/>
      <c r="K12287" s="94"/>
      <c r="M12287" s="94"/>
    </row>
    <row r="12288" s="93" customFormat="1" spans="3:13">
      <c r="C12288" s="94"/>
      <c r="E12288" s="94"/>
      <c r="G12288" s="94"/>
      <c r="I12288" s="94"/>
      <c r="K12288" s="94"/>
      <c r="M12288" s="94"/>
    </row>
    <row r="12289" s="93" customFormat="1" spans="3:13">
      <c r="C12289" s="94"/>
      <c r="E12289" s="94"/>
      <c r="G12289" s="94"/>
      <c r="I12289" s="94"/>
      <c r="K12289" s="94"/>
      <c r="M12289" s="94"/>
    </row>
    <row r="12290" s="93" customFormat="1" spans="3:13">
      <c r="C12290" s="94"/>
      <c r="E12290" s="94"/>
      <c r="G12290" s="94"/>
      <c r="I12290" s="94"/>
      <c r="K12290" s="94"/>
      <c r="M12290" s="94"/>
    </row>
    <row r="12291" s="93" customFormat="1" spans="3:13">
      <c r="C12291" s="94"/>
      <c r="E12291" s="94"/>
      <c r="G12291" s="94"/>
      <c r="I12291" s="94"/>
      <c r="K12291" s="94"/>
      <c r="M12291" s="94"/>
    </row>
    <row r="12292" s="93" customFormat="1" spans="3:13">
      <c r="C12292" s="94"/>
      <c r="E12292" s="94"/>
      <c r="G12292" s="94"/>
      <c r="I12292" s="94"/>
      <c r="K12292" s="94"/>
      <c r="M12292" s="94"/>
    </row>
    <row r="12293" s="93" customFormat="1" spans="3:13">
      <c r="C12293" s="94"/>
      <c r="E12293" s="94"/>
      <c r="G12293" s="94"/>
      <c r="I12293" s="94"/>
      <c r="K12293" s="94"/>
      <c r="M12293" s="94"/>
    </row>
    <row r="12294" s="93" customFormat="1" spans="3:13">
      <c r="C12294" s="94"/>
      <c r="E12294" s="94"/>
      <c r="G12294" s="94"/>
      <c r="I12294" s="94"/>
      <c r="K12294" s="94"/>
      <c r="M12294" s="94"/>
    </row>
    <row r="12295" s="93" customFormat="1" spans="3:13">
      <c r="C12295" s="94"/>
      <c r="E12295" s="94"/>
      <c r="G12295" s="94"/>
      <c r="I12295" s="94"/>
      <c r="K12295" s="94"/>
      <c r="M12295" s="94"/>
    </row>
    <row r="12296" s="93" customFormat="1" spans="3:13">
      <c r="C12296" s="94"/>
      <c r="E12296" s="94"/>
      <c r="G12296" s="94"/>
      <c r="I12296" s="94"/>
      <c r="K12296" s="94"/>
      <c r="M12296" s="94"/>
    </row>
    <row r="12297" s="93" customFormat="1" spans="3:13">
      <c r="C12297" s="94"/>
      <c r="E12297" s="94"/>
      <c r="G12297" s="94"/>
      <c r="I12297" s="94"/>
      <c r="K12297" s="94"/>
      <c r="M12297" s="94"/>
    </row>
    <row r="12298" s="93" customFormat="1" spans="3:13">
      <c r="C12298" s="94"/>
      <c r="E12298" s="94"/>
      <c r="G12298" s="94"/>
      <c r="I12298" s="94"/>
      <c r="K12298" s="94"/>
      <c r="M12298" s="94"/>
    </row>
    <row r="12299" s="93" customFormat="1" spans="3:13">
      <c r="C12299" s="94"/>
      <c r="E12299" s="94"/>
      <c r="G12299" s="94"/>
      <c r="I12299" s="94"/>
      <c r="K12299" s="94"/>
      <c r="M12299" s="94"/>
    </row>
    <row r="12300" s="93" customFormat="1" spans="3:13">
      <c r="C12300" s="94"/>
      <c r="E12300" s="94"/>
      <c r="G12300" s="94"/>
      <c r="I12300" s="94"/>
      <c r="K12300" s="94"/>
      <c r="M12300" s="94"/>
    </row>
    <row r="12301" s="93" customFormat="1" spans="3:13">
      <c r="C12301" s="94"/>
      <c r="E12301" s="94"/>
      <c r="G12301" s="94"/>
      <c r="I12301" s="94"/>
      <c r="K12301" s="94"/>
      <c r="M12301" s="94"/>
    </row>
    <row r="12302" s="93" customFormat="1" spans="3:13">
      <c r="C12302" s="94"/>
      <c r="E12302" s="94"/>
      <c r="G12302" s="94"/>
      <c r="I12302" s="94"/>
      <c r="K12302" s="94"/>
      <c r="M12302" s="94"/>
    </row>
    <row r="12303" s="93" customFormat="1" spans="3:13">
      <c r="C12303" s="94"/>
      <c r="E12303" s="94"/>
      <c r="G12303" s="94"/>
      <c r="I12303" s="94"/>
      <c r="K12303" s="94"/>
      <c r="M12303" s="94"/>
    </row>
    <row r="12304" s="93" customFormat="1" spans="3:13">
      <c r="C12304" s="94"/>
      <c r="E12304" s="94"/>
      <c r="G12304" s="94"/>
      <c r="I12304" s="94"/>
      <c r="K12304" s="94"/>
      <c r="M12304" s="94"/>
    </row>
    <row r="12305" s="93" customFormat="1" spans="3:13">
      <c r="C12305" s="94"/>
      <c r="E12305" s="94"/>
      <c r="G12305" s="94"/>
      <c r="I12305" s="94"/>
      <c r="K12305" s="94"/>
      <c r="M12305" s="94"/>
    </row>
    <row r="12306" s="93" customFormat="1" spans="3:13">
      <c r="C12306" s="94"/>
      <c r="E12306" s="94"/>
      <c r="G12306" s="94"/>
      <c r="I12306" s="94"/>
      <c r="K12306" s="94"/>
      <c r="M12306" s="94"/>
    </row>
    <row r="12307" s="93" customFormat="1" spans="3:13">
      <c r="C12307" s="94"/>
      <c r="E12307" s="94"/>
      <c r="G12307" s="94"/>
      <c r="I12307" s="94"/>
      <c r="K12307" s="94"/>
      <c r="M12307" s="94"/>
    </row>
    <row r="12308" s="93" customFormat="1" spans="3:13">
      <c r="C12308" s="94"/>
      <c r="E12308" s="94"/>
      <c r="G12308" s="94"/>
      <c r="I12308" s="94"/>
      <c r="K12308" s="94"/>
      <c r="M12308" s="94"/>
    </row>
    <row r="12309" s="93" customFormat="1" spans="3:13">
      <c r="C12309" s="94"/>
      <c r="E12309" s="94"/>
      <c r="G12309" s="94"/>
      <c r="I12309" s="94"/>
      <c r="K12309" s="94"/>
      <c r="M12309" s="94"/>
    </row>
    <row r="12310" s="93" customFormat="1" spans="3:13">
      <c r="C12310" s="94"/>
      <c r="E12310" s="94"/>
      <c r="G12310" s="94"/>
      <c r="I12310" s="94"/>
      <c r="K12310" s="94"/>
      <c r="M12310" s="94"/>
    </row>
    <row r="12311" s="93" customFormat="1" spans="3:13">
      <c r="C12311" s="94"/>
      <c r="E12311" s="94"/>
      <c r="G12311" s="94"/>
      <c r="I12311" s="94"/>
      <c r="K12311" s="94"/>
      <c r="M12311" s="94"/>
    </row>
    <row r="12312" s="93" customFormat="1" spans="3:13">
      <c r="C12312" s="94"/>
      <c r="E12312" s="94"/>
      <c r="G12312" s="94"/>
      <c r="I12312" s="94"/>
      <c r="K12312" s="94"/>
      <c r="M12312" s="94"/>
    </row>
    <row r="12313" s="93" customFormat="1" spans="3:13">
      <c r="C12313" s="94"/>
      <c r="E12313" s="94"/>
      <c r="G12313" s="94"/>
      <c r="I12313" s="94"/>
      <c r="K12313" s="94"/>
      <c r="M12313" s="94"/>
    </row>
    <row r="12314" s="93" customFormat="1" spans="3:13">
      <c r="C12314" s="94"/>
      <c r="E12314" s="94"/>
      <c r="G12314" s="94"/>
      <c r="I12314" s="94"/>
      <c r="K12314" s="94"/>
      <c r="M12314" s="94"/>
    </row>
    <row r="12315" s="93" customFormat="1" spans="3:13">
      <c r="C12315" s="94"/>
      <c r="E12315" s="94"/>
      <c r="G12315" s="94"/>
      <c r="I12315" s="94"/>
      <c r="K12315" s="94"/>
      <c r="M12315" s="94"/>
    </row>
    <row r="12316" s="93" customFormat="1" spans="3:13">
      <c r="C12316" s="94"/>
      <c r="E12316" s="94"/>
      <c r="G12316" s="94"/>
      <c r="I12316" s="94"/>
      <c r="K12316" s="94"/>
      <c r="M12316" s="94"/>
    </row>
    <row r="12317" s="93" customFormat="1" spans="3:13">
      <c r="C12317" s="94"/>
      <c r="E12317" s="94"/>
      <c r="G12317" s="94"/>
      <c r="I12317" s="94"/>
      <c r="K12317" s="94"/>
      <c r="M12317" s="94"/>
    </row>
    <row r="12318" s="93" customFormat="1" spans="3:13">
      <c r="C12318" s="94"/>
      <c r="E12318" s="94"/>
      <c r="G12318" s="94"/>
      <c r="I12318" s="94"/>
      <c r="K12318" s="94"/>
      <c r="M12318" s="94"/>
    </row>
    <row r="12319" s="93" customFormat="1" spans="3:13">
      <c r="C12319" s="94"/>
      <c r="E12319" s="94"/>
      <c r="G12319" s="94"/>
      <c r="I12319" s="94"/>
      <c r="K12319" s="94"/>
      <c r="M12319" s="94"/>
    </row>
    <row r="12320" s="93" customFormat="1" spans="3:13">
      <c r="C12320" s="94"/>
      <c r="E12320" s="94"/>
      <c r="G12320" s="94"/>
      <c r="I12320" s="94"/>
      <c r="K12320" s="94"/>
      <c r="M12320" s="94"/>
    </row>
    <row r="12321" s="93" customFormat="1" spans="3:13">
      <c r="C12321" s="94"/>
      <c r="E12321" s="94"/>
      <c r="G12321" s="94"/>
      <c r="I12321" s="94"/>
      <c r="K12321" s="94"/>
      <c r="M12321" s="94"/>
    </row>
    <row r="12322" s="93" customFormat="1" spans="3:13">
      <c r="C12322" s="94"/>
      <c r="E12322" s="94"/>
      <c r="G12322" s="94"/>
      <c r="I12322" s="94"/>
      <c r="K12322" s="94"/>
      <c r="M12322" s="94"/>
    </row>
    <row r="12323" s="93" customFormat="1" spans="3:13">
      <c r="C12323" s="94"/>
      <c r="E12323" s="94"/>
      <c r="G12323" s="94"/>
      <c r="I12323" s="94"/>
      <c r="K12323" s="94"/>
      <c r="M12323" s="94"/>
    </row>
    <row r="12324" s="93" customFormat="1" spans="3:13">
      <c r="C12324" s="94"/>
      <c r="E12324" s="94"/>
      <c r="G12324" s="94"/>
      <c r="I12324" s="94"/>
      <c r="K12324" s="94"/>
      <c r="M12324" s="94"/>
    </row>
    <row r="12325" s="93" customFormat="1" spans="3:13">
      <c r="C12325" s="94"/>
      <c r="E12325" s="94"/>
      <c r="G12325" s="94"/>
      <c r="I12325" s="94"/>
      <c r="K12325" s="94"/>
      <c r="M12325" s="94"/>
    </row>
    <row r="12326" s="93" customFormat="1" spans="3:13">
      <c r="C12326" s="94"/>
      <c r="E12326" s="94"/>
      <c r="G12326" s="94"/>
      <c r="I12326" s="94"/>
      <c r="K12326" s="94"/>
      <c r="M12326" s="94"/>
    </row>
    <row r="12327" s="93" customFormat="1" spans="3:13">
      <c r="C12327" s="94"/>
      <c r="E12327" s="94"/>
      <c r="G12327" s="94"/>
      <c r="I12327" s="94"/>
      <c r="K12327" s="94"/>
      <c r="M12327" s="94"/>
    </row>
    <row r="12328" s="93" customFormat="1" spans="3:13">
      <c r="C12328" s="94"/>
      <c r="E12328" s="94"/>
      <c r="G12328" s="94"/>
      <c r="I12328" s="94"/>
      <c r="K12328" s="94"/>
      <c r="M12328" s="94"/>
    </row>
    <row r="12329" s="93" customFormat="1" spans="3:13">
      <c r="C12329" s="94"/>
      <c r="E12329" s="94"/>
      <c r="G12329" s="94"/>
      <c r="I12329" s="94"/>
      <c r="K12329" s="94"/>
      <c r="M12329" s="94"/>
    </row>
    <row r="12330" s="93" customFormat="1" spans="3:13">
      <c r="C12330" s="94"/>
      <c r="E12330" s="94"/>
      <c r="G12330" s="94"/>
      <c r="I12330" s="94"/>
      <c r="K12330" s="94"/>
      <c r="M12330" s="94"/>
    </row>
    <row r="12331" s="93" customFormat="1" spans="3:13">
      <c r="C12331" s="94"/>
      <c r="E12331" s="94"/>
      <c r="G12331" s="94"/>
      <c r="I12331" s="94"/>
      <c r="K12331" s="94"/>
      <c r="M12331" s="94"/>
    </row>
    <row r="12332" s="93" customFormat="1" spans="3:13">
      <c r="C12332" s="94"/>
      <c r="E12332" s="94"/>
      <c r="G12332" s="94"/>
      <c r="I12332" s="94"/>
      <c r="K12332" s="94"/>
      <c r="M12332" s="94"/>
    </row>
    <row r="12333" s="93" customFormat="1" spans="3:13">
      <c r="C12333" s="94"/>
      <c r="E12333" s="94"/>
      <c r="G12333" s="94"/>
      <c r="I12333" s="94"/>
      <c r="K12333" s="94"/>
      <c r="M12333" s="94"/>
    </row>
    <row r="12334" s="93" customFormat="1" spans="3:13">
      <c r="C12334" s="94"/>
      <c r="E12334" s="94"/>
      <c r="G12334" s="94"/>
      <c r="I12334" s="94"/>
      <c r="K12334" s="94"/>
      <c r="M12334" s="94"/>
    </row>
    <row r="12335" s="93" customFormat="1" spans="3:13">
      <c r="C12335" s="94"/>
      <c r="E12335" s="94"/>
      <c r="G12335" s="94"/>
      <c r="I12335" s="94"/>
      <c r="K12335" s="94"/>
      <c r="M12335" s="94"/>
    </row>
    <row r="12336" s="93" customFormat="1" spans="3:13">
      <c r="C12336" s="94"/>
      <c r="E12336" s="94"/>
      <c r="G12336" s="94"/>
      <c r="I12336" s="94"/>
      <c r="K12336" s="94"/>
      <c r="M12336" s="94"/>
    </row>
    <row r="12337" s="93" customFormat="1" spans="3:13">
      <c r="C12337" s="94"/>
      <c r="E12337" s="94"/>
      <c r="G12337" s="94"/>
      <c r="I12337" s="94"/>
      <c r="K12337" s="94"/>
      <c r="M12337" s="94"/>
    </row>
    <row r="12338" s="93" customFormat="1" spans="3:13">
      <c r="C12338" s="94"/>
      <c r="E12338" s="94"/>
      <c r="G12338" s="94"/>
      <c r="I12338" s="94"/>
      <c r="K12338" s="94"/>
      <c r="M12338" s="94"/>
    </row>
    <row r="12339" s="93" customFormat="1" spans="3:13">
      <c r="C12339" s="94"/>
      <c r="E12339" s="94"/>
      <c r="G12339" s="94"/>
      <c r="I12339" s="94"/>
      <c r="K12339" s="94"/>
      <c r="M12339" s="94"/>
    </row>
    <row r="12340" s="93" customFormat="1" spans="3:13">
      <c r="C12340" s="94"/>
      <c r="E12340" s="94"/>
      <c r="G12340" s="94"/>
      <c r="I12340" s="94"/>
      <c r="K12340" s="94"/>
      <c r="M12340" s="94"/>
    </row>
    <row r="12341" s="93" customFormat="1" spans="3:13">
      <c r="C12341" s="94"/>
      <c r="E12341" s="94"/>
      <c r="G12341" s="94"/>
      <c r="I12341" s="94"/>
      <c r="K12341" s="94"/>
      <c r="M12341" s="94"/>
    </row>
    <row r="12342" s="93" customFormat="1" spans="3:13">
      <c r="C12342" s="94"/>
      <c r="E12342" s="94"/>
      <c r="G12342" s="94"/>
      <c r="I12342" s="94"/>
      <c r="K12342" s="94"/>
      <c r="M12342" s="94"/>
    </row>
    <row r="12343" s="93" customFormat="1" spans="3:13">
      <c r="C12343" s="94"/>
      <c r="E12343" s="94"/>
      <c r="G12343" s="94"/>
      <c r="I12343" s="94"/>
      <c r="K12343" s="94"/>
      <c r="M12343" s="94"/>
    </row>
    <row r="12344" s="93" customFormat="1" spans="3:13">
      <c r="C12344" s="94"/>
      <c r="E12344" s="94"/>
      <c r="G12344" s="94"/>
      <c r="I12344" s="94"/>
      <c r="K12344" s="94"/>
      <c r="M12344" s="94"/>
    </row>
    <row r="12345" s="93" customFormat="1" spans="3:13">
      <c r="C12345" s="94"/>
      <c r="E12345" s="94"/>
      <c r="G12345" s="94"/>
      <c r="I12345" s="94"/>
      <c r="K12345" s="94"/>
      <c r="M12345" s="94"/>
    </row>
    <row r="12346" s="93" customFormat="1" spans="3:13">
      <c r="C12346" s="94"/>
      <c r="E12346" s="94"/>
      <c r="G12346" s="94"/>
      <c r="I12346" s="94"/>
      <c r="K12346" s="94"/>
      <c r="M12346" s="94"/>
    </row>
    <row r="12347" s="93" customFormat="1" spans="3:13">
      <c r="C12347" s="94"/>
      <c r="E12347" s="94"/>
      <c r="G12347" s="94"/>
      <c r="I12347" s="94"/>
      <c r="K12347" s="94"/>
      <c r="M12347" s="94"/>
    </row>
    <row r="12348" s="93" customFormat="1" spans="3:13">
      <c r="C12348" s="94"/>
      <c r="E12348" s="94"/>
      <c r="G12348" s="94"/>
      <c r="I12348" s="94"/>
      <c r="K12348" s="94"/>
      <c r="M12348" s="94"/>
    </row>
    <row r="12349" s="93" customFormat="1" spans="3:13">
      <c r="C12349" s="94"/>
      <c r="E12349" s="94"/>
      <c r="G12349" s="94"/>
      <c r="I12349" s="94"/>
      <c r="K12349" s="94"/>
      <c r="M12349" s="94"/>
    </row>
    <row r="12350" s="93" customFormat="1" spans="3:13">
      <c r="C12350" s="94"/>
      <c r="E12350" s="94"/>
      <c r="G12350" s="94"/>
      <c r="I12350" s="94"/>
      <c r="K12350" s="94"/>
      <c r="M12350" s="94"/>
    </row>
    <row r="12351" s="93" customFormat="1" spans="3:13">
      <c r="C12351" s="94"/>
      <c r="E12351" s="94"/>
      <c r="G12351" s="94"/>
      <c r="I12351" s="94"/>
      <c r="K12351" s="94"/>
      <c r="M12351" s="94"/>
    </row>
    <row r="12352" s="93" customFormat="1" spans="3:13">
      <c r="C12352" s="94"/>
      <c r="E12352" s="94"/>
      <c r="G12352" s="94"/>
      <c r="I12352" s="94"/>
      <c r="K12352" s="94"/>
      <c r="M12352" s="94"/>
    </row>
    <row r="12353" s="93" customFormat="1" spans="3:13">
      <c r="C12353" s="94"/>
      <c r="E12353" s="94"/>
      <c r="G12353" s="94"/>
      <c r="I12353" s="94"/>
      <c r="K12353" s="94"/>
      <c r="M12353" s="94"/>
    </row>
    <row r="12354" s="93" customFormat="1" spans="3:13">
      <c r="C12354" s="94"/>
      <c r="E12354" s="94"/>
      <c r="G12354" s="94"/>
      <c r="I12354" s="94"/>
      <c r="K12354" s="94"/>
      <c r="M12354" s="94"/>
    </row>
    <row r="12355" s="93" customFormat="1" spans="3:13">
      <c r="C12355" s="94"/>
      <c r="E12355" s="94"/>
      <c r="G12355" s="94"/>
      <c r="I12355" s="94"/>
      <c r="K12355" s="94"/>
      <c r="M12355" s="94"/>
    </row>
    <row r="12356" s="93" customFormat="1" spans="3:13">
      <c r="C12356" s="94"/>
      <c r="E12356" s="94"/>
      <c r="G12356" s="94"/>
      <c r="I12356" s="94"/>
      <c r="K12356" s="94"/>
      <c r="M12356" s="94"/>
    </row>
    <row r="12357" s="93" customFormat="1" spans="3:13">
      <c r="C12357" s="94"/>
      <c r="E12357" s="94"/>
      <c r="G12357" s="94"/>
      <c r="I12357" s="94"/>
      <c r="K12357" s="94"/>
      <c r="M12357" s="94"/>
    </row>
    <row r="12358" s="93" customFormat="1" spans="3:13">
      <c r="C12358" s="94"/>
      <c r="E12358" s="94"/>
      <c r="G12358" s="94"/>
      <c r="I12358" s="94"/>
      <c r="K12358" s="94"/>
      <c r="M12358" s="94"/>
    </row>
    <row r="12359" s="93" customFormat="1" spans="3:13">
      <c r="C12359" s="94"/>
      <c r="E12359" s="94"/>
      <c r="G12359" s="94"/>
      <c r="I12359" s="94"/>
      <c r="K12359" s="94"/>
      <c r="M12359" s="94"/>
    </row>
    <row r="12360" s="93" customFormat="1" spans="3:13">
      <c r="C12360" s="94"/>
      <c r="E12360" s="94"/>
      <c r="G12360" s="94"/>
      <c r="I12360" s="94"/>
      <c r="K12360" s="94"/>
      <c r="M12360" s="94"/>
    </row>
    <row r="12361" s="93" customFormat="1" spans="3:13">
      <c r="C12361" s="94"/>
      <c r="E12361" s="94"/>
      <c r="G12361" s="94"/>
      <c r="I12361" s="94"/>
      <c r="K12361" s="94"/>
      <c r="M12361" s="94"/>
    </row>
    <row r="12362" s="93" customFormat="1" spans="3:13">
      <c r="C12362" s="94"/>
      <c r="E12362" s="94"/>
      <c r="G12362" s="94"/>
      <c r="I12362" s="94"/>
      <c r="K12362" s="94"/>
      <c r="M12362" s="94"/>
    </row>
    <row r="12363" s="93" customFormat="1" spans="3:13">
      <c r="C12363" s="94"/>
      <c r="E12363" s="94"/>
      <c r="G12363" s="94"/>
      <c r="I12363" s="94"/>
      <c r="K12363" s="94"/>
      <c r="M12363" s="94"/>
    </row>
    <row r="12364" s="93" customFormat="1" spans="3:13">
      <c r="C12364" s="94"/>
      <c r="E12364" s="94"/>
      <c r="G12364" s="94"/>
      <c r="I12364" s="94"/>
      <c r="K12364" s="94"/>
      <c r="M12364" s="94"/>
    </row>
    <row r="12365" s="93" customFormat="1" spans="3:13">
      <c r="C12365" s="94"/>
      <c r="E12365" s="94"/>
      <c r="G12365" s="94"/>
      <c r="I12365" s="94"/>
      <c r="K12365" s="94"/>
      <c r="M12365" s="94"/>
    </row>
    <row r="12366" s="93" customFormat="1" spans="3:13">
      <c r="C12366" s="94"/>
      <c r="E12366" s="94"/>
      <c r="G12366" s="94"/>
      <c r="I12366" s="94"/>
      <c r="K12366" s="94"/>
      <c r="M12366" s="94"/>
    </row>
    <row r="12367" s="93" customFormat="1" spans="3:13">
      <c r="C12367" s="94"/>
      <c r="E12367" s="94"/>
      <c r="G12367" s="94"/>
      <c r="I12367" s="94"/>
      <c r="K12367" s="94"/>
      <c r="M12367" s="94"/>
    </row>
    <row r="12368" s="93" customFormat="1" spans="3:13">
      <c r="C12368" s="94"/>
      <c r="E12368" s="94"/>
      <c r="G12368" s="94"/>
      <c r="I12368" s="94"/>
      <c r="K12368" s="94"/>
      <c r="M12368" s="94"/>
    </row>
    <row r="12369" s="93" customFormat="1" spans="3:13">
      <c r="C12369" s="94"/>
      <c r="E12369" s="94"/>
      <c r="G12369" s="94"/>
      <c r="I12369" s="94"/>
      <c r="K12369" s="94"/>
      <c r="M12369" s="94"/>
    </row>
    <row r="12370" s="93" customFormat="1" spans="3:13">
      <c r="C12370" s="94"/>
      <c r="E12370" s="94"/>
      <c r="G12370" s="94"/>
      <c r="I12370" s="94"/>
      <c r="K12370" s="94"/>
      <c r="M12370" s="94"/>
    </row>
    <row r="12371" s="93" customFormat="1" spans="3:13">
      <c r="C12371" s="94"/>
      <c r="E12371" s="94"/>
      <c r="G12371" s="94"/>
      <c r="I12371" s="94"/>
      <c r="K12371" s="94"/>
      <c r="M12371" s="94"/>
    </row>
    <row r="12372" s="93" customFormat="1" spans="3:13">
      <c r="C12372" s="94"/>
      <c r="E12372" s="94"/>
      <c r="G12372" s="94"/>
      <c r="I12372" s="94"/>
      <c r="K12372" s="94"/>
      <c r="M12372" s="94"/>
    </row>
    <row r="12373" s="93" customFormat="1" spans="3:13">
      <c r="C12373" s="94"/>
      <c r="E12373" s="94"/>
      <c r="G12373" s="94"/>
      <c r="I12373" s="94"/>
      <c r="K12373" s="94"/>
      <c r="M12373" s="94"/>
    </row>
    <row r="12374" s="93" customFormat="1" spans="3:13">
      <c r="C12374" s="94"/>
      <c r="E12374" s="94"/>
      <c r="G12374" s="94"/>
      <c r="I12374" s="94"/>
      <c r="K12374" s="94"/>
      <c r="M12374" s="94"/>
    </row>
    <row r="12375" s="93" customFormat="1" spans="3:13">
      <c r="C12375" s="94"/>
      <c r="E12375" s="94"/>
      <c r="G12375" s="94"/>
      <c r="I12375" s="94"/>
      <c r="K12375" s="94"/>
      <c r="M12375" s="94"/>
    </row>
    <row r="12376" s="93" customFormat="1" spans="3:13">
      <c r="C12376" s="94"/>
      <c r="E12376" s="94"/>
      <c r="G12376" s="94"/>
      <c r="I12376" s="94"/>
      <c r="K12376" s="94"/>
      <c r="M12376" s="94"/>
    </row>
    <row r="12377" s="93" customFormat="1" spans="3:13">
      <c r="C12377" s="94"/>
      <c r="E12377" s="94"/>
      <c r="G12377" s="94"/>
      <c r="I12377" s="94"/>
      <c r="K12377" s="94"/>
      <c r="M12377" s="94"/>
    </row>
    <row r="12378" s="93" customFormat="1" spans="3:13">
      <c r="C12378" s="94"/>
      <c r="E12378" s="94"/>
      <c r="G12378" s="94"/>
      <c r="I12378" s="94"/>
      <c r="K12378" s="94"/>
      <c r="M12378" s="94"/>
    </row>
    <row r="12379" s="93" customFormat="1" spans="3:13">
      <c r="C12379" s="94"/>
      <c r="E12379" s="94"/>
      <c r="G12379" s="94"/>
      <c r="I12379" s="94"/>
      <c r="K12379" s="94"/>
      <c r="M12379" s="94"/>
    </row>
    <row r="12380" s="93" customFormat="1" spans="3:13">
      <c r="C12380" s="94"/>
      <c r="E12380" s="94"/>
      <c r="G12380" s="94"/>
      <c r="I12380" s="94"/>
      <c r="K12380" s="94"/>
      <c r="M12380" s="94"/>
    </row>
    <row r="12381" s="93" customFormat="1" spans="3:13">
      <c r="C12381" s="94"/>
      <c r="E12381" s="94"/>
      <c r="G12381" s="94"/>
      <c r="I12381" s="94"/>
      <c r="K12381" s="94"/>
      <c r="M12381" s="94"/>
    </row>
    <row r="12382" s="93" customFormat="1" spans="3:13">
      <c r="C12382" s="94"/>
      <c r="E12382" s="94"/>
      <c r="G12382" s="94"/>
      <c r="I12382" s="94"/>
      <c r="K12382" s="94"/>
      <c r="M12382" s="94"/>
    </row>
    <row r="12383" s="93" customFormat="1" spans="3:13">
      <c r="C12383" s="94"/>
      <c r="E12383" s="94"/>
      <c r="G12383" s="94"/>
      <c r="I12383" s="94"/>
      <c r="K12383" s="94"/>
      <c r="M12383" s="94"/>
    </row>
    <row r="12384" s="93" customFormat="1" spans="3:13">
      <c r="C12384" s="94"/>
      <c r="E12384" s="94"/>
      <c r="G12384" s="94"/>
      <c r="I12384" s="94"/>
      <c r="K12384" s="94"/>
      <c r="M12384" s="94"/>
    </row>
    <row r="12385" s="93" customFormat="1" spans="3:13">
      <c r="C12385" s="94"/>
      <c r="E12385" s="94"/>
      <c r="G12385" s="94"/>
      <c r="I12385" s="94"/>
      <c r="K12385" s="94"/>
      <c r="M12385" s="94"/>
    </row>
    <row r="12386" s="93" customFormat="1" spans="3:13">
      <c r="C12386" s="94"/>
      <c r="E12386" s="94"/>
      <c r="G12386" s="94"/>
      <c r="I12386" s="94"/>
      <c r="K12386" s="94"/>
      <c r="M12386" s="94"/>
    </row>
    <row r="12387" s="93" customFormat="1" spans="3:13">
      <c r="C12387" s="94"/>
      <c r="E12387" s="94"/>
      <c r="G12387" s="94"/>
      <c r="I12387" s="94"/>
      <c r="K12387" s="94"/>
      <c r="M12387" s="94"/>
    </row>
    <row r="12388" s="93" customFormat="1" spans="3:13">
      <c r="C12388" s="94"/>
      <c r="E12388" s="94"/>
      <c r="G12388" s="94"/>
      <c r="I12388" s="94"/>
      <c r="K12388" s="94"/>
      <c r="M12388" s="94"/>
    </row>
    <row r="12389" s="93" customFormat="1" spans="3:13">
      <c r="C12389" s="94"/>
      <c r="E12389" s="94"/>
      <c r="G12389" s="94"/>
      <c r="I12389" s="94"/>
      <c r="K12389" s="94"/>
      <c r="M12389" s="94"/>
    </row>
    <row r="12390" s="93" customFormat="1" spans="3:13">
      <c r="C12390" s="94"/>
      <c r="E12390" s="94"/>
      <c r="G12390" s="94"/>
      <c r="I12390" s="94"/>
      <c r="K12390" s="94"/>
      <c r="M12390" s="94"/>
    </row>
    <row r="12391" s="93" customFormat="1" spans="3:13">
      <c r="C12391" s="94"/>
      <c r="E12391" s="94"/>
      <c r="G12391" s="94"/>
      <c r="I12391" s="94"/>
      <c r="K12391" s="94"/>
      <c r="M12391" s="94"/>
    </row>
    <row r="12392" s="93" customFormat="1" spans="3:13">
      <c r="C12392" s="94"/>
      <c r="E12392" s="94"/>
      <c r="G12392" s="94"/>
      <c r="I12392" s="94"/>
      <c r="K12392" s="94"/>
      <c r="M12392" s="94"/>
    </row>
    <row r="12393" s="93" customFormat="1" spans="3:13">
      <c r="C12393" s="94"/>
      <c r="E12393" s="94"/>
      <c r="G12393" s="94"/>
      <c r="I12393" s="94"/>
      <c r="K12393" s="94"/>
      <c r="M12393" s="94"/>
    </row>
    <row r="12394" s="93" customFormat="1" spans="3:13">
      <c r="C12394" s="94"/>
      <c r="E12394" s="94"/>
      <c r="G12394" s="94"/>
      <c r="I12394" s="94"/>
      <c r="K12394" s="94"/>
      <c r="M12394" s="94"/>
    </row>
    <row r="12395" s="93" customFormat="1" spans="3:13">
      <c r="C12395" s="94"/>
      <c r="E12395" s="94"/>
      <c r="G12395" s="94"/>
      <c r="I12395" s="94"/>
      <c r="K12395" s="94"/>
      <c r="M12395" s="94"/>
    </row>
    <row r="12396" s="93" customFormat="1" spans="3:13">
      <c r="C12396" s="94"/>
      <c r="E12396" s="94"/>
      <c r="G12396" s="94"/>
      <c r="I12396" s="94"/>
      <c r="K12396" s="94"/>
      <c r="M12396" s="94"/>
    </row>
    <row r="12397" s="93" customFormat="1" spans="3:13">
      <c r="C12397" s="94"/>
      <c r="E12397" s="94"/>
      <c r="G12397" s="94"/>
      <c r="I12397" s="94"/>
      <c r="K12397" s="94"/>
      <c r="M12397" s="94"/>
    </row>
    <row r="12398" s="93" customFormat="1" spans="3:13">
      <c r="C12398" s="94"/>
      <c r="E12398" s="94"/>
      <c r="G12398" s="94"/>
      <c r="I12398" s="94"/>
      <c r="K12398" s="94"/>
      <c r="M12398" s="94"/>
    </row>
    <row r="12399" s="93" customFormat="1" spans="3:13">
      <c r="C12399" s="94"/>
      <c r="E12399" s="94"/>
      <c r="G12399" s="94"/>
      <c r="I12399" s="94"/>
      <c r="K12399" s="94"/>
      <c r="M12399" s="94"/>
    </row>
    <row r="12400" s="93" customFormat="1" spans="3:13">
      <c r="C12400" s="94"/>
      <c r="E12400" s="94"/>
      <c r="G12400" s="94"/>
      <c r="I12400" s="94"/>
      <c r="K12400" s="94"/>
      <c r="M12400" s="94"/>
    </row>
    <row r="12401" s="93" customFormat="1" spans="3:13">
      <c r="C12401" s="94"/>
      <c r="E12401" s="94"/>
      <c r="G12401" s="94"/>
      <c r="I12401" s="94"/>
      <c r="K12401" s="94"/>
      <c r="M12401" s="94"/>
    </row>
    <row r="12402" s="93" customFormat="1" spans="3:13">
      <c r="C12402" s="94"/>
      <c r="E12402" s="94"/>
      <c r="G12402" s="94"/>
      <c r="I12402" s="94"/>
      <c r="K12402" s="94"/>
      <c r="M12402" s="94"/>
    </row>
    <row r="12403" s="93" customFormat="1" spans="3:13">
      <c r="C12403" s="94"/>
      <c r="E12403" s="94"/>
      <c r="G12403" s="94"/>
      <c r="I12403" s="94"/>
      <c r="K12403" s="94"/>
      <c r="M12403" s="94"/>
    </row>
    <row r="12404" s="93" customFormat="1" spans="3:13">
      <c r="C12404" s="94"/>
      <c r="E12404" s="94"/>
      <c r="G12404" s="94"/>
      <c r="I12404" s="94"/>
      <c r="K12404" s="94"/>
      <c r="M12404" s="94"/>
    </row>
    <row r="12405" s="93" customFormat="1" spans="3:13">
      <c r="C12405" s="94"/>
      <c r="E12405" s="94"/>
      <c r="G12405" s="94"/>
      <c r="I12405" s="94"/>
      <c r="K12405" s="94"/>
      <c r="M12405" s="94"/>
    </row>
    <row r="12406" s="93" customFormat="1" spans="3:13">
      <c r="C12406" s="94"/>
      <c r="E12406" s="94"/>
      <c r="G12406" s="94"/>
      <c r="I12406" s="94"/>
      <c r="K12406" s="94"/>
      <c r="M12406" s="94"/>
    </row>
    <row r="12407" s="93" customFormat="1" spans="3:13">
      <c r="C12407" s="94"/>
      <c r="E12407" s="94"/>
      <c r="G12407" s="94"/>
      <c r="I12407" s="94"/>
      <c r="K12407" s="94"/>
      <c r="M12407" s="94"/>
    </row>
    <row r="12408" s="93" customFormat="1" spans="3:13">
      <c r="C12408" s="94"/>
      <c r="E12408" s="94"/>
      <c r="G12408" s="94"/>
      <c r="I12408" s="94"/>
      <c r="K12408" s="94"/>
      <c r="M12408" s="94"/>
    </row>
    <row r="12409" s="93" customFormat="1" spans="3:13">
      <c r="C12409" s="94"/>
      <c r="E12409" s="94"/>
      <c r="G12409" s="94"/>
      <c r="I12409" s="94"/>
      <c r="K12409" s="94"/>
      <c r="M12409" s="94"/>
    </row>
    <row r="12410" s="93" customFormat="1" spans="3:13">
      <c r="C12410" s="94"/>
      <c r="E12410" s="94"/>
      <c r="G12410" s="94"/>
      <c r="I12410" s="94"/>
      <c r="K12410" s="94"/>
      <c r="M12410" s="94"/>
    </row>
    <row r="12411" s="93" customFormat="1" spans="3:13">
      <c r="C12411" s="94"/>
      <c r="E12411" s="94"/>
      <c r="G12411" s="94"/>
      <c r="I12411" s="94"/>
      <c r="K12411" s="94"/>
      <c r="M12411" s="94"/>
    </row>
    <row r="12412" s="93" customFormat="1" spans="3:13">
      <c r="C12412" s="94"/>
      <c r="E12412" s="94"/>
      <c r="G12412" s="94"/>
      <c r="I12412" s="94"/>
      <c r="K12412" s="94"/>
      <c r="M12412" s="94"/>
    </row>
    <row r="12413" s="93" customFormat="1" spans="3:13">
      <c r="C12413" s="94"/>
      <c r="E12413" s="94"/>
      <c r="G12413" s="94"/>
      <c r="I12413" s="94"/>
      <c r="K12413" s="94"/>
      <c r="M12413" s="94"/>
    </row>
    <row r="12414" s="93" customFormat="1" spans="3:13">
      <c r="C12414" s="94"/>
      <c r="E12414" s="94"/>
      <c r="G12414" s="94"/>
      <c r="I12414" s="94"/>
      <c r="K12414" s="94"/>
      <c r="M12414" s="94"/>
    </row>
    <row r="12415" s="93" customFormat="1" spans="3:13">
      <c r="C12415" s="94"/>
      <c r="E12415" s="94"/>
      <c r="G12415" s="94"/>
      <c r="I12415" s="94"/>
      <c r="K12415" s="94"/>
      <c r="M12415" s="94"/>
    </row>
    <row r="12416" s="93" customFormat="1" spans="3:13">
      <c r="C12416" s="94"/>
      <c r="E12416" s="94"/>
      <c r="G12416" s="94"/>
      <c r="I12416" s="94"/>
      <c r="K12416" s="94"/>
      <c r="M12416" s="94"/>
    </row>
    <row r="12417" s="93" customFormat="1" spans="3:13">
      <c r="C12417" s="94"/>
      <c r="E12417" s="94"/>
      <c r="G12417" s="94"/>
      <c r="I12417" s="94"/>
      <c r="K12417" s="94"/>
      <c r="M12417" s="94"/>
    </row>
    <row r="12418" s="93" customFormat="1" spans="3:13">
      <c r="C12418" s="94"/>
      <c r="E12418" s="94"/>
      <c r="G12418" s="94"/>
      <c r="I12418" s="94"/>
      <c r="K12418" s="94"/>
      <c r="M12418" s="94"/>
    </row>
    <row r="12419" s="93" customFormat="1" spans="3:13">
      <c r="C12419" s="94"/>
      <c r="E12419" s="94"/>
      <c r="G12419" s="94"/>
      <c r="I12419" s="94"/>
      <c r="K12419" s="94"/>
      <c r="M12419" s="94"/>
    </row>
    <row r="12420" s="93" customFormat="1" spans="3:13">
      <c r="C12420" s="94"/>
      <c r="E12420" s="94"/>
      <c r="G12420" s="94"/>
      <c r="I12420" s="94"/>
      <c r="K12420" s="94"/>
      <c r="M12420" s="94"/>
    </row>
    <row r="12421" s="93" customFormat="1" spans="3:13">
      <c r="C12421" s="94"/>
      <c r="E12421" s="94"/>
      <c r="G12421" s="94"/>
      <c r="I12421" s="94"/>
      <c r="K12421" s="94"/>
      <c r="M12421" s="94"/>
    </row>
    <row r="12422" s="93" customFormat="1" spans="3:13">
      <c r="C12422" s="94"/>
      <c r="E12422" s="94"/>
      <c r="G12422" s="94"/>
      <c r="I12422" s="94"/>
      <c r="K12422" s="94"/>
      <c r="M12422" s="94"/>
    </row>
    <row r="12423" s="93" customFormat="1" spans="3:13">
      <c r="C12423" s="94"/>
      <c r="E12423" s="94"/>
      <c r="G12423" s="94"/>
      <c r="I12423" s="94"/>
      <c r="K12423" s="94"/>
      <c r="M12423" s="94"/>
    </row>
    <row r="12424" s="93" customFormat="1" spans="3:13">
      <c r="C12424" s="94"/>
      <c r="E12424" s="94"/>
      <c r="G12424" s="94"/>
      <c r="I12424" s="94"/>
      <c r="K12424" s="94"/>
      <c r="M12424" s="94"/>
    </row>
    <row r="12425" s="93" customFormat="1" spans="3:13">
      <c r="C12425" s="94"/>
      <c r="E12425" s="94"/>
      <c r="G12425" s="94"/>
      <c r="I12425" s="94"/>
      <c r="K12425" s="94"/>
      <c r="M12425" s="94"/>
    </row>
    <row r="12426" s="93" customFormat="1" spans="3:13">
      <c r="C12426" s="94"/>
      <c r="E12426" s="94"/>
      <c r="G12426" s="94"/>
      <c r="I12426" s="94"/>
      <c r="K12426" s="94"/>
      <c r="M12426" s="94"/>
    </row>
    <row r="12427" s="93" customFormat="1" spans="3:13">
      <c r="C12427" s="94"/>
      <c r="E12427" s="94"/>
      <c r="G12427" s="94"/>
      <c r="I12427" s="94"/>
      <c r="K12427" s="94"/>
      <c r="M12427" s="94"/>
    </row>
    <row r="12428" s="93" customFormat="1" spans="3:13">
      <c r="C12428" s="94"/>
      <c r="E12428" s="94"/>
      <c r="G12428" s="94"/>
      <c r="I12428" s="94"/>
      <c r="K12428" s="94"/>
      <c r="M12428" s="94"/>
    </row>
    <row r="12429" s="93" customFormat="1" spans="3:13">
      <c r="C12429" s="94"/>
      <c r="E12429" s="94"/>
      <c r="G12429" s="94"/>
      <c r="I12429" s="94"/>
      <c r="K12429" s="94"/>
      <c r="M12429" s="94"/>
    </row>
    <row r="12430" s="93" customFormat="1" spans="3:13">
      <c r="C12430" s="94"/>
      <c r="E12430" s="94"/>
      <c r="G12430" s="94"/>
      <c r="I12430" s="94"/>
      <c r="K12430" s="94"/>
      <c r="M12430" s="94"/>
    </row>
    <row r="12431" s="93" customFormat="1" spans="3:13">
      <c r="C12431" s="94"/>
      <c r="E12431" s="94"/>
      <c r="G12431" s="94"/>
      <c r="I12431" s="94"/>
      <c r="K12431" s="94"/>
      <c r="M12431" s="94"/>
    </row>
    <row r="12432" s="93" customFormat="1" spans="3:13">
      <c r="C12432" s="94"/>
      <c r="E12432" s="94"/>
      <c r="G12432" s="94"/>
      <c r="I12432" s="94"/>
      <c r="K12432" s="94"/>
      <c r="M12432" s="94"/>
    </row>
    <row r="12433" s="93" customFormat="1" spans="3:13">
      <c r="C12433" s="94"/>
      <c r="E12433" s="94"/>
      <c r="G12433" s="94"/>
      <c r="I12433" s="94"/>
      <c r="K12433" s="94"/>
      <c r="M12433" s="94"/>
    </row>
    <row r="12434" s="93" customFormat="1" spans="3:13">
      <c r="C12434" s="94"/>
      <c r="E12434" s="94"/>
      <c r="G12434" s="94"/>
      <c r="I12434" s="94"/>
      <c r="K12434" s="94"/>
      <c r="M12434" s="94"/>
    </row>
    <row r="12435" s="93" customFormat="1" spans="3:13">
      <c r="C12435" s="94"/>
      <c r="E12435" s="94"/>
      <c r="G12435" s="94"/>
      <c r="I12435" s="94"/>
      <c r="K12435" s="94"/>
      <c r="M12435" s="94"/>
    </row>
    <row r="12436" s="93" customFormat="1" spans="3:13">
      <c r="C12436" s="94"/>
      <c r="E12436" s="94"/>
      <c r="G12436" s="94"/>
      <c r="I12436" s="94"/>
      <c r="K12436" s="94"/>
      <c r="M12436" s="94"/>
    </row>
    <row r="12437" s="93" customFormat="1" spans="3:13">
      <c r="C12437" s="94"/>
      <c r="E12437" s="94"/>
      <c r="G12437" s="94"/>
      <c r="I12437" s="94"/>
      <c r="K12437" s="94"/>
      <c r="M12437" s="94"/>
    </row>
    <row r="12438" s="93" customFormat="1" spans="3:13">
      <c r="C12438" s="94"/>
      <c r="E12438" s="94"/>
      <c r="G12438" s="94"/>
      <c r="I12438" s="94"/>
      <c r="K12438" s="94"/>
      <c r="M12438" s="94"/>
    </row>
    <row r="12439" s="93" customFormat="1" spans="3:13">
      <c r="C12439" s="94"/>
      <c r="E12439" s="94"/>
      <c r="G12439" s="94"/>
      <c r="I12439" s="94"/>
      <c r="K12439" s="94"/>
      <c r="M12439" s="94"/>
    </row>
    <row r="12440" s="93" customFormat="1" spans="3:13">
      <c r="C12440" s="94"/>
      <c r="E12440" s="94"/>
      <c r="G12440" s="94"/>
      <c r="I12440" s="94"/>
      <c r="K12440" s="94"/>
      <c r="M12440" s="94"/>
    </row>
    <row r="12441" s="93" customFormat="1" spans="3:13">
      <c r="C12441" s="94"/>
      <c r="E12441" s="94"/>
      <c r="G12441" s="94"/>
      <c r="I12441" s="94"/>
      <c r="K12441" s="94"/>
      <c r="M12441" s="94"/>
    </row>
    <row r="12442" s="93" customFormat="1" spans="3:13">
      <c r="C12442" s="94"/>
      <c r="E12442" s="94"/>
      <c r="G12442" s="94"/>
      <c r="I12442" s="94"/>
      <c r="K12442" s="94"/>
      <c r="M12442" s="94"/>
    </row>
    <row r="12443" s="93" customFormat="1" spans="3:13">
      <c r="C12443" s="94"/>
      <c r="E12443" s="94"/>
      <c r="G12443" s="94"/>
      <c r="I12443" s="94"/>
      <c r="K12443" s="94"/>
      <c r="M12443" s="94"/>
    </row>
    <row r="12444" s="93" customFormat="1" spans="3:13">
      <c r="C12444" s="94"/>
      <c r="E12444" s="94"/>
      <c r="G12444" s="94"/>
      <c r="I12444" s="94"/>
      <c r="K12444" s="94"/>
      <c r="M12444" s="94"/>
    </row>
    <row r="12445" s="93" customFormat="1" spans="3:13">
      <c r="C12445" s="94"/>
      <c r="E12445" s="94"/>
      <c r="G12445" s="94"/>
      <c r="I12445" s="94"/>
      <c r="K12445" s="94"/>
      <c r="M12445" s="94"/>
    </row>
    <row r="12446" s="93" customFormat="1" spans="3:13">
      <c r="C12446" s="94"/>
      <c r="E12446" s="94"/>
      <c r="G12446" s="94"/>
      <c r="I12446" s="94"/>
      <c r="K12446" s="94"/>
      <c r="M12446" s="94"/>
    </row>
    <row r="12447" s="93" customFormat="1" spans="3:13">
      <c r="C12447" s="94"/>
      <c r="E12447" s="94"/>
      <c r="G12447" s="94"/>
      <c r="I12447" s="94"/>
      <c r="K12447" s="94"/>
      <c r="M12447" s="94"/>
    </row>
    <row r="12448" s="93" customFormat="1" spans="3:13">
      <c r="C12448" s="94"/>
      <c r="E12448" s="94"/>
      <c r="G12448" s="94"/>
      <c r="I12448" s="94"/>
      <c r="K12448" s="94"/>
      <c r="M12448" s="94"/>
    </row>
    <row r="12449" s="93" customFormat="1" spans="3:13">
      <c r="C12449" s="94"/>
      <c r="E12449" s="94"/>
      <c r="G12449" s="94"/>
      <c r="I12449" s="94"/>
      <c r="K12449" s="94"/>
      <c r="M12449" s="94"/>
    </row>
    <row r="12450" s="93" customFormat="1" spans="3:13">
      <c r="C12450" s="94"/>
      <c r="E12450" s="94"/>
      <c r="G12450" s="94"/>
      <c r="I12450" s="94"/>
      <c r="K12450" s="94"/>
      <c r="M12450" s="94"/>
    </row>
    <row r="12451" s="93" customFormat="1" spans="3:13">
      <c r="C12451" s="94"/>
      <c r="E12451" s="94"/>
      <c r="G12451" s="94"/>
      <c r="I12451" s="94"/>
      <c r="K12451" s="94"/>
      <c r="M12451" s="94"/>
    </row>
    <row r="12452" s="93" customFormat="1" spans="3:13">
      <c r="C12452" s="94"/>
      <c r="E12452" s="94"/>
      <c r="G12452" s="94"/>
      <c r="I12452" s="94"/>
      <c r="K12452" s="94"/>
      <c r="M12452" s="94"/>
    </row>
    <row r="12453" s="93" customFormat="1" spans="3:13">
      <c r="C12453" s="94"/>
      <c r="E12453" s="94"/>
      <c r="G12453" s="94"/>
      <c r="I12453" s="94"/>
      <c r="K12453" s="94"/>
      <c r="M12453" s="94"/>
    </row>
    <row r="12454" s="93" customFormat="1" spans="3:13">
      <c r="C12454" s="94"/>
      <c r="E12454" s="94"/>
      <c r="G12454" s="94"/>
      <c r="I12454" s="94"/>
      <c r="K12454" s="94"/>
      <c r="M12454" s="94"/>
    </row>
    <row r="12455" s="93" customFormat="1" spans="3:13">
      <c r="C12455" s="94"/>
      <c r="E12455" s="94"/>
      <c r="G12455" s="94"/>
      <c r="I12455" s="94"/>
      <c r="K12455" s="94"/>
      <c r="M12455" s="94"/>
    </row>
    <row r="12456" s="93" customFormat="1" spans="3:13">
      <c r="C12456" s="94"/>
      <c r="E12456" s="94"/>
      <c r="G12456" s="94"/>
      <c r="I12456" s="94"/>
      <c r="K12456" s="94"/>
      <c r="M12456" s="94"/>
    </row>
    <row r="12457" s="93" customFormat="1" spans="3:13">
      <c r="C12457" s="94"/>
      <c r="E12457" s="94"/>
      <c r="G12457" s="94"/>
      <c r="I12457" s="94"/>
      <c r="K12457" s="94"/>
      <c r="M12457" s="94"/>
    </row>
    <row r="12458" s="93" customFormat="1" spans="3:13">
      <c r="C12458" s="94"/>
      <c r="E12458" s="94"/>
      <c r="G12458" s="94"/>
      <c r="I12458" s="94"/>
      <c r="K12458" s="94"/>
      <c r="M12458" s="94"/>
    </row>
    <row r="12459" s="93" customFormat="1" spans="3:13">
      <c r="C12459" s="94"/>
      <c r="E12459" s="94"/>
      <c r="G12459" s="94"/>
      <c r="I12459" s="94"/>
      <c r="K12459" s="94"/>
      <c r="M12459" s="94"/>
    </row>
    <row r="12460" s="93" customFormat="1" spans="3:13">
      <c r="C12460" s="94"/>
      <c r="E12460" s="94"/>
      <c r="G12460" s="94"/>
      <c r="I12460" s="94"/>
      <c r="K12460" s="94"/>
      <c r="M12460" s="94"/>
    </row>
    <row r="12461" s="93" customFormat="1" spans="3:13">
      <c r="C12461" s="94"/>
      <c r="E12461" s="94"/>
      <c r="G12461" s="94"/>
      <c r="I12461" s="94"/>
      <c r="K12461" s="94"/>
      <c r="M12461" s="94"/>
    </row>
    <row r="12462" s="93" customFormat="1" spans="3:13">
      <c r="C12462" s="94"/>
      <c r="E12462" s="94"/>
      <c r="G12462" s="94"/>
      <c r="I12462" s="94"/>
      <c r="K12462" s="94"/>
      <c r="M12462" s="94"/>
    </row>
    <row r="12463" s="93" customFormat="1" spans="3:13">
      <c r="C12463" s="94"/>
      <c r="E12463" s="94"/>
      <c r="G12463" s="94"/>
      <c r="I12463" s="94"/>
      <c r="K12463" s="94"/>
      <c r="M12463" s="94"/>
    </row>
    <row r="12464" s="93" customFormat="1" spans="3:13">
      <c r="C12464" s="94"/>
      <c r="E12464" s="94"/>
      <c r="G12464" s="94"/>
      <c r="I12464" s="94"/>
      <c r="K12464" s="94"/>
      <c r="M12464" s="94"/>
    </row>
    <row r="12465" s="93" customFormat="1" spans="3:13">
      <c r="C12465" s="94"/>
      <c r="E12465" s="94"/>
      <c r="G12465" s="94"/>
      <c r="I12465" s="94"/>
      <c r="K12465" s="94"/>
      <c r="M12465" s="94"/>
    </row>
    <row r="12466" s="93" customFormat="1" spans="3:13">
      <c r="C12466" s="94"/>
      <c r="E12466" s="94"/>
      <c r="G12466" s="94"/>
      <c r="I12466" s="94"/>
      <c r="K12466" s="94"/>
      <c r="M12466" s="94"/>
    </row>
    <row r="12467" s="93" customFormat="1" spans="3:13">
      <c r="C12467" s="94"/>
      <c r="E12467" s="94"/>
      <c r="G12467" s="94"/>
      <c r="I12467" s="94"/>
      <c r="K12467" s="94"/>
      <c r="M12467" s="94"/>
    </row>
    <row r="12468" s="93" customFormat="1" spans="3:13">
      <c r="C12468" s="94"/>
      <c r="E12468" s="94"/>
      <c r="G12468" s="94"/>
      <c r="I12468" s="94"/>
      <c r="K12468" s="94"/>
      <c r="M12468" s="94"/>
    </row>
    <row r="12469" s="93" customFormat="1" spans="3:13">
      <c r="C12469" s="94"/>
      <c r="E12469" s="94"/>
      <c r="G12469" s="94"/>
      <c r="I12469" s="94"/>
      <c r="K12469" s="94"/>
      <c r="M12469" s="94"/>
    </row>
    <row r="12470" s="93" customFormat="1" spans="3:13">
      <c r="C12470" s="94"/>
      <c r="E12470" s="94"/>
      <c r="G12470" s="94"/>
      <c r="I12470" s="94"/>
      <c r="K12470" s="94"/>
      <c r="M12470" s="94"/>
    </row>
    <row r="12471" s="93" customFormat="1" spans="3:13">
      <c r="C12471" s="94"/>
      <c r="E12471" s="94"/>
      <c r="G12471" s="94"/>
      <c r="I12471" s="94"/>
      <c r="K12471" s="94"/>
      <c r="M12471" s="94"/>
    </row>
    <row r="12472" s="93" customFormat="1" spans="3:13">
      <c r="C12472" s="94"/>
      <c r="E12472" s="94"/>
      <c r="G12472" s="94"/>
      <c r="I12472" s="94"/>
      <c r="K12472" s="94"/>
      <c r="M12472" s="94"/>
    </row>
    <row r="12473" s="93" customFormat="1" spans="3:13">
      <c r="C12473" s="94"/>
      <c r="E12473" s="94"/>
      <c r="G12473" s="94"/>
      <c r="I12473" s="94"/>
      <c r="K12473" s="94"/>
      <c r="M12473" s="94"/>
    </row>
    <row r="12474" s="93" customFormat="1" spans="3:13">
      <c r="C12474" s="94"/>
      <c r="E12474" s="94"/>
      <c r="G12474" s="94"/>
      <c r="I12474" s="94"/>
      <c r="K12474" s="94"/>
      <c r="M12474" s="94"/>
    </row>
    <row r="12475" s="93" customFormat="1" spans="3:13">
      <c r="C12475" s="94"/>
      <c r="E12475" s="94"/>
      <c r="G12475" s="94"/>
      <c r="I12475" s="94"/>
      <c r="K12475" s="94"/>
      <c r="M12475" s="94"/>
    </row>
    <row r="12476" s="93" customFormat="1" spans="3:13">
      <c r="C12476" s="94"/>
      <c r="E12476" s="94"/>
      <c r="G12476" s="94"/>
      <c r="I12476" s="94"/>
      <c r="K12476" s="94"/>
      <c r="M12476" s="94"/>
    </row>
    <row r="12477" s="93" customFormat="1" spans="3:13">
      <c r="C12477" s="94"/>
      <c r="E12477" s="94"/>
      <c r="G12477" s="94"/>
      <c r="I12477" s="94"/>
      <c r="K12477" s="94"/>
      <c r="M12477" s="94"/>
    </row>
    <row r="12478" s="93" customFormat="1" spans="3:13">
      <c r="C12478" s="94"/>
      <c r="E12478" s="94"/>
      <c r="G12478" s="94"/>
      <c r="I12478" s="94"/>
      <c r="K12478" s="94"/>
      <c r="M12478" s="94"/>
    </row>
    <row r="12479" s="93" customFormat="1" spans="3:13">
      <c r="C12479" s="94"/>
      <c r="E12479" s="94"/>
      <c r="G12479" s="94"/>
      <c r="I12479" s="94"/>
      <c r="K12479" s="94"/>
      <c r="M12479" s="94"/>
    </row>
    <row r="12480" s="93" customFormat="1" spans="3:13">
      <c r="C12480" s="94"/>
      <c r="E12480" s="94"/>
      <c r="G12480" s="94"/>
      <c r="I12480" s="94"/>
      <c r="K12480" s="94"/>
      <c r="M12480" s="94"/>
    </row>
    <row r="12481" s="93" customFormat="1" spans="3:13">
      <c r="C12481" s="94"/>
      <c r="E12481" s="94"/>
      <c r="G12481" s="94"/>
      <c r="I12481" s="94"/>
      <c r="K12481" s="94"/>
      <c r="M12481" s="94"/>
    </row>
    <row r="12482" s="93" customFormat="1" spans="3:13">
      <c r="C12482" s="94"/>
      <c r="E12482" s="94"/>
      <c r="G12482" s="94"/>
      <c r="I12482" s="94"/>
      <c r="K12482" s="94"/>
      <c r="M12482" s="94"/>
    </row>
    <row r="12483" s="93" customFormat="1" spans="3:13">
      <c r="C12483" s="94"/>
      <c r="E12483" s="94"/>
      <c r="G12483" s="94"/>
      <c r="I12483" s="94"/>
      <c r="K12483" s="94"/>
      <c r="M12483" s="94"/>
    </row>
    <row r="12484" s="93" customFormat="1" spans="3:13">
      <c r="C12484" s="94"/>
      <c r="E12484" s="94"/>
      <c r="G12484" s="94"/>
      <c r="I12484" s="94"/>
      <c r="K12484" s="94"/>
      <c r="M12484" s="94"/>
    </row>
    <row r="12485" s="93" customFormat="1" spans="3:13">
      <c r="C12485" s="94"/>
      <c r="E12485" s="94"/>
      <c r="G12485" s="94"/>
      <c r="I12485" s="94"/>
      <c r="K12485" s="94"/>
      <c r="M12485" s="94"/>
    </row>
    <row r="12486" s="93" customFormat="1" spans="3:13">
      <c r="C12486" s="94"/>
      <c r="E12486" s="94"/>
      <c r="G12486" s="94"/>
      <c r="I12486" s="94"/>
      <c r="K12486" s="94"/>
      <c r="M12486" s="94"/>
    </row>
    <row r="12487" s="93" customFormat="1" spans="3:13">
      <c r="C12487" s="94"/>
      <c r="E12487" s="94"/>
      <c r="G12487" s="94"/>
      <c r="I12487" s="94"/>
      <c r="K12487" s="94"/>
      <c r="M12487" s="94"/>
    </row>
    <row r="12488" s="93" customFormat="1" spans="3:13">
      <c r="C12488" s="94"/>
      <c r="E12488" s="94"/>
      <c r="G12488" s="94"/>
      <c r="I12488" s="94"/>
      <c r="K12488" s="94"/>
      <c r="M12488" s="94"/>
    </row>
    <row r="12489" s="93" customFormat="1" spans="3:13">
      <c r="C12489" s="94"/>
      <c r="E12489" s="94"/>
      <c r="G12489" s="94"/>
      <c r="I12489" s="94"/>
      <c r="K12489" s="94"/>
      <c r="M12489" s="94"/>
    </row>
    <row r="12490" s="93" customFormat="1" spans="3:13">
      <c r="C12490" s="94"/>
      <c r="E12490" s="94"/>
      <c r="G12490" s="94"/>
      <c r="I12490" s="94"/>
      <c r="K12490" s="94"/>
      <c r="M12490" s="94"/>
    </row>
    <row r="12491" s="93" customFormat="1" spans="3:13">
      <c r="C12491" s="94"/>
      <c r="E12491" s="94"/>
      <c r="G12491" s="94"/>
      <c r="I12491" s="94"/>
      <c r="K12491" s="94"/>
      <c r="M12491" s="94"/>
    </row>
    <row r="12492" s="93" customFormat="1" spans="3:13">
      <c r="C12492" s="94"/>
      <c r="E12492" s="94"/>
      <c r="G12492" s="94"/>
      <c r="I12492" s="94"/>
      <c r="K12492" s="94"/>
      <c r="M12492" s="94"/>
    </row>
    <row r="12493" s="93" customFormat="1" spans="3:13">
      <c r="C12493" s="94"/>
      <c r="E12493" s="94"/>
      <c r="G12493" s="94"/>
      <c r="I12493" s="94"/>
      <c r="K12493" s="94"/>
      <c r="M12493" s="94"/>
    </row>
    <row r="12494" s="93" customFormat="1" spans="3:13">
      <c r="C12494" s="94"/>
      <c r="E12494" s="94"/>
      <c r="G12494" s="94"/>
      <c r="I12494" s="94"/>
      <c r="K12494" s="94"/>
      <c r="M12494" s="94"/>
    </row>
    <row r="12495" s="93" customFormat="1" spans="3:13">
      <c r="C12495" s="94"/>
      <c r="E12495" s="94"/>
      <c r="G12495" s="94"/>
      <c r="I12495" s="94"/>
      <c r="K12495" s="94"/>
      <c r="M12495" s="94"/>
    </row>
    <row r="12496" s="93" customFormat="1" spans="3:13">
      <c r="C12496" s="94"/>
      <c r="E12496" s="94"/>
      <c r="G12496" s="94"/>
      <c r="I12496" s="94"/>
      <c r="K12496" s="94"/>
      <c r="M12496" s="94"/>
    </row>
    <row r="12497" s="93" customFormat="1" spans="3:13">
      <c r="C12497" s="94"/>
      <c r="E12497" s="94"/>
      <c r="G12497" s="94"/>
      <c r="I12497" s="94"/>
      <c r="K12497" s="94"/>
      <c r="M12497" s="94"/>
    </row>
    <row r="12498" s="93" customFormat="1" spans="3:13">
      <c r="C12498" s="94"/>
      <c r="E12498" s="94"/>
      <c r="G12498" s="94"/>
      <c r="I12498" s="94"/>
      <c r="K12498" s="94"/>
      <c r="M12498" s="94"/>
    </row>
    <row r="12499" s="93" customFormat="1" spans="3:13">
      <c r="C12499" s="94"/>
      <c r="E12499" s="94"/>
      <c r="G12499" s="94"/>
      <c r="I12499" s="94"/>
      <c r="K12499" s="94"/>
      <c r="M12499" s="94"/>
    </row>
    <row r="12500" s="93" customFormat="1" spans="3:13">
      <c r="C12500" s="94"/>
      <c r="E12500" s="94"/>
      <c r="G12500" s="94"/>
      <c r="I12500" s="94"/>
      <c r="K12500" s="94"/>
      <c r="M12500" s="94"/>
    </row>
    <row r="12501" s="93" customFormat="1" spans="3:13">
      <c r="C12501" s="94"/>
      <c r="E12501" s="94"/>
      <c r="G12501" s="94"/>
      <c r="I12501" s="94"/>
      <c r="K12501" s="94"/>
      <c r="M12501" s="94"/>
    </row>
    <row r="12502" s="93" customFormat="1" spans="3:13">
      <c r="C12502" s="94"/>
      <c r="E12502" s="94"/>
      <c r="G12502" s="94"/>
      <c r="I12502" s="94"/>
      <c r="K12502" s="94"/>
      <c r="M12502" s="94"/>
    </row>
    <row r="12503" s="93" customFormat="1" spans="3:13">
      <c r="C12503" s="94"/>
      <c r="E12503" s="94"/>
      <c r="G12503" s="94"/>
      <c r="I12503" s="94"/>
      <c r="K12503" s="94"/>
      <c r="M12503" s="94"/>
    </row>
    <row r="12504" s="93" customFormat="1" spans="3:13">
      <c r="C12504" s="94"/>
      <c r="E12504" s="94"/>
      <c r="G12504" s="94"/>
      <c r="I12504" s="94"/>
      <c r="K12504" s="94"/>
      <c r="M12504" s="94"/>
    </row>
    <row r="12505" s="93" customFormat="1" spans="3:13">
      <c r="C12505" s="94"/>
      <c r="E12505" s="94"/>
      <c r="G12505" s="94"/>
      <c r="I12505" s="94"/>
      <c r="K12505" s="94"/>
      <c r="M12505" s="94"/>
    </row>
    <row r="12506" s="93" customFormat="1" spans="3:13">
      <c r="C12506" s="94"/>
      <c r="E12506" s="94"/>
      <c r="G12506" s="94"/>
      <c r="I12506" s="94"/>
      <c r="K12506" s="94"/>
      <c r="M12506" s="94"/>
    </row>
    <row r="12507" s="93" customFormat="1" spans="3:13">
      <c r="C12507" s="94"/>
      <c r="E12507" s="94"/>
      <c r="G12507" s="94"/>
      <c r="I12507" s="94"/>
      <c r="K12507" s="94"/>
      <c r="M12507" s="94"/>
    </row>
    <row r="12508" s="93" customFormat="1" spans="3:13">
      <c r="C12508" s="94"/>
      <c r="E12508" s="94"/>
      <c r="G12508" s="94"/>
      <c r="I12508" s="94"/>
      <c r="K12508" s="94"/>
      <c r="M12508" s="94"/>
    </row>
    <row r="12509" s="93" customFormat="1" spans="3:13">
      <c r="C12509" s="94"/>
      <c r="E12509" s="94"/>
      <c r="G12509" s="94"/>
      <c r="I12509" s="94"/>
      <c r="K12509" s="94"/>
      <c r="M12509" s="94"/>
    </row>
    <row r="12510" s="93" customFormat="1" spans="3:13">
      <c r="C12510" s="94"/>
      <c r="E12510" s="94"/>
      <c r="G12510" s="94"/>
      <c r="I12510" s="94"/>
      <c r="K12510" s="94"/>
      <c r="M12510" s="94"/>
    </row>
    <row r="12511" s="93" customFormat="1" spans="3:13">
      <c r="C12511" s="94"/>
      <c r="E12511" s="94"/>
      <c r="G12511" s="94"/>
      <c r="I12511" s="94"/>
      <c r="K12511" s="94"/>
      <c r="M12511" s="94"/>
    </row>
    <row r="12512" s="93" customFormat="1" spans="3:13">
      <c r="C12512" s="94"/>
      <c r="E12512" s="94"/>
      <c r="G12512" s="94"/>
      <c r="I12512" s="94"/>
      <c r="K12512" s="94"/>
      <c r="M12512" s="94"/>
    </row>
    <row r="12513" s="93" customFormat="1" spans="3:13">
      <c r="C12513" s="94"/>
      <c r="E12513" s="94"/>
      <c r="G12513" s="94"/>
      <c r="I12513" s="94"/>
      <c r="K12513" s="94"/>
      <c r="M12513" s="94"/>
    </row>
    <row r="12514" s="93" customFormat="1" spans="3:13">
      <c r="C12514" s="94"/>
      <c r="E12514" s="94"/>
      <c r="G12514" s="94"/>
      <c r="I12514" s="94"/>
      <c r="K12514" s="94"/>
      <c r="M12514" s="94"/>
    </row>
    <row r="12515" s="93" customFormat="1" spans="3:13">
      <c r="C12515" s="94"/>
      <c r="E12515" s="94"/>
      <c r="G12515" s="94"/>
      <c r="I12515" s="94"/>
      <c r="K12515" s="94"/>
      <c r="M12515" s="94"/>
    </row>
    <row r="12516" s="93" customFormat="1" spans="3:13">
      <c r="C12516" s="94"/>
      <c r="E12516" s="94"/>
      <c r="G12516" s="94"/>
      <c r="I12516" s="94"/>
      <c r="K12516" s="94"/>
      <c r="M12516" s="94"/>
    </row>
    <row r="12517" s="93" customFormat="1" spans="3:13">
      <c r="C12517" s="94"/>
      <c r="E12517" s="94"/>
      <c r="G12517" s="94"/>
      <c r="I12517" s="94"/>
      <c r="K12517" s="94"/>
      <c r="M12517" s="94"/>
    </row>
    <row r="12518" s="93" customFormat="1" spans="3:13">
      <c r="C12518" s="94"/>
      <c r="E12518" s="94"/>
      <c r="G12518" s="94"/>
      <c r="I12518" s="94"/>
      <c r="K12518" s="94"/>
      <c r="M12518" s="94"/>
    </row>
    <row r="12519" s="93" customFormat="1" spans="3:13">
      <c r="C12519" s="94"/>
      <c r="E12519" s="94"/>
      <c r="G12519" s="94"/>
      <c r="I12519" s="94"/>
      <c r="K12519" s="94"/>
      <c r="M12519" s="94"/>
    </row>
    <row r="12520" s="93" customFormat="1" spans="3:13">
      <c r="C12520" s="94"/>
      <c r="E12520" s="94"/>
      <c r="G12520" s="94"/>
      <c r="I12520" s="94"/>
      <c r="K12520" s="94"/>
      <c r="M12520" s="94"/>
    </row>
    <row r="12521" s="93" customFormat="1" spans="3:13">
      <c r="C12521" s="94"/>
      <c r="E12521" s="94"/>
      <c r="G12521" s="94"/>
      <c r="I12521" s="94"/>
      <c r="K12521" s="94"/>
      <c r="M12521" s="94"/>
    </row>
    <row r="12522" s="93" customFormat="1" spans="3:13">
      <c r="C12522" s="94"/>
      <c r="E12522" s="94"/>
      <c r="G12522" s="94"/>
      <c r="I12522" s="94"/>
      <c r="K12522" s="94"/>
      <c r="M12522" s="94"/>
    </row>
    <row r="12523" s="93" customFormat="1" spans="3:13">
      <c r="C12523" s="94"/>
      <c r="E12523" s="94"/>
      <c r="G12523" s="94"/>
      <c r="I12523" s="94"/>
      <c r="K12523" s="94"/>
      <c r="M12523" s="94"/>
    </row>
    <row r="12524" s="93" customFormat="1" spans="3:13">
      <c r="C12524" s="94"/>
      <c r="E12524" s="94"/>
      <c r="G12524" s="94"/>
      <c r="I12524" s="94"/>
      <c r="K12524" s="94"/>
      <c r="M12524" s="94"/>
    </row>
    <row r="12525" s="93" customFormat="1" spans="3:13">
      <c r="C12525" s="94"/>
      <c r="E12525" s="94"/>
      <c r="G12525" s="94"/>
      <c r="I12525" s="94"/>
      <c r="K12525" s="94"/>
      <c r="M12525" s="94"/>
    </row>
    <row r="12526" s="93" customFormat="1" spans="3:13">
      <c r="C12526" s="94"/>
      <c r="E12526" s="94"/>
      <c r="G12526" s="94"/>
      <c r="I12526" s="94"/>
      <c r="K12526" s="94"/>
      <c r="M12526" s="94"/>
    </row>
    <row r="12527" s="93" customFormat="1" spans="3:13">
      <c r="C12527" s="94"/>
      <c r="E12527" s="94"/>
      <c r="G12527" s="94"/>
      <c r="I12527" s="94"/>
      <c r="K12527" s="94"/>
      <c r="M12527" s="94"/>
    </row>
    <row r="12528" s="93" customFormat="1" spans="3:13">
      <c r="C12528" s="94"/>
      <c r="E12528" s="94"/>
      <c r="G12528" s="94"/>
      <c r="I12528" s="94"/>
      <c r="K12528" s="94"/>
      <c r="M12528" s="94"/>
    </row>
    <row r="12529" s="93" customFormat="1" spans="3:13">
      <c r="C12529" s="94"/>
      <c r="E12529" s="94"/>
      <c r="G12529" s="94"/>
      <c r="I12529" s="94"/>
      <c r="K12529" s="94"/>
      <c r="M12529" s="94"/>
    </row>
    <row r="12530" s="93" customFormat="1" spans="3:13">
      <c r="C12530" s="94"/>
      <c r="E12530" s="94"/>
      <c r="G12530" s="94"/>
      <c r="I12530" s="94"/>
      <c r="K12530" s="94"/>
      <c r="M12530" s="94"/>
    </row>
    <row r="12531" s="93" customFormat="1" spans="3:13">
      <c r="C12531" s="94"/>
      <c r="E12531" s="94"/>
      <c r="G12531" s="94"/>
      <c r="I12531" s="94"/>
      <c r="K12531" s="94"/>
      <c r="M12531" s="94"/>
    </row>
    <row r="12532" s="93" customFormat="1" spans="3:13">
      <c r="C12532" s="94"/>
      <c r="E12532" s="94"/>
      <c r="G12532" s="94"/>
      <c r="I12532" s="94"/>
      <c r="K12532" s="94"/>
      <c r="M12532" s="94"/>
    </row>
    <row r="12533" s="93" customFormat="1" spans="3:13">
      <c r="C12533" s="94"/>
      <c r="E12533" s="94"/>
      <c r="G12533" s="94"/>
      <c r="I12533" s="94"/>
      <c r="K12533" s="94"/>
      <c r="M12533" s="94"/>
    </row>
    <row r="12534" s="93" customFormat="1" spans="3:13">
      <c r="C12534" s="94"/>
      <c r="E12534" s="94"/>
      <c r="G12534" s="94"/>
      <c r="I12534" s="94"/>
      <c r="K12534" s="94"/>
      <c r="M12534" s="94"/>
    </row>
    <row r="12535" s="93" customFormat="1" spans="3:13">
      <c r="C12535" s="94"/>
      <c r="E12535" s="94"/>
      <c r="G12535" s="94"/>
      <c r="I12535" s="94"/>
      <c r="K12535" s="94"/>
      <c r="M12535" s="94"/>
    </row>
    <row r="12536" s="93" customFormat="1" spans="3:13">
      <c r="C12536" s="94"/>
      <c r="E12536" s="94"/>
      <c r="G12536" s="94"/>
      <c r="I12536" s="94"/>
      <c r="K12536" s="94"/>
      <c r="M12536" s="94"/>
    </row>
    <row r="12537" s="93" customFormat="1" spans="3:13">
      <c r="C12537" s="94"/>
      <c r="E12537" s="94"/>
      <c r="G12537" s="94"/>
      <c r="I12537" s="94"/>
      <c r="K12537" s="94"/>
      <c r="M12537" s="94"/>
    </row>
    <row r="12538" s="93" customFormat="1" spans="3:13">
      <c r="C12538" s="94"/>
      <c r="E12538" s="94"/>
      <c r="G12538" s="94"/>
      <c r="I12538" s="94"/>
      <c r="K12538" s="94"/>
      <c r="M12538" s="94"/>
    </row>
    <row r="12539" s="93" customFormat="1" spans="3:13">
      <c r="C12539" s="94"/>
      <c r="E12539" s="94"/>
      <c r="G12539" s="94"/>
      <c r="I12539" s="94"/>
      <c r="K12539" s="94"/>
      <c r="M12539" s="94"/>
    </row>
    <row r="12540" s="93" customFormat="1" spans="3:13">
      <c r="C12540" s="94"/>
      <c r="E12540" s="94"/>
      <c r="G12540" s="94"/>
      <c r="I12540" s="94"/>
      <c r="K12540" s="94"/>
      <c r="M12540" s="94"/>
    </row>
    <row r="12541" s="93" customFormat="1" spans="3:13">
      <c r="C12541" s="94"/>
      <c r="E12541" s="94"/>
      <c r="G12541" s="94"/>
      <c r="I12541" s="94"/>
      <c r="K12541" s="94"/>
      <c r="M12541" s="94"/>
    </row>
    <row r="12542" s="93" customFormat="1" spans="3:13">
      <c r="C12542" s="94"/>
      <c r="E12542" s="94"/>
      <c r="G12542" s="94"/>
      <c r="I12542" s="94"/>
      <c r="K12542" s="94"/>
      <c r="M12542" s="94"/>
    </row>
    <row r="12543" s="93" customFormat="1" spans="3:13">
      <c r="C12543" s="94"/>
      <c r="E12543" s="94"/>
      <c r="G12543" s="94"/>
      <c r="I12543" s="94"/>
      <c r="K12543" s="94"/>
      <c r="M12543" s="94"/>
    </row>
    <row r="12544" s="93" customFormat="1" spans="3:13">
      <c r="C12544" s="94"/>
      <c r="E12544" s="94"/>
      <c r="G12544" s="94"/>
      <c r="I12544" s="94"/>
      <c r="K12544" s="94"/>
      <c r="M12544" s="94"/>
    </row>
    <row r="12545" s="93" customFormat="1" spans="3:13">
      <c r="C12545" s="94"/>
      <c r="E12545" s="94"/>
      <c r="G12545" s="94"/>
      <c r="I12545" s="94"/>
      <c r="K12545" s="94"/>
      <c r="M12545" s="94"/>
    </row>
    <row r="12546" s="93" customFormat="1" spans="3:13">
      <c r="C12546" s="94"/>
      <c r="E12546" s="94"/>
      <c r="G12546" s="94"/>
      <c r="I12546" s="94"/>
      <c r="K12546" s="94"/>
      <c r="M12546" s="94"/>
    </row>
    <row r="12547" s="93" customFormat="1" spans="3:13">
      <c r="C12547" s="94"/>
      <c r="E12547" s="94"/>
      <c r="G12547" s="94"/>
      <c r="I12547" s="94"/>
      <c r="K12547" s="94"/>
      <c r="M12547" s="94"/>
    </row>
    <row r="12548" s="93" customFormat="1" spans="3:13">
      <c r="C12548" s="94"/>
      <c r="E12548" s="94"/>
      <c r="G12548" s="94"/>
      <c r="I12548" s="94"/>
      <c r="K12548" s="94"/>
      <c r="M12548" s="94"/>
    </row>
    <row r="12549" s="93" customFormat="1" spans="3:13">
      <c r="C12549" s="94"/>
      <c r="E12549" s="94"/>
      <c r="G12549" s="94"/>
      <c r="I12549" s="94"/>
      <c r="K12549" s="94"/>
      <c r="M12549" s="94"/>
    </row>
    <row r="12550" s="93" customFormat="1" spans="3:13">
      <c r="C12550" s="94"/>
      <c r="E12550" s="94"/>
      <c r="G12550" s="94"/>
      <c r="I12550" s="94"/>
      <c r="K12550" s="94"/>
      <c r="M12550" s="94"/>
    </row>
    <row r="12551" s="93" customFormat="1" spans="3:13">
      <c r="C12551" s="94"/>
      <c r="E12551" s="94"/>
      <c r="G12551" s="94"/>
      <c r="I12551" s="94"/>
      <c r="K12551" s="94"/>
      <c r="M12551" s="94"/>
    </row>
    <row r="12552" s="93" customFormat="1" spans="3:13">
      <c r="C12552" s="94"/>
      <c r="E12552" s="94"/>
      <c r="G12552" s="94"/>
      <c r="I12552" s="94"/>
      <c r="K12552" s="94"/>
      <c r="M12552" s="94"/>
    </row>
    <row r="12553" s="93" customFormat="1" spans="3:13">
      <c r="C12553" s="94"/>
      <c r="E12553" s="94"/>
      <c r="G12553" s="94"/>
      <c r="I12553" s="94"/>
      <c r="K12553" s="94"/>
      <c r="M12553" s="94"/>
    </row>
    <row r="12554" s="93" customFormat="1" spans="3:13">
      <c r="C12554" s="94"/>
      <c r="E12554" s="94"/>
      <c r="G12554" s="94"/>
      <c r="I12554" s="94"/>
      <c r="K12554" s="94"/>
      <c r="M12554" s="94"/>
    </row>
    <row r="12555" s="93" customFormat="1" spans="3:13">
      <c r="C12555" s="94"/>
      <c r="E12555" s="94"/>
      <c r="G12555" s="94"/>
      <c r="I12555" s="94"/>
      <c r="K12555" s="94"/>
      <c r="M12555" s="94"/>
    </row>
    <row r="12556" s="93" customFormat="1" spans="3:13">
      <c r="C12556" s="94"/>
      <c r="E12556" s="94"/>
      <c r="G12556" s="94"/>
      <c r="I12556" s="94"/>
      <c r="K12556" s="94"/>
      <c r="M12556" s="94"/>
    </row>
    <row r="12557" s="93" customFormat="1" spans="3:13">
      <c r="C12557" s="94"/>
      <c r="E12557" s="94"/>
      <c r="G12557" s="94"/>
      <c r="I12557" s="94"/>
      <c r="K12557" s="94"/>
      <c r="M12557" s="94"/>
    </row>
    <row r="12558" s="93" customFormat="1" spans="3:13">
      <c r="C12558" s="94"/>
      <c r="E12558" s="94"/>
      <c r="G12558" s="94"/>
      <c r="I12558" s="94"/>
      <c r="K12558" s="94"/>
      <c r="M12558" s="94"/>
    </row>
    <row r="12559" s="93" customFormat="1" spans="3:13">
      <c r="C12559" s="94"/>
      <c r="E12559" s="94"/>
      <c r="G12559" s="94"/>
      <c r="I12559" s="94"/>
      <c r="K12559" s="94"/>
      <c r="M12559" s="94"/>
    </row>
    <row r="12560" s="93" customFormat="1" spans="3:13">
      <c r="C12560" s="94"/>
      <c r="E12560" s="94"/>
      <c r="G12560" s="94"/>
      <c r="I12560" s="94"/>
      <c r="K12560" s="94"/>
      <c r="M12560" s="94"/>
    </row>
    <row r="12561" s="93" customFormat="1" spans="3:13">
      <c r="C12561" s="94"/>
      <c r="E12561" s="94"/>
      <c r="G12561" s="94"/>
      <c r="I12561" s="94"/>
      <c r="K12561" s="94"/>
      <c r="M12561" s="94"/>
    </row>
    <row r="12562" s="93" customFormat="1" spans="3:13">
      <c r="C12562" s="94"/>
      <c r="E12562" s="94"/>
      <c r="G12562" s="94"/>
      <c r="I12562" s="94"/>
      <c r="K12562" s="94"/>
      <c r="M12562" s="94"/>
    </row>
    <row r="12563" s="93" customFormat="1" spans="3:13">
      <c r="C12563" s="94"/>
      <c r="E12563" s="94"/>
      <c r="G12563" s="94"/>
      <c r="I12563" s="94"/>
      <c r="K12563" s="94"/>
      <c r="M12563" s="94"/>
    </row>
    <row r="12564" s="93" customFormat="1" spans="3:13">
      <c r="C12564" s="94"/>
      <c r="E12564" s="94"/>
      <c r="G12564" s="94"/>
      <c r="I12564" s="94"/>
      <c r="K12564" s="94"/>
      <c r="M12564" s="94"/>
    </row>
    <row r="12565" s="93" customFormat="1" spans="3:13">
      <c r="C12565" s="94"/>
      <c r="E12565" s="94"/>
      <c r="G12565" s="94"/>
      <c r="I12565" s="94"/>
      <c r="K12565" s="94"/>
      <c r="M12565" s="94"/>
    </row>
    <row r="12566" s="93" customFormat="1" spans="3:13">
      <c r="C12566" s="94"/>
      <c r="E12566" s="94"/>
      <c r="G12566" s="94"/>
      <c r="I12566" s="94"/>
      <c r="K12566" s="94"/>
      <c r="M12566" s="94"/>
    </row>
    <row r="12567" s="93" customFormat="1" spans="3:13">
      <c r="C12567" s="94"/>
      <c r="E12567" s="94"/>
      <c r="G12567" s="94"/>
      <c r="I12567" s="94"/>
      <c r="K12567" s="94"/>
      <c r="M12567" s="94"/>
    </row>
    <row r="12568" s="93" customFormat="1" spans="3:13">
      <c r="C12568" s="94"/>
      <c r="E12568" s="94"/>
      <c r="G12568" s="94"/>
      <c r="I12568" s="94"/>
      <c r="K12568" s="94"/>
      <c r="M12568" s="94"/>
    </row>
    <row r="12569" s="93" customFormat="1" spans="3:13">
      <c r="C12569" s="94"/>
      <c r="E12569" s="94"/>
      <c r="G12569" s="94"/>
      <c r="I12569" s="94"/>
      <c r="K12569" s="94"/>
      <c r="M12569" s="94"/>
    </row>
    <row r="12570" s="93" customFormat="1" spans="3:13">
      <c r="C12570" s="94"/>
      <c r="E12570" s="94"/>
      <c r="G12570" s="94"/>
      <c r="I12570" s="94"/>
      <c r="K12570" s="94"/>
      <c r="M12570" s="94"/>
    </row>
    <row r="12571" s="93" customFormat="1" spans="3:13">
      <c r="C12571" s="94"/>
      <c r="E12571" s="94"/>
      <c r="G12571" s="94"/>
      <c r="I12571" s="94"/>
      <c r="K12571" s="94"/>
      <c r="M12571" s="94"/>
    </row>
    <row r="12572" s="93" customFormat="1" spans="3:13">
      <c r="C12572" s="94"/>
      <c r="E12572" s="94"/>
      <c r="G12572" s="94"/>
      <c r="I12572" s="94"/>
      <c r="K12572" s="94"/>
      <c r="M12572" s="94"/>
    </row>
    <row r="12573" s="93" customFormat="1" spans="3:13">
      <c r="C12573" s="94"/>
      <c r="E12573" s="94"/>
      <c r="G12573" s="94"/>
      <c r="I12573" s="94"/>
      <c r="K12573" s="94"/>
      <c r="M12573" s="94"/>
    </row>
    <row r="12574" s="93" customFormat="1" spans="3:13">
      <c r="C12574" s="94"/>
      <c r="E12574" s="94"/>
      <c r="G12574" s="94"/>
      <c r="I12574" s="94"/>
      <c r="K12574" s="94"/>
      <c r="M12574" s="94"/>
    </row>
    <row r="12575" s="93" customFormat="1" spans="3:13">
      <c r="C12575" s="94"/>
      <c r="E12575" s="94"/>
      <c r="G12575" s="94"/>
      <c r="I12575" s="94"/>
      <c r="K12575" s="94"/>
      <c r="M12575" s="94"/>
    </row>
    <row r="12576" s="93" customFormat="1" spans="3:13">
      <c r="C12576" s="94"/>
      <c r="E12576" s="94"/>
      <c r="G12576" s="94"/>
      <c r="I12576" s="94"/>
      <c r="K12576" s="94"/>
      <c r="M12576" s="94"/>
    </row>
    <row r="12577" s="93" customFormat="1" spans="3:13">
      <c r="C12577" s="94"/>
      <c r="E12577" s="94"/>
      <c r="G12577" s="94"/>
      <c r="I12577" s="94"/>
      <c r="K12577" s="94"/>
      <c r="M12577" s="94"/>
    </row>
    <row r="12578" s="93" customFormat="1" spans="3:13">
      <c r="C12578" s="94"/>
      <c r="E12578" s="94"/>
      <c r="G12578" s="94"/>
      <c r="I12578" s="94"/>
      <c r="K12578" s="94"/>
      <c r="M12578" s="94"/>
    </row>
    <row r="12579" s="93" customFormat="1" spans="3:13">
      <c r="C12579" s="94"/>
      <c r="E12579" s="94"/>
      <c r="G12579" s="94"/>
      <c r="I12579" s="94"/>
      <c r="K12579" s="94"/>
      <c r="M12579" s="94"/>
    </row>
    <row r="12580" s="93" customFormat="1" spans="3:13">
      <c r="C12580" s="94"/>
      <c r="E12580" s="94"/>
      <c r="G12580" s="94"/>
      <c r="I12580" s="94"/>
      <c r="K12580" s="94"/>
      <c r="M12580" s="94"/>
    </row>
    <row r="12581" s="93" customFormat="1" spans="3:13">
      <c r="C12581" s="94"/>
      <c r="E12581" s="94"/>
      <c r="G12581" s="94"/>
      <c r="I12581" s="94"/>
      <c r="K12581" s="94"/>
      <c r="M12581" s="94"/>
    </row>
    <row r="12582" s="93" customFormat="1" spans="3:13">
      <c r="C12582" s="94"/>
      <c r="E12582" s="94"/>
      <c r="G12582" s="94"/>
      <c r="I12582" s="94"/>
      <c r="K12582" s="94"/>
      <c r="M12582" s="94"/>
    </row>
    <row r="12583" s="93" customFormat="1" spans="3:13">
      <c r="C12583" s="94"/>
      <c r="E12583" s="94"/>
      <c r="G12583" s="94"/>
      <c r="I12583" s="94"/>
      <c r="K12583" s="94"/>
      <c r="M12583" s="94"/>
    </row>
    <row r="12584" s="93" customFormat="1" spans="3:13">
      <c r="C12584" s="94"/>
      <c r="E12584" s="94"/>
      <c r="G12584" s="94"/>
      <c r="I12584" s="94"/>
      <c r="K12584" s="94"/>
      <c r="M12584" s="94"/>
    </row>
    <row r="12585" s="93" customFormat="1" spans="3:13">
      <c r="C12585" s="94"/>
      <c r="E12585" s="94"/>
      <c r="G12585" s="94"/>
      <c r="I12585" s="94"/>
      <c r="K12585" s="94"/>
      <c r="M12585" s="94"/>
    </row>
    <row r="12586" s="93" customFormat="1" spans="3:13">
      <c r="C12586" s="94"/>
      <c r="E12586" s="94"/>
      <c r="G12586" s="94"/>
      <c r="I12586" s="94"/>
      <c r="K12586" s="94"/>
      <c r="M12586" s="94"/>
    </row>
    <row r="12587" s="93" customFormat="1" spans="3:13">
      <c r="C12587" s="94"/>
      <c r="E12587" s="94"/>
      <c r="G12587" s="94"/>
      <c r="I12587" s="94"/>
      <c r="K12587" s="94"/>
      <c r="M12587" s="94"/>
    </row>
    <row r="12588" s="93" customFormat="1" spans="3:13">
      <c r="C12588" s="94"/>
      <c r="E12588" s="94"/>
      <c r="G12588" s="94"/>
      <c r="I12588" s="94"/>
      <c r="K12588" s="94"/>
      <c r="M12588" s="94"/>
    </row>
    <row r="12589" s="93" customFormat="1" spans="3:13">
      <c r="C12589" s="94"/>
      <c r="E12589" s="94"/>
      <c r="G12589" s="94"/>
      <c r="I12589" s="94"/>
      <c r="K12589" s="94"/>
      <c r="M12589" s="94"/>
    </row>
    <row r="12590" s="93" customFormat="1" spans="3:13">
      <c r="C12590" s="94"/>
      <c r="E12590" s="94"/>
      <c r="G12590" s="94"/>
      <c r="I12590" s="94"/>
      <c r="K12590" s="94"/>
      <c r="M12590" s="94"/>
    </row>
    <row r="12591" s="93" customFormat="1" spans="3:13">
      <c r="C12591" s="94"/>
      <c r="E12591" s="94"/>
      <c r="G12591" s="94"/>
      <c r="I12591" s="94"/>
      <c r="K12591" s="94"/>
      <c r="M12591" s="94"/>
    </row>
    <row r="12592" s="93" customFormat="1" spans="3:13">
      <c r="C12592" s="94"/>
      <c r="E12592" s="94"/>
      <c r="G12592" s="94"/>
      <c r="I12592" s="94"/>
      <c r="K12592" s="94"/>
      <c r="M12592" s="94"/>
    </row>
    <row r="12593" s="93" customFormat="1" spans="3:13">
      <c r="C12593" s="94"/>
      <c r="E12593" s="94"/>
      <c r="G12593" s="94"/>
      <c r="I12593" s="94"/>
      <c r="K12593" s="94"/>
      <c r="M12593" s="94"/>
    </row>
    <row r="12594" s="93" customFormat="1" spans="3:13">
      <c r="C12594" s="94"/>
      <c r="E12594" s="94"/>
      <c r="G12594" s="94"/>
      <c r="I12594" s="94"/>
      <c r="K12594" s="94"/>
      <c r="M12594" s="94"/>
    </row>
    <row r="12595" s="93" customFormat="1" spans="3:13">
      <c r="C12595" s="94"/>
      <c r="E12595" s="94"/>
      <c r="G12595" s="94"/>
      <c r="I12595" s="94"/>
      <c r="K12595" s="94"/>
      <c r="M12595" s="94"/>
    </row>
    <row r="12596" s="93" customFormat="1" spans="3:13">
      <c r="C12596" s="94"/>
      <c r="E12596" s="94"/>
      <c r="G12596" s="94"/>
      <c r="I12596" s="94"/>
      <c r="K12596" s="94"/>
      <c r="M12596" s="94"/>
    </row>
    <row r="12597" s="93" customFormat="1" spans="3:13">
      <c r="C12597" s="94"/>
      <c r="E12597" s="94"/>
      <c r="G12597" s="94"/>
      <c r="I12597" s="94"/>
      <c r="K12597" s="94"/>
      <c r="M12597" s="94"/>
    </row>
    <row r="12598" s="93" customFormat="1" spans="3:13">
      <c r="C12598" s="94"/>
      <c r="E12598" s="94"/>
      <c r="G12598" s="94"/>
      <c r="I12598" s="94"/>
      <c r="K12598" s="94"/>
      <c r="M12598" s="94"/>
    </row>
    <row r="12599" s="93" customFormat="1" spans="3:13">
      <c r="C12599" s="94"/>
      <c r="E12599" s="94"/>
      <c r="G12599" s="94"/>
      <c r="I12599" s="94"/>
      <c r="K12599" s="94"/>
      <c r="M12599" s="94"/>
    </row>
    <row r="12600" s="93" customFormat="1" spans="3:13">
      <c r="C12600" s="94"/>
      <c r="E12600" s="94"/>
      <c r="G12600" s="94"/>
      <c r="I12600" s="94"/>
      <c r="K12600" s="94"/>
      <c r="M12600" s="94"/>
    </row>
    <row r="12601" s="93" customFormat="1" spans="3:13">
      <c r="C12601" s="94"/>
      <c r="E12601" s="94"/>
      <c r="G12601" s="94"/>
      <c r="I12601" s="94"/>
      <c r="K12601" s="94"/>
      <c r="M12601" s="94"/>
    </row>
    <row r="12602" s="93" customFormat="1" spans="3:13">
      <c r="C12602" s="94"/>
      <c r="E12602" s="94"/>
      <c r="G12602" s="94"/>
      <c r="I12602" s="94"/>
      <c r="K12602" s="94"/>
      <c r="M12602" s="94"/>
    </row>
    <row r="12603" s="93" customFormat="1" spans="3:13">
      <c r="C12603" s="94"/>
      <c r="E12603" s="94"/>
      <c r="G12603" s="94"/>
      <c r="I12603" s="94"/>
      <c r="K12603" s="94"/>
      <c r="M12603" s="94"/>
    </row>
    <row r="12604" s="93" customFormat="1" spans="3:13">
      <c r="C12604" s="94"/>
      <c r="E12604" s="94"/>
      <c r="G12604" s="94"/>
      <c r="I12604" s="94"/>
      <c r="K12604" s="94"/>
      <c r="M12604" s="94"/>
    </row>
    <row r="12605" s="93" customFormat="1" spans="3:13">
      <c r="C12605" s="94"/>
      <c r="E12605" s="94"/>
      <c r="G12605" s="94"/>
      <c r="I12605" s="94"/>
      <c r="K12605" s="94"/>
      <c r="M12605" s="94"/>
    </row>
    <row r="12606" s="93" customFormat="1" spans="3:13">
      <c r="C12606" s="94"/>
      <c r="E12606" s="94"/>
      <c r="G12606" s="94"/>
      <c r="I12606" s="94"/>
      <c r="K12606" s="94"/>
      <c r="M12606" s="94"/>
    </row>
    <row r="12607" s="93" customFormat="1" spans="3:13">
      <c r="C12607" s="94"/>
      <c r="E12607" s="94"/>
      <c r="G12607" s="94"/>
      <c r="I12607" s="94"/>
      <c r="K12607" s="94"/>
      <c r="M12607" s="94"/>
    </row>
    <row r="12608" s="93" customFormat="1" spans="3:13">
      <c r="C12608" s="94"/>
      <c r="E12608" s="94"/>
      <c r="G12608" s="94"/>
      <c r="I12608" s="94"/>
      <c r="K12608" s="94"/>
      <c r="M12608" s="94"/>
    </row>
    <row r="12609" s="93" customFormat="1" spans="3:13">
      <c r="C12609" s="94"/>
      <c r="E12609" s="94"/>
      <c r="G12609" s="94"/>
      <c r="I12609" s="94"/>
      <c r="K12609" s="94"/>
      <c r="M12609" s="94"/>
    </row>
    <row r="12610" s="93" customFormat="1" spans="3:13">
      <c r="C12610" s="94"/>
      <c r="E12610" s="94"/>
      <c r="G12610" s="94"/>
      <c r="I12610" s="94"/>
      <c r="K12610" s="94"/>
      <c r="M12610" s="94"/>
    </row>
    <row r="12611" s="93" customFormat="1" spans="3:13">
      <c r="C12611" s="94"/>
      <c r="E12611" s="94"/>
      <c r="G12611" s="94"/>
      <c r="I12611" s="94"/>
      <c r="K12611" s="94"/>
      <c r="M12611" s="94"/>
    </row>
    <row r="12612" s="93" customFormat="1" spans="3:13">
      <c r="C12612" s="94"/>
      <c r="E12612" s="94"/>
      <c r="G12612" s="94"/>
      <c r="I12612" s="94"/>
      <c r="K12612" s="94"/>
      <c r="M12612" s="94"/>
    </row>
    <row r="12613" s="93" customFormat="1" spans="3:13">
      <c r="C12613" s="94"/>
      <c r="E12613" s="94"/>
      <c r="G12613" s="94"/>
      <c r="I12613" s="94"/>
      <c r="K12613" s="94"/>
      <c r="M12613" s="94"/>
    </row>
    <row r="12614" s="93" customFormat="1" spans="3:13">
      <c r="C12614" s="94"/>
      <c r="E12614" s="94"/>
      <c r="G12614" s="94"/>
      <c r="I12614" s="94"/>
      <c r="K12614" s="94"/>
      <c r="M12614" s="94"/>
    </row>
    <row r="12615" s="93" customFormat="1" spans="3:13">
      <c r="C12615" s="94"/>
      <c r="E12615" s="94"/>
      <c r="G12615" s="94"/>
      <c r="I12615" s="94"/>
      <c r="K12615" s="94"/>
      <c r="M12615" s="94"/>
    </row>
    <row r="12616" s="93" customFormat="1" spans="3:13">
      <c r="C12616" s="94"/>
      <c r="E12616" s="94"/>
      <c r="G12616" s="94"/>
      <c r="I12616" s="94"/>
      <c r="K12616" s="94"/>
      <c r="M12616" s="94"/>
    </row>
    <row r="12617" s="93" customFormat="1" spans="3:13">
      <c r="C12617" s="94"/>
      <c r="E12617" s="94"/>
      <c r="G12617" s="94"/>
      <c r="I12617" s="94"/>
      <c r="K12617" s="94"/>
      <c r="M12617" s="94"/>
    </row>
    <row r="12618" s="93" customFormat="1" spans="3:13">
      <c r="C12618" s="94"/>
      <c r="E12618" s="94"/>
      <c r="G12618" s="94"/>
      <c r="I12618" s="94"/>
      <c r="K12618" s="94"/>
      <c r="M12618" s="94"/>
    </row>
    <row r="12619" s="93" customFormat="1" spans="3:13">
      <c r="C12619" s="94"/>
      <c r="E12619" s="94"/>
      <c r="G12619" s="94"/>
      <c r="I12619" s="94"/>
      <c r="K12619" s="94"/>
      <c r="M12619" s="94"/>
    </row>
    <row r="12620" s="93" customFormat="1" spans="3:13">
      <c r="C12620" s="94"/>
      <c r="E12620" s="94"/>
      <c r="G12620" s="94"/>
      <c r="I12620" s="94"/>
      <c r="K12620" s="94"/>
      <c r="M12620" s="94"/>
    </row>
    <row r="12621" s="93" customFormat="1" spans="3:13">
      <c r="C12621" s="94"/>
      <c r="E12621" s="94"/>
      <c r="G12621" s="94"/>
      <c r="I12621" s="94"/>
      <c r="K12621" s="94"/>
      <c r="M12621" s="94"/>
    </row>
    <row r="12622" s="93" customFormat="1" spans="3:13">
      <c r="C12622" s="94"/>
      <c r="E12622" s="94"/>
      <c r="G12622" s="94"/>
      <c r="I12622" s="94"/>
      <c r="K12622" s="94"/>
      <c r="M12622" s="94"/>
    </row>
    <row r="12623" s="93" customFormat="1" spans="3:13">
      <c r="C12623" s="94"/>
      <c r="E12623" s="94"/>
      <c r="G12623" s="94"/>
      <c r="I12623" s="94"/>
      <c r="K12623" s="94"/>
      <c r="M12623" s="94"/>
    </row>
    <row r="12624" s="93" customFormat="1" spans="3:13">
      <c r="C12624" s="94"/>
      <c r="E12624" s="94"/>
      <c r="G12624" s="94"/>
      <c r="I12624" s="94"/>
      <c r="K12624" s="94"/>
      <c r="M12624" s="94"/>
    </row>
    <row r="12625" s="93" customFormat="1" spans="3:13">
      <c r="C12625" s="94"/>
      <c r="E12625" s="94"/>
      <c r="G12625" s="94"/>
      <c r="I12625" s="94"/>
      <c r="K12625" s="94"/>
      <c r="M12625" s="94"/>
    </row>
    <row r="12626" s="93" customFormat="1" spans="3:13">
      <c r="C12626" s="94"/>
      <c r="E12626" s="94"/>
      <c r="G12626" s="94"/>
      <c r="I12626" s="94"/>
      <c r="K12626" s="94"/>
      <c r="M12626" s="94"/>
    </row>
    <row r="12627" s="93" customFormat="1" spans="3:13">
      <c r="C12627" s="94"/>
      <c r="E12627" s="94"/>
      <c r="G12627" s="94"/>
      <c r="I12627" s="94"/>
      <c r="K12627" s="94"/>
      <c r="M12627" s="94"/>
    </row>
    <row r="12628" s="93" customFormat="1" spans="3:13">
      <c r="C12628" s="94"/>
      <c r="E12628" s="94"/>
      <c r="G12628" s="94"/>
      <c r="I12628" s="94"/>
      <c r="K12628" s="94"/>
      <c r="M12628" s="94"/>
    </row>
    <row r="12629" s="93" customFormat="1" spans="3:13">
      <c r="C12629" s="94"/>
      <c r="E12629" s="94"/>
      <c r="G12629" s="94"/>
      <c r="I12629" s="94"/>
      <c r="K12629" s="94"/>
      <c r="M12629" s="94"/>
    </row>
    <row r="12630" s="93" customFormat="1" spans="3:13">
      <c r="C12630" s="94"/>
      <c r="E12630" s="94"/>
      <c r="G12630" s="94"/>
      <c r="I12630" s="94"/>
      <c r="K12630" s="94"/>
      <c r="M12630" s="94"/>
    </row>
    <row r="12631" s="93" customFormat="1" spans="3:13">
      <c r="C12631" s="94"/>
      <c r="E12631" s="94"/>
      <c r="G12631" s="94"/>
      <c r="I12631" s="94"/>
      <c r="K12631" s="94"/>
      <c r="M12631" s="94"/>
    </row>
    <row r="12632" s="93" customFormat="1" spans="3:13">
      <c r="C12632" s="94"/>
      <c r="E12632" s="94"/>
      <c r="G12632" s="94"/>
      <c r="I12632" s="94"/>
      <c r="K12632" s="94"/>
      <c r="M12632" s="94"/>
    </row>
    <row r="12633" s="93" customFormat="1" spans="3:13">
      <c r="C12633" s="94"/>
      <c r="E12633" s="94"/>
      <c r="G12633" s="94"/>
      <c r="I12633" s="94"/>
      <c r="K12633" s="94"/>
      <c r="M12633" s="94"/>
    </row>
    <row r="12634" s="93" customFormat="1" spans="3:13">
      <c r="C12634" s="94"/>
      <c r="E12634" s="94"/>
      <c r="G12634" s="94"/>
      <c r="I12634" s="94"/>
      <c r="K12634" s="94"/>
      <c r="M12634" s="94"/>
    </row>
    <row r="12635" s="93" customFormat="1" spans="3:13">
      <c r="C12635" s="94"/>
      <c r="E12635" s="94"/>
      <c r="G12635" s="94"/>
      <c r="I12635" s="94"/>
      <c r="K12635" s="94"/>
      <c r="M12635" s="94"/>
    </row>
    <row r="12636" s="93" customFormat="1" spans="3:13">
      <c r="C12636" s="94"/>
      <c r="E12636" s="94"/>
      <c r="G12636" s="94"/>
      <c r="I12636" s="94"/>
      <c r="K12636" s="94"/>
      <c r="M12636" s="94"/>
    </row>
    <row r="12637" s="93" customFormat="1" spans="3:13">
      <c r="C12637" s="94"/>
      <c r="E12637" s="94"/>
      <c r="G12637" s="94"/>
      <c r="I12637" s="94"/>
      <c r="K12637" s="94"/>
      <c r="M12637" s="94"/>
    </row>
    <row r="12638" s="93" customFormat="1" spans="3:13">
      <c r="C12638" s="94"/>
      <c r="E12638" s="94"/>
      <c r="G12638" s="94"/>
      <c r="I12638" s="94"/>
      <c r="K12638" s="94"/>
      <c r="M12638" s="94"/>
    </row>
    <row r="12639" s="93" customFormat="1" spans="3:13">
      <c r="C12639" s="94"/>
      <c r="E12639" s="94"/>
      <c r="G12639" s="94"/>
      <c r="I12639" s="94"/>
      <c r="K12639" s="94"/>
      <c r="M12639" s="94"/>
    </row>
    <row r="12640" s="93" customFormat="1" spans="3:13">
      <c r="C12640" s="94"/>
      <c r="E12640" s="94"/>
      <c r="G12640" s="94"/>
      <c r="I12640" s="94"/>
      <c r="K12640" s="94"/>
      <c r="M12640" s="94"/>
    </row>
    <row r="12641" s="93" customFormat="1" spans="3:13">
      <c r="C12641" s="94"/>
      <c r="E12641" s="94"/>
      <c r="G12641" s="94"/>
      <c r="I12641" s="94"/>
      <c r="K12641" s="94"/>
      <c r="M12641" s="94"/>
    </row>
    <row r="12642" s="93" customFormat="1" spans="3:13">
      <c r="C12642" s="94"/>
      <c r="E12642" s="94"/>
      <c r="G12642" s="94"/>
      <c r="I12642" s="94"/>
      <c r="K12642" s="94"/>
      <c r="M12642" s="94"/>
    </row>
    <row r="12643" s="93" customFormat="1" spans="3:13">
      <c r="C12643" s="94"/>
      <c r="E12643" s="94"/>
      <c r="G12643" s="94"/>
      <c r="I12643" s="94"/>
      <c r="K12643" s="94"/>
      <c r="M12643" s="94"/>
    </row>
    <row r="12644" s="93" customFormat="1" spans="3:13">
      <c r="C12644" s="94"/>
      <c r="E12644" s="94"/>
      <c r="G12644" s="94"/>
      <c r="I12644" s="94"/>
      <c r="K12644" s="94"/>
      <c r="M12644" s="94"/>
    </row>
    <row r="12645" s="93" customFormat="1" spans="3:13">
      <c r="C12645" s="94"/>
      <c r="E12645" s="94"/>
      <c r="G12645" s="94"/>
      <c r="I12645" s="94"/>
      <c r="K12645" s="94"/>
      <c r="M12645" s="94"/>
    </row>
    <row r="12646" s="93" customFormat="1" spans="3:13">
      <c r="C12646" s="94"/>
      <c r="E12646" s="94"/>
      <c r="G12646" s="94"/>
      <c r="I12646" s="94"/>
      <c r="K12646" s="94"/>
      <c r="M12646" s="94"/>
    </row>
    <row r="12647" s="93" customFormat="1" spans="3:13">
      <c r="C12647" s="94"/>
      <c r="E12647" s="94"/>
      <c r="G12647" s="94"/>
      <c r="I12647" s="94"/>
      <c r="K12647" s="94"/>
      <c r="M12647" s="94"/>
    </row>
    <row r="12648" s="93" customFormat="1" spans="3:13">
      <c r="C12648" s="94"/>
      <c r="E12648" s="94"/>
      <c r="G12648" s="94"/>
      <c r="I12648" s="94"/>
      <c r="K12648" s="94"/>
      <c r="M12648" s="94"/>
    </row>
    <row r="12649" s="93" customFormat="1" spans="3:13">
      <c r="C12649" s="94"/>
      <c r="E12649" s="94"/>
      <c r="G12649" s="94"/>
      <c r="I12649" s="94"/>
      <c r="K12649" s="94"/>
      <c r="M12649" s="94"/>
    </row>
    <row r="12650" s="93" customFormat="1" spans="3:13">
      <c r="C12650" s="94"/>
      <c r="E12650" s="94"/>
      <c r="G12650" s="94"/>
      <c r="I12650" s="94"/>
      <c r="K12650" s="94"/>
      <c r="M12650" s="94"/>
    </row>
    <row r="12651" s="93" customFormat="1" spans="3:13">
      <c r="C12651" s="94"/>
      <c r="E12651" s="94"/>
      <c r="G12651" s="94"/>
      <c r="I12651" s="94"/>
      <c r="K12651" s="94"/>
      <c r="M12651" s="94"/>
    </row>
    <row r="12652" s="93" customFormat="1" spans="3:13">
      <c r="C12652" s="94"/>
      <c r="E12652" s="94"/>
      <c r="G12652" s="94"/>
      <c r="I12652" s="94"/>
      <c r="K12652" s="94"/>
      <c r="M12652" s="94"/>
    </row>
    <row r="12653" s="93" customFormat="1" spans="3:13">
      <c r="C12653" s="94"/>
      <c r="E12653" s="94"/>
      <c r="G12653" s="94"/>
      <c r="I12653" s="94"/>
      <c r="K12653" s="94"/>
      <c r="M12653" s="94"/>
    </row>
    <row r="12654" s="93" customFormat="1" spans="3:13">
      <c r="C12654" s="94"/>
      <c r="E12654" s="94"/>
      <c r="G12654" s="94"/>
      <c r="I12654" s="94"/>
      <c r="K12654" s="94"/>
      <c r="M12654" s="94"/>
    </row>
    <row r="12655" s="93" customFormat="1" spans="3:13">
      <c r="C12655" s="94"/>
      <c r="E12655" s="94"/>
      <c r="G12655" s="94"/>
      <c r="I12655" s="94"/>
      <c r="K12655" s="94"/>
      <c r="M12655" s="94"/>
    </row>
    <row r="12656" s="93" customFormat="1" spans="3:13">
      <c r="C12656" s="94"/>
      <c r="E12656" s="94"/>
      <c r="G12656" s="94"/>
      <c r="I12656" s="94"/>
      <c r="K12656" s="94"/>
      <c r="M12656" s="94"/>
    </row>
    <row r="12657" s="93" customFormat="1" spans="3:13">
      <c r="C12657" s="94"/>
      <c r="E12657" s="94"/>
      <c r="G12657" s="94"/>
      <c r="I12657" s="94"/>
      <c r="K12657" s="94"/>
      <c r="M12657" s="94"/>
    </row>
    <row r="12658" s="93" customFormat="1" spans="3:13">
      <c r="C12658" s="94"/>
      <c r="E12658" s="94"/>
      <c r="G12658" s="94"/>
      <c r="I12658" s="94"/>
      <c r="K12658" s="94"/>
      <c r="M12658" s="94"/>
    </row>
    <row r="12659" s="93" customFormat="1" spans="3:13">
      <c r="C12659" s="94"/>
      <c r="E12659" s="94"/>
      <c r="G12659" s="94"/>
      <c r="I12659" s="94"/>
      <c r="K12659" s="94"/>
      <c r="M12659" s="94"/>
    </row>
    <row r="12660" s="93" customFormat="1" spans="3:13">
      <c r="C12660" s="94"/>
      <c r="E12660" s="94"/>
      <c r="G12660" s="94"/>
      <c r="I12660" s="94"/>
      <c r="K12660" s="94"/>
      <c r="M12660" s="94"/>
    </row>
    <row r="12661" s="93" customFormat="1" spans="3:13">
      <c r="C12661" s="94"/>
      <c r="E12661" s="94"/>
      <c r="G12661" s="94"/>
      <c r="I12661" s="94"/>
      <c r="K12661" s="94"/>
      <c r="M12661" s="94"/>
    </row>
    <row r="12662" s="93" customFormat="1" spans="3:13">
      <c r="C12662" s="94"/>
      <c r="E12662" s="94"/>
      <c r="G12662" s="94"/>
      <c r="I12662" s="94"/>
      <c r="K12662" s="94"/>
      <c r="M12662" s="94"/>
    </row>
    <row r="12663" s="93" customFormat="1" spans="3:13">
      <c r="C12663" s="94"/>
      <c r="E12663" s="94"/>
      <c r="G12663" s="94"/>
      <c r="I12663" s="94"/>
      <c r="K12663" s="94"/>
      <c r="M12663" s="94"/>
    </row>
    <row r="12664" s="93" customFormat="1" spans="3:13">
      <c r="C12664" s="94"/>
      <c r="E12664" s="94"/>
      <c r="G12664" s="94"/>
      <c r="I12664" s="94"/>
      <c r="K12664" s="94"/>
      <c r="M12664" s="94"/>
    </row>
    <row r="12665" s="93" customFormat="1" spans="3:13">
      <c r="C12665" s="94"/>
      <c r="E12665" s="94"/>
      <c r="G12665" s="94"/>
      <c r="I12665" s="94"/>
      <c r="K12665" s="94"/>
      <c r="M12665" s="94"/>
    </row>
    <row r="12666" s="93" customFormat="1" spans="3:13">
      <c r="C12666" s="94"/>
      <c r="E12666" s="94"/>
      <c r="G12666" s="94"/>
      <c r="I12666" s="94"/>
      <c r="K12666" s="94"/>
      <c r="M12666" s="94"/>
    </row>
    <row r="12667" s="93" customFormat="1" spans="3:13">
      <c r="C12667" s="94"/>
      <c r="E12667" s="94"/>
      <c r="G12667" s="94"/>
      <c r="I12667" s="94"/>
      <c r="K12667" s="94"/>
      <c r="M12667" s="94"/>
    </row>
    <row r="12668" s="93" customFormat="1" spans="3:13">
      <c r="C12668" s="94"/>
      <c r="E12668" s="94"/>
      <c r="G12668" s="94"/>
      <c r="I12668" s="94"/>
      <c r="K12668" s="94"/>
      <c r="M12668" s="94"/>
    </row>
    <row r="12669" s="93" customFormat="1" spans="3:13">
      <c r="C12669" s="94"/>
      <c r="E12669" s="94"/>
      <c r="G12669" s="94"/>
      <c r="I12669" s="94"/>
      <c r="K12669" s="94"/>
      <c r="M12669" s="94"/>
    </row>
    <row r="12670" s="93" customFormat="1" spans="3:13">
      <c r="C12670" s="94"/>
      <c r="E12670" s="94"/>
      <c r="G12670" s="94"/>
      <c r="I12670" s="94"/>
      <c r="K12670" s="94"/>
      <c r="M12670" s="94"/>
    </row>
    <row r="12671" s="93" customFormat="1" spans="3:13">
      <c r="C12671" s="94"/>
      <c r="E12671" s="94"/>
      <c r="G12671" s="94"/>
      <c r="I12671" s="94"/>
      <c r="K12671" s="94"/>
      <c r="M12671" s="94"/>
    </row>
    <row r="12672" s="93" customFormat="1" spans="3:13">
      <c r="C12672" s="94"/>
      <c r="E12672" s="94"/>
      <c r="G12672" s="94"/>
      <c r="I12672" s="94"/>
      <c r="K12672" s="94"/>
      <c r="M12672" s="94"/>
    </row>
    <row r="12673" s="93" customFormat="1" spans="3:13">
      <c r="C12673" s="94"/>
      <c r="E12673" s="94"/>
      <c r="G12673" s="94"/>
      <c r="I12673" s="94"/>
      <c r="K12673" s="94"/>
      <c r="M12673" s="94"/>
    </row>
    <row r="12674" s="93" customFormat="1" spans="3:13">
      <c r="C12674" s="94"/>
      <c r="E12674" s="94"/>
      <c r="G12674" s="94"/>
      <c r="I12674" s="94"/>
      <c r="K12674" s="94"/>
      <c r="M12674" s="94"/>
    </row>
    <row r="12675" s="93" customFormat="1" spans="3:13">
      <c r="C12675" s="94"/>
      <c r="E12675" s="94"/>
      <c r="G12675" s="94"/>
      <c r="I12675" s="94"/>
      <c r="K12675" s="94"/>
      <c r="M12675" s="94"/>
    </row>
    <row r="12676" s="93" customFormat="1" spans="3:13">
      <c r="C12676" s="94"/>
      <c r="E12676" s="94"/>
      <c r="G12676" s="94"/>
      <c r="I12676" s="94"/>
      <c r="K12676" s="94"/>
      <c r="M12676" s="94"/>
    </row>
    <row r="12677" s="93" customFormat="1" spans="3:13">
      <c r="C12677" s="94"/>
      <c r="E12677" s="94"/>
      <c r="G12677" s="94"/>
      <c r="I12677" s="94"/>
      <c r="K12677" s="94"/>
      <c r="M12677" s="94"/>
    </row>
    <row r="12678" s="93" customFormat="1" spans="3:13">
      <c r="C12678" s="94"/>
      <c r="E12678" s="94"/>
      <c r="G12678" s="94"/>
      <c r="I12678" s="94"/>
      <c r="K12678" s="94"/>
      <c r="M12678" s="94"/>
    </row>
    <row r="12679" s="93" customFormat="1" spans="3:13">
      <c r="C12679" s="94"/>
      <c r="E12679" s="94"/>
      <c r="G12679" s="94"/>
      <c r="I12679" s="94"/>
      <c r="K12679" s="94"/>
      <c r="M12679" s="94"/>
    </row>
    <row r="12680" s="93" customFormat="1" spans="3:13">
      <c r="C12680" s="94"/>
      <c r="E12680" s="94"/>
      <c r="G12680" s="94"/>
      <c r="I12680" s="94"/>
      <c r="K12680" s="94"/>
      <c r="M12680" s="94"/>
    </row>
    <row r="12681" s="93" customFormat="1" spans="3:13">
      <c r="C12681" s="94"/>
      <c r="E12681" s="94"/>
      <c r="G12681" s="94"/>
      <c r="I12681" s="94"/>
      <c r="K12681" s="94"/>
      <c r="M12681" s="94"/>
    </row>
    <row r="12682" s="93" customFormat="1" spans="3:13">
      <c r="C12682" s="94"/>
      <c r="E12682" s="94"/>
      <c r="G12682" s="94"/>
      <c r="I12682" s="94"/>
      <c r="K12682" s="94"/>
      <c r="M12682" s="94"/>
    </row>
    <row r="12683" s="93" customFormat="1" spans="3:13">
      <c r="C12683" s="94"/>
      <c r="E12683" s="94"/>
      <c r="G12683" s="94"/>
      <c r="I12683" s="94"/>
      <c r="K12683" s="94"/>
      <c r="M12683" s="94"/>
    </row>
    <row r="12684" s="93" customFormat="1" spans="3:13">
      <c r="C12684" s="94"/>
      <c r="E12684" s="94"/>
      <c r="G12684" s="94"/>
      <c r="I12684" s="94"/>
      <c r="K12684" s="94"/>
      <c r="M12684" s="94"/>
    </row>
    <row r="12685" s="93" customFormat="1" spans="3:13">
      <c r="C12685" s="94"/>
      <c r="E12685" s="94"/>
      <c r="G12685" s="94"/>
      <c r="I12685" s="94"/>
      <c r="K12685" s="94"/>
      <c r="M12685" s="94"/>
    </row>
    <row r="12686" s="93" customFormat="1" spans="3:13">
      <c r="C12686" s="94"/>
      <c r="E12686" s="94"/>
      <c r="G12686" s="94"/>
      <c r="I12686" s="94"/>
      <c r="K12686" s="94"/>
      <c r="M12686" s="94"/>
    </row>
    <row r="12687" s="93" customFormat="1" spans="3:13">
      <c r="C12687" s="94"/>
      <c r="E12687" s="94"/>
      <c r="G12687" s="94"/>
      <c r="I12687" s="94"/>
      <c r="K12687" s="94"/>
      <c r="M12687" s="94"/>
    </row>
    <row r="12688" s="93" customFormat="1" spans="3:13">
      <c r="C12688" s="94"/>
      <c r="E12688" s="94"/>
      <c r="G12688" s="94"/>
      <c r="I12688" s="94"/>
      <c r="K12688" s="94"/>
      <c r="M12688" s="94"/>
    </row>
    <row r="12689" s="93" customFormat="1" spans="3:13">
      <c r="C12689" s="94"/>
      <c r="E12689" s="94"/>
      <c r="G12689" s="94"/>
      <c r="I12689" s="94"/>
      <c r="K12689" s="94"/>
      <c r="M12689" s="94"/>
    </row>
    <row r="12690" s="93" customFormat="1" spans="3:13">
      <c r="C12690" s="94"/>
      <c r="E12690" s="94"/>
      <c r="G12690" s="94"/>
      <c r="I12690" s="94"/>
      <c r="K12690" s="94"/>
      <c r="M12690" s="94"/>
    </row>
    <row r="12691" s="93" customFormat="1" spans="3:13">
      <c r="C12691" s="94"/>
      <c r="E12691" s="94"/>
      <c r="G12691" s="94"/>
      <c r="I12691" s="94"/>
      <c r="K12691" s="94"/>
      <c r="M12691" s="94"/>
    </row>
    <row r="12692" s="93" customFormat="1" spans="3:13">
      <c r="C12692" s="94"/>
      <c r="E12692" s="94"/>
      <c r="G12692" s="94"/>
      <c r="I12692" s="94"/>
      <c r="K12692" s="94"/>
      <c r="M12692" s="94"/>
    </row>
    <row r="12693" s="93" customFormat="1" spans="3:13">
      <c r="C12693" s="94"/>
      <c r="E12693" s="94"/>
      <c r="G12693" s="94"/>
      <c r="I12693" s="94"/>
      <c r="K12693" s="94"/>
      <c r="M12693" s="94"/>
    </row>
    <row r="12694" s="93" customFormat="1" spans="3:13">
      <c r="C12694" s="94"/>
      <c r="E12694" s="94"/>
      <c r="G12694" s="94"/>
      <c r="I12694" s="94"/>
      <c r="K12694" s="94"/>
      <c r="M12694" s="94"/>
    </row>
    <row r="12695" s="93" customFormat="1" spans="3:13">
      <c r="C12695" s="94"/>
      <c r="E12695" s="94"/>
      <c r="G12695" s="94"/>
      <c r="I12695" s="94"/>
      <c r="K12695" s="94"/>
      <c r="M12695" s="94"/>
    </row>
    <row r="12696" s="93" customFormat="1" spans="3:13">
      <c r="C12696" s="94"/>
      <c r="E12696" s="94"/>
      <c r="G12696" s="94"/>
      <c r="I12696" s="94"/>
      <c r="K12696" s="94"/>
      <c r="M12696" s="94"/>
    </row>
    <row r="12697" s="93" customFormat="1" spans="3:13">
      <c r="C12697" s="94"/>
      <c r="E12697" s="94"/>
      <c r="G12697" s="94"/>
      <c r="I12697" s="94"/>
      <c r="K12697" s="94"/>
      <c r="M12697" s="94"/>
    </row>
    <row r="12698" s="93" customFormat="1" spans="3:13">
      <c r="C12698" s="94"/>
      <c r="E12698" s="94"/>
      <c r="G12698" s="94"/>
      <c r="I12698" s="94"/>
      <c r="K12698" s="94"/>
      <c r="M12698" s="94"/>
    </row>
    <row r="12699" s="93" customFormat="1" spans="3:13">
      <c r="C12699" s="94"/>
      <c r="E12699" s="94"/>
      <c r="G12699" s="94"/>
      <c r="I12699" s="94"/>
      <c r="K12699" s="94"/>
      <c r="M12699" s="94"/>
    </row>
    <row r="12700" s="93" customFormat="1" spans="3:13">
      <c r="C12700" s="94"/>
      <c r="E12700" s="94"/>
      <c r="G12700" s="94"/>
      <c r="I12700" s="94"/>
      <c r="K12700" s="94"/>
      <c r="M12700" s="94"/>
    </row>
    <row r="12701" s="93" customFormat="1" spans="3:13">
      <c r="C12701" s="94"/>
      <c r="E12701" s="94"/>
      <c r="G12701" s="94"/>
      <c r="I12701" s="94"/>
      <c r="K12701" s="94"/>
      <c r="M12701" s="94"/>
    </row>
    <row r="12702" s="93" customFormat="1" spans="3:13">
      <c r="C12702" s="94"/>
      <c r="E12702" s="94"/>
      <c r="G12702" s="94"/>
      <c r="I12702" s="94"/>
      <c r="K12702" s="94"/>
      <c r="M12702" s="94"/>
    </row>
    <row r="12703" s="93" customFormat="1" spans="3:13">
      <c r="C12703" s="94"/>
      <c r="E12703" s="94"/>
      <c r="G12703" s="94"/>
      <c r="I12703" s="94"/>
      <c r="K12703" s="94"/>
      <c r="M12703" s="94"/>
    </row>
    <row r="12704" s="93" customFormat="1" spans="3:13">
      <c r="C12704" s="94"/>
      <c r="E12704" s="94"/>
      <c r="G12704" s="94"/>
      <c r="I12704" s="94"/>
      <c r="K12704" s="94"/>
      <c r="M12704" s="94"/>
    </row>
    <row r="12705" s="93" customFormat="1" spans="3:13">
      <c r="C12705" s="94"/>
      <c r="E12705" s="94"/>
      <c r="G12705" s="94"/>
      <c r="I12705" s="94"/>
      <c r="K12705" s="94"/>
      <c r="M12705" s="94"/>
    </row>
    <row r="12706" s="93" customFormat="1" spans="3:13">
      <c r="C12706" s="94"/>
      <c r="E12706" s="94"/>
      <c r="G12706" s="94"/>
      <c r="I12706" s="94"/>
      <c r="K12706" s="94"/>
      <c r="M12706" s="94"/>
    </row>
    <row r="12707" s="93" customFormat="1" spans="3:13">
      <c r="C12707" s="94"/>
      <c r="E12707" s="94"/>
      <c r="G12707" s="94"/>
      <c r="I12707" s="94"/>
      <c r="K12707" s="94"/>
      <c r="M12707" s="94"/>
    </row>
    <row r="12708" s="93" customFormat="1" spans="3:13">
      <c r="C12708" s="94"/>
      <c r="E12708" s="94"/>
      <c r="G12708" s="94"/>
      <c r="I12708" s="94"/>
      <c r="K12708" s="94"/>
      <c r="M12708" s="94"/>
    </row>
    <row r="12709" s="93" customFormat="1" spans="3:13">
      <c r="C12709" s="94"/>
      <c r="E12709" s="94"/>
      <c r="G12709" s="94"/>
      <c r="I12709" s="94"/>
      <c r="K12709" s="94"/>
      <c r="M12709" s="94"/>
    </row>
    <row r="12710" s="93" customFormat="1" spans="3:13">
      <c r="C12710" s="94"/>
      <c r="E12710" s="94"/>
      <c r="G12710" s="94"/>
      <c r="I12710" s="94"/>
      <c r="K12710" s="94"/>
      <c r="M12710" s="94"/>
    </row>
    <row r="12711" s="93" customFormat="1" spans="3:13">
      <c r="C12711" s="94"/>
      <c r="E12711" s="94"/>
      <c r="G12711" s="94"/>
      <c r="I12711" s="94"/>
      <c r="K12711" s="94"/>
      <c r="M12711" s="94"/>
    </row>
    <row r="12712" s="93" customFormat="1" spans="3:13">
      <c r="C12712" s="94"/>
      <c r="E12712" s="94"/>
      <c r="G12712" s="94"/>
      <c r="I12712" s="94"/>
      <c r="K12712" s="94"/>
      <c r="M12712" s="94"/>
    </row>
    <row r="12713" s="93" customFormat="1" spans="3:13">
      <c r="C12713" s="94"/>
      <c r="E12713" s="94"/>
      <c r="G12713" s="94"/>
      <c r="I12713" s="94"/>
      <c r="K12713" s="94"/>
      <c r="M12713" s="94"/>
    </row>
    <row r="12714" s="93" customFormat="1" spans="3:13">
      <c r="C12714" s="94"/>
      <c r="E12714" s="94"/>
      <c r="G12714" s="94"/>
      <c r="I12714" s="94"/>
      <c r="K12714" s="94"/>
      <c r="M12714" s="94"/>
    </row>
    <row r="12715" s="93" customFormat="1" spans="3:13">
      <c r="C12715" s="94"/>
      <c r="E12715" s="94"/>
      <c r="G12715" s="94"/>
      <c r="I12715" s="94"/>
      <c r="K12715" s="94"/>
      <c r="M12715" s="94"/>
    </row>
    <row r="12716" s="93" customFormat="1" spans="3:13">
      <c r="C12716" s="94"/>
      <c r="E12716" s="94"/>
      <c r="G12716" s="94"/>
      <c r="I12716" s="94"/>
      <c r="K12716" s="94"/>
      <c r="M12716" s="94"/>
    </row>
    <row r="12717" s="93" customFormat="1" spans="3:13">
      <c r="C12717" s="94"/>
      <c r="E12717" s="94"/>
      <c r="G12717" s="94"/>
      <c r="I12717" s="94"/>
      <c r="K12717" s="94"/>
      <c r="M12717" s="94"/>
    </row>
    <row r="12718" s="93" customFormat="1" spans="3:13">
      <c r="C12718" s="94"/>
      <c r="E12718" s="94"/>
      <c r="G12718" s="94"/>
      <c r="I12718" s="94"/>
      <c r="K12718" s="94"/>
      <c r="M12718" s="94"/>
    </row>
    <row r="12719" s="93" customFormat="1" spans="3:13">
      <c r="C12719" s="94"/>
      <c r="E12719" s="94"/>
      <c r="G12719" s="94"/>
      <c r="I12719" s="94"/>
      <c r="K12719" s="94"/>
      <c r="M12719" s="94"/>
    </row>
    <row r="12720" s="93" customFormat="1" spans="3:13">
      <c r="C12720" s="94"/>
      <c r="E12720" s="94"/>
      <c r="G12720" s="94"/>
      <c r="I12720" s="94"/>
      <c r="K12720" s="94"/>
      <c r="M12720" s="94"/>
    </row>
    <row r="12721" s="93" customFormat="1" spans="3:13">
      <c r="C12721" s="94"/>
      <c r="E12721" s="94"/>
      <c r="G12721" s="94"/>
      <c r="I12721" s="94"/>
      <c r="K12721" s="94"/>
      <c r="M12721" s="94"/>
    </row>
    <row r="12722" s="93" customFormat="1" spans="3:13">
      <c r="C12722" s="94"/>
      <c r="E12722" s="94"/>
      <c r="G12722" s="94"/>
      <c r="I12722" s="94"/>
      <c r="K12722" s="94"/>
      <c r="M12722" s="94"/>
    </row>
    <row r="12723" s="93" customFormat="1" spans="3:13">
      <c r="C12723" s="94"/>
      <c r="E12723" s="94"/>
      <c r="G12723" s="94"/>
      <c r="I12723" s="94"/>
      <c r="K12723" s="94"/>
      <c r="M12723" s="94"/>
    </row>
    <row r="12724" s="93" customFormat="1" spans="3:13">
      <c r="C12724" s="94"/>
      <c r="E12724" s="94"/>
      <c r="G12724" s="94"/>
      <c r="I12724" s="94"/>
      <c r="K12724" s="94"/>
      <c r="M12724" s="94"/>
    </row>
    <row r="12725" s="93" customFormat="1" spans="3:13">
      <c r="C12725" s="94"/>
      <c r="E12725" s="94"/>
      <c r="G12725" s="94"/>
      <c r="I12725" s="94"/>
      <c r="K12725" s="94"/>
      <c r="M12725" s="94"/>
    </row>
    <row r="12726" s="93" customFormat="1" spans="3:13">
      <c r="C12726" s="94"/>
      <c r="E12726" s="94"/>
      <c r="G12726" s="94"/>
      <c r="I12726" s="94"/>
      <c r="K12726" s="94"/>
      <c r="M12726" s="94"/>
    </row>
    <row r="12727" s="93" customFormat="1" spans="3:13">
      <c r="C12727" s="94"/>
      <c r="E12727" s="94"/>
      <c r="G12727" s="94"/>
      <c r="I12727" s="94"/>
      <c r="K12727" s="94"/>
      <c r="M12727" s="94"/>
    </row>
    <row r="12728" s="93" customFormat="1" spans="3:13">
      <c r="C12728" s="94"/>
      <c r="E12728" s="94"/>
      <c r="G12728" s="94"/>
      <c r="I12728" s="94"/>
      <c r="K12728" s="94"/>
      <c r="M12728" s="94"/>
    </row>
    <row r="12729" s="93" customFormat="1" spans="3:13">
      <c r="C12729" s="94"/>
      <c r="E12729" s="94"/>
      <c r="G12729" s="94"/>
      <c r="I12729" s="94"/>
      <c r="K12729" s="94"/>
      <c r="M12729" s="94"/>
    </row>
    <row r="12730" s="93" customFormat="1" spans="3:13">
      <c r="C12730" s="94"/>
      <c r="E12730" s="94"/>
      <c r="G12730" s="94"/>
      <c r="I12730" s="94"/>
      <c r="K12730" s="94"/>
      <c r="M12730" s="94"/>
    </row>
    <row r="12731" s="93" customFormat="1" spans="3:13">
      <c r="C12731" s="94"/>
      <c r="E12731" s="94"/>
      <c r="G12731" s="94"/>
      <c r="I12731" s="94"/>
      <c r="K12731" s="94"/>
      <c r="M12731" s="94"/>
    </row>
    <row r="12732" s="93" customFormat="1" spans="3:13">
      <c r="C12732" s="94"/>
      <c r="E12732" s="94"/>
      <c r="G12732" s="94"/>
      <c r="I12732" s="94"/>
      <c r="K12732" s="94"/>
      <c r="M12732" s="94"/>
    </row>
    <row r="12733" s="93" customFormat="1" spans="3:13">
      <c r="C12733" s="94"/>
      <c r="E12733" s="94"/>
      <c r="G12733" s="94"/>
      <c r="I12733" s="94"/>
      <c r="K12733" s="94"/>
      <c r="M12733" s="94"/>
    </row>
    <row r="12734" s="93" customFormat="1" spans="3:13">
      <c r="C12734" s="94"/>
      <c r="E12734" s="94"/>
      <c r="G12734" s="94"/>
      <c r="I12734" s="94"/>
      <c r="K12734" s="94"/>
      <c r="M12734" s="94"/>
    </row>
    <row r="12735" s="93" customFormat="1" spans="3:13">
      <c r="C12735" s="94"/>
      <c r="E12735" s="94"/>
      <c r="G12735" s="94"/>
      <c r="I12735" s="94"/>
      <c r="K12735" s="94"/>
      <c r="M12735" s="94"/>
    </row>
    <row r="12736" s="93" customFormat="1" spans="3:13">
      <c r="C12736" s="94"/>
      <c r="E12736" s="94"/>
      <c r="G12736" s="94"/>
      <c r="I12736" s="94"/>
      <c r="K12736" s="94"/>
      <c r="M12736" s="94"/>
    </row>
    <row r="12737" s="93" customFormat="1" spans="3:13">
      <c r="C12737" s="94"/>
      <c r="E12737" s="94"/>
      <c r="G12737" s="94"/>
      <c r="I12737" s="94"/>
      <c r="K12737" s="94"/>
      <c r="M12737" s="94"/>
    </row>
    <row r="12738" s="93" customFormat="1" spans="3:13">
      <c r="C12738" s="94"/>
      <c r="E12738" s="94"/>
      <c r="G12738" s="94"/>
      <c r="I12738" s="94"/>
      <c r="K12738" s="94"/>
      <c r="M12738" s="94"/>
    </row>
    <row r="12739" s="93" customFormat="1" spans="3:13">
      <c r="C12739" s="94"/>
      <c r="E12739" s="94"/>
      <c r="G12739" s="94"/>
      <c r="I12739" s="94"/>
      <c r="K12739" s="94"/>
      <c r="M12739" s="94"/>
    </row>
    <row r="12740" s="93" customFormat="1" spans="3:13">
      <c r="C12740" s="94"/>
      <c r="E12740" s="94"/>
      <c r="G12740" s="94"/>
      <c r="I12740" s="94"/>
      <c r="K12740" s="94"/>
      <c r="M12740" s="94"/>
    </row>
    <row r="12741" s="93" customFormat="1" spans="3:13">
      <c r="C12741" s="94"/>
      <c r="E12741" s="94"/>
      <c r="G12741" s="94"/>
      <c r="I12741" s="94"/>
      <c r="K12741" s="94"/>
      <c r="M12741" s="94"/>
    </row>
    <row r="12742" s="93" customFormat="1" spans="3:13">
      <c r="C12742" s="94"/>
      <c r="E12742" s="94"/>
      <c r="G12742" s="94"/>
      <c r="I12742" s="94"/>
      <c r="K12742" s="94"/>
      <c r="M12742" s="94"/>
    </row>
    <row r="12743" s="93" customFormat="1" spans="3:13">
      <c r="C12743" s="94"/>
      <c r="E12743" s="94"/>
      <c r="G12743" s="94"/>
      <c r="I12743" s="94"/>
      <c r="K12743" s="94"/>
      <c r="M12743" s="94"/>
    </row>
    <row r="12744" s="93" customFormat="1" spans="3:13">
      <c r="C12744" s="94"/>
      <c r="E12744" s="94"/>
      <c r="G12744" s="94"/>
      <c r="I12744" s="94"/>
      <c r="K12744" s="94"/>
      <c r="M12744" s="94"/>
    </row>
    <row r="12745" s="93" customFormat="1" spans="3:13">
      <c r="C12745" s="94"/>
      <c r="E12745" s="94"/>
      <c r="G12745" s="94"/>
      <c r="I12745" s="94"/>
      <c r="K12745" s="94"/>
      <c r="M12745" s="94"/>
    </row>
    <row r="12746" s="93" customFormat="1" spans="3:13">
      <c r="C12746" s="94"/>
      <c r="E12746" s="94"/>
      <c r="G12746" s="94"/>
      <c r="I12746" s="94"/>
      <c r="K12746" s="94"/>
      <c r="M12746" s="94"/>
    </row>
    <row r="12747" s="93" customFormat="1" spans="3:13">
      <c r="C12747" s="94"/>
      <c r="E12747" s="94"/>
      <c r="G12747" s="94"/>
      <c r="I12747" s="94"/>
      <c r="K12747" s="94"/>
      <c r="M12747" s="94"/>
    </row>
    <row r="12748" s="93" customFormat="1" spans="3:13">
      <c r="C12748" s="94"/>
      <c r="E12748" s="94"/>
      <c r="G12748" s="94"/>
      <c r="I12748" s="94"/>
      <c r="K12748" s="94"/>
      <c r="M12748" s="94"/>
    </row>
    <row r="12749" s="93" customFormat="1" spans="3:13">
      <c r="C12749" s="94"/>
      <c r="E12749" s="94"/>
      <c r="G12749" s="94"/>
      <c r="I12749" s="94"/>
      <c r="K12749" s="94"/>
      <c r="M12749" s="94"/>
    </row>
    <row r="12750" s="93" customFormat="1" spans="3:13">
      <c r="C12750" s="94"/>
      <c r="E12750" s="94"/>
      <c r="G12750" s="94"/>
      <c r="I12750" s="94"/>
      <c r="K12750" s="94"/>
      <c r="M12750" s="94"/>
    </row>
    <row r="12751" s="93" customFormat="1" spans="3:13">
      <c r="C12751" s="94"/>
      <c r="E12751" s="94"/>
      <c r="G12751" s="94"/>
      <c r="I12751" s="94"/>
      <c r="K12751" s="94"/>
      <c r="M12751" s="94"/>
    </row>
    <row r="12752" s="93" customFormat="1" spans="3:13">
      <c r="C12752" s="94"/>
      <c r="E12752" s="94"/>
      <c r="G12752" s="94"/>
      <c r="I12752" s="94"/>
      <c r="K12752" s="94"/>
      <c r="M12752" s="94"/>
    </row>
    <row r="12753" s="93" customFormat="1" spans="3:13">
      <c r="C12753" s="94"/>
      <c r="E12753" s="94"/>
      <c r="G12753" s="94"/>
      <c r="I12753" s="94"/>
      <c r="K12753" s="94"/>
      <c r="M12753" s="94"/>
    </row>
    <row r="12754" s="93" customFormat="1" spans="3:13">
      <c r="C12754" s="94"/>
      <c r="E12754" s="94"/>
      <c r="G12754" s="94"/>
      <c r="I12754" s="94"/>
      <c r="K12754" s="94"/>
      <c r="M12754" s="94"/>
    </row>
    <row r="12755" s="93" customFormat="1" spans="3:13">
      <c r="C12755" s="94"/>
      <c r="E12755" s="94"/>
      <c r="G12755" s="94"/>
      <c r="I12755" s="94"/>
      <c r="K12755" s="94"/>
      <c r="M12755" s="94"/>
    </row>
    <row r="12756" s="93" customFormat="1" spans="3:13">
      <c r="C12756" s="94"/>
      <c r="E12756" s="94"/>
      <c r="G12756" s="94"/>
      <c r="I12756" s="94"/>
      <c r="K12756" s="94"/>
      <c r="M12756" s="94"/>
    </row>
    <row r="12757" s="93" customFormat="1" spans="3:13">
      <c r="C12757" s="94"/>
      <c r="E12757" s="94"/>
      <c r="G12757" s="94"/>
      <c r="I12757" s="94"/>
      <c r="K12757" s="94"/>
      <c r="M12757" s="94"/>
    </row>
    <row r="12758" s="93" customFormat="1" spans="3:13">
      <c r="C12758" s="94"/>
      <c r="E12758" s="94"/>
      <c r="G12758" s="94"/>
      <c r="I12758" s="94"/>
      <c r="K12758" s="94"/>
      <c r="M12758" s="94"/>
    </row>
    <row r="12759" s="93" customFormat="1" spans="3:13">
      <c r="C12759" s="94"/>
      <c r="E12759" s="94"/>
      <c r="G12759" s="94"/>
      <c r="I12759" s="94"/>
      <c r="K12759" s="94"/>
      <c r="M12759" s="94"/>
    </row>
    <row r="12760" s="93" customFormat="1" spans="3:13">
      <c r="C12760" s="94"/>
      <c r="E12760" s="94"/>
      <c r="G12760" s="94"/>
      <c r="I12760" s="94"/>
      <c r="K12760" s="94"/>
      <c r="M12760" s="94"/>
    </row>
    <row r="12761" s="93" customFormat="1" spans="3:13">
      <c r="C12761" s="94"/>
      <c r="E12761" s="94"/>
      <c r="G12761" s="94"/>
      <c r="I12761" s="94"/>
      <c r="K12761" s="94"/>
      <c r="M12761" s="94"/>
    </row>
    <row r="12762" s="93" customFormat="1" spans="3:13">
      <c r="C12762" s="94"/>
      <c r="E12762" s="94"/>
      <c r="G12762" s="94"/>
      <c r="I12762" s="94"/>
      <c r="K12762" s="94"/>
      <c r="M12762" s="94"/>
    </row>
    <row r="12763" s="93" customFormat="1" spans="3:13">
      <c r="C12763" s="94"/>
      <c r="E12763" s="94"/>
      <c r="G12763" s="94"/>
      <c r="I12763" s="94"/>
      <c r="K12763" s="94"/>
      <c r="M12763" s="94"/>
    </row>
    <row r="12764" s="93" customFormat="1" spans="3:13">
      <c r="C12764" s="94"/>
      <c r="E12764" s="94"/>
      <c r="G12764" s="94"/>
      <c r="I12764" s="94"/>
      <c r="K12764" s="94"/>
      <c r="M12764" s="94"/>
    </row>
    <row r="12765" s="93" customFormat="1" spans="3:13">
      <c r="C12765" s="94"/>
      <c r="E12765" s="94"/>
      <c r="G12765" s="94"/>
      <c r="I12765" s="94"/>
      <c r="K12765" s="94"/>
      <c r="M12765" s="94"/>
    </row>
    <row r="12766" s="93" customFormat="1" spans="3:13">
      <c r="C12766" s="94"/>
      <c r="E12766" s="94"/>
      <c r="G12766" s="94"/>
      <c r="I12766" s="94"/>
      <c r="K12766" s="94"/>
      <c r="M12766" s="94"/>
    </row>
    <row r="12767" s="93" customFormat="1" spans="3:13">
      <c r="C12767" s="94"/>
      <c r="E12767" s="94"/>
      <c r="G12767" s="94"/>
      <c r="I12767" s="94"/>
      <c r="K12767" s="94"/>
      <c r="M12767" s="94"/>
    </row>
    <row r="12768" s="93" customFormat="1" spans="3:13">
      <c r="C12768" s="94"/>
      <c r="E12768" s="94"/>
      <c r="G12768" s="94"/>
      <c r="I12768" s="94"/>
      <c r="K12768" s="94"/>
      <c r="M12768" s="94"/>
    </row>
    <row r="12769" s="93" customFormat="1" spans="3:13">
      <c r="C12769" s="94"/>
      <c r="E12769" s="94"/>
      <c r="G12769" s="94"/>
      <c r="I12769" s="94"/>
      <c r="K12769" s="94"/>
      <c r="M12769" s="94"/>
    </row>
    <row r="12770" s="93" customFormat="1" spans="3:13">
      <c r="C12770" s="94"/>
      <c r="E12770" s="94"/>
      <c r="G12770" s="94"/>
      <c r="I12770" s="94"/>
      <c r="K12770" s="94"/>
      <c r="M12770" s="94"/>
    </row>
    <row r="12771" s="93" customFormat="1" spans="3:13">
      <c r="C12771" s="94"/>
      <c r="E12771" s="94"/>
      <c r="G12771" s="94"/>
      <c r="I12771" s="94"/>
      <c r="K12771" s="94"/>
      <c r="M12771" s="94"/>
    </row>
    <row r="12772" s="93" customFormat="1" spans="3:13">
      <c r="C12772" s="94"/>
      <c r="E12772" s="94"/>
      <c r="G12772" s="94"/>
      <c r="I12772" s="94"/>
      <c r="K12772" s="94"/>
      <c r="M12772" s="94"/>
    </row>
    <row r="12773" s="93" customFormat="1" spans="3:13">
      <c r="C12773" s="94"/>
      <c r="E12773" s="94"/>
      <c r="G12773" s="94"/>
      <c r="I12773" s="94"/>
      <c r="K12773" s="94"/>
      <c r="M12773" s="94"/>
    </row>
    <row r="12774" s="93" customFormat="1" spans="3:13">
      <c r="C12774" s="94"/>
      <c r="E12774" s="94"/>
      <c r="G12774" s="94"/>
      <c r="I12774" s="94"/>
      <c r="K12774" s="94"/>
      <c r="M12774" s="94"/>
    </row>
    <row r="12775" s="93" customFormat="1" spans="3:13">
      <c r="C12775" s="94"/>
      <c r="E12775" s="94"/>
      <c r="G12775" s="94"/>
      <c r="I12775" s="94"/>
      <c r="K12775" s="94"/>
      <c r="M12775" s="94"/>
    </row>
    <row r="12776" s="93" customFormat="1" spans="3:13">
      <c r="C12776" s="94"/>
      <c r="E12776" s="94"/>
      <c r="G12776" s="94"/>
      <c r="I12776" s="94"/>
      <c r="K12776" s="94"/>
      <c r="M12776" s="94"/>
    </row>
    <row r="12777" s="93" customFormat="1" spans="3:13">
      <c r="C12777" s="94"/>
      <c r="E12777" s="94"/>
      <c r="G12777" s="94"/>
      <c r="I12777" s="94"/>
      <c r="K12777" s="94"/>
      <c r="M12777" s="94"/>
    </row>
    <row r="12778" s="93" customFormat="1" spans="3:13">
      <c r="C12778" s="94"/>
      <c r="E12778" s="94"/>
      <c r="G12778" s="94"/>
      <c r="I12778" s="94"/>
      <c r="K12778" s="94"/>
      <c r="M12778" s="94"/>
    </row>
    <row r="12779" s="93" customFormat="1" spans="3:13">
      <c r="C12779" s="94"/>
      <c r="E12779" s="94"/>
      <c r="G12779" s="94"/>
      <c r="I12779" s="94"/>
      <c r="K12779" s="94"/>
      <c r="M12779" s="94"/>
    </row>
    <row r="12780" s="93" customFormat="1" spans="3:13">
      <c r="C12780" s="94"/>
      <c r="E12780" s="94"/>
      <c r="G12780" s="94"/>
      <c r="I12780" s="94"/>
      <c r="K12780" s="94"/>
      <c r="M12780" s="94"/>
    </row>
    <row r="12781" s="93" customFormat="1" spans="3:13">
      <c r="C12781" s="94"/>
      <c r="E12781" s="94"/>
      <c r="G12781" s="94"/>
      <c r="I12781" s="94"/>
      <c r="K12781" s="94"/>
      <c r="M12781" s="94"/>
    </row>
    <row r="12782" s="93" customFormat="1" spans="3:13">
      <c r="C12782" s="94"/>
      <c r="E12782" s="94"/>
      <c r="G12782" s="94"/>
      <c r="I12782" s="94"/>
      <c r="K12782" s="94"/>
      <c r="M12782" s="94"/>
    </row>
    <row r="12783" s="93" customFormat="1" spans="3:13">
      <c r="C12783" s="94"/>
      <c r="E12783" s="94"/>
      <c r="G12783" s="94"/>
      <c r="I12783" s="94"/>
      <c r="K12783" s="94"/>
      <c r="M12783" s="94"/>
    </row>
    <row r="12784" s="93" customFormat="1" spans="3:13">
      <c r="C12784" s="94"/>
      <c r="E12784" s="94"/>
      <c r="G12784" s="94"/>
      <c r="I12784" s="94"/>
      <c r="K12784" s="94"/>
      <c r="M12784" s="94"/>
    </row>
    <row r="12785" s="93" customFormat="1" spans="3:13">
      <c r="C12785" s="94"/>
      <c r="E12785" s="94"/>
      <c r="G12785" s="94"/>
      <c r="I12785" s="94"/>
      <c r="K12785" s="94"/>
      <c r="M12785" s="94"/>
    </row>
    <row r="12786" s="93" customFormat="1" spans="3:13">
      <c r="C12786" s="94"/>
      <c r="E12786" s="94"/>
      <c r="G12786" s="94"/>
      <c r="I12786" s="94"/>
      <c r="K12786" s="94"/>
      <c r="M12786" s="94"/>
    </row>
    <row r="12787" s="93" customFormat="1" spans="3:13">
      <c r="C12787" s="94"/>
      <c r="E12787" s="94"/>
      <c r="G12787" s="94"/>
      <c r="I12787" s="94"/>
      <c r="K12787" s="94"/>
      <c r="M12787" s="94"/>
    </row>
    <row r="12788" s="93" customFormat="1" spans="3:13">
      <c r="C12788" s="94"/>
      <c r="E12788" s="94"/>
      <c r="G12788" s="94"/>
      <c r="I12788" s="94"/>
      <c r="K12788" s="94"/>
      <c r="M12788" s="94"/>
    </row>
    <row r="12789" s="93" customFormat="1" spans="3:13">
      <c r="C12789" s="94"/>
      <c r="E12789" s="94"/>
      <c r="G12789" s="94"/>
      <c r="I12789" s="94"/>
      <c r="K12789" s="94"/>
      <c r="M12789" s="94"/>
    </row>
    <row r="12790" s="93" customFormat="1" spans="3:13">
      <c r="C12790" s="94"/>
      <c r="E12790" s="94"/>
      <c r="G12790" s="94"/>
      <c r="I12790" s="94"/>
      <c r="K12790" s="94"/>
      <c r="M12790" s="94"/>
    </row>
    <row r="12791" s="93" customFormat="1" spans="3:13">
      <c r="C12791" s="94"/>
      <c r="E12791" s="94"/>
      <c r="G12791" s="94"/>
      <c r="I12791" s="94"/>
      <c r="K12791" s="94"/>
      <c r="M12791" s="94"/>
    </row>
    <row r="12792" s="93" customFormat="1" spans="3:13">
      <c r="C12792" s="94"/>
      <c r="E12792" s="94"/>
      <c r="G12792" s="94"/>
      <c r="I12792" s="94"/>
      <c r="K12792" s="94"/>
      <c r="M12792" s="94"/>
    </row>
    <row r="12793" s="93" customFormat="1" spans="3:13">
      <c r="C12793" s="94"/>
      <c r="E12793" s="94"/>
      <c r="G12793" s="94"/>
      <c r="I12793" s="94"/>
      <c r="K12793" s="94"/>
      <c r="M12793" s="94"/>
    </row>
    <row r="12794" s="93" customFormat="1" spans="3:13">
      <c r="C12794" s="94"/>
      <c r="E12794" s="94"/>
      <c r="G12794" s="94"/>
      <c r="I12794" s="94"/>
      <c r="K12794" s="94"/>
      <c r="M12794" s="94"/>
    </row>
    <row r="12795" s="93" customFormat="1" spans="3:13">
      <c r="C12795" s="94"/>
      <c r="E12795" s="94"/>
      <c r="G12795" s="94"/>
      <c r="I12795" s="94"/>
      <c r="K12795" s="94"/>
      <c r="M12795" s="94"/>
    </row>
    <row r="12796" s="93" customFormat="1" spans="3:13">
      <c r="C12796" s="94"/>
      <c r="E12796" s="94"/>
      <c r="G12796" s="94"/>
      <c r="I12796" s="94"/>
      <c r="K12796" s="94"/>
      <c r="M12796" s="94"/>
    </row>
    <row r="12797" s="93" customFormat="1" spans="3:13">
      <c r="C12797" s="94"/>
      <c r="E12797" s="94"/>
      <c r="G12797" s="94"/>
      <c r="I12797" s="94"/>
      <c r="K12797" s="94"/>
      <c r="M12797" s="94"/>
    </row>
    <row r="12798" s="93" customFormat="1" spans="3:13">
      <c r="C12798" s="94"/>
      <c r="E12798" s="94"/>
      <c r="G12798" s="94"/>
      <c r="I12798" s="94"/>
      <c r="K12798" s="94"/>
      <c r="M12798" s="94"/>
    </row>
    <row r="12799" s="93" customFormat="1" spans="3:13">
      <c r="C12799" s="94"/>
      <c r="E12799" s="94"/>
      <c r="G12799" s="94"/>
      <c r="I12799" s="94"/>
      <c r="K12799" s="94"/>
      <c r="M12799" s="94"/>
    </row>
    <row r="12800" s="93" customFormat="1" spans="3:13">
      <c r="C12800" s="94"/>
      <c r="E12800" s="94"/>
      <c r="G12800" s="94"/>
      <c r="I12800" s="94"/>
      <c r="K12800" s="94"/>
      <c r="M12800" s="94"/>
    </row>
    <row r="12801" s="93" customFormat="1" spans="3:13">
      <c r="C12801" s="94"/>
      <c r="E12801" s="94"/>
      <c r="G12801" s="94"/>
      <c r="I12801" s="94"/>
      <c r="K12801" s="94"/>
      <c r="M12801" s="94"/>
    </row>
    <row r="12802" s="93" customFormat="1" spans="3:13">
      <c r="C12802" s="94"/>
      <c r="E12802" s="94"/>
      <c r="G12802" s="94"/>
      <c r="I12802" s="94"/>
      <c r="K12802" s="94"/>
      <c r="M12802" s="94"/>
    </row>
    <row r="12803" s="93" customFormat="1" spans="3:13">
      <c r="C12803" s="94"/>
      <c r="E12803" s="94"/>
      <c r="G12803" s="94"/>
      <c r="I12803" s="94"/>
      <c r="K12803" s="94"/>
      <c r="M12803" s="94"/>
    </row>
    <row r="12804" s="93" customFormat="1" spans="3:13">
      <c r="C12804" s="94"/>
      <c r="E12804" s="94"/>
      <c r="G12804" s="94"/>
      <c r="I12804" s="94"/>
      <c r="K12804" s="94"/>
      <c r="M12804" s="94"/>
    </row>
    <row r="12805" s="93" customFormat="1" spans="3:13">
      <c r="C12805" s="94"/>
      <c r="E12805" s="94"/>
      <c r="G12805" s="94"/>
      <c r="I12805" s="94"/>
      <c r="K12805" s="94"/>
      <c r="M12805" s="94"/>
    </row>
    <row r="12806" s="93" customFormat="1" spans="3:13">
      <c r="C12806" s="94"/>
      <c r="E12806" s="94"/>
      <c r="G12806" s="94"/>
      <c r="I12806" s="94"/>
      <c r="K12806" s="94"/>
      <c r="M12806" s="94"/>
    </row>
    <row r="12807" s="93" customFormat="1" spans="3:13">
      <c r="C12807" s="94"/>
      <c r="E12807" s="94"/>
      <c r="G12807" s="94"/>
      <c r="I12807" s="94"/>
      <c r="K12807" s="94"/>
      <c r="M12807" s="94"/>
    </row>
    <row r="12808" s="93" customFormat="1" spans="3:13">
      <c r="C12808" s="94"/>
      <c r="E12808" s="94"/>
      <c r="G12808" s="94"/>
      <c r="I12808" s="94"/>
      <c r="K12808" s="94"/>
      <c r="M12808" s="94"/>
    </row>
    <row r="12809" s="93" customFormat="1" spans="3:13">
      <c r="C12809" s="94"/>
      <c r="E12809" s="94"/>
      <c r="G12809" s="94"/>
      <c r="I12809" s="94"/>
      <c r="K12809" s="94"/>
      <c r="M12809" s="94"/>
    </row>
    <row r="12810" s="93" customFormat="1" spans="3:13">
      <c r="C12810" s="94"/>
      <c r="E12810" s="94"/>
      <c r="G12810" s="94"/>
      <c r="I12810" s="94"/>
      <c r="K12810" s="94"/>
      <c r="M12810" s="94"/>
    </row>
    <row r="12811" s="93" customFormat="1" spans="3:13">
      <c r="C12811" s="94"/>
      <c r="E12811" s="94"/>
      <c r="G12811" s="94"/>
      <c r="I12811" s="94"/>
      <c r="K12811" s="94"/>
      <c r="M12811" s="94"/>
    </row>
    <row r="12812" s="93" customFormat="1" spans="3:13">
      <c r="C12812" s="94"/>
      <c r="E12812" s="94"/>
      <c r="G12812" s="94"/>
      <c r="I12812" s="94"/>
      <c r="K12812" s="94"/>
      <c r="M12812" s="94"/>
    </row>
    <row r="12813" s="93" customFormat="1" spans="3:13">
      <c r="C12813" s="94"/>
      <c r="E12813" s="94"/>
      <c r="G12813" s="94"/>
      <c r="I12813" s="94"/>
      <c r="K12813" s="94"/>
      <c r="M12813" s="94"/>
    </row>
    <row r="12814" s="93" customFormat="1" spans="3:13">
      <c r="C12814" s="94"/>
      <c r="E12814" s="94"/>
      <c r="G12814" s="94"/>
      <c r="I12814" s="94"/>
      <c r="K12814" s="94"/>
      <c r="M12814" s="94"/>
    </row>
    <row r="12815" s="93" customFormat="1" spans="3:13">
      <c r="C12815" s="94"/>
      <c r="E12815" s="94"/>
      <c r="G12815" s="94"/>
      <c r="I12815" s="94"/>
      <c r="K12815" s="94"/>
      <c r="M12815" s="94"/>
    </row>
    <row r="12816" s="93" customFormat="1" spans="3:13">
      <c r="C12816" s="94"/>
      <c r="E12816" s="94"/>
      <c r="G12816" s="94"/>
      <c r="I12816" s="94"/>
      <c r="K12816" s="94"/>
      <c r="M12816" s="94"/>
    </row>
    <row r="12817" s="93" customFormat="1" spans="3:13">
      <c r="C12817" s="94"/>
      <c r="E12817" s="94"/>
      <c r="G12817" s="94"/>
      <c r="I12817" s="94"/>
      <c r="K12817" s="94"/>
      <c r="M12817" s="94"/>
    </row>
    <row r="12818" s="93" customFormat="1" spans="3:13">
      <c r="C12818" s="94"/>
      <c r="E12818" s="94"/>
      <c r="G12818" s="94"/>
      <c r="I12818" s="94"/>
      <c r="K12818" s="94"/>
      <c r="M12818" s="94"/>
    </row>
    <row r="12819" s="93" customFormat="1" spans="3:13">
      <c r="C12819" s="94"/>
      <c r="E12819" s="94"/>
      <c r="G12819" s="94"/>
      <c r="I12819" s="94"/>
      <c r="K12819" s="94"/>
      <c r="M12819" s="94"/>
    </row>
    <row r="12820" s="93" customFormat="1" spans="3:13">
      <c r="C12820" s="94"/>
      <c r="E12820" s="94"/>
      <c r="G12820" s="94"/>
      <c r="I12820" s="94"/>
      <c r="K12820" s="94"/>
      <c r="M12820" s="94"/>
    </row>
    <row r="12821" s="93" customFormat="1" spans="3:13">
      <c r="C12821" s="94"/>
      <c r="E12821" s="94"/>
      <c r="G12821" s="94"/>
      <c r="I12821" s="94"/>
      <c r="K12821" s="94"/>
      <c r="M12821" s="94"/>
    </row>
    <row r="12822" s="93" customFormat="1" spans="3:13">
      <c r="C12822" s="94"/>
      <c r="E12822" s="94"/>
      <c r="G12822" s="94"/>
      <c r="I12822" s="94"/>
      <c r="K12822" s="94"/>
      <c r="M12822" s="94"/>
    </row>
    <row r="12823" s="93" customFormat="1" spans="3:13">
      <c r="C12823" s="94"/>
      <c r="E12823" s="94"/>
      <c r="G12823" s="94"/>
      <c r="I12823" s="94"/>
      <c r="K12823" s="94"/>
      <c r="M12823" s="94"/>
    </row>
    <row r="12824" s="93" customFormat="1" spans="3:13">
      <c r="C12824" s="94"/>
      <c r="E12824" s="94"/>
      <c r="G12824" s="94"/>
      <c r="I12824" s="94"/>
      <c r="K12824" s="94"/>
      <c r="M12824" s="94"/>
    </row>
    <row r="12825" s="93" customFormat="1" spans="3:13">
      <c r="C12825" s="94"/>
      <c r="E12825" s="94"/>
      <c r="G12825" s="94"/>
      <c r="I12825" s="94"/>
      <c r="K12825" s="94"/>
      <c r="M12825" s="94"/>
    </row>
    <row r="12826" s="93" customFormat="1" spans="3:13">
      <c r="C12826" s="94"/>
      <c r="E12826" s="94"/>
      <c r="G12826" s="94"/>
      <c r="I12826" s="94"/>
      <c r="K12826" s="94"/>
      <c r="M12826" s="94"/>
    </row>
    <row r="12827" s="93" customFormat="1" spans="3:13">
      <c r="C12827" s="94"/>
      <c r="E12827" s="94"/>
      <c r="G12827" s="94"/>
      <c r="I12827" s="94"/>
      <c r="K12827" s="94"/>
      <c r="M12827" s="94"/>
    </row>
    <row r="12828" s="93" customFormat="1" spans="3:13">
      <c r="C12828" s="94"/>
      <c r="E12828" s="94"/>
      <c r="G12828" s="94"/>
      <c r="I12828" s="94"/>
      <c r="K12828" s="94"/>
      <c r="M12828" s="94"/>
    </row>
    <row r="12829" s="93" customFormat="1" spans="3:13">
      <c r="C12829" s="94"/>
      <c r="E12829" s="94"/>
      <c r="G12829" s="94"/>
      <c r="I12829" s="94"/>
      <c r="K12829" s="94"/>
      <c r="M12829" s="94"/>
    </row>
    <row r="12830" s="93" customFormat="1" spans="3:13">
      <c r="C12830" s="94"/>
      <c r="E12830" s="94"/>
      <c r="G12830" s="94"/>
      <c r="I12830" s="94"/>
      <c r="K12830" s="94"/>
      <c r="M12830" s="94"/>
    </row>
    <row r="12831" s="93" customFormat="1" spans="3:13">
      <c r="C12831" s="94"/>
      <c r="E12831" s="94"/>
      <c r="G12831" s="94"/>
      <c r="I12831" s="94"/>
      <c r="K12831" s="94"/>
      <c r="M12831" s="94"/>
    </row>
    <row r="12832" s="93" customFormat="1" spans="3:13">
      <c r="C12832" s="94"/>
      <c r="E12832" s="94"/>
      <c r="G12832" s="94"/>
      <c r="I12832" s="94"/>
      <c r="K12832" s="94"/>
      <c r="M12832" s="94"/>
    </row>
    <row r="12833" s="93" customFormat="1" spans="3:13">
      <c r="C12833" s="94"/>
      <c r="E12833" s="94"/>
      <c r="G12833" s="94"/>
      <c r="I12833" s="94"/>
      <c r="K12833" s="94"/>
      <c r="M12833" s="94"/>
    </row>
    <row r="12834" s="93" customFormat="1" spans="3:13">
      <c r="C12834" s="94"/>
      <c r="E12834" s="94"/>
      <c r="G12834" s="94"/>
      <c r="I12834" s="94"/>
      <c r="K12834" s="94"/>
      <c r="M12834" s="94"/>
    </row>
    <row r="12835" s="93" customFormat="1" spans="3:13">
      <c r="C12835" s="94"/>
      <c r="E12835" s="94"/>
      <c r="G12835" s="94"/>
      <c r="I12835" s="94"/>
      <c r="K12835" s="94"/>
      <c r="M12835" s="94"/>
    </row>
    <row r="12836" s="93" customFormat="1" spans="3:13">
      <c r="C12836" s="94"/>
      <c r="E12836" s="94"/>
      <c r="G12836" s="94"/>
      <c r="I12836" s="94"/>
      <c r="K12836" s="94"/>
      <c r="M12836" s="94"/>
    </row>
    <row r="12837" s="93" customFormat="1" spans="3:13">
      <c r="C12837" s="94"/>
      <c r="E12837" s="94"/>
      <c r="G12837" s="94"/>
      <c r="I12837" s="94"/>
      <c r="K12837" s="94"/>
      <c r="M12837" s="94"/>
    </row>
    <row r="12838" s="93" customFormat="1" spans="3:13">
      <c r="C12838" s="94"/>
      <c r="E12838" s="94"/>
      <c r="G12838" s="94"/>
      <c r="I12838" s="94"/>
      <c r="K12838" s="94"/>
      <c r="M12838" s="94"/>
    </row>
    <row r="12839" s="93" customFormat="1" spans="3:13">
      <c r="C12839" s="94"/>
      <c r="E12839" s="94"/>
      <c r="G12839" s="94"/>
      <c r="I12839" s="94"/>
      <c r="K12839" s="94"/>
      <c r="M12839" s="94"/>
    </row>
    <row r="12840" s="93" customFormat="1" spans="3:13">
      <c r="C12840" s="94"/>
      <c r="E12840" s="94"/>
      <c r="G12840" s="94"/>
      <c r="I12840" s="94"/>
      <c r="K12840" s="94"/>
      <c r="M12840" s="94"/>
    </row>
    <row r="12841" s="93" customFormat="1" spans="3:13">
      <c r="C12841" s="94"/>
      <c r="E12841" s="94"/>
      <c r="G12841" s="94"/>
      <c r="I12841" s="94"/>
      <c r="K12841" s="94"/>
      <c r="M12841" s="94"/>
    </row>
    <row r="12842" s="93" customFormat="1" spans="3:13">
      <c r="C12842" s="94"/>
      <c r="E12842" s="94"/>
      <c r="G12842" s="94"/>
      <c r="I12842" s="94"/>
      <c r="K12842" s="94"/>
      <c r="M12842" s="94"/>
    </row>
    <row r="12843" s="93" customFormat="1" spans="3:13">
      <c r="C12843" s="94"/>
      <c r="E12843" s="94"/>
      <c r="G12843" s="94"/>
      <c r="I12843" s="94"/>
      <c r="K12843" s="94"/>
      <c r="M12843" s="94"/>
    </row>
    <row r="12844" s="93" customFormat="1" spans="3:13">
      <c r="C12844" s="94"/>
      <c r="E12844" s="94"/>
      <c r="G12844" s="94"/>
      <c r="I12844" s="94"/>
      <c r="K12844" s="94"/>
      <c r="M12844" s="94"/>
    </row>
    <row r="12845" s="93" customFormat="1" spans="3:13">
      <c r="C12845" s="94"/>
      <c r="E12845" s="94"/>
      <c r="G12845" s="94"/>
      <c r="I12845" s="94"/>
      <c r="K12845" s="94"/>
      <c r="M12845" s="94"/>
    </row>
    <row r="12846" s="93" customFormat="1" spans="3:13">
      <c r="C12846" s="94"/>
      <c r="E12846" s="94"/>
      <c r="G12846" s="94"/>
      <c r="I12846" s="94"/>
      <c r="K12846" s="94"/>
      <c r="M12846" s="94"/>
    </row>
    <row r="12847" s="93" customFormat="1" spans="3:13">
      <c r="C12847" s="94"/>
      <c r="E12847" s="94"/>
      <c r="G12847" s="94"/>
      <c r="I12847" s="94"/>
      <c r="K12847" s="94"/>
      <c r="M12847" s="94"/>
    </row>
    <row r="12848" s="93" customFormat="1" spans="3:13">
      <c r="C12848" s="94"/>
      <c r="E12848" s="94"/>
      <c r="G12848" s="94"/>
      <c r="I12848" s="94"/>
      <c r="K12848" s="94"/>
      <c r="M12848" s="94"/>
    </row>
    <row r="12849" s="93" customFormat="1" spans="3:13">
      <c r="C12849" s="94"/>
      <c r="E12849" s="94"/>
      <c r="G12849" s="94"/>
      <c r="I12849" s="94"/>
      <c r="K12849" s="94"/>
      <c r="M12849" s="94"/>
    </row>
    <row r="12850" s="93" customFormat="1" spans="3:13">
      <c r="C12850" s="94"/>
      <c r="E12850" s="94"/>
      <c r="G12850" s="94"/>
      <c r="I12850" s="94"/>
      <c r="K12850" s="94"/>
      <c r="M12850" s="94"/>
    </row>
    <row r="12851" s="93" customFormat="1" spans="3:13">
      <c r="C12851" s="94"/>
      <c r="E12851" s="94"/>
      <c r="G12851" s="94"/>
      <c r="I12851" s="94"/>
      <c r="K12851" s="94"/>
      <c r="M12851" s="94"/>
    </row>
    <row r="12852" s="93" customFormat="1" spans="3:13">
      <c r="C12852" s="94"/>
      <c r="E12852" s="94"/>
      <c r="G12852" s="94"/>
      <c r="I12852" s="94"/>
      <c r="K12852" s="94"/>
      <c r="M12852" s="94"/>
    </row>
    <row r="12853" s="93" customFormat="1" spans="3:13">
      <c r="C12853" s="94"/>
      <c r="E12853" s="94"/>
      <c r="G12853" s="94"/>
      <c r="I12853" s="94"/>
      <c r="K12853" s="94"/>
      <c r="M12853" s="94"/>
    </row>
    <row r="12854" s="93" customFormat="1" spans="3:13">
      <c r="C12854" s="94"/>
      <c r="E12854" s="94"/>
      <c r="G12854" s="94"/>
      <c r="I12854" s="94"/>
      <c r="K12854" s="94"/>
      <c r="M12854" s="94"/>
    </row>
    <row r="12855" s="93" customFormat="1" spans="3:13">
      <c r="C12855" s="94"/>
      <c r="E12855" s="94"/>
      <c r="G12855" s="94"/>
      <c r="I12855" s="94"/>
      <c r="K12855" s="94"/>
      <c r="M12855" s="94"/>
    </row>
    <row r="12856" s="93" customFormat="1" spans="3:13">
      <c r="C12856" s="94"/>
      <c r="E12856" s="94"/>
      <c r="G12856" s="94"/>
      <c r="I12856" s="94"/>
      <c r="K12856" s="94"/>
      <c r="M12856" s="94"/>
    </row>
    <row r="12857" s="93" customFormat="1" spans="3:13">
      <c r="C12857" s="94"/>
      <c r="E12857" s="94"/>
      <c r="G12857" s="94"/>
      <c r="I12857" s="94"/>
      <c r="K12857" s="94"/>
      <c r="M12857" s="94"/>
    </row>
    <row r="12858" s="93" customFormat="1" spans="3:13">
      <c r="C12858" s="94"/>
      <c r="E12858" s="94"/>
      <c r="G12858" s="94"/>
      <c r="I12858" s="94"/>
      <c r="K12858" s="94"/>
      <c r="M12858" s="94"/>
    </row>
    <row r="12859" s="93" customFormat="1" spans="3:13">
      <c r="C12859" s="94"/>
      <c r="E12859" s="94"/>
      <c r="G12859" s="94"/>
      <c r="I12859" s="94"/>
      <c r="K12859" s="94"/>
      <c r="M12859" s="94"/>
    </row>
    <row r="12860" s="93" customFormat="1" spans="3:13">
      <c r="C12860" s="94"/>
      <c r="E12860" s="94"/>
      <c r="G12860" s="94"/>
      <c r="I12860" s="94"/>
      <c r="K12860" s="94"/>
      <c r="M12860" s="94"/>
    </row>
    <row r="12861" s="93" customFormat="1" spans="3:13">
      <c r="C12861" s="94"/>
      <c r="E12861" s="94"/>
      <c r="G12861" s="94"/>
      <c r="I12861" s="94"/>
      <c r="K12861" s="94"/>
      <c r="M12861" s="94"/>
    </row>
    <row r="12862" s="93" customFormat="1" spans="3:13">
      <c r="C12862" s="94"/>
      <c r="E12862" s="94"/>
      <c r="G12862" s="94"/>
      <c r="I12862" s="94"/>
      <c r="K12862" s="94"/>
      <c r="M12862" s="94"/>
    </row>
    <row r="12863" s="93" customFormat="1" spans="3:13">
      <c r="C12863" s="94"/>
      <c r="E12863" s="94"/>
      <c r="G12863" s="94"/>
      <c r="I12863" s="94"/>
      <c r="K12863" s="94"/>
      <c r="M12863" s="94"/>
    </row>
    <row r="12864" s="93" customFormat="1" spans="3:13">
      <c r="C12864" s="94"/>
      <c r="E12864" s="94"/>
      <c r="G12864" s="94"/>
      <c r="I12864" s="94"/>
      <c r="K12864" s="94"/>
      <c r="M12864" s="94"/>
    </row>
    <row r="12865" s="93" customFormat="1" spans="3:13">
      <c r="C12865" s="94"/>
      <c r="E12865" s="94"/>
      <c r="G12865" s="94"/>
      <c r="I12865" s="94"/>
      <c r="K12865" s="94"/>
      <c r="M12865" s="94"/>
    </row>
    <row r="12866" s="93" customFormat="1" spans="3:13">
      <c r="C12866" s="94"/>
      <c r="E12866" s="94"/>
      <c r="G12866" s="94"/>
      <c r="I12866" s="94"/>
      <c r="K12866" s="94"/>
      <c r="M12866" s="94"/>
    </row>
    <row r="12867" s="93" customFormat="1" spans="3:13">
      <c r="C12867" s="94"/>
      <c r="E12867" s="94"/>
      <c r="G12867" s="94"/>
      <c r="I12867" s="94"/>
      <c r="K12867" s="94"/>
      <c r="M12867" s="94"/>
    </row>
    <row r="12868" s="93" customFormat="1" spans="3:13">
      <c r="C12868" s="94"/>
      <c r="E12868" s="94"/>
      <c r="G12868" s="94"/>
      <c r="I12868" s="94"/>
      <c r="K12868" s="94"/>
      <c r="M12868" s="94"/>
    </row>
    <row r="12869" s="93" customFormat="1" spans="3:13">
      <c r="C12869" s="94"/>
      <c r="E12869" s="94"/>
      <c r="G12869" s="94"/>
      <c r="I12869" s="94"/>
      <c r="K12869" s="94"/>
      <c r="M12869" s="94"/>
    </row>
    <row r="12870" s="93" customFormat="1" spans="3:13">
      <c r="C12870" s="94"/>
      <c r="E12870" s="94"/>
      <c r="G12870" s="94"/>
      <c r="I12870" s="94"/>
      <c r="K12870" s="94"/>
      <c r="M12870" s="94"/>
    </row>
    <row r="12871" s="93" customFormat="1" spans="3:13">
      <c r="C12871" s="94"/>
      <c r="E12871" s="94"/>
      <c r="G12871" s="94"/>
      <c r="I12871" s="94"/>
      <c r="K12871" s="94"/>
      <c r="M12871" s="94"/>
    </row>
    <row r="12872" s="93" customFormat="1" spans="3:13">
      <c r="C12872" s="94"/>
      <c r="E12872" s="94"/>
      <c r="G12872" s="94"/>
      <c r="I12872" s="94"/>
      <c r="K12872" s="94"/>
      <c r="M12872" s="94"/>
    </row>
    <row r="12873" s="93" customFormat="1" spans="3:13">
      <c r="C12873" s="94"/>
      <c r="E12873" s="94"/>
      <c r="G12873" s="94"/>
      <c r="I12873" s="94"/>
      <c r="K12873" s="94"/>
      <c r="M12873" s="94"/>
    </row>
    <row r="12874" s="93" customFormat="1" spans="3:13">
      <c r="C12874" s="94"/>
      <c r="E12874" s="94"/>
      <c r="G12874" s="94"/>
      <c r="I12874" s="94"/>
      <c r="K12874" s="94"/>
      <c r="M12874" s="94"/>
    </row>
    <row r="12875" s="93" customFormat="1" spans="3:13">
      <c r="C12875" s="94"/>
      <c r="E12875" s="94"/>
      <c r="G12875" s="94"/>
      <c r="I12875" s="94"/>
      <c r="K12875" s="94"/>
      <c r="M12875" s="94"/>
    </row>
    <row r="12876" s="93" customFormat="1" spans="3:13">
      <c r="C12876" s="94"/>
      <c r="E12876" s="94"/>
      <c r="G12876" s="94"/>
      <c r="I12876" s="94"/>
      <c r="K12876" s="94"/>
      <c r="M12876" s="94"/>
    </row>
    <row r="12877" s="93" customFormat="1" spans="3:13">
      <c r="C12877" s="94"/>
      <c r="E12877" s="94"/>
      <c r="G12877" s="94"/>
      <c r="I12877" s="94"/>
      <c r="K12877" s="94"/>
      <c r="M12877" s="94"/>
    </row>
    <row r="12878" s="93" customFormat="1" spans="3:13">
      <c r="C12878" s="94"/>
      <c r="E12878" s="94"/>
      <c r="G12878" s="94"/>
      <c r="I12878" s="94"/>
      <c r="K12878" s="94"/>
      <c r="M12878" s="94"/>
    </row>
    <row r="12879" s="93" customFormat="1" spans="3:13">
      <c r="C12879" s="94"/>
      <c r="E12879" s="94"/>
      <c r="G12879" s="94"/>
      <c r="I12879" s="94"/>
      <c r="K12879" s="94"/>
      <c r="M12879" s="94"/>
    </row>
    <row r="12880" s="93" customFormat="1" spans="3:13">
      <c r="C12880" s="94"/>
      <c r="E12880" s="94"/>
      <c r="G12880" s="94"/>
      <c r="I12880" s="94"/>
      <c r="K12880" s="94"/>
      <c r="M12880" s="94"/>
    </row>
    <row r="12881" s="93" customFormat="1" spans="3:13">
      <c r="C12881" s="94"/>
      <c r="E12881" s="94"/>
      <c r="G12881" s="94"/>
      <c r="I12881" s="94"/>
      <c r="K12881" s="94"/>
      <c r="M12881" s="94"/>
    </row>
    <row r="12882" s="93" customFormat="1" spans="3:13">
      <c r="C12882" s="94"/>
      <c r="E12882" s="94"/>
      <c r="G12882" s="94"/>
      <c r="I12882" s="94"/>
      <c r="K12882" s="94"/>
      <c r="M12882" s="94"/>
    </row>
    <row r="12883" s="93" customFormat="1" spans="3:13">
      <c r="C12883" s="94"/>
      <c r="E12883" s="94"/>
      <c r="G12883" s="94"/>
      <c r="I12883" s="94"/>
      <c r="K12883" s="94"/>
      <c r="M12883" s="94"/>
    </row>
    <row r="12884" s="93" customFormat="1" spans="3:13">
      <c r="C12884" s="94"/>
      <c r="E12884" s="94"/>
      <c r="G12884" s="94"/>
      <c r="I12884" s="94"/>
      <c r="K12884" s="94"/>
      <c r="M12884" s="94"/>
    </row>
    <row r="12885" s="93" customFormat="1" spans="3:13">
      <c r="C12885" s="94"/>
      <c r="E12885" s="94"/>
      <c r="G12885" s="94"/>
      <c r="I12885" s="94"/>
      <c r="K12885" s="94"/>
      <c r="M12885" s="94"/>
    </row>
    <row r="12886" s="93" customFormat="1" spans="3:13">
      <c r="C12886" s="94"/>
      <c r="E12886" s="94"/>
      <c r="G12886" s="94"/>
      <c r="I12886" s="94"/>
      <c r="K12886" s="94"/>
      <c r="M12886" s="94"/>
    </row>
    <row r="12887" s="93" customFormat="1" spans="3:13">
      <c r="C12887" s="94"/>
      <c r="E12887" s="94"/>
      <c r="G12887" s="94"/>
      <c r="I12887" s="94"/>
      <c r="K12887" s="94"/>
      <c r="M12887" s="94"/>
    </row>
    <row r="12888" s="93" customFormat="1" spans="3:13">
      <c r="C12888" s="94"/>
      <c r="E12888" s="94"/>
      <c r="G12888" s="94"/>
      <c r="I12888" s="94"/>
      <c r="K12888" s="94"/>
      <c r="M12888" s="94"/>
    </row>
    <row r="12889" s="93" customFormat="1" spans="3:13">
      <c r="C12889" s="94"/>
      <c r="E12889" s="94"/>
      <c r="G12889" s="94"/>
      <c r="I12889" s="94"/>
      <c r="K12889" s="94"/>
      <c r="M12889" s="94"/>
    </row>
    <row r="12890" s="93" customFormat="1" spans="3:13">
      <c r="C12890" s="94"/>
      <c r="E12890" s="94"/>
      <c r="G12890" s="94"/>
      <c r="I12890" s="94"/>
      <c r="K12890" s="94"/>
      <c r="M12890" s="94"/>
    </row>
    <row r="12891" s="93" customFormat="1" spans="3:13">
      <c r="C12891" s="94"/>
      <c r="E12891" s="94"/>
      <c r="G12891" s="94"/>
      <c r="I12891" s="94"/>
      <c r="K12891" s="94"/>
      <c r="M12891" s="94"/>
    </row>
    <row r="12892" s="93" customFormat="1" spans="3:13">
      <c r="C12892" s="94"/>
      <c r="E12892" s="94"/>
      <c r="G12892" s="94"/>
      <c r="I12892" s="94"/>
      <c r="K12892" s="94"/>
      <c r="M12892" s="94"/>
    </row>
    <row r="12893" s="93" customFormat="1" spans="3:13">
      <c r="C12893" s="94"/>
      <c r="E12893" s="94"/>
      <c r="G12893" s="94"/>
      <c r="I12893" s="94"/>
      <c r="K12893" s="94"/>
      <c r="M12893" s="94"/>
    </row>
    <row r="12894" s="93" customFormat="1" spans="3:13">
      <c r="C12894" s="94"/>
      <c r="E12894" s="94"/>
      <c r="G12894" s="94"/>
      <c r="I12894" s="94"/>
      <c r="K12894" s="94"/>
      <c r="M12894" s="94"/>
    </row>
    <row r="12895" s="93" customFormat="1" spans="3:13">
      <c r="C12895" s="94"/>
      <c r="E12895" s="94"/>
      <c r="G12895" s="94"/>
      <c r="I12895" s="94"/>
      <c r="K12895" s="94"/>
      <c r="M12895" s="94"/>
    </row>
    <row r="12896" s="93" customFormat="1" spans="3:13">
      <c r="C12896" s="94"/>
      <c r="E12896" s="94"/>
      <c r="G12896" s="94"/>
      <c r="I12896" s="94"/>
      <c r="K12896" s="94"/>
      <c r="M12896" s="94"/>
    </row>
    <row r="12897" s="93" customFormat="1" spans="3:13">
      <c r="C12897" s="94"/>
      <c r="E12897" s="94"/>
      <c r="G12897" s="94"/>
      <c r="I12897" s="94"/>
      <c r="K12897" s="94"/>
      <c r="M12897" s="94"/>
    </row>
    <row r="12898" s="93" customFormat="1" spans="3:13">
      <c r="C12898" s="94"/>
      <c r="E12898" s="94"/>
      <c r="G12898" s="94"/>
      <c r="I12898" s="94"/>
      <c r="K12898" s="94"/>
      <c r="M12898" s="94"/>
    </row>
    <row r="12899" s="93" customFormat="1" spans="3:13">
      <c r="C12899" s="94"/>
      <c r="E12899" s="94"/>
      <c r="G12899" s="94"/>
      <c r="I12899" s="94"/>
      <c r="K12899" s="94"/>
      <c r="M12899" s="94"/>
    </row>
    <row r="12900" s="93" customFormat="1" spans="3:13">
      <c r="C12900" s="94"/>
      <c r="E12900" s="94"/>
      <c r="G12900" s="94"/>
      <c r="I12900" s="94"/>
      <c r="K12900" s="94"/>
      <c r="M12900" s="94"/>
    </row>
    <row r="12901" s="93" customFormat="1" spans="3:13">
      <c r="C12901" s="94"/>
      <c r="E12901" s="94"/>
      <c r="G12901" s="94"/>
      <c r="I12901" s="94"/>
      <c r="K12901" s="94"/>
      <c r="M12901" s="94"/>
    </row>
    <row r="12902" s="93" customFormat="1" spans="3:13">
      <c r="C12902" s="94"/>
      <c r="E12902" s="94"/>
      <c r="G12902" s="94"/>
      <c r="I12902" s="94"/>
      <c r="K12902" s="94"/>
      <c r="M12902" s="94"/>
    </row>
    <row r="12903" s="93" customFormat="1" spans="3:13">
      <c r="C12903" s="94"/>
      <c r="E12903" s="94"/>
      <c r="G12903" s="94"/>
      <c r="I12903" s="94"/>
      <c r="K12903" s="94"/>
      <c r="M12903" s="94"/>
    </row>
    <row r="12904" s="93" customFormat="1" spans="3:13">
      <c r="C12904" s="94"/>
      <c r="E12904" s="94"/>
      <c r="G12904" s="94"/>
      <c r="I12904" s="94"/>
      <c r="K12904" s="94"/>
      <c r="M12904" s="94"/>
    </row>
    <row r="12905" s="93" customFormat="1" spans="3:13">
      <c r="C12905" s="94"/>
      <c r="E12905" s="94"/>
      <c r="G12905" s="94"/>
      <c r="I12905" s="94"/>
      <c r="K12905" s="94"/>
      <c r="M12905" s="94"/>
    </row>
    <row r="12906" s="93" customFormat="1" spans="3:13">
      <c r="C12906" s="94"/>
      <c r="E12906" s="94"/>
      <c r="G12906" s="94"/>
      <c r="I12906" s="94"/>
      <c r="K12906" s="94"/>
      <c r="M12906" s="94"/>
    </row>
    <row r="12907" s="93" customFormat="1" spans="3:13">
      <c r="C12907" s="94"/>
      <c r="E12907" s="94"/>
      <c r="G12907" s="94"/>
      <c r="I12907" s="94"/>
      <c r="K12907" s="94"/>
      <c r="M12907" s="94"/>
    </row>
    <row r="12908" s="93" customFormat="1" spans="3:13">
      <c r="C12908" s="94"/>
      <c r="E12908" s="94"/>
      <c r="G12908" s="94"/>
      <c r="I12908" s="94"/>
      <c r="K12908" s="94"/>
      <c r="M12908" s="94"/>
    </row>
    <row r="12909" s="93" customFormat="1" spans="3:13">
      <c r="C12909" s="94"/>
      <c r="E12909" s="94"/>
      <c r="G12909" s="94"/>
      <c r="I12909" s="94"/>
      <c r="K12909" s="94"/>
      <c r="M12909" s="94"/>
    </row>
    <row r="12910" s="93" customFormat="1" spans="3:13">
      <c r="C12910" s="94"/>
      <c r="E12910" s="94"/>
      <c r="G12910" s="94"/>
      <c r="I12910" s="94"/>
      <c r="K12910" s="94"/>
      <c r="M12910" s="94"/>
    </row>
    <row r="12911" s="93" customFormat="1" spans="3:13">
      <c r="C12911" s="94"/>
      <c r="E12911" s="94"/>
      <c r="G12911" s="94"/>
      <c r="I12911" s="94"/>
      <c r="K12911" s="94"/>
      <c r="M12911" s="94"/>
    </row>
    <row r="12912" s="93" customFormat="1" spans="3:13">
      <c r="C12912" s="94"/>
      <c r="E12912" s="94"/>
      <c r="G12912" s="94"/>
      <c r="I12912" s="94"/>
      <c r="K12912" s="94"/>
      <c r="M12912" s="94"/>
    </row>
    <row r="12913" s="93" customFormat="1" spans="3:13">
      <c r="C12913" s="94"/>
      <c r="E12913" s="94"/>
      <c r="G12913" s="94"/>
      <c r="I12913" s="94"/>
      <c r="K12913" s="94"/>
      <c r="M12913" s="94"/>
    </row>
    <row r="12914" s="93" customFormat="1" spans="3:13">
      <c r="C12914" s="94"/>
      <c r="E12914" s="94"/>
      <c r="G12914" s="94"/>
      <c r="I12914" s="94"/>
      <c r="K12914" s="94"/>
      <c r="M12914" s="94"/>
    </row>
    <row r="12915" s="93" customFormat="1" spans="3:13">
      <c r="C12915" s="94"/>
      <c r="E12915" s="94"/>
      <c r="G12915" s="94"/>
      <c r="I12915" s="94"/>
      <c r="K12915" s="94"/>
      <c r="M12915" s="94"/>
    </row>
    <row r="12916" s="93" customFormat="1" spans="3:13">
      <c r="C12916" s="94"/>
      <c r="E12916" s="94"/>
      <c r="G12916" s="94"/>
      <c r="I12916" s="94"/>
      <c r="K12916" s="94"/>
      <c r="M12916" s="94"/>
    </row>
    <row r="12917" s="93" customFormat="1" spans="3:13">
      <c r="C12917" s="94"/>
      <c r="E12917" s="94"/>
      <c r="G12917" s="94"/>
      <c r="I12917" s="94"/>
      <c r="K12917" s="94"/>
      <c r="M12917" s="94"/>
    </row>
    <row r="12918" s="93" customFormat="1" spans="3:13">
      <c r="C12918" s="94"/>
      <c r="E12918" s="94"/>
      <c r="G12918" s="94"/>
      <c r="I12918" s="94"/>
      <c r="K12918" s="94"/>
      <c r="M12918" s="94"/>
    </row>
    <row r="12919" s="93" customFormat="1" spans="3:13">
      <c r="C12919" s="94"/>
      <c r="E12919" s="94"/>
      <c r="G12919" s="94"/>
      <c r="I12919" s="94"/>
      <c r="K12919" s="94"/>
      <c r="M12919" s="94"/>
    </row>
    <row r="12920" s="93" customFormat="1" spans="3:13">
      <c r="C12920" s="94"/>
      <c r="E12920" s="94"/>
      <c r="G12920" s="94"/>
      <c r="I12920" s="94"/>
      <c r="K12920" s="94"/>
      <c r="M12920" s="94"/>
    </row>
    <row r="12921" s="93" customFormat="1" spans="3:13">
      <c r="C12921" s="94"/>
      <c r="E12921" s="94"/>
      <c r="G12921" s="94"/>
      <c r="I12921" s="94"/>
      <c r="K12921" s="94"/>
      <c r="M12921" s="94"/>
    </row>
    <row r="12922" s="93" customFormat="1" spans="3:13">
      <c r="C12922" s="94"/>
      <c r="E12922" s="94"/>
      <c r="G12922" s="94"/>
      <c r="I12922" s="94"/>
      <c r="K12922" s="94"/>
      <c r="M12922" s="94"/>
    </row>
    <row r="12923" s="93" customFormat="1" spans="3:13">
      <c r="C12923" s="94"/>
      <c r="E12923" s="94"/>
      <c r="G12923" s="94"/>
      <c r="I12923" s="94"/>
      <c r="K12923" s="94"/>
      <c r="M12923" s="94"/>
    </row>
    <row r="12924" s="93" customFormat="1" spans="3:13">
      <c r="C12924" s="94"/>
      <c r="E12924" s="94"/>
      <c r="G12924" s="94"/>
      <c r="I12924" s="94"/>
      <c r="K12924" s="94"/>
      <c r="M12924" s="94"/>
    </row>
    <row r="12925" s="93" customFormat="1" spans="3:13">
      <c r="C12925" s="94"/>
      <c r="E12925" s="94"/>
      <c r="G12925" s="94"/>
      <c r="I12925" s="94"/>
      <c r="K12925" s="94"/>
      <c r="M12925" s="94"/>
    </row>
    <row r="12926" s="93" customFormat="1" spans="3:13">
      <c r="C12926" s="94"/>
      <c r="E12926" s="94"/>
      <c r="G12926" s="94"/>
      <c r="I12926" s="94"/>
      <c r="K12926" s="94"/>
      <c r="M12926" s="94"/>
    </row>
    <row r="12927" s="93" customFormat="1" spans="3:13">
      <c r="C12927" s="94"/>
      <c r="E12927" s="94"/>
      <c r="G12927" s="94"/>
      <c r="I12927" s="94"/>
      <c r="K12927" s="94"/>
      <c r="M12927" s="94"/>
    </row>
    <row r="12928" s="93" customFormat="1" spans="3:13">
      <c r="C12928" s="94"/>
      <c r="E12928" s="94"/>
      <c r="G12928" s="94"/>
      <c r="I12928" s="94"/>
      <c r="K12928" s="94"/>
      <c r="M12928" s="94"/>
    </row>
    <row r="12929" s="93" customFormat="1" spans="3:13">
      <c r="C12929" s="94"/>
      <c r="E12929" s="94"/>
      <c r="G12929" s="94"/>
      <c r="I12929" s="94"/>
      <c r="K12929" s="94"/>
      <c r="M12929" s="94"/>
    </row>
    <row r="12930" s="93" customFormat="1" spans="3:13">
      <c r="C12930" s="94"/>
      <c r="E12930" s="94"/>
      <c r="G12930" s="94"/>
      <c r="I12930" s="94"/>
      <c r="K12930" s="94"/>
      <c r="M12930" s="94"/>
    </row>
    <row r="12931" s="93" customFormat="1" spans="3:13">
      <c r="C12931" s="94"/>
      <c r="E12931" s="94"/>
      <c r="G12931" s="94"/>
      <c r="I12931" s="94"/>
      <c r="K12931" s="94"/>
      <c r="M12931" s="94"/>
    </row>
    <row r="12932" s="93" customFormat="1" spans="3:13">
      <c r="C12932" s="94"/>
      <c r="E12932" s="94"/>
      <c r="G12932" s="94"/>
      <c r="I12932" s="94"/>
      <c r="K12932" s="94"/>
      <c r="M12932" s="94"/>
    </row>
    <row r="12933" s="93" customFormat="1" spans="3:13">
      <c r="C12933" s="94"/>
      <c r="E12933" s="94"/>
      <c r="G12933" s="94"/>
      <c r="I12933" s="94"/>
      <c r="K12933" s="94"/>
      <c r="M12933" s="94"/>
    </row>
    <row r="12934" s="93" customFormat="1" spans="3:13">
      <c r="C12934" s="94"/>
      <c r="E12934" s="94"/>
      <c r="G12934" s="94"/>
      <c r="I12934" s="94"/>
      <c r="K12934" s="94"/>
      <c r="M12934" s="94"/>
    </row>
    <row r="12935" s="93" customFormat="1" spans="3:13">
      <c r="C12935" s="94"/>
      <c r="E12935" s="94"/>
      <c r="G12935" s="94"/>
      <c r="I12935" s="94"/>
      <c r="K12935" s="94"/>
      <c r="M12935" s="94"/>
    </row>
    <row r="12936" s="93" customFormat="1" spans="3:13">
      <c r="C12936" s="94"/>
      <c r="E12936" s="94"/>
      <c r="G12936" s="94"/>
      <c r="I12936" s="94"/>
      <c r="K12936" s="94"/>
      <c r="M12936" s="94"/>
    </row>
    <row r="12937" s="93" customFormat="1" spans="3:13">
      <c r="C12937" s="94"/>
      <c r="E12937" s="94"/>
      <c r="G12937" s="94"/>
      <c r="I12937" s="94"/>
      <c r="K12937" s="94"/>
      <c r="M12937" s="94"/>
    </row>
    <row r="12938" s="93" customFormat="1" spans="3:13">
      <c r="C12938" s="94"/>
      <c r="E12938" s="94"/>
      <c r="G12938" s="94"/>
      <c r="I12938" s="94"/>
      <c r="K12938" s="94"/>
      <c r="M12938" s="94"/>
    </row>
    <row r="12939" s="93" customFormat="1" spans="3:13">
      <c r="C12939" s="94"/>
      <c r="E12939" s="94"/>
      <c r="G12939" s="94"/>
      <c r="I12939" s="94"/>
      <c r="K12939" s="94"/>
      <c r="M12939" s="94"/>
    </row>
    <row r="12940" s="93" customFormat="1" spans="3:13">
      <c r="C12940" s="94"/>
      <c r="E12940" s="94"/>
      <c r="G12940" s="94"/>
      <c r="I12940" s="94"/>
      <c r="K12940" s="94"/>
      <c r="M12940" s="94"/>
    </row>
    <row r="12941" s="93" customFormat="1" spans="3:13">
      <c r="C12941" s="94"/>
      <c r="E12941" s="94"/>
      <c r="G12941" s="94"/>
      <c r="I12941" s="94"/>
      <c r="K12941" s="94"/>
      <c r="M12941" s="94"/>
    </row>
    <row r="12942" s="93" customFormat="1" spans="3:13">
      <c r="C12942" s="94"/>
      <c r="E12942" s="94"/>
      <c r="G12942" s="94"/>
      <c r="I12942" s="94"/>
      <c r="K12942" s="94"/>
      <c r="M12942" s="94"/>
    </row>
    <row r="12943" s="93" customFormat="1" spans="3:13">
      <c r="C12943" s="94"/>
      <c r="E12943" s="94"/>
      <c r="G12943" s="94"/>
      <c r="I12943" s="94"/>
      <c r="K12943" s="94"/>
      <c r="M12943" s="94"/>
    </row>
    <row r="12944" s="93" customFormat="1" spans="3:13">
      <c r="C12944" s="94"/>
      <c r="E12944" s="94"/>
      <c r="G12944" s="94"/>
      <c r="I12944" s="94"/>
      <c r="K12944" s="94"/>
      <c r="M12944" s="94"/>
    </row>
    <row r="12945" s="93" customFormat="1" spans="3:13">
      <c r="C12945" s="94"/>
      <c r="E12945" s="94"/>
      <c r="G12945" s="94"/>
      <c r="I12945" s="94"/>
      <c r="K12945" s="94"/>
      <c r="M12945" s="94"/>
    </row>
    <row r="12946" s="93" customFormat="1" spans="3:13">
      <c r="C12946" s="94"/>
      <c r="E12946" s="94"/>
      <c r="G12946" s="94"/>
      <c r="I12946" s="94"/>
      <c r="K12946" s="94"/>
      <c r="M12946" s="94"/>
    </row>
    <row r="12947" s="93" customFormat="1" spans="3:13">
      <c r="C12947" s="94"/>
      <c r="E12947" s="94"/>
      <c r="G12947" s="94"/>
      <c r="I12947" s="94"/>
      <c r="K12947" s="94"/>
      <c r="M12947" s="94"/>
    </row>
    <row r="12948" s="93" customFormat="1" spans="3:13">
      <c r="C12948" s="94"/>
      <c r="E12948" s="94"/>
      <c r="G12948" s="94"/>
      <c r="I12948" s="94"/>
      <c r="K12948" s="94"/>
      <c r="M12948" s="94"/>
    </row>
    <row r="12949" s="93" customFormat="1" spans="3:13">
      <c r="C12949" s="94"/>
      <c r="E12949" s="94"/>
      <c r="G12949" s="94"/>
      <c r="I12949" s="94"/>
      <c r="K12949" s="94"/>
      <c r="M12949" s="94"/>
    </row>
    <row r="12950" s="93" customFormat="1" spans="3:13">
      <c r="C12950" s="94"/>
      <c r="E12950" s="94"/>
      <c r="G12950" s="94"/>
      <c r="I12950" s="94"/>
      <c r="K12950" s="94"/>
      <c r="M12950" s="94"/>
    </row>
    <row r="12951" s="93" customFormat="1" spans="3:13">
      <c r="C12951" s="94"/>
      <c r="E12951" s="94"/>
      <c r="G12951" s="94"/>
      <c r="I12951" s="94"/>
      <c r="K12951" s="94"/>
      <c r="M12951" s="94"/>
    </row>
    <row r="12952" s="93" customFormat="1" spans="3:13">
      <c r="C12952" s="94"/>
      <c r="E12952" s="94"/>
      <c r="G12952" s="94"/>
      <c r="I12952" s="94"/>
      <c r="K12952" s="94"/>
      <c r="M12952" s="94"/>
    </row>
    <row r="12953" s="93" customFormat="1" spans="3:13">
      <c r="C12953" s="94"/>
      <c r="E12953" s="94"/>
      <c r="G12953" s="94"/>
      <c r="I12953" s="94"/>
      <c r="K12953" s="94"/>
      <c r="M12953" s="94"/>
    </row>
    <row r="12954" s="93" customFormat="1" spans="3:13">
      <c r="C12954" s="94"/>
      <c r="E12954" s="94"/>
      <c r="G12954" s="94"/>
      <c r="I12954" s="94"/>
      <c r="K12954" s="94"/>
      <c r="M12954" s="94"/>
    </row>
    <row r="12955" s="93" customFormat="1" spans="3:13">
      <c r="C12955" s="94"/>
      <c r="E12955" s="94"/>
      <c r="G12955" s="94"/>
      <c r="I12955" s="94"/>
      <c r="K12955" s="94"/>
      <c r="M12955" s="94"/>
    </row>
    <row r="12956" s="93" customFormat="1" spans="3:13">
      <c r="C12956" s="94"/>
      <c r="E12956" s="94"/>
      <c r="G12956" s="94"/>
      <c r="I12956" s="94"/>
      <c r="K12956" s="94"/>
      <c r="M12956" s="94"/>
    </row>
    <row r="12957" s="93" customFormat="1" spans="3:13">
      <c r="C12957" s="94"/>
      <c r="E12957" s="94"/>
      <c r="G12957" s="94"/>
      <c r="I12957" s="94"/>
      <c r="K12957" s="94"/>
      <c r="M12957" s="94"/>
    </row>
    <row r="12958" s="93" customFormat="1" spans="3:13">
      <c r="C12958" s="94"/>
      <c r="E12958" s="94"/>
      <c r="G12958" s="94"/>
      <c r="I12958" s="94"/>
      <c r="K12958" s="94"/>
      <c r="M12958" s="94"/>
    </row>
    <row r="12959" s="93" customFormat="1" spans="3:13">
      <c r="C12959" s="94"/>
      <c r="E12959" s="94"/>
      <c r="G12959" s="94"/>
      <c r="I12959" s="94"/>
      <c r="K12959" s="94"/>
      <c r="M12959" s="94"/>
    </row>
    <row r="12960" s="93" customFormat="1" spans="3:13">
      <c r="C12960" s="94"/>
      <c r="E12960" s="94"/>
      <c r="G12960" s="94"/>
      <c r="I12960" s="94"/>
      <c r="K12960" s="94"/>
      <c r="M12960" s="94"/>
    </row>
    <row r="12961" s="93" customFormat="1" spans="3:13">
      <c r="C12961" s="94"/>
      <c r="E12961" s="94"/>
      <c r="G12961" s="94"/>
      <c r="I12961" s="94"/>
      <c r="K12961" s="94"/>
      <c r="M12961" s="94"/>
    </row>
    <row r="12962" s="93" customFormat="1" spans="3:13">
      <c r="C12962" s="94"/>
      <c r="E12962" s="94"/>
      <c r="G12962" s="94"/>
      <c r="I12962" s="94"/>
      <c r="K12962" s="94"/>
      <c r="M12962" s="94"/>
    </row>
    <row r="12963" s="93" customFormat="1" spans="3:13">
      <c r="C12963" s="94"/>
      <c r="E12963" s="94"/>
      <c r="G12963" s="94"/>
      <c r="I12963" s="94"/>
      <c r="K12963" s="94"/>
      <c r="M12963" s="94"/>
    </row>
    <row r="12964" s="93" customFormat="1" spans="3:13">
      <c r="C12964" s="94"/>
      <c r="E12964" s="94"/>
      <c r="G12964" s="94"/>
      <c r="I12964" s="94"/>
      <c r="K12964" s="94"/>
      <c r="M12964" s="94"/>
    </row>
    <row r="12965" s="93" customFormat="1" spans="3:13">
      <c r="C12965" s="94"/>
      <c r="E12965" s="94"/>
      <c r="G12965" s="94"/>
      <c r="I12965" s="94"/>
      <c r="K12965" s="94"/>
      <c r="M12965" s="94"/>
    </row>
    <row r="12966" s="93" customFormat="1" spans="3:13">
      <c r="C12966" s="94"/>
      <c r="E12966" s="94"/>
      <c r="G12966" s="94"/>
      <c r="I12966" s="94"/>
      <c r="K12966" s="94"/>
      <c r="M12966" s="94"/>
    </row>
    <row r="12967" s="93" customFormat="1" spans="3:13">
      <c r="C12967" s="94"/>
      <c r="E12967" s="94"/>
      <c r="G12967" s="94"/>
      <c r="I12967" s="94"/>
      <c r="K12967" s="94"/>
      <c r="M12967" s="94"/>
    </row>
    <row r="12968" s="93" customFormat="1" spans="3:13">
      <c r="C12968" s="94"/>
      <c r="E12968" s="94"/>
      <c r="G12968" s="94"/>
      <c r="I12968" s="94"/>
      <c r="K12968" s="94"/>
      <c r="M12968" s="94"/>
    </row>
    <row r="12969" s="93" customFormat="1" spans="3:13">
      <c r="C12969" s="94"/>
      <c r="E12969" s="94"/>
      <c r="G12969" s="94"/>
      <c r="I12969" s="94"/>
      <c r="K12969" s="94"/>
      <c r="M12969" s="94"/>
    </row>
    <row r="12970" s="93" customFormat="1" spans="3:13">
      <c r="C12970" s="94"/>
      <c r="E12970" s="94"/>
      <c r="G12970" s="94"/>
      <c r="I12970" s="94"/>
      <c r="K12970" s="94"/>
      <c r="M12970" s="94"/>
    </row>
    <row r="12971" s="93" customFormat="1" spans="3:13">
      <c r="C12971" s="94"/>
      <c r="E12971" s="94"/>
      <c r="G12971" s="94"/>
      <c r="I12971" s="94"/>
      <c r="K12971" s="94"/>
      <c r="M12971" s="94"/>
    </row>
    <row r="12972" s="93" customFormat="1" spans="3:13">
      <c r="C12972" s="94"/>
      <c r="E12972" s="94"/>
      <c r="G12972" s="94"/>
      <c r="I12972" s="94"/>
      <c r="K12972" s="94"/>
      <c r="M12972" s="94"/>
    </row>
    <row r="12973" s="93" customFormat="1" spans="3:13">
      <c r="C12973" s="94"/>
      <c r="E12973" s="94"/>
      <c r="G12973" s="94"/>
      <c r="I12973" s="94"/>
      <c r="K12973" s="94"/>
      <c r="M12973" s="94"/>
    </row>
    <row r="12974" s="93" customFormat="1" spans="3:13">
      <c r="C12974" s="94"/>
      <c r="E12974" s="94"/>
      <c r="G12974" s="94"/>
      <c r="I12974" s="94"/>
      <c r="K12974" s="94"/>
      <c r="M12974" s="94"/>
    </row>
    <row r="12975" s="93" customFormat="1" spans="3:13">
      <c r="C12975" s="94"/>
      <c r="E12975" s="94"/>
      <c r="G12975" s="94"/>
      <c r="I12975" s="94"/>
      <c r="K12975" s="94"/>
      <c r="M12975" s="94"/>
    </row>
    <row r="12976" s="93" customFormat="1" spans="3:13">
      <c r="C12976" s="94"/>
      <c r="E12976" s="94"/>
      <c r="G12976" s="94"/>
      <c r="I12976" s="94"/>
      <c r="K12976" s="94"/>
      <c r="M12976" s="94"/>
    </row>
    <row r="12977" s="93" customFormat="1" spans="3:13">
      <c r="C12977" s="94"/>
      <c r="E12977" s="94"/>
      <c r="G12977" s="94"/>
      <c r="I12977" s="94"/>
      <c r="K12977" s="94"/>
      <c r="M12977" s="94"/>
    </row>
    <row r="12978" s="93" customFormat="1" spans="3:13">
      <c r="C12978" s="94"/>
      <c r="E12978" s="94"/>
      <c r="G12978" s="94"/>
      <c r="I12978" s="94"/>
      <c r="K12978" s="94"/>
      <c r="M12978" s="94"/>
    </row>
    <row r="12979" s="93" customFormat="1" spans="3:13">
      <c r="C12979" s="94"/>
      <c r="E12979" s="94"/>
      <c r="G12979" s="94"/>
      <c r="I12979" s="94"/>
      <c r="K12979" s="94"/>
      <c r="M12979" s="94"/>
    </row>
    <row r="12980" s="93" customFormat="1" spans="3:13">
      <c r="C12980" s="94"/>
      <c r="E12980" s="94"/>
      <c r="G12980" s="94"/>
      <c r="I12980" s="94"/>
      <c r="K12980" s="94"/>
      <c r="M12980" s="94"/>
    </row>
    <row r="12981" s="93" customFormat="1" spans="3:13">
      <c r="C12981" s="94"/>
      <c r="E12981" s="94"/>
      <c r="G12981" s="94"/>
      <c r="I12981" s="94"/>
      <c r="K12981" s="94"/>
      <c r="M12981" s="94"/>
    </row>
    <row r="12982" s="93" customFormat="1" spans="3:13">
      <c r="C12982" s="94"/>
      <c r="E12982" s="94"/>
      <c r="G12982" s="94"/>
      <c r="I12982" s="94"/>
      <c r="K12982" s="94"/>
      <c r="M12982" s="94"/>
    </row>
    <row r="12983" s="93" customFormat="1" spans="3:13">
      <c r="C12983" s="94"/>
      <c r="E12983" s="94"/>
      <c r="G12983" s="94"/>
      <c r="I12983" s="94"/>
      <c r="K12983" s="94"/>
      <c r="M12983" s="94"/>
    </row>
    <row r="12984" s="93" customFormat="1" spans="3:13">
      <c r="C12984" s="94"/>
      <c r="E12984" s="94"/>
      <c r="G12984" s="94"/>
      <c r="I12984" s="94"/>
      <c r="K12984" s="94"/>
      <c r="M12984" s="94"/>
    </row>
    <row r="12985" s="93" customFormat="1" spans="3:13">
      <c r="C12985" s="94"/>
      <c r="E12985" s="94"/>
      <c r="G12985" s="94"/>
      <c r="I12985" s="94"/>
      <c r="K12985" s="94"/>
      <c r="M12985" s="94"/>
    </row>
    <row r="12986" s="93" customFormat="1" spans="3:13">
      <c r="C12986" s="94"/>
      <c r="E12986" s="94"/>
      <c r="G12986" s="94"/>
      <c r="I12986" s="94"/>
      <c r="K12986" s="94"/>
      <c r="M12986" s="94"/>
    </row>
    <row r="12987" s="93" customFormat="1" spans="3:13">
      <c r="C12987" s="94"/>
      <c r="E12987" s="94"/>
      <c r="G12987" s="94"/>
      <c r="I12987" s="94"/>
      <c r="K12987" s="94"/>
      <c r="M12987" s="94"/>
    </row>
    <row r="12988" s="93" customFormat="1" spans="3:13">
      <c r="C12988" s="94"/>
      <c r="E12988" s="94"/>
      <c r="G12988" s="94"/>
      <c r="I12988" s="94"/>
      <c r="K12988" s="94"/>
      <c r="M12988" s="94"/>
    </row>
    <row r="12989" s="93" customFormat="1" spans="3:13">
      <c r="C12989" s="94"/>
      <c r="E12989" s="94"/>
      <c r="G12989" s="94"/>
      <c r="I12989" s="94"/>
      <c r="K12989" s="94"/>
      <c r="M12989" s="94"/>
    </row>
    <row r="12990" s="93" customFormat="1" spans="3:13">
      <c r="C12990" s="94"/>
      <c r="E12990" s="94"/>
      <c r="G12990" s="94"/>
      <c r="I12990" s="94"/>
      <c r="K12990" s="94"/>
      <c r="M12990" s="94"/>
    </row>
    <row r="12991" s="93" customFormat="1" spans="3:13">
      <c r="C12991" s="94"/>
      <c r="E12991" s="94"/>
      <c r="G12991" s="94"/>
      <c r="I12991" s="94"/>
      <c r="K12991" s="94"/>
      <c r="M12991" s="94"/>
    </row>
    <row r="12992" s="93" customFormat="1" spans="3:13">
      <c r="C12992" s="94"/>
      <c r="E12992" s="94"/>
      <c r="G12992" s="94"/>
      <c r="I12992" s="94"/>
      <c r="K12992" s="94"/>
      <c r="M12992" s="94"/>
    </row>
    <row r="12993" s="93" customFormat="1" spans="3:13">
      <c r="C12993" s="94"/>
      <c r="E12993" s="94"/>
      <c r="G12993" s="94"/>
      <c r="I12993" s="94"/>
      <c r="K12993" s="94"/>
      <c r="M12993" s="94"/>
    </row>
    <row r="12994" s="93" customFormat="1" spans="3:13">
      <c r="C12994" s="94"/>
      <c r="E12994" s="94"/>
      <c r="G12994" s="94"/>
      <c r="I12994" s="94"/>
      <c r="K12994" s="94"/>
      <c r="M12994" s="94"/>
    </row>
    <row r="12995" s="93" customFormat="1" spans="3:13">
      <c r="C12995" s="94"/>
      <c r="E12995" s="94"/>
      <c r="G12995" s="94"/>
      <c r="I12995" s="94"/>
      <c r="K12995" s="94"/>
      <c r="M12995" s="94"/>
    </row>
    <row r="12996" s="93" customFormat="1" spans="3:13">
      <c r="C12996" s="94"/>
      <c r="E12996" s="94"/>
      <c r="G12996" s="94"/>
      <c r="I12996" s="94"/>
      <c r="K12996" s="94"/>
      <c r="M12996" s="94"/>
    </row>
    <row r="12997" s="93" customFormat="1" spans="3:13">
      <c r="C12997" s="94"/>
      <c r="E12997" s="94"/>
      <c r="G12997" s="94"/>
      <c r="I12997" s="94"/>
      <c r="K12997" s="94"/>
      <c r="M12997" s="94"/>
    </row>
    <row r="12998" s="93" customFormat="1" spans="3:13">
      <c r="C12998" s="94"/>
      <c r="E12998" s="94"/>
      <c r="G12998" s="94"/>
      <c r="I12998" s="94"/>
      <c r="K12998" s="94"/>
      <c r="M12998" s="94"/>
    </row>
    <row r="12999" s="93" customFormat="1" spans="3:13">
      <c r="C12999" s="94"/>
      <c r="E12999" s="94"/>
      <c r="G12999" s="94"/>
      <c r="I12999" s="94"/>
      <c r="K12999" s="94"/>
      <c r="M12999" s="94"/>
    </row>
    <row r="13000" s="93" customFormat="1" spans="3:13">
      <c r="C13000" s="94"/>
      <c r="E13000" s="94"/>
      <c r="G13000" s="94"/>
      <c r="I13000" s="94"/>
      <c r="K13000" s="94"/>
      <c r="M13000" s="94"/>
    </row>
    <row r="13001" s="93" customFormat="1" spans="3:13">
      <c r="C13001" s="94"/>
      <c r="E13001" s="94"/>
      <c r="G13001" s="94"/>
      <c r="I13001" s="94"/>
      <c r="K13001" s="94"/>
      <c r="M13001" s="94"/>
    </row>
    <row r="13002" s="93" customFormat="1" spans="3:13">
      <c r="C13002" s="94"/>
      <c r="E13002" s="94"/>
      <c r="G13002" s="94"/>
      <c r="I13002" s="94"/>
      <c r="K13002" s="94"/>
      <c r="M13002" s="94"/>
    </row>
    <row r="13003" s="93" customFormat="1" spans="3:13">
      <c r="C13003" s="94"/>
      <c r="E13003" s="94"/>
      <c r="G13003" s="94"/>
      <c r="I13003" s="94"/>
      <c r="K13003" s="94"/>
      <c r="M13003" s="94"/>
    </row>
    <row r="13004" s="93" customFormat="1" spans="3:13">
      <c r="C13004" s="94"/>
      <c r="E13004" s="94"/>
      <c r="G13004" s="94"/>
      <c r="I13004" s="94"/>
      <c r="K13004" s="94"/>
      <c r="M13004" s="94"/>
    </row>
    <row r="13005" s="93" customFormat="1" spans="3:13">
      <c r="C13005" s="94"/>
      <c r="E13005" s="94"/>
      <c r="G13005" s="94"/>
      <c r="I13005" s="94"/>
      <c r="K13005" s="94"/>
      <c r="M13005" s="94"/>
    </row>
    <row r="13006" s="93" customFormat="1" spans="3:13">
      <c r="C13006" s="94"/>
      <c r="E13006" s="94"/>
      <c r="G13006" s="94"/>
      <c r="I13006" s="94"/>
      <c r="K13006" s="94"/>
      <c r="M13006" s="94"/>
    </row>
    <row r="13007" s="93" customFormat="1" spans="3:13">
      <c r="C13007" s="94"/>
      <c r="E13007" s="94"/>
      <c r="G13007" s="94"/>
      <c r="I13007" s="94"/>
      <c r="K13007" s="94"/>
      <c r="M13007" s="94"/>
    </row>
    <row r="13008" s="93" customFormat="1" spans="3:13">
      <c r="C13008" s="94"/>
      <c r="E13008" s="94"/>
      <c r="G13008" s="94"/>
      <c r="I13008" s="94"/>
      <c r="K13008" s="94"/>
      <c r="M13008" s="94"/>
    </row>
    <row r="13009" s="93" customFormat="1" spans="3:13">
      <c r="C13009" s="94"/>
      <c r="E13009" s="94"/>
      <c r="G13009" s="94"/>
      <c r="I13009" s="94"/>
      <c r="K13009" s="94"/>
      <c r="M13009" s="94"/>
    </row>
    <row r="13010" s="93" customFormat="1" spans="3:13">
      <c r="C13010" s="94"/>
      <c r="E13010" s="94"/>
      <c r="G13010" s="94"/>
      <c r="I13010" s="94"/>
      <c r="K13010" s="94"/>
      <c r="M13010" s="94"/>
    </row>
    <row r="13011" s="93" customFormat="1" spans="3:13">
      <c r="C13011" s="94"/>
      <c r="E13011" s="94"/>
      <c r="G13011" s="94"/>
      <c r="I13011" s="94"/>
      <c r="K13011" s="94"/>
      <c r="M13011" s="94"/>
    </row>
    <row r="13012" s="93" customFormat="1" spans="3:13">
      <c r="C13012" s="94"/>
      <c r="E13012" s="94"/>
      <c r="G13012" s="94"/>
      <c r="I13012" s="94"/>
      <c r="K13012" s="94"/>
      <c r="M13012" s="94"/>
    </row>
    <row r="13013" s="93" customFormat="1" spans="3:13">
      <c r="C13013" s="94"/>
      <c r="E13013" s="94"/>
      <c r="G13013" s="94"/>
      <c r="I13013" s="94"/>
      <c r="K13013" s="94"/>
      <c r="M13013" s="94"/>
    </row>
    <row r="13014" s="93" customFormat="1" spans="3:13">
      <c r="C13014" s="94"/>
      <c r="E13014" s="94"/>
      <c r="G13014" s="94"/>
      <c r="I13014" s="94"/>
      <c r="K13014" s="94"/>
      <c r="M13014" s="94"/>
    </row>
    <row r="13015" s="93" customFormat="1" spans="3:13">
      <c r="C13015" s="94"/>
      <c r="E13015" s="94"/>
      <c r="G13015" s="94"/>
      <c r="I13015" s="94"/>
      <c r="K13015" s="94"/>
      <c r="M13015" s="94"/>
    </row>
    <row r="13016" s="93" customFormat="1" spans="3:13">
      <c r="C13016" s="94"/>
      <c r="E13016" s="94"/>
      <c r="G13016" s="94"/>
      <c r="I13016" s="94"/>
      <c r="K13016" s="94"/>
      <c r="M13016" s="94"/>
    </row>
    <row r="13017" s="93" customFormat="1" spans="3:13">
      <c r="C13017" s="94"/>
      <c r="E13017" s="94"/>
      <c r="G13017" s="94"/>
      <c r="I13017" s="94"/>
      <c r="K13017" s="94"/>
      <c r="M13017" s="94"/>
    </row>
    <row r="13018" s="93" customFormat="1" spans="3:13">
      <c r="C13018" s="94"/>
      <c r="E13018" s="94"/>
      <c r="G13018" s="94"/>
      <c r="I13018" s="94"/>
      <c r="K13018" s="94"/>
      <c r="M13018" s="94"/>
    </row>
    <row r="13019" s="93" customFormat="1" spans="3:13">
      <c r="C13019" s="94"/>
      <c r="E13019" s="94"/>
      <c r="G13019" s="94"/>
      <c r="I13019" s="94"/>
      <c r="K13019" s="94"/>
      <c r="M13019" s="94"/>
    </row>
    <row r="13020" s="93" customFormat="1" spans="3:13">
      <c r="C13020" s="94"/>
      <c r="E13020" s="94"/>
      <c r="G13020" s="94"/>
      <c r="I13020" s="94"/>
      <c r="K13020" s="94"/>
      <c r="M13020" s="94"/>
    </row>
    <row r="13021" s="93" customFormat="1" spans="3:13">
      <c r="C13021" s="94"/>
      <c r="E13021" s="94"/>
      <c r="G13021" s="94"/>
      <c r="I13021" s="94"/>
      <c r="K13021" s="94"/>
      <c r="M13021" s="94"/>
    </row>
    <row r="13022" s="93" customFormat="1" spans="3:13">
      <c r="C13022" s="94"/>
      <c r="E13022" s="94"/>
      <c r="G13022" s="94"/>
      <c r="I13022" s="94"/>
      <c r="K13022" s="94"/>
      <c r="M13022" s="94"/>
    </row>
    <row r="13023" s="93" customFormat="1" spans="3:13">
      <c r="C13023" s="94"/>
      <c r="E13023" s="94"/>
      <c r="G13023" s="94"/>
      <c r="I13023" s="94"/>
      <c r="K13023" s="94"/>
      <c r="M13023" s="94"/>
    </row>
    <row r="13024" s="93" customFormat="1" spans="3:13">
      <c r="C13024" s="94"/>
      <c r="E13024" s="94"/>
      <c r="G13024" s="94"/>
      <c r="I13024" s="94"/>
      <c r="K13024" s="94"/>
      <c r="M13024" s="94"/>
    </row>
    <row r="13025" s="93" customFormat="1" spans="3:13">
      <c r="C13025" s="94"/>
      <c r="E13025" s="94"/>
      <c r="G13025" s="94"/>
      <c r="I13025" s="94"/>
      <c r="K13025" s="94"/>
      <c r="M13025" s="94"/>
    </row>
    <row r="13026" s="93" customFormat="1" spans="3:13">
      <c r="C13026" s="94"/>
      <c r="E13026" s="94"/>
      <c r="G13026" s="94"/>
      <c r="I13026" s="94"/>
      <c r="K13026" s="94"/>
      <c r="M13026" s="94"/>
    </row>
    <row r="13027" s="93" customFormat="1" spans="3:13">
      <c r="C13027" s="94"/>
      <c r="E13027" s="94"/>
      <c r="G13027" s="94"/>
      <c r="I13027" s="94"/>
      <c r="K13027" s="94"/>
      <c r="M13027" s="94"/>
    </row>
    <row r="13028" s="93" customFormat="1" spans="3:13">
      <c r="C13028" s="94"/>
      <c r="E13028" s="94"/>
      <c r="G13028" s="94"/>
      <c r="I13028" s="94"/>
      <c r="K13028" s="94"/>
      <c r="M13028" s="94"/>
    </row>
    <row r="13029" s="93" customFormat="1" spans="3:13">
      <c r="C13029" s="94"/>
      <c r="E13029" s="94"/>
      <c r="G13029" s="94"/>
      <c r="I13029" s="94"/>
      <c r="K13029" s="94"/>
      <c r="M13029" s="94"/>
    </row>
    <row r="13030" s="93" customFormat="1" spans="3:13">
      <c r="C13030" s="94"/>
      <c r="E13030" s="94"/>
      <c r="G13030" s="94"/>
      <c r="I13030" s="94"/>
      <c r="K13030" s="94"/>
      <c r="M13030" s="94"/>
    </row>
    <row r="13031" s="93" customFormat="1" spans="3:13">
      <c r="C13031" s="94"/>
      <c r="E13031" s="94"/>
      <c r="G13031" s="94"/>
      <c r="I13031" s="94"/>
      <c r="K13031" s="94"/>
      <c r="M13031" s="94"/>
    </row>
    <row r="13032" s="93" customFormat="1" spans="3:13">
      <c r="C13032" s="94"/>
      <c r="E13032" s="94"/>
      <c r="G13032" s="94"/>
      <c r="I13032" s="94"/>
      <c r="K13032" s="94"/>
      <c r="M13032" s="94"/>
    </row>
    <row r="13033" s="93" customFormat="1" spans="3:13">
      <c r="C13033" s="94"/>
      <c r="E13033" s="94"/>
      <c r="G13033" s="94"/>
      <c r="I13033" s="94"/>
      <c r="K13033" s="94"/>
      <c r="M13033" s="94"/>
    </row>
    <row r="13034" s="93" customFormat="1" spans="3:13">
      <c r="C13034" s="94"/>
      <c r="E13034" s="94"/>
      <c r="G13034" s="94"/>
      <c r="I13034" s="94"/>
      <c r="K13034" s="94"/>
      <c r="M13034" s="94"/>
    </row>
    <row r="13035" s="93" customFormat="1" spans="3:13">
      <c r="C13035" s="94"/>
      <c r="E13035" s="94"/>
      <c r="G13035" s="94"/>
      <c r="I13035" s="94"/>
      <c r="K13035" s="94"/>
      <c r="M13035" s="94"/>
    </row>
    <row r="13036" s="93" customFormat="1" spans="3:13">
      <c r="C13036" s="94"/>
      <c r="E13036" s="94"/>
      <c r="G13036" s="94"/>
      <c r="I13036" s="94"/>
      <c r="K13036" s="94"/>
      <c r="M13036" s="94"/>
    </row>
    <row r="13037" s="93" customFormat="1" spans="3:13">
      <c r="C13037" s="94"/>
      <c r="E13037" s="94"/>
      <c r="G13037" s="94"/>
      <c r="I13037" s="94"/>
      <c r="K13037" s="94"/>
      <c r="M13037" s="94"/>
    </row>
    <row r="13038" s="93" customFormat="1" spans="3:13">
      <c r="C13038" s="94"/>
      <c r="E13038" s="94"/>
      <c r="G13038" s="94"/>
      <c r="I13038" s="94"/>
      <c r="K13038" s="94"/>
      <c r="M13038" s="94"/>
    </row>
    <row r="13039" s="93" customFormat="1" spans="3:13">
      <c r="C13039" s="94"/>
      <c r="E13039" s="94"/>
      <c r="G13039" s="94"/>
      <c r="I13039" s="94"/>
      <c r="K13039" s="94"/>
      <c r="M13039" s="94"/>
    </row>
    <row r="13040" s="93" customFormat="1" spans="3:13">
      <c r="C13040" s="94"/>
      <c r="E13040" s="94"/>
      <c r="G13040" s="94"/>
      <c r="I13040" s="94"/>
      <c r="K13040" s="94"/>
      <c r="M13040" s="94"/>
    </row>
    <row r="13041" s="93" customFormat="1" spans="3:13">
      <c r="C13041" s="94"/>
      <c r="E13041" s="94"/>
      <c r="G13041" s="94"/>
      <c r="I13041" s="94"/>
      <c r="K13041" s="94"/>
      <c r="M13041" s="94"/>
    </row>
    <row r="13042" s="93" customFormat="1" spans="3:13">
      <c r="C13042" s="94"/>
      <c r="E13042" s="94"/>
      <c r="G13042" s="94"/>
      <c r="I13042" s="94"/>
      <c r="K13042" s="94"/>
      <c r="M13042" s="94"/>
    </row>
    <row r="13043" s="93" customFormat="1" spans="3:13">
      <c r="C13043" s="94"/>
      <c r="E13043" s="94"/>
      <c r="G13043" s="94"/>
      <c r="I13043" s="94"/>
      <c r="K13043" s="94"/>
      <c r="M13043" s="94"/>
    </row>
    <row r="13044" s="93" customFormat="1" spans="3:13">
      <c r="C13044" s="94"/>
      <c r="E13044" s="94"/>
      <c r="G13044" s="94"/>
      <c r="I13044" s="94"/>
      <c r="K13044" s="94"/>
      <c r="M13044" s="94"/>
    </row>
    <row r="13045" s="93" customFormat="1" spans="3:13">
      <c r="C13045" s="94"/>
      <c r="E13045" s="94"/>
      <c r="G13045" s="94"/>
      <c r="I13045" s="94"/>
      <c r="K13045" s="94"/>
      <c r="M13045" s="94"/>
    </row>
    <row r="13046" s="93" customFormat="1" spans="3:13">
      <c r="C13046" s="94"/>
      <c r="E13046" s="94"/>
      <c r="G13046" s="94"/>
      <c r="I13046" s="94"/>
      <c r="K13046" s="94"/>
      <c r="M13046" s="94"/>
    </row>
    <row r="13047" s="93" customFormat="1" spans="3:13">
      <c r="C13047" s="94"/>
      <c r="E13047" s="94"/>
      <c r="G13047" s="94"/>
      <c r="I13047" s="94"/>
      <c r="K13047" s="94"/>
      <c r="M13047" s="94"/>
    </row>
    <row r="13048" s="93" customFormat="1" spans="3:13">
      <c r="C13048" s="94"/>
      <c r="E13048" s="94"/>
      <c r="G13048" s="94"/>
      <c r="I13048" s="94"/>
      <c r="K13048" s="94"/>
      <c r="M13048" s="94"/>
    </row>
    <row r="13049" s="93" customFormat="1" spans="3:13">
      <c r="C13049" s="94"/>
      <c r="E13049" s="94"/>
      <c r="G13049" s="94"/>
      <c r="I13049" s="94"/>
      <c r="K13049" s="94"/>
      <c r="M13049" s="94"/>
    </row>
    <row r="13050" s="93" customFormat="1" spans="3:13">
      <c r="C13050" s="94"/>
      <c r="E13050" s="94"/>
      <c r="G13050" s="94"/>
      <c r="I13050" s="94"/>
      <c r="K13050" s="94"/>
      <c r="M13050" s="94"/>
    </row>
    <row r="13051" s="93" customFormat="1" spans="3:13">
      <c r="C13051" s="94"/>
      <c r="E13051" s="94"/>
      <c r="G13051" s="94"/>
      <c r="I13051" s="94"/>
      <c r="K13051" s="94"/>
      <c r="M13051" s="94"/>
    </row>
    <row r="13052" s="93" customFormat="1" spans="3:13">
      <c r="C13052" s="94"/>
      <c r="E13052" s="94"/>
      <c r="G13052" s="94"/>
      <c r="I13052" s="94"/>
      <c r="K13052" s="94"/>
      <c r="M13052" s="94"/>
    </row>
    <row r="13053" s="93" customFormat="1" spans="3:13">
      <c r="C13053" s="94"/>
      <c r="E13053" s="94"/>
      <c r="G13053" s="94"/>
      <c r="I13053" s="94"/>
      <c r="K13053" s="94"/>
      <c r="M13053" s="94"/>
    </row>
    <row r="13054" s="93" customFormat="1" spans="3:13">
      <c r="C13054" s="94"/>
      <c r="E13054" s="94"/>
      <c r="G13054" s="94"/>
      <c r="I13054" s="94"/>
      <c r="K13054" s="94"/>
      <c r="M13054" s="94"/>
    </row>
    <row r="13055" s="93" customFormat="1" spans="3:13">
      <c r="C13055" s="94"/>
      <c r="E13055" s="94"/>
      <c r="G13055" s="94"/>
      <c r="I13055" s="94"/>
      <c r="K13055" s="94"/>
      <c r="M13055" s="94"/>
    </row>
    <row r="13056" s="93" customFormat="1" spans="3:13">
      <c r="C13056" s="94"/>
      <c r="E13056" s="94"/>
      <c r="G13056" s="94"/>
      <c r="I13056" s="94"/>
      <c r="K13056" s="94"/>
      <c r="M13056" s="94"/>
    </row>
    <row r="13057" s="93" customFormat="1" spans="3:13">
      <c r="C13057" s="94"/>
      <c r="E13057" s="94"/>
      <c r="G13057" s="94"/>
      <c r="I13057" s="94"/>
      <c r="K13057" s="94"/>
      <c r="M13057" s="94"/>
    </row>
    <row r="13058" s="93" customFormat="1" spans="3:13">
      <c r="C13058" s="94"/>
      <c r="E13058" s="94"/>
      <c r="G13058" s="94"/>
      <c r="I13058" s="94"/>
      <c r="K13058" s="94"/>
      <c r="M13058" s="94"/>
    </row>
    <row r="13059" s="93" customFormat="1" spans="3:13">
      <c r="C13059" s="94"/>
      <c r="E13059" s="94"/>
      <c r="G13059" s="94"/>
      <c r="I13059" s="94"/>
      <c r="K13059" s="94"/>
      <c r="M13059" s="94"/>
    </row>
    <row r="13060" s="93" customFormat="1" spans="3:13">
      <c r="C13060" s="94"/>
      <c r="E13060" s="94"/>
      <c r="G13060" s="94"/>
      <c r="I13060" s="94"/>
      <c r="K13060" s="94"/>
      <c r="M13060" s="94"/>
    </row>
    <row r="13061" s="93" customFormat="1" spans="3:13">
      <c r="C13061" s="94"/>
      <c r="E13061" s="94"/>
      <c r="G13061" s="94"/>
      <c r="I13061" s="94"/>
      <c r="K13061" s="94"/>
      <c r="M13061" s="94"/>
    </row>
    <row r="13062" s="93" customFormat="1" spans="3:13">
      <c r="C13062" s="94"/>
      <c r="E13062" s="94"/>
      <c r="G13062" s="94"/>
      <c r="I13062" s="94"/>
      <c r="K13062" s="94"/>
      <c r="M13062" s="94"/>
    </row>
    <row r="13063" s="93" customFormat="1" spans="3:13">
      <c r="C13063" s="94"/>
      <c r="E13063" s="94"/>
      <c r="G13063" s="94"/>
      <c r="I13063" s="94"/>
      <c r="K13063" s="94"/>
      <c r="M13063" s="94"/>
    </row>
    <row r="13064" s="93" customFormat="1" spans="3:13">
      <c r="C13064" s="94"/>
      <c r="E13064" s="94"/>
      <c r="G13064" s="94"/>
      <c r="I13064" s="94"/>
      <c r="K13064" s="94"/>
      <c r="M13064" s="94"/>
    </row>
    <row r="13065" s="93" customFormat="1" spans="3:13">
      <c r="C13065" s="94"/>
      <c r="E13065" s="94"/>
      <c r="G13065" s="94"/>
      <c r="I13065" s="94"/>
      <c r="K13065" s="94"/>
      <c r="M13065" s="94"/>
    </row>
    <row r="13066" s="93" customFormat="1" spans="3:13">
      <c r="C13066" s="94"/>
      <c r="E13066" s="94"/>
      <c r="G13066" s="94"/>
      <c r="I13066" s="94"/>
      <c r="K13066" s="94"/>
      <c r="M13066" s="94"/>
    </row>
    <row r="13067" s="93" customFormat="1" spans="3:13">
      <c r="C13067" s="94"/>
      <c r="E13067" s="94"/>
      <c r="G13067" s="94"/>
      <c r="I13067" s="94"/>
      <c r="K13067" s="94"/>
      <c r="M13067" s="94"/>
    </row>
    <row r="13068" s="93" customFormat="1" spans="3:13">
      <c r="C13068" s="94"/>
      <c r="E13068" s="94"/>
      <c r="G13068" s="94"/>
      <c r="I13068" s="94"/>
      <c r="K13068" s="94"/>
      <c r="M13068" s="94"/>
    </row>
    <row r="13069" s="93" customFormat="1" spans="3:13">
      <c r="C13069" s="94"/>
      <c r="E13069" s="94"/>
      <c r="G13069" s="94"/>
      <c r="I13069" s="94"/>
      <c r="K13069" s="94"/>
      <c r="M13069" s="94"/>
    </row>
    <row r="13070" s="93" customFormat="1" spans="3:13">
      <c r="C13070" s="94"/>
      <c r="E13070" s="94"/>
      <c r="G13070" s="94"/>
      <c r="I13070" s="94"/>
      <c r="K13070" s="94"/>
      <c r="M13070" s="94"/>
    </row>
    <row r="13071" s="93" customFormat="1" spans="3:13">
      <c r="C13071" s="94"/>
      <c r="E13071" s="94"/>
      <c r="G13071" s="94"/>
      <c r="I13071" s="94"/>
      <c r="K13071" s="94"/>
      <c r="M13071" s="94"/>
    </row>
    <row r="13072" s="93" customFormat="1" spans="3:13">
      <c r="C13072" s="94"/>
      <c r="E13072" s="94"/>
      <c r="G13072" s="94"/>
      <c r="I13072" s="94"/>
      <c r="K13072" s="94"/>
      <c r="M13072" s="94"/>
    </row>
    <row r="13073" s="93" customFormat="1" spans="3:13">
      <c r="C13073" s="94"/>
      <c r="E13073" s="94"/>
      <c r="G13073" s="94"/>
      <c r="I13073" s="94"/>
      <c r="K13073" s="94"/>
      <c r="M13073" s="94"/>
    </row>
    <row r="13074" s="93" customFormat="1" spans="3:13">
      <c r="C13074" s="94"/>
      <c r="E13074" s="94"/>
      <c r="G13074" s="94"/>
      <c r="I13074" s="94"/>
      <c r="K13074" s="94"/>
      <c r="M13074" s="94"/>
    </row>
    <row r="13075" s="93" customFormat="1" spans="3:13">
      <c r="C13075" s="94"/>
      <c r="E13075" s="94"/>
      <c r="G13075" s="94"/>
      <c r="I13075" s="94"/>
      <c r="K13075" s="94"/>
      <c r="M13075" s="94"/>
    </row>
    <row r="13076" s="93" customFormat="1" spans="3:13">
      <c r="C13076" s="94"/>
      <c r="E13076" s="94"/>
      <c r="G13076" s="94"/>
      <c r="I13076" s="94"/>
      <c r="K13076" s="94"/>
      <c r="M13076" s="94"/>
    </row>
    <row r="13077" s="93" customFormat="1" spans="3:13">
      <c r="C13077" s="94"/>
      <c r="E13077" s="94"/>
      <c r="G13077" s="94"/>
      <c r="I13077" s="94"/>
      <c r="K13077" s="94"/>
      <c r="M13077" s="94"/>
    </row>
    <row r="13078" s="93" customFormat="1" spans="3:13">
      <c r="C13078" s="94"/>
      <c r="E13078" s="94"/>
      <c r="G13078" s="94"/>
      <c r="I13078" s="94"/>
      <c r="K13078" s="94"/>
      <c r="M13078" s="94"/>
    </row>
    <row r="13079" s="93" customFormat="1" spans="3:13">
      <c r="C13079" s="94"/>
      <c r="E13079" s="94"/>
      <c r="G13079" s="94"/>
      <c r="I13079" s="94"/>
      <c r="K13079" s="94"/>
      <c r="M13079" s="94"/>
    </row>
    <row r="13080" s="93" customFormat="1" spans="3:13">
      <c r="C13080" s="94"/>
      <c r="E13080" s="94"/>
      <c r="G13080" s="94"/>
      <c r="I13080" s="94"/>
      <c r="K13080" s="94"/>
      <c r="M13080" s="94"/>
    </row>
    <row r="13081" s="93" customFormat="1" spans="3:13">
      <c r="C13081" s="94"/>
      <c r="E13081" s="94"/>
      <c r="G13081" s="94"/>
      <c r="I13081" s="94"/>
      <c r="K13081" s="94"/>
      <c r="M13081" s="94"/>
    </row>
    <row r="13082" s="93" customFormat="1" spans="3:13">
      <c r="C13082" s="94"/>
      <c r="E13082" s="94"/>
      <c r="G13082" s="94"/>
      <c r="I13082" s="94"/>
      <c r="K13082" s="94"/>
      <c r="M13082" s="94"/>
    </row>
    <row r="13083" s="93" customFormat="1" spans="3:13">
      <c r="C13083" s="94"/>
      <c r="E13083" s="94"/>
      <c r="G13083" s="94"/>
      <c r="I13083" s="94"/>
      <c r="K13083" s="94"/>
      <c r="M13083" s="94"/>
    </row>
    <row r="13084" s="93" customFormat="1" spans="3:13">
      <c r="C13084" s="94"/>
      <c r="E13084" s="94"/>
      <c r="G13084" s="94"/>
      <c r="I13084" s="94"/>
      <c r="K13084" s="94"/>
      <c r="M13084" s="94"/>
    </row>
    <row r="13085" s="93" customFormat="1" spans="3:13">
      <c r="C13085" s="94"/>
      <c r="E13085" s="94"/>
      <c r="G13085" s="94"/>
      <c r="I13085" s="94"/>
      <c r="K13085" s="94"/>
      <c r="M13085" s="94"/>
    </row>
    <row r="13086" s="93" customFormat="1" spans="3:13">
      <c r="C13086" s="94"/>
      <c r="E13086" s="94"/>
      <c r="G13086" s="94"/>
      <c r="I13086" s="94"/>
      <c r="K13086" s="94"/>
      <c r="M13086" s="94"/>
    </row>
    <row r="13087" s="93" customFormat="1" spans="3:13">
      <c r="C13087" s="94"/>
      <c r="E13087" s="94"/>
      <c r="G13087" s="94"/>
      <c r="I13087" s="94"/>
      <c r="K13087" s="94"/>
      <c r="M13087" s="94"/>
    </row>
    <row r="13088" s="93" customFormat="1" spans="3:13">
      <c r="C13088" s="94"/>
      <c r="E13088" s="94"/>
      <c r="G13088" s="94"/>
      <c r="I13088" s="94"/>
      <c r="K13088" s="94"/>
      <c r="M13088" s="94"/>
    </row>
    <row r="13089" s="93" customFormat="1" spans="3:13">
      <c r="C13089" s="94"/>
      <c r="E13089" s="94"/>
      <c r="G13089" s="94"/>
      <c r="I13089" s="94"/>
      <c r="K13089" s="94"/>
      <c r="M13089" s="94"/>
    </row>
    <row r="13090" s="93" customFormat="1" spans="3:13">
      <c r="C13090" s="94"/>
      <c r="E13090" s="94"/>
      <c r="G13090" s="94"/>
      <c r="I13090" s="94"/>
      <c r="K13090" s="94"/>
      <c r="M13090" s="94"/>
    </row>
    <row r="13091" s="93" customFormat="1" spans="3:13">
      <c r="C13091" s="94"/>
      <c r="E13091" s="94"/>
      <c r="G13091" s="94"/>
      <c r="I13091" s="94"/>
      <c r="K13091" s="94"/>
      <c r="M13091" s="94"/>
    </row>
    <row r="13092" s="93" customFormat="1" spans="3:13">
      <c r="C13092" s="94"/>
      <c r="E13092" s="94"/>
      <c r="G13092" s="94"/>
      <c r="I13092" s="94"/>
      <c r="K13092" s="94"/>
      <c r="M13092" s="94"/>
    </row>
    <row r="13093" s="93" customFormat="1" spans="3:13">
      <c r="C13093" s="94"/>
      <c r="E13093" s="94"/>
      <c r="G13093" s="94"/>
      <c r="I13093" s="94"/>
      <c r="K13093" s="94"/>
      <c r="M13093" s="94"/>
    </row>
    <row r="13094" s="93" customFormat="1" spans="3:13">
      <c r="C13094" s="94"/>
      <c r="E13094" s="94"/>
      <c r="G13094" s="94"/>
      <c r="I13094" s="94"/>
      <c r="K13094" s="94"/>
      <c r="M13094" s="94"/>
    </row>
    <row r="13095" s="93" customFormat="1" spans="3:13">
      <c r="C13095" s="94"/>
      <c r="E13095" s="94"/>
      <c r="G13095" s="94"/>
      <c r="I13095" s="94"/>
      <c r="K13095" s="94"/>
      <c r="M13095" s="94"/>
    </row>
    <row r="13096" s="93" customFormat="1" spans="3:13">
      <c r="C13096" s="94"/>
      <c r="E13096" s="94"/>
      <c r="G13096" s="94"/>
      <c r="I13096" s="94"/>
      <c r="K13096" s="94"/>
      <c r="M13096" s="94"/>
    </row>
    <row r="13097" s="93" customFormat="1" spans="3:13">
      <c r="C13097" s="94"/>
      <c r="E13097" s="94"/>
      <c r="G13097" s="94"/>
      <c r="I13097" s="94"/>
      <c r="K13097" s="94"/>
      <c r="M13097" s="94"/>
    </row>
    <row r="13098" s="93" customFormat="1" spans="3:13">
      <c r="C13098" s="94"/>
      <c r="E13098" s="94"/>
      <c r="G13098" s="94"/>
      <c r="I13098" s="94"/>
      <c r="K13098" s="94"/>
      <c r="M13098" s="94"/>
    </row>
    <row r="13099" s="93" customFormat="1" spans="3:13">
      <c r="C13099" s="94"/>
      <c r="E13099" s="94"/>
      <c r="G13099" s="94"/>
      <c r="I13099" s="94"/>
      <c r="K13099" s="94"/>
      <c r="M13099" s="94"/>
    </row>
    <row r="13100" s="93" customFormat="1" spans="3:13">
      <c r="C13100" s="94"/>
      <c r="E13100" s="94"/>
      <c r="G13100" s="94"/>
      <c r="I13100" s="94"/>
      <c r="K13100" s="94"/>
      <c r="M13100" s="94"/>
    </row>
    <row r="13101" s="93" customFormat="1" spans="3:13">
      <c r="C13101" s="94"/>
      <c r="E13101" s="94"/>
      <c r="G13101" s="94"/>
      <c r="I13101" s="94"/>
      <c r="K13101" s="94"/>
      <c r="M13101" s="94"/>
    </row>
    <row r="13102" s="93" customFormat="1" spans="3:13">
      <c r="C13102" s="94"/>
      <c r="E13102" s="94"/>
      <c r="G13102" s="94"/>
      <c r="I13102" s="94"/>
      <c r="K13102" s="94"/>
      <c r="M13102" s="94"/>
    </row>
    <row r="13103" s="93" customFormat="1" spans="3:13">
      <c r="C13103" s="94"/>
      <c r="E13103" s="94"/>
      <c r="G13103" s="94"/>
      <c r="I13103" s="94"/>
      <c r="K13103" s="94"/>
      <c r="M13103" s="94"/>
    </row>
    <row r="13104" s="93" customFormat="1" spans="3:13">
      <c r="C13104" s="94"/>
      <c r="E13104" s="94"/>
      <c r="G13104" s="94"/>
      <c r="I13104" s="94"/>
      <c r="K13104" s="94"/>
      <c r="M13104" s="94"/>
    </row>
    <row r="13105" s="93" customFormat="1" spans="3:13">
      <c r="C13105" s="94"/>
      <c r="E13105" s="94"/>
      <c r="G13105" s="94"/>
      <c r="I13105" s="94"/>
      <c r="K13105" s="94"/>
      <c r="M13105" s="94"/>
    </row>
    <row r="13106" s="93" customFormat="1" spans="3:13">
      <c r="C13106" s="94"/>
      <c r="E13106" s="94"/>
      <c r="G13106" s="94"/>
      <c r="I13106" s="94"/>
      <c r="K13106" s="94"/>
      <c r="M13106" s="94"/>
    </row>
    <row r="13107" s="93" customFormat="1" spans="3:13">
      <c r="C13107" s="94"/>
      <c r="E13107" s="94"/>
      <c r="G13107" s="94"/>
      <c r="I13107" s="94"/>
      <c r="K13107" s="94"/>
      <c r="M13107" s="94"/>
    </row>
    <row r="13108" s="93" customFormat="1" spans="3:13">
      <c r="C13108" s="94"/>
      <c r="E13108" s="94"/>
      <c r="G13108" s="94"/>
      <c r="I13108" s="94"/>
      <c r="K13108" s="94"/>
      <c r="M13108" s="94"/>
    </row>
    <row r="13109" s="93" customFormat="1" spans="3:13">
      <c r="C13109" s="94"/>
      <c r="E13109" s="94"/>
      <c r="G13109" s="94"/>
      <c r="I13109" s="94"/>
      <c r="K13109" s="94"/>
      <c r="M13109" s="94"/>
    </row>
    <row r="13110" s="93" customFormat="1" spans="3:13">
      <c r="C13110" s="94"/>
      <c r="E13110" s="94"/>
      <c r="G13110" s="94"/>
      <c r="I13110" s="94"/>
      <c r="K13110" s="94"/>
      <c r="M13110" s="94"/>
    </row>
    <row r="13111" s="93" customFormat="1" spans="3:13">
      <c r="C13111" s="94"/>
      <c r="E13111" s="94"/>
      <c r="G13111" s="94"/>
      <c r="I13111" s="94"/>
      <c r="K13111" s="94"/>
      <c r="M13111" s="94"/>
    </row>
    <row r="13112" s="93" customFormat="1" spans="3:13">
      <c r="C13112" s="94"/>
      <c r="E13112" s="94"/>
      <c r="G13112" s="94"/>
      <c r="I13112" s="94"/>
      <c r="K13112" s="94"/>
      <c r="M13112" s="94"/>
    </row>
    <row r="13113" s="93" customFormat="1" spans="3:13">
      <c r="C13113" s="94"/>
      <c r="E13113" s="94"/>
      <c r="G13113" s="94"/>
      <c r="I13113" s="94"/>
      <c r="K13113" s="94"/>
      <c r="M13113" s="94"/>
    </row>
    <row r="13114" s="93" customFormat="1" spans="3:13">
      <c r="C13114" s="94"/>
      <c r="E13114" s="94"/>
      <c r="G13114" s="94"/>
      <c r="I13114" s="94"/>
      <c r="K13114" s="94"/>
      <c r="M13114" s="94"/>
    </row>
    <row r="13115" s="93" customFormat="1" spans="3:13">
      <c r="C13115" s="94"/>
      <c r="E13115" s="94"/>
      <c r="G13115" s="94"/>
      <c r="I13115" s="94"/>
      <c r="K13115" s="94"/>
      <c r="M13115" s="94"/>
    </row>
    <row r="13116" s="93" customFormat="1" spans="3:13">
      <c r="C13116" s="94"/>
      <c r="E13116" s="94"/>
      <c r="G13116" s="94"/>
      <c r="I13116" s="94"/>
      <c r="K13116" s="94"/>
      <c r="M13116" s="94"/>
    </row>
    <row r="13117" s="93" customFormat="1" spans="3:13">
      <c r="C13117" s="94"/>
      <c r="E13117" s="94"/>
      <c r="G13117" s="94"/>
      <c r="I13117" s="94"/>
      <c r="K13117" s="94"/>
      <c r="M13117" s="94"/>
    </row>
    <row r="13118" s="93" customFormat="1" spans="3:13">
      <c r="C13118" s="94"/>
      <c r="E13118" s="94"/>
      <c r="G13118" s="94"/>
      <c r="I13118" s="94"/>
      <c r="K13118" s="94"/>
      <c r="M13118" s="94"/>
    </row>
    <row r="13119" s="93" customFormat="1" spans="3:13">
      <c r="C13119" s="94"/>
      <c r="E13119" s="94"/>
      <c r="G13119" s="94"/>
      <c r="I13119" s="94"/>
      <c r="K13119" s="94"/>
      <c r="M13119" s="94"/>
    </row>
    <row r="13120" s="93" customFormat="1" spans="3:13">
      <c r="C13120" s="94"/>
      <c r="E13120" s="94"/>
      <c r="G13120" s="94"/>
      <c r="I13120" s="94"/>
      <c r="K13120" s="94"/>
      <c r="M13120" s="94"/>
    </row>
    <row r="13121" s="93" customFormat="1" spans="3:13">
      <c r="C13121" s="94"/>
      <c r="E13121" s="94"/>
      <c r="G13121" s="94"/>
      <c r="I13121" s="94"/>
      <c r="K13121" s="94"/>
      <c r="M13121" s="94"/>
    </row>
    <row r="13122" s="93" customFormat="1" spans="3:13">
      <c r="C13122" s="94"/>
      <c r="E13122" s="94"/>
      <c r="G13122" s="94"/>
      <c r="I13122" s="94"/>
      <c r="K13122" s="94"/>
      <c r="M13122" s="94"/>
    </row>
    <row r="13123" s="93" customFormat="1" spans="3:13">
      <c r="C13123" s="94"/>
      <c r="E13123" s="94"/>
      <c r="G13123" s="94"/>
      <c r="I13123" s="94"/>
      <c r="K13123" s="94"/>
      <c r="M13123" s="94"/>
    </row>
    <row r="13124" s="93" customFormat="1" spans="3:13">
      <c r="C13124" s="94"/>
      <c r="E13124" s="94"/>
      <c r="G13124" s="94"/>
      <c r="I13124" s="94"/>
      <c r="K13124" s="94"/>
      <c r="M13124" s="94"/>
    </row>
    <row r="13125" s="93" customFormat="1" spans="3:13">
      <c r="C13125" s="94"/>
      <c r="E13125" s="94"/>
      <c r="G13125" s="94"/>
      <c r="I13125" s="94"/>
      <c r="K13125" s="94"/>
      <c r="M13125" s="94"/>
    </row>
    <row r="13126" s="93" customFormat="1" spans="3:13">
      <c r="C13126" s="94"/>
      <c r="E13126" s="94"/>
      <c r="G13126" s="94"/>
      <c r="I13126" s="94"/>
      <c r="K13126" s="94"/>
      <c r="M13126" s="94"/>
    </row>
    <row r="13127" s="93" customFormat="1" spans="3:13">
      <c r="C13127" s="94"/>
      <c r="E13127" s="94"/>
      <c r="G13127" s="94"/>
      <c r="I13127" s="94"/>
      <c r="K13127" s="94"/>
      <c r="M13127" s="94"/>
    </row>
    <row r="13128" s="93" customFormat="1" spans="3:13">
      <c r="C13128" s="94"/>
      <c r="E13128" s="94"/>
      <c r="G13128" s="94"/>
      <c r="I13128" s="94"/>
      <c r="K13128" s="94"/>
      <c r="M13128" s="94"/>
    </row>
    <row r="13129" s="93" customFormat="1" spans="3:13">
      <c r="C13129" s="94"/>
      <c r="E13129" s="94"/>
      <c r="G13129" s="94"/>
      <c r="I13129" s="94"/>
      <c r="K13129" s="94"/>
      <c r="M13129" s="94"/>
    </row>
    <row r="13130" s="93" customFormat="1" spans="3:13">
      <c r="C13130" s="94"/>
      <c r="E13130" s="94"/>
      <c r="G13130" s="94"/>
      <c r="I13130" s="94"/>
      <c r="K13130" s="94"/>
      <c r="M13130" s="94"/>
    </row>
    <row r="13131" s="93" customFormat="1" spans="3:13">
      <c r="C13131" s="94"/>
      <c r="E13131" s="94"/>
      <c r="G13131" s="94"/>
      <c r="I13131" s="94"/>
      <c r="K13131" s="94"/>
      <c r="M13131" s="94"/>
    </row>
    <row r="13132" s="93" customFormat="1" spans="3:13">
      <c r="C13132" s="94"/>
      <c r="E13132" s="94"/>
      <c r="G13132" s="94"/>
      <c r="I13132" s="94"/>
      <c r="K13132" s="94"/>
      <c r="M13132" s="94"/>
    </row>
    <row r="13133" s="93" customFormat="1" spans="3:13">
      <c r="C13133" s="94"/>
      <c r="E13133" s="94"/>
      <c r="G13133" s="94"/>
      <c r="I13133" s="94"/>
      <c r="K13133" s="94"/>
      <c r="M13133" s="94"/>
    </row>
    <row r="13134" s="93" customFormat="1" spans="3:13">
      <c r="C13134" s="94"/>
      <c r="E13134" s="94"/>
      <c r="G13134" s="94"/>
      <c r="I13134" s="94"/>
      <c r="K13134" s="94"/>
      <c r="M13134" s="94"/>
    </row>
    <row r="13135" s="93" customFormat="1" spans="3:13">
      <c r="C13135" s="94"/>
      <c r="E13135" s="94"/>
      <c r="G13135" s="94"/>
      <c r="I13135" s="94"/>
      <c r="K13135" s="94"/>
      <c r="M13135" s="94"/>
    </row>
    <row r="13136" s="93" customFormat="1" spans="3:13">
      <c r="C13136" s="94"/>
      <c r="E13136" s="94"/>
      <c r="G13136" s="94"/>
      <c r="I13136" s="94"/>
      <c r="K13136" s="94"/>
      <c r="M13136" s="94"/>
    </row>
    <row r="13137" s="93" customFormat="1" spans="3:13">
      <c r="C13137" s="94"/>
      <c r="E13137" s="94"/>
      <c r="G13137" s="94"/>
      <c r="I13137" s="94"/>
      <c r="K13137" s="94"/>
      <c r="M13137" s="94"/>
    </row>
    <row r="13138" s="93" customFormat="1" spans="3:13">
      <c r="C13138" s="94"/>
      <c r="E13138" s="94"/>
      <c r="G13138" s="94"/>
      <c r="I13138" s="94"/>
      <c r="K13138" s="94"/>
      <c r="M13138" s="94"/>
    </row>
    <row r="13139" s="93" customFormat="1" spans="3:13">
      <c r="C13139" s="94"/>
      <c r="E13139" s="94"/>
      <c r="G13139" s="94"/>
      <c r="I13139" s="94"/>
      <c r="K13139" s="94"/>
      <c r="M13139" s="94"/>
    </row>
    <row r="13140" s="93" customFormat="1" spans="3:13">
      <c r="C13140" s="94"/>
      <c r="E13140" s="94"/>
      <c r="G13140" s="94"/>
      <c r="I13140" s="94"/>
      <c r="K13140" s="94"/>
      <c r="M13140" s="94"/>
    </row>
    <row r="13141" s="93" customFormat="1" spans="3:13">
      <c r="C13141" s="94"/>
      <c r="E13141" s="94"/>
      <c r="G13141" s="94"/>
      <c r="I13141" s="94"/>
      <c r="K13141" s="94"/>
      <c r="M13141" s="94"/>
    </row>
    <row r="13142" s="93" customFormat="1" spans="3:13">
      <c r="C13142" s="94"/>
      <c r="E13142" s="94"/>
      <c r="G13142" s="94"/>
      <c r="I13142" s="94"/>
      <c r="K13142" s="94"/>
      <c r="M13142" s="94"/>
    </row>
    <row r="13143" s="93" customFormat="1" spans="3:13">
      <c r="C13143" s="94"/>
      <c r="E13143" s="94"/>
      <c r="G13143" s="94"/>
      <c r="I13143" s="94"/>
      <c r="K13143" s="94"/>
      <c r="M13143" s="94"/>
    </row>
    <row r="13144" s="93" customFormat="1" spans="3:13">
      <c r="C13144" s="94"/>
      <c r="E13144" s="94"/>
      <c r="G13144" s="94"/>
      <c r="I13144" s="94"/>
      <c r="K13144" s="94"/>
      <c r="M13144" s="94"/>
    </row>
    <row r="13145" s="93" customFormat="1" spans="3:13">
      <c r="C13145" s="94"/>
      <c r="E13145" s="94"/>
      <c r="G13145" s="94"/>
      <c r="I13145" s="94"/>
      <c r="K13145" s="94"/>
      <c r="M13145" s="94"/>
    </row>
    <row r="13146" s="93" customFormat="1" spans="3:13">
      <c r="C13146" s="94"/>
      <c r="E13146" s="94"/>
      <c r="G13146" s="94"/>
      <c r="I13146" s="94"/>
      <c r="K13146" s="94"/>
      <c r="M13146" s="94"/>
    </row>
    <row r="13147" s="93" customFormat="1" spans="3:13">
      <c r="C13147" s="94"/>
      <c r="E13147" s="94"/>
      <c r="G13147" s="94"/>
      <c r="I13147" s="94"/>
      <c r="K13147" s="94"/>
      <c r="M13147" s="94"/>
    </row>
    <row r="13148" s="93" customFormat="1" spans="3:13">
      <c r="C13148" s="94"/>
      <c r="E13148" s="94"/>
      <c r="G13148" s="94"/>
      <c r="I13148" s="94"/>
      <c r="K13148" s="94"/>
      <c r="M13148" s="94"/>
    </row>
    <row r="13149" s="93" customFormat="1" spans="3:13">
      <c r="C13149" s="94"/>
      <c r="E13149" s="94"/>
      <c r="G13149" s="94"/>
      <c r="I13149" s="94"/>
      <c r="K13149" s="94"/>
      <c r="M13149" s="94"/>
    </row>
    <row r="13150" s="93" customFormat="1" spans="3:13">
      <c r="C13150" s="94"/>
      <c r="E13150" s="94"/>
      <c r="G13150" s="94"/>
      <c r="I13150" s="94"/>
      <c r="K13150" s="94"/>
      <c r="M13150" s="94"/>
    </row>
    <row r="13151" s="93" customFormat="1" spans="3:13">
      <c r="C13151" s="94"/>
      <c r="E13151" s="94"/>
      <c r="G13151" s="94"/>
      <c r="I13151" s="94"/>
      <c r="K13151" s="94"/>
      <c r="M13151" s="94"/>
    </row>
    <row r="13152" s="93" customFormat="1" spans="3:13">
      <c r="C13152" s="94"/>
      <c r="E13152" s="94"/>
      <c r="G13152" s="94"/>
      <c r="I13152" s="94"/>
      <c r="K13152" s="94"/>
      <c r="M13152" s="94"/>
    </row>
    <row r="13153" s="93" customFormat="1" spans="3:13">
      <c r="C13153" s="94"/>
      <c r="E13153" s="94"/>
      <c r="G13153" s="94"/>
      <c r="I13153" s="94"/>
      <c r="K13153" s="94"/>
      <c r="M13153" s="94"/>
    </row>
    <row r="13154" s="93" customFormat="1" spans="3:13">
      <c r="C13154" s="94"/>
      <c r="E13154" s="94"/>
      <c r="G13154" s="94"/>
      <c r="I13154" s="94"/>
      <c r="K13154" s="94"/>
      <c r="M13154" s="94"/>
    </row>
    <row r="13155" s="93" customFormat="1" spans="3:13">
      <c r="C13155" s="94"/>
      <c r="E13155" s="94"/>
      <c r="G13155" s="94"/>
      <c r="I13155" s="94"/>
      <c r="K13155" s="94"/>
      <c r="M13155" s="94"/>
    </row>
    <row r="13156" s="93" customFormat="1" spans="3:13">
      <c r="C13156" s="94"/>
      <c r="E13156" s="94"/>
      <c r="G13156" s="94"/>
      <c r="I13156" s="94"/>
      <c r="K13156" s="94"/>
      <c r="M13156" s="94"/>
    </row>
    <row r="13157" s="93" customFormat="1" spans="3:13">
      <c r="C13157" s="94"/>
      <c r="E13157" s="94"/>
      <c r="G13157" s="94"/>
      <c r="I13157" s="94"/>
      <c r="K13157" s="94"/>
      <c r="M13157" s="94"/>
    </row>
    <row r="13158" s="93" customFormat="1" spans="3:13">
      <c r="C13158" s="94"/>
      <c r="E13158" s="94"/>
      <c r="G13158" s="94"/>
      <c r="I13158" s="94"/>
      <c r="K13158" s="94"/>
      <c r="M13158" s="94"/>
    </row>
    <row r="13159" s="93" customFormat="1" spans="3:13">
      <c r="C13159" s="94"/>
      <c r="E13159" s="94"/>
      <c r="G13159" s="94"/>
      <c r="I13159" s="94"/>
      <c r="K13159" s="94"/>
      <c r="M13159" s="94"/>
    </row>
    <row r="13160" s="93" customFormat="1" spans="3:13">
      <c r="C13160" s="94"/>
      <c r="E13160" s="94"/>
      <c r="G13160" s="94"/>
      <c r="I13160" s="94"/>
      <c r="K13160" s="94"/>
      <c r="M13160" s="94"/>
    </row>
    <row r="13161" s="93" customFormat="1" spans="3:13">
      <c r="C13161" s="94"/>
      <c r="E13161" s="94"/>
      <c r="G13161" s="94"/>
      <c r="I13161" s="94"/>
      <c r="K13161" s="94"/>
      <c r="M13161" s="94"/>
    </row>
    <row r="13162" s="93" customFormat="1" spans="3:13">
      <c r="C13162" s="94"/>
      <c r="E13162" s="94"/>
      <c r="G13162" s="94"/>
      <c r="I13162" s="94"/>
      <c r="K13162" s="94"/>
      <c r="M13162" s="94"/>
    </row>
    <row r="13163" s="93" customFormat="1" spans="3:13">
      <c r="C13163" s="94"/>
      <c r="E13163" s="94"/>
      <c r="G13163" s="94"/>
      <c r="I13163" s="94"/>
      <c r="K13163" s="94"/>
      <c r="M13163" s="94"/>
    </row>
    <row r="13164" s="93" customFormat="1" spans="3:13">
      <c r="C13164" s="94"/>
      <c r="E13164" s="94"/>
      <c r="G13164" s="94"/>
      <c r="I13164" s="94"/>
      <c r="K13164" s="94"/>
      <c r="M13164" s="94"/>
    </row>
    <row r="13165" s="93" customFormat="1" spans="3:13">
      <c r="C13165" s="94"/>
      <c r="E13165" s="94"/>
      <c r="G13165" s="94"/>
      <c r="I13165" s="94"/>
      <c r="K13165" s="94"/>
      <c r="M13165" s="94"/>
    </row>
    <row r="13166" s="93" customFormat="1" spans="3:13">
      <c r="C13166" s="94"/>
      <c r="E13166" s="94"/>
      <c r="G13166" s="94"/>
      <c r="I13166" s="94"/>
      <c r="K13166" s="94"/>
      <c r="M13166" s="94"/>
    </row>
    <row r="13167" s="93" customFormat="1" spans="3:13">
      <c r="C13167" s="94"/>
      <c r="E13167" s="94"/>
      <c r="G13167" s="94"/>
      <c r="I13167" s="94"/>
      <c r="K13167" s="94"/>
      <c r="M13167" s="94"/>
    </row>
    <row r="13168" s="93" customFormat="1" spans="3:13">
      <c r="C13168" s="94"/>
      <c r="E13168" s="94"/>
      <c r="G13168" s="94"/>
      <c r="I13168" s="94"/>
      <c r="K13168" s="94"/>
      <c r="M13168" s="94"/>
    </row>
    <row r="13169" s="93" customFormat="1" spans="3:13">
      <c r="C13169" s="94"/>
      <c r="E13169" s="94"/>
      <c r="G13169" s="94"/>
      <c r="I13169" s="94"/>
      <c r="K13169" s="94"/>
      <c r="M13169" s="94"/>
    </row>
    <row r="13170" s="93" customFormat="1" spans="3:13">
      <c r="C13170" s="94"/>
      <c r="E13170" s="94"/>
      <c r="G13170" s="94"/>
      <c r="I13170" s="94"/>
      <c r="K13170" s="94"/>
      <c r="M13170" s="94"/>
    </row>
    <row r="13171" s="93" customFormat="1" spans="3:13">
      <c r="C13171" s="94"/>
      <c r="E13171" s="94"/>
      <c r="G13171" s="94"/>
      <c r="I13171" s="94"/>
      <c r="K13171" s="94"/>
      <c r="M13171" s="94"/>
    </row>
    <row r="13172" s="93" customFormat="1" spans="3:13">
      <c r="C13172" s="94"/>
      <c r="E13172" s="94"/>
      <c r="G13172" s="94"/>
      <c r="I13172" s="94"/>
      <c r="K13172" s="94"/>
      <c r="M13172" s="94"/>
    </row>
    <row r="13173" s="93" customFormat="1" spans="3:13">
      <c r="C13173" s="94"/>
      <c r="E13173" s="94"/>
      <c r="G13173" s="94"/>
      <c r="I13173" s="94"/>
      <c r="K13173" s="94"/>
      <c r="M13173" s="94"/>
    </row>
    <row r="13174" s="93" customFormat="1" spans="3:13">
      <c r="C13174" s="94"/>
      <c r="E13174" s="94"/>
      <c r="G13174" s="94"/>
      <c r="I13174" s="94"/>
      <c r="K13174" s="94"/>
      <c r="M13174" s="94"/>
    </row>
    <row r="13175" s="93" customFormat="1" spans="3:13">
      <c r="C13175" s="94"/>
      <c r="E13175" s="94"/>
      <c r="G13175" s="94"/>
      <c r="I13175" s="94"/>
      <c r="K13175" s="94"/>
      <c r="M13175" s="94"/>
    </row>
    <row r="13176" s="93" customFormat="1" spans="3:13">
      <c r="C13176" s="94"/>
      <c r="E13176" s="94"/>
      <c r="G13176" s="94"/>
      <c r="I13176" s="94"/>
      <c r="K13176" s="94"/>
      <c r="M13176" s="94"/>
    </row>
    <row r="13177" s="93" customFormat="1" spans="3:13">
      <c r="C13177" s="94"/>
      <c r="E13177" s="94"/>
      <c r="G13177" s="94"/>
      <c r="I13177" s="94"/>
      <c r="K13177" s="94"/>
      <c r="M13177" s="94"/>
    </row>
    <row r="13178" s="93" customFormat="1" spans="3:13">
      <c r="C13178" s="94"/>
      <c r="E13178" s="94"/>
      <c r="G13178" s="94"/>
      <c r="I13178" s="94"/>
      <c r="K13178" s="94"/>
      <c r="M13178" s="94"/>
    </row>
    <row r="13179" s="93" customFormat="1" spans="3:13">
      <c r="C13179" s="94"/>
      <c r="E13179" s="94"/>
      <c r="G13179" s="94"/>
      <c r="I13179" s="94"/>
      <c r="K13179" s="94"/>
      <c r="M13179" s="94"/>
    </row>
    <row r="13180" s="93" customFormat="1" spans="3:13">
      <c r="C13180" s="94"/>
      <c r="E13180" s="94"/>
      <c r="G13180" s="94"/>
      <c r="I13180" s="94"/>
      <c r="K13180" s="94"/>
      <c r="M13180" s="94"/>
    </row>
    <row r="13181" s="93" customFormat="1" spans="3:13">
      <c r="C13181" s="94"/>
      <c r="E13181" s="94"/>
      <c r="G13181" s="94"/>
      <c r="I13181" s="94"/>
      <c r="K13181" s="94"/>
      <c r="M13181" s="94"/>
    </row>
    <row r="13182" s="93" customFormat="1" spans="3:13">
      <c r="C13182" s="94"/>
      <c r="E13182" s="94"/>
      <c r="G13182" s="94"/>
      <c r="I13182" s="94"/>
      <c r="K13182" s="94"/>
      <c r="M13182" s="94"/>
    </row>
    <row r="13183" s="93" customFormat="1" spans="3:13">
      <c r="C13183" s="94"/>
      <c r="E13183" s="94"/>
      <c r="G13183" s="94"/>
      <c r="I13183" s="94"/>
      <c r="K13183" s="94"/>
      <c r="M13183" s="94"/>
    </row>
    <row r="13184" s="93" customFormat="1" spans="3:13">
      <c r="C13184" s="94"/>
      <c r="E13184" s="94"/>
      <c r="G13184" s="94"/>
      <c r="I13184" s="94"/>
      <c r="K13184" s="94"/>
      <c r="M13184" s="94"/>
    </row>
    <row r="13185" s="93" customFormat="1" spans="3:13">
      <c r="C13185" s="94"/>
      <c r="E13185" s="94"/>
      <c r="G13185" s="94"/>
      <c r="I13185" s="94"/>
      <c r="K13185" s="94"/>
      <c r="M13185" s="94"/>
    </row>
    <row r="13186" s="93" customFormat="1" spans="3:13">
      <c r="C13186" s="94"/>
      <c r="E13186" s="94"/>
      <c r="G13186" s="94"/>
      <c r="I13186" s="94"/>
      <c r="K13186" s="94"/>
      <c r="M13186" s="94"/>
    </row>
    <row r="13187" s="93" customFormat="1" spans="3:13">
      <c r="C13187" s="94"/>
      <c r="E13187" s="94"/>
      <c r="G13187" s="94"/>
      <c r="I13187" s="94"/>
      <c r="K13187" s="94"/>
      <c r="M13187" s="94"/>
    </row>
    <row r="13188" s="93" customFormat="1" spans="3:13">
      <c r="C13188" s="94"/>
      <c r="E13188" s="94"/>
      <c r="G13188" s="94"/>
      <c r="I13188" s="94"/>
      <c r="K13188" s="94"/>
      <c r="M13188" s="94"/>
    </row>
    <row r="13189" s="93" customFormat="1" spans="3:13">
      <c r="C13189" s="94"/>
      <c r="E13189" s="94"/>
      <c r="G13189" s="94"/>
      <c r="I13189" s="94"/>
      <c r="K13189" s="94"/>
      <c r="M13189" s="94"/>
    </row>
    <row r="13190" s="93" customFormat="1" spans="3:13">
      <c r="C13190" s="94"/>
      <c r="E13190" s="94"/>
      <c r="G13190" s="94"/>
      <c r="I13190" s="94"/>
      <c r="K13190" s="94"/>
      <c r="M13190" s="94"/>
    </row>
    <row r="13191" s="93" customFormat="1" spans="3:13">
      <c r="C13191" s="94"/>
      <c r="E13191" s="94"/>
      <c r="G13191" s="94"/>
      <c r="I13191" s="94"/>
      <c r="K13191" s="94"/>
      <c r="M13191" s="94"/>
    </row>
    <row r="13192" s="93" customFormat="1" spans="3:13">
      <c r="C13192" s="94"/>
      <c r="E13192" s="94"/>
      <c r="G13192" s="94"/>
      <c r="I13192" s="94"/>
      <c r="K13192" s="94"/>
      <c r="M13192" s="94"/>
    </row>
    <row r="13193" s="93" customFormat="1" spans="3:13">
      <c r="C13193" s="94"/>
      <c r="E13193" s="94"/>
      <c r="G13193" s="94"/>
      <c r="I13193" s="94"/>
      <c r="K13193" s="94"/>
      <c r="M13193" s="94"/>
    </row>
    <row r="13194" s="93" customFormat="1" spans="3:13">
      <c r="C13194" s="94"/>
      <c r="E13194" s="94"/>
      <c r="G13194" s="94"/>
      <c r="I13194" s="94"/>
      <c r="K13194" s="94"/>
      <c r="M13194" s="94"/>
    </row>
    <row r="13195" s="93" customFormat="1" spans="3:13">
      <c r="C13195" s="94"/>
      <c r="E13195" s="94"/>
      <c r="G13195" s="94"/>
      <c r="I13195" s="94"/>
      <c r="K13195" s="94"/>
      <c r="M13195" s="94"/>
    </row>
    <row r="13196" s="93" customFormat="1" spans="3:13">
      <c r="C13196" s="94"/>
      <c r="E13196" s="94"/>
      <c r="G13196" s="94"/>
      <c r="I13196" s="94"/>
      <c r="K13196" s="94"/>
      <c r="M13196" s="94"/>
    </row>
    <row r="13197" s="93" customFormat="1" spans="3:13">
      <c r="C13197" s="94"/>
      <c r="E13197" s="94"/>
      <c r="G13197" s="94"/>
      <c r="I13197" s="94"/>
      <c r="K13197" s="94"/>
      <c r="M13197" s="94"/>
    </row>
    <row r="13198" s="93" customFormat="1" spans="3:13">
      <c r="C13198" s="94"/>
      <c r="E13198" s="94"/>
      <c r="G13198" s="94"/>
      <c r="I13198" s="94"/>
      <c r="K13198" s="94"/>
      <c r="M13198" s="94"/>
    </row>
    <row r="13199" s="93" customFormat="1" spans="3:13">
      <c r="C13199" s="94"/>
      <c r="E13199" s="94"/>
      <c r="G13199" s="94"/>
      <c r="I13199" s="94"/>
      <c r="K13199" s="94"/>
      <c r="M13199" s="94"/>
    </row>
    <row r="13200" s="93" customFormat="1" spans="3:13">
      <c r="C13200" s="94"/>
      <c r="E13200" s="94"/>
      <c r="G13200" s="94"/>
      <c r="I13200" s="94"/>
      <c r="K13200" s="94"/>
      <c r="M13200" s="94"/>
    </row>
    <row r="13201" s="93" customFormat="1" spans="3:13">
      <c r="C13201" s="94"/>
      <c r="E13201" s="94"/>
      <c r="G13201" s="94"/>
      <c r="I13201" s="94"/>
      <c r="K13201" s="94"/>
      <c r="M13201" s="94"/>
    </row>
    <row r="13202" s="93" customFormat="1" spans="3:13">
      <c r="C13202" s="94"/>
      <c r="E13202" s="94"/>
      <c r="G13202" s="94"/>
      <c r="I13202" s="94"/>
      <c r="K13202" s="94"/>
      <c r="M13202" s="94"/>
    </row>
    <row r="13203" s="93" customFormat="1" spans="3:13">
      <c r="C13203" s="94"/>
      <c r="E13203" s="94"/>
      <c r="G13203" s="94"/>
      <c r="I13203" s="94"/>
      <c r="K13203" s="94"/>
      <c r="M13203" s="94"/>
    </row>
    <row r="13204" s="93" customFormat="1" spans="3:13">
      <c r="C13204" s="94"/>
      <c r="E13204" s="94"/>
      <c r="G13204" s="94"/>
      <c r="I13204" s="94"/>
      <c r="K13204" s="94"/>
      <c r="M13204" s="94"/>
    </row>
    <row r="13205" s="93" customFormat="1" spans="3:13">
      <c r="C13205" s="94"/>
      <c r="E13205" s="94"/>
      <c r="G13205" s="94"/>
      <c r="I13205" s="94"/>
      <c r="K13205" s="94"/>
      <c r="M13205" s="94"/>
    </row>
    <row r="13206" s="93" customFormat="1" spans="3:13">
      <c r="C13206" s="94"/>
      <c r="E13206" s="94"/>
      <c r="G13206" s="94"/>
      <c r="I13206" s="94"/>
      <c r="K13206" s="94"/>
      <c r="M13206" s="94"/>
    </row>
    <row r="13207" s="93" customFormat="1" spans="3:13">
      <c r="C13207" s="94"/>
      <c r="E13207" s="94"/>
      <c r="G13207" s="94"/>
      <c r="I13207" s="94"/>
      <c r="K13207" s="94"/>
      <c r="M13207" s="94"/>
    </row>
    <row r="13208" s="93" customFormat="1" spans="3:13">
      <c r="C13208" s="94"/>
      <c r="E13208" s="94"/>
      <c r="G13208" s="94"/>
      <c r="I13208" s="94"/>
      <c r="K13208" s="94"/>
      <c r="M13208" s="94"/>
    </row>
    <row r="13209" s="93" customFormat="1" spans="3:13">
      <c r="C13209" s="94"/>
      <c r="E13209" s="94"/>
      <c r="G13209" s="94"/>
      <c r="I13209" s="94"/>
      <c r="K13209" s="94"/>
      <c r="M13209" s="94"/>
    </row>
    <row r="13210" s="93" customFormat="1" spans="3:13">
      <c r="C13210" s="94"/>
      <c r="E13210" s="94"/>
      <c r="G13210" s="94"/>
      <c r="I13210" s="94"/>
      <c r="K13210" s="94"/>
      <c r="M13210" s="94"/>
    </row>
    <row r="13211" s="93" customFormat="1" spans="3:13">
      <c r="C13211" s="94"/>
      <c r="E13211" s="94"/>
      <c r="G13211" s="94"/>
      <c r="I13211" s="94"/>
      <c r="K13211" s="94"/>
      <c r="M13211" s="94"/>
    </row>
    <row r="13212" s="93" customFormat="1" spans="3:13">
      <c r="C13212" s="94"/>
      <c r="E13212" s="94"/>
      <c r="G13212" s="94"/>
      <c r="I13212" s="94"/>
      <c r="K13212" s="94"/>
      <c r="M13212" s="94"/>
    </row>
    <row r="13213" s="93" customFormat="1" spans="3:13">
      <c r="C13213" s="94"/>
      <c r="E13213" s="94"/>
      <c r="G13213" s="94"/>
      <c r="I13213" s="94"/>
      <c r="K13213" s="94"/>
      <c r="M13213" s="94"/>
    </row>
    <row r="13214" s="93" customFormat="1" spans="3:13">
      <c r="C13214" s="94"/>
      <c r="E13214" s="94"/>
      <c r="G13214" s="94"/>
      <c r="I13214" s="94"/>
      <c r="K13214" s="94"/>
      <c r="M13214" s="94"/>
    </row>
    <row r="13215" s="93" customFormat="1" spans="3:13">
      <c r="C13215" s="94"/>
      <c r="E13215" s="94"/>
      <c r="G13215" s="94"/>
      <c r="I13215" s="94"/>
      <c r="K13215" s="94"/>
      <c r="M13215" s="94"/>
    </row>
    <row r="13216" s="93" customFormat="1" spans="3:13">
      <c r="C13216" s="94"/>
      <c r="E13216" s="94"/>
      <c r="G13216" s="94"/>
      <c r="I13216" s="94"/>
      <c r="K13216" s="94"/>
      <c r="M13216" s="94"/>
    </row>
    <row r="13217" s="93" customFormat="1" spans="3:13">
      <c r="C13217" s="94"/>
      <c r="E13217" s="94"/>
      <c r="G13217" s="94"/>
      <c r="I13217" s="94"/>
      <c r="K13217" s="94"/>
      <c r="M13217" s="94"/>
    </row>
    <row r="13218" s="93" customFormat="1" spans="3:13">
      <c r="C13218" s="94"/>
      <c r="E13218" s="94"/>
      <c r="G13218" s="94"/>
      <c r="I13218" s="94"/>
      <c r="K13218" s="94"/>
      <c r="M13218" s="94"/>
    </row>
    <row r="13219" s="93" customFormat="1" spans="3:13">
      <c r="C13219" s="94"/>
      <c r="E13219" s="94"/>
      <c r="G13219" s="94"/>
      <c r="I13219" s="94"/>
      <c r="K13219" s="94"/>
      <c r="M13219" s="94"/>
    </row>
    <row r="13220" s="93" customFormat="1" spans="3:13">
      <c r="C13220" s="94"/>
      <c r="E13220" s="94"/>
      <c r="G13220" s="94"/>
      <c r="I13220" s="94"/>
      <c r="K13220" s="94"/>
      <c r="M13220" s="94"/>
    </row>
    <row r="13221" s="93" customFormat="1" spans="3:13">
      <c r="C13221" s="94"/>
      <c r="E13221" s="94"/>
      <c r="G13221" s="94"/>
      <c r="I13221" s="94"/>
      <c r="K13221" s="94"/>
      <c r="M13221" s="94"/>
    </row>
    <row r="13222" s="93" customFormat="1" spans="3:13">
      <c r="C13222" s="94"/>
      <c r="E13222" s="94"/>
      <c r="G13222" s="94"/>
      <c r="I13222" s="94"/>
      <c r="K13222" s="94"/>
      <c r="M13222" s="94"/>
    </row>
    <row r="13223" s="93" customFormat="1" spans="3:13">
      <c r="C13223" s="94"/>
      <c r="E13223" s="94"/>
      <c r="G13223" s="94"/>
      <c r="I13223" s="94"/>
      <c r="K13223" s="94"/>
      <c r="M13223" s="94"/>
    </row>
    <row r="13224" s="93" customFormat="1" spans="3:13">
      <c r="C13224" s="94"/>
      <c r="E13224" s="94"/>
      <c r="G13224" s="94"/>
      <c r="I13224" s="94"/>
      <c r="K13224" s="94"/>
      <c r="M13224" s="94"/>
    </row>
    <row r="13225" s="93" customFormat="1" spans="3:13">
      <c r="C13225" s="94"/>
      <c r="E13225" s="94"/>
      <c r="G13225" s="94"/>
      <c r="I13225" s="94"/>
      <c r="K13225" s="94"/>
      <c r="M13225" s="94"/>
    </row>
    <row r="13226" s="93" customFormat="1" spans="3:13">
      <c r="C13226" s="94"/>
      <c r="E13226" s="94"/>
      <c r="G13226" s="94"/>
      <c r="I13226" s="94"/>
      <c r="K13226" s="94"/>
      <c r="M13226" s="94"/>
    </row>
    <row r="13227" s="93" customFormat="1" spans="3:13">
      <c r="C13227" s="94"/>
      <c r="E13227" s="94"/>
      <c r="G13227" s="94"/>
      <c r="I13227" s="94"/>
      <c r="K13227" s="94"/>
      <c r="M13227" s="94"/>
    </row>
    <row r="13228" s="93" customFormat="1" spans="3:13">
      <c r="C13228" s="94"/>
      <c r="E13228" s="94"/>
      <c r="G13228" s="94"/>
      <c r="I13228" s="94"/>
      <c r="K13228" s="94"/>
      <c r="M13228" s="94"/>
    </row>
    <row r="13229" s="93" customFormat="1" spans="3:13">
      <c r="C13229" s="94"/>
      <c r="E13229" s="94"/>
      <c r="G13229" s="94"/>
      <c r="I13229" s="94"/>
      <c r="K13229" s="94"/>
      <c r="M13229" s="94"/>
    </row>
    <row r="13230" s="93" customFormat="1" spans="3:13">
      <c r="C13230" s="94"/>
      <c r="E13230" s="94"/>
      <c r="G13230" s="94"/>
      <c r="I13230" s="94"/>
      <c r="K13230" s="94"/>
      <c r="M13230" s="94"/>
    </row>
    <row r="13231" s="93" customFormat="1" spans="3:13">
      <c r="C13231" s="94"/>
      <c r="E13231" s="94"/>
      <c r="G13231" s="94"/>
      <c r="I13231" s="94"/>
      <c r="K13231" s="94"/>
      <c r="M13231" s="94"/>
    </row>
    <row r="13232" s="93" customFormat="1" spans="3:13">
      <c r="C13232" s="94"/>
      <c r="E13232" s="94"/>
      <c r="G13232" s="94"/>
      <c r="I13232" s="94"/>
      <c r="K13232" s="94"/>
      <c r="M13232" s="94"/>
    </row>
    <row r="13233" s="93" customFormat="1" spans="3:13">
      <c r="C13233" s="94"/>
      <c r="E13233" s="94"/>
      <c r="G13233" s="94"/>
      <c r="I13233" s="94"/>
      <c r="K13233" s="94"/>
      <c r="M13233" s="94"/>
    </row>
    <row r="13234" s="93" customFormat="1" spans="3:13">
      <c r="C13234" s="94"/>
      <c r="E13234" s="94"/>
      <c r="G13234" s="94"/>
      <c r="I13234" s="94"/>
      <c r="K13234" s="94"/>
      <c r="M13234" s="94"/>
    </row>
    <row r="13235" s="93" customFormat="1" spans="3:13">
      <c r="C13235" s="94"/>
      <c r="E13235" s="94"/>
      <c r="G13235" s="94"/>
      <c r="I13235" s="94"/>
      <c r="K13235" s="94"/>
      <c r="M13235" s="94"/>
    </row>
    <row r="13236" s="93" customFormat="1" spans="3:13">
      <c r="C13236" s="94"/>
      <c r="E13236" s="94"/>
      <c r="G13236" s="94"/>
      <c r="I13236" s="94"/>
      <c r="K13236" s="94"/>
      <c r="M13236" s="94"/>
    </row>
    <row r="13237" s="93" customFormat="1" spans="3:13">
      <c r="C13237" s="94"/>
      <c r="E13237" s="94"/>
      <c r="G13237" s="94"/>
      <c r="I13237" s="94"/>
      <c r="K13237" s="94"/>
      <c r="M13237" s="94"/>
    </row>
    <row r="13238" s="93" customFormat="1" spans="3:13">
      <c r="C13238" s="94"/>
      <c r="E13238" s="94"/>
      <c r="G13238" s="94"/>
      <c r="I13238" s="94"/>
      <c r="K13238" s="94"/>
      <c r="M13238" s="94"/>
    </row>
    <row r="13239" s="93" customFormat="1" spans="3:13">
      <c r="C13239" s="94"/>
      <c r="E13239" s="94"/>
      <c r="G13239" s="94"/>
      <c r="I13239" s="94"/>
      <c r="K13239" s="94"/>
      <c r="M13239" s="94"/>
    </row>
    <row r="13240" s="93" customFormat="1" spans="3:13">
      <c r="C13240" s="94"/>
      <c r="E13240" s="94"/>
      <c r="G13240" s="94"/>
      <c r="I13240" s="94"/>
      <c r="K13240" s="94"/>
      <c r="M13240" s="94"/>
    </row>
    <row r="13241" s="93" customFormat="1" spans="3:13">
      <c r="C13241" s="94"/>
      <c r="E13241" s="94"/>
      <c r="G13241" s="94"/>
      <c r="I13241" s="94"/>
      <c r="K13241" s="94"/>
      <c r="M13241" s="94"/>
    </row>
    <row r="13242" s="93" customFormat="1" spans="3:13">
      <c r="C13242" s="94"/>
      <c r="E13242" s="94"/>
      <c r="G13242" s="94"/>
      <c r="I13242" s="94"/>
      <c r="K13242" s="94"/>
      <c r="M13242" s="94"/>
    </row>
    <row r="13243" s="93" customFormat="1" spans="3:13">
      <c r="C13243" s="94"/>
      <c r="E13243" s="94"/>
      <c r="G13243" s="94"/>
      <c r="I13243" s="94"/>
      <c r="K13243" s="94"/>
      <c r="M13243" s="94"/>
    </row>
    <row r="13244" s="93" customFormat="1" spans="3:13">
      <c r="C13244" s="94"/>
      <c r="E13244" s="94"/>
      <c r="G13244" s="94"/>
      <c r="I13244" s="94"/>
      <c r="K13244" s="94"/>
      <c r="M13244" s="94"/>
    </row>
    <row r="13245" s="93" customFormat="1" spans="3:13">
      <c r="C13245" s="94"/>
      <c r="E13245" s="94"/>
      <c r="G13245" s="94"/>
      <c r="I13245" s="94"/>
      <c r="K13245" s="94"/>
      <c r="M13245" s="94"/>
    </row>
    <row r="13246" s="93" customFormat="1" spans="3:13">
      <c r="C13246" s="94"/>
      <c r="E13246" s="94"/>
      <c r="G13246" s="94"/>
      <c r="I13246" s="94"/>
      <c r="K13246" s="94"/>
      <c r="M13246" s="94"/>
    </row>
    <row r="13247" s="93" customFormat="1" spans="3:13">
      <c r="C13247" s="94"/>
      <c r="E13247" s="94"/>
      <c r="G13247" s="94"/>
      <c r="I13247" s="94"/>
      <c r="K13247" s="94"/>
      <c r="M13247" s="94"/>
    </row>
    <row r="13248" s="93" customFormat="1" spans="3:13">
      <c r="C13248" s="94"/>
      <c r="E13248" s="94"/>
      <c r="G13248" s="94"/>
      <c r="I13248" s="94"/>
      <c r="K13248" s="94"/>
      <c r="M13248" s="94"/>
    </row>
    <row r="13249" s="93" customFormat="1" spans="3:13">
      <c r="C13249" s="94"/>
      <c r="E13249" s="94"/>
      <c r="G13249" s="94"/>
      <c r="I13249" s="94"/>
      <c r="K13249" s="94"/>
      <c r="M13249" s="94"/>
    </row>
    <row r="13250" s="93" customFormat="1" spans="3:13">
      <c r="C13250" s="94"/>
      <c r="E13250" s="94"/>
      <c r="G13250" s="94"/>
      <c r="I13250" s="94"/>
      <c r="K13250" s="94"/>
      <c r="M13250" s="94"/>
    </row>
    <row r="13251" s="93" customFormat="1" spans="3:13">
      <c r="C13251" s="94"/>
      <c r="E13251" s="94"/>
      <c r="G13251" s="94"/>
      <c r="I13251" s="94"/>
      <c r="K13251" s="94"/>
      <c r="M13251" s="94"/>
    </row>
    <row r="13252" s="93" customFormat="1" spans="3:13">
      <c r="C13252" s="94"/>
      <c r="E13252" s="94"/>
      <c r="G13252" s="94"/>
      <c r="I13252" s="94"/>
      <c r="K13252" s="94"/>
      <c r="M13252" s="94"/>
    </row>
    <row r="13253" s="93" customFormat="1" spans="3:13">
      <c r="C13253" s="94"/>
      <c r="E13253" s="94"/>
      <c r="G13253" s="94"/>
      <c r="I13253" s="94"/>
      <c r="K13253" s="94"/>
      <c r="M13253" s="94"/>
    </row>
    <row r="13254" s="93" customFormat="1" spans="3:13">
      <c r="C13254" s="94"/>
      <c r="E13254" s="94"/>
      <c r="G13254" s="94"/>
      <c r="I13254" s="94"/>
      <c r="K13254" s="94"/>
      <c r="M13254" s="94"/>
    </row>
    <row r="13255" s="93" customFormat="1" spans="3:13">
      <c r="C13255" s="94"/>
      <c r="E13255" s="94"/>
      <c r="G13255" s="94"/>
      <c r="I13255" s="94"/>
      <c r="K13255" s="94"/>
      <c r="M13255" s="94"/>
    </row>
    <row r="13256" s="93" customFormat="1" spans="3:13">
      <c r="C13256" s="94"/>
      <c r="E13256" s="94"/>
      <c r="G13256" s="94"/>
      <c r="I13256" s="94"/>
      <c r="K13256" s="94"/>
      <c r="M13256" s="94"/>
    </row>
    <row r="13257" s="93" customFormat="1" spans="3:13">
      <c r="C13257" s="94"/>
      <c r="E13257" s="94"/>
      <c r="G13257" s="94"/>
      <c r="I13257" s="94"/>
      <c r="K13257" s="94"/>
      <c r="M13257" s="94"/>
    </row>
    <row r="13258" s="93" customFormat="1" spans="3:13">
      <c r="C13258" s="94"/>
      <c r="E13258" s="94"/>
      <c r="G13258" s="94"/>
      <c r="I13258" s="94"/>
      <c r="K13258" s="94"/>
      <c r="M13258" s="94"/>
    </row>
    <row r="13259" s="93" customFormat="1" spans="3:13">
      <c r="C13259" s="94"/>
      <c r="E13259" s="94"/>
      <c r="G13259" s="94"/>
      <c r="I13259" s="94"/>
      <c r="K13259" s="94"/>
      <c r="M13259" s="94"/>
    </row>
    <row r="13260" s="93" customFormat="1" spans="3:13">
      <c r="C13260" s="94"/>
      <c r="E13260" s="94"/>
      <c r="G13260" s="94"/>
      <c r="I13260" s="94"/>
      <c r="K13260" s="94"/>
      <c r="M13260" s="94"/>
    </row>
    <row r="13261" s="93" customFormat="1" spans="3:13">
      <c r="C13261" s="94"/>
      <c r="E13261" s="94"/>
      <c r="G13261" s="94"/>
      <c r="I13261" s="94"/>
      <c r="K13261" s="94"/>
      <c r="M13261" s="94"/>
    </row>
    <row r="13262" s="93" customFormat="1" spans="3:13">
      <c r="C13262" s="94"/>
      <c r="E13262" s="94"/>
      <c r="G13262" s="94"/>
      <c r="I13262" s="94"/>
      <c r="K13262" s="94"/>
      <c r="M13262" s="94"/>
    </row>
    <row r="13263" s="93" customFormat="1" spans="3:13">
      <c r="C13263" s="94"/>
      <c r="E13263" s="94"/>
      <c r="G13263" s="94"/>
      <c r="I13263" s="94"/>
      <c r="K13263" s="94"/>
      <c r="M13263" s="94"/>
    </row>
    <row r="13264" s="93" customFormat="1" spans="3:13">
      <c r="C13264" s="94"/>
      <c r="E13264" s="94"/>
      <c r="G13264" s="94"/>
      <c r="I13264" s="94"/>
      <c r="K13264" s="94"/>
      <c r="M13264" s="94"/>
    </row>
    <row r="13265" s="93" customFormat="1" spans="3:13">
      <c r="C13265" s="94"/>
      <c r="E13265" s="94"/>
      <c r="G13265" s="94"/>
      <c r="I13265" s="94"/>
      <c r="K13265" s="94"/>
      <c r="M13265" s="94"/>
    </row>
    <row r="13266" s="93" customFormat="1" spans="3:13">
      <c r="C13266" s="94"/>
      <c r="E13266" s="94"/>
      <c r="G13266" s="94"/>
      <c r="I13266" s="94"/>
      <c r="K13266" s="94"/>
      <c r="M13266" s="94"/>
    </row>
    <row r="13267" s="93" customFormat="1" spans="3:13">
      <c r="C13267" s="94"/>
      <c r="E13267" s="94"/>
      <c r="G13267" s="94"/>
      <c r="I13267" s="94"/>
      <c r="K13267" s="94"/>
      <c r="M13267" s="94"/>
    </row>
    <row r="13268" s="93" customFormat="1" spans="3:13">
      <c r="C13268" s="94"/>
      <c r="E13268" s="94"/>
      <c r="G13268" s="94"/>
      <c r="I13268" s="94"/>
      <c r="K13268" s="94"/>
      <c r="M13268" s="94"/>
    </row>
    <row r="13269" s="93" customFormat="1" spans="3:13">
      <c r="C13269" s="94"/>
      <c r="E13269" s="94"/>
      <c r="G13269" s="94"/>
      <c r="I13269" s="94"/>
      <c r="K13269" s="94"/>
      <c r="M13269" s="94"/>
    </row>
    <row r="13270" s="93" customFormat="1" spans="3:13">
      <c r="C13270" s="94"/>
      <c r="E13270" s="94"/>
      <c r="G13270" s="94"/>
      <c r="I13270" s="94"/>
      <c r="K13270" s="94"/>
      <c r="M13270" s="94"/>
    </row>
    <row r="13271" s="93" customFormat="1" spans="3:13">
      <c r="C13271" s="94"/>
      <c r="E13271" s="94"/>
      <c r="G13271" s="94"/>
      <c r="I13271" s="94"/>
      <c r="K13271" s="94"/>
      <c r="M13271" s="94"/>
    </row>
    <row r="13272" s="93" customFormat="1" spans="3:13">
      <c r="C13272" s="94"/>
      <c r="E13272" s="94"/>
      <c r="G13272" s="94"/>
      <c r="I13272" s="94"/>
      <c r="K13272" s="94"/>
      <c r="M13272" s="94"/>
    </row>
    <row r="13273" s="93" customFormat="1" spans="3:13">
      <c r="C13273" s="94"/>
      <c r="E13273" s="94"/>
      <c r="G13273" s="94"/>
      <c r="I13273" s="94"/>
      <c r="K13273" s="94"/>
      <c r="M13273" s="94"/>
    </row>
    <row r="13274" s="93" customFormat="1" spans="3:13">
      <c r="C13274" s="94"/>
      <c r="E13274" s="94"/>
      <c r="G13274" s="94"/>
      <c r="I13274" s="94"/>
      <c r="K13274" s="94"/>
      <c r="M13274" s="94"/>
    </row>
    <row r="13275" s="93" customFormat="1" spans="3:13">
      <c r="C13275" s="94"/>
      <c r="E13275" s="94"/>
      <c r="G13275" s="94"/>
      <c r="I13275" s="94"/>
      <c r="K13275" s="94"/>
      <c r="M13275" s="94"/>
    </row>
    <row r="13276" s="93" customFormat="1" spans="3:13">
      <c r="C13276" s="94"/>
      <c r="E13276" s="94"/>
      <c r="G13276" s="94"/>
      <c r="I13276" s="94"/>
      <c r="K13276" s="94"/>
      <c r="M13276" s="94"/>
    </row>
    <row r="13277" s="93" customFormat="1" spans="3:13">
      <c r="C13277" s="94"/>
      <c r="E13277" s="94"/>
      <c r="G13277" s="94"/>
      <c r="I13277" s="94"/>
      <c r="K13277" s="94"/>
      <c r="M13277" s="94"/>
    </row>
    <row r="13278" s="93" customFormat="1" spans="3:13">
      <c r="C13278" s="94"/>
      <c r="E13278" s="94"/>
      <c r="G13278" s="94"/>
      <c r="I13278" s="94"/>
      <c r="K13278" s="94"/>
      <c r="M13278" s="94"/>
    </row>
    <row r="13279" s="93" customFormat="1" spans="3:13">
      <c r="C13279" s="94"/>
      <c r="E13279" s="94"/>
      <c r="G13279" s="94"/>
      <c r="I13279" s="94"/>
      <c r="K13279" s="94"/>
      <c r="M13279" s="94"/>
    </row>
    <row r="13280" s="93" customFormat="1" spans="3:13">
      <c r="C13280" s="94"/>
      <c r="E13280" s="94"/>
      <c r="G13280" s="94"/>
      <c r="I13280" s="94"/>
      <c r="K13280" s="94"/>
      <c r="M13280" s="94"/>
    </row>
    <row r="13281" s="93" customFormat="1" spans="3:13">
      <c r="C13281" s="94"/>
      <c r="E13281" s="94"/>
      <c r="G13281" s="94"/>
      <c r="I13281" s="94"/>
      <c r="K13281" s="94"/>
      <c r="M13281" s="94"/>
    </row>
    <row r="13282" s="93" customFormat="1" spans="3:13">
      <c r="C13282" s="94"/>
      <c r="E13282" s="94"/>
      <c r="G13282" s="94"/>
      <c r="I13282" s="94"/>
      <c r="K13282" s="94"/>
      <c r="M13282" s="94"/>
    </row>
    <row r="13283" s="93" customFormat="1" spans="3:13">
      <c r="C13283" s="94"/>
      <c r="E13283" s="94"/>
      <c r="G13283" s="94"/>
      <c r="I13283" s="94"/>
      <c r="K13283" s="94"/>
      <c r="M13283" s="94"/>
    </row>
    <row r="13284" s="93" customFormat="1" spans="3:13">
      <c r="C13284" s="94"/>
      <c r="E13284" s="94"/>
      <c r="G13284" s="94"/>
      <c r="I13284" s="94"/>
      <c r="K13284" s="94"/>
      <c r="M13284" s="94"/>
    </row>
    <row r="13285" s="93" customFormat="1" spans="3:13">
      <c r="C13285" s="94"/>
      <c r="E13285" s="94"/>
      <c r="G13285" s="94"/>
      <c r="I13285" s="94"/>
      <c r="K13285" s="94"/>
      <c r="M13285" s="94"/>
    </row>
    <row r="13286" s="93" customFormat="1" spans="3:13">
      <c r="C13286" s="94"/>
      <c r="E13286" s="94"/>
      <c r="G13286" s="94"/>
      <c r="I13286" s="94"/>
      <c r="K13286" s="94"/>
      <c r="M13286" s="94"/>
    </row>
    <row r="13287" s="93" customFormat="1" spans="3:13">
      <c r="C13287" s="94"/>
      <c r="E13287" s="94"/>
      <c r="G13287" s="94"/>
      <c r="I13287" s="94"/>
      <c r="K13287" s="94"/>
      <c r="M13287" s="94"/>
    </row>
    <row r="13288" s="93" customFormat="1" spans="3:13">
      <c r="C13288" s="94"/>
      <c r="E13288" s="94"/>
      <c r="G13288" s="94"/>
      <c r="I13288" s="94"/>
      <c r="K13288" s="94"/>
      <c r="M13288" s="94"/>
    </row>
    <row r="13289" s="93" customFormat="1" spans="3:13">
      <c r="C13289" s="94"/>
      <c r="E13289" s="94"/>
      <c r="G13289" s="94"/>
      <c r="I13289" s="94"/>
      <c r="K13289" s="94"/>
      <c r="M13289" s="94"/>
    </row>
    <row r="13290" s="93" customFormat="1" spans="3:13">
      <c r="C13290" s="94"/>
      <c r="E13290" s="94"/>
      <c r="G13290" s="94"/>
      <c r="I13290" s="94"/>
      <c r="K13290" s="94"/>
      <c r="M13290" s="94"/>
    </row>
    <row r="13291" s="93" customFormat="1" spans="3:13">
      <c r="C13291" s="94"/>
      <c r="E13291" s="94"/>
      <c r="G13291" s="94"/>
      <c r="I13291" s="94"/>
      <c r="K13291" s="94"/>
      <c r="M13291" s="94"/>
    </row>
    <row r="13292" s="93" customFormat="1" spans="3:13">
      <c r="C13292" s="94"/>
      <c r="E13292" s="94"/>
      <c r="G13292" s="94"/>
      <c r="I13292" s="94"/>
      <c r="K13292" s="94"/>
      <c r="M13292" s="94"/>
    </row>
    <row r="13293" s="93" customFormat="1" spans="3:13">
      <c r="C13293" s="94"/>
      <c r="E13293" s="94"/>
      <c r="G13293" s="94"/>
      <c r="I13293" s="94"/>
      <c r="K13293" s="94"/>
      <c r="M13293" s="94"/>
    </row>
    <row r="13294" s="93" customFormat="1" spans="3:13">
      <c r="C13294" s="94"/>
      <c r="E13294" s="94"/>
      <c r="G13294" s="94"/>
      <c r="I13294" s="94"/>
      <c r="K13294" s="94"/>
      <c r="M13294" s="94"/>
    </row>
    <row r="13295" s="93" customFormat="1" spans="3:13">
      <c r="C13295" s="94"/>
      <c r="E13295" s="94"/>
      <c r="G13295" s="94"/>
      <c r="I13295" s="94"/>
      <c r="K13295" s="94"/>
      <c r="M13295" s="94"/>
    </row>
    <row r="13296" s="93" customFormat="1" spans="3:13">
      <c r="C13296" s="94"/>
      <c r="E13296" s="94"/>
      <c r="G13296" s="94"/>
      <c r="I13296" s="94"/>
      <c r="K13296" s="94"/>
      <c r="M13296" s="94"/>
    </row>
    <row r="13297" s="93" customFormat="1" spans="3:13">
      <c r="C13297" s="94"/>
      <c r="E13297" s="94"/>
      <c r="G13297" s="94"/>
      <c r="I13297" s="94"/>
      <c r="K13297" s="94"/>
      <c r="M13297" s="94"/>
    </row>
    <row r="13298" s="93" customFormat="1" spans="3:13">
      <c r="C13298" s="94"/>
      <c r="E13298" s="94"/>
      <c r="G13298" s="94"/>
      <c r="I13298" s="94"/>
      <c r="K13298" s="94"/>
      <c r="M13298" s="94"/>
    </row>
    <row r="13299" s="93" customFormat="1" spans="3:13">
      <c r="C13299" s="94"/>
      <c r="E13299" s="94"/>
      <c r="G13299" s="94"/>
      <c r="I13299" s="94"/>
      <c r="K13299" s="94"/>
      <c r="M13299" s="94"/>
    </row>
    <row r="13300" s="93" customFormat="1" spans="3:13">
      <c r="C13300" s="94"/>
      <c r="E13300" s="94"/>
      <c r="G13300" s="94"/>
      <c r="I13300" s="94"/>
      <c r="K13300" s="94"/>
      <c r="M13300" s="94"/>
    </row>
    <row r="13301" s="93" customFormat="1" spans="3:13">
      <c r="C13301" s="94"/>
      <c r="E13301" s="94"/>
      <c r="G13301" s="94"/>
      <c r="I13301" s="94"/>
      <c r="K13301" s="94"/>
      <c r="M13301" s="94"/>
    </row>
    <row r="13302" s="93" customFormat="1" spans="3:13">
      <c r="C13302" s="94"/>
      <c r="E13302" s="94"/>
      <c r="G13302" s="94"/>
      <c r="I13302" s="94"/>
      <c r="K13302" s="94"/>
      <c r="M13302" s="94"/>
    </row>
    <row r="13303" s="93" customFormat="1" spans="3:13">
      <c r="C13303" s="94"/>
      <c r="E13303" s="94"/>
      <c r="G13303" s="94"/>
      <c r="I13303" s="94"/>
      <c r="K13303" s="94"/>
      <c r="M13303" s="94"/>
    </row>
    <row r="13304" s="93" customFormat="1" spans="3:13">
      <c r="C13304" s="94"/>
      <c r="E13304" s="94"/>
      <c r="G13304" s="94"/>
      <c r="I13304" s="94"/>
      <c r="K13304" s="94"/>
      <c r="M13304" s="94"/>
    </row>
    <row r="13305" s="93" customFormat="1" spans="3:13">
      <c r="C13305" s="94"/>
      <c r="E13305" s="94"/>
      <c r="G13305" s="94"/>
      <c r="I13305" s="94"/>
      <c r="K13305" s="94"/>
      <c r="M13305" s="94"/>
    </row>
    <row r="13306" s="93" customFormat="1" spans="3:13">
      <c r="C13306" s="94"/>
      <c r="E13306" s="94"/>
      <c r="G13306" s="94"/>
      <c r="I13306" s="94"/>
      <c r="K13306" s="94"/>
      <c r="M13306" s="94"/>
    </row>
    <row r="13307" s="93" customFormat="1" spans="3:13">
      <c r="C13307" s="94"/>
      <c r="E13307" s="94"/>
      <c r="G13307" s="94"/>
      <c r="I13307" s="94"/>
      <c r="K13307" s="94"/>
      <c r="M13307" s="94"/>
    </row>
    <row r="13308" s="93" customFormat="1" spans="3:13">
      <c r="C13308" s="94"/>
      <c r="E13308" s="94"/>
      <c r="G13308" s="94"/>
      <c r="I13308" s="94"/>
      <c r="K13308" s="94"/>
      <c r="M13308" s="94"/>
    </row>
    <row r="13309" s="93" customFormat="1" spans="3:13">
      <c r="C13309" s="94"/>
      <c r="E13309" s="94"/>
      <c r="G13309" s="94"/>
      <c r="I13309" s="94"/>
      <c r="K13309" s="94"/>
      <c r="M13309" s="94"/>
    </row>
    <row r="13310" s="93" customFormat="1" spans="3:13">
      <c r="C13310" s="94"/>
      <c r="E13310" s="94"/>
      <c r="G13310" s="94"/>
      <c r="I13310" s="94"/>
      <c r="K13310" s="94"/>
      <c r="M13310" s="94"/>
    </row>
    <row r="13311" s="93" customFormat="1" spans="3:13">
      <c r="C13311" s="94"/>
      <c r="E13311" s="94"/>
      <c r="G13311" s="94"/>
      <c r="I13311" s="94"/>
      <c r="K13311" s="94"/>
      <c r="M13311" s="94"/>
    </row>
    <row r="13312" s="93" customFormat="1" spans="3:13">
      <c r="C13312" s="94"/>
      <c r="E13312" s="94"/>
      <c r="G13312" s="94"/>
      <c r="I13312" s="94"/>
      <c r="K13312" s="94"/>
      <c r="M13312" s="94"/>
    </row>
    <row r="13313" s="93" customFormat="1" spans="3:13">
      <c r="C13313" s="94"/>
      <c r="E13313" s="94"/>
      <c r="G13313" s="94"/>
      <c r="I13313" s="94"/>
      <c r="K13313" s="94"/>
      <c r="M13313" s="94"/>
    </row>
    <row r="13314" s="93" customFormat="1" spans="3:13">
      <c r="C13314" s="94"/>
      <c r="E13314" s="94"/>
      <c r="G13314" s="94"/>
      <c r="I13314" s="94"/>
      <c r="K13314" s="94"/>
      <c r="M13314" s="94"/>
    </row>
    <row r="13315" s="93" customFormat="1" spans="3:13">
      <c r="C13315" s="94"/>
      <c r="E13315" s="94"/>
      <c r="G13315" s="94"/>
      <c r="I13315" s="94"/>
      <c r="K13315" s="94"/>
      <c r="M13315" s="94"/>
    </row>
    <row r="13316" s="93" customFormat="1" spans="3:13">
      <c r="C13316" s="94"/>
      <c r="E13316" s="94"/>
      <c r="G13316" s="94"/>
      <c r="I13316" s="94"/>
      <c r="K13316" s="94"/>
      <c r="M13316" s="94"/>
    </row>
    <row r="13317" s="93" customFormat="1" spans="3:13">
      <c r="C13317" s="94"/>
      <c r="E13317" s="94"/>
      <c r="G13317" s="94"/>
      <c r="I13317" s="94"/>
      <c r="K13317" s="94"/>
      <c r="M13317" s="94"/>
    </row>
    <row r="13318" s="93" customFormat="1" spans="3:13">
      <c r="C13318" s="94"/>
      <c r="E13318" s="94"/>
      <c r="G13318" s="94"/>
      <c r="I13318" s="94"/>
      <c r="K13318" s="94"/>
      <c r="M13318" s="94"/>
    </row>
    <row r="13319" s="93" customFormat="1" spans="3:13">
      <c r="C13319" s="94"/>
      <c r="E13319" s="94"/>
      <c r="G13319" s="94"/>
      <c r="I13319" s="94"/>
      <c r="K13319" s="94"/>
      <c r="M13319" s="94"/>
    </row>
    <row r="13320" s="93" customFormat="1" spans="3:13">
      <c r="C13320" s="94"/>
      <c r="E13320" s="94"/>
      <c r="G13320" s="94"/>
      <c r="I13320" s="94"/>
      <c r="K13320" s="94"/>
      <c r="M13320" s="94"/>
    </row>
    <row r="13321" s="93" customFormat="1" spans="3:13">
      <c r="C13321" s="94"/>
      <c r="E13321" s="94"/>
      <c r="G13321" s="94"/>
      <c r="I13321" s="94"/>
      <c r="K13321" s="94"/>
      <c r="M13321" s="94"/>
    </row>
    <row r="13322" s="93" customFormat="1" spans="3:13">
      <c r="C13322" s="94"/>
      <c r="E13322" s="94"/>
      <c r="G13322" s="94"/>
      <c r="I13322" s="94"/>
      <c r="K13322" s="94"/>
      <c r="M13322" s="94"/>
    </row>
    <row r="13323" s="93" customFormat="1" spans="3:13">
      <c r="C13323" s="94"/>
      <c r="E13323" s="94"/>
      <c r="G13323" s="94"/>
      <c r="I13323" s="94"/>
      <c r="K13323" s="94"/>
      <c r="M13323" s="94"/>
    </row>
    <row r="13324" s="93" customFormat="1" spans="3:13">
      <c r="C13324" s="94"/>
      <c r="E13324" s="94"/>
      <c r="G13324" s="94"/>
      <c r="I13324" s="94"/>
      <c r="K13324" s="94"/>
      <c r="M13324" s="94"/>
    </row>
    <row r="13325" s="93" customFormat="1" spans="3:13">
      <c r="C13325" s="94"/>
      <c r="E13325" s="94"/>
      <c r="G13325" s="94"/>
      <c r="I13325" s="94"/>
      <c r="K13325" s="94"/>
      <c r="M13325" s="94"/>
    </row>
    <row r="13326" s="93" customFormat="1" spans="3:13">
      <c r="C13326" s="94"/>
      <c r="E13326" s="94"/>
      <c r="G13326" s="94"/>
      <c r="I13326" s="94"/>
      <c r="K13326" s="94"/>
      <c r="M13326" s="94"/>
    </row>
    <row r="13327" s="93" customFormat="1" spans="3:13">
      <c r="C13327" s="94"/>
      <c r="E13327" s="94"/>
      <c r="G13327" s="94"/>
      <c r="I13327" s="94"/>
      <c r="K13327" s="94"/>
      <c r="M13327" s="94"/>
    </row>
    <row r="13328" s="93" customFormat="1" spans="3:13">
      <c r="C13328" s="94"/>
      <c r="E13328" s="94"/>
      <c r="G13328" s="94"/>
      <c r="I13328" s="94"/>
      <c r="K13328" s="94"/>
      <c r="M13328" s="94"/>
    </row>
    <row r="13329" s="93" customFormat="1" spans="3:13">
      <c r="C13329" s="94"/>
      <c r="E13329" s="94"/>
      <c r="G13329" s="94"/>
      <c r="I13329" s="94"/>
      <c r="K13329" s="94"/>
      <c r="M13329" s="94"/>
    </row>
    <row r="13330" s="93" customFormat="1" spans="3:13">
      <c r="C13330" s="94"/>
      <c r="E13330" s="94"/>
      <c r="G13330" s="94"/>
      <c r="I13330" s="94"/>
      <c r="K13330" s="94"/>
      <c r="M13330" s="94"/>
    </row>
    <row r="13331" s="93" customFormat="1" spans="3:13">
      <c r="C13331" s="94"/>
      <c r="E13331" s="94"/>
      <c r="G13331" s="94"/>
      <c r="I13331" s="94"/>
      <c r="K13331" s="94"/>
      <c r="M13331" s="94"/>
    </row>
    <row r="13332" s="93" customFormat="1" spans="3:13">
      <c r="C13332" s="94"/>
      <c r="E13332" s="94"/>
      <c r="G13332" s="94"/>
      <c r="I13332" s="94"/>
      <c r="K13332" s="94"/>
      <c r="M13332" s="94"/>
    </row>
    <row r="13333" s="93" customFormat="1" spans="3:13">
      <c r="C13333" s="94"/>
      <c r="E13333" s="94"/>
      <c r="G13333" s="94"/>
      <c r="I13333" s="94"/>
      <c r="K13333" s="94"/>
      <c r="M13333" s="94"/>
    </row>
    <row r="13334" s="93" customFormat="1" spans="3:13">
      <c r="C13334" s="94"/>
      <c r="E13334" s="94"/>
      <c r="G13334" s="94"/>
      <c r="I13334" s="94"/>
      <c r="K13334" s="94"/>
      <c r="M13334" s="94"/>
    </row>
    <row r="13335" s="93" customFormat="1" spans="3:13">
      <c r="C13335" s="94"/>
      <c r="E13335" s="94"/>
      <c r="G13335" s="94"/>
      <c r="I13335" s="94"/>
      <c r="K13335" s="94"/>
      <c r="M13335" s="94"/>
    </row>
    <row r="13336" s="93" customFormat="1" spans="3:13">
      <c r="C13336" s="94"/>
      <c r="E13336" s="94"/>
      <c r="G13336" s="94"/>
      <c r="I13336" s="94"/>
      <c r="K13336" s="94"/>
      <c r="M13336" s="94"/>
    </row>
    <row r="13337" s="93" customFormat="1" spans="3:13">
      <c r="C13337" s="94"/>
      <c r="E13337" s="94"/>
      <c r="G13337" s="94"/>
      <c r="I13337" s="94"/>
      <c r="K13337" s="94"/>
      <c r="M13337" s="94"/>
    </row>
    <row r="13338" s="93" customFormat="1" spans="3:13">
      <c r="C13338" s="94"/>
      <c r="E13338" s="94"/>
      <c r="G13338" s="94"/>
      <c r="I13338" s="94"/>
      <c r="K13338" s="94"/>
      <c r="M13338" s="94"/>
    </row>
    <row r="13339" s="93" customFormat="1" spans="3:13">
      <c r="C13339" s="94"/>
      <c r="E13339" s="94"/>
      <c r="G13339" s="94"/>
      <c r="I13339" s="94"/>
      <c r="K13339" s="94"/>
      <c r="M13339" s="94"/>
    </row>
    <row r="13340" s="93" customFormat="1" spans="3:13">
      <c r="C13340" s="94"/>
      <c r="E13340" s="94"/>
      <c r="G13340" s="94"/>
      <c r="I13340" s="94"/>
      <c r="K13340" s="94"/>
      <c r="M13340" s="94"/>
    </row>
    <row r="13341" s="93" customFormat="1" spans="3:13">
      <c r="C13341" s="94"/>
      <c r="E13341" s="94"/>
      <c r="G13341" s="94"/>
      <c r="I13341" s="94"/>
      <c r="K13341" s="94"/>
      <c r="M13341" s="94"/>
    </row>
    <row r="13342" s="93" customFormat="1" spans="3:13">
      <c r="C13342" s="94"/>
      <c r="E13342" s="94"/>
      <c r="G13342" s="94"/>
      <c r="I13342" s="94"/>
      <c r="K13342" s="94"/>
      <c r="M13342" s="94"/>
    </row>
    <row r="13343" s="93" customFormat="1" spans="3:13">
      <c r="C13343" s="94"/>
      <c r="E13343" s="94"/>
      <c r="G13343" s="94"/>
      <c r="I13343" s="94"/>
      <c r="K13343" s="94"/>
      <c r="M13343" s="94"/>
    </row>
    <row r="13344" s="93" customFormat="1" spans="3:13">
      <c r="C13344" s="94"/>
      <c r="E13344" s="94"/>
      <c r="G13344" s="94"/>
      <c r="I13344" s="94"/>
      <c r="K13344" s="94"/>
      <c r="M13344" s="94"/>
    </row>
    <row r="13345" s="93" customFormat="1" spans="3:13">
      <c r="C13345" s="94"/>
      <c r="E13345" s="94"/>
      <c r="G13345" s="94"/>
      <c r="I13345" s="94"/>
      <c r="K13345" s="94"/>
      <c r="M13345" s="94"/>
    </row>
    <row r="13346" s="93" customFormat="1" spans="3:13">
      <c r="C13346" s="94"/>
      <c r="E13346" s="94"/>
      <c r="G13346" s="94"/>
      <c r="I13346" s="94"/>
      <c r="K13346" s="94"/>
      <c r="M13346" s="94"/>
    </row>
    <row r="13347" s="93" customFormat="1" spans="3:13">
      <c r="C13347" s="94"/>
      <c r="E13347" s="94"/>
      <c r="G13347" s="94"/>
      <c r="I13347" s="94"/>
      <c r="K13347" s="94"/>
      <c r="M13347" s="94"/>
    </row>
    <row r="13348" s="93" customFormat="1" spans="3:13">
      <c r="C13348" s="94"/>
      <c r="E13348" s="94"/>
      <c r="G13348" s="94"/>
      <c r="I13348" s="94"/>
      <c r="K13348" s="94"/>
      <c r="M13348" s="94"/>
    </row>
    <row r="13349" s="93" customFormat="1" spans="3:13">
      <c r="C13349" s="94"/>
      <c r="E13349" s="94"/>
      <c r="G13349" s="94"/>
      <c r="I13349" s="94"/>
      <c r="K13349" s="94"/>
      <c r="M13349" s="94"/>
    </row>
    <row r="13350" s="93" customFormat="1" spans="3:13">
      <c r="C13350" s="94"/>
      <c r="E13350" s="94"/>
      <c r="G13350" s="94"/>
      <c r="I13350" s="94"/>
      <c r="K13350" s="94"/>
      <c r="M13350" s="94"/>
    </row>
    <row r="13351" s="93" customFormat="1" spans="3:13">
      <c r="C13351" s="94"/>
      <c r="E13351" s="94"/>
      <c r="G13351" s="94"/>
      <c r="I13351" s="94"/>
      <c r="K13351" s="94"/>
      <c r="M13351" s="94"/>
    </row>
    <row r="13352" s="93" customFormat="1" spans="3:13">
      <c r="C13352" s="94"/>
      <c r="E13352" s="94"/>
      <c r="G13352" s="94"/>
      <c r="I13352" s="94"/>
      <c r="K13352" s="94"/>
      <c r="M13352" s="94"/>
    </row>
    <row r="13353" s="93" customFormat="1" spans="3:13">
      <c r="C13353" s="94"/>
      <c r="E13353" s="94"/>
      <c r="G13353" s="94"/>
      <c r="I13353" s="94"/>
      <c r="K13353" s="94"/>
      <c r="M13353" s="94"/>
    </row>
    <row r="13354" s="93" customFormat="1" spans="3:13">
      <c r="C13354" s="94"/>
      <c r="E13354" s="94"/>
      <c r="G13354" s="94"/>
      <c r="I13354" s="94"/>
      <c r="K13354" s="94"/>
      <c r="M13354" s="94"/>
    </row>
    <row r="13355" s="93" customFormat="1" spans="3:13">
      <c r="C13355" s="94"/>
      <c r="E13355" s="94"/>
      <c r="G13355" s="94"/>
      <c r="I13355" s="94"/>
      <c r="K13355" s="94"/>
      <c r="M13355" s="94"/>
    </row>
    <row r="13356" s="93" customFormat="1" spans="3:13">
      <c r="C13356" s="94"/>
      <c r="E13356" s="94"/>
      <c r="G13356" s="94"/>
      <c r="I13356" s="94"/>
      <c r="K13356" s="94"/>
      <c r="M13356" s="94"/>
    </row>
    <row r="13357" s="93" customFormat="1" spans="3:13">
      <c r="C13357" s="94"/>
      <c r="E13357" s="94"/>
      <c r="G13357" s="94"/>
      <c r="I13357" s="94"/>
      <c r="K13357" s="94"/>
      <c r="M13357" s="94"/>
    </row>
    <row r="13358" s="93" customFormat="1" spans="3:13">
      <c r="C13358" s="94"/>
      <c r="E13358" s="94"/>
      <c r="G13358" s="94"/>
      <c r="I13358" s="94"/>
      <c r="K13358" s="94"/>
      <c r="M13358" s="94"/>
    </row>
    <row r="13359" s="93" customFormat="1" spans="3:13">
      <c r="C13359" s="94"/>
      <c r="E13359" s="94"/>
      <c r="G13359" s="94"/>
      <c r="I13359" s="94"/>
      <c r="K13359" s="94"/>
      <c r="M13359" s="94"/>
    </row>
    <row r="13360" s="93" customFormat="1" spans="3:13">
      <c r="C13360" s="94"/>
      <c r="E13360" s="94"/>
      <c r="G13360" s="94"/>
      <c r="I13360" s="94"/>
      <c r="K13360" s="94"/>
      <c r="M13360" s="94"/>
    </row>
    <row r="13361" s="93" customFormat="1" spans="3:13">
      <c r="C13361" s="94"/>
      <c r="E13361" s="94"/>
      <c r="G13361" s="94"/>
      <c r="I13361" s="94"/>
      <c r="K13361" s="94"/>
      <c r="M13361" s="94"/>
    </row>
    <row r="13362" s="93" customFormat="1" spans="3:13">
      <c r="C13362" s="94"/>
      <c r="E13362" s="94"/>
      <c r="G13362" s="94"/>
      <c r="I13362" s="94"/>
      <c r="K13362" s="94"/>
      <c r="M13362" s="94"/>
    </row>
    <row r="13363" s="93" customFormat="1" spans="3:13">
      <c r="C13363" s="94"/>
      <c r="E13363" s="94"/>
      <c r="G13363" s="94"/>
      <c r="I13363" s="94"/>
      <c r="K13363" s="94"/>
      <c r="M13363" s="94"/>
    </row>
    <row r="13364" s="93" customFormat="1" spans="3:13">
      <c r="C13364" s="94"/>
      <c r="E13364" s="94"/>
      <c r="G13364" s="94"/>
      <c r="I13364" s="94"/>
      <c r="K13364" s="94"/>
      <c r="M13364" s="94"/>
    </row>
    <row r="13365" s="93" customFormat="1" spans="3:13">
      <c r="C13365" s="94"/>
      <c r="E13365" s="94"/>
      <c r="G13365" s="94"/>
      <c r="I13365" s="94"/>
      <c r="K13365" s="94"/>
      <c r="M13365" s="94"/>
    </row>
    <row r="13366" s="93" customFormat="1" spans="3:13">
      <c r="C13366" s="94"/>
      <c r="E13366" s="94"/>
      <c r="G13366" s="94"/>
      <c r="I13366" s="94"/>
      <c r="K13366" s="94"/>
      <c r="M13366" s="94"/>
    </row>
    <row r="13367" s="93" customFormat="1" spans="3:13">
      <c r="C13367" s="94"/>
      <c r="E13367" s="94"/>
      <c r="G13367" s="94"/>
      <c r="I13367" s="94"/>
      <c r="K13367" s="94"/>
      <c r="M13367" s="94"/>
    </row>
    <row r="13368" s="93" customFormat="1" spans="3:13">
      <c r="C13368" s="94"/>
      <c r="E13368" s="94"/>
      <c r="G13368" s="94"/>
      <c r="I13368" s="94"/>
      <c r="K13368" s="94"/>
      <c r="M13368" s="94"/>
    </row>
    <row r="13369" s="93" customFormat="1" spans="3:13">
      <c r="C13369" s="94"/>
      <c r="E13369" s="94"/>
      <c r="G13369" s="94"/>
      <c r="I13369" s="94"/>
      <c r="K13369" s="94"/>
      <c r="M13369" s="94"/>
    </row>
    <row r="13370" s="93" customFormat="1" spans="3:13">
      <c r="C13370" s="94"/>
      <c r="E13370" s="94"/>
      <c r="G13370" s="94"/>
      <c r="I13370" s="94"/>
      <c r="K13370" s="94"/>
      <c r="M13370" s="94"/>
    </row>
    <row r="13371" s="93" customFormat="1" spans="3:13">
      <c r="C13371" s="94"/>
      <c r="E13371" s="94"/>
      <c r="G13371" s="94"/>
      <c r="I13371" s="94"/>
      <c r="K13371" s="94"/>
      <c r="M13371" s="94"/>
    </row>
    <row r="13372" s="93" customFormat="1" spans="3:13">
      <c r="C13372" s="94"/>
      <c r="E13372" s="94"/>
      <c r="G13372" s="94"/>
      <c r="I13372" s="94"/>
      <c r="K13372" s="94"/>
      <c r="M13372" s="94"/>
    </row>
    <row r="13373" s="93" customFormat="1" spans="3:13">
      <c r="C13373" s="94"/>
      <c r="E13373" s="94"/>
      <c r="G13373" s="94"/>
      <c r="I13373" s="94"/>
      <c r="K13373" s="94"/>
      <c r="M13373" s="94"/>
    </row>
    <row r="13374" s="93" customFormat="1" spans="3:13">
      <c r="C13374" s="94"/>
      <c r="E13374" s="94"/>
      <c r="G13374" s="94"/>
      <c r="I13374" s="94"/>
      <c r="K13374" s="94"/>
      <c r="M13374" s="94"/>
    </row>
    <row r="13375" s="93" customFormat="1" spans="3:13">
      <c r="C13375" s="94"/>
      <c r="E13375" s="94"/>
      <c r="G13375" s="94"/>
      <c r="I13375" s="94"/>
      <c r="K13375" s="94"/>
      <c r="M13375" s="94"/>
    </row>
    <row r="13376" s="93" customFormat="1" spans="3:13">
      <c r="C13376" s="94"/>
      <c r="E13376" s="94"/>
      <c r="G13376" s="94"/>
      <c r="I13376" s="94"/>
      <c r="K13376" s="94"/>
      <c r="M13376" s="94"/>
    </row>
    <row r="13377" s="93" customFormat="1" spans="3:13">
      <c r="C13377" s="94"/>
      <c r="E13377" s="94"/>
      <c r="G13377" s="94"/>
      <c r="I13377" s="94"/>
      <c r="K13377" s="94"/>
      <c r="M13377" s="94"/>
    </row>
    <row r="13378" s="93" customFormat="1" spans="3:13">
      <c r="C13378" s="94"/>
      <c r="E13378" s="94"/>
      <c r="G13378" s="94"/>
      <c r="I13378" s="94"/>
      <c r="K13378" s="94"/>
      <c r="M13378" s="94"/>
    </row>
    <row r="13379" s="93" customFormat="1" spans="3:13">
      <c r="C13379" s="94"/>
      <c r="E13379" s="94"/>
      <c r="G13379" s="94"/>
      <c r="I13379" s="94"/>
      <c r="K13379" s="94"/>
      <c r="M13379" s="94"/>
    </row>
    <row r="13380" s="93" customFormat="1" spans="3:13">
      <c r="C13380" s="94"/>
      <c r="E13380" s="94"/>
      <c r="G13380" s="94"/>
      <c r="I13380" s="94"/>
      <c r="K13380" s="94"/>
      <c r="M13380" s="94"/>
    </row>
    <row r="13381" s="93" customFormat="1" spans="3:13">
      <c r="C13381" s="94"/>
      <c r="E13381" s="94"/>
      <c r="G13381" s="94"/>
      <c r="I13381" s="94"/>
      <c r="K13381" s="94"/>
      <c r="M13381" s="94"/>
    </row>
    <row r="13382" s="93" customFormat="1" spans="3:13">
      <c r="C13382" s="94"/>
      <c r="E13382" s="94"/>
      <c r="G13382" s="94"/>
      <c r="I13382" s="94"/>
      <c r="K13382" s="94"/>
      <c r="M13382" s="94"/>
    </row>
    <row r="13383" s="93" customFormat="1" spans="3:13">
      <c r="C13383" s="94"/>
      <c r="E13383" s="94"/>
      <c r="G13383" s="94"/>
      <c r="I13383" s="94"/>
      <c r="K13383" s="94"/>
      <c r="M13383" s="94"/>
    </row>
    <row r="13384" s="93" customFormat="1" spans="3:13">
      <c r="C13384" s="94"/>
      <c r="E13384" s="94"/>
      <c r="G13384" s="94"/>
      <c r="I13384" s="94"/>
      <c r="K13384" s="94"/>
      <c r="M13384" s="94"/>
    </row>
    <row r="13385" s="93" customFormat="1" spans="3:13">
      <c r="C13385" s="94"/>
      <c r="E13385" s="94"/>
      <c r="G13385" s="94"/>
      <c r="I13385" s="94"/>
      <c r="K13385" s="94"/>
      <c r="M13385" s="94"/>
    </row>
    <row r="13386" s="93" customFormat="1" spans="3:13">
      <c r="C13386" s="94"/>
      <c r="E13386" s="94"/>
      <c r="G13386" s="94"/>
      <c r="I13386" s="94"/>
      <c r="K13386" s="94"/>
      <c r="M13386" s="94"/>
    </row>
    <row r="13387" s="93" customFormat="1" spans="3:13">
      <c r="C13387" s="94"/>
      <c r="E13387" s="94"/>
      <c r="G13387" s="94"/>
      <c r="I13387" s="94"/>
      <c r="K13387" s="94"/>
      <c r="M13387" s="94"/>
    </row>
    <row r="13388" s="93" customFormat="1" spans="3:13">
      <c r="C13388" s="94"/>
      <c r="E13388" s="94"/>
      <c r="G13388" s="94"/>
      <c r="I13388" s="94"/>
      <c r="K13388" s="94"/>
      <c r="M13388" s="94"/>
    </row>
    <row r="13389" s="93" customFormat="1" spans="3:13">
      <c r="C13389" s="94"/>
      <c r="E13389" s="94"/>
      <c r="G13389" s="94"/>
      <c r="I13389" s="94"/>
      <c r="K13389" s="94"/>
      <c r="M13389" s="94"/>
    </row>
    <row r="13390" s="93" customFormat="1" spans="3:13">
      <c r="C13390" s="94"/>
      <c r="E13390" s="94"/>
      <c r="G13390" s="94"/>
      <c r="I13390" s="94"/>
      <c r="K13390" s="94"/>
      <c r="M13390" s="94"/>
    </row>
    <row r="13391" s="93" customFormat="1" spans="3:13">
      <c r="C13391" s="94"/>
      <c r="E13391" s="94"/>
      <c r="G13391" s="94"/>
      <c r="I13391" s="94"/>
      <c r="K13391" s="94"/>
      <c r="M13391" s="94"/>
    </row>
    <row r="13392" s="93" customFormat="1" spans="3:13">
      <c r="C13392" s="94"/>
      <c r="E13392" s="94"/>
      <c r="G13392" s="94"/>
      <c r="I13392" s="94"/>
      <c r="K13392" s="94"/>
      <c r="M13392" s="94"/>
    </row>
    <row r="13393" s="93" customFormat="1" spans="3:13">
      <c r="C13393" s="94"/>
      <c r="E13393" s="94"/>
      <c r="G13393" s="94"/>
      <c r="I13393" s="94"/>
      <c r="K13393" s="94"/>
      <c r="M13393" s="94"/>
    </row>
    <row r="13394" s="93" customFormat="1" spans="3:13">
      <c r="C13394" s="94"/>
      <c r="E13394" s="94"/>
      <c r="G13394" s="94"/>
      <c r="I13394" s="94"/>
      <c r="K13394" s="94"/>
      <c r="M13394" s="94"/>
    </row>
    <row r="13395" s="93" customFormat="1" spans="3:13">
      <c r="C13395" s="94"/>
      <c r="E13395" s="94"/>
      <c r="G13395" s="94"/>
      <c r="I13395" s="94"/>
      <c r="K13395" s="94"/>
      <c r="M13395" s="94"/>
    </row>
    <row r="13396" s="93" customFormat="1" spans="3:13">
      <c r="C13396" s="94"/>
      <c r="E13396" s="94"/>
      <c r="G13396" s="94"/>
      <c r="I13396" s="94"/>
      <c r="K13396" s="94"/>
      <c r="M13396" s="94"/>
    </row>
    <row r="13397" s="93" customFormat="1" spans="3:13">
      <c r="C13397" s="94"/>
      <c r="E13397" s="94"/>
      <c r="G13397" s="94"/>
      <c r="I13397" s="94"/>
      <c r="K13397" s="94"/>
      <c r="M13397" s="94"/>
    </row>
    <row r="13398" s="93" customFormat="1" spans="3:13">
      <c r="C13398" s="94"/>
      <c r="E13398" s="94"/>
      <c r="G13398" s="94"/>
      <c r="I13398" s="94"/>
      <c r="K13398" s="94"/>
      <c r="M13398" s="94"/>
    </row>
    <row r="13399" s="93" customFormat="1" spans="3:13">
      <c r="C13399" s="94"/>
      <c r="E13399" s="94"/>
      <c r="G13399" s="94"/>
      <c r="I13399" s="94"/>
      <c r="K13399" s="94"/>
      <c r="M13399" s="94"/>
    </row>
    <row r="13400" s="93" customFormat="1" spans="3:13">
      <c r="C13400" s="94"/>
      <c r="E13400" s="94"/>
      <c r="G13400" s="94"/>
      <c r="I13400" s="94"/>
      <c r="K13400" s="94"/>
      <c r="M13400" s="94"/>
    </row>
    <row r="13401" s="93" customFormat="1" spans="3:13">
      <c r="C13401" s="94"/>
      <c r="E13401" s="94"/>
      <c r="G13401" s="94"/>
      <c r="I13401" s="94"/>
      <c r="K13401" s="94"/>
      <c r="M13401" s="94"/>
    </row>
    <row r="13402" s="93" customFormat="1" spans="3:13">
      <c r="C13402" s="94"/>
      <c r="E13402" s="94"/>
      <c r="G13402" s="94"/>
      <c r="I13402" s="94"/>
      <c r="K13402" s="94"/>
      <c r="M13402" s="94"/>
    </row>
    <row r="13403" s="93" customFormat="1" spans="3:13">
      <c r="C13403" s="94"/>
      <c r="E13403" s="94"/>
      <c r="G13403" s="94"/>
      <c r="I13403" s="94"/>
      <c r="K13403" s="94"/>
      <c r="M13403" s="94"/>
    </row>
    <row r="13404" s="93" customFormat="1" spans="3:13">
      <c r="C13404" s="94"/>
      <c r="E13404" s="94"/>
      <c r="G13404" s="94"/>
      <c r="I13404" s="94"/>
      <c r="K13404" s="94"/>
      <c r="M13404" s="94"/>
    </row>
    <row r="13405" s="93" customFormat="1" spans="3:13">
      <c r="C13405" s="94"/>
      <c r="E13405" s="94"/>
      <c r="G13405" s="94"/>
      <c r="I13405" s="94"/>
      <c r="K13405" s="94"/>
      <c r="M13405" s="94"/>
    </row>
    <row r="13406" s="93" customFormat="1" spans="3:13">
      <c r="C13406" s="94"/>
      <c r="E13406" s="94"/>
      <c r="G13406" s="94"/>
      <c r="I13406" s="94"/>
      <c r="K13406" s="94"/>
      <c r="M13406" s="94"/>
    </row>
    <row r="13407" s="93" customFormat="1" spans="3:13">
      <c r="C13407" s="94"/>
      <c r="E13407" s="94"/>
      <c r="G13407" s="94"/>
      <c r="I13407" s="94"/>
      <c r="K13407" s="94"/>
      <c r="M13407" s="94"/>
    </row>
    <row r="13408" s="93" customFormat="1" spans="3:13">
      <c r="C13408" s="94"/>
      <c r="E13408" s="94"/>
      <c r="G13408" s="94"/>
      <c r="I13408" s="94"/>
      <c r="K13408" s="94"/>
      <c r="M13408" s="94"/>
    </row>
    <row r="13409" s="93" customFormat="1" spans="3:13">
      <c r="C13409" s="94"/>
      <c r="E13409" s="94"/>
      <c r="G13409" s="94"/>
      <c r="I13409" s="94"/>
      <c r="K13409" s="94"/>
      <c r="M13409" s="94"/>
    </row>
    <row r="13410" s="93" customFormat="1" spans="3:13">
      <c r="C13410" s="94"/>
      <c r="E13410" s="94"/>
      <c r="G13410" s="94"/>
      <c r="I13410" s="94"/>
      <c r="K13410" s="94"/>
      <c r="M13410" s="94"/>
    </row>
    <row r="13411" s="93" customFormat="1" spans="3:13">
      <c r="C13411" s="94"/>
      <c r="E13411" s="94"/>
      <c r="G13411" s="94"/>
      <c r="I13411" s="94"/>
      <c r="K13411" s="94"/>
      <c r="M13411" s="94"/>
    </row>
    <row r="13412" s="93" customFormat="1" spans="3:13">
      <c r="C13412" s="94"/>
      <c r="E13412" s="94"/>
      <c r="G13412" s="94"/>
      <c r="I13412" s="94"/>
      <c r="K13412" s="94"/>
      <c r="M13412" s="94"/>
    </row>
    <row r="13413" s="93" customFormat="1" spans="3:13">
      <c r="C13413" s="94"/>
      <c r="E13413" s="94"/>
      <c r="G13413" s="94"/>
      <c r="I13413" s="94"/>
      <c r="K13413" s="94"/>
      <c r="M13413" s="94"/>
    </row>
    <row r="13414" s="93" customFormat="1" spans="3:13">
      <c r="C13414" s="94"/>
      <c r="E13414" s="94"/>
      <c r="G13414" s="94"/>
      <c r="I13414" s="94"/>
      <c r="K13414" s="94"/>
      <c r="M13414" s="94"/>
    </row>
    <row r="13415" s="93" customFormat="1" spans="3:13">
      <c r="C13415" s="94"/>
      <c r="E13415" s="94"/>
      <c r="G13415" s="94"/>
      <c r="I13415" s="94"/>
      <c r="K13415" s="94"/>
      <c r="M13415" s="94"/>
    </row>
    <row r="13416" s="93" customFormat="1" spans="3:13">
      <c r="C13416" s="94"/>
      <c r="E13416" s="94"/>
      <c r="G13416" s="94"/>
      <c r="I13416" s="94"/>
      <c r="K13416" s="94"/>
      <c r="M13416" s="94"/>
    </row>
    <row r="13417" s="93" customFormat="1" spans="3:13">
      <c r="C13417" s="94"/>
      <c r="E13417" s="94"/>
      <c r="G13417" s="94"/>
      <c r="I13417" s="94"/>
      <c r="K13417" s="94"/>
      <c r="M13417" s="94"/>
    </row>
    <row r="13418" s="93" customFormat="1" spans="3:13">
      <c r="C13418" s="94"/>
      <c r="E13418" s="94"/>
      <c r="G13418" s="94"/>
      <c r="I13418" s="94"/>
      <c r="K13418" s="94"/>
      <c r="M13418" s="94"/>
    </row>
    <row r="13419" s="93" customFormat="1" spans="3:13">
      <c r="C13419" s="94"/>
      <c r="E13419" s="94"/>
      <c r="G13419" s="94"/>
      <c r="I13419" s="94"/>
      <c r="K13419" s="94"/>
      <c r="M13419" s="94"/>
    </row>
    <row r="13420" s="93" customFormat="1" spans="3:13">
      <c r="C13420" s="94"/>
      <c r="E13420" s="94"/>
      <c r="G13420" s="94"/>
      <c r="I13420" s="94"/>
      <c r="K13420" s="94"/>
      <c r="M13420" s="94"/>
    </row>
    <row r="13421" s="93" customFormat="1" spans="3:13">
      <c r="C13421" s="94"/>
      <c r="E13421" s="94"/>
      <c r="G13421" s="94"/>
      <c r="I13421" s="94"/>
      <c r="K13421" s="94"/>
      <c r="M13421" s="94"/>
    </row>
    <row r="13422" s="93" customFormat="1" spans="3:13">
      <c r="C13422" s="94"/>
      <c r="E13422" s="94"/>
      <c r="G13422" s="94"/>
      <c r="I13422" s="94"/>
      <c r="K13422" s="94"/>
      <c r="M13422" s="94"/>
    </row>
    <row r="13423" s="93" customFormat="1" spans="3:13">
      <c r="C13423" s="94"/>
      <c r="E13423" s="94"/>
      <c r="G13423" s="94"/>
      <c r="I13423" s="94"/>
      <c r="K13423" s="94"/>
      <c r="M13423" s="94"/>
    </row>
    <row r="13424" s="93" customFormat="1" spans="3:13">
      <c r="C13424" s="94"/>
      <c r="E13424" s="94"/>
      <c r="G13424" s="94"/>
      <c r="I13424" s="94"/>
      <c r="K13424" s="94"/>
      <c r="M13424" s="94"/>
    </row>
    <row r="13425" s="93" customFormat="1" spans="3:13">
      <c r="C13425" s="94"/>
      <c r="E13425" s="94"/>
      <c r="G13425" s="94"/>
      <c r="I13425" s="94"/>
      <c r="K13425" s="94"/>
      <c r="M13425" s="94"/>
    </row>
    <row r="13426" s="93" customFormat="1" spans="3:13">
      <c r="C13426" s="94"/>
      <c r="E13426" s="94"/>
      <c r="G13426" s="94"/>
      <c r="I13426" s="94"/>
      <c r="K13426" s="94"/>
      <c r="M13426" s="94"/>
    </row>
    <row r="13427" s="93" customFormat="1" spans="3:13">
      <c r="C13427" s="94"/>
      <c r="E13427" s="94"/>
      <c r="G13427" s="94"/>
      <c r="I13427" s="94"/>
      <c r="K13427" s="94"/>
      <c r="M13427" s="94"/>
    </row>
    <row r="13428" s="93" customFormat="1" spans="3:13">
      <c r="C13428" s="94"/>
      <c r="E13428" s="94"/>
      <c r="G13428" s="94"/>
      <c r="I13428" s="94"/>
      <c r="K13428" s="94"/>
      <c r="M13428" s="94"/>
    </row>
    <row r="13429" s="93" customFormat="1" spans="3:13">
      <c r="C13429" s="94"/>
      <c r="E13429" s="94"/>
      <c r="G13429" s="94"/>
      <c r="I13429" s="94"/>
      <c r="K13429" s="94"/>
      <c r="M13429" s="94"/>
    </row>
    <row r="13430" s="93" customFormat="1" spans="3:13">
      <c r="C13430" s="94"/>
      <c r="E13430" s="94"/>
      <c r="G13430" s="94"/>
      <c r="I13430" s="94"/>
      <c r="K13430" s="94"/>
      <c r="M13430" s="94"/>
    </row>
    <row r="13431" s="93" customFormat="1" spans="3:13">
      <c r="C13431" s="94"/>
      <c r="E13431" s="94"/>
      <c r="G13431" s="94"/>
      <c r="I13431" s="94"/>
      <c r="K13431" s="94"/>
      <c r="M13431" s="94"/>
    </row>
    <row r="13432" s="93" customFormat="1" spans="3:13">
      <c r="C13432" s="94"/>
      <c r="E13432" s="94"/>
      <c r="G13432" s="94"/>
      <c r="I13432" s="94"/>
      <c r="K13432" s="94"/>
      <c r="M13432" s="94"/>
    </row>
    <row r="13433" s="93" customFormat="1" spans="3:13">
      <c r="C13433" s="94"/>
      <c r="E13433" s="94"/>
      <c r="G13433" s="94"/>
      <c r="I13433" s="94"/>
      <c r="K13433" s="94"/>
      <c r="M13433" s="94"/>
    </row>
    <row r="13434" s="93" customFormat="1" spans="3:13">
      <c r="C13434" s="94"/>
      <c r="E13434" s="94"/>
      <c r="G13434" s="94"/>
      <c r="I13434" s="94"/>
      <c r="K13434" s="94"/>
      <c r="M13434" s="94"/>
    </row>
    <row r="13435" s="93" customFormat="1" spans="3:13">
      <c r="C13435" s="94"/>
      <c r="E13435" s="94"/>
      <c r="G13435" s="94"/>
      <c r="I13435" s="94"/>
      <c r="K13435" s="94"/>
      <c r="M13435" s="94"/>
    </row>
    <row r="13436" s="93" customFormat="1" spans="3:13">
      <c r="C13436" s="94"/>
      <c r="E13436" s="94"/>
      <c r="G13436" s="94"/>
      <c r="I13436" s="94"/>
      <c r="K13436" s="94"/>
      <c r="M13436" s="94"/>
    </row>
    <row r="13437" s="93" customFormat="1" spans="3:13">
      <c r="C13437" s="94"/>
      <c r="E13437" s="94"/>
      <c r="G13437" s="94"/>
      <c r="I13437" s="94"/>
      <c r="K13437" s="94"/>
      <c r="M13437" s="94"/>
    </row>
    <row r="13438" s="93" customFormat="1" spans="3:13">
      <c r="C13438" s="94"/>
      <c r="E13438" s="94"/>
      <c r="G13438" s="94"/>
      <c r="I13438" s="94"/>
      <c r="K13438" s="94"/>
      <c r="M13438" s="94"/>
    </row>
    <row r="13439" s="93" customFormat="1" spans="3:13">
      <c r="C13439" s="94"/>
      <c r="E13439" s="94"/>
      <c r="G13439" s="94"/>
      <c r="I13439" s="94"/>
      <c r="K13439" s="94"/>
      <c r="M13439" s="94"/>
    </row>
    <row r="13440" s="93" customFormat="1" spans="3:13">
      <c r="C13440" s="94"/>
      <c r="E13440" s="94"/>
      <c r="G13440" s="94"/>
      <c r="I13440" s="94"/>
      <c r="K13440" s="94"/>
      <c r="M13440" s="94"/>
    </row>
    <row r="13441" s="93" customFormat="1" spans="3:13">
      <c r="C13441" s="94"/>
      <c r="E13441" s="94"/>
      <c r="G13441" s="94"/>
      <c r="I13441" s="94"/>
      <c r="K13441" s="94"/>
      <c r="M13441" s="94"/>
    </row>
    <row r="13442" s="93" customFormat="1" spans="3:13">
      <c r="C13442" s="94"/>
      <c r="E13442" s="94"/>
      <c r="G13442" s="94"/>
      <c r="I13442" s="94"/>
      <c r="K13442" s="94"/>
      <c r="M13442" s="94"/>
    </row>
    <row r="13443" s="93" customFormat="1" spans="3:13">
      <c r="C13443" s="94"/>
      <c r="E13443" s="94"/>
      <c r="G13443" s="94"/>
      <c r="I13443" s="94"/>
      <c r="K13443" s="94"/>
      <c r="M13443" s="94"/>
    </row>
    <row r="13444" s="93" customFormat="1" spans="3:13">
      <c r="C13444" s="94"/>
      <c r="E13444" s="94"/>
      <c r="G13444" s="94"/>
      <c r="I13444" s="94"/>
      <c r="K13444" s="94"/>
      <c r="M13444" s="94"/>
    </row>
    <row r="13445" s="93" customFormat="1" spans="3:13">
      <c r="C13445" s="94"/>
      <c r="E13445" s="94"/>
      <c r="G13445" s="94"/>
      <c r="I13445" s="94"/>
      <c r="K13445" s="94"/>
      <c r="M13445" s="94"/>
    </row>
    <row r="13446" s="93" customFormat="1" spans="3:13">
      <c r="C13446" s="94"/>
      <c r="E13446" s="94"/>
      <c r="G13446" s="94"/>
      <c r="I13446" s="94"/>
      <c r="K13446" s="94"/>
      <c r="M13446" s="94"/>
    </row>
    <row r="13447" s="93" customFormat="1" spans="3:13">
      <c r="C13447" s="94"/>
      <c r="E13447" s="94"/>
      <c r="G13447" s="94"/>
      <c r="I13447" s="94"/>
      <c r="K13447" s="94"/>
      <c r="M13447" s="94"/>
    </row>
    <row r="13448" s="93" customFormat="1" spans="3:13">
      <c r="C13448" s="94"/>
      <c r="E13448" s="94"/>
      <c r="G13448" s="94"/>
      <c r="I13448" s="94"/>
      <c r="K13448" s="94"/>
      <c r="M13448" s="94"/>
    </row>
    <row r="13449" s="93" customFormat="1" spans="3:13">
      <c r="C13449" s="94"/>
      <c r="E13449" s="94"/>
      <c r="G13449" s="94"/>
      <c r="I13449" s="94"/>
      <c r="K13449" s="94"/>
      <c r="M13449" s="94"/>
    </row>
    <row r="13450" s="93" customFormat="1" spans="3:13">
      <c r="C13450" s="94"/>
      <c r="E13450" s="94"/>
      <c r="G13450" s="94"/>
      <c r="I13450" s="94"/>
      <c r="K13450" s="94"/>
      <c r="M13450" s="94"/>
    </row>
    <row r="13451" s="93" customFormat="1" spans="3:13">
      <c r="C13451" s="94"/>
      <c r="E13451" s="94"/>
      <c r="G13451" s="94"/>
      <c r="I13451" s="94"/>
      <c r="K13451" s="94"/>
      <c r="M13451" s="94"/>
    </row>
    <row r="13452" s="93" customFormat="1" spans="3:13">
      <c r="C13452" s="94"/>
      <c r="E13452" s="94"/>
      <c r="G13452" s="94"/>
      <c r="I13452" s="94"/>
      <c r="K13452" s="94"/>
      <c r="M13452" s="94"/>
    </row>
    <row r="13453" s="93" customFormat="1" spans="3:13">
      <c r="C13453" s="94"/>
      <c r="E13453" s="94"/>
      <c r="G13453" s="94"/>
      <c r="I13453" s="94"/>
      <c r="K13453" s="94"/>
      <c r="M13453" s="94"/>
    </row>
    <row r="13454" s="93" customFormat="1" spans="3:13">
      <c r="C13454" s="94"/>
      <c r="E13454" s="94"/>
      <c r="G13454" s="94"/>
      <c r="I13454" s="94"/>
      <c r="K13454" s="94"/>
      <c r="M13454" s="94"/>
    </row>
    <row r="13455" s="93" customFormat="1" spans="3:13">
      <c r="C13455" s="94"/>
      <c r="E13455" s="94"/>
      <c r="G13455" s="94"/>
      <c r="I13455" s="94"/>
      <c r="K13455" s="94"/>
      <c r="M13455" s="94"/>
    </row>
    <row r="13456" s="93" customFormat="1" spans="3:13">
      <c r="C13456" s="94"/>
      <c r="E13456" s="94"/>
      <c r="G13456" s="94"/>
      <c r="I13456" s="94"/>
      <c r="K13456" s="94"/>
      <c r="M13456" s="94"/>
    </row>
    <row r="13457" s="93" customFormat="1" spans="3:13">
      <c r="C13457" s="94"/>
      <c r="E13457" s="94"/>
      <c r="G13457" s="94"/>
      <c r="I13457" s="94"/>
      <c r="K13457" s="94"/>
      <c r="M13457" s="94"/>
    </row>
    <row r="13458" s="93" customFormat="1" spans="3:13">
      <c r="C13458" s="94"/>
      <c r="E13458" s="94"/>
      <c r="G13458" s="94"/>
      <c r="I13458" s="94"/>
      <c r="K13458" s="94"/>
      <c r="M13458" s="94"/>
    </row>
    <row r="13459" s="93" customFormat="1" spans="3:13">
      <c r="C13459" s="94"/>
      <c r="E13459" s="94"/>
      <c r="G13459" s="94"/>
      <c r="I13459" s="94"/>
      <c r="K13459" s="94"/>
      <c r="M13459" s="94"/>
    </row>
    <row r="13460" s="93" customFormat="1" spans="3:13">
      <c r="C13460" s="94"/>
      <c r="E13460" s="94"/>
      <c r="G13460" s="94"/>
      <c r="I13460" s="94"/>
      <c r="K13460" s="94"/>
      <c r="M13460" s="94"/>
    </row>
    <row r="13461" s="93" customFormat="1" spans="3:13">
      <c r="C13461" s="94"/>
      <c r="E13461" s="94"/>
      <c r="G13461" s="94"/>
      <c r="I13461" s="94"/>
      <c r="K13461" s="94"/>
      <c r="M13461" s="94"/>
    </row>
    <row r="13462" s="93" customFormat="1" spans="3:13">
      <c r="C13462" s="94"/>
      <c r="E13462" s="94"/>
      <c r="G13462" s="94"/>
      <c r="I13462" s="94"/>
      <c r="K13462" s="94"/>
      <c r="M13462" s="94"/>
    </row>
    <row r="13463" s="93" customFormat="1" spans="3:13">
      <c r="C13463" s="94"/>
      <c r="E13463" s="94"/>
      <c r="G13463" s="94"/>
      <c r="I13463" s="94"/>
      <c r="K13463" s="94"/>
      <c r="M13463" s="94"/>
    </row>
    <row r="13464" s="93" customFormat="1" spans="3:13">
      <c r="C13464" s="94"/>
      <c r="E13464" s="94"/>
      <c r="G13464" s="94"/>
      <c r="I13464" s="94"/>
      <c r="K13464" s="94"/>
      <c r="M13464" s="94"/>
    </row>
    <row r="13465" s="93" customFormat="1" spans="3:13">
      <c r="C13465" s="94"/>
      <c r="E13465" s="94"/>
      <c r="G13465" s="94"/>
      <c r="I13465" s="94"/>
      <c r="K13465" s="94"/>
      <c r="M13465" s="94"/>
    </row>
    <row r="13466" s="93" customFormat="1" spans="3:13">
      <c r="C13466" s="94"/>
      <c r="E13466" s="94"/>
      <c r="G13466" s="94"/>
      <c r="I13466" s="94"/>
      <c r="K13466" s="94"/>
      <c r="M13466" s="94"/>
    </row>
    <row r="13467" s="93" customFormat="1" spans="3:13">
      <c r="C13467" s="94"/>
      <c r="E13467" s="94"/>
      <c r="G13467" s="94"/>
      <c r="I13467" s="94"/>
      <c r="K13467" s="94"/>
      <c r="M13467" s="94"/>
    </row>
    <row r="13468" s="93" customFormat="1" spans="3:13">
      <c r="C13468" s="94"/>
      <c r="E13468" s="94"/>
      <c r="G13468" s="94"/>
      <c r="I13468" s="94"/>
      <c r="K13468" s="94"/>
      <c r="M13468" s="94"/>
    </row>
    <row r="13469" s="93" customFormat="1" spans="3:13">
      <c r="C13469" s="94"/>
      <c r="E13469" s="94"/>
      <c r="G13469" s="94"/>
      <c r="I13469" s="94"/>
      <c r="K13469" s="94"/>
      <c r="M13469" s="94"/>
    </row>
    <row r="13470" s="93" customFormat="1" spans="3:13">
      <c r="C13470" s="94"/>
      <c r="E13470" s="94"/>
      <c r="G13470" s="94"/>
      <c r="I13470" s="94"/>
      <c r="K13470" s="94"/>
      <c r="M13470" s="94"/>
    </row>
    <row r="13471" s="93" customFormat="1" spans="3:13">
      <c r="C13471" s="94"/>
      <c r="E13471" s="94"/>
      <c r="G13471" s="94"/>
      <c r="I13471" s="94"/>
      <c r="K13471" s="94"/>
      <c r="M13471" s="94"/>
    </row>
    <row r="13472" s="93" customFormat="1" spans="3:13">
      <c r="C13472" s="94"/>
      <c r="E13472" s="94"/>
      <c r="G13472" s="94"/>
      <c r="I13472" s="94"/>
      <c r="K13472" s="94"/>
      <c r="M13472" s="94"/>
    </row>
    <row r="13473" s="93" customFormat="1" spans="3:13">
      <c r="C13473" s="94"/>
      <c r="E13473" s="94"/>
      <c r="G13473" s="94"/>
      <c r="I13473" s="94"/>
      <c r="K13473" s="94"/>
      <c r="M13473" s="94"/>
    </row>
    <row r="13474" s="93" customFormat="1" spans="3:13">
      <c r="C13474" s="94"/>
      <c r="E13474" s="94"/>
      <c r="G13474" s="94"/>
      <c r="I13474" s="94"/>
      <c r="K13474" s="94"/>
      <c r="M13474" s="94"/>
    </row>
    <row r="13475" s="93" customFormat="1" spans="3:13">
      <c r="C13475" s="94"/>
      <c r="E13475" s="94"/>
      <c r="G13475" s="94"/>
      <c r="I13475" s="94"/>
      <c r="K13475" s="94"/>
      <c r="M13475" s="94"/>
    </row>
    <row r="13476" s="93" customFormat="1" spans="3:13">
      <c r="C13476" s="94"/>
      <c r="E13476" s="94"/>
      <c r="G13476" s="94"/>
      <c r="I13476" s="94"/>
      <c r="K13476" s="94"/>
      <c r="M13476" s="94"/>
    </row>
    <row r="13477" s="93" customFormat="1" spans="3:13">
      <c r="C13477" s="94"/>
      <c r="E13477" s="94"/>
      <c r="G13477" s="94"/>
      <c r="I13477" s="94"/>
      <c r="K13477" s="94"/>
      <c r="M13477" s="94"/>
    </row>
    <row r="13478" s="93" customFormat="1" spans="3:13">
      <c r="C13478" s="94"/>
      <c r="E13478" s="94"/>
      <c r="G13478" s="94"/>
      <c r="I13478" s="94"/>
      <c r="K13478" s="94"/>
      <c r="M13478" s="94"/>
    </row>
    <row r="13479" s="93" customFormat="1" spans="3:13">
      <c r="C13479" s="94"/>
      <c r="E13479" s="94"/>
      <c r="G13479" s="94"/>
      <c r="I13479" s="94"/>
      <c r="K13479" s="94"/>
      <c r="M13479" s="94"/>
    </row>
    <row r="13480" s="93" customFormat="1" spans="3:13">
      <c r="C13480" s="94"/>
      <c r="E13480" s="94"/>
      <c r="G13480" s="94"/>
      <c r="I13480" s="94"/>
      <c r="K13480" s="94"/>
      <c r="M13480" s="94"/>
    </row>
    <row r="13481" s="93" customFormat="1" spans="3:13">
      <c r="C13481" s="94"/>
      <c r="E13481" s="94"/>
      <c r="G13481" s="94"/>
      <c r="I13481" s="94"/>
      <c r="K13481" s="94"/>
      <c r="M13481" s="94"/>
    </row>
    <row r="13482" s="93" customFormat="1" spans="3:13">
      <c r="C13482" s="94"/>
      <c r="E13482" s="94"/>
      <c r="G13482" s="94"/>
      <c r="I13482" s="94"/>
      <c r="K13482" s="94"/>
      <c r="M13482" s="94"/>
    </row>
    <row r="13483" s="93" customFormat="1" spans="3:13">
      <c r="C13483" s="94"/>
      <c r="E13483" s="94"/>
      <c r="G13483" s="94"/>
      <c r="I13483" s="94"/>
      <c r="K13483" s="94"/>
      <c r="M13483" s="94"/>
    </row>
    <row r="13484" s="93" customFormat="1" spans="3:13">
      <c r="C13484" s="94"/>
      <c r="E13484" s="94"/>
      <c r="G13484" s="94"/>
      <c r="I13484" s="94"/>
      <c r="K13484" s="94"/>
      <c r="M13484" s="94"/>
    </row>
    <row r="13485" s="93" customFormat="1" spans="3:13">
      <c r="C13485" s="94"/>
      <c r="E13485" s="94"/>
      <c r="G13485" s="94"/>
      <c r="I13485" s="94"/>
      <c r="K13485" s="94"/>
      <c r="M13485" s="94"/>
    </row>
    <row r="13486" s="93" customFormat="1" spans="3:13">
      <c r="C13486" s="94"/>
      <c r="E13486" s="94"/>
      <c r="G13486" s="94"/>
      <c r="I13486" s="94"/>
      <c r="K13486" s="94"/>
      <c r="M13486" s="94"/>
    </row>
    <row r="13487" s="93" customFormat="1" spans="3:13">
      <c r="C13487" s="94"/>
      <c r="E13487" s="94"/>
      <c r="G13487" s="94"/>
      <c r="I13487" s="94"/>
      <c r="K13487" s="94"/>
      <c r="M13487" s="94"/>
    </row>
    <row r="13488" s="93" customFormat="1" spans="3:13">
      <c r="C13488" s="94"/>
      <c r="E13488" s="94"/>
      <c r="G13488" s="94"/>
      <c r="I13488" s="94"/>
      <c r="K13488" s="94"/>
      <c r="M13488" s="94"/>
    </row>
    <row r="13489" s="93" customFormat="1" spans="3:13">
      <c r="C13489" s="94"/>
      <c r="E13489" s="94"/>
      <c r="G13489" s="94"/>
      <c r="I13489" s="94"/>
      <c r="K13489" s="94"/>
      <c r="M13489" s="94"/>
    </row>
    <row r="13490" s="93" customFormat="1" spans="3:13">
      <c r="C13490" s="94"/>
      <c r="E13490" s="94"/>
      <c r="G13490" s="94"/>
      <c r="I13490" s="94"/>
      <c r="K13490" s="94"/>
      <c r="M13490" s="94"/>
    </row>
    <row r="13491" s="93" customFormat="1" spans="3:13">
      <c r="C13491" s="94"/>
      <c r="E13491" s="94"/>
      <c r="G13491" s="94"/>
      <c r="I13491" s="94"/>
      <c r="K13491" s="94"/>
      <c r="M13491" s="94"/>
    </row>
    <row r="13492" s="93" customFormat="1" spans="3:13">
      <c r="C13492" s="94"/>
      <c r="E13492" s="94"/>
      <c r="G13492" s="94"/>
      <c r="I13492" s="94"/>
      <c r="K13492" s="94"/>
      <c r="M13492" s="94"/>
    </row>
    <row r="13493" s="93" customFormat="1" spans="3:13">
      <c r="C13493" s="94"/>
      <c r="E13493" s="94"/>
      <c r="G13493" s="94"/>
      <c r="I13493" s="94"/>
      <c r="K13493" s="94"/>
      <c r="M13493" s="94"/>
    </row>
    <row r="13494" s="93" customFormat="1" spans="3:13">
      <c r="C13494" s="94"/>
      <c r="E13494" s="94"/>
      <c r="G13494" s="94"/>
      <c r="I13494" s="94"/>
      <c r="K13494" s="94"/>
      <c r="M13494" s="94"/>
    </row>
    <row r="13495" s="93" customFormat="1" spans="3:13">
      <c r="C13495" s="94"/>
      <c r="E13495" s="94"/>
      <c r="G13495" s="94"/>
      <c r="I13495" s="94"/>
      <c r="K13495" s="94"/>
      <c r="M13495" s="94"/>
    </row>
    <row r="13496" s="93" customFormat="1" spans="3:13">
      <c r="C13496" s="94"/>
      <c r="E13496" s="94"/>
      <c r="G13496" s="94"/>
      <c r="I13496" s="94"/>
      <c r="K13496" s="94"/>
      <c r="M13496" s="94"/>
    </row>
    <row r="13497" s="93" customFormat="1" spans="3:13">
      <c r="C13497" s="94"/>
      <c r="E13497" s="94"/>
      <c r="G13497" s="94"/>
      <c r="I13497" s="94"/>
      <c r="K13497" s="94"/>
      <c r="M13497" s="94"/>
    </row>
    <row r="13498" s="93" customFormat="1" spans="3:13">
      <c r="C13498" s="94"/>
      <c r="E13498" s="94"/>
      <c r="G13498" s="94"/>
      <c r="I13498" s="94"/>
      <c r="K13498" s="94"/>
      <c r="M13498" s="94"/>
    </row>
    <row r="13499" s="93" customFormat="1" spans="3:13">
      <c r="C13499" s="94"/>
      <c r="E13499" s="94"/>
      <c r="G13499" s="94"/>
      <c r="I13499" s="94"/>
      <c r="K13499" s="94"/>
      <c r="M13499" s="94"/>
    </row>
    <row r="13500" s="93" customFormat="1" spans="3:13">
      <c r="C13500" s="94"/>
      <c r="E13500" s="94"/>
      <c r="G13500" s="94"/>
      <c r="I13500" s="94"/>
      <c r="K13500" s="94"/>
      <c r="M13500" s="94"/>
    </row>
    <row r="13501" s="93" customFormat="1" spans="3:13">
      <c r="C13501" s="94"/>
      <c r="E13501" s="94"/>
      <c r="G13501" s="94"/>
      <c r="I13501" s="94"/>
      <c r="K13501" s="94"/>
      <c r="M13501" s="94"/>
    </row>
    <row r="13502" s="93" customFormat="1" spans="3:13">
      <c r="C13502" s="94"/>
      <c r="E13502" s="94"/>
      <c r="G13502" s="94"/>
      <c r="I13502" s="94"/>
      <c r="K13502" s="94"/>
      <c r="M13502" s="94"/>
    </row>
    <row r="13503" s="93" customFormat="1" spans="3:13">
      <c r="C13503" s="94"/>
      <c r="E13503" s="94"/>
      <c r="G13503" s="94"/>
      <c r="I13503" s="94"/>
      <c r="K13503" s="94"/>
      <c r="M13503" s="94"/>
    </row>
    <row r="13504" s="93" customFormat="1" spans="3:13">
      <c r="C13504" s="94"/>
      <c r="E13504" s="94"/>
      <c r="G13504" s="94"/>
      <c r="I13504" s="94"/>
      <c r="K13504" s="94"/>
      <c r="M13504" s="94"/>
    </row>
    <row r="13505" s="93" customFormat="1" spans="3:13">
      <c r="C13505" s="94"/>
      <c r="E13505" s="94"/>
      <c r="G13505" s="94"/>
      <c r="I13505" s="94"/>
      <c r="K13505" s="94"/>
      <c r="M13505" s="94"/>
    </row>
    <row r="13506" s="93" customFormat="1" spans="3:13">
      <c r="C13506" s="94"/>
      <c r="E13506" s="94"/>
      <c r="G13506" s="94"/>
      <c r="I13506" s="94"/>
      <c r="K13506" s="94"/>
      <c r="M13506" s="94"/>
    </row>
    <row r="13507" s="93" customFormat="1" spans="3:13">
      <c r="C13507" s="94"/>
      <c r="E13507" s="94"/>
      <c r="G13507" s="94"/>
      <c r="I13507" s="94"/>
      <c r="K13507" s="94"/>
      <c r="M13507" s="94"/>
    </row>
    <row r="13508" s="93" customFormat="1" spans="3:13">
      <c r="C13508" s="94"/>
      <c r="E13508" s="94"/>
      <c r="G13508" s="94"/>
      <c r="I13508" s="94"/>
      <c r="K13508" s="94"/>
      <c r="M13508" s="94"/>
    </row>
    <row r="13509" s="93" customFormat="1" spans="3:13">
      <c r="C13509" s="94"/>
      <c r="E13509" s="94"/>
      <c r="G13509" s="94"/>
      <c r="I13509" s="94"/>
      <c r="K13509" s="94"/>
      <c r="M13509" s="94"/>
    </row>
    <row r="13510" s="93" customFormat="1" spans="3:13">
      <c r="C13510" s="94"/>
      <c r="E13510" s="94"/>
      <c r="G13510" s="94"/>
      <c r="I13510" s="94"/>
      <c r="K13510" s="94"/>
      <c r="M13510" s="94"/>
    </row>
    <row r="13511" s="93" customFormat="1" spans="3:13">
      <c r="C13511" s="94"/>
      <c r="E13511" s="94"/>
      <c r="G13511" s="94"/>
      <c r="I13511" s="94"/>
      <c r="K13511" s="94"/>
      <c r="M13511" s="94"/>
    </row>
    <row r="13512" s="93" customFormat="1" spans="3:13">
      <c r="C13512" s="94"/>
      <c r="E13512" s="94"/>
      <c r="G13512" s="94"/>
      <c r="I13512" s="94"/>
      <c r="K13512" s="94"/>
      <c r="M13512" s="94"/>
    </row>
    <row r="13513" s="93" customFormat="1" spans="3:13">
      <c r="C13513" s="94"/>
      <c r="E13513" s="94"/>
      <c r="G13513" s="94"/>
      <c r="I13513" s="94"/>
      <c r="K13513" s="94"/>
      <c r="M13513" s="94"/>
    </row>
    <row r="13514" s="93" customFormat="1" spans="3:13">
      <c r="C13514" s="94"/>
      <c r="E13514" s="94"/>
      <c r="G13514" s="94"/>
      <c r="I13514" s="94"/>
      <c r="K13514" s="94"/>
      <c r="M13514" s="94"/>
    </row>
    <row r="13515" s="93" customFormat="1" spans="3:13">
      <c r="C13515" s="94"/>
      <c r="E13515" s="94"/>
      <c r="G13515" s="94"/>
      <c r="I13515" s="94"/>
      <c r="K13515" s="94"/>
      <c r="M13515" s="94"/>
    </row>
    <row r="13516" s="93" customFormat="1" spans="3:13">
      <c r="C13516" s="94"/>
      <c r="E13516" s="94"/>
      <c r="G13516" s="94"/>
      <c r="I13516" s="94"/>
      <c r="K13516" s="94"/>
      <c r="M13516" s="94"/>
    </row>
    <row r="13517" s="93" customFormat="1" spans="3:13">
      <c r="C13517" s="94"/>
      <c r="E13517" s="94"/>
      <c r="G13517" s="94"/>
      <c r="I13517" s="94"/>
      <c r="K13517" s="94"/>
      <c r="M13517" s="94"/>
    </row>
    <row r="13518" s="93" customFormat="1" spans="3:13">
      <c r="C13518" s="94"/>
      <c r="E13518" s="94"/>
      <c r="G13518" s="94"/>
      <c r="I13518" s="94"/>
      <c r="K13518" s="94"/>
      <c r="M13518" s="94"/>
    </row>
    <row r="13519" s="93" customFormat="1" spans="3:13">
      <c r="C13519" s="94"/>
      <c r="E13519" s="94"/>
      <c r="G13519" s="94"/>
      <c r="I13519" s="94"/>
      <c r="K13519" s="94"/>
      <c r="M13519" s="94"/>
    </row>
    <row r="13520" s="93" customFormat="1" spans="3:13">
      <c r="C13520" s="94"/>
      <c r="E13520" s="94"/>
      <c r="G13520" s="94"/>
      <c r="I13520" s="94"/>
      <c r="K13520" s="94"/>
      <c r="M13520" s="94"/>
    </row>
    <row r="13521" s="93" customFormat="1" spans="3:13">
      <c r="C13521" s="94"/>
      <c r="E13521" s="94"/>
      <c r="G13521" s="94"/>
      <c r="I13521" s="94"/>
      <c r="K13521" s="94"/>
      <c r="M13521" s="94"/>
    </row>
    <row r="13522" s="93" customFormat="1" spans="3:13">
      <c r="C13522" s="94"/>
      <c r="E13522" s="94"/>
      <c r="G13522" s="94"/>
      <c r="I13522" s="94"/>
      <c r="K13522" s="94"/>
      <c r="M13522" s="94"/>
    </row>
    <row r="13523" s="93" customFormat="1" spans="3:13">
      <c r="C13523" s="94"/>
      <c r="E13523" s="94"/>
      <c r="G13523" s="94"/>
      <c r="I13523" s="94"/>
      <c r="K13523" s="94"/>
      <c r="M13523" s="94"/>
    </row>
    <row r="13524" s="93" customFormat="1" spans="3:13">
      <c r="C13524" s="94"/>
      <c r="E13524" s="94"/>
      <c r="G13524" s="94"/>
      <c r="I13524" s="94"/>
      <c r="K13524" s="94"/>
      <c r="M13524" s="94"/>
    </row>
    <row r="13525" s="93" customFormat="1" spans="3:13">
      <c r="C13525" s="94"/>
      <c r="E13525" s="94"/>
      <c r="G13525" s="94"/>
      <c r="I13525" s="94"/>
      <c r="K13525" s="94"/>
      <c r="M13525" s="94"/>
    </row>
    <row r="13526" s="93" customFormat="1" spans="3:13">
      <c r="C13526" s="94"/>
      <c r="E13526" s="94"/>
      <c r="G13526" s="94"/>
      <c r="I13526" s="94"/>
      <c r="K13526" s="94"/>
      <c r="M13526" s="94"/>
    </row>
    <row r="13527" s="93" customFormat="1" spans="3:13">
      <c r="C13527" s="94"/>
      <c r="E13527" s="94"/>
      <c r="G13527" s="94"/>
      <c r="I13527" s="94"/>
      <c r="K13527" s="94"/>
      <c r="M13527" s="94"/>
    </row>
    <row r="13528" s="93" customFormat="1" spans="3:13">
      <c r="C13528" s="94"/>
      <c r="E13528" s="94"/>
      <c r="G13528" s="94"/>
      <c r="I13528" s="94"/>
      <c r="K13528" s="94"/>
      <c r="M13528" s="94"/>
    </row>
    <row r="13529" s="93" customFormat="1" spans="3:13">
      <c r="C13529" s="94"/>
      <c r="E13529" s="94"/>
      <c r="G13529" s="94"/>
      <c r="I13529" s="94"/>
      <c r="K13529" s="94"/>
      <c r="M13529" s="94"/>
    </row>
    <row r="13530" s="93" customFormat="1" spans="3:13">
      <c r="C13530" s="94"/>
      <c r="E13530" s="94"/>
      <c r="G13530" s="94"/>
      <c r="I13530" s="94"/>
      <c r="K13530" s="94"/>
      <c r="M13530" s="94"/>
    </row>
    <row r="13531" s="93" customFormat="1" spans="3:13">
      <c r="C13531" s="94"/>
      <c r="E13531" s="94"/>
      <c r="G13531" s="94"/>
      <c r="I13531" s="94"/>
      <c r="K13531" s="94"/>
      <c r="M13531" s="94"/>
    </row>
    <row r="13532" s="93" customFormat="1" spans="3:13">
      <c r="C13532" s="94"/>
      <c r="E13532" s="94"/>
      <c r="G13532" s="94"/>
      <c r="I13532" s="94"/>
      <c r="K13532" s="94"/>
      <c r="M13532" s="94"/>
    </row>
    <row r="13533" s="93" customFormat="1" spans="3:13">
      <c r="C13533" s="94"/>
      <c r="E13533" s="94"/>
      <c r="G13533" s="94"/>
      <c r="I13533" s="94"/>
      <c r="K13533" s="94"/>
      <c r="M13533" s="94"/>
    </row>
    <row r="13534" s="93" customFormat="1" spans="3:13">
      <c r="C13534" s="94"/>
      <c r="E13534" s="94"/>
      <c r="G13534" s="94"/>
      <c r="I13534" s="94"/>
      <c r="K13534" s="94"/>
      <c r="M13534" s="94"/>
    </row>
    <row r="13535" s="93" customFormat="1" spans="3:13">
      <c r="C13535" s="94"/>
      <c r="E13535" s="94"/>
      <c r="G13535" s="94"/>
      <c r="I13535" s="94"/>
      <c r="K13535" s="94"/>
      <c r="M13535" s="94"/>
    </row>
    <row r="13536" s="93" customFormat="1" spans="3:13">
      <c r="C13536" s="94"/>
      <c r="E13536" s="94"/>
      <c r="G13536" s="94"/>
      <c r="I13536" s="94"/>
      <c r="K13536" s="94"/>
      <c r="M13536" s="94"/>
    </row>
    <row r="13537" s="93" customFormat="1" spans="3:13">
      <c r="C13537" s="94"/>
      <c r="E13537" s="94"/>
      <c r="G13537" s="94"/>
      <c r="I13537" s="94"/>
      <c r="K13537" s="94"/>
      <c r="M13537" s="94"/>
    </row>
    <row r="13538" s="93" customFormat="1" spans="3:13">
      <c r="C13538" s="94"/>
      <c r="E13538" s="94"/>
      <c r="G13538" s="94"/>
      <c r="I13538" s="94"/>
      <c r="K13538" s="94"/>
      <c r="M13538" s="94"/>
    </row>
    <row r="13539" s="93" customFormat="1" spans="3:13">
      <c r="C13539" s="94"/>
      <c r="E13539" s="94"/>
      <c r="G13539" s="94"/>
      <c r="I13539" s="94"/>
      <c r="K13539" s="94"/>
      <c r="M13539" s="94"/>
    </row>
    <row r="13540" s="93" customFormat="1" spans="3:13">
      <c r="C13540" s="94"/>
      <c r="E13540" s="94"/>
      <c r="G13540" s="94"/>
      <c r="I13540" s="94"/>
      <c r="K13540" s="94"/>
      <c r="M13540" s="94"/>
    </row>
    <row r="13541" s="93" customFormat="1" spans="3:13">
      <c r="C13541" s="94"/>
      <c r="E13541" s="94"/>
      <c r="G13541" s="94"/>
      <c r="I13541" s="94"/>
      <c r="K13541" s="94"/>
      <c r="M13541" s="94"/>
    </row>
    <row r="13542" s="93" customFormat="1" spans="3:13">
      <c r="C13542" s="94"/>
      <c r="E13542" s="94"/>
      <c r="G13542" s="94"/>
      <c r="I13542" s="94"/>
      <c r="K13542" s="94"/>
      <c r="M13542" s="94"/>
    </row>
    <row r="13543" s="93" customFormat="1" spans="3:13">
      <c r="C13543" s="94"/>
      <c r="E13543" s="94"/>
      <c r="G13543" s="94"/>
      <c r="I13543" s="94"/>
      <c r="K13543" s="94"/>
      <c r="M13543" s="94"/>
    </row>
    <row r="13544" s="93" customFormat="1" spans="3:13">
      <c r="C13544" s="94"/>
      <c r="E13544" s="94"/>
      <c r="G13544" s="94"/>
      <c r="I13544" s="94"/>
      <c r="K13544" s="94"/>
      <c r="M13544" s="94"/>
    </row>
    <row r="13545" s="93" customFormat="1" spans="3:13">
      <c r="C13545" s="94"/>
      <c r="E13545" s="94"/>
      <c r="G13545" s="94"/>
      <c r="I13545" s="94"/>
      <c r="K13545" s="94"/>
      <c r="M13545" s="94"/>
    </row>
    <row r="13546" s="93" customFormat="1" spans="3:13">
      <c r="C13546" s="94"/>
      <c r="E13546" s="94"/>
      <c r="G13546" s="94"/>
      <c r="I13546" s="94"/>
      <c r="K13546" s="94"/>
      <c r="M13546" s="94"/>
    </row>
    <row r="13547" s="93" customFormat="1" spans="3:13">
      <c r="C13547" s="94"/>
      <c r="E13547" s="94"/>
      <c r="G13547" s="94"/>
      <c r="I13547" s="94"/>
      <c r="K13547" s="94"/>
      <c r="M13547" s="94"/>
    </row>
    <row r="13548" s="93" customFormat="1" spans="3:13">
      <c r="C13548" s="94"/>
      <c r="E13548" s="94"/>
      <c r="G13548" s="94"/>
      <c r="I13548" s="94"/>
      <c r="K13548" s="94"/>
      <c r="M13548" s="94"/>
    </row>
    <row r="13549" s="93" customFormat="1" spans="3:13">
      <c r="C13549" s="94"/>
      <c r="E13549" s="94"/>
      <c r="G13549" s="94"/>
      <c r="I13549" s="94"/>
      <c r="K13549" s="94"/>
      <c r="M13549" s="94"/>
    </row>
    <row r="13550" s="93" customFormat="1" spans="3:13">
      <c r="C13550" s="94"/>
      <c r="E13550" s="94"/>
      <c r="G13550" s="94"/>
      <c r="I13550" s="94"/>
      <c r="K13550" s="94"/>
      <c r="M13550" s="94"/>
    </row>
    <row r="13551" s="93" customFormat="1" spans="3:13">
      <c r="C13551" s="94"/>
      <c r="E13551" s="94"/>
      <c r="G13551" s="94"/>
      <c r="I13551" s="94"/>
      <c r="K13551" s="94"/>
      <c r="M13551" s="94"/>
    </row>
    <row r="13552" s="93" customFormat="1" spans="3:13">
      <c r="C13552" s="94"/>
      <c r="E13552" s="94"/>
      <c r="G13552" s="94"/>
      <c r="I13552" s="94"/>
      <c r="K13552" s="94"/>
      <c r="M13552" s="94"/>
    </row>
    <row r="13553" s="93" customFormat="1" spans="3:13">
      <c r="C13553" s="94"/>
      <c r="E13553" s="94"/>
      <c r="G13553" s="94"/>
      <c r="I13553" s="94"/>
      <c r="K13553" s="94"/>
      <c r="M13553" s="94"/>
    </row>
    <row r="13554" s="93" customFormat="1" spans="3:13">
      <c r="C13554" s="94"/>
      <c r="E13554" s="94"/>
      <c r="G13554" s="94"/>
      <c r="I13554" s="94"/>
      <c r="K13554" s="94"/>
      <c r="M13554" s="94"/>
    </row>
    <row r="13555" s="93" customFormat="1" spans="3:13">
      <c r="C13555" s="94"/>
      <c r="E13555" s="94"/>
      <c r="G13555" s="94"/>
      <c r="I13555" s="94"/>
      <c r="K13555" s="94"/>
      <c r="M13555" s="94"/>
    </row>
    <row r="13556" s="93" customFormat="1" spans="3:13">
      <c r="C13556" s="94"/>
      <c r="E13556" s="94"/>
      <c r="G13556" s="94"/>
      <c r="I13556" s="94"/>
      <c r="K13556" s="94"/>
      <c r="M13556" s="94"/>
    </row>
    <row r="13557" s="93" customFormat="1" spans="3:13">
      <c r="C13557" s="94"/>
      <c r="E13557" s="94"/>
      <c r="G13557" s="94"/>
      <c r="I13557" s="94"/>
      <c r="K13557" s="94"/>
      <c r="M13557" s="94"/>
    </row>
    <row r="13558" s="93" customFormat="1" spans="3:13">
      <c r="C13558" s="94"/>
      <c r="E13558" s="94"/>
      <c r="G13558" s="94"/>
      <c r="I13558" s="94"/>
      <c r="K13558" s="94"/>
      <c r="M13558" s="94"/>
    </row>
    <row r="13559" s="93" customFormat="1" spans="3:13">
      <c r="C13559" s="94"/>
      <c r="E13559" s="94"/>
      <c r="G13559" s="94"/>
      <c r="I13559" s="94"/>
      <c r="K13559" s="94"/>
      <c r="M13559" s="94"/>
    </row>
    <row r="13560" s="93" customFormat="1" spans="3:13">
      <c r="C13560" s="94"/>
      <c r="E13560" s="94"/>
      <c r="G13560" s="94"/>
      <c r="I13560" s="94"/>
      <c r="K13560" s="94"/>
      <c r="M13560" s="94"/>
    </row>
    <row r="13561" s="93" customFormat="1" spans="3:13">
      <c r="C13561" s="94"/>
      <c r="E13561" s="94"/>
      <c r="G13561" s="94"/>
      <c r="I13561" s="94"/>
      <c r="K13561" s="94"/>
      <c r="M13561" s="94"/>
    </row>
    <row r="13562" s="93" customFormat="1" spans="3:13">
      <c r="C13562" s="94"/>
      <c r="E13562" s="94"/>
      <c r="G13562" s="94"/>
      <c r="I13562" s="94"/>
      <c r="K13562" s="94"/>
      <c r="M13562" s="94"/>
    </row>
    <row r="13563" s="93" customFormat="1" spans="3:13">
      <c r="C13563" s="94"/>
      <c r="E13563" s="94"/>
      <c r="G13563" s="94"/>
      <c r="I13563" s="94"/>
      <c r="K13563" s="94"/>
      <c r="M13563" s="94"/>
    </row>
    <row r="13564" s="93" customFormat="1" spans="3:13">
      <c r="C13564" s="94"/>
      <c r="E13564" s="94"/>
      <c r="G13564" s="94"/>
      <c r="I13564" s="94"/>
      <c r="K13564" s="94"/>
      <c r="M13564" s="94"/>
    </row>
    <row r="13565" s="93" customFormat="1" spans="3:13">
      <c r="C13565" s="94"/>
      <c r="E13565" s="94"/>
      <c r="G13565" s="94"/>
      <c r="I13565" s="94"/>
      <c r="K13565" s="94"/>
      <c r="M13565" s="94"/>
    </row>
    <row r="13566" s="93" customFormat="1" spans="3:13">
      <c r="C13566" s="94"/>
      <c r="E13566" s="94"/>
      <c r="G13566" s="94"/>
      <c r="I13566" s="94"/>
      <c r="K13566" s="94"/>
      <c r="M13566" s="94"/>
    </row>
    <row r="13567" s="93" customFormat="1" spans="3:13">
      <c r="C13567" s="94"/>
      <c r="E13567" s="94"/>
      <c r="G13567" s="94"/>
      <c r="I13567" s="94"/>
      <c r="K13567" s="94"/>
      <c r="M13567" s="94"/>
    </row>
    <row r="13568" s="93" customFormat="1" spans="3:13">
      <c r="C13568" s="94"/>
      <c r="E13568" s="94"/>
      <c r="G13568" s="94"/>
      <c r="I13568" s="94"/>
      <c r="K13568" s="94"/>
      <c r="M13568" s="94"/>
    </row>
    <row r="13569" s="93" customFormat="1" spans="3:13">
      <c r="C13569" s="94"/>
      <c r="E13569" s="94"/>
      <c r="G13569" s="94"/>
      <c r="I13569" s="94"/>
      <c r="K13569" s="94"/>
      <c r="M13569" s="94"/>
    </row>
    <row r="13570" s="93" customFormat="1" spans="3:13">
      <c r="C13570" s="94"/>
      <c r="E13570" s="94"/>
      <c r="G13570" s="94"/>
      <c r="I13570" s="94"/>
      <c r="K13570" s="94"/>
      <c r="M13570" s="94"/>
    </row>
    <row r="13571" s="93" customFormat="1" spans="3:13">
      <c r="C13571" s="94"/>
      <c r="E13571" s="94"/>
      <c r="G13571" s="94"/>
      <c r="I13571" s="94"/>
      <c r="K13571" s="94"/>
      <c r="M13571" s="94"/>
    </row>
    <row r="13572" s="93" customFormat="1" spans="3:13">
      <c r="C13572" s="94"/>
      <c r="E13572" s="94"/>
      <c r="G13572" s="94"/>
      <c r="I13572" s="94"/>
      <c r="K13572" s="94"/>
      <c r="M13572" s="94"/>
    </row>
    <row r="13573" s="93" customFormat="1" spans="3:13">
      <c r="C13573" s="94"/>
      <c r="E13573" s="94"/>
      <c r="G13573" s="94"/>
      <c r="I13573" s="94"/>
      <c r="K13573" s="94"/>
      <c r="M13573" s="94"/>
    </row>
    <row r="13574" s="93" customFormat="1" spans="3:13">
      <c r="C13574" s="94"/>
      <c r="E13574" s="94"/>
      <c r="G13574" s="94"/>
      <c r="I13574" s="94"/>
      <c r="K13574" s="94"/>
      <c r="M13574" s="94"/>
    </row>
    <row r="13575" s="93" customFormat="1" spans="3:13">
      <c r="C13575" s="94"/>
      <c r="E13575" s="94"/>
      <c r="G13575" s="94"/>
      <c r="I13575" s="94"/>
      <c r="K13575" s="94"/>
      <c r="M13575" s="94"/>
    </row>
    <row r="13576" s="93" customFormat="1" spans="3:13">
      <c r="C13576" s="94"/>
      <c r="E13576" s="94"/>
      <c r="G13576" s="94"/>
      <c r="I13576" s="94"/>
      <c r="K13576" s="94"/>
      <c r="M13576" s="94"/>
    </row>
    <row r="13577" s="93" customFormat="1" spans="3:13">
      <c r="C13577" s="94"/>
      <c r="E13577" s="94"/>
      <c r="G13577" s="94"/>
      <c r="I13577" s="94"/>
      <c r="K13577" s="94"/>
      <c r="M13577" s="94"/>
    </row>
    <row r="13578" s="93" customFormat="1" spans="3:13">
      <c r="C13578" s="94"/>
      <c r="E13578" s="94"/>
      <c r="G13578" s="94"/>
      <c r="I13578" s="94"/>
      <c r="K13578" s="94"/>
      <c r="M13578" s="94"/>
    </row>
    <row r="13579" s="93" customFormat="1" spans="3:13">
      <c r="C13579" s="94"/>
      <c r="E13579" s="94"/>
      <c r="G13579" s="94"/>
      <c r="I13579" s="94"/>
      <c r="K13579" s="94"/>
      <c r="M13579" s="94"/>
    </row>
    <row r="13580" s="93" customFormat="1" spans="3:13">
      <c r="C13580" s="94"/>
      <c r="E13580" s="94"/>
      <c r="G13580" s="94"/>
      <c r="I13580" s="94"/>
      <c r="K13580" s="94"/>
      <c r="M13580" s="94"/>
    </row>
    <row r="13581" s="93" customFormat="1" spans="3:13">
      <c r="C13581" s="94"/>
      <c r="E13581" s="94"/>
      <c r="G13581" s="94"/>
      <c r="I13581" s="94"/>
      <c r="K13581" s="94"/>
      <c r="M13581" s="94"/>
    </row>
    <row r="13582" s="93" customFormat="1" spans="3:13">
      <c r="C13582" s="94"/>
      <c r="E13582" s="94"/>
      <c r="G13582" s="94"/>
      <c r="I13582" s="94"/>
      <c r="K13582" s="94"/>
      <c r="M13582" s="94"/>
    </row>
    <row r="13583" s="93" customFormat="1" spans="3:13">
      <c r="C13583" s="94"/>
      <c r="E13583" s="94"/>
      <c r="G13583" s="94"/>
      <c r="I13583" s="94"/>
      <c r="K13583" s="94"/>
      <c r="M13583" s="94"/>
    </row>
    <row r="13584" s="93" customFormat="1" spans="3:13">
      <c r="C13584" s="94"/>
      <c r="E13584" s="94"/>
      <c r="G13584" s="94"/>
      <c r="I13584" s="94"/>
      <c r="K13584" s="94"/>
      <c r="M13584" s="94"/>
    </row>
    <row r="13585" s="93" customFormat="1" spans="3:13">
      <c r="C13585" s="94"/>
      <c r="E13585" s="94"/>
      <c r="G13585" s="94"/>
      <c r="I13585" s="94"/>
      <c r="K13585" s="94"/>
      <c r="M13585" s="94"/>
    </row>
    <row r="13586" s="93" customFormat="1" spans="3:13">
      <c r="C13586" s="94"/>
      <c r="E13586" s="94"/>
      <c r="G13586" s="94"/>
      <c r="I13586" s="94"/>
      <c r="K13586" s="94"/>
      <c r="M13586" s="94"/>
    </row>
    <row r="13587" s="93" customFormat="1" spans="3:13">
      <c r="C13587" s="94"/>
      <c r="E13587" s="94"/>
      <c r="G13587" s="94"/>
      <c r="I13587" s="94"/>
      <c r="K13587" s="94"/>
      <c r="M13587" s="94"/>
    </row>
    <row r="13588" s="93" customFormat="1" spans="3:13">
      <c r="C13588" s="94"/>
      <c r="E13588" s="94"/>
      <c r="G13588" s="94"/>
      <c r="I13588" s="94"/>
      <c r="K13588" s="94"/>
      <c r="M13588" s="94"/>
    </row>
    <row r="13589" s="93" customFormat="1" spans="3:13">
      <c r="C13589" s="94"/>
      <c r="E13589" s="94"/>
      <c r="G13589" s="94"/>
      <c r="I13589" s="94"/>
      <c r="K13589" s="94"/>
      <c r="M13589" s="94"/>
    </row>
    <row r="13590" s="93" customFormat="1" spans="3:13">
      <c r="C13590" s="94"/>
      <c r="E13590" s="94"/>
      <c r="G13590" s="94"/>
      <c r="I13590" s="94"/>
      <c r="K13590" s="94"/>
      <c r="M13590" s="94"/>
    </row>
    <row r="13591" s="93" customFormat="1" spans="3:13">
      <c r="C13591" s="94"/>
      <c r="E13591" s="94"/>
      <c r="G13591" s="94"/>
      <c r="I13591" s="94"/>
      <c r="K13591" s="94"/>
      <c r="M13591" s="94"/>
    </row>
    <row r="13592" s="93" customFormat="1" spans="3:13">
      <c r="C13592" s="94"/>
      <c r="E13592" s="94"/>
      <c r="G13592" s="94"/>
      <c r="I13592" s="94"/>
      <c r="K13592" s="94"/>
      <c r="M13592" s="94"/>
    </row>
    <row r="13593" s="93" customFormat="1" spans="3:13">
      <c r="C13593" s="94"/>
      <c r="E13593" s="94"/>
      <c r="G13593" s="94"/>
      <c r="I13593" s="94"/>
      <c r="K13593" s="94"/>
      <c r="M13593" s="94"/>
    </row>
    <row r="13594" s="93" customFormat="1" spans="3:13">
      <c r="C13594" s="94"/>
      <c r="E13594" s="94"/>
      <c r="G13594" s="94"/>
      <c r="I13594" s="94"/>
      <c r="K13594" s="94"/>
      <c r="M13594" s="94"/>
    </row>
    <row r="13595" s="93" customFormat="1" spans="3:13">
      <c r="C13595" s="94"/>
      <c r="E13595" s="94"/>
      <c r="G13595" s="94"/>
      <c r="I13595" s="94"/>
      <c r="K13595" s="94"/>
      <c r="M13595" s="94"/>
    </row>
    <row r="13596" s="93" customFormat="1" spans="3:13">
      <c r="C13596" s="94"/>
      <c r="E13596" s="94"/>
      <c r="G13596" s="94"/>
      <c r="I13596" s="94"/>
      <c r="K13596" s="94"/>
      <c r="M13596" s="94"/>
    </row>
    <row r="13597" s="93" customFormat="1" spans="3:13">
      <c r="C13597" s="94"/>
      <c r="E13597" s="94"/>
      <c r="G13597" s="94"/>
      <c r="I13597" s="94"/>
      <c r="K13597" s="94"/>
      <c r="M13597" s="94"/>
    </row>
    <row r="13598" s="93" customFormat="1" spans="3:13">
      <c r="C13598" s="94"/>
      <c r="E13598" s="94"/>
      <c r="G13598" s="94"/>
      <c r="I13598" s="94"/>
      <c r="K13598" s="94"/>
      <c r="M13598" s="94"/>
    </row>
    <row r="13599" s="93" customFormat="1" spans="3:13">
      <c r="C13599" s="94"/>
      <c r="E13599" s="94"/>
      <c r="G13599" s="94"/>
      <c r="I13599" s="94"/>
      <c r="K13599" s="94"/>
      <c r="M13599" s="94"/>
    </row>
    <row r="13600" s="93" customFormat="1" spans="3:13">
      <c r="C13600" s="94"/>
      <c r="E13600" s="94"/>
      <c r="G13600" s="94"/>
      <c r="I13600" s="94"/>
      <c r="K13600" s="94"/>
      <c r="M13600" s="94"/>
    </row>
    <row r="13601" s="93" customFormat="1" spans="3:13">
      <c r="C13601" s="94"/>
      <c r="E13601" s="94"/>
      <c r="G13601" s="94"/>
      <c r="I13601" s="94"/>
      <c r="K13601" s="94"/>
      <c r="M13601" s="94"/>
    </row>
    <row r="13602" s="93" customFormat="1" spans="3:13">
      <c r="C13602" s="94"/>
      <c r="E13602" s="94"/>
      <c r="G13602" s="94"/>
      <c r="I13602" s="94"/>
      <c r="K13602" s="94"/>
      <c r="M13602" s="94"/>
    </row>
    <row r="13603" s="93" customFormat="1" spans="3:13">
      <c r="C13603" s="94"/>
      <c r="E13603" s="94"/>
      <c r="G13603" s="94"/>
      <c r="I13603" s="94"/>
      <c r="K13603" s="94"/>
      <c r="M13603" s="94"/>
    </row>
    <row r="13604" s="93" customFormat="1" spans="3:13">
      <c r="C13604" s="94"/>
      <c r="E13604" s="94"/>
      <c r="G13604" s="94"/>
      <c r="I13604" s="94"/>
      <c r="K13604" s="94"/>
      <c r="M13604" s="94"/>
    </row>
    <row r="13605" s="93" customFormat="1" spans="3:13">
      <c r="C13605" s="94"/>
      <c r="E13605" s="94"/>
      <c r="G13605" s="94"/>
      <c r="I13605" s="94"/>
      <c r="K13605" s="94"/>
      <c r="M13605" s="94"/>
    </row>
    <row r="13606" s="93" customFormat="1" spans="3:13">
      <c r="C13606" s="94"/>
      <c r="E13606" s="94"/>
      <c r="G13606" s="94"/>
      <c r="I13606" s="94"/>
      <c r="K13606" s="94"/>
      <c r="M13606" s="94"/>
    </row>
    <row r="13607" s="93" customFormat="1" spans="3:13">
      <c r="C13607" s="94"/>
      <c r="E13607" s="94"/>
      <c r="G13607" s="94"/>
      <c r="I13607" s="94"/>
      <c r="K13607" s="94"/>
      <c r="M13607" s="94"/>
    </row>
    <row r="13608" s="93" customFormat="1" spans="3:13">
      <c r="C13608" s="94"/>
      <c r="E13608" s="94"/>
      <c r="G13608" s="94"/>
      <c r="I13608" s="94"/>
      <c r="K13608" s="94"/>
      <c r="M13608" s="94"/>
    </row>
    <row r="13609" s="93" customFormat="1" spans="3:13">
      <c r="C13609" s="94"/>
      <c r="E13609" s="94"/>
      <c r="G13609" s="94"/>
      <c r="I13609" s="94"/>
      <c r="K13609" s="94"/>
      <c r="M13609" s="94"/>
    </row>
    <row r="13610" s="93" customFormat="1" spans="3:13">
      <c r="C13610" s="94"/>
      <c r="E13610" s="94"/>
      <c r="G13610" s="94"/>
      <c r="I13610" s="94"/>
      <c r="K13610" s="94"/>
      <c r="M13610" s="94"/>
    </row>
    <row r="13611" s="93" customFormat="1" spans="3:13">
      <c r="C13611" s="94"/>
      <c r="E13611" s="94"/>
      <c r="G13611" s="94"/>
      <c r="I13611" s="94"/>
      <c r="K13611" s="94"/>
      <c r="M13611" s="94"/>
    </row>
    <row r="13612" s="93" customFormat="1" spans="3:13">
      <c r="C13612" s="94"/>
      <c r="E13612" s="94"/>
      <c r="G13612" s="94"/>
      <c r="I13612" s="94"/>
      <c r="K13612" s="94"/>
      <c r="M13612" s="94"/>
    </row>
    <row r="13613" s="93" customFormat="1" spans="3:13">
      <c r="C13613" s="94"/>
      <c r="E13613" s="94"/>
      <c r="G13613" s="94"/>
      <c r="I13613" s="94"/>
      <c r="K13613" s="94"/>
      <c r="M13613" s="94"/>
    </row>
    <row r="13614" s="93" customFormat="1" spans="3:13">
      <c r="C13614" s="94"/>
      <c r="E13614" s="94"/>
      <c r="G13614" s="94"/>
      <c r="I13614" s="94"/>
      <c r="K13614" s="94"/>
      <c r="M13614" s="94"/>
    </row>
    <row r="13615" s="93" customFormat="1" spans="3:13">
      <c r="C13615" s="94"/>
      <c r="E13615" s="94"/>
      <c r="G13615" s="94"/>
      <c r="I13615" s="94"/>
      <c r="K13615" s="94"/>
      <c r="M13615" s="94"/>
    </row>
    <row r="13616" s="93" customFormat="1" spans="3:13">
      <c r="C13616" s="94"/>
      <c r="E13616" s="94"/>
      <c r="G13616" s="94"/>
      <c r="I13616" s="94"/>
      <c r="K13616" s="94"/>
      <c r="M13616" s="94"/>
    </row>
    <row r="13617" s="93" customFormat="1" spans="3:13">
      <c r="C13617" s="94"/>
      <c r="E13617" s="94"/>
      <c r="G13617" s="94"/>
      <c r="I13617" s="94"/>
      <c r="K13617" s="94"/>
      <c r="M13617" s="94"/>
    </row>
    <row r="13618" s="93" customFormat="1" spans="3:13">
      <c r="C13618" s="94"/>
      <c r="E13618" s="94"/>
      <c r="G13618" s="94"/>
      <c r="I13618" s="94"/>
      <c r="K13618" s="94"/>
      <c r="M13618" s="94"/>
    </row>
    <row r="13619" s="93" customFormat="1" spans="3:13">
      <c r="C13619" s="94"/>
      <c r="E13619" s="94"/>
      <c r="G13619" s="94"/>
      <c r="I13619" s="94"/>
      <c r="K13619" s="94"/>
      <c r="M13619" s="94"/>
    </row>
    <row r="13620" s="93" customFormat="1" spans="3:13">
      <c r="C13620" s="94"/>
      <c r="E13620" s="94"/>
      <c r="G13620" s="94"/>
      <c r="I13620" s="94"/>
      <c r="K13620" s="94"/>
      <c r="M13620" s="94"/>
    </row>
    <row r="13621" s="93" customFormat="1" spans="3:13">
      <c r="C13621" s="94"/>
      <c r="E13621" s="94"/>
      <c r="G13621" s="94"/>
      <c r="I13621" s="94"/>
      <c r="K13621" s="94"/>
      <c r="M13621" s="94"/>
    </row>
    <row r="13622" s="93" customFormat="1" spans="3:13">
      <c r="C13622" s="94"/>
      <c r="E13622" s="94"/>
      <c r="G13622" s="94"/>
      <c r="I13622" s="94"/>
      <c r="K13622" s="94"/>
      <c r="M13622" s="94"/>
    </row>
    <row r="13623" s="93" customFormat="1" spans="3:13">
      <c r="C13623" s="94"/>
      <c r="E13623" s="94"/>
      <c r="G13623" s="94"/>
      <c r="I13623" s="94"/>
      <c r="K13623" s="94"/>
      <c r="M13623" s="94"/>
    </row>
    <row r="13624" s="93" customFormat="1" spans="3:13">
      <c r="C13624" s="94"/>
      <c r="E13624" s="94"/>
      <c r="G13624" s="94"/>
      <c r="I13624" s="94"/>
      <c r="K13624" s="94"/>
      <c r="M13624" s="94"/>
    </row>
    <row r="13625" s="93" customFormat="1" spans="3:13">
      <c r="C13625" s="94"/>
      <c r="E13625" s="94"/>
      <c r="G13625" s="94"/>
      <c r="I13625" s="94"/>
      <c r="K13625" s="94"/>
      <c r="M13625" s="94"/>
    </row>
    <row r="13626" s="93" customFormat="1" spans="3:13">
      <c r="C13626" s="94"/>
      <c r="E13626" s="94"/>
      <c r="G13626" s="94"/>
      <c r="I13626" s="94"/>
      <c r="K13626" s="94"/>
      <c r="M13626" s="94"/>
    </row>
    <row r="13627" s="93" customFormat="1" spans="3:13">
      <c r="C13627" s="94"/>
      <c r="E13627" s="94"/>
      <c r="G13627" s="94"/>
      <c r="I13627" s="94"/>
      <c r="K13627" s="94"/>
      <c r="M13627" s="94"/>
    </row>
    <row r="13628" s="93" customFormat="1" spans="3:13">
      <c r="C13628" s="94"/>
      <c r="E13628" s="94"/>
      <c r="G13628" s="94"/>
      <c r="I13628" s="94"/>
      <c r="K13628" s="94"/>
      <c r="M13628" s="94"/>
    </row>
    <row r="13629" s="93" customFormat="1" spans="3:13">
      <c r="C13629" s="94"/>
      <c r="E13629" s="94"/>
      <c r="G13629" s="94"/>
      <c r="I13629" s="94"/>
      <c r="K13629" s="94"/>
      <c r="M13629" s="94"/>
    </row>
    <row r="13630" s="93" customFormat="1" spans="3:13">
      <c r="C13630" s="94"/>
      <c r="E13630" s="94"/>
      <c r="G13630" s="94"/>
      <c r="I13630" s="94"/>
      <c r="K13630" s="94"/>
      <c r="M13630" s="94"/>
    </row>
    <row r="13631" s="93" customFormat="1" spans="3:13">
      <c r="C13631" s="94"/>
      <c r="E13631" s="94"/>
      <c r="G13631" s="94"/>
      <c r="I13631" s="94"/>
      <c r="K13631" s="94"/>
      <c r="M13631" s="94"/>
    </row>
    <row r="13632" s="93" customFormat="1" spans="3:13">
      <c r="C13632" s="94"/>
      <c r="E13632" s="94"/>
      <c r="G13632" s="94"/>
      <c r="I13632" s="94"/>
      <c r="K13632" s="94"/>
      <c r="M13632" s="94"/>
    </row>
    <row r="13633" s="93" customFormat="1" spans="3:13">
      <c r="C13633" s="94"/>
      <c r="E13633" s="94"/>
      <c r="G13633" s="94"/>
      <c r="I13633" s="94"/>
      <c r="K13633" s="94"/>
      <c r="M13633" s="94"/>
    </row>
    <row r="13634" s="93" customFormat="1" spans="3:13">
      <c r="C13634" s="94"/>
      <c r="E13634" s="94"/>
      <c r="G13634" s="94"/>
      <c r="I13634" s="94"/>
      <c r="K13634" s="94"/>
      <c r="M13634" s="94"/>
    </row>
    <row r="13635" s="93" customFormat="1" spans="3:13">
      <c r="C13635" s="94"/>
      <c r="E13635" s="94"/>
      <c r="G13635" s="94"/>
      <c r="I13635" s="94"/>
      <c r="K13635" s="94"/>
      <c r="M13635" s="94"/>
    </row>
    <row r="13636" s="93" customFormat="1" spans="3:13">
      <c r="C13636" s="94"/>
      <c r="E13636" s="94"/>
      <c r="G13636" s="94"/>
      <c r="I13636" s="94"/>
      <c r="K13636" s="94"/>
      <c r="M13636" s="94"/>
    </row>
    <row r="13637" s="93" customFormat="1" spans="3:13">
      <c r="C13637" s="94"/>
      <c r="E13637" s="94"/>
      <c r="G13637" s="94"/>
      <c r="I13637" s="94"/>
      <c r="K13637" s="94"/>
      <c r="M13637" s="94"/>
    </row>
    <row r="13638" s="93" customFormat="1" spans="3:13">
      <c r="C13638" s="94"/>
      <c r="E13638" s="94"/>
      <c r="G13638" s="94"/>
      <c r="I13638" s="94"/>
      <c r="K13638" s="94"/>
      <c r="M13638" s="94"/>
    </row>
    <row r="13639" s="93" customFormat="1" spans="3:13">
      <c r="C13639" s="94"/>
      <c r="E13639" s="94"/>
      <c r="G13639" s="94"/>
      <c r="I13639" s="94"/>
      <c r="K13639" s="94"/>
      <c r="M13639" s="94"/>
    </row>
    <row r="13640" s="93" customFormat="1" spans="3:13">
      <c r="C13640" s="94"/>
      <c r="E13640" s="94"/>
      <c r="G13640" s="94"/>
      <c r="I13640" s="94"/>
      <c r="K13640" s="94"/>
      <c r="M13640" s="94"/>
    </row>
    <row r="13641" s="93" customFormat="1" spans="3:13">
      <c r="C13641" s="94"/>
      <c r="E13641" s="94"/>
      <c r="G13641" s="94"/>
      <c r="I13641" s="94"/>
      <c r="K13641" s="94"/>
      <c r="M13641" s="94"/>
    </row>
    <row r="13642" s="93" customFormat="1" spans="3:13">
      <c r="C13642" s="94"/>
      <c r="E13642" s="94"/>
      <c r="G13642" s="94"/>
      <c r="I13642" s="94"/>
      <c r="K13642" s="94"/>
      <c r="M13642" s="94"/>
    </row>
    <row r="13643" s="93" customFormat="1" spans="3:13">
      <c r="C13643" s="94"/>
      <c r="E13643" s="94"/>
      <c r="G13643" s="94"/>
      <c r="I13643" s="94"/>
      <c r="K13643" s="94"/>
      <c r="M13643" s="94"/>
    </row>
    <row r="13644" s="93" customFormat="1" spans="3:13">
      <c r="C13644" s="94"/>
      <c r="E13644" s="94"/>
      <c r="G13644" s="94"/>
      <c r="I13644" s="94"/>
      <c r="K13644" s="94"/>
      <c r="M13644" s="94"/>
    </row>
    <row r="13645" s="93" customFormat="1" spans="3:13">
      <c r="C13645" s="94"/>
      <c r="E13645" s="94"/>
      <c r="G13645" s="94"/>
      <c r="I13645" s="94"/>
      <c r="K13645" s="94"/>
      <c r="M13645" s="94"/>
    </row>
    <row r="13646" s="93" customFormat="1" spans="3:13">
      <c r="C13646" s="94"/>
      <c r="E13646" s="94"/>
      <c r="G13646" s="94"/>
      <c r="I13646" s="94"/>
      <c r="K13646" s="94"/>
      <c r="M13646" s="94"/>
    </row>
    <row r="13647" s="93" customFormat="1" spans="3:13">
      <c r="C13647" s="94"/>
      <c r="E13647" s="94"/>
      <c r="G13647" s="94"/>
      <c r="I13647" s="94"/>
      <c r="K13647" s="94"/>
      <c r="M13647" s="94"/>
    </row>
    <row r="13648" s="93" customFormat="1" spans="3:13">
      <c r="C13648" s="94"/>
      <c r="E13648" s="94"/>
      <c r="G13648" s="94"/>
      <c r="I13648" s="94"/>
      <c r="K13648" s="94"/>
      <c r="M13648" s="94"/>
    </row>
    <row r="13649" s="93" customFormat="1" spans="3:13">
      <c r="C13649" s="94"/>
      <c r="E13649" s="94"/>
      <c r="G13649" s="94"/>
      <c r="I13649" s="94"/>
      <c r="K13649" s="94"/>
      <c r="M13649" s="94"/>
    </row>
    <row r="13650" s="93" customFormat="1" spans="3:13">
      <c r="C13650" s="94"/>
      <c r="E13650" s="94"/>
      <c r="G13650" s="94"/>
      <c r="I13650" s="94"/>
      <c r="K13650" s="94"/>
      <c r="M13650" s="94"/>
    </row>
    <row r="13651" s="93" customFormat="1" spans="3:13">
      <c r="C13651" s="94"/>
      <c r="E13651" s="94"/>
      <c r="G13651" s="94"/>
      <c r="I13651" s="94"/>
      <c r="K13651" s="94"/>
      <c r="M13651" s="94"/>
    </row>
    <row r="13652" s="93" customFormat="1" spans="3:13">
      <c r="C13652" s="94"/>
      <c r="E13652" s="94"/>
      <c r="G13652" s="94"/>
      <c r="I13652" s="94"/>
      <c r="K13652" s="94"/>
      <c r="M13652" s="94"/>
    </row>
    <row r="13653" s="93" customFormat="1" spans="3:13">
      <c r="C13653" s="94"/>
      <c r="E13653" s="94"/>
      <c r="G13653" s="94"/>
      <c r="I13653" s="94"/>
      <c r="K13653" s="94"/>
      <c r="M13653" s="94"/>
    </row>
    <row r="13654" s="93" customFormat="1" spans="3:13">
      <c r="C13654" s="94"/>
      <c r="E13654" s="94"/>
      <c r="G13654" s="94"/>
      <c r="I13654" s="94"/>
      <c r="K13654" s="94"/>
      <c r="M13654" s="94"/>
    </row>
    <row r="13655" s="93" customFormat="1" spans="3:13">
      <c r="C13655" s="94"/>
      <c r="E13655" s="94"/>
      <c r="G13655" s="94"/>
      <c r="I13655" s="94"/>
      <c r="K13655" s="94"/>
      <c r="M13655" s="94"/>
    </row>
    <row r="13656" s="93" customFormat="1" spans="3:13">
      <c r="C13656" s="94"/>
      <c r="E13656" s="94"/>
      <c r="G13656" s="94"/>
      <c r="I13656" s="94"/>
      <c r="K13656" s="94"/>
      <c r="M13656" s="94"/>
    </row>
    <row r="13657" s="93" customFormat="1" spans="3:13">
      <c r="C13657" s="94"/>
      <c r="E13657" s="94"/>
      <c r="G13657" s="94"/>
      <c r="I13657" s="94"/>
      <c r="K13657" s="94"/>
      <c r="M13657" s="94"/>
    </row>
    <row r="13658" s="93" customFormat="1" spans="3:13">
      <c r="C13658" s="94"/>
      <c r="E13658" s="94"/>
      <c r="G13658" s="94"/>
      <c r="I13658" s="94"/>
      <c r="K13658" s="94"/>
      <c r="M13658" s="94"/>
    </row>
    <row r="13659" s="93" customFormat="1" spans="3:13">
      <c r="C13659" s="94"/>
      <c r="E13659" s="94"/>
      <c r="G13659" s="94"/>
      <c r="I13659" s="94"/>
      <c r="K13659" s="94"/>
      <c r="M13659" s="94"/>
    </row>
    <row r="13660" s="93" customFormat="1" spans="3:13">
      <c r="C13660" s="94"/>
      <c r="E13660" s="94"/>
      <c r="G13660" s="94"/>
      <c r="I13660" s="94"/>
      <c r="K13660" s="94"/>
      <c r="M13660" s="94"/>
    </row>
    <row r="13661" s="93" customFormat="1" spans="3:13">
      <c r="C13661" s="94"/>
      <c r="E13661" s="94"/>
      <c r="G13661" s="94"/>
      <c r="I13661" s="94"/>
      <c r="K13661" s="94"/>
      <c r="M13661" s="94"/>
    </row>
    <row r="13662" s="93" customFormat="1" spans="3:13">
      <c r="C13662" s="94"/>
      <c r="E13662" s="94"/>
      <c r="G13662" s="94"/>
      <c r="I13662" s="94"/>
      <c r="K13662" s="94"/>
      <c r="M13662" s="94"/>
    </row>
    <row r="13663" s="93" customFormat="1" spans="3:13">
      <c r="C13663" s="94"/>
      <c r="E13663" s="94"/>
      <c r="G13663" s="94"/>
      <c r="I13663" s="94"/>
      <c r="K13663" s="94"/>
      <c r="M13663" s="94"/>
    </row>
    <row r="13664" s="93" customFormat="1" spans="3:13">
      <c r="C13664" s="94"/>
      <c r="E13664" s="94"/>
      <c r="G13664" s="94"/>
      <c r="I13664" s="94"/>
      <c r="K13664" s="94"/>
      <c r="M13664" s="94"/>
    </row>
    <row r="13665" s="93" customFormat="1" spans="3:13">
      <c r="C13665" s="94"/>
      <c r="E13665" s="94"/>
      <c r="G13665" s="94"/>
      <c r="I13665" s="94"/>
      <c r="K13665" s="94"/>
      <c r="M13665" s="94"/>
    </row>
    <row r="13666" s="93" customFormat="1" spans="3:13">
      <c r="C13666" s="94"/>
      <c r="E13666" s="94"/>
      <c r="G13666" s="94"/>
      <c r="I13666" s="94"/>
      <c r="K13666" s="94"/>
      <c r="M13666" s="94"/>
    </row>
    <row r="13667" s="93" customFormat="1" spans="3:13">
      <c r="C13667" s="94"/>
      <c r="E13667" s="94"/>
      <c r="G13667" s="94"/>
      <c r="I13667" s="94"/>
      <c r="K13667" s="94"/>
      <c r="M13667" s="94"/>
    </row>
    <row r="13668" s="93" customFormat="1" spans="3:13">
      <c r="C13668" s="94"/>
      <c r="E13668" s="94"/>
      <c r="G13668" s="94"/>
      <c r="I13668" s="94"/>
      <c r="K13668" s="94"/>
      <c r="M13668" s="94"/>
    </row>
    <row r="13669" s="93" customFormat="1" spans="3:13">
      <c r="C13669" s="94"/>
      <c r="E13669" s="94"/>
      <c r="G13669" s="94"/>
      <c r="I13669" s="94"/>
      <c r="K13669" s="94"/>
      <c r="M13669" s="94"/>
    </row>
    <row r="13670" s="93" customFormat="1" spans="3:13">
      <c r="C13670" s="94"/>
      <c r="E13670" s="94"/>
      <c r="G13670" s="94"/>
      <c r="I13670" s="94"/>
      <c r="K13670" s="94"/>
      <c r="M13670" s="94"/>
    </row>
    <row r="13671" s="93" customFormat="1" spans="3:13">
      <c r="C13671" s="94"/>
      <c r="E13671" s="94"/>
      <c r="G13671" s="94"/>
      <c r="I13671" s="94"/>
      <c r="K13671" s="94"/>
      <c r="M13671" s="94"/>
    </row>
    <row r="13672" s="93" customFormat="1" spans="3:13">
      <c r="C13672" s="94"/>
      <c r="E13672" s="94"/>
      <c r="G13672" s="94"/>
      <c r="I13672" s="94"/>
      <c r="K13672" s="94"/>
      <c r="M13672" s="94"/>
    </row>
    <row r="13673" s="93" customFormat="1" spans="3:13">
      <c r="C13673" s="94"/>
      <c r="E13673" s="94"/>
      <c r="G13673" s="94"/>
      <c r="I13673" s="94"/>
      <c r="K13673" s="94"/>
      <c r="M13673" s="94"/>
    </row>
    <row r="13674" s="93" customFormat="1" spans="3:13">
      <c r="C13674" s="94"/>
      <c r="E13674" s="94"/>
      <c r="G13674" s="94"/>
      <c r="I13674" s="94"/>
      <c r="K13674" s="94"/>
      <c r="M13674" s="94"/>
    </row>
    <row r="13675" s="93" customFormat="1" spans="3:13">
      <c r="C13675" s="94"/>
      <c r="E13675" s="94"/>
      <c r="G13675" s="94"/>
      <c r="I13675" s="94"/>
      <c r="K13675" s="94"/>
      <c r="M13675" s="94"/>
    </row>
    <row r="13676" s="93" customFormat="1" spans="3:13">
      <c r="C13676" s="94"/>
      <c r="E13676" s="94"/>
      <c r="G13676" s="94"/>
      <c r="I13676" s="94"/>
      <c r="K13676" s="94"/>
      <c r="M13676" s="94"/>
    </row>
    <row r="13677" s="93" customFormat="1" spans="3:13">
      <c r="C13677" s="94"/>
      <c r="E13677" s="94"/>
      <c r="G13677" s="94"/>
      <c r="I13677" s="94"/>
      <c r="K13677" s="94"/>
      <c r="M13677" s="94"/>
    </row>
    <row r="13678" s="93" customFormat="1" spans="3:13">
      <c r="C13678" s="94"/>
      <c r="E13678" s="94"/>
      <c r="G13678" s="94"/>
      <c r="I13678" s="94"/>
      <c r="K13678" s="94"/>
      <c r="M13678" s="94"/>
    </row>
    <row r="13679" s="93" customFormat="1" spans="3:13">
      <c r="C13679" s="94"/>
      <c r="E13679" s="94"/>
      <c r="G13679" s="94"/>
      <c r="I13679" s="94"/>
      <c r="K13679" s="94"/>
      <c r="M13679" s="94"/>
    </row>
    <row r="13680" s="93" customFormat="1" spans="3:13">
      <c r="C13680" s="94"/>
      <c r="E13680" s="94"/>
      <c r="G13680" s="94"/>
      <c r="I13680" s="94"/>
      <c r="K13680" s="94"/>
      <c r="M13680" s="94"/>
    </row>
    <row r="13681" s="93" customFormat="1" spans="3:13">
      <c r="C13681" s="94"/>
      <c r="E13681" s="94"/>
      <c r="G13681" s="94"/>
      <c r="I13681" s="94"/>
      <c r="K13681" s="94"/>
      <c r="M13681" s="94"/>
    </row>
    <row r="13682" s="93" customFormat="1" spans="3:13">
      <c r="C13682" s="94"/>
      <c r="E13682" s="94"/>
      <c r="G13682" s="94"/>
      <c r="I13682" s="94"/>
      <c r="K13682" s="94"/>
      <c r="M13682" s="94"/>
    </row>
    <row r="13683" s="93" customFormat="1" spans="3:13">
      <c r="C13683" s="94"/>
      <c r="E13683" s="94"/>
      <c r="G13683" s="94"/>
      <c r="I13683" s="94"/>
      <c r="K13683" s="94"/>
      <c r="M13683" s="94"/>
    </row>
    <row r="13684" s="93" customFormat="1" spans="3:13">
      <c r="C13684" s="94"/>
      <c r="E13684" s="94"/>
      <c r="G13684" s="94"/>
      <c r="I13684" s="94"/>
      <c r="K13684" s="94"/>
      <c r="M13684" s="94"/>
    </row>
    <row r="13685" s="93" customFormat="1" spans="3:13">
      <c r="C13685" s="94"/>
      <c r="E13685" s="94"/>
      <c r="G13685" s="94"/>
      <c r="I13685" s="94"/>
      <c r="K13685" s="94"/>
      <c r="M13685" s="94"/>
    </row>
    <row r="13686" s="93" customFormat="1" spans="3:13">
      <c r="C13686" s="94"/>
      <c r="E13686" s="94"/>
      <c r="G13686" s="94"/>
      <c r="I13686" s="94"/>
      <c r="K13686" s="94"/>
      <c r="M13686" s="94"/>
    </row>
    <row r="13687" s="93" customFormat="1" spans="3:13">
      <c r="C13687" s="94"/>
      <c r="E13687" s="94"/>
      <c r="G13687" s="94"/>
      <c r="I13687" s="94"/>
      <c r="K13687" s="94"/>
      <c r="M13687" s="94"/>
    </row>
    <row r="13688" s="93" customFormat="1" spans="3:13">
      <c r="C13688" s="94"/>
      <c r="E13688" s="94"/>
      <c r="G13688" s="94"/>
      <c r="I13688" s="94"/>
      <c r="K13688" s="94"/>
      <c r="M13688" s="94"/>
    </row>
    <row r="13689" s="93" customFormat="1" spans="3:13">
      <c r="C13689" s="94"/>
      <c r="E13689" s="94"/>
      <c r="G13689" s="94"/>
      <c r="I13689" s="94"/>
      <c r="K13689" s="94"/>
      <c r="M13689" s="94"/>
    </row>
    <row r="13690" s="93" customFormat="1" spans="3:13">
      <c r="C13690" s="94"/>
      <c r="E13690" s="94"/>
      <c r="G13690" s="94"/>
      <c r="I13690" s="94"/>
      <c r="K13690" s="94"/>
      <c r="M13690" s="94"/>
    </row>
    <row r="13691" s="93" customFormat="1" spans="3:13">
      <c r="C13691" s="94"/>
      <c r="E13691" s="94"/>
      <c r="G13691" s="94"/>
      <c r="I13691" s="94"/>
      <c r="K13691" s="94"/>
      <c r="M13691" s="94"/>
    </row>
    <row r="13692" s="93" customFormat="1" spans="3:13">
      <c r="C13692" s="94"/>
      <c r="E13692" s="94"/>
      <c r="G13692" s="94"/>
      <c r="I13692" s="94"/>
      <c r="K13692" s="94"/>
      <c r="M13692" s="94"/>
    </row>
    <row r="13693" s="93" customFormat="1" spans="3:13">
      <c r="C13693" s="94"/>
      <c r="E13693" s="94"/>
      <c r="G13693" s="94"/>
      <c r="I13693" s="94"/>
      <c r="K13693" s="94"/>
      <c r="M13693" s="94"/>
    </row>
    <row r="13694" s="93" customFormat="1" spans="3:13">
      <c r="C13694" s="94"/>
      <c r="E13694" s="94"/>
      <c r="G13694" s="94"/>
      <c r="I13694" s="94"/>
      <c r="K13694" s="94"/>
      <c r="M13694" s="94"/>
    </row>
    <row r="13695" s="93" customFormat="1" spans="3:13">
      <c r="C13695" s="94"/>
      <c r="E13695" s="94"/>
      <c r="G13695" s="94"/>
      <c r="I13695" s="94"/>
      <c r="K13695" s="94"/>
      <c r="M13695" s="94"/>
    </row>
    <row r="13696" s="93" customFormat="1" spans="3:13">
      <c r="C13696" s="94"/>
      <c r="E13696" s="94"/>
      <c r="G13696" s="94"/>
      <c r="I13696" s="94"/>
      <c r="K13696" s="94"/>
      <c r="M13696" s="94"/>
    </row>
    <row r="13697" s="93" customFormat="1" spans="3:13">
      <c r="C13697" s="94"/>
      <c r="E13697" s="94"/>
      <c r="G13697" s="94"/>
      <c r="I13697" s="94"/>
      <c r="K13697" s="94"/>
      <c r="M13697" s="94"/>
    </row>
    <row r="13698" s="93" customFormat="1" spans="3:13">
      <c r="C13698" s="94"/>
      <c r="E13698" s="94"/>
      <c r="G13698" s="94"/>
      <c r="I13698" s="94"/>
      <c r="K13698" s="94"/>
      <c r="M13698" s="94"/>
    </row>
    <row r="13699" s="93" customFormat="1" spans="3:13">
      <c r="C13699" s="94"/>
      <c r="E13699" s="94"/>
      <c r="G13699" s="94"/>
      <c r="I13699" s="94"/>
      <c r="K13699" s="94"/>
      <c r="M13699" s="94"/>
    </row>
    <row r="13700" s="93" customFormat="1" spans="3:13">
      <c r="C13700" s="94"/>
      <c r="E13700" s="94"/>
      <c r="G13700" s="94"/>
      <c r="I13700" s="94"/>
      <c r="K13700" s="94"/>
      <c r="M13700" s="94"/>
    </row>
    <row r="13701" s="93" customFormat="1" spans="3:13">
      <c r="C13701" s="94"/>
      <c r="E13701" s="94"/>
      <c r="G13701" s="94"/>
      <c r="I13701" s="94"/>
      <c r="K13701" s="94"/>
      <c r="M13701" s="94"/>
    </row>
    <row r="13702" s="93" customFormat="1" spans="3:13">
      <c r="C13702" s="94"/>
      <c r="E13702" s="94"/>
      <c r="G13702" s="94"/>
      <c r="I13702" s="94"/>
      <c r="K13702" s="94"/>
      <c r="M13702" s="94"/>
    </row>
    <row r="13703" s="93" customFormat="1" spans="3:13">
      <c r="C13703" s="94"/>
      <c r="E13703" s="94"/>
      <c r="G13703" s="94"/>
      <c r="I13703" s="94"/>
      <c r="K13703" s="94"/>
      <c r="M13703" s="94"/>
    </row>
    <row r="13704" s="93" customFormat="1" spans="3:13">
      <c r="C13704" s="94"/>
      <c r="E13704" s="94"/>
      <c r="G13704" s="94"/>
      <c r="I13704" s="94"/>
      <c r="K13704" s="94"/>
      <c r="M13704" s="94"/>
    </row>
    <row r="13705" s="93" customFormat="1" spans="3:13">
      <c r="C13705" s="94"/>
      <c r="E13705" s="94"/>
      <c r="G13705" s="94"/>
      <c r="I13705" s="94"/>
      <c r="K13705" s="94"/>
      <c r="M13705" s="94"/>
    </row>
    <row r="13706" s="93" customFormat="1" spans="3:13">
      <c r="C13706" s="94"/>
      <c r="E13706" s="94"/>
      <c r="G13706" s="94"/>
      <c r="I13706" s="94"/>
      <c r="K13706" s="94"/>
      <c r="M13706" s="94"/>
    </row>
    <row r="13707" s="93" customFormat="1" spans="3:13">
      <c r="C13707" s="94"/>
      <c r="E13707" s="94"/>
      <c r="G13707" s="94"/>
      <c r="I13707" s="94"/>
      <c r="K13707" s="94"/>
      <c r="M13707" s="94"/>
    </row>
    <row r="13708" s="93" customFormat="1" spans="3:13">
      <c r="C13708" s="94"/>
      <c r="E13708" s="94"/>
      <c r="G13708" s="94"/>
      <c r="I13708" s="94"/>
      <c r="K13708" s="94"/>
      <c r="M13708" s="94"/>
    </row>
    <row r="13709" s="93" customFormat="1" spans="3:13">
      <c r="C13709" s="94"/>
      <c r="E13709" s="94"/>
      <c r="G13709" s="94"/>
      <c r="I13709" s="94"/>
      <c r="K13709" s="94"/>
      <c r="M13709" s="94"/>
    </row>
    <row r="13710" s="93" customFormat="1" spans="3:13">
      <c r="C13710" s="94"/>
      <c r="E13710" s="94"/>
      <c r="G13710" s="94"/>
      <c r="I13710" s="94"/>
      <c r="K13710" s="94"/>
      <c r="M13710" s="94"/>
    </row>
    <row r="13711" s="93" customFormat="1" spans="3:13">
      <c r="C13711" s="94"/>
      <c r="E13711" s="94"/>
      <c r="G13711" s="94"/>
      <c r="I13711" s="94"/>
      <c r="K13711" s="94"/>
      <c r="M13711" s="94"/>
    </row>
    <row r="13712" s="93" customFormat="1" spans="3:13">
      <c r="C13712" s="94"/>
      <c r="E13712" s="94"/>
      <c r="G13712" s="94"/>
      <c r="I13712" s="94"/>
      <c r="K13712" s="94"/>
      <c r="M13712" s="94"/>
    </row>
    <row r="13713" s="93" customFormat="1" spans="3:13">
      <c r="C13713" s="94"/>
      <c r="E13713" s="94"/>
      <c r="G13713" s="94"/>
      <c r="I13713" s="94"/>
      <c r="K13713" s="94"/>
      <c r="M13713" s="94"/>
    </row>
    <row r="13714" s="93" customFormat="1" spans="3:13">
      <c r="C13714" s="94"/>
      <c r="E13714" s="94"/>
      <c r="G13714" s="94"/>
      <c r="I13714" s="94"/>
      <c r="K13714" s="94"/>
      <c r="M13714" s="94"/>
    </row>
    <row r="13715" s="93" customFormat="1" spans="3:13">
      <c r="C13715" s="94"/>
      <c r="E13715" s="94"/>
      <c r="G13715" s="94"/>
      <c r="I13715" s="94"/>
      <c r="K13715" s="94"/>
      <c r="M13715" s="94"/>
    </row>
    <row r="13716" s="93" customFormat="1" spans="3:13">
      <c r="C13716" s="94"/>
      <c r="E13716" s="94"/>
      <c r="G13716" s="94"/>
      <c r="I13716" s="94"/>
      <c r="K13716" s="94"/>
      <c r="M13716" s="94"/>
    </row>
    <row r="13717" s="93" customFormat="1" spans="3:13">
      <c r="C13717" s="94"/>
      <c r="E13717" s="94"/>
      <c r="G13717" s="94"/>
      <c r="I13717" s="94"/>
      <c r="K13717" s="94"/>
      <c r="M13717" s="94"/>
    </row>
    <row r="13718" s="93" customFormat="1" spans="3:13">
      <c r="C13718" s="94"/>
      <c r="E13718" s="94"/>
      <c r="G13718" s="94"/>
      <c r="I13718" s="94"/>
      <c r="K13718" s="94"/>
      <c r="M13718" s="94"/>
    </row>
    <row r="13719" s="93" customFormat="1" spans="3:13">
      <c r="C13719" s="94"/>
      <c r="E13719" s="94"/>
      <c r="G13719" s="94"/>
      <c r="I13719" s="94"/>
      <c r="K13719" s="94"/>
      <c r="M13719" s="94"/>
    </row>
    <row r="13720" s="93" customFormat="1" spans="3:13">
      <c r="C13720" s="94"/>
      <c r="E13720" s="94"/>
      <c r="G13720" s="94"/>
      <c r="I13720" s="94"/>
      <c r="K13720" s="94"/>
      <c r="M13720" s="94"/>
    </row>
    <row r="13721" s="93" customFormat="1" spans="3:13">
      <c r="C13721" s="94"/>
      <c r="E13721" s="94"/>
      <c r="G13721" s="94"/>
      <c r="I13721" s="94"/>
      <c r="K13721" s="94"/>
      <c r="M13721" s="94"/>
    </row>
    <row r="13722" s="93" customFormat="1" spans="3:13">
      <c r="C13722" s="94"/>
      <c r="E13722" s="94"/>
      <c r="G13722" s="94"/>
      <c r="I13722" s="94"/>
      <c r="K13722" s="94"/>
      <c r="M13722" s="94"/>
    </row>
    <row r="13723" s="93" customFormat="1" spans="3:13">
      <c r="C13723" s="94"/>
      <c r="E13723" s="94"/>
      <c r="G13723" s="94"/>
      <c r="I13723" s="94"/>
      <c r="K13723" s="94"/>
      <c r="M13723" s="94"/>
    </row>
    <row r="13724" s="93" customFormat="1" spans="3:13">
      <c r="C13724" s="94"/>
      <c r="E13724" s="94"/>
      <c r="G13724" s="94"/>
      <c r="I13724" s="94"/>
      <c r="K13724" s="94"/>
      <c r="M13724" s="94"/>
    </row>
    <row r="13725" s="93" customFormat="1" spans="3:13">
      <c r="C13725" s="94"/>
      <c r="E13725" s="94"/>
      <c r="G13725" s="94"/>
      <c r="I13725" s="94"/>
      <c r="K13725" s="94"/>
      <c r="M13725" s="94"/>
    </row>
    <row r="13726" s="93" customFormat="1" spans="3:13">
      <c r="C13726" s="94"/>
      <c r="E13726" s="94"/>
      <c r="G13726" s="94"/>
      <c r="I13726" s="94"/>
      <c r="K13726" s="94"/>
      <c r="M13726" s="94"/>
    </row>
    <row r="13727" s="93" customFormat="1" spans="3:13">
      <c r="C13727" s="94"/>
      <c r="E13727" s="94"/>
      <c r="G13727" s="94"/>
      <c r="I13727" s="94"/>
      <c r="K13727" s="94"/>
      <c r="M13727" s="94"/>
    </row>
    <row r="13728" s="93" customFormat="1" spans="3:13">
      <c r="C13728" s="94"/>
      <c r="E13728" s="94"/>
      <c r="G13728" s="94"/>
      <c r="I13728" s="94"/>
      <c r="K13728" s="94"/>
      <c r="M13728" s="94"/>
    </row>
    <row r="13729" s="93" customFormat="1" spans="3:13">
      <c r="C13729" s="94"/>
      <c r="E13729" s="94"/>
      <c r="G13729" s="94"/>
      <c r="I13729" s="94"/>
      <c r="K13729" s="94"/>
      <c r="M13729" s="94"/>
    </row>
    <row r="13730" s="93" customFormat="1" spans="3:13">
      <c r="C13730" s="94"/>
      <c r="E13730" s="94"/>
      <c r="G13730" s="94"/>
      <c r="I13730" s="94"/>
      <c r="K13730" s="94"/>
      <c r="M13730" s="94"/>
    </row>
    <row r="13731" s="93" customFormat="1" spans="3:13">
      <c r="C13731" s="94"/>
      <c r="E13731" s="94"/>
      <c r="G13731" s="94"/>
      <c r="I13731" s="94"/>
      <c r="K13731" s="94"/>
      <c r="M13731" s="94"/>
    </row>
    <row r="13732" s="93" customFormat="1" spans="3:13">
      <c r="C13732" s="94"/>
      <c r="E13732" s="94"/>
      <c r="G13732" s="94"/>
      <c r="I13732" s="94"/>
      <c r="K13732" s="94"/>
      <c r="M13732" s="94"/>
    </row>
    <row r="13733" s="93" customFormat="1" spans="3:13">
      <c r="C13733" s="94"/>
      <c r="E13733" s="94"/>
      <c r="G13733" s="94"/>
      <c r="I13733" s="94"/>
      <c r="K13733" s="94"/>
      <c r="M13733" s="94"/>
    </row>
    <row r="13734" s="93" customFormat="1" spans="3:13">
      <c r="C13734" s="94"/>
      <c r="E13734" s="94"/>
      <c r="G13734" s="94"/>
      <c r="I13734" s="94"/>
      <c r="K13734" s="94"/>
      <c r="M13734" s="94"/>
    </row>
    <row r="13735" s="93" customFormat="1" spans="3:13">
      <c r="C13735" s="94"/>
      <c r="E13735" s="94"/>
      <c r="G13735" s="94"/>
      <c r="I13735" s="94"/>
      <c r="K13735" s="94"/>
      <c r="M13735" s="94"/>
    </row>
    <row r="13736" s="93" customFormat="1" spans="3:13">
      <c r="C13736" s="94"/>
      <c r="E13736" s="94"/>
      <c r="G13736" s="94"/>
      <c r="I13736" s="94"/>
      <c r="K13736" s="94"/>
      <c r="M13736" s="94"/>
    </row>
    <row r="13737" s="93" customFormat="1" spans="3:13">
      <c r="C13737" s="94"/>
      <c r="E13737" s="94"/>
      <c r="G13737" s="94"/>
      <c r="I13737" s="94"/>
      <c r="K13737" s="94"/>
      <c r="M13737" s="94"/>
    </row>
    <row r="13738" s="93" customFormat="1" spans="3:13">
      <c r="C13738" s="94"/>
      <c r="E13738" s="94"/>
      <c r="G13738" s="94"/>
      <c r="I13738" s="94"/>
      <c r="K13738" s="94"/>
      <c r="M13738" s="94"/>
    </row>
    <row r="13739" s="93" customFormat="1" spans="3:13">
      <c r="C13739" s="94"/>
      <c r="E13739" s="94"/>
      <c r="G13739" s="94"/>
      <c r="I13739" s="94"/>
      <c r="K13739" s="94"/>
      <c r="M13739" s="94"/>
    </row>
    <row r="13740" s="93" customFormat="1" spans="3:13">
      <c r="C13740" s="94"/>
      <c r="E13740" s="94"/>
      <c r="G13740" s="94"/>
      <c r="I13740" s="94"/>
      <c r="K13740" s="94"/>
      <c r="M13740" s="94"/>
    </row>
    <row r="13741" s="93" customFormat="1" spans="3:13">
      <c r="C13741" s="94"/>
      <c r="E13741" s="94"/>
      <c r="G13741" s="94"/>
      <c r="I13741" s="94"/>
      <c r="K13741" s="94"/>
      <c r="M13741" s="94"/>
    </row>
    <row r="13742" s="93" customFormat="1" spans="3:13">
      <c r="C13742" s="94"/>
      <c r="E13742" s="94"/>
      <c r="G13742" s="94"/>
      <c r="I13742" s="94"/>
      <c r="K13742" s="94"/>
      <c r="M13742" s="94"/>
    </row>
    <row r="13743" s="93" customFormat="1" spans="3:13">
      <c r="C13743" s="94"/>
      <c r="E13743" s="94"/>
      <c r="G13743" s="94"/>
      <c r="I13743" s="94"/>
      <c r="K13743" s="94"/>
      <c r="M13743" s="94"/>
    </row>
    <row r="13744" s="93" customFormat="1" spans="3:13">
      <c r="C13744" s="94"/>
      <c r="E13744" s="94"/>
      <c r="G13744" s="94"/>
      <c r="I13744" s="94"/>
      <c r="K13744" s="94"/>
      <c r="M13744" s="94"/>
    </row>
    <row r="13745" s="93" customFormat="1" spans="3:13">
      <c r="C13745" s="94"/>
      <c r="E13745" s="94"/>
      <c r="G13745" s="94"/>
      <c r="I13745" s="94"/>
      <c r="K13745" s="94"/>
      <c r="M13745" s="94"/>
    </row>
    <row r="13746" s="93" customFormat="1" spans="3:13">
      <c r="C13746" s="94"/>
      <c r="E13746" s="94"/>
      <c r="G13746" s="94"/>
      <c r="I13746" s="94"/>
      <c r="K13746" s="94"/>
      <c r="M13746" s="94"/>
    </row>
    <row r="13747" s="93" customFormat="1" spans="3:13">
      <c r="C13747" s="94"/>
      <c r="E13747" s="94"/>
      <c r="G13747" s="94"/>
      <c r="I13747" s="94"/>
      <c r="K13747" s="94"/>
      <c r="M13747" s="94"/>
    </row>
    <row r="13748" s="93" customFormat="1" spans="3:13">
      <c r="C13748" s="94"/>
      <c r="E13748" s="94"/>
      <c r="G13748" s="94"/>
      <c r="I13748" s="94"/>
      <c r="K13748" s="94"/>
      <c r="M13748" s="94"/>
    </row>
    <row r="13749" s="93" customFormat="1" spans="3:13">
      <c r="C13749" s="94"/>
      <c r="E13749" s="94"/>
      <c r="G13749" s="94"/>
      <c r="I13749" s="94"/>
      <c r="K13749" s="94"/>
      <c r="M13749" s="94"/>
    </row>
    <row r="13750" s="93" customFormat="1" spans="3:13">
      <c r="C13750" s="94"/>
      <c r="E13750" s="94"/>
      <c r="G13750" s="94"/>
      <c r="I13750" s="94"/>
      <c r="K13750" s="94"/>
      <c r="M13750" s="94"/>
    </row>
    <row r="13751" s="93" customFormat="1" spans="3:13">
      <c r="C13751" s="94"/>
      <c r="E13751" s="94"/>
      <c r="G13751" s="94"/>
      <c r="I13751" s="94"/>
      <c r="K13751" s="94"/>
      <c r="M13751" s="94"/>
    </row>
    <row r="13752" s="93" customFormat="1" spans="3:13">
      <c r="C13752" s="94"/>
      <c r="E13752" s="94"/>
      <c r="G13752" s="94"/>
      <c r="I13752" s="94"/>
      <c r="K13752" s="94"/>
      <c r="M13752" s="94"/>
    </row>
    <row r="13753" s="93" customFormat="1" spans="3:13">
      <c r="C13753" s="94"/>
      <c r="E13753" s="94"/>
      <c r="G13753" s="94"/>
      <c r="I13753" s="94"/>
      <c r="K13753" s="94"/>
      <c r="M13753" s="94"/>
    </row>
    <row r="13754" s="93" customFormat="1" spans="3:13">
      <c r="C13754" s="94"/>
      <c r="E13754" s="94"/>
      <c r="G13754" s="94"/>
      <c r="I13754" s="94"/>
      <c r="K13754" s="94"/>
      <c r="M13754" s="94"/>
    </row>
    <row r="13755" s="93" customFormat="1" spans="3:13">
      <c r="C13755" s="94"/>
      <c r="E13755" s="94"/>
      <c r="G13755" s="94"/>
      <c r="I13755" s="94"/>
      <c r="K13755" s="94"/>
      <c r="M13755" s="94"/>
    </row>
    <row r="13756" s="93" customFormat="1" spans="3:13">
      <c r="C13756" s="94"/>
      <c r="E13756" s="94"/>
      <c r="G13756" s="94"/>
      <c r="I13756" s="94"/>
      <c r="K13756" s="94"/>
      <c r="M13756" s="94"/>
    </row>
    <row r="13757" s="93" customFormat="1" spans="3:13">
      <c r="C13757" s="94"/>
      <c r="E13757" s="94"/>
      <c r="G13757" s="94"/>
      <c r="I13757" s="94"/>
      <c r="K13757" s="94"/>
      <c r="M13757" s="94"/>
    </row>
    <row r="13758" s="93" customFormat="1" spans="3:13">
      <c r="C13758" s="94"/>
      <c r="E13758" s="94"/>
      <c r="G13758" s="94"/>
      <c r="I13758" s="94"/>
      <c r="K13758" s="94"/>
      <c r="M13758" s="94"/>
    </row>
    <row r="13759" s="93" customFormat="1" spans="3:13">
      <c r="C13759" s="94"/>
      <c r="E13759" s="94"/>
      <c r="G13759" s="94"/>
      <c r="I13759" s="94"/>
      <c r="K13759" s="94"/>
      <c r="M13759" s="94"/>
    </row>
    <row r="13760" s="93" customFormat="1" spans="3:13">
      <c r="C13760" s="94"/>
      <c r="E13760" s="94"/>
      <c r="G13760" s="94"/>
      <c r="I13760" s="94"/>
      <c r="K13760" s="94"/>
      <c r="M13760" s="94"/>
    </row>
    <row r="13761" s="93" customFormat="1" spans="3:13">
      <c r="C13761" s="94"/>
      <c r="E13761" s="94"/>
      <c r="G13761" s="94"/>
      <c r="I13761" s="94"/>
      <c r="K13761" s="94"/>
      <c r="M13761" s="94"/>
    </row>
    <row r="13762" s="93" customFormat="1" spans="3:13">
      <c r="C13762" s="94"/>
      <c r="E13762" s="94"/>
      <c r="G13762" s="94"/>
      <c r="I13762" s="94"/>
      <c r="K13762" s="94"/>
      <c r="M13762" s="94"/>
    </row>
    <row r="13763" s="93" customFormat="1" spans="3:13">
      <c r="C13763" s="94"/>
      <c r="E13763" s="94"/>
      <c r="G13763" s="94"/>
      <c r="I13763" s="94"/>
      <c r="K13763" s="94"/>
      <c r="M13763" s="94"/>
    </row>
    <row r="13764" s="93" customFormat="1" spans="3:13">
      <c r="C13764" s="94"/>
      <c r="E13764" s="94"/>
      <c r="G13764" s="94"/>
      <c r="I13764" s="94"/>
      <c r="K13764" s="94"/>
      <c r="M13764" s="94"/>
    </row>
    <row r="13765" s="93" customFormat="1" spans="3:13">
      <c r="C13765" s="94"/>
      <c r="E13765" s="94"/>
      <c r="G13765" s="94"/>
      <c r="I13765" s="94"/>
      <c r="K13765" s="94"/>
      <c r="M13765" s="94"/>
    </row>
    <row r="13766" s="93" customFormat="1" spans="3:13">
      <c r="C13766" s="94"/>
      <c r="E13766" s="94"/>
      <c r="G13766" s="94"/>
      <c r="I13766" s="94"/>
      <c r="K13766" s="94"/>
      <c r="M13766" s="94"/>
    </row>
    <row r="13767" s="93" customFormat="1" spans="3:13">
      <c r="C13767" s="94"/>
      <c r="E13767" s="94"/>
      <c r="G13767" s="94"/>
      <c r="I13767" s="94"/>
      <c r="K13767" s="94"/>
      <c r="M13767" s="94"/>
    </row>
    <row r="13768" s="93" customFormat="1" spans="3:13">
      <c r="C13768" s="94"/>
      <c r="E13768" s="94"/>
      <c r="G13768" s="94"/>
      <c r="I13768" s="94"/>
      <c r="K13768" s="94"/>
      <c r="M13768" s="94"/>
    </row>
    <row r="13769" s="93" customFormat="1" spans="3:13">
      <c r="C13769" s="94"/>
      <c r="E13769" s="94"/>
      <c r="G13769" s="94"/>
      <c r="I13769" s="94"/>
      <c r="K13769" s="94"/>
      <c r="M13769" s="94"/>
    </row>
    <row r="13770" s="93" customFormat="1" spans="3:13">
      <c r="C13770" s="94"/>
      <c r="E13770" s="94"/>
      <c r="G13770" s="94"/>
      <c r="I13770" s="94"/>
      <c r="K13770" s="94"/>
      <c r="M13770" s="94"/>
    </row>
    <row r="13771" s="93" customFormat="1" spans="3:13">
      <c r="C13771" s="94"/>
      <c r="E13771" s="94"/>
      <c r="G13771" s="94"/>
      <c r="I13771" s="94"/>
      <c r="K13771" s="94"/>
      <c r="M13771" s="94"/>
    </row>
    <row r="13772" s="93" customFormat="1" spans="3:13">
      <c r="C13772" s="94"/>
      <c r="E13772" s="94"/>
      <c r="G13772" s="94"/>
      <c r="I13772" s="94"/>
      <c r="K13772" s="94"/>
      <c r="M13772" s="94"/>
    </row>
    <row r="13773" s="93" customFormat="1" spans="3:13">
      <c r="C13773" s="94"/>
      <c r="E13773" s="94"/>
      <c r="G13773" s="94"/>
      <c r="I13773" s="94"/>
      <c r="K13773" s="94"/>
      <c r="M13773" s="94"/>
    </row>
    <row r="13774" s="93" customFormat="1" spans="3:13">
      <c r="C13774" s="94"/>
      <c r="E13774" s="94"/>
      <c r="G13774" s="94"/>
      <c r="I13774" s="94"/>
      <c r="K13774" s="94"/>
      <c r="M13774" s="94"/>
    </row>
    <row r="13775" s="93" customFormat="1" spans="3:13">
      <c r="C13775" s="94"/>
      <c r="E13775" s="94"/>
      <c r="G13775" s="94"/>
      <c r="I13775" s="94"/>
      <c r="K13775" s="94"/>
      <c r="M13775" s="94"/>
    </row>
    <row r="13776" s="93" customFormat="1" spans="3:13">
      <c r="C13776" s="94"/>
      <c r="E13776" s="94"/>
      <c r="G13776" s="94"/>
      <c r="I13776" s="94"/>
      <c r="K13776" s="94"/>
      <c r="M13776" s="94"/>
    </row>
    <row r="13777" s="93" customFormat="1" spans="3:13">
      <c r="C13777" s="94"/>
      <c r="E13777" s="94"/>
      <c r="G13777" s="94"/>
      <c r="I13777" s="94"/>
      <c r="K13777" s="94"/>
      <c r="M13777" s="94"/>
    </row>
    <row r="13778" s="93" customFormat="1" spans="3:13">
      <c r="C13778" s="94"/>
      <c r="E13778" s="94"/>
      <c r="G13778" s="94"/>
      <c r="I13778" s="94"/>
      <c r="K13778" s="94"/>
      <c r="M13778" s="94"/>
    </row>
    <row r="13779" s="93" customFormat="1" spans="3:13">
      <c r="C13779" s="94"/>
      <c r="E13779" s="94"/>
      <c r="G13779" s="94"/>
      <c r="I13779" s="94"/>
      <c r="K13779" s="94"/>
      <c r="M13779" s="94"/>
    </row>
    <row r="13780" s="93" customFormat="1" spans="3:13">
      <c r="C13780" s="94"/>
      <c r="E13780" s="94"/>
      <c r="G13780" s="94"/>
      <c r="I13780" s="94"/>
      <c r="K13780" s="94"/>
      <c r="M13780" s="94"/>
    </row>
    <row r="13781" s="93" customFormat="1" spans="3:13">
      <c r="C13781" s="94"/>
      <c r="E13781" s="94"/>
      <c r="G13781" s="94"/>
      <c r="I13781" s="94"/>
      <c r="K13781" s="94"/>
      <c r="M13781" s="94"/>
    </row>
    <row r="13782" s="93" customFormat="1" spans="3:13">
      <c r="C13782" s="94"/>
      <c r="E13782" s="94"/>
      <c r="G13782" s="94"/>
      <c r="I13782" s="94"/>
      <c r="K13782" s="94"/>
      <c r="M13782" s="94"/>
    </row>
    <row r="13783" s="93" customFormat="1" spans="3:13">
      <c r="C13783" s="94"/>
      <c r="E13783" s="94"/>
      <c r="G13783" s="94"/>
      <c r="I13783" s="94"/>
      <c r="K13783" s="94"/>
      <c r="M13783" s="94"/>
    </row>
    <row r="13784" s="93" customFormat="1" spans="3:13">
      <c r="C13784" s="94"/>
      <c r="E13784" s="94"/>
      <c r="G13784" s="94"/>
      <c r="I13784" s="94"/>
      <c r="K13784" s="94"/>
      <c r="M13784" s="94"/>
    </row>
    <row r="13785" s="93" customFormat="1" spans="3:13">
      <c r="C13785" s="94"/>
      <c r="E13785" s="94"/>
      <c r="G13785" s="94"/>
      <c r="I13785" s="94"/>
      <c r="K13785" s="94"/>
      <c r="M13785" s="94"/>
    </row>
    <row r="13786" s="93" customFormat="1" spans="3:13">
      <c r="C13786" s="94"/>
      <c r="E13786" s="94"/>
      <c r="G13786" s="94"/>
      <c r="I13786" s="94"/>
      <c r="K13786" s="94"/>
      <c r="M13786" s="94"/>
    </row>
    <row r="13787" s="93" customFormat="1" spans="3:13">
      <c r="C13787" s="94"/>
      <c r="E13787" s="94"/>
      <c r="G13787" s="94"/>
      <c r="I13787" s="94"/>
      <c r="K13787" s="94"/>
      <c r="M13787" s="94"/>
    </row>
    <row r="13788" s="93" customFormat="1" spans="3:13">
      <c r="C13788" s="94"/>
      <c r="E13788" s="94"/>
      <c r="G13788" s="94"/>
      <c r="I13788" s="94"/>
      <c r="K13788" s="94"/>
      <c r="M13788" s="94"/>
    </row>
    <row r="13789" s="93" customFormat="1" spans="3:13">
      <c r="C13789" s="94"/>
      <c r="E13789" s="94"/>
      <c r="G13789" s="94"/>
      <c r="I13789" s="94"/>
      <c r="K13789" s="94"/>
      <c r="M13789" s="94"/>
    </row>
    <row r="13790" s="93" customFormat="1" spans="3:13">
      <c r="C13790" s="94"/>
      <c r="E13790" s="94"/>
      <c r="G13790" s="94"/>
      <c r="I13790" s="94"/>
      <c r="K13790" s="94"/>
      <c r="M13790" s="94"/>
    </row>
    <row r="13791" s="93" customFormat="1" spans="3:13">
      <c r="C13791" s="94"/>
      <c r="E13791" s="94"/>
      <c r="G13791" s="94"/>
      <c r="I13791" s="94"/>
      <c r="K13791" s="94"/>
      <c r="M13791" s="94"/>
    </row>
    <row r="13792" s="93" customFormat="1" spans="3:13">
      <c r="C13792" s="94"/>
      <c r="E13792" s="94"/>
      <c r="G13792" s="94"/>
      <c r="I13792" s="94"/>
      <c r="K13792" s="94"/>
      <c r="M13792" s="94"/>
    </row>
    <row r="13793" s="93" customFormat="1" spans="3:13">
      <c r="C13793" s="94"/>
      <c r="E13793" s="94"/>
      <c r="G13793" s="94"/>
      <c r="I13793" s="94"/>
      <c r="K13793" s="94"/>
      <c r="M13793" s="94"/>
    </row>
    <row r="13794" s="93" customFormat="1" spans="3:13">
      <c r="C13794" s="94"/>
      <c r="E13794" s="94"/>
      <c r="G13794" s="94"/>
      <c r="I13794" s="94"/>
      <c r="K13794" s="94"/>
      <c r="M13794" s="94"/>
    </row>
    <row r="13795" s="93" customFormat="1" spans="3:13">
      <c r="C13795" s="94"/>
      <c r="E13795" s="94"/>
      <c r="G13795" s="94"/>
      <c r="I13795" s="94"/>
      <c r="K13795" s="94"/>
      <c r="M13795" s="94"/>
    </row>
    <row r="13796" s="93" customFormat="1" spans="3:13">
      <c r="C13796" s="94"/>
      <c r="E13796" s="94"/>
      <c r="G13796" s="94"/>
      <c r="I13796" s="94"/>
      <c r="K13796" s="94"/>
      <c r="M13796" s="94"/>
    </row>
    <row r="13797" s="93" customFormat="1" spans="3:13">
      <c r="C13797" s="94"/>
      <c r="E13797" s="94"/>
      <c r="G13797" s="94"/>
      <c r="I13797" s="94"/>
      <c r="K13797" s="94"/>
      <c r="M13797" s="94"/>
    </row>
    <row r="13798" s="93" customFormat="1" spans="3:13">
      <c r="C13798" s="94"/>
      <c r="E13798" s="94"/>
      <c r="G13798" s="94"/>
      <c r="I13798" s="94"/>
      <c r="K13798" s="94"/>
      <c r="M13798" s="94"/>
    </row>
    <row r="13799" s="93" customFormat="1" spans="3:13">
      <c r="C13799" s="94"/>
      <c r="E13799" s="94"/>
      <c r="G13799" s="94"/>
      <c r="I13799" s="94"/>
      <c r="K13799" s="94"/>
      <c r="M13799" s="94"/>
    </row>
    <row r="13800" s="93" customFormat="1" spans="3:13">
      <c r="C13800" s="94"/>
      <c r="E13800" s="94"/>
      <c r="G13800" s="94"/>
      <c r="I13800" s="94"/>
      <c r="K13800" s="94"/>
      <c r="M13800" s="94"/>
    </row>
    <row r="13801" s="93" customFormat="1" spans="3:13">
      <c r="C13801" s="94"/>
      <c r="E13801" s="94"/>
      <c r="G13801" s="94"/>
      <c r="I13801" s="94"/>
      <c r="K13801" s="94"/>
      <c r="M13801" s="94"/>
    </row>
    <row r="13802" s="93" customFormat="1" spans="3:13">
      <c r="C13802" s="94"/>
      <c r="E13802" s="94"/>
      <c r="G13802" s="94"/>
      <c r="I13802" s="94"/>
      <c r="K13802" s="94"/>
      <c r="M13802" s="94"/>
    </row>
    <row r="13803" s="93" customFormat="1" spans="3:13">
      <c r="C13803" s="94"/>
      <c r="E13803" s="94"/>
      <c r="G13803" s="94"/>
      <c r="I13803" s="94"/>
      <c r="K13803" s="94"/>
      <c r="M13803" s="94"/>
    </row>
    <row r="13804" s="93" customFormat="1" spans="3:13">
      <c r="C13804" s="94"/>
      <c r="E13804" s="94"/>
      <c r="G13804" s="94"/>
      <c r="I13804" s="94"/>
      <c r="K13804" s="94"/>
      <c r="M13804" s="94"/>
    </row>
    <row r="13805" s="93" customFormat="1" spans="3:13">
      <c r="C13805" s="94"/>
      <c r="E13805" s="94"/>
      <c r="G13805" s="94"/>
      <c r="I13805" s="94"/>
      <c r="K13805" s="94"/>
      <c r="M13805" s="94"/>
    </row>
    <row r="13806" s="93" customFormat="1" spans="3:13">
      <c r="C13806" s="94"/>
      <c r="E13806" s="94"/>
      <c r="G13806" s="94"/>
      <c r="I13806" s="94"/>
      <c r="K13806" s="94"/>
      <c r="M13806" s="94"/>
    </row>
    <row r="13807" s="93" customFormat="1" spans="3:13">
      <c r="C13807" s="94"/>
      <c r="E13807" s="94"/>
      <c r="G13807" s="94"/>
      <c r="I13807" s="94"/>
      <c r="K13807" s="94"/>
      <c r="M13807" s="94"/>
    </row>
    <row r="13808" s="93" customFormat="1" spans="3:13">
      <c r="C13808" s="94"/>
      <c r="E13808" s="94"/>
      <c r="G13808" s="94"/>
      <c r="I13808" s="94"/>
      <c r="K13808" s="94"/>
      <c r="M13808" s="94"/>
    </row>
    <row r="13809" s="93" customFormat="1" spans="3:13">
      <c r="C13809" s="94"/>
      <c r="E13809" s="94"/>
      <c r="G13809" s="94"/>
      <c r="I13809" s="94"/>
      <c r="K13809" s="94"/>
      <c r="M13809" s="94"/>
    </row>
    <row r="13810" s="93" customFormat="1" spans="3:13">
      <c r="C13810" s="94"/>
      <c r="E13810" s="94"/>
      <c r="G13810" s="94"/>
      <c r="I13810" s="94"/>
      <c r="K13810" s="94"/>
      <c r="M13810" s="94"/>
    </row>
    <row r="13811" s="93" customFormat="1" spans="3:13">
      <c r="C13811" s="94"/>
      <c r="E13811" s="94"/>
      <c r="G13811" s="94"/>
      <c r="I13811" s="94"/>
      <c r="K13811" s="94"/>
      <c r="M13811" s="94"/>
    </row>
    <row r="13812" s="93" customFormat="1" spans="3:13">
      <c r="C13812" s="94"/>
      <c r="E13812" s="94"/>
      <c r="G13812" s="94"/>
      <c r="I13812" s="94"/>
      <c r="K13812" s="94"/>
      <c r="M13812" s="94"/>
    </row>
    <row r="13813" s="93" customFormat="1" spans="3:13">
      <c r="C13813" s="94"/>
      <c r="E13813" s="94"/>
      <c r="G13813" s="94"/>
      <c r="I13813" s="94"/>
      <c r="K13813" s="94"/>
      <c r="M13813" s="94"/>
    </row>
    <row r="13814" s="93" customFormat="1" spans="3:13">
      <c r="C13814" s="94"/>
      <c r="E13814" s="94"/>
      <c r="G13814" s="94"/>
      <c r="I13814" s="94"/>
      <c r="K13814" s="94"/>
      <c r="M13814" s="94"/>
    </row>
    <row r="13815" s="93" customFormat="1" spans="3:13">
      <c r="C13815" s="94"/>
      <c r="E13815" s="94"/>
      <c r="G13815" s="94"/>
      <c r="I13815" s="94"/>
      <c r="K13815" s="94"/>
      <c r="M13815" s="94"/>
    </row>
    <row r="13816" s="93" customFormat="1" spans="3:13">
      <c r="C13816" s="94"/>
      <c r="E13816" s="94"/>
      <c r="G13816" s="94"/>
      <c r="I13816" s="94"/>
      <c r="K13816" s="94"/>
      <c r="M13816" s="94"/>
    </row>
    <row r="13817" s="93" customFormat="1" spans="3:13">
      <c r="C13817" s="94"/>
      <c r="E13817" s="94"/>
      <c r="G13817" s="94"/>
      <c r="I13817" s="94"/>
      <c r="K13817" s="94"/>
      <c r="M13817" s="94"/>
    </row>
    <row r="13818" s="93" customFormat="1" spans="3:13">
      <c r="C13818" s="94"/>
      <c r="E13818" s="94"/>
      <c r="G13818" s="94"/>
      <c r="I13818" s="94"/>
      <c r="K13818" s="94"/>
      <c r="M13818" s="94"/>
    </row>
    <row r="13819" s="93" customFormat="1" spans="3:13">
      <c r="C13819" s="94"/>
      <c r="E13819" s="94"/>
      <c r="G13819" s="94"/>
      <c r="I13819" s="94"/>
      <c r="K13819" s="94"/>
      <c r="M13819" s="94"/>
    </row>
    <row r="13820" s="93" customFormat="1" spans="3:13">
      <c r="C13820" s="94"/>
      <c r="E13820" s="94"/>
      <c r="G13820" s="94"/>
      <c r="I13820" s="94"/>
      <c r="K13820" s="94"/>
      <c r="M13820" s="94"/>
    </row>
    <row r="13821" s="93" customFormat="1" spans="3:13">
      <c r="C13821" s="94"/>
      <c r="E13821" s="94"/>
      <c r="G13821" s="94"/>
      <c r="I13821" s="94"/>
      <c r="K13821" s="94"/>
      <c r="M13821" s="94"/>
    </row>
    <row r="13822" s="93" customFormat="1" spans="3:13">
      <c r="C13822" s="94"/>
      <c r="E13822" s="94"/>
      <c r="G13822" s="94"/>
      <c r="I13822" s="94"/>
      <c r="K13822" s="94"/>
      <c r="M13822" s="94"/>
    </row>
    <row r="13823" s="93" customFormat="1" spans="3:13">
      <c r="C13823" s="94"/>
      <c r="E13823" s="94"/>
      <c r="G13823" s="94"/>
      <c r="I13823" s="94"/>
      <c r="K13823" s="94"/>
      <c r="M13823" s="94"/>
    </row>
    <row r="13824" s="93" customFormat="1" spans="3:13">
      <c r="C13824" s="94"/>
      <c r="E13824" s="94"/>
      <c r="G13824" s="94"/>
      <c r="I13824" s="94"/>
      <c r="K13824" s="94"/>
      <c r="M13824" s="94"/>
    </row>
    <row r="13825" s="93" customFormat="1" spans="3:13">
      <c r="C13825" s="94"/>
      <c r="E13825" s="94"/>
      <c r="G13825" s="94"/>
      <c r="I13825" s="94"/>
      <c r="K13825" s="94"/>
      <c r="M13825" s="94"/>
    </row>
    <row r="13826" s="93" customFormat="1" spans="3:13">
      <c r="C13826" s="94"/>
      <c r="E13826" s="94"/>
      <c r="G13826" s="94"/>
      <c r="I13826" s="94"/>
      <c r="K13826" s="94"/>
      <c r="M13826" s="94"/>
    </row>
    <row r="13827" s="93" customFormat="1" spans="3:13">
      <c r="C13827" s="94"/>
      <c r="E13827" s="94"/>
      <c r="G13827" s="94"/>
      <c r="I13827" s="94"/>
      <c r="K13827" s="94"/>
      <c r="M13827" s="94"/>
    </row>
    <row r="13828" s="93" customFormat="1" spans="3:13">
      <c r="C13828" s="94"/>
      <c r="E13828" s="94"/>
      <c r="G13828" s="94"/>
      <c r="I13828" s="94"/>
      <c r="K13828" s="94"/>
      <c r="M13828" s="94"/>
    </row>
    <row r="13829" s="93" customFormat="1" spans="3:13">
      <c r="C13829" s="94"/>
      <c r="E13829" s="94"/>
      <c r="G13829" s="94"/>
      <c r="I13829" s="94"/>
      <c r="K13829" s="94"/>
      <c r="M13829" s="94"/>
    </row>
    <row r="13830" s="93" customFormat="1" spans="3:13">
      <c r="C13830" s="94"/>
      <c r="E13830" s="94"/>
      <c r="G13830" s="94"/>
      <c r="I13830" s="94"/>
      <c r="K13830" s="94"/>
      <c r="M13830" s="94"/>
    </row>
    <row r="13831" s="93" customFormat="1" spans="3:13">
      <c r="C13831" s="94"/>
      <c r="E13831" s="94"/>
      <c r="G13831" s="94"/>
      <c r="I13831" s="94"/>
      <c r="K13831" s="94"/>
      <c r="M13831" s="94"/>
    </row>
    <row r="13832" s="93" customFormat="1" spans="3:13">
      <c r="C13832" s="94"/>
      <c r="E13832" s="94"/>
      <c r="G13832" s="94"/>
      <c r="I13832" s="94"/>
      <c r="K13832" s="94"/>
      <c r="M13832" s="94"/>
    </row>
    <row r="13833" s="93" customFormat="1" spans="3:13">
      <c r="C13833" s="94"/>
      <c r="E13833" s="94"/>
      <c r="G13833" s="94"/>
      <c r="I13833" s="94"/>
      <c r="K13833" s="94"/>
      <c r="M13833" s="94"/>
    </row>
    <row r="13834" s="93" customFormat="1" spans="3:13">
      <c r="C13834" s="94"/>
      <c r="E13834" s="94"/>
      <c r="G13834" s="94"/>
      <c r="I13834" s="94"/>
      <c r="K13834" s="94"/>
      <c r="M13834" s="94"/>
    </row>
    <row r="13835" s="93" customFormat="1" spans="3:13">
      <c r="C13835" s="94"/>
      <c r="E13835" s="94"/>
      <c r="G13835" s="94"/>
      <c r="I13835" s="94"/>
      <c r="K13835" s="94"/>
      <c r="M13835" s="94"/>
    </row>
    <row r="13836" s="93" customFormat="1" spans="3:13">
      <c r="C13836" s="94"/>
      <c r="E13836" s="94"/>
      <c r="G13836" s="94"/>
      <c r="I13836" s="94"/>
      <c r="K13836" s="94"/>
      <c r="M13836" s="94"/>
    </row>
    <row r="13837" s="93" customFormat="1" spans="3:13">
      <c r="C13837" s="94"/>
      <c r="E13837" s="94"/>
      <c r="G13837" s="94"/>
      <c r="I13837" s="94"/>
      <c r="K13837" s="94"/>
      <c r="M13837" s="94"/>
    </row>
    <row r="13838" s="93" customFormat="1" spans="3:13">
      <c r="C13838" s="94"/>
      <c r="E13838" s="94"/>
      <c r="G13838" s="94"/>
      <c r="I13838" s="94"/>
      <c r="K13838" s="94"/>
      <c r="M13838" s="94"/>
    </row>
    <row r="13839" s="93" customFormat="1" spans="3:13">
      <c r="C13839" s="94"/>
      <c r="E13839" s="94"/>
      <c r="G13839" s="94"/>
      <c r="I13839" s="94"/>
      <c r="K13839" s="94"/>
      <c r="M13839" s="94"/>
    </row>
    <row r="13840" s="93" customFormat="1" spans="3:13">
      <c r="C13840" s="94"/>
      <c r="E13840" s="94"/>
      <c r="G13840" s="94"/>
      <c r="I13840" s="94"/>
      <c r="K13840" s="94"/>
      <c r="M13840" s="94"/>
    </row>
    <row r="13841" s="93" customFormat="1" spans="3:13">
      <c r="C13841" s="94"/>
      <c r="E13841" s="94"/>
      <c r="G13841" s="94"/>
      <c r="I13841" s="94"/>
      <c r="K13841" s="94"/>
      <c r="M13841" s="94"/>
    </row>
    <row r="13842" s="93" customFormat="1" spans="3:13">
      <c r="C13842" s="94"/>
      <c r="E13842" s="94"/>
      <c r="G13842" s="94"/>
      <c r="I13842" s="94"/>
      <c r="K13842" s="94"/>
      <c r="M13842" s="94"/>
    </row>
    <row r="13843" s="93" customFormat="1" spans="3:13">
      <c r="C13843" s="94"/>
      <c r="E13843" s="94"/>
      <c r="G13843" s="94"/>
      <c r="I13843" s="94"/>
      <c r="K13843" s="94"/>
      <c r="M13843" s="94"/>
    </row>
    <row r="13844" s="93" customFormat="1" spans="3:13">
      <c r="C13844" s="94"/>
      <c r="E13844" s="94"/>
      <c r="G13844" s="94"/>
      <c r="I13844" s="94"/>
      <c r="K13844" s="94"/>
      <c r="M13844" s="94"/>
    </row>
    <row r="13845" s="93" customFormat="1" spans="3:13">
      <c r="C13845" s="94"/>
      <c r="E13845" s="94"/>
      <c r="G13845" s="94"/>
      <c r="I13845" s="94"/>
      <c r="K13845" s="94"/>
      <c r="M13845" s="94"/>
    </row>
    <row r="13846" s="93" customFormat="1" spans="3:13">
      <c r="C13846" s="94"/>
      <c r="E13846" s="94"/>
      <c r="G13846" s="94"/>
      <c r="I13846" s="94"/>
      <c r="K13846" s="94"/>
      <c r="M13846" s="94"/>
    </row>
    <row r="13847" s="93" customFormat="1" spans="3:13">
      <c r="C13847" s="94"/>
      <c r="E13847" s="94"/>
      <c r="G13847" s="94"/>
      <c r="I13847" s="94"/>
      <c r="K13847" s="94"/>
      <c r="M13847" s="94"/>
    </row>
    <row r="13848" s="93" customFormat="1" spans="3:13">
      <c r="C13848" s="94"/>
      <c r="E13848" s="94"/>
      <c r="G13848" s="94"/>
      <c r="I13848" s="94"/>
      <c r="K13848" s="94"/>
      <c r="M13848" s="94"/>
    </row>
    <row r="13849" s="93" customFormat="1" spans="3:13">
      <c r="C13849" s="94"/>
      <c r="E13849" s="94"/>
      <c r="G13849" s="94"/>
      <c r="I13849" s="94"/>
      <c r="K13849" s="94"/>
      <c r="M13849" s="94"/>
    </row>
    <row r="13850" s="93" customFormat="1" spans="3:13">
      <c r="C13850" s="94"/>
      <c r="E13850" s="94"/>
      <c r="G13850" s="94"/>
      <c r="I13850" s="94"/>
      <c r="K13850" s="94"/>
      <c r="M13850" s="94"/>
    </row>
    <row r="13851" s="93" customFormat="1" spans="3:13">
      <c r="C13851" s="94"/>
      <c r="E13851" s="94"/>
      <c r="G13851" s="94"/>
      <c r="I13851" s="94"/>
      <c r="K13851" s="94"/>
      <c r="M13851" s="94"/>
    </row>
    <row r="13852" s="93" customFormat="1" spans="3:13">
      <c r="C13852" s="94"/>
      <c r="E13852" s="94"/>
      <c r="G13852" s="94"/>
      <c r="I13852" s="94"/>
      <c r="K13852" s="94"/>
      <c r="M13852" s="94"/>
    </row>
    <row r="13853" s="93" customFormat="1" spans="3:13">
      <c r="C13853" s="94"/>
      <c r="E13853" s="94"/>
      <c r="G13853" s="94"/>
      <c r="I13853" s="94"/>
      <c r="K13853" s="94"/>
      <c r="M13853" s="94"/>
    </row>
    <row r="13854" s="93" customFormat="1" spans="3:13">
      <c r="C13854" s="94"/>
      <c r="E13854" s="94"/>
      <c r="G13854" s="94"/>
      <c r="I13854" s="94"/>
      <c r="K13854" s="94"/>
      <c r="M13854" s="94"/>
    </row>
    <row r="13855" s="93" customFormat="1" spans="3:13">
      <c r="C13855" s="94"/>
      <c r="E13855" s="94"/>
      <c r="G13855" s="94"/>
      <c r="I13855" s="94"/>
      <c r="K13855" s="94"/>
      <c r="M13855" s="94"/>
    </row>
    <row r="13856" s="93" customFormat="1" spans="3:13">
      <c r="C13856" s="94"/>
      <c r="E13856" s="94"/>
      <c r="G13856" s="94"/>
      <c r="I13856" s="94"/>
      <c r="K13856" s="94"/>
      <c r="M13856" s="94"/>
    </row>
    <row r="13857" s="93" customFormat="1" spans="3:13">
      <c r="C13857" s="94"/>
      <c r="E13857" s="94"/>
      <c r="G13857" s="94"/>
      <c r="I13857" s="94"/>
      <c r="K13857" s="94"/>
      <c r="M13857" s="94"/>
    </row>
    <row r="13858" s="93" customFormat="1" spans="3:13">
      <c r="C13858" s="94"/>
      <c r="E13858" s="94"/>
      <c r="G13858" s="94"/>
      <c r="I13858" s="94"/>
      <c r="K13858" s="94"/>
      <c r="M13858" s="94"/>
    </row>
    <row r="13859" s="93" customFormat="1" spans="3:13">
      <c r="C13859" s="94"/>
      <c r="E13859" s="94"/>
      <c r="G13859" s="94"/>
      <c r="I13859" s="94"/>
      <c r="K13859" s="94"/>
      <c r="M13859" s="94"/>
    </row>
    <row r="13860" s="93" customFormat="1" spans="3:13">
      <c r="C13860" s="94"/>
      <c r="E13860" s="94"/>
      <c r="G13860" s="94"/>
      <c r="I13860" s="94"/>
      <c r="K13860" s="94"/>
      <c r="M13860" s="94"/>
    </row>
    <row r="13861" s="93" customFormat="1" spans="3:13">
      <c r="C13861" s="94"/>
      <c r="E13861" s="94"/>
      <c r="G13861" s="94"/>
      <c r="I13861" s="94"/>
      <c r="K13861" s="94"/>
      <c r="M13861" s="94"/>
    </row>
    <row r="13862" s="93" customFormat="1" spans="3:13">
      <c r="C13862" s="94"/>
      <c r="E13862" s="94"/>
      <c r="G13862" s="94"/>
      <c r="I13862" s="94"/>
      <c r="K13862" s="94"/>
      <c r="M13862" s="94"/>
    </row>
    <row r="13863" s="93" customFormat="1" spans="3:13">
      <c r="C13863" s="94"/>
      <c r="E13863" s="94"/>
      <c r="G13863" s="94"/>
      <c r="I13863" s="94"/>
      <c r="K13863" s="94"/>
      <c r="M13863" s="94"/>
    </row>
    <row r="13864" s="93" customFormat="1" spans="3:13">
      <c r="C13864" s="94"/>
      <c r="E13864" s="94"/>
      <c r="G13864" s="94"/>
      <c r="I13864" s="94"/>
      <c r="K13864" s="94"/>
      <c r="M13864" s="94"/>
    </row>
    <row r="13865" s="93" customFormat="1" spans="3:13">
      <c r="C13865" s="94"/>
      <c r="E13865" s="94"/>
      <c r="G13865" s="94"/>
      <c r="I13865" s="94"/>
      <c r="K13865" s="94"/>
      <c r="M13865" s="94"/>
    </row>
    <row r="13866" s="93" customFormat="1" spans="3:13">
      <c r="C13866" s="94"/>
      <c r="E13866" s="94"/>
      <c r="G13866" s="94"/>
      <c r="I13866" s="94"/>
      <c r="K13866" s="94"/>
      <c r="M13866" s="94"/>
    </row>
    <row r="13867" s="93" customFormat="1" spans="3:13">
      <c r="C13867" s="94"/>
      <c r="E13867" s="94"/>
      <c r="G13867" s="94"/>
      <c r="I13867" s="94"/>
      <c r="K13867" s="94"/>
      <c r="M13867" s="94"/>
    </row>
    <row r="13868" s="93" customFormat="1" spans="3:13">
      <c r="C13868" s="94"/>
      <c r="E13868" s="94"/>
      <c r="G13868" s="94"/>
      <c r="I13868" s="94"/>
      <c r="K13868" s="94"/>
      <c r="M13868" s="94"/>
    </row>
    <row r="13869" s="93" customFormat="1" spans="3:13">
      <c r="C13869" s="94"/>
      <c r="E13869" s="94"/>
      <c r="G13869" s="94"/>
      <c r="I13869" s="94"/>
      <c r="K13869" s="94"/>
      <c r="M13869" s="94"/>
    </row>
    <row r="13870" s="93" customFormat="1" spans="3:13">
      <c r="C13870" s="94"/>
      <c r="E13870" s="94"/>
      <c r="G13870" s="94"/>
      <c r="I13870" s="94"/>
      <c r="K13870" s="94"/>
      <c r="M13870" s="94"/>
    </row>
    <row r="13871" s="93" customFormat="1" spans="3:13">
      <c r="C13871" s="94"/>
      <c r="E13871" s="94"/>
      <c r="G13871" s="94"/>
      <c r="I13871" s="94"/>
      <c r="K13871" s="94"/>
      <c r="M13871" s="94"/>
    </row>
    <row r="13872" s="93" customFormat="1" spans="3:13">
      <c r="C13872" s="94"/>
      <c r="E13872" s="94"/>
      <c r="G13872" s="94"/>
      <c r="I13872" s="94"/>
      <c r="K13872" s="94"/>
      <c r="M13872" s="94"/>
    </row>
    <row r="13873" s="93" customFormat="1" spans="3:13">
      <c r="C13873" s="94"/>
      <c r="E13873" s="94"/>
      <c r="G13873" s="94"/>
      <c r="I13873" s="94"/>
      <c r="K13873" s="94"/>
      <c r="M13873" s="94"/>
    </row>
    <row r="13874" s="93" customFormat="1" spans="3:13">
      <c r="C13874" s="94"/>
      <c r="E13874" s="94"/>
      <c r="G13874" s="94"/>
      <c r="I13874" s="94"/>
      <c r="K13874" s="94"/>
      <c r="M13874" s="94"/>
    </row>
    <row r="13875" s="93" customFormat="1" spans="3:13">
      <c r="C13875" s="94"/>
      <c r="E13875" s="94"/>
      <c r="G13875" s="94"/>
      <c r="I13875" s="94"/>
      <c r="K13875" s="94"/>
      <c r="M13875" s="94"/>
    </row>
    <row r="13876" s="93" customFormat="1" spans="3:13">
      <c r="C13876" s="94"/>
      <c r="E13876" s="94"/>
      <c r="G13876" s="94"/>
      <c r="I13876" s="94"/>
      <c r="K13876" s="94"/>
      <c r="M13876" s="94"/>
    </row>
    <row r="13877" s="93" customFormat="1" spans="3:13">
      <c r="C13877" s="94"/>
      <c r="E13877" s="94"/>
      <c r="G13877" s="94"/>
      <c r="I13877" s="94"/>
      <c r="K13877" s="94"/>
      <c r="M13877" s="94"/>
    </row>
    <row r="13878" s="93" customFormat="1" spans="3:13">
      <c r="C13878" s="94"/>
      <c r="E13878" s="94"/>
      <c r="G13878" s="94"/>
      <c r="I13878" s="94"/>
      <c r="K13878" s="94"/>
      <c r="M13878" s="94"/>
    </row>
    <row r="13879" s="93" customFormat="1" spans="3:13">
      <c r="C13879" s="94"/>
      <c r="E13879" s="94"/>
      <c r="G13879" s="94"/>
      <c r="I13879" s="94"/>
      <c r="K13879" s="94"/>
      <c r="M13879" s="94"/>
    </row>
    <row r="13880" s="93" customFormat="1" spans="3:13">
      <c r="C13880" s="94"/>
      <c r="E13880" s="94"/>
      <c r="G13880" s="94"/>
      <c r="I13880" s="94"/>
      <c r="K13880" s="94"/>
      <c r="M13880" s="94"/>
    </row>
    <row r="13881" s="93" customFormat="1" spans="3:13">
      <c r="C13881" s="94"/>
      <c r="E13881" s="94"/>
      <c r="G13881" s="94"/>
      <c r="I13881" s="94"/>
      <c r="K13881" s="94"/>
      <c r="M13881" s="94"/>
    </row>
    <row r="13882" s="93" customFormat="1" spans="3:13">
      <c r="C13882" s="94"/>
      <c r="E13882" s="94"/>
      <c r="G13882" s="94"/>
      <c r="I13882" s="94"/>
      <c r="K13882" s="94"/>
      <c r="M13882" s="94"/>
    </row>
    <row r="13883" s="93" customFormat="1" spans="3:13">
      <c r="C13883" s="94"/>
      <c r="E13883" s="94"/>
      <c r="G13883" s="94"/>
      <c r="I13883" s="94"/>
      <c r="K13883" s="94"/>
      <c r="M13883" s="94"/>
    </row>
    <row r="13884" s="93" customFormat="1" spans="3:13">
      <c r="C13884" s="94"/>
      <c r="E13884" s="94"/>
      <c r="G13884" s="94"/>
      <c r="I13884" s="94"/>
      <c r="K13884" s="94"/>
      <c r="M13884" s="94"/>
    </row>
    <row r="13885" s="93" customFormat="1" spans="3:13">
      <c r="C13885" s="94"/>
      <c r="E13885" s="94"/>
      <c r="G13885" s="94"/>
      <c r="I13885" s="94"/>
      <c r="K13885" s="94"/>
      <c r="M13885" s="94"/>
    </row>
    <row r="13886" s="93" customFormat="1" spans="3:13">
      <c r="C13886" s="94"/>
      <c r="E13886" s="94"/>
      <c r="G13886" s="94"/>
      <c r="I13886" s="94"/>
      <c r="K13886" s="94"/>
      <c r="M13886" s="94"/>
    </row>
    <row r="13887" s="93" customFormat="1" spans="3:13">
      <c r="C13887" s="94"/>
      <c r="E13887" s="94"/>
      <c r="G13887" s="94"/>
      <c r="I13887" s="94"/>
      <c r="K13887" s="94"/>
      <c r="M13887" s="94"/>
    </row>
    <row r="13888" s="93" customFormat="1" spans="3:13">
      <c r="C13888" s="94"/>
      <c r="E13888" s="94"/>
      <c r="G13888" s="94"/>
      <c r="I13888" s="94"/>
      <c r="K13888" s="94"/>
      <c r="M13888" s="94"/>
    </row>
    <row r="13889" s="93" customFormat="1" spans="3:13">
      <c r="C13889" s="94"/>
      <c r="E13889" s="94"/>
      <c r="G13889" s="94"/>
      <c r="I13889" s="94"/>
      <c r="K13889" s="94"/>
      <c r="M13889" s="94"/>
    </row>
    <row r="13890" s="93" customFormat="1" spans="3:13">
      <c r="C13890" s="94"/>
      <c r="E13890" s="94"/>
      <c r="G13890" s="94"/>
      <c r="I13890" s="94"/>
      <c r="K13890" s="94"/>
      <c r="M13890" s="94"/>
    </row>
    <row r="13891" s="93" customFormat="1" spans="3:13">
      <c r="C13891" s="94"/>
      <c r="E13891" s="94"/>
      <c r="G13891" s="94"/>
      <c r="I13891" s="94"/>
      <c r="K13891" s="94"/>
      <c r="M13891" s="94"/>
    </row>
    <row r="13892" s="93" customFormat="1" spans="3:13">
      <c r="C13892" s="94"/>
      <c r="E13892" s="94"/>
      <c r="G13892" s="94"/>
      <c r="I13892" s="94"/>
      <c r="K13892" s="94"/>
      <c r="M13892" s="94"/>
    </row>
    <row r="13893" s="93" customFormat="1" spans="3:13">
      <c r="C13893" s="94"/>
      <c r="E13893" s="94"/>
      <c r="G13893" s="94"/>
      <c r="I13893" s="94"/>
      <c r="K13893" s="94"/>
      <c r="M13893" s="94"/>
    </row>
    <row r="13894" s="93" customFormat="1" spans="3:13">
      <c r="C13894" s="94"/>
      <c r="E13894" s="94"/>
      <c r="G13894" s="94"/>
      <c r="I13894" s="94"/>
      <c r="K13894" s="94"/>
      <c r="M13894" s="94"/>
    </row>
    <row r="13895" s="93" customFormat="1" spans="3:13">
      <c r="C13895" s="94"/>
      <c r="E13895" s="94"/>
      <c r="G13895" s="94"/>
      <c r="I13895" s="94"/>
      <c r="K13895" s="94"/>
      <c r="M13895" s="94"/>
    </row>
    <row r="13896" s="93" customFormat="1" spans="3:13">
      <c r="C13896" s="94"/>
      <c r="E13896" s="94"/>
      <c r="G13896" s="94"/>
      <c r="I13896" s="94"/>
      <c r="K13896" s="94"/>
      <c r="M13896" s="94"/>
    </row>
    <row r="13897" s="93" customFormat="1" spans="3:13">
      <c r="C13897" s="94"/>
      <c r="E13897" s="94"/>
      <c r="G13897" s="94"/>
      <c r="I13897" s="94"/>
      <c r="K13897" s="94"/>
      <c r="M13897" s="94"/>
    </row>
    <row r="13898" s="93" customFormat="1" spans="3:13">
      <c r="C13898" s="94"/>
      <c r="E13898" s="94"/>
      <c r="G13898" s="94"/>
      <c r="I13898" s="94"/>
      <c r="K13898" s="94"/>
      <c r="M13898" s="94"/>
    </row>
    <row r="13899" s="93" customFormat="1" spans="3:13">
      <c r="C13899" s="94"/>
      <c r="E13899" s="94"/>
      <c r="G13899" s="94"/>
      <c r="I13899" s="94"/>
      <c r="K13899" s="94"/>
      <c r="M13899" s="94"/>
    </row>
    <row r="13900" s="93" customFormat="1" spans="3:13">
      <c r="C13900" s="94"/>
      <c r="E13900" s="94"/>
      <c r="G13900" s="94"/>
      <c r="I13900" s="94"/>
      <c r="K13900" s="94"/>
      <c r="M13900" s="94"/>
    </row>
    <row r="13901" s="93" customFormat="1" spans="3:13">
      <c r="C13901" s="94"/>
      <c r="E13901" s="94"/>
      <c r="G13901" s="94"/>
      <c r="I13901" s="94"/>
      <c r="K13901" s="94"/>
      <c r="M13901" s="94"/>
    </row>
    <row r="13902" s="93" customFormat="1" spans="3:13">
      <c r="C13902" s="94"/>
      <c r="E13902" s="94"/>
      <c r="G13902" s="94"/>
      <c r="I13902" s="94"/>
      <c r="K13902" s="94"/>
      <c r="M13902" s="94"/>
    </row>
    <row r="13903" s="93" customFormat="1" spans="3:13">
      <c r="C13903" s="94"/>
      <c r="E13903" s="94"/>
      <c r="G13903" s="94"/>
      <c r="I13903" s="94"/>
      <c r="K13903" s="94"/>
      <c r="M13903" s="94"/>
    </row>
    <row r="13904" s="93" customFormat="1" spans="3:13">
      <c r="C13904" s="94"/>
      <c r="E13904" s="94"/>
      <c r="G13904" s="94"/>
      <c r="I13904" s="94"/>
      <c r="K13904" s="94"/>
      <c r="M13904" s="94"/>
    </row>
    <row r="13905" s="93" customFormat="1" spans="3:13">
      <c r="C13905" s="94"/>
      <c r="E13905" s="94"/>
      <c r="G13905" s="94"/>
      <c r="I13905" s="94"/>
      <c r="K13905" s="94"/>
      <c r="M13905" s="94"/>
    </row>
    <row r="13906" s="93" customFormat="1" spans="3:13">
      <c r="C13906" s="94"/>
      <c r="E13906" s="94"/>
      <c r="G13906" s="94"/>
      <c r="I13906" s="94"/>
      <c r="K13906" s="94"/>
      <c r="M13906" s="94"/>
    </row>
    <row r="13907" s="93" customFormat="1" spans="3:13">
      <c r="C13907" s="94"/>
      <c r="E13907" s="94"/>
      <c r="G13907" s="94"/>
      <c r="I13907" s="94"/>
      <c r="K13907" s="94"/>
      <c r="M13907" s="94"/>
    </row>
    <row r="13908" s="93" customFormat="1" spans="3:13">
      <c r="C13908" s="94"/>
      <c r="E13908" s="94"/>
      <c r="G13908" s="94"/>
      <c r="I13908" s="94"/>
      <c r="K13908" s="94"/>
      <c r="M13908" s="94"/>
    </row>
    <row r="13909" s="93" customFormat="1" spans="3:13">
      <c r="C13909" s="94"/>
      <c r="E13909" s="94"/>
      <c r="G13909" s="94"/>
      <c r="I13909" s="94"/>
      <c r="K13909" s="94"/>
      <c r="M13909" s="94"/>
    </row>
    <row r="13910" s="93" customFormat="1" spans="3:13">
      <c r="C13910" s="94"/>
      <c r="E13910" s="94"/>
      <c r="G13910" s="94"/>
      <c r="I13910" s="94"/>
      <c r="K13910" s="94"/>
      <c r="M13910" s="94"/>
    </row>
    <row r="13911" s="93" customFormat="1" spans="3:13">
      <c r="C13911" s="94"/>
      <c r="E13911" s="94"/>
      <c r="G13911" s="94"/>
      <c r="I13911" s="94"/>
      <c r="K13911" s="94"/>
      <c r="M13911" s="94"/>
    </row>
    <row r="13912" s="93" customFormat="1" spans="3:13">
      <c r="C13912" s="94"/>
      <c r="E13912" s="94"/>
      <c r="G13912" s="94"/>
      <c r="I13912" s="94"/>
      <c r="K13912" s="94"/>
      <c r="M13912" s="94"/>
    </row>
    <row r="13913" s="93" customFormat="1" spans="3:13">
      <c r="C13913" s="94"/>
      <c r="E13913" s="94"/>
      <c r="G13913" s="94"/>
      <c r="I13913" s="94"/>
      <c r="K13913" s="94"/>
      <c r="M13913" s="94"/>
    </row>
    <row r="13914" s="93" customFormat="1" spans="3:13">
      <c r="C13914" s="94"/>
      <c r="E13914" s="94"/>
      <c r="G13914" s="94"/>
      <c r="I13914" s="94"/>
      <c r="K13914" s="94"/>
      <c r="M13914" s="94"/>
    </row>
    <row r="13915" s="93" customFormat="1" spans="3:13">
      <c r="C13915" s="94"/>
      <c r="E13915" s="94"/>
      <c r="G13915" s="94"/>
      <c r="I13915" s="94"/>
      <c r="K13915" s="94"/>
      <c r="M13915" s="94"/>
    </row>
    <row r="13916" s="93" customFormat="1" spans="3:13">
      <c r="C13916" s="94"/>
      <c r="E13916" s="94"/>
      <c r="G13916" s="94"/>
      <c r="I13916" s="94"/>
      <c r="K13916" s="94"/>
      <c r="M13916" s="94"/>
    </row>
    <row r="13917" s="93" customFormat="1" spans="3:13">
      <c r="C13917" s="94"/>
      <c r="E13917" s="94"/>
      <c r="G13917" s="94"/>
      <c r="I13917" s="94"/>
      <c r="K13917" s="94"/>
      <c r="M13917" s="94"/>
    </row>
    <row r="13918" s="93" customFormat="1" spans="3:13">
      <c r="C13918" s="94"/>
      <c r="E13918" s="94"/>
      <c r="G13918" s="94"/>
      <c r="I13918" s="94"/>
      <c r="K13918" s="94"/>
      <c r="M13918" s="94"/>
    </row>
    <row r="13919" s="93" customFormat="1" spans="3:13">
      <c r="C13919" s="94"/>
      <c r="E13919" s="94"/>
      <c r="G13919" s="94"/>
      <c r="I13919" s="94"/>
      <c r="K13919" s="94"/>
      <c r="M13919" s="94"/>
    </row>
    <row r="13920" s="93" customFormat="1" spans="3:13">
      <c r="C13920" s="94"/>
      <c r="E13920" s="94"/>
      <c r="G13920" s="94"/>
      <c r="I13920" s="94"/>
      <c r="K13920" s="94"/>
      <c r="M13920" s="94"/>
    </row>
    <row r="13921" s="93" customFormat="1" spans="3:13">
      <c r="C13921" s="94"/>
      <c r="E13921" s="94"/>
      <c r="G13921" s="94"/>
      <c r="I13921" s="94"/>
      <c r="K13921" s="94"/>
      <c r="M13921" s="94"/>
    </row>
    <row r="13922" s="93" customFormat="1" spans="3:13">
      <c r="C13922" s="94"/>
      <c r="E13922" s="94"/>
      <c r="G13922" s="94"/>
      <c r="I13922" s="94"/>
      <c r="K13922" s="94"/>
      <c r="M13922" s="94"/>
    </row>
    <row r="13923" s="93" customFormat="1" spans="3:13">
      <c r="C13923" s="94"/>
      <c r="E13923" s="94"/>
      <c r="G13923" s="94"/>
      <c r="I13923" s="94"/>
      <c r="K13923" s="94"/>
      <c r="M13923" s="94"/>
    </row>
    <row r="13924" s="93" customFormat="1" spans="3:13">
      <c r="C13924" s="94"/>
      <c r="E13924" s="94"/>
      <c r="G13924" s="94"/>
      <c r="I13924" s="94"/>
      <c r="K13924" s="94"/>
      <c r="M13924" s="94"/>
    </row>
    <row r="13925" s="93" customFormat="1" spans="3:13">
      <c r="C13925" s="94"/>
      <c r="E13925" s="94"/>
      <c r="G13925" s="94"/>
      <c r="I13925" s="94"/>
      <c r="K13925" s="94"/>
      <c r="M13925" s="94"/>
    </row>
    <row r="13926" s="93" customFormat="1" spans="3:13">
      <c r="C13926" s="94"/>
      <c r="E13926" s="94"/>
      <c r="G13926" s="94"/>
      <c r="I13926" s="94"/>
      <c r="K13926" s="94"/>
      <c r="M13926" s="94"/>
    </row>
    <row r="13927" s="93" customFormat="1" spans="3:13">
      <c r="C13927" s="94"/>
      <c r="E13927" s="94"/>
      <c r="G13927" s="94"/>
      <c r="I13927" s="94"/>
      <c r="K13927" s="94"/>
      <c r="M13927" s="94"/>
    </row>
    <row r="13928" s="93" customFormat="1" spans="3:13">
      <c r="C13928" s="94"/>
      <c r="E13928" s="94"/>
      <c r="G13928" s="94"/>
      <c r="I13928" s="94"/>
      <c r="K13928" s="94"/>
      <c r="M13928" s="94"/>
    </row>
    <row r="13929" s="93" customFormat="1" spans="3:13">
      <c r="C13929" s="94"/>
      <c r="E13929" s="94"/>
      <c r="G13929" s="94"/>
      <c r="I13929" s="94"/>
      <c r="K13929" s="94"/>
      <c r="M13929" s="94"/>
    </row>
    <row r="13930" s="93" customFormat="1" spans="3:13">
      <c r="C13930" s="94"/>
      <c r="E13930" s="94"/>
      <c r="G13930" s="94"/>
      <c r="I13930" s="94"/>
      <c r="K13930" s="94"/>
      <c r="M13930" s="94"/>
    </row>
    <row r="13931" s="93" customFormat="1" spans="3:13">
      <c r="C13931" s="94"/>
      <c r="E13931" s="94"/>
      <c r="G13931" s="94"/>
      <c r="I13931" s="94"/>
      <c r="K13931" s="94"/>
      <c r="M13931" s="94"/>
    </row>
    <row r="13932" s="93" customFormat="1" spans="3:13">
      <c r="C13932" s="94"/>
      <c r="E13932" s="94"/>
      <c r="G13932" s="94"/>
      <c r="I13932" s="94"/>
      <c r="K13932" s="94"/>
      <c r="M13932" s="94"/>
    </row>
    <row r="13933" s="93" customFormat="1" spans="3:13">
      <c r="C13933" s="94"/>
      <c r="E13933" s="94"/>
      <c r="G13933" s="94"/>
      <c r="I13933" s="94"/>
      <c r="K13933" s="94"/>
      <c r="M13933" s="94"/>
    </row>
    <row r="13934" s="93" customFormat="1" spans="3:13">
      <c r="C13934" s="94"/>
      <c r="E13934" s="94"/>
      <c r="G13934" s="94"/>
      <c r="I13934" s="94"/>
      <c r="K13934" s="94"/>
      <c r="M13934" s="94"/>
    </row>
    <row r="13935" s="93" customFormat="1" spans="3:13">
      <c r="C13935" s="94"/>
      <c r="E13935" s="94"/>
      <c r="G13935" s="94"/>
      <c r="I13935" s="94"/>
      <c r="K13935" s="94"/>
      <c r="M13935" s="94"/>
    </row>
    <row r="13936" s="93" customFormat="1" spans="3:13">
      <c r="C13936" s="94"/>
      <c r="E13936" s="94"/>
      <c r="G13936" s="94"/>
      <c r="I13936" s="94"/>
      <c r="K13936" s="94"/>
      <c r="M13936" s="94"/>
    </row>
    <row r="13937" s="93" customFormat="1" spans="3:13">
      <c r="C13937" s="94"/>
      <c r="E13937" s="94"/>
      <c r="G13937" s="94"/>
      <c r="I13937" s="94"/>
      <c r="K13937" s="94"/>
      <c r="M13937" s="94"/>
    </row>
    <row r="13938" s="93" customFormat="1" spans="3:13">
      <c r="C13938" s="94"/>
      <c r="E13938" s="94"/>
      <c r="G13938" s="94"/>
      <c r="I13938" s="94"/>
      <c r="K13938" s="94"/>
      <c r="M13938" s="94"/>
    </row>
    <row r="13939" s="93" customFormat="1" spans="3:13">
      <c r="C13939" s="94"/>
      <c r="E13939" s="94"/>
      <c r="G13939" s="94"/>
      <c r="I13939" s="94"/>
      <c r="K13939" s="94"/>
      <c r="M13939" s="94"/>
    </row>
    <row r="13940" s="93" customFormat="1" spans="3:13">
      <c r="C13940" s="94"/>
      <c r="E13940" s="94"/>
      <c r="G13940" s="94"/>
      <c r="I13940" s="94"/>
      <c r="K13940" s="94"/>
      <c r="M13940" s="94"/>
    </row>
    <row r="13941" s="93" customFormat="1" spans="3:13">
      <c r="C13941" s="94"/>
      <c r="E13941" s="94"/>
      <c r="G13941" s="94"/>
      <c r="I13941" s="94"/>
      <c r="K13941" s="94"/>
      <c r="M13941" s="94"/>
    </row>
    <row r="13942" s="93" customFormat="1" spans="3:13">
      <c r="C13942" s="94"/>
      <c r="E13942" s="94"/>
      <c r="G13942" s="94"/>
      <c r="I13942" s="94"/>
      <c r="K13942" s="94"/>
      <c r="M13942" s="94"/>
    </row>
    <row r="13943" s="93" customFormat="1" spans="3:13">
      <c r="C13943" s="94"/>
      <c r="E13943" s="94"/>
      <c r="G13943" s="94"/>
      <c r="I13943" s="94"/>
      <c r="K13943" s="94"/>
      <c r="M13943" s="94"/>
    </row>
    <row r="13944" s="93" customFormat="1" spans="3:13">
      <c r="C13944" s="94"/>
      <c r="E13944" s="94"/>
      <c r="G13944" s="94"/>
      <c r="I13944" s="94"/>
      <c r="K13944" s="94"/>
      <c r="M13944" s="94"/>
    </row>
    <row r="13945" s="93" customFormat="1" spans="3:13">
      <c r="C13945" s="94"/>
      <c r="E13945" s="94"/>
      <c r="G13945" s="94"/>
      <c r="I13945" s="94"/>
      <c r="K13945" s="94"/>
      <c r="M13945" s="94"/>
    </row>
    <row r="13946" s="93" customFormat="1" spans="3:13">
      <c r="C13946" s="94"/>
      <c r="E13946" s="94"/>
      <c r="G13946" s="94"/>
      <c r="I13946" s="94"/>
      <c r="K13946" s="94"/>
      <c r="M13946" s="94"/>
    </row>
    <row r="13947" s="93" customFormat="1" spans="3:13">
      <c r="C13947" s="94"/>
      <c r="E13947" s="94"/>
      <c r="G13947" s="94"/>
      <c r="I13947" s="94"/>
      <c r="K13947" s="94"/>
      <c r="M13947" s="94"/>
    </row>
    <row r="13948" s="93" customFormat="1" spans="3:13">
      <c r="C13948" s="94"/>
      <c r="E13948" s="94"/>
      <c r="G13948" s="94"/>
      <c r="I13948" s="94"/>
      <c r="K13948" s="94"/>
      <c r="M13948" s="94"/>
    </row>
    <row r="13949" s="93" customFormat="1" spans="3:13">
      <c r="C13949" s="94"/>
      <c r="E13949" s="94"/>
      <c r="G13949" s="94"/>
      <c r="I13949" s="94"/>
      <c r="K13949" s="94"/>
      <c r="M13949" s="94"/>
    </row>
    <row r="13950" s="93" customFormat="1" spans="3:13">
      <c r="C13950" s="94"/>
      <c r="E13950" s="94"/>
      <c r="G13950" s="94"/>
      <c r="I13950" s="94"/>
      <c r="K13950" s="94"/>
      <c r="M13950" s="94"/>
    </row>
    <row r="13951" s="93" customFormat="1" spans="3:13">
      <c r="C13951" s="94"/>
      <c r="E13951" s="94"/>
      <c r="G13951" s="94"/>
      <c r="I13951" s="94"/>
      <c r="K13951" s="94"/>
      <c r="M13951" s="94"/>
    </row>
    <row r="13952" s="93" customFormat="1" spans="3:13">
      <c r="C13952" s="94"/>
      <c r="E13952" s="94"/>
      <c r="G13952" s="94"/>
      <c r="I13952" s="94"/>
      <c r="K13952" s="94"/>
      <c r="M13952" s="94"/>
    </row>
    <row r="13953" s="93" customFormat="1" spans="3:13">
      <c r="C13953" s="94"/>
      <c r="E13953" s="94"/>
      <c r="G13953" s="94"/>
      <c r="I13953" s="94"/>
      <c r="K13953" s="94"/>
      <c r="M13953" s="94"/>
    </row>
    <row r="13954" s="93" customFormat="1" spans="3:13">
      <c r="C13954" s="94"/>
      <c r="E13954" s="94"/>
      <c r="G13954" s="94"/>
      <c r="I13954" s="94"/>
      <c r="K13954" s="94"/>
      <c r="M13954" s="94"/>
    </row>
    <row r="13955" s="93" customFormat="1" spans="3:13">
      <c r="C13955" s="94"/>
      <c r="E13955" s="94"/>
      <c r="G13955" s="94"/>
      <c r="I13955" s="94"/>
      <c r="K13955" s="94"/>
      <c r="M13955" s="94"/>
    </row>
    <row r="13956" s="93" customFormat="1" spans="3:13">
      <c r="C13956" s="94"/>
      <c r="E13956" s="94"/>
      <c r="G13956" s="94"/>
      <c r="I13956" s="94"/>
      <c r="K13956" s="94"/>
      <c r="M13956" s="94"/>
    </row>
    <row r="13957" s="93" customFormat="1" spans="3:13">
      <c r="C13957" s="94"/>
      <c r="E13957" s="94"/>
      <c r="G13957" s="94"/>
      <c r="I13957" s="94"/>
      <c r="K13957" s="94"/>
      <c r="M13957" s="94"/>
    </row>
    <row r="13958" s="93" customFormat="1" spans="3:13">
      <c r="C13958" s="94"/>
      <c r="E13958" s="94"/>
      <c r="G13958" s="94"/>
      <c r="I13958" s="94"/>
      <c r="K13958" s="94"/>
      <c r="M13958" s="94"/>
    </row>
    <row r="13959" s="93" customFormat="1" spans="3:13">
      <c r="C13959" s="94"/>
      <c r="E13959" s="94"/>
      <c r="G13959" s="94"/>
      <c r="I13959" s="94"/>
      <c r="K13959" s="94"/>
      <c r="M13959" s="94"/>
    </row>
    <row r="13960" s="93" customFormat="1" spans="3:13">
      <c r="C13960" s="94"/>
      <c r="E13960" s="94"/>
      <c r="G13960" s="94"/>
      <c r="I13960" s="94"/>
      <c r="K13960" s="94"/>
      <c r="M13960" s="94"/>
    </row>
    <row r="13961" s="93" customFormat="1" spans="3:13">
      <c r="C13961" s="94"/>
      <c r="E13961" s="94"/>
      <c r="G13961" s="94"/>
      <c r="I13961" s="94"/>
      <c r="K13961" s="94"/>
      <c r="M13961" s="94"/>
    </row>
    <row r="13962" s="93" customFormat="1" spans="3:13">
      <c r="C13962" s="94"/>
      <c r="E13962" s="94"/>
      <c r="G13962" s="94"/>
      <c r="I13962" s="94"/>
      <c r="K13962" s="94"/>
      <c r="M13962" s="94"/>
    </row>
    <row r="13963" s="93" customFormat="1" spans="3:13">
      <c r="C13963" s="94"/>
      <c r="E13963" s="94"/>
      <c r="G13963" s="94"/>
      <c r="I13963" s="94"/>
      <c r="K13963" s="94"/>
      <c r="M13963" s="94"/>
    </row>
    <row r="13964" s="93" customFormat="1" spans="3:13">
      <c r="C13964" s="94"/>
      <c r="E13964" s="94"/>
      <c r="G13964" s="94"/>
      <c r="I13964" s="94"/>
      <c r="K13964" s="94"/>
      <c r="M13964" s="94"/>
    </row>
    <row r="13965" s="93" customFormat="1" spans="3:13">
      <c r="C13965" s="94"/>
      <c r="E13965" s="94"/>
      <c r="G13965" s="94"/>
      <c r="I13965" s="94"/>
      <c r="K13965" s="94"/>
      <c r="M13965" s="94"/>
    </row>
    <row r="13966" s="93" customFormat="1" spans="3:13">
      <c r="C13966" s="94"/>
      <c r="E13966" s="94"/>
      <c r="G13966" s="94"/>
      <c r="I13966" s="94"/>
      <c r="K13966" s="94"/>
      <c r="M13966" s="94"/>
    </row>
    <row r="13967" s="93" customFormat="1" spans="3:13">
      <c r="C13967" s="94"/>
      <c r="E13967" s="94"/>
      <c r="G13967" s="94"/>
      <c r="I13967" s="94"/>
      <c r="K13967" s="94"/>
      <c r="M13967" s="94"/>
    </row>
    <row r="13968" s="93" customFormat="1" spans="3:13">
      <c r="C13968" s="94"/>
      <c r="E13968" s="94"/>
      <c r="G13968" s="94"/>
      <c r="I13968" s="94"/>
      <c r="K13968" s="94"/>
      <c r="M13968" s="94"/>
    </row>
    <row r="13969" s="93" customFormat="1" spans="3:13">
      <c r="C13969" s="94"/>
      <c r="E13969" s="94"/>
      <c r="G13969" s="94"/>
      <c r="I13969" s="94"/>
      <c r="K13969" s="94"/>
      <c r="M13969" s="94"/>
    </row>
    <row r="13970" s="93" customFormat="1" spans="3:13">
      <c r="C13970" s="94"/>
      <c r="E13970" s="94"/>
      <c r="G13970" s="94"/>
      <c r="I13970" s="94"/>
      <c r="K13970" s="94"/>
      <c r="M13970" s="94"/>
    </row>
    <row r="13971" s="93" customFormat="1" spans="3:13">
      <c r="C13971" s="94"/>
      <c r="E13971" s="94"/>
      <c r="G13971" s="94"/>
      <c r="I13971" s="94"/>
      <c r="K13971" s="94"/>
      <c r="M13971" s="94"/>
    </row>
    <row r="13972" s="93" customFormat="1" spans="3:13">
      <c r="C13972" s="94"/>
      <c r="E13972" s="94"/>
      <c r="G13972" s="94"/>
      <c r="I13972" s="94"/>
      <c r="K13972" s="94"/>
      <c r="M13972" s="94"/>
    </row>
    <row r="13973" s="93" customFormat="1" spans="3:13">
      <c r="C13973" s="94"/>
      <c r="E13973" s="94"/>
      <c r="G13973" s="94"/>
      <c r="I13973" s="94"/>
      <c r="K13973" s="94"/>
      <c r="M13973" s="94"/>
    </row>
    <row r="13974" s="93" customFormat="1" spans="3:13">
      <c r="C13974" s="94"/>
      <c r="E13974" s="94"/>
      <c r="G13974" s="94"/>
      <c r="I13974" s="94"/>
      <c r="K13974" s="94"/>
      <c r="M13974" s="94"/>
    </row>
    <row r="13975" s="93" customFormat="1" spans="3:13">
      <c r="C13975" s="94"/>
      <c r="E13975" s="94"/>
      <c r="G13975" s="94"/>
      <c r="I13975" s="94"/>
      <c r="K13975" s="94"/>
      <c r="M13975" s="94"/>
    </row>
    <row r="13976" s="93" customFormat="1" spans="3:13">
      <c r="C13976" s="94"/>
      <c r="E13976" s="94"/>
      <c r="G13976" s="94"/>
      <c r="I13976" s="94"/>
      <c r="K13976" s="94"/>
      <c r="M13976" s="94"/>
    </row>
    <row r="13977" s="93" customFormat="1" spans="3:13">
      <c r="C13977" s="94"/>
      <c r="E13977" s="94"/>
      <c r="G13977" s="94"/>
      <c r="I13977" s="94"/>
      <c r="K13977" s="94"/>
      <c r="M13977" s="94"/>
    </row>
    <row r="13978" s="93" customFormat="1" spans="3:13">
      <c r="C13978" s="94"/>
      <c r="E13978" s="94"/>
      <c r="G13978" s="94"/>
      <c r="I13978" s="94"/>
      <c r="K13978" s="94"/>
      <c r="M13978" s="94"/>
    </row>
    <row r="13979" s="93" customFormat="1" spans="3:13">
      <c r="C13979" s="94"/>
      <c r="E13979" s="94"/>
      <c r="G13979" s="94"/>
      <c r="I13979" s="94"/>
      <c r="K13979" s="94"/>
      <c r="M13979" s="94"/>
    </row>
    <row r="13980" s="93" customFormat="1" spans="3:13">
      <c r="C13980" s="94"/>
      <c r="E13980" s="94"/>
      <c r="G13980" s="94"/>
      <c r="I13980" s="94"/>
      <c r="K13980" s="94"/>
      <c r="M13980" s="94"/>
    </row>
    <row r="13981" s="93" customFormat="1" spans="3:13">
      <c r="C13981" s="94"/>
      <c r="E13981" s="94"/>
      <c r="G13981" s="94"/>
      <c r="I13981" s="94"/>
      <c r="K13981" s="94"/>
      <c r="M13981" s="94"/>
    </row>
    <row r="13982" s="93" customFormat="1" spans="3:13">
      <c r="C13982" s="94"/>
      <c r="E13982" s="94"/>
      <c r="G13982" s="94"/>
      <c r="I13982" s="94"/>
      <c r="K13982" s="94"/>
      <c r="M13982" s="94"/>
    </row>
    <row r="13983" s="93" customFormat="1" spans="3:13">
      <c r="C13983" s="94"/>
      <c r="E13983" s="94"/>
      <c r="G13983" s="94"/>
      <c r="I13983" s="94"/>
      <c r="K13983" s="94"/>
      <c r="M13983" s="94"/>
    </row>
    <row r="13984" s="93" customFormat="1" spans="3:13">
      <c r="C13984" s="94"/>
      <c r="E13984" s="94"/>
      <c r="G13984" s="94"/>
      <c r="I13984" s="94"/>
      <c r="K13984" s="94"/>
      <c r="M13984" s="94"/>
    </row>
    <row r="13985" s="93" customFormat="1" spans="3:13">
      <c r="C13985" s="94"/>
      <c r="E13985" s="94"/>
      <c r="G13985" s="94"/>
      <c r="I13985" s="94"/>
      <c r="K13985" s="94"/>
      <c r="M13985" s="94"/>
    </row>
    <row r="13986" s="93" customFormat="1" spans="3:13">
      <c r="C13986" s="94"/>
      <c r="E13986" s="94"/>
      <c r="G13986" s="94"/>
      <c r="I13986" s="94"/>
      <c r="K13986" s="94"/>
      <c r="M13986" s="94"/>
    </row>
    <row r="13987" s="93" customFormat="1" spans="3:13">
      <c r="C13987" s="94"/>
      <c r="E13987" s="94"/>
      <c r="G13987" s="94"/>
      <c r="I13987" s="94"/>
      <c r="K13987" s="94"/>
      <c r="M13987" s="94"/>
    </row>
    <row r="13988" s="93" customFormat="1" spans="3:13">
      <c r="C13988" s="94"/>
      <c r="E13988" s="94"/>
      <c r="G13988" s="94"/>
      <c r="I13988" s="94"/>
      <c r="K13988" s="94"/>
      <c r="M13988" s="94"/>
    </row>
    <row r="13989" s="93" customFormat="1" spans="3:13">
      <c r="C13989" s="94"/>
      <c r="E13989" s="94"/>
      <c r="G13989" s="94"/>
      <c r="I13989" s="94"/>
      <c r="K13989" s="94"/>
      <c r="M13989" s="94"/>
    </row>
    <row r="13990" s="93" customFormat="1" spans="3:13">
      <c r="C13990" s="94"/>
      <c r="E13990" s="94"/>
      <c r="G13990" s="94"/>
      <c r="I13990" s="94"/>
      <c r="K13990" s="94"/>
      <c r="M13990" s="94"/>
    </row>
    <row r="13991" s="93" customFormat="1" spans="3:13">
      <c r="C13991" s="94"/>
      <c r="E13991" s="94"/>
      <c r="G13991" s="94"/>
      <c r="I13991" s="94"/>
      <c r="K13991" s="94"/>
      <c r="M13991" s="94"/>
    </row>
    <row r="13992" s="93" customFormat="1" spans="3:13">
      <c r="C13992" s="94"/>
      <c r="E13992" s="94"/>
      <c r="G13992" s="94"/>
      <c r="I13992" s="94"/>
      <c r="K13992" s="94"/>
      <c r="M13992" s="94"/>
    </row>
    <row r="13993" s="93" customFormat="1" spans="3:13">
      <c r="C13993" s="94"/>
      <c r="E13993" s="94"/>
      <c r="G13993" s="94"/>
      <c r="I13993" s="94"/>
      <c r="K13993" s="94"/>
      <c r="M13993" s="94"/>
    </row>
    <row r="13994" s="93" customFormat="1" spans="3:13">
      <c r="C13994" s="94"/>
      <c r="E13994" s="94"/>
      <c r="G13994" s="94"/>
      <c r="I13994" s="94"/>
      <c r="K13994" s="94"/>
      <c r="M13994" s="94"/>
    </row>
    <row r="13995" s="93" customFormat="1" spans="3:13">
      <c r="C13995" s="94"/>
      <c r="E13995" s="94"/>
      <c r="G13995" s="94"/>
      <c r="I13995" s="94"/>
      <c r="K13995" s="94"/>
      <c r="M13995" s="94"/>
    </row>
    <row r="13996" s="93" customFormat="1" spans="3:13">
      <c r="C13996" s="94"/>
      <c r="E13996" s="94"/>
      <c r="G13996" s="94"/>
      <c r="I13996" s="94"/>
      <c r="K13996" s="94"/>
      <c r="M13996" s="94"/>
    </row>
    <row r="13997" s="93" customFormat="1" spans="3:13">
      <c r="C13997" s="94"/>
      <c r="E13997" s="94"/>
      <c r="G13997" s="94"/>
      <c r="I13997" s="94"/>
      <c r="K13997" s="94"/>
      <c r="M13997" s="94"/>
    </row>
    <row r="13998" s="93" customFormat="1" spans="3:13">
      <c r="C13998" s="94"/>
      <c r="E13998" s="94"/>
      <c r="G13998" s="94"/>
      <c r="I13998" s="94"/>
      <c r="K13998" s="94"/>
      <c r="M13998" s="94"/>
    </row>
    <row r="13999" s="93" customFormat="1" spans="3:13">
      <c r="C13999" s="94"/>
      <c r="E13999" s="94"/>
      <c r="G13999" s="94"/>
      <c r="I13999" s="94"/>
      <c r="K13999" s="94"/>
      <c r="M13999" s="94"/>
    </row>
    <row r="14000" s="93" customFormat="1" spans="3:13">
      <c r="C14000" s="94"/>
      <c r="E14000" s="94"/>
      <c r="G14000" s="94"/>
      <c r="I14000" s="94"/>
      <c r="K14000" s="94"/>
      <c r="M14000" s="94"/>
    </row>
    <row r="14001" s="93" customFormat="1" spans="3:13">
      <c r="C14001" s="94"/>
      <c r="E14001" s="94"/>
      <c r="G14001" s="94"/>
      <c r="I14001" s="94"/>
      <c r="K14001" s="94"/>
      <c r="M14001" s="94"/>
    </row>
    <row r="14002" s="93" customFormat="1" spans="3:13">
      <c r="C14002" s="94"/>
      <c r="E14002" s="94"/>
      <c r="G14002" s="94"/>
      <c r="I14002" s="94"/>
      <c r="K14002" s="94"/>
      <c r="M14002" s="94"/>
    </row>
    <row r="14003" s="93" customFormat="1" spans="3:13">
      <c r="C14003" s="94"/>
      <c r="E14003" s="94"/>
      <c r="G14003" s="94"/>
      <c r="I14003" s="94"/>
      <c r="K14003" s="94"/>
      <c r="M14003" s="94"/>
    </row>
    <row r="14004" s="93" customFormat="1" spans="3:13">
      <c r="C14004" s="94"/>
      <c r="E14004" s="94"/>
      <c r="G14004" s="94"/>
      <c r="I14004" s="94"/>
      <c r="K14004" s="94"/>
      <c r="M14004" s="94"/>
    </row>
    <row r="14005" s="93" customFormat="1" spans="3:13">
      <c r="C14005" s="94"/>
      <c r="E14005" s="94"/>
      <c r="G14005" s="94"/>
      <c r="I14005" s="94"/>
      <c r="K14005" s="94"/>
      <c r="M14005" s="94"/>
    </row>
    <row r="14006" s="93" customFormat="1" spans="3:13">
      <c r="C14006" s="94"/>
      <c r="E14006" s="94"/>
      <c r="G14006" s="94"/>
      <c r="I14006" s="94"/>
      <c r="K14006" s="94"/>
      <c r="M14006" s="94"/>
    </row>
    <row r="14007" s="93" customFormat="1" spans="3:13">
      <c r="C14007" s="94"/>
      <c r="E14007" s="94"/>
      <c r="G14007" s="94"/>
      <c r="I14007" s="94"/>
      <c r="K14007" s="94"/>
      <c r="M14007" s="94"/>
    </row>
    <row r="14008" s="93" customFormat="1" spans="3:13">
      <c r="C14008" s="94"/>
      <c r="E14008" s="94"/>
      <c r="G14008" s="94"/>
      <c r="I14008" s="94"/>
      <c r="K14008" s="94"/>
      <c r="M14008" s="94"/>
    </row>
    <row r="14009" s="93" customFormat="1" spans="3:13">
      <c r="C14009" s="94"/>
      <c r="E14009" s="94"/>
      <c r="G14009" s="94"/>
      <c r="I14009" s="94"/>
      <c r="K14009" s="94"/>
      <c r="M14009" s="94"/>
    </row>
    <row r="14010" s="93" customFormat="1" spans="3:13">
      <c r="C14010" s="94"/>
      <c r="E14010" s="94"/>
      <c r="G14010" s="94"/>
      <c r="I14010" s="94"/>
      <c r="K14010" s="94"/>
      <c r="M14010" s="94"/>
    </row>
    <row r="14011" s="93" customFormat="1" spans="3:13">
      <c r="C14011" s="94"/>
      <c r="E14011" s="94"/>
      <c r="G14011" s="94"/>
      <c r="I14011" s="94"/>
      <c r="K14011" s="94"/>
      <c r="M14011" s="94"/>
    </row>
    <row r="14012" s="93" customFormat="1" spans="3:13">
      <c r="C14012" s="94"/>
      <c r="E14012" s="94"/>
      <c r="G14012" s="94"/>
      <c r="I14012" s="94"/>
      <c r="K14012" s="94"/>
      <c r="M14012" s="94"/>
    </row>
    <row r="14013" s="93" customFormat="1" spans="3:13">
      <c r="C14013" s="94"/>
      <c r="E14013" s="94"/>
      <c r="G14013" s="94"/>
      <c r="I14013" s="94"/>
      <c r="K14013" s="94"/>
      <c r="M14013" s="94"/>
    </row>
    <row r="14014" s="93" customFormat="1" spans="3:13">
      <c r="C14014" s="94"/>
      <c r="E14014" s="94"/>
      <c r="G14014" s="94"/>
      <c r="I14014" s="94"/>
      <c r="K14014" s="94"/>
      <c r="M14014" s="94"/>
    </row>
    <row r="14015" s="93" customFormat="1" spans="3:13">
      <c r="C14015" s="94"/>
      <c r="E14015" s="94"/>
      <c r="G14015" s="94"/>
      <c r="I14015" s="94"/>
      <c r="K14015" s="94"/>
      <c r="M14015" s="94"/>
    </row>
    <row r="14016" s="93" customFormat="1" spans="3:13">
      <c r="C14016" s="94"/>
      <c r="E14016" s="94"/>
      <c r="G14016" s="94"/>
      <c r="I14016" s="94"/>
      <c r="K14016" s="94"/>
      <c r="M14016" s="94"/>
    </row>
    <row r="14017" s="93" customFormat="1" spans="3:13">
      <c r="C14017" s="94"/>
      <c r="E14017" s="94"/>
      <c r="G14017" s="94"/>
      <c r="I14017" s="94"/>
      <c r="K14017" s="94"/>
      <c r="M14017" s="94"/>
    </row>
    <row r="14018" s="93" customFormat="1" spans="3:13">
      <c r="C14018" s="94"/>
      <c r="E14018" s="94"/>
      <c r="G14018" s="94"/>
      <c r="I14018" s="94"/>
      <c r="K14018" s="94"/>
      <c r="M14018" s="94"/>
    </row>
    <row r="14019" s="93" customFormat="1" spans="3:13">
      <c r="C14019" s="94"/>
      <c r="E14019" s="94"/>
      <c r="G14019" s="94"/>
      <c r="I14019" s="94"/>
      <c r="K14019" s="94"/>
      <c r="M14019" s="94"/>
    </row>
    <row r="14020" s="93" customFormat="1" spans="3:13">
      <c r="C14020" s="94"/>
      <c r="E14020" s="94"/>
      <c r="G14020" s="94"/>
      <c r="I14020" s="94"/>
      <c r="K14020" s="94"/>
      <c r="M14020" s="94"/>
    </row>
    <row r="14021" s="93" customFormat="1" spans="3:13">
      <c r="C14021" s="94"/>
      <c r="E14021" s="94"/>
      <c r="G14021" s="94"/>
      <c r="I14021" s="94"/>
      <c r="K14021" s="94"/>
      <c r="M14021" s="94"/>
    </row>
    <row r="14022" s="93" customFormat="1" spans="3:13">
      <c r="C14022" s="94"/>
      <c r="E14022" s="94"/>
      <c r="G14022" s="94"/>
      <c r="I14022" s="94"/>
      <c r="K14022" s="94"/>
      <c r="M14022" s="94"/>
    </row>
    <row r="14023" s="93" customFormat="1" spans="3:13">
      <c r="C14023" s="94"/>
      <c r="E14023" s="94"/>
      <c r="G14023" s="94"/>
      <c r="I14023" s="94"/>
      <c r="K14023" s="94"/>
      <c r="M14023" s="94"/>
    </row>
    <row r="14024" s="93" customFormat="1" spans="3:13">
      <c r="C14024" s="94"/>
      <c r="E14024" s="94"/>
      <c r="G14024" s="94"/>
      <c r="I14024" s="94"/>
      <c r="K14024" s="94"/>
      <c r="M14024" s="94"/>
    </row>
    <row r="14025" s="93" customFormat="1" spans="3:13">
      <c r="C14025" s="94"/>
      <c r="E14025" s="94"/>
      <c r="G14025" s="94"/>
      <c r="I14025" s="94"/>
      <c r="K14025" s="94"/>
      <c r="M14025" s="94"/>
    </row>
    <row r="14026" s="93" customFormat="1" spans="3:13">
      <c r="C14026" s="94"/>
      <c r="E14026" s="94"/>
      <c r="G14026" s="94"/>
      <c r="I14026" s="94"/>
      <c r="K14026" s="94"/>
      <c r="M14026" s="94"/>
    </row>
    <row r="14027" s="93" customFormat="1" spans="3:13">
      <c r="C14027" s="94"/>
      <c r="E14027" s="94"/>
      <c r="G14027" s="94"/>
      <c r="I14027" s="94"/>
      <c r="K14027" s="94"/>
      <c r="M14027" s="94"/>
    </row>
    <row r="14028" s="93" customFormat="1" spans="3:13">
      <c r="C14028" s="94"/>
      <c r="E14028" s="94"/>
      <c r="G14028" s="94"/>
      <c r="I14028" s="94"/>
      <c r="K14028" s="94"/>
      <c r="M14028" s="94"/>
    </row>
    <row r="14029" s="93" customFormat="1" spans="3:13">
      <c r="C14029" s="94"/>
      <c r="E14029" s="94"/>
      <c r="G14029" s="94"/>
      <c r="I14029" s="94"/>
      <c r="K14029" s="94"/>
      <c r="M14029" s="94"/>
    </row>
    <row r="14030" s="93" customFormat="1" spans="3:13">
      <c r="C14030" s="94"/>
      <c r="E14030" s="94"/>
      <c r="G14030" s="94"/>
      <c r="I14030" s="94"/>
      <c r="K14030" s="94"/>
      <c r="M14030" s="94"/>
    </row>
    <row r="14031" s="93" customFormat="1" spans="3:13">
      <c r="C14031" s="94"/>
      <c r="E14031" s="94"/>
      <c r="G14031" s="94"/>
      <c r="I14031" s="94"/>
      <c r="K14031" s="94"/>
      <c r="M14031" s="94"/>
    </row>
    <row r="14032" s="93" customFormat="1" spans="3:13">
      <c r="C14032" s="94"/>
      <c r="E14032" s="94"/>
      <c r="G14032" s="94"/>
      <c r="I14032" s="94"/>
      <c r="K14032" s="94"/>
      <c r="M14032" s="94"/>
    </row>
    <row r="14033" s="93" customFormat="1" spans="3:13">
      <c r="C14033" s="94"/>
      <c r="E14033" s="94"/>
      <c r="G14033" s="94"/>
      <c r="I14033" s="94"/>
      <c r="K14033" s="94"/>
      <c r="M14033" s="94"/>
    </row>
    <row r="14034" s="93" customFormat="1" spans="3:13">
      <c r="C14034" s="94"/>
      <c r="E14034" s="94"/>
      <c r="G14034" s="94"/>
      <c r="I14034" s="94"/>
      <c r="K14034" s="94"/>
      <c r="M14034" s="94"/>
    </row>
    <row r="14035" s="93" customFormat="1" spans="3:13">
      <c r="C14035" s="94"/>
      <c r="E14035" s="94"/>
      <c r="G14035" s="94"/>
      <c r="I14035" s="94"/>
      <c r="K14035" s="94"/>
      <c r="M14035" s="94"/>
    </row>
    <row r="14036" s="93" customFormat="1" spans="3:13">
      <c r="C14036" s="94"/>
      <c r="E14036" s="94"/>
      <c r="G14036" s="94"/>
      <c r="I14036" s="94"/>
      <c r="K14036" s="94"/>
      <c r="M14036" s="94"/>
    </row>
    <row r="14037" s="93" customFormat="1" spans="3:13">
      <c r="C14037" s="94"/>
      <c r="E14037" s="94"/>
      <c r="G14037" s="94"/>
      <c r="I14037" s="94"/>
      <c r="K14037" s="94"/>
      <c r="M14037" s="94"/>
    </row>
    <row r="14038" s="93" customFormat="1" spans="3:13">
      <c r="C14038" s="94"/>
      <c r="E14038" s="94"/>
      <c r="G14038" s="94"/>
      <c r="I14038" s="94"/>
      <c r="K14038" s="94"/>
      <c r="M14038" s="94"/>
    </row>
    <row r="14039" s="93" customFormat="1" spans="3:13">
      <c r="C14039" s="94"/>
      <c r="E14039" s="94"/>
      <c r="G14039" s="94"/>
      <c r="I14039" s="94"/>
      <c r="K14039" s="94"/>
      <c r="M14039" s="94"/>
    </row>
    <row r="14040" s="93" customFormat="1" spans="3:13">
      <c r="C14040" s="94"/>
      <c r="E14040" s="94"/>
      <c r="G14040" s="94"/>
      <c r="I14040" s="94"/>
      <c r="K14040" s="94"/>
      <c r="M14040" s="94"/>
    </row>
    <row r="14041" s="93" customFormat="1" spans="3:13">
      <c r="C14041" s="94"/>
      <c r="E14041" s="94"/>
      <c r="G14041" s="94"/>
      <c r="I14041" s="94"/>
      <c r="K14041" s="94"/>
      <c r="M14041" s="94"/>
    </row>
    <row r="14042" s="93" customFormat="1" spans="3:13">
      <c r="C14042" s="94"/>
      <c r="E14042" s="94"/>
      <c r="G14042" s="94"/>
      <c r="I14042" s="94"/>
      <c r="K14042" s="94"/>
      <c r="M14042" s="94"/>
    </row>
    <row r="14043" s="93" customFormat="1" spans="3:13">
      <c r="C14043" s="94"/>
      <c r="E14043" s="94"/>
      <c r="G14043" s="94"/>
      <c r="I14043" s="94"/>
      <c r="K14043" s="94"/>
      <c r="M14043" s="94"/>
    </row>
    <row r="14044" s="93" customFormat="1" spans="3:13">
      <c r="C14044" s="94"/>
      <c r="E14044" s="94"/>
      <c r="G14044" s="94"/>
      <c r="I14044" s="94"/>
      <c r="K14044" s="94"/>
      <c r="M14044" s="94"/>
    </row>
    <row r="14045" s="93" customFormat="1" spans="3:13">
      <c r="C14045" s="94"/>
      <c r="E14045" s="94"/>
      <c r="G14045" s="94"/>
      <c r="I14045" s="94"/>
      <c r="K14045" s="94"/>
      <c r="M14045" s="94"/>
    </row>
    <row r="14046" s="93" customFormat="1" spans="3:13">
      <c r="C14046" s="94"/>
      <c r="E14046" s="94"/>
      <c r="G14046" s="94"/>
      <c r="I14046" s="94"/>
      <c r="K14046" s="94"/>
      <c r="M14046" s="94"/>
    </row>
    <row r="14047" s="93" customFormat="1" spans="3:13">
      <c r="C14047" s="94"/>
      <c r="E14047" s="94"/>
      <c r="G14047" s="94"/>
      <c r="I14047" s="94"/>
      <c r="K14047" s="94"/>
      <c r="M14047" s="94"/>
    </row>
    <row r="14048" s="93" customFormat="1" spans="3:13">
      <c r="C14048" s="94"/>
      <c r="E14048" s="94"/>
      <c r="G14048" s="94"/>
      <c r="I14048" s="94"/>
      <c r="K14048" s="94"/>
      <c r="M14048" s="94"/>
    </row>
    <row r="14049" s="93" customFormat="1" spans="3:13">
      <c r="C14049" s="94"/>
      <c r="E14049" s="94"/>
      <c r="G14049" s="94"/>
      <c r="I14049" s="94"/>
      <c r="K14049" s="94"/>
      <c r="M14049" s="94"/>
    </row>
    <row r="14050" s="93" customFormat="1" spans="3:13">
      <c r="C14050" s="94"/>
      <c r="E14050" s="94"/>
      <c r="G14050" s="94"/>
      <c r="I14050" s="94"/>
      <c r="K14050" s="94"/>
      <c r="M14050" s="94"/>
    </row>
    <row r="14051" s="93" customFormat="1" spans="3:13">
      <c r="C14051" s="94"/>
      <c r="E14051" s="94"/>
      <c r="G14051" s="94"/>
      <c r="I14051" s="94"/>
      <c r="K14051" s="94"/>
      <c r="M14051" s="94"/>
    </row>
    <row r="14052" s="93" customFormat="1" spans="3:13">
      <c r="C14052" s="94"/>
      <c r="E14052" s="94"/>
      <c r="G14052" s="94"/>
      <c r="I14052" s="94"/>
      <c r="K14052" s="94"/>
      <c r="M14052" s="94"/>
    </row>
    <row r="14053" s="93" customFormat="1" spans="3:13">
      <c r="C14053" s="94"/>
      <c r="E14053" s="94"/>
      <c r="G14053" s="94"/>
      <c r="I14053" s="94"/>
      <c r="K14053" s="94"/>
      <c r="M14053" s="94"/>
    </row>
    <row r="14054" s="93" customFormat="1" spans="3:13">
      <c r="C14054" s="94"/>
      <c r="E14054" s="94"/>
      <c r="G14054" s="94"/>
      <c r="I14054" s="94"/>
      <c r="K14054" s="94"/>
      <c r="M14054" s="94"/>
    </row>
    <row r="14055" s="93" customFormat="1" spans="3:13">
      <c r="C14055" s="94"/>
      <c r="E14055" s="94"/>
      <c r="G14055" s="94"/>
      <c r="I14055" s="94"/>
      <c r="K14055" s="94"/>
      <c r="M14055" s="94"/>
    </row>
    <row r="14056" s="93" customFormat="1" spans="3:13">
      <c r="C14056" s="94"/>
      <c r="E14056" s="94"/>
      <c r="G14056" s="94"/>
      <c r="I14056" s="94"/>
      <c r="K14056" s="94"/>
      <c r="M14056" s="94"/>
    </row>
    <row r="14057" s="93" customFormat="1" spans="3:13">
      <c r="C14057" s="94"/>
      <c r="E14057" s="94"/>
      <c r="G14057" s="94"/>
      <c r="I14057" s="94"/>
      <c r="K14057" s="94"/>
      <c r="M14057" s="94"/>
    </row>
    <row r="14058" s="93" customFormat="1" spans="3:13">
      <c r="C14058" s="94"/>
      <c r="E14058" s="94"/>
      <c r="G14058" s="94"/>
      <c r="I14058" s="94"/>
      <c r="K14058" s="94"/>
      <c r="M14058" s="94"/>
    </row>
    <row r="14059" s="93" customFormat="1" spans="3:13">
      <c r="C14059" s="94"/>
      <c r="E14059" s="94"/>
      <c r="G14059" s="94"/>
      <c r="I14059" s="94"/>
      <c r="K14059" s="94"/>
      <c r="M14059" s="94"/>
    </row>
    <row r="14060" s="93" customFormat="1" spans="3:13">
      <c r="C14060" s="94"/>
      <c r="E14060" s="94"/>
      <c r="G14060" s="94"/>
      <c r="I14060" s="94"/>
      <c r="K14060" s="94"/>
      <c r="M14060" s="94"/>
    </row>
    <row r="14061" s="93" customFormat="1" spans="3:13">
      <c r="C14061" s="94"/>
      <c r="E14061" s="94"/>
      <c r="G14061" s="94"/>
      <c r="I14061" s="94"/>
      <c r="K14061" s="94"/>
      <c r="M14061" s="94"/>
    </row>
    <row r="14062" s="93" customFormat="1" spans="3:13">
      <c r="C14062" s="94"/>
      <c r="E14062" s="94"/>
      <c r="G14062" s="94"/>
      <c r="I14062" s="94"/>
      <c r="K14062" s="94"/>
      <c r="M14062" s="94"/>
    </row>
    <row r="14063" s="93" customFormat="1" spans="3:13">
      <c r="C14063" s="94"/>
      <c r="E14063" s="94"/>
      <c r="G14063" s="94"/>
      <c r="I14063" s="94"/>
      <c r="K14063" s="94"/>
      <c r="M14063" s="94"/>
    </row>
    <row r="14064" s="93" customFormat="1" spans="3:13">
      <c r="C14064" s="94"/>
      <c r="E14064" s="94"/>
      <c r="G14064" s="94"/>
      <c r="I14064" s="94"/>
      <c r="K14064" s="94"/>
      <c r="M14064" s="94"/>
    </row>
    <row r="14065" s="93" customFormat="1" spans="3:13">
      <c r="C14065" s="94"/>
      <c r="E14065" s="94"/>
      <c r="G14065" s="94"/>
      <c r="I14065" s="94"/>
      <c r="K14065" s="94"/>
      <c r="M14065" s="94"/>
    </row>
    <row r="14066" s="93" customFormat="1" spans="3:13">
      <c r="C14066" s="94"/>
      <c r="E14066" s="94"/>
      <c r="G14066" s="94"/>
      <c r="I14066" s="94"/>
      <c r="K14066" s="94"/>
      <c r="M14066" s="94"/>
    </row>
    <row r="14067" s="93" customFormat="1" spans="3:13">
      <c r="C14067" s="94"/>
      <c r="E14067" s="94"/>
      <c r="G14067" s="94"/>
      <c r="I14067" s="94"/>
      <c r="K14067" s="94"/>
      <c r="M14067" s="94"/>
    </row>
    <row r="14068" s="93" customFormat="1" spans="3:13">
      <c r="C14068" s="94"/>
      <c r="E14068" s="94"/>
      <c r="G14068" s="94"/>
      <c r="I14068" s="94"/>
      <c r="K14068" s="94"/>
      <c r="M14068" s="94"/>
    </row>
    <row r="14069" s="93" customFormat="1" spans="3:13">
      <c r="C14069" s="94"/>
      <c r="E14069" s="94"/>
      <c r="G14069" s="94"/>
      <c r="I14069" s="94"/>
      <c r="K14069" s="94"/>
      <c r="M14069" s="94"/>
    </row>
    <row r="14070" s="93" customFormat="1" spans="3:13">
      <c r="C14070" s="94"/>
      <c r="E14070" s="94"/>
      <c r="G14070" s="94"/>
      <c r="I14070" s="94"/>
      <c r="K14070" s="94"/>
      <c r="M14070" s="94"/>
    </row>
    <row r="14071" s="93" customFormat="1" spans="3:13">
      <c r="C14071" s="94"/>
      <c r="E14071" s="94"/>
      <c r="G14071" s="94"/>
      <c r="I14071" s="94"/>
      <c r="K14071" s="94"/>
      <c r="M14071" s="94"/>
    </row>
    <row r="14072" s="93" customFormat="1" spans="3:13">
      <c r="C14072" s="94"/>
      <c r="E14072" s="94"/>
      <c r="G14072" s="94"/>
      <c r="I14072" s="94"/>
      <c r="K14072" s="94"/>
      <c r="M14072" s="94"/>
    </row>
    <row r="14073" s="93" customFormat="1" spans="3:13">
      <c r="C14073" s="94"/>
      <c r="E14073" s="94"/>
      <c r="G14073" s="94"/>
      <c r="I14073" s="94"/>
      <c r="K14073" s="94"/>
      <c r="M14073" s="94"/>
    </row>
    <row r="14074" s="93" customFormat="1" spans="3:13">
      <c r="C14074" s="94"/>
      <c r="E14074" s="94"/>
      <c r="G14074" s="94"/>
      <c r="I14074" s="94"/>
      <c r="K14074" s="94"/>
      <c r="M14074" s="94"/>
    </row>
    <row r="14075" s="93" customFormat="1" spans="3:13">
      <c r="C14075" s="94"/>
      <c r="E14075" s="94"/>
      <c r="G14075" s="94"/>
      <c r="I14075" s="94"/>
      <c r="K14075" s="94"/>
      <c r="M14075" s="94"/>
    </row>
    <row r="14076" s="93" customFormat="1" spans="3:13">
      <c r="C14076" s="94"/>
      <c r="E14076" s="94"/>
      <c r="G14076" s="94"/>
      <c r="I14076" s="94"/>
      <c r="K14076" s="94"/>
      <c r="M14076" s="94"/>
    </row>
    <row r="14077" s="93" customFormat="1" spans="3:13">
      <c r="C14077" s="94"/>
      <c r="E14077" s="94"/>
      <c r="G14077" s="94"/>
      <c r="I14077" s="94"/>
      <c r="K14077" s="94"/>
      <c r="M14077" s="94"/>
    </row>
    <row r="14078" s="93" customFormat="1" spans="3:13">
      <c r="C14078" s="94"/>
      <c r="E14078" s="94"/>
      <c r="G14078" s="94"/>
      <c r="I14078" s="94"/>
      <c r="K14078" s="94"/>
      <c r="M14078" s="94"/>
    </row>
    <row r="14079" s="93" customFormat="1" spans="3:13">
      <c r="C14079" s="94"/>
      <c r="E14079" s="94"/>
      <c r="G14079" s="94"/>
      <c r="I14079" s="94"/>
      <c r="K14079" s="94"/>
      <c r="M14079" s="94"/>
    </row>
    <row r="14080" s="93" customFormat="1" spans="3:13">
      <c r="C14080" s="94"/>
      <c r="E14080" s="94"/>
      <c r="G14080" s="94"/>
      <c r="I14080" s="94"/>
      <c r="K14080" s="94"/>
      <c r="M14080" s="94"/>
    </row>
    <row r="14081" s="93" customFormat="1" spans="3:13">
      <c r="C14081" s="94"/>
      <c r="E14081" s="94"/>
      <c r="G14081" s="94"/>
      <c r="I14081" s="94"/>
      <c r="K14081" s="94"/>
      <c r="M14081" s="94"/>
    </row>
    <row r="14082" s="93" customFormat="1" spans="3:13">
      <c r="C14082" s="94"/>
      <c r="E14082" s="94"/>
      <c r="G14082" s="94"/>
      <c r="I14082" s="94"/>
      <c r="K14082" s="94"/>
      <c r="M14082" s="94"/>
    </row>
    <row r="14083" s="93" customFormat="1" spans="3:13">
      <c r="C14083" s="94"/>
      <c r="E14083" s="94"/>
      <c r="G14083" s="94"/>
      <c r="I14083" s="94"/>
      <c r="K14083" s="94"/>
      <c r="M14083" s="94"/>
    </row>
    <row r="14084" s="93" customFormat="1" spans="3:13">
      <c r="C14084" s="94"/>
      <c r="E14084" s="94"/>
      <c r="G14084" s="94"/>
      <c r="I14084" s="94"/>
      <c r="K14084" s="94"/>
      <c r="M14084" s="94"/>
    </row>
    <row r="14085" s="93" customFormat="1" spans="3:13">
      <c r="C14085" s="94"/>
      <c r="E14085" s="94"/>
      <c r="G14085" s="94"/>
      <c r="I14085" s="94"/>
      <c r="K14085" s="94"/>
      <c r="M14085" s="94"/>
    </row>
    <row r="14086" s="93" customFormat="1" spans="3:13">
      <c r="C14086" s="94"/>
      <c r="E14086" s="94"/>
      <c r="G14086" s="94"/>
      <c r="I14086" s="94"/>
      <c r="K14086" s="94"/>
      <c r="M14086" s="94"/>
    </row>
    <row r="14087" s="93" customFormat="1" spans="3:13">
      <c r="C14087" s="94"/>
      <c r="E14087" s="94"/>
      <c r="G14087" s="94"/>
      <c r="I14087" s="94"/>
      <c r="K14087" s="94"/>
      <c r="M14087" s="94"/>
    </row>
    <row r="14088" s="93" customFormat="1" spans="3:13">
      <c r="C14088" s="94"/>
      <c r="E14088" s="94"/>
      <c r="G14088" s="94"/>
      <c r="I14088" s="94"/>
      <c r="K14088" s="94"/>
      <c r="M14088" s="94"/>
    </row>
    <row r="14089" s="93" customFormat="1" spans="3:13">
      <c r="C14089" s="94"/>
      <c r="E14089" s="94"/>
      <c r="G14089" s="94"/>
      <c r="I14089" s="94"/>
      <c r="K14089" s="94"/>
      <c r="M14089" s="94"/>
    </row>
    <row r="14090" s="93" customFormat="1" spans="3:13">
      <c r="C14090" s="94"/>
      <c r="E14090" s="94"/>
      <c r="G14090" s="94"/>
      <c r="I14090" s="94"/>
      <c r="K14090" s="94"/>
      <c r="M14090" s="94"/>
    </row>
    <row r="14091" s="93" customFormat="1" spans="3:13">
      <c r="C14091" s="94"/>
      <c r="E14091" s="94"/>
      <c r="G14091" s="94"/>
      <c r="I14091" s="94"/>
      <c r="K14091" s="94"/>
      <c r="M14091" s="94"/>
    </row>
    <row r="14092" s="93" customFormat="1" spans="3:13">
      <c r="C14092" s="94"/>
      <c r="E14092" s="94"/>
      <c r="G14092" s="94"/>
      <c r="I14092" s="94"/>
      <c r="K14092" s="94"/>
      <c r="M14092" s="94"/>
    </row>
    <row r="14093" s="93" customFormat="1" spans="3:13">
      <c r="C14093" s="94"/>
      <c r="E14093" s="94"/>
      <c r="G14093" s="94"/>
      <c r="I14093" s="94"/>
      <c r="K14093" s="94"/>
      <c r="M14093" s="94"/>
    </row>
    <row r="14094" s="93" customFormat="1" spans="3:13">
      <c r="C14094" s="94"/>
      <c r="E14094" s="94"/>
      <c r="G14094" s="94"/>
      <c r="I14094" s="94"/>
      <c r="K14094" s="94"/>
      <c r="M14094" s="94"/>
    </row>
    <row r="14095" s="93" customFormat="1" spans="3:13">
      <c r="C14095" s="94"/>
      <c r="E14095" s="94"/>
      <c r="G14095" s="94"/>
      <c r="I14095" s="94"/>
      <c r="K14095" s="94"/>
      <c r="M14095" s="94"/>
    </row>
    <row r="14096" s="93" customFormat="1" spans="3:13">
      <c r="C14096" s="94"/>
      <c r="E14096" s="94"/>
      <c r="G14096" s="94"/>
      <c r="I14096" s="94"/>
      <c r="K14096" s="94"/>
      <c r="M14096" s="94"/>
    </row>
    <row r="14097" s="93" customFormat="1" spans="3:13">
      <c r="C14097" s="94"/>
      <c r="E14097" s="94"/>
      <c r="G14097" s="94"/>
      <c r="I14097" s="94"/>
      <c r="K14097" s="94"/>
      <c r="M14097" s="94"/>
    </row>
    <row r="14098" s="93" customFormat="1" spans="3:13">
      <c r="C14098" s="94"/>
      <c r="E14098" s="94"/>
      <c r="G14098" s="94"/>
      <c r="I14098" s="94"/>
      <c r="K14098" s="94"/>
      <c r="M14098" s="94"/>
    </row>
    <row r="14099" s="93" customFormat="1" spans="3:13">
      <c r="C14099" s="94"/>
      <c r="E14099" s="94"/>
      <c r="G14099" s="94"/>
      <c r="I14099" s="94"/>
      <c r="K14099" s="94"/>
      <c r="M14099" s="94"/>
    </row>
    <row r="14100" s="93" customFormat="1" spans="3:13">
      <c r="C14100" s="94"/>
      <c r="E14100" s="94"/>
      <c r="G14100" s="94"/>
      <c r="I14100" s="94"/>
      <c r="K14100" s="94"/>
      <c r="M14100" s="94"/>
    </row>
    <row r="14101" s="93" customFormat="1" spans="3:13">
      <c r="C14101" s="94"/>
      <c r="E14101" s="94"/>
      <c r="G14101" s="94"/>
      <c r="I14101" s="94"/>
      <c r="K14101" s="94"/>
      <c r="M14101" s="94"/>
    </row>
    <row r="14102" s="93" customFormat="1" spans="3:13">
      <c r="C14102" s="94"/>
      <c r="E14102" s="94"/>
      <c r="G14102" s="94"/>
      <c r="I14102" s="94"/>
      <c r="K14102" s="94"/>
      <c r="M14102" s="94"/>
    </row>
    <row r="14103" s="93" customFormat="1" spans="3:13">
      <c r="C14103" s="94"/>
      <c r="E14103" s="94"/>
      <c r="G14103" s="94"/>
      <c r="I14103" s="94"/>
      <c r="K14103" s="94"/>
      <c r="M14103" s="94"/>
    </row>
    <row r="14104" s="93" customFormat="1" spans="3:13">
      <c r="C14104" s="94"/>
      <c r="E14104" s="94"/>
      <c r="G14104" s="94"/>
      <c r="I14104" s="94"/>
      <c r="K14104" s="94"/>
      <c r="M14104" s="94"/>
    </row>
    <row r="14105" s="93" customFormat="1" spans="3:13">
      <c r="C14105" s="94"/>
      <c r="E14105" s="94"/>
      <c r="G14105" s="94"/>
      <c r="I14105" s="94"/>
      <c r="K14105" s="94"/>
      <c r="M14105" s="94"/>
    </row>
    <row r="14106" s="93" customFormat="1" spans="3:13">
      <c r="C14106" s="94"/>
      <c r="E14106" s="94"/>
      <c r="G14106" s="94"/>
      <c r="I14106" s="94"/>
      <c r="K14106" s="94"/>
      <c r="M14106" s="94"/>
    </row>
    <row r="14107" s="93" customFormat="1" spans="3:13">
      <c r="C14107" s="94"/>
      <c r="E14107" s="94"/>
      <c r="G14107" s="94"/>
      <c r="I14107" s="94"/>
      <c r="K14107" s="94"/>
      <c r="M14107" s="94"/>
    </row>
    <row r="14108" s="93" customFormat="1" spans="3:13">
      <c r="C14108" s="94"/>
      <c r="E14108" s="94"/>
      <c r="G14108" s="94"/>
      <c r="I14108" s="94"/>
      <c r="K14108" s="94"/>
      <c r="M14108" s="94"/>
    </row>
    <row r="14109" s="93" customFormat="1" spans="3:13">
      <c r="C14109" s="94"/>
      <c r="E14109" s="94"/>
      <c r="G14109" s="94"/>
      <c r="I14109" s="94"/>
      <c r="K14109" s="94"/>
      <c r="M14109" s="94"/>
    </row>
    <row r="14110" s="93" customFormat="1" spans="3:13">
      <c r="C14110" s="94"/>
      <c r="E14110" s="94"/>
      <c r="G14110" s="94"/>
      <c r="I14110" s="94"/>
      <c r="K14110" s="94"/>
      <c r="M14110" s="94"/>
    </row>
    <row r="14111" s="93" customFormat="1" spans="3:13">
      <c r="C14111" s="94"/>
      <c r="E14111" s="94"/>
      <c r="G14111" s="94"/>
      <c r="I14111" s="94"/>
      <c r="K14111" s="94"/>
      <c r="M14111" s="94"/>
    </row>
    <row r="14112" s="93" customFormat="1" spans="3:13">
      <c r="C14112" s="94"/>
      <c r="E14112" s="94"/>
      <c r="G14112" s="94"/>
      <c r="I14112" s="94"/>
      <c r="K14112" s="94"/>
      <c r="M14112" s="94"/>
    </row>
    <row r="14113" s="93" customFormat="1" spans="3:13">
      <c r="C14113" s="94"/>
      <c r="E14113" s="94"/>
      <c r="G14113" s="94"/>
      <c r="I14113" s="94"/>
      <c r="K14113" s="94"/>
      <c r="M14113" s="94"/>
    </row>
    <row r="14114" s="93" customFormat="1" spans="3:13">
      <c r="C14114" s="94"/>
      <c r="E14114" s="94"/>
      <c r="G14114" s="94"/>
      <c r="I14114" s="94"/>
      <c r="K14114" s="94"/>
      <c r="M14114" s="94"/>
    </row>
    <row r="14115" s="93" customFormat="1" spans="3:13">
      <c r="C14115" s="94"/>
      <c r="E14115" s="94"/>
      <c r="G14115" s="94"/>
      <c r="I14115" s="94"/>
      <c r="K14115" s="94"/>
      <c r="M14115" s="94"/>
    </row>
    <row r="14116" s="93" customFormat="1" spans="3:13">
      <c r="C14116" s="94"/>
      <c r="E14116" s="94"/>
      <c r="G14116" s="94"/>
      <c r="I14116" s="94"/>
      <c r="K14116" s="94"/>
      <c r="M14116" s="94"/>
    </row>
    <row r="14117" s="93" customFormat="1" spans="3:13">
      <c r="C14117" s="94"/>
      <c r="E14117" s="94"/>
      <c r="G14117" s="94"/>
      <c r="I14117" s="94"/>
      <c r="K14117" s="94"/>
      <c r="M14117" s="94"/>
    </row>
    <row r="14118" s="93" customFormat="1" spans="3:13">
      <c r="C14118" s="94"/>
      <c r="E14118" s="94"/>
      <c r="G14118" s="94"/>
      <c r="I14118" s="94"/>
      <c r="K14118" s="94"/>
      <c r="M14118" s="94"/>
    </row>
    <row r="14119" s="93" customFormat="1" spans="3:13">
      <c r="C14119" s="94"/>
      <c r="E14119" s="94"/>
      <c r="G14119" s="94"/>
      <c r="I14119" s="94"/>
      <c r="K14119" s="94"/>
      <c r="M14119" s="94"/>
    </row>
    <row r="14120" s="93" customFormat="1" spans="3:13">
      <c r="C14120" s="94"/>
      <c r="E14120" s="94"/>
      <c r="G14120" s="94"/>
      <c r="I14120" s="94"/>
      <c r="K14120" s="94"/>
      <c r="M14120" s="94"/>
    </row>
    <row r="14121" s="93" customFormat="1" spans="3:13">
      <c r="C14121" s="94"/>
      <c r="E14121" s="94"/>
      <c r="G14121" s="94"/>
      <c r="I14121" s="94"/>
      <c r="K14121" s="94"/>
      <c r="M14121" s="94"/>
    </row>
    <row r="14122" s="93" customFormat="1" spans="3:13">
      <c r="C14122" s="94"/>
      <c r="E14122" s="94"/>
      <c r="G14122" s="94"/>
      <c r="I14122" s="94"/>
      <c r="K14122" s="94"/>
      <c r="M14122" s="94"/>
    </row>
    <row r="14123" s="93" customFormat="1" spans="3:13">
      <c r="C14123" s="94"/>
      <c r="E14123" s="94"/>
      <c r="G14123" s="94"/>
      <c r="I14123" s="94"/>
      <c r="K14123" s="94"/>
      <c r="M14123" s="94"/>
    </row>
    <row r="14124" s="93" customFormat="1" spans="3:13">
      <c r="C14124" s="94"/>
      <c r="E14124" s="94"/>
      <c r="G14124" s="94"/>
      <c r="I14124" s="94"/>
      <c r="K14124" s="94"/>
      <c r="M14124" s="94"/>
    </row>
    <row r="14125" s="93" customFormat="1" spans="3:13">
      <c r="C14125" s="94"/>
      <c r="E14125" s="94"/>
      <c r="G14125" s="94"/>
      <c r="I14125" s="94"/>
      <c r="K14125" s="94"/>
      <c r="M14125" s="94"/>
    </row>
    <row r="14126" s="93" customFormat="1" spans="3:13">
      <c r="C14126" s="94"/>
      <c r="E14126" s="94"/>
      <c r="G14126" s="94"/>
      <c r="I14126" s="94"/>
      <c r="K14126" s="94"/>
      <c r="M14126" s="94"/>
    </row>
    <row r="14127" s="93" customFormat="1" spans="3:13">
      <c r="C14127" s="94"/>
      <c r="E14127" s="94"/>
      <c r="G14127" s="94"/>
      <c r="I14127" s="94"/>
      <c r="K14127" s="94"/>
      <c r="M14127" s="94"/>
    </row>
    <row r="14128" s="93" customFormat="1" spans="3:13">
      <c r="C14128" s="94"/>
      <c r="E14128" s="94"/>
      <c r="G14128" s="94"/>
      <c r="I14128" s="94"/>
      <c r="K14128" s="94"/>
      <c r="M14128" s="94"/>
    </row>
    <row r="14129" s="93" customFormat="1" spans="3:13">
      <c r="C14129" s="94"/>
      <c r="E14129" s="94"/>
      <c r="G14129" s="94"/>
      <c r="I14129" s="94"/>
      <c r="K14129" s="94"/>
      <c r="M14129" s="94"/>
    </row>
    <row r="14130" s="93" customFormat="1" spans="3:13">
      <c r="C14130" s="94"/>
      <c r="E14130" s="94"/>
      <c r="G14130" s="94"/>
      <c r="I14130" s="94"/>
      <c r="K14130" s="94"/>
      <c r="M14130" s="94"/>
    </row>
    <row r="14131" s="93" customFormat="1" spans="3:13">
      <c r="C14131" s="94"/>
      <c r="E14131" s="94"/>
      <c r="G14131" s="94"/>
      <c r="I14131" s="94"/>
      <c r="K14131" s="94"/>
      <c r="M14131" s="94"/>
    </row>
    <row r="14132" s="93" customFormat="1" spans="3:13">
      <c r="C14132" s="94"/>
      <c r="E14132" s="94"/>
      <c r="G14132" s="94"/>
      <c r="I14132" s="94"/>
      <c r="K14132" s="94"/>
      <c r="M14132" s="94"/>
    </row>
    <row r="14133" s="93" customFormat="1" spans="3:13">
      <c r="C14133" s="94"/>
      <c r="E14133" s="94"/>
      <c r="G14133" s="94"/>
      <c r="I14133" s="94"/>
      <c r="K14133" s="94"/>
      <c r="M14133" s="94"/>
    </row>
    <row r="14134" s="93" customFormat="1" spans="3:13">
      <c r="C14134" s="94"/>
      <c r="E14134" s="94"/>
      <c r="G14134" s="94"/>
      <c r="I14134" s="94"/>
      <c r="K14134" s="94"/>
      <c r="M14134" s="94"/>
    </row>
    <row r="14135" s="93" customFormat="1" spans="3:13">
      <c r="C14135" s="94"/>
      <c r="E14135" s="94"/>
      <c r="G14135" s="94"/>
      <c r="I14135" s="94"/>
      <c r="K14135" s="94"/>
      <c r="M14135" s="94"/>
    </row>
    <row r="14136" s="93" customFormat="1" spans="3:13">
      <c r="C14136" s="94"/>
      <c r="E14136" s="94"/>
      <c r="G14136" s="94"/>
      <c r="I14136" s="94"/>
      <c r="K14136" s="94"/>
      <c r="M14136" s="94"/>
    </row>
    <row r="14137" s="93" customFormat="1" spans="3:13">
      <c r="C14137" s="94"/>
      <c r="E14137" s="94"/>
      <c r="G14137" s="94"/>
      <c r="I14137" s="94"/>
      <c r="K14137" s="94"/>
      <c r="M14137" s="94"/>
    </row>
    <row r="14138" s="93" customFormat="1" spans="3:13">
      <c r="C14138" s="94"/>
      <c r="E14138" s="94"/>
      <c r="G14138" s="94"/>
      <c r="I14138" s="94"/>
      <c r="K14138" s="94"/>
      <c r="M14138" s="94"/>
    </row>
    <row r="14139" s="93" customFormat="1" spans="3:13">
      <c r="C14139" s="94"/>
      <c r="E14139" s="94"/>
      <c r="G14139" s="94"/>
      <c r="I14139" s="94"/>
      <c r="K14139" s="94"/>
      <c r="M14139" s="94"/>
    </row>
    <row r="14140" s="93" customFormat="1" spans="3:13">
      <c r="C14140" s="94"/>
      <c r="E14140" s="94"/>
      <c r="G14140" s="94"/>
      <c r="I14140" s="94"/>
      <c r="K14140" s="94"/>
      <c r="M14140" s="94"/>
    </row>
    <row r="14141" s="93" customFormat="1" spans="3:13">
      <c r="C14141" s="94"/>
      <c r="E14141" s="94"/>
      <c r="G14141" s="94"/>
      <c r="I14141" s="94"/>
      <c r="K14141" s="94"/>
      <c r="M14141" s="94"/>
    </row>
    <row r="14142" s="93" customFormat="1" spans="3:13">
      <c r="C14142" s="94"/>
      <c r="E14142" s="94"/>
      <c r="G14142" s="94"/>
      <c r="I14142" s="94"/>
      <c r="K14142" s="94"/>
      <c r="M14142" s="94"/>
    </row>
    <row r="14143" s="93" customFormat="1" spans="3:13">
      <c r="C14143" s="94"/>
      <c r="E14143" s="94"/>
      <c r="G14143" s="94"/>
      <c r="I14143" s="94"/>
      <c r="K14143" s="94"/>
      <c r="M14143" s="94"/>
    </row>
    <row r="14144" s="93" customFormat="1" spans="3:13">
      <c r="C14144" s="94"/>
      <c r="E14144" s="94"/>
      <c r="G14144" s="94"/>
      <c r="I14144" s="94"/>
      <c r="K14144" s="94"/>
      <c r="M14144" s="94"/>
    </row>
    <row r="14145" s="93" customFormat="1" spans="3:13">
      <c r="C14145" s="94"/>
      <c r="E14145" s="94"/>
      <c r="G14145" s="94"/>
      <c r="I14145" s="94"/>
      <c r="K14145" s="94"/>
      <c r="M14145" s="94"/>
    </row>
    <row r="14146" s="93" customFormat="1" spans="3:13">
      <c r="C14146" s="94"/>
      <c r="E14146" s="94"/>
      <c r="G14146" s="94"/>
      <c r="I14146" s="94"/>
      <c r="K14146" s="94"/>
      <c r="M14146" s="94"/>
    </row>
    <row r="14147" s="93" customFormat="1" spans="3:13">
      <c r="C14147" s="94"/>
      <c r="E14147" s="94"/>
      <c r="G14147" s="94"/>
      <c r="I14147" s="94"/>
      <c r="K14147" s="94"/>
      <c r="M14147" s="94"/>
    </row>
    <row r="14148" s="93" customFormat="1" spans="3:13">
      <c r="C14148" s="94"/>
      <c r="E14148" s="94"/>
      <c r="G14148" s="94"/>
      <c r="I14148" s="94"/>
      <c r="K14148" s="94"/>
      <c r="M14148" s="94"/>
    </row>
    <row r="14149" s="93" customFormat="1" spans="3:13">
      <c r="C14149" s="94"/>
      <c r="E14149" s="94"/>
      <c r="G14149" s="94"/>
      <c r="I14149" s="94"/>
      <c r="K14149" s="94"/>
      <c r="M14149" s="94"/>
    </row>
    <row r="14150" s="93" customFormat="1" spans="3:13">
      <c r="C14150" s="94"/>
      <c r="E14150" s="94"/>
      <c r="G14150" s="94"/>
      <c r="I14150" s="94"/>
      <c r="K14150" s="94"/>
      <c r="M14150" s="94"/>
    </row>
    <row r="14151" s="93" customFormat="1" spans="3:13">
      <c r="C14151" s="94"/>
      <c r="E14151" s="94"/>
      <c r="G14151" s="94"/>
      <c r="I14151" s="94"/>
      <c r="K14151" s="94"/>
      <c r="M14151" s="94"/>
    </row>
    <row r="14152" s="93" customFormat="1" spans="3:13">
      <c r="C14152" s="94"/>
      <c r="E14152" s="94"/>
      <c r="G14152" s="94"/>
      <c r="I14152" s="94"/>
      <c r="K14152" s="94"/>
      <c r="M14152" s="94"/>
    </row>
    <row r="14153" s="93" customFormat="1" spans="3:13">
      <c r="C14153" s="94"/>
      <c r="E14153" s="94"/>
      <c r="G14153" s="94"/>
      <c r="I14153" s="94"/>
      <c r="K14153" s="94"/>
      <c r="M14153" s="94"/>
    </row>
    <row r="14154" s="93" customFormat="1" spans="3:13">
      <c r="C14154" s="94"/>
      <c r="E14154" s="94"/>
      <c r="G14154" s="94"/>
      <c r="I14154" s="94"/>
      <c r="K14154" s="94"/>
      <c r="M14154" s="94"/>
    </row>
    <row r="14155" s="93" customFormat="1" spans="3:13">
      <c r="C14155" s="94"/>
      <c r="E14155" s="94"/>
      <c r="G14155" s="94"/>
      <c r="I14155" s="94"/>
      <c r="K14155" s="94"/>
      <c r="M14155" s="94"/>
    </row>
    <row r="14156" s="93" customFormat="1" spans="3:13">
      <c r="C14156" s="94"/>
      <c r="E14156" s="94"/>
      <c r="G14156" s="94"/>
      <c r="I14156" s="94"/>
      <c r="K14156" s="94"/>
      <c r="M14156" s="94"/>
    </row>
    <row r="14157" s="93" customFormat="1" spans="3:13">
      <c r="C14157" s="94"/>
      <c r="E14157" s="94"/>
      <c r="G14157" s="94"/>
      <c r="I14157" s="94"/>
      <c r="K14157" s="94"/>
      <c r="M14157" s="94"/>
    </row>
    <row r="14158" s="93" customFormat="1" spans="3:13">
      <c r="C14158" s="94"/>
      <c r="E14158" s="94"/>
      <c r="G14158" s="94"/>
      <c r="I14158" s="94"/>
      <c r="K14158" s="94"/>
      <c r="M14158" s="94"/>
    </row>
    <row r="14159" s="93" customFormat="1" spans="3:13">
      <c r="C14159" s="94"/>
      <c r="E14159" s="94"/>
      <c r="G14159" s="94"/>
      <c r="I14159" s="94"/>
      <c r="K14159" s="94"/>
      <c r="M14159" s="94"/>
    </row>
    <row r="14160" s="93" customFormat="1" spans="3:13">
      <c r="C14160" s="94"/>
      <c r="E14160" s="94"/>
      <c r="G14160" s="94"/>
      <c r="I14160" s="94"/>
      <c r="K14160" s="94"/>
      <c r="M14160" s="94"/>
    </row>
    <row r="14161" s="93" customFormat="1" spans="3:13">
      <c r="C14161" s="94"/>
      <c r="E14161" s="94"/>
      <c r="G14161" s="94"/>
      <c r="I14161" s="94"/>
      <c r="K14161" s="94"/>
      <c r="M14161" s="94"/>
    </row>
    <row r="14162" s="93" customFormat="1" spans="3:13">
      <c r="C14162" s="94"/>
      <c r="E14162" s="94"/>
      <c r="G14162" s="94"/>
      <c r="I14162" s="94"/>
      <c r="K14162" s="94"/>
      <c r="M14162" s="94"/>
    </row>
    <row r="14163" s="93" customFormat="1" spans="3:13">
      <c r="C14163" s="94"/>
      <c r="E14163" s="94"/>
      <c r="G14163" s="94"/>
      <c r="I14163" s="94"/>
      <c r="K14163" s="94"/>
      <c r="M14163" s="94"/>
    </row>
    <row r="14164" s="93" customFormat="1" spans="3:13">
      <c r="C14164" s="94"/>
      <c r="E14164" s="94"/>
      <c r="G14164" s="94"/>
      <c r="I14164" s="94"/>
      <c r="K14164" s="94"/>
      <c r="M14164" s="94"/>
    </row>
    <row r="14165" s="93" customFormat="1" spans="3:13">
      <c r="C14165" s="94"/>
      <c r="E14165" s="94"/>
      <c r="G14165" s="94"/>
      <c r="I14165" s="94"/>
      <c r="K14165" s="94"/>
      <c r="M14165" s="94"/>
    </row>
    <row r="14166" s="93" customFormat="1" spans="3:13">
      <c r="C14166" s="94"/>
      <c r="E14166" s="94"/>
      <c r="G14166" s="94"/>
      <c r="I14166" s="94"/>
      <c r="K14166" s="94"/>
      <c r="M14166" s="94"/>
    </row>
    <row r="14167" s="93" customFormat="1" spans="3:13">
      <c r="C14167" s="94"/>
      <c r="E14167" s="94"/>
      <c r="G14167" s="94"/>
      <c r="I14167" s="94"/>
      <c r="K14167" s="94"/>
      <c r="M14167" s="94"/>
    </row>
    <row r="14168" s="93" customFormat="1" spans="3:13">
      <c r="C14168" s="94"/>
      <c r="E14168" s="94"/>
      <c r="G14168" s="94"/>
      <c r="I14168" s="94"/>
      <c r="K14168" s="94"/>
      <c r="M14168" s="94"/>
    </row>
    <row r="14169" s="93" customFormat="1" spans="3:13">
      <c r="C14169" s="94"/>
      <c r="E14169" s="94"/>
      <c r="G14169" s="94"/>
      <c r="I14169" s="94"/>
      <c r="K14169" s="94"/>
      <c r="M14169" s="94"/>
    </row>
    <row r="14170" s="93" customFormat="1" spans="3:13">
      <c r="C14170" s="94"/>
      <c r="E14170" s="94"/>
      <c r="G14170" s="94"/>
      <c r="I14170" s="94"/>
      <c r="K14170" s="94"/>
      <c r="M14170" s="94"/>
    </row>
    <row r="14171" s="93" customFormat="1" spans="3:13">
      <c r="C14171" s="94"/>
      <c r="E14171" s="94"/>
      <c r="G14171" s="94"/>
      <c r="I14171" s="94"/>
      <c r="K14171" s="94"/>
      <c r="M14171" s="94"/>
    </row>
    <row r="14172" s="93" customFormat="1" spans="3:13">
      <c r="C14172" s="94"/>
      <c r="E14172" s="94"/>
      <c r="G14172" s="94"/>
      <c r="I14172" s="94"/>
      <c r="K14172" s="94"/>
      <c r="M14172" s="94"/>
    </row>
    <row r="14173" s="93" customFormat="1" spans="3:13">
      <c r="C14173" s="94"/>
      <c r="E14173" s="94"/>
      <c r="G14173" s="94"/>
      <c r="I14173" s="94"/>
      <c r="K14173" s="94"/>
      <c r="M14173" s="94"/>
    </row>
    <row r="14174" s="93" customFormat="1" spans="3:13">
      <c r="C14174" s="94"/>
      <c r="E14174" s="94"/>
      <c r="G14174" s="94"/>
      <c r="I14174" s="94"/>
      <c r="K14174" s="94"/>
      <c r="M14174" s="94"/>
    </row>
    <row r="14175" s="93" customFormat="1" spans="3:13">
      <c r="C14175" s="94"/>
      <c r="E14175" s="94"/>
      <c r="G14175" s="94"/>
      <c r="I14175" s="94"/>
      <c r="K14175" s="94"/>
      <c r="M14175" s="94"/>
    </row>
    <row r="14176" s="93" customFormat="1" spans="3:13">
      <c r="C14176" s="94"/>
      <c r="E14176" s="94"/>
      <c r="G14176" s="94"/>
      <c r="I14176" s="94"/>
      <c r="K14176" s="94"/>
      <c r="M14176" s="94"/>
    </row>
    <row r="14177" s="93" customFormat="1" spans="3:13">
      <c r="C14177" s="94"/>
      <c r="E14177" s="94"/>
      <c r="G14177" s="94"/>
      <c r="I14177" s="94"/>
      <c r="K14177" s="94"/>
      <c r="M14177" s="94"/>
    </row>
    <row r="14178" s="93" customFormat="1" spans="3:13">
      <c r="C14178" s="94"/>
      <c r="E14178" s="94"/>
      <c r="G14178" s="94"/>
      <c r="I14178" s="94"/>
      <c r="K14178" s="94"/>
      <c r="M14178" s="94"/>
    </row>
    <row r="14179" s="93" customFormat="1" spans="3:13">
      <c r="C14179" s="94"/>
      <c r="E14179" s="94"/>
      <c r="G14179" s="94"/>
      <c r="I14179" s="94"/>
      <c r="K14179" s="94"/>
      <c r="M14179" s="94"/>
    </row>
    <row r="14180" s="93" customFormat="1" spans="3:13">
      <c r="C14180" s="94"/>
      <c r="E14180" s="94"/>
      <c r="G14180" s="94"/>
      <c r="I14180" s="94"/>
      <c r="K14180" s="94"/>
      <c r="M14180" s="94"/>
    </row>
    <row r="14181" s="93" customFormat="1" spans="3:13">
      <c r="C14181" s="94"/>
      <c r="E14181" s="94"/>
      <c r="G14181" s="94"/>
      <c r="I14181" s="94"/>
      <c r="K14181" s="94"/>
      <c r="M14181" s="94"/>
    </row>
    <row r="14182" s="93" customFormat="1" spans="3:13">
      <c r="C14182" s="94"/>
      <c r="E14182" s="94"/>
      <c r="G14182" s="94"/>
      <c r="I14182" s="94"/>
      <c r="K14182" s="94"/>
      <c r="M14182" s="94"/>
    </row>
    <row r="14183" s="93" customFormat="1" spans="3:13">
      <c r="C14183" s="94"/>
      <c r="E14183" s="94"/>
      <c r="G14183" s="94"/>
      <c r="I14183" s="94"/>
      <c r="K14183" s="94"/>
      <c r="M14183" s="94"/>
    </row>
    <row r="14184" s="93" customFormat="1" spans="3:13">
      <c r="C14184" s="94"/>
      <c r="E14184" s="94"/>
      <c r="G14184" s="94"/>
      <c r="I14184" s="94"/>
      <c r="K14184" s="94"/>
      <c r="M14184" s="94"/>
    </row>
    <row r="14185" s="93" customFormat="1" spans="3:13">
      <c r="C14185" s="94"/>
      <c r="E14185" s="94"/>
      <c r="G14185" s="94"/>
      <c r="I14185" s="94"/>
      <c r="K14185" s="94"/>
      <c r="M14185" s="94"/>
    </row>
    <row r="14186" s="93" customFormat="1" spans="3:13">
      <c r="C14186" s="94"/>
      <c r="E14186" s="94"/>
      <c r="G14186" s="94"/>
      <c r="I14186" s="94"/>
      <c r="K14186" s="94"/>
      <c r="M14186" s="94"/>
    </row>
    <row r="14187" s="93" customFormat="1" spans="3:13">
      <c r="C14187" s="94"/>
      <c r="E14187" s="94"/>
      <c r="G14187" s="94"/>
      <c r="I14187" s="94"/>
      <c r="K14187" s="94"/>
      <c r="M14187" s="94"/>
    </row>
    <row r="14188" s="93" customFormat="1" spans="3:13">
      <c r="C14188" s="94"/>
      <c r="E14188" s="94"/>
      <c r="G14188" s="94"/>
      <c r="I14188" s="94"/>
      <c r="K14188" s="94"/>
      <c r="M14188" s="94"/>
    </row>
    <row r="14189" s="93" customFormat="1" spans="3:13">
      <c r="C14189" s="94"/>
      <c r="E14189" s="94"/>
      <c r="G14189" s="94"/>
      <c r="I14189" s="94"/>
      <c r="K14189" s="94"/>
      <c r="M14189" s="94"/>
    </row>
    <row r="14190" s="93" customFormat="1" spans="3:13">
      <c r="C14190" s="94"/>
      <c r="E14190" s="94"/>
      <c r="G14190" s="94"/>
      <c r="I14190" s="94"/>
      <c r="K14190" s="94"/>
      <c r="M14190" s="94"/>
    </row>
    <row r="14191" s="93" customFormat="1" spans="3:13">
      <c r="C14191" s="94"/>
      <c r="E14191" s="94"/>
      <c r="G14191" s="94"/>
      <c r="I14191" s="94"/>
      <c r="K14191" s="94"/>
      <c r="M14191" s="94"/>
    </row>
    <row r="14192" s="93" customFormat="1" spans="3:13">
      <c r="C14192" s="94"/>
      <c r="E14192" s="94"/>
      <c r="G14192" s="94"/>
      <c r="I14192" s="94"/>
      <c r="K14192" s="94"/>
      <c r="M14192" s="94"/>
    </row>
    <row r="14193" s="93" customFormat="1" spans="3:13">
      <c r="C14193" s="94"/>
      <c r="E14193" s="94"/>
      <c r="G14193" s="94"/>
      <c r="I14193" s="94"/>
      <c r="K14193" s="94"/>
      <c r="M14193" s="94"/>
    </row>
    <row r="14194" s="93" customFormat="1" spans="3:13">
      <c r="C14194" s="94"/>
      <c r="E14194" s="94"/>
      <c r="G14194" s="94"/>
      <c r="I14194" s="94"/>
      <c r="K14194" s="94"/>
      <c r="M14194" s="94"/>
    </row>
    <row r="14195" s="93" customFormat="1" spans="3:13">
      <c r="C14195" s="94"/>
      <c r="E14195" s="94"/>
      <c r="G14195" s="94"/>
      <c r="I14195" s="94"/>
      <c r="K14195" s="94"/>
      <c r="M14195" s="94"/>
    </row>
    <row r="14196" s="93" customFormat="1" spans="3:13">
      <c r="C14196" s="94"/>
      <c r="E14196" s="94"/>
      <c r="G14196" s="94"/>
      <c r="I14196" s="94"/>
      <c r="K14196" s="94"/>
      <c r="M14196" s="94"/>
    </row>
    <row r="14197" s="93" customFormat="1" spans="3:13">
      <c r="C14197" s="94"/>
      <c r="E14197" s="94"/>
      <c r="G14197" s="94"/>
      <c r="I14197" s="94"/>
      <c r="K14197" s="94"/>
      <c r="M14197" s="94"/>
    </row>
    <row r="14198" s="93" customFormat="1" spans="3:13">
      <c r="C14198" s="94"/>
      <c r="E14198" s="94"/>
      <c r="G14198" s="94"/>
      <c r="I14198" s="94"/>
      <c r="K14198" s="94"/>
      <c r="M14198" s="94"/>
    </row>
    <row r="14199" s="93" customFormat="1" spans="3:13">
      <c r="C14199" s="94"/>
      <c r="E14199" s="94"/>
      <c r="G14199" s="94"/>
      <c r="I14199" s="94"/>
      <c r="K14199" s="94"/>
      <c r="M14199" s="94"/>
    </row>
    <row r="14200" s="93" customFormat="1" spans="3:13">
      <c r="C14200" s="94"/>
      <c r="E14200" s="94"/>
      <c r="G14200" s="94"/>
      <c r="I14200" s="94"/>
      <c r="K14200" s="94"/>
      <c r="M14200" s="94"/>
    </row>
    <row r="14201" s="93" customFormat="1" spans="3:13">
      <c r="C14201" s="94"/>
      <c r="E14201" s="94"/>
      <c r="G14201" s="94"/>
      <c r="I14201" s="94"/>
      <c r="K14201" s="94"/>
      <c r="M14201" s="94"/>
    </row>
    <row r="14202" s="93" customFormat="1" spans="3:13">
      <c r="C14202" s="94"/>
      <c r="E14202" s="94"/>
      <c r="G14202" s="94"/>
      <c r="I14202" s="94"/>
      <c r="K14202" s="94"/>
      <c r="M14202" s="94"/>
    </row>
    <row r="14203" s="93" customFormat="1" spans="3:13">
      <c r="C14203" s="94"/>
      <c r="E14203" s="94"/>
      <c r="G14203" s="94"/>
      <c r="I14203" s="94"/>
      <c r="K14203" s="94"/>
      <c r="M14203" s="94"/>
    </row>
    <row r="14204" s="93" customFormat="1" spans="3:13">
      <c r="C14204" s="94"/>
      <c r="E14204" s="94"/>
      <c r="G14204" s="94"/>
      <c r="I14204" s="94"/>
      <c r="K14204" s="94"/>
      <c r="M14204" s="94"/>
    </row>
    <row r="14205" s="93" customFormat="1" spans="3:13">
      <c r="C14205" s="94"/>
      <c r="E14205" s="94"/>
      <c r="G14205" s="94"/>
      <c r="I14205" s="94"/>
      <c r="K14205" s="94"/>
      <c r="M14205" s="94"/>
    </row>
    <row r="14206" s="93" customFormat="1" spans="3:13">
      <c r="C14206" s="94"/>
      <c r="E14206" s="94"/>
      <c r="G14206" s="94"/>
      <c r="I14206" s="94"/>
      <c r="K14206" s="94"/>
      <c r="M14206" s="94"/>
    </row>
    <row r="14207" s="93" customFormat="1" spans="3:13">
      <c r="C14207" s="94"/>
      <c r="E14207" s="94"/>
      <c r="G14207" s="94"/>
      <c r="I14207" s="94"/>
      <c r="K14207" s="94"/>
      <c r="M14207" s="94"/>
    </row>
    <row r="14208" s="93" customFormat="1" spans="3:13">
      <c r="C14208" s="94"/>
      <c r="E14208" s="94"/>
      <c r="G14208" s="94"/>
      <c r="I14208" s="94"/>
      <c r="K14208" s="94"/>
      <c r="M14208" s="94"/>
    </row>
    <row r="14209" s="93" customFormat="1" spans="3:13">
      <c r="C14209" s="94"/>
      <c r="E14209" s="94"/>
      <c r="G14209" s="94"/>
      <c r="I14209" s="94"/>
      <c r="K14209" s="94"/>
      <c r="M14209" s="94"/>
    </row>
    <row r="14210" s="93" customFormat="1" spans="3:13">
      <c r="C14210" s="94"/>
      <c r="E14210" s="94"/>
      <c r="G14210" s="94"/>
      <c r="I14210" s="94"/>
      <c r="K14210" s="94"/>
      <c r="M14210" s="94"/>
    </row>
    <row r="14211" s="93" customFormat="1" spans="3:13">
      <c r="C14211" s="94"/>
      <c r="E14211" s="94"/>
      <c r="G14211" s="94"/>
      <c r="I14211" s="94"/>
      <c r="K14211" s="94"/>
      <c r="M14211" s="94"/>
    </row>
    <row r="14212" s="93" customFormat="1" spans="3:13">
      <c r="C14212" s="94"/>
      <c r="E14212" s="94"/>
      <c r="G14212" s="94"/>
      <c r="I14212" s="94"/>
      <c r="K14212" s="94"/>
      <c r="M14212" s="94"/>
    </row>
    <row r="14213" s="93" customFormat="1" spans="3:13">
      <c r="C14213" s="94"/>
      <c r="E14213" s="94"/>
      <c r="G14213" s="94"/>
      <c r="I14213" s="94"/>
      <c r="K14213" s="94"/>
      <c r="M14213" s="94"/>
    </row>
    <row r="14214" s="93" customFormat="1" spans="3:13">
      <c r="C14214" s="94"/>
      <c r="E14214" s="94"/>
      <c r="G14214" s="94"/>
      <c r="I14214" s="94"/>
      <c r="K14214" s="94"/>
      <c r="M14214" s="94"/>
    </row>
    <row r="14215" s="93" customFormat="1" spans="3:13">
      <c r="C14215" s="94"/>
      <c r="E14215" s="94"/>
      <c r="G14215" s="94"/>
      <c r="I14215" s="94"/>
      <c r="K14215" s="94"/>
      <c r="M14215" s="94"/>
    </row>
    <row r="14216" s="93" customFormat="1" spans="3:13">
      <c r="C14216" s="94"/>
      <c r="E14216" s="94"/>
      <c r="G14216" s="94"/>
      <c r="I14216" s="94"/>
      <c r="K14216" s="94"/>
      <c r="M14216" s="94"/>
    </row>
    <row r="14217" s="93" customFormat="1" spans="3:13">
      <c r="C14217" s="94"/>
      <c r="E14217" s="94"/>
      <c r="G14217" s="94"/>
      <c r="I14217" s="94"/>
      <c r="K14217" s="94"/>
      <c r="M14217" s="94"/>
    </row>
    <row r="14218" s="93" customFormat="1" spans="3:13">
      <c r="C14218" s="94"/>
      <c r="E14218" s="94"/>
      <c r="G14218" s="94"/>
      <c r="I14218" s="94"/>
      <c r="K14218" s="94"/>
      <c r="M14218" s="94"/>
    </row>
    <row r="14219" s="93" customFormat="1" spans="3:13">
      <c r="C14219" s="94"/>
      <c r="E14219" s="94"/>
      <c r="G14219" s="94"/>
      <c r="I14219" s="94"/>
      <c r="K14219" s="94"/>
      <c r="M14219" s="94"/>
    </row>
    <row r="14220" s="93" customFormat="1" spans="3:13">
      <c r="C14220" s="94"/>
      <c r="E14220" s="94"/>
      <c r="G14220" s="94"/>
      <c r="I14220" s="94"/>
      <c r="K14220" s="94"/>
      <c r="M14220" s="94"/>
    </row>
    <row r="14221" s="93" customFormat="1" spans="3:13">
      <c r="C14221" s="94"/>
      <c r="E14221" s="94"/>
      <c r="G14221" s="94"/>
      <c r="I14221" s="94"/>
      <c r="K14221" s="94"/>
      <c r="M14221" s="94"/>
    </row>
    <row r="14222" s="93" customFormat="1" spans="3:13">
      <c r="C14222" s="94"/>
      <c r="E14222" s="94"/>
      <c r="G14222" s="94"/>
      <c r="I14222" s="94"/>
      <c r="K14222" s="94"/>
      <c r="M14222" s="94"/>
    </row>
    <row r="14223" s="93" customFormat="1" spans="3:13">
      <c r="C14223" s="94"/>
      <c r="E14223" s="94"/>
      <c r="G14223" s="94"/>
      <c r="I14223" s="94"/>
      <c r="K14223" s="94"/>
      <c r="M14223" s="94"/>
    </row>
    <row r="14224" s="93" customFormat="1" spans="3:13">
      <c r="C14224" s="94"/>
      <c r="E14224" s="94"/>
      <c r="G14224" s="94"/>
      <c r="I14224" s="94"/>
      <c r="K14224" s="94"/>
      <c r="M14224" s="94"/>
    </row>
    <row r="14225" s="93" customFormat="1" spans="3:13">
      <c r="C14225" s="94"/>
      <c r="E14225" s="94"/>
      <c r="G14225" s="94"/>
      <c r="I14225" s="94"/>
      <c r="K14225" s="94"/>
      <c r="M14225" s="94"/>
    </row>
    <row r="14226" s="93" customFormat="1" spans="3:13">
      <c r="C14226" s="94"/>
      <c r="E14226" s="94"/>
      <c r="G14226" s="94"/>
      <c r="I14226" s="94"/>
      <c r="K14226" s="94"/>
      <c r="M14226" s="94"/>
    </row>
    <row r="14227" s="93" customFormat="1" spans="3:13">
      <c r="C14227" s="94"/>
      <c r="E14227" s="94"/>
      <c r="G14227" s="94"/>
      <c r="I14227" s="94"/>
      <c r="K14227" s="94"/>
      <c r="M14227" s="94"/>
    </row>
    <row r="14228" s="93" customFormat="1" spans="3:13">
      <c r="C14228" s="94"/>
      <c r="E14228" s="94"/>
      <c r="G14228" s="94"/>
      <c r="I14228" s="94"/>
      <c r="K14228" s="94"/>
      <c r="M14228" s="94"/>
    </row>
    <row r="14229" s="93" customFormat="1" spans="3:13">
      <c r="C14229" s="94"/>
      <c r="E14229" s="94"/>
      <c r="G14229" s="94"/>
      <c r="I14229" s="94"/>
      <c r="K14229" s="94"/>
      <c r="M14229" s="94"/>
    </row>
    <row r="14230" s="93" customFormat="1" spans="3:13">
      <c r="C14230" s="94"/>
      <c r="E14230" s="94"/>
      <c r="G14230" s="94"/>
      <c r="I14230" s="94"/>
      <c r="K14230" s="94"/>
      <c r="M14230" s="94"/>
    </row>
    <row r="14231" s="93" customFormat="1" spans="3:13">
      <c r="C14231" s="94"/>
      <c r="E14231" s="94"/>
      <c r="G14231" s="94"/>
      <c r="I14231" s="94"/>
      <c r="K14231" s="94"/>
      <c r="M14231" s="94"/>
    </row>
    <row r="14232" s="93" customFormat="1" spans="3:13">
      <c r="C14232" s="94"/>
      <c r="E14232" s="94"/>
      <c r="G14232" s="94"/>
      <c r="I14232" s="94"/>
      <c r="K14232" s="94"/>
      <c r="M14232" s="94"/>
    </row>
    <row r="14233" s="93" customFormat="1" spans="3:13">
      <c r="C14233" s="94"/>
      <c r="E14233" s="94"/>
      <c r="G14233" s="94"/>
      <c r="I14233" s="94"/>
      <c r="K14233" s="94"/>
      <c r="M14233" s="94"/>
    </row>
    <row r="14234" s="93" customFormat="1" spans="3:13">
      <c r="C14234" s="94"/>
      <c r="E14234" s="94"/>
      <c r="G14234" s="94"/>
      <c r="I14234" s="94"/>
      <c r="K14234" s="94"/>
      <c r="M14234" s="94"/>
    </row>
    <row r="14235" s="93" customFormat="1" spans="3:13">
      <c r="C14235" s="94"/>
      <c r="E14235" s="94"/>
      <c r="G14235" s="94"/>
      <c r="I14235" s="94"/>
      <c r="K14235" s="94"/>
      <c r="M14235" s="94"/>
    </row>
    <row r="14236" s="93" customFormat="1" spans="3:13">
      <c r="C14236" s="94"/>
      <c r="E14236" s="94"/>
      <c r="G14236" s="94"/>
      <c r="I14236" s="94"/>
      <c r="K14236" s="94"/>
      <c r="M14236" s="94"/>
    </row>
    <row r="14237" s="93" customFormat="1" spans="3:13">
      <c r="C14237" s="94"/>
      <c r="E14237" s="94"/>
      <c r="G14237" s="94"/>
      <c r="I14237" s="94"/>
      <c r="K14237" s="94"/>
      <c r="M14237" s="94"/>
    </row>
    <row r="14238" s="93" customFormat="1" spans="3:13">
      <c r="C14238" s="94"/>
      <c r="E14238" s="94"/>
      <c r="G14238" s="94"/>
      <c r="I14238" s="94"/>
      <c r="K14238" s="94"/>
      <c r="M14238" s="94"/>
    </row>
    <row r="14239" s="93" customFormat="1" spans="3:13">
      <c r="C14239" s="94"/>
      <c r="E14239" s="94"/>
      <c r="G14239" s="94"/>
      <c r="I14239" s="94"/>
      <c r="K14239" s="94"/>
      <c r="M14239" s="94"/>
    </row>
    <row r="14240" s="93" customFormat="1" spans="3:13">
      <c r="C14240" s="94"/>
      <c r="E14240" s="94"/>
      <c r="G14240" s="94"/>
      <c r="I14240" s="94"/>
      <c r="K14240" s="94"/>
      <c r="M14240" s="94"/>
    </row>
    <row r="14241" s="93" customFormat="1" spans="3:13">
      <c r="C14241" s="94"/>
      <c r="E14241" s="94"/>
      <c r="G14241" s="94"/>
      <c r="I14241" s="94"/>
      <c r="K14241" s="94"/>
      <c r="M14241" s="94"/>
    </row>
    <row r="14242" s="93" customFormat="1" spans="3:13">
      <c r="C14242" s="94"/>
      <c r="E14242" s="94"/>
      <c r="G14242" s="94"/>
      <c r="I14242" s="94"/>
      <c r="K14242" s="94"/>
      <c r="M14242" s="94"/>
    </row>
    <row r="14243" s="93" customFormat="1" spans="3:13">
      <c r="C14243" s="94"/>
      <c r="E14243" s="94"/>
      <c r="G14243" s="94"/>
      <c r="I14243" s="94"/>
      <c r="K14243" s="94"/>
      <c r="M14243" s="94"/>
    </row>
    <row r="14244" s="93" customFormat="1" spans="3:13">
      <c r="C14244" s="94"/>
      <c r="E14244" s="94"/>
      <c r="G14244" s="94"/>
      <c r="I14244" s="94"/>
      <c r="K14244" s="94"/>
      <c r="M14244" s="94"/>
    </row>
    <row r="14245" s="93" customFormat="1" spans="3:13">
      <c r="C14245" s="94"/>
      <c r="E14245" s="94"/>
      <c r="G14245" s="94"/>
      <c r="I14245" s="94"/>
      <c r="K14245" s="94"/>
      <c r="M14245" s="94"/>
    </row>
    <row r="14246" s="93" customFormat="1" spans="3:13">
      <c r="C14246" s="94"/>
      <c r="E14246" s="94"/>
      <c r="G14246" s="94"/>
      <c r="I14246" s="94"/>
      <c r="K14246" s="94"/>
      <c r="M14246" s="94"/>
    </row>
    <row r="14247" s="93" customFormat="1" spans="3:13">
      <c r="C14247" s="94"/>
      <c r="E14247" s="94"/>
      <c r="G14247" s="94"/>
      <c r="I14247" s="94"/>
      <c r="K14247" s="94"/>
      <c r="M14247" s="94"/>
    </row>
    <row r="14248" s="93" customFormat="1" spans="3:13">
      <c r="C14248" s="94"/>
      <c r="E14248" s="94"/>
      <c r="G14248" s="94"/>
      <c r="I14248" s="94"/>
      <c r="K14248" s="94"/>
      <c r="M14248" s="94"/>
    </row>
    <row r="14249" s="93" customFormat="1" spans="3:13">
      <c r="C14249" s="94"/>
      <c r="E14249" s="94"/>
      <c r="G14249" s="94"/>
      <c r="I14249" s="94"/>
      <c r="K14249" s="94"/>
      <c r="M14249" s="94"/>
    </row>
    <row r="14250" s="93" customFormat="1" spans="3:13">
      <c r="C14250" s="94"/>
      <c r="E14250" s="94"/>
      <c r="G14250" s="94"/>
      <c r="I14250" s="94"/>
      <c r="K14250" s="94"/>
      <c r="M14250" s="94"/>
    </row>
    <row r="14251" s="93" customFormat="1" spans="3:13">
      <c r="C14251" s="94"/>
      <c r="E14251" s="94"/>
      <c r="G14251" s="94"/>
      <c r="I14251" s="94"/>
      <c r="K14251" s="94"/>
      <c r="M14251" s="94"/>
    </row>
    <row r="14252" s="93" customFormat="1" spans="3:13">
      <c r="C14252" s="94"/>
      <c r="E14252" s="94"/>
      <c r="G14252" s="94"/>
      <c r="I14252" s="94"/>
      <c r="K14252" s="94"/>
      <c r="M14252" s="94"/>
    </row>
    <row r="14253" s="93" customFormat="1" spans="3:13">
      <c r="C14253" s="94"/>
      <c r="E14253" s="94"/>
      <c r="G14253" s="94"/>
      <c r="I14253" s="94"/>
      <c r="K14253" s="94"/>
      <c r="M14253" s="94"/>
    </row>
    <row r="14254" s="93" customFormat="1" spans="3:13">
      <c r="C14254" s="94"/>
      <c r="E14254" s="94"/>
      <c r="G14254" s="94"/>
      <c r="I14254" s="94"/>
      <c r="K14254" s="94"/>
      <c r="M14254" s="94"/>
    </row>
    <row r="14255" s="93" customFormat="1" spans="3:13">
      <c r="C14255" s="94"/>
      <c r="E14255" s="94"/>
      <c r="G14255" s="94"/>
      <c r="I14255" s="94"/>
      <c r="K14255" s="94"/>
      <c r="M14255" s="94"/>
    </row>
    <row r="14256" s="93" customFormat="1" spans="3:13">
      <c r="C14256" s="94"/>
      <c r="E14256" s="94"/>
      <c r="G14256" s="94"/>
      <c r="I14256" s="94"/>
      <c r="K14256" s="94"/>
      <c r="M14256" s="94"/>
    </row>
    <row r="14257" s="93" customFormat="1" spans="3:13">
      <c r="C14257" s="94"/>
      <c r="E14257" s="94"/>
      <c r="G14257" s="94"/>
      <c r="I14257" s="94"/>
      <c r="K14257" s="94"/>
      <c r="M14257" s="94"/>
    </row>
    <row r="14258" s="93" customFormat="1" spans="3:13">
      <c r="C14258" s="94"/>
      <c r="E14258" s="94"/>
      <c r="G14258" s="94"/>
      <c r="I14258" s="94"/>
      <c r="K14258" s="94"/>
      <c r="M14258" s="94"/>
    </row>
    <row r="14259" s="93" customFormat="1" spans="3:13">
      <c r="C14259" s="94"/>
      <c r="E14259" s="94"/>
      <c r="G14259" s="94"/>
      <c r="I14259" s="94"/>
      <c r="K14259" s="94"/>
      <c r="M14259" s="94"/>
    </row>
    <row r="14260" s="93" customFormat="1" spans="3:13">
      <c r="C14260" s="94"/>
      <c r="E14260" s="94"/>
      <c r="G14260" s="94"/>
      <c r="I14260" s="94"/>
      <c r="K14260" s="94"/>
      <c r="M14260" s="94"/>
    </row>
    <row r="14261" s="93" customFormat="1" spans="3:13">
      <c r="C14261" s="94"/>
      <c r="E14261" s="94"/>
      <c r="G14261" s="94"/>
      <c r="I14261" s="94"/>
      <c r="K14261" s="94"/>
      <c r="M14261" s="94"/>
    </row>
    <row r="14262" s="93" customFormat="1" spans="3:13">
      <c r="C14262" s="94"/>
      <c r="E14262" s="94"/>
      <c r="G14262" s="94"/>
      <c r="I14262" s="94"/>
      <c r="K14262" s="94"/>
      <c r="M14262" s="94"/>
    </row>
    <row r="14263" s="93" customFormat="1" spans="3:13">
      <c r="C14263" s="94"/>
      <c r="E14263" s="94"/>
      <c r="G14263" s="94"/>
      <c r="I14263" s="94"/>
      <c r="K14263" s="94"/>
      <c r="M14263" s="94"/>
    </row>
    <row r="14264" s="93" customFormat="1" spans="3:13">
      <c r="C14264" s="94"/>
      <c r="E14264" s="94"/>
      <c r="G14264" s="94"/>
      <c r="I14264" s="94"/>
      <c r="K14264" s="94"/>
      <c r="M14264" s="94"/>
    </row>
    <row r="14265" s="93" customFormat="1" spans="3:13">
      <c r="C14265" s="94"/>
      <c r="E14265" s="94"/>
      <c r="G14265" s="94"/>
      <c r="I14265" s="94"/>
      <c r="K14265" s="94"/>
      <c r="M14265" s="94"/>
    </row>
    <row r="14266" s="93" customFormat="1" spans="3:13">
      <c r="C14266" s="94"/>
      <c r="E14266" s="94"/>
      <c r="G14266" s="94"/>
      <c r="I14266" s="94"/>
      <c r="K14266" s="94"/>
      <c r="M14266" s="94"/>
    </row>
    <row r="14267" s="93" customFormat="1" spans="3:13">
      <c r="C14267" s="94"/>
      <c r="E14267" s="94"/>
      <c r="G14267" s="94"/>
      <c r="I14267" s="94"/>
      <c r="K14267" s="94"/>
      <c r="M14267" s="94"/>
    </row>
    <row r="14268" s="93" customFormat="1" spans="3:13">
      <c r="C14268" s="94"/>
      <c r="E14268" s="94"/>
      <c r="G14268" s="94"/>
      <c r="I14268" s="94"/>
      <c r="K14268" s="94"/>
      <c r="M14268" s="94"/>
    </row>
    <row r="14269" s="93" customFormat="1" spans="3:13">
      <c r="C14269" s="94"/>
      <c r="E14269" s="94"/>
      <c r="G14269" s="94"/>
      <c r="I14269" s="94"/>
      <c r="K14269" s="94"/>
      <c r="M14269" s="94"/>
    </row>
    <row r="14270" s="93" customFormat="1" spans="3:13">
      <c r="C14270" s="94"/>
      <c r="E14270" s="94"/>
      <c r="G14270" s="94"/>
      <c r="I14270" s="94"/>
      <c r="K14270" s="94"/>
      <c r="M14270" s="94"/>
    </row>
    <row r="14271" s="93" customFormat="1" spans="3:13">
      <c r="C14271" s="94"/>
      <c r="E14271" s="94"/>
      <c r="G14271" s="94"/>
      <c r="I14271" s="94"/>
      <c r="K14271" s="94"/>
      <c r="M14271" s="94"/>
    </row>
    <row r="14272" s="93" customFormat="1" spans="3:13">
      <c r="C14272" s="94"/>
      <c r="E14272" s="94"/>
      <c r="G14272" s="94"/>
      <c r="I14272" s="94"/>
      <c r="K14272" s="94"/>
      <c r="M14272" s="94"/>
    </row>
    <row r="14273" s="93" customFormat="1" spans="3:13">
      <c r="C14273" s="94"/>
      <c r="E14273" s="94"/>
      <c r="G14273" s="94"/>
      <c r="I14273" s="94"/>
      <c r="K14273" s="94"/>
      <c r="M14273" s="94"/>
    </row>
    <row r="14274" s="93" customFormat="1" spans="3:13">
      <c r="C14274" s="94"/>
      <c r="E14274" s="94"/>
      <c r="G14274" s="94"/>
      <c r="I14274" s="94"/>
      <c r="K14274" s="94"/>
      <c r="M14274" s="94"/>
    </row>
    <row r="14275" s="93" customFormat="1" spans="3:13">
      <c r="C14275" s="94"/>
      <c r="E14275" s="94"/>
      <c r="G14275" s="94"/>
      <c r="I14275" s="94"/>
      <c r="K14275" s="94"/>
      <c r="M14275" s="94"/>
    </row>
    <row r="14276" s="93" customFormat="1" spans="3:13">
      <c r="C14276" s="94"/>
      <c r="E14276" s="94"/>
      <c r="G14276" s="94"/>
      <c r="I14276" s="94"/>
      <c r="K14276" s="94"/>
      <c r="M14276" s="94"/>
    </row>
    <row r="14277" s="93" customFormat="1" spans="3:13">
      <c r="C14277" s="94"/>
      <c r="E14277" s="94"/>
      <c r="G14277" s="94"/>
      <c r="I14277" s="94"/>
      <c r="K14277" s="94"/>
      <c r="M14277" s="94"/>
    </row>
    <row r="14278" s="93" customFormat="1" spans="3:13">
      <c r="C14278" s="94"/>
      <c r="E14278" s="94"/>
      <c r="G14278" s="94"/>
      <c r="I14278" s="94"/>
      <c r="K14278" s="94"/>
      <c r="M14278" s="94"/>
    </row>
    <row r="14279" s="93" customFormat="1" spans="3:13">
      <c r="C14279" s="94"/>
      <c r="E14279" s="94"/>
      <c r="G14279" s="94"/>
      <c r="I14279" s="94"/>
      <c r="K14279" s="94"/>
      <c r="M14279" s="94"/>
    </row>
    <row r="14280" s="93" customFormat="1" spans="3:13">
      <c r="C14280" s="94"/>
      <c r="E14280" s="94"/>
      <c r="G14280" s="94"/>
      <c r="I14280" s="94"/>
      <c r="K14280" s="94"/>
      <c r="M14280" s="94"/>
    </row>
    <row r="14281" s="93" customFormat="1" spans="3:13">
      <c r="C14281" s="94"/>
      <c r="E14281" s="94"/>
      <c r="G14281" s="94"/>
      <c r="I14281" s="94"/>
      <c r="K14281" s="94"/>
      <c r="M14281" s="94"/>
    </row>
    <row r="14282" s="93" customFormat="1" spans="3:13">
      <c r="C14282" s="94"/>
      <c r="E14282" s="94"/>
      <c r="G14282" s="94"/>
      <c r="I14282" s="94"/>
      <c r="K14282" s="94"/>
      <c r="M14282" s="94"/>
    </row>
    <row r="14283" s="93" customFormat="1" spans="3:13">
      <c r="C14283" s="94"/>
      <c r="E14283" s="94"/>
      <c r="G14283" s="94"/>
      <c r="I14283" s="94"/>
      <c r="K14283" s="94"/>
      <c r="M14283" s="94"/>
    </row>
    <row r="14284" s="93" customFormat="1" spans="3:13">
      <c r="C14284" s="94"/>
      <c r="E14284" s="94"/>
      <c r="G14284" s="94"/>
      <c r="I14284" s="94"/>
      <c r="K14284" s="94"/>
      <c r="M14284" s="94"/>
    </row>
    <row r="14285" s="93" customFormat="1" spans="3:13">
      <c r="C14285" s="94"/>
      <c r="E14285" s="94"/>
      <c r="G14285" s="94"/>
      <c r="I14285" s="94"/>
      <c r="K14285" s="94"/>
      <c r="M14285" s="94"/>
    </row>
    <row r="14286" s="93" customFormat="1" spans="3:13">
      <c r="C14286" s="94"/>
      <c r="E14286" s="94"/>
      <c r="G14286" s="94"/>
      <c r="I14286" s="94"/>
      <c r="K14286" s="94"/>
      <c r="M14286" s="94"/>
    </row>
    <row r="14287" s="93" customFormat="1" spans="3:13">
      <c r="C14287" s="94"/>
      <c r="E14287" s="94"/>
      <c r="G14287" s="94"/>
      <c r="I14287" s="94"/>
      <c r="K14287" s="94"/>
      <c r="M14287" s="94"/>
    </row>
    <row r="14288" s="93" customFormat="1" spans="3:13">
      <c r="C14288" s="94"/>
      <c r="E14288" s="94"/>
      <c r="G14288" s="94"/>
      <c r="I14288" s="94"/>
      <c r="K14288" s="94"/>
      <c r="M14288" s="94"/>
    </row>
    <row r="14289" s="93" customFormat="1" spans="3:13">
      <c r="C14289" s="94"/>
      <c r="E14289" s="94"/>
      <c r="G14289" s="94"/>
      <c r="I14289" s="94"/>
      <c r="K14289" s="94"/>
      <c r="M14289" s="94"/>
    </row>
    <row r="14290" s="93" customFormat="1" spans="3:13">
      <c r="C14290" s="94"/>
      <c r="E14290" s="94"/>
      <c r="G14290" s="94"/>
      <c r="I14290" s="94"/>
      <c r="K14290" s="94"/>
      <c r="M14290" s="94"/>
    </row>
    <row r="14291" s="93" customFormat="1" spans="3:13">
      <c r="C14291" s="94"/>
      <c r="E14291" s="94"/>
      <c r="G14291" s="94"/>
      <c r="I14291" s="94"/>
      <c r="K14291" s="94"/>
      <c r="M14291" s="94"/>
    </row>
    <row r="14292" s="93" customFormat="1" spans="3:13">
      <c r="C14292" s="94"/>
      <c r="E14292" s="94"/>
      <c r="G14292" s="94"/>
      <c r="I14292" s="94"/>
      <c r="K14292" s="94"/>
      <c r="M14292" s="94"/>
    </row>
    <row r="14293" s="93" customFormat="1" spans="3:13">
      <c r="C14293" s="94"/>
      <c r="E14293" s="94"/>
      <c r="G14293" s="94"/>
      <c r="I14293" s="94"/>
      <c r="K14293" s="94"/>
      <c r="M14293" s="94"/>
    </row>
    <row r="14294" s="93" customFormat="1" spans="3:13">
      <c r="C14294" s="94"/>
      <c r="E14294" s="94"/>
      <c r="G14294" s="94"/>
      <c r="I14294" s="94"/>
      <c r="K14294" s="94"/>
      <c r="M14294" s="94"/>
    </row>
    <row r="14295" s="93" customFormat="1" spans="3:13">
      <c r="C14295" s="94"/>
      <c r="E14295" s="94"/>
      <c r="G14295" s="94"/>
      <c r="I14295" s="94"/>
      <c r="K14295" s="94"/>
      <c r="M14295" s="94"/>
    </row>
    <row r="14296" s="93" customFormat="1" spans="3:13">
      <c r="C14296" s="94"/>
      <c r="E14296" s="94"/>
      <c r="G14296" s="94"/>
      <c r="I14296" s="94"/>
      <c r="K14296" s="94"/>
      <c r="M14296" s="94"/>
    </row>
    <row r="14297" s="93" customFormat="1" spans="3:13">
      <c r="C14297" s="94"/>
      <c r="E14297" s="94"/>
      <c r="G14297" s="94"/>
      <c r="I14297" s="94"/>
      <c r="K14297" s="94"/>
      <c r="M14297" s="94"/>
    </row>
    <row r="14298" s="93" customFormat="1" spans="3:13">
      <c r="C14298" s="94"/>
      <c r="E14298" s="94"/>
      <c r="G14298" s="94"/>
      <c r="I14298" s="94"/>
      <c r="K14298" s="94"/>
      <c r="M14298" s="94"/>
    </row>
    <row r="14299" s="93" customFormat="1" spans="3:13">
      <c r="C14299" s="94"/>
      <c r="E14299" s="94"/>
      <c r="G14299" s="94"/>
      <c r="I14299" s="94"/>
      <c r="K14299" s="94"/>
      <c r="M14299" s="94"/>
    </row>
    <row r="14300" s="93" customFormat="1" spans="3:13">
      <c r="C14300" s="94"/>
      <c r="E14300" s="94"/>
      <c r="G14300" s="94"/>
      <c r="I14300" s="94"/>
      <c r="K14300" s="94"/>
      <c r="M14300" s="94"/>
    </row>
    <row r="14301" s="93" customFormat="1" spans="3:13">
      <c r="C14301" s="94"/>
      <c r="E14301" s="94"/>
      <c r="G14301" s="94"/>
      <c r="I14301" s="94"/>
      <c r="K14301" s="94"/>
      <c r="M14301" s="94"/>
    </row>
    <row r="14302" s="93" customFormat="1" spans="3:13">
      <c r="C14302" s="94"/>
      <c r="E14302" s="94"/>
      <c r="G14302" s="94"/>
      <c r="I14302" s="94"/>
      <c r="K14302" s="94"/>
      <c r="M14302" s="94"/>
    </row>
    <row r="14303" s="93" customFormat="1" spans="3:13">
      <c r="C14303" s="94"/>
      <c r="E14303" s="94"/>
      <c r="G14303" s="94"/>
      <c r="I14303" s="94"/>
      <c r="K14303" s="94"/>
      <c r="M14303" s="94"/>
    </row>
    <row r="14304" s="93" customFormat="1" spans="3:13">
      <c r="C14304" s="94"/>
      <c r="E14304" s="94"/>
      <c r="G14304" s="94"/>
      <c r="I14304" s="94"/>
      <c r="K14304" s="94"/>
      <c r="M14304" s="94"/>
    </row>
    <row r="14305" s="93" customFormat="1" spans="3:13">
      <c r="C14305" s="94"/>
      <c r="E14305" s="94"/>
      <c r="G14305" s="94"/>
      <c r="I14305" s="94"/>
      <c r="K14305" s="94"/>
      <c r="M14305" s="94"/>
    </row>
    <row r="14306" s="93" customFormat="1" spans="3:13">
      <c r="C14306" s="94"/>
      <c r="E14306" s="94"/>
      <c r="G14306" s="94"/>
      <c r="I14306" s="94"/>
      <c r="K14306" s="94"/>
      <c r="M14306" s="94"/>
    </row>
    <row r="14307" s="93" customFormat="1" spans="3:13">
      <c r="C14307" s="94"/>
      <c r="E14307" s="94"/>
      <c r="G14307" s="94"/>
      <c r="I14307" s="94"/>
      <c r="K14307" s="94"/>
      <c r="M14307" s="94"/>
    </row>
    <row r="14308" s="93" customFormat="1" spans="3:13">
      <c r="C14308" s="94"/>
      <c r="E14308" s="94"/>
      <c r="G14308" s="94"/>
      <c r="I14308" s="94"/>
      <c r="K14308" s="94"/>
      <c r="M14308" s="94"/>
    </row>
    <row r="14309" s="93" customFormat="1" spans="3:13">
      <c r="C14309" s="94"/>
      <c r="E14309" s="94"/>
      <c r="G14309" s="94"/>
      <c r="I14309" s="94"/>
      <c r="K14309" s="94"/>
      <c r="M14309" s="94"/>
    </row>
    <row r="14310" s="93" customFormat="1" spans="3:13">
      <c r="C14310" s="94"/>
      <c r="E14310" s="94"/>
      <c r="G14310" s="94"/>
      <c r="I14310" s="94"/>
      <c r="K14310" s="94"/>
      <c r="M14310" s="94"/>
    </row>
    <row r="14311" s="93" customFormat="1" spans="3:13">
      <c r="C14311" s="94"/>
      <c r="E14311" s="94"/>
      <c r="G14311" s="94"/>
      <c r="I14311" s="94"/>
      <c r="K14311" s="94"/>
      <c r="M14311" s="94"/>
    </row>
    <row r="14312" s="93" customFormat="1" spans="3:13">
      <c r="C14312" s="94"/>
      <c r="E14312" s="94"/>
      <c r="G14312" s="94"/>
      <c r="I14312" s="94"/>
      <c r="K14312" s="94"/>
      <c r="M14312" s="94"/>
    </row>
    <row r="14313" s="93" customFormat="1" spans="3:13">
      <c r="C14313" s="94"/>
      <c r="E14313" s="94"/>
      <c r="G14313" s="94"/>
      <c r="I14313" s="94"/>
      <c r="K14313" s="94"/>
      <c r="M14313" s="94"/>
    </row>
    <row r="14314" s="93" customFormat="1" spans="3:13">
      <c r="C14314" s="94"/>
      <c r="E14314" s="94"/>
      <c r="G14314" s="94"/>
      <c r="I14314" s="94"/>
      <c r="K14314" s="94"/>
      <c r="M14314" s="94"/>
    </row>
    <row r="14315" s="93" customFormat="1" spans="3:13">
      <c r="C14315" s="94"/>
      <c r="E14315" s="94"/>
      <c r="G14315" s="94"/>
      <c r="I14315" s="94"/>
      <c r="K14315" s="94"/>
      <c r="M14315" s="94"/>
    </row>
    <row r="14316" s="93" customFormat="1" spans="3:13">
      <c r="C14316" s="94"/>
      <c r="E14316" s="94"/>
      <c r="G14316" s="94"/>
      <c r="I14316" s="94"/>
      <c r="K14316" s="94"/>
      <c r="M14316" s="94"/>
    </row>
    <row r="14317" s="93" customFormat="1" spans="3:13">
      <c r="C14317" s="94"/>
      <c r="E14317" s="94"/>
      <c r="G14317" s="94"/>
      <c r="I14317" s="94"/>
      <c r="K14317" s="94"/>
      <c r="M14317" s="94"/>
    </row>
    <row r="14318" s="93" customFormat="1" spans="3:13">
      <c r="C14318" s="94"/>
      <c r="E14318" s="94"/>
      <c r="G14318" s="94"/>
      <c r="I14318" s="94"/>
      <c r="K14318" s="94"/>
      <c r="M14318" s="94"/>
    </row>
    <row r="14319" s="93" customFormat="1" spans="3:13">
      <c r="C14319" s="94"/>
      <c r="E14319" s="94"/>
      <c r="G14319" s="94"/>
      <c r="I14319" s="94"/>
      <c r="K14319" s="94"/>
      <c r="M14319" s="94"/>
    </row>
    <row r="14320" s="93" customFormat="1" spans="3:13">
      <c r="C14320" s="94"/>
      <c r="E14320" s="94"/>
      <c r="G14320" s="94"/>
      <c r="I14320" s="94"/>
      <c r="K14320" s="94"/>
      <c r="M14320" s="94"/>
    </row>
    <row r="14321" s="93" customFormat="1" spans="3:13">
      <c r="C14321" s="94"/>
      <c r="E14321" s="94"/>
      <c r="G14321" s="94"/>
      <c r="I14321" s="94"/>
      <c r="K14321" s="94"/>
      <c r="M14321" s="94"/>
    </row>
    <row r="14322" s="93" customFormat="1" spans="3:13">
      <c r="C14322" s="94"/>
      <c r="E14322" s="94"/>
      <c r="G14322" s="94"/>
      <c r="I14322" s="94"/>
      <c r="K14322" s="94"/>
      <c r="M14322" s="94"/>
    </row>
    <row r="14323" s="93" customFormat="1" spans="3:13">
      <c r="C14323" s="94"/>
      <c r="E14323" s="94"/>
      <c r="G14323" s="94"/>
      <c r="I14323" s="94"/>
      <c r="K14323" s="94"/>
      <c r="M14323" s="94"/>
    </row>
    <row r="14324" s="93" customFormat="1" spans="3:13">
      <c r="C14324" s="94"/>
      <c r="E14324" s="94"/>
      <c r="G14324" s="94"/>
      <c r="I14324" s="94"/>
      <c r="K14324" s="94"/>
      <c r="M14324" s="94"/>
    </row>
    <row r="14325" s="93" customFormat="1" spans="3:13">
      <c r="C14325" s="94"/>
      <c r="E14325" s="94"/>
      <c r="G14325" s="94"/>
      <c r="I14325" s="94"/>
      <c r="K14325" s="94"/>
      <c r="M14325" s="94"/>
    </row>
    <row r="14326" s="93" customFormat="1" spans="3:13">
      <c r="C14326" s="94"/>
      <c r="E14326" s="94"/>
      <c r="G14326" s="94"/>
      <c r="I14326" s="94"/>
      <c r="K14326" s="94"/>
      <c r="M14326" s="94"/>
    </row>
    <row r="14327" s="93" customFormat="1" spans="3:13">
      <c r="C14327" s="94"/>
      <c r="E14327" s="94"/>
      <c r="G14327" s="94"/>
      <c r="I14327" s="94"/>
      <c r="K14327" s="94"/>
      <c r="M14327" s="94"/>
    </row>
    <row r="14328" s="93" customFormat="1" spans="3:13">
      <c r="C14328" s="94"/>
      <c r="E14328" s="94"/>
      <c r="G14328" s="94"/>
      <c r="I14328" s="94"/>
      <c r="K14328" s="94"/>
      <c r="M14328" s="94"/>
    </row>
    <row r="14329" s="93" customFormat="1" spans="3:13">
      <c r="C14329" s="94"/>
      <c r="E14329" s="94"/>
      <c r="G14329" s="94"/>
      <c r="I14329" s="94"/>
      <c r="K14329" s="94"/>
      <c r="M14329" s="94"/>
    </row>
    <row r="14330" s="93" customFormat="1" spans="3:13">
      <c r="C14330" s="94"/>
      <c r="E14330" s="94"/>
      <c r="G14330" s="94"/>
      <c r="I14330" s="94"/>
      <c r="K14330" s="94"/>
      <c r="M14330" s="94"/>
    </row>
    <row r="14331" s="93" customFormat="1" spans="3:13">
      <c r="C14331" s="94"/>
      <c r="E14331" s="94"/>
      <c r="G14331" s="94"/>
      <c r="I14331" s="94"/>
      <c r="K14331" s="94"/>
      <c r="M14331" s="94"/>
    </row>
    <row r="14332" s="93" customFormat="1" spans="3:13">
      <c r="C14332" s="94"/>
      <c r="E14332" s="94"/>
      <c r="G14332" s="94"/>
      <c r="I14332" s="94"/>
      <c r="K14332" s="94"/>
      <c r="M14332" s="94"/>
    </row>
    <row r="14333" s="93" customFormat="1" spans="3:13">
      <c r="C14333" s="94"/>
      <c r="E14333" s="94"/>
      <c r="G14333" s="94"/>
      <c r="I14333" s="94"/>
      <c r="K14333" s="94"/>
      <c r="M14333" s="94"/>
    </row>
    <row r="14334" s="93" customFormat="1" spans="3:13">
      <c r="C14334" s="94"/>
      <c r="E14334" s="94"/>
      <c r="G14334" s="94"/>
      <c r="I14334" s="94"/>
      <c r="K14334" s="94"/>
      <c r="M14334" s="94"/>
    </row>
    <row r="14335" s="93" customFormat="1" spans="3:13">
      <c r="C14335" s="94"/>
      <c r="E14335" s="94"/>
      <c r="G14335" s="94"/>
      <c r="I14335" s="94"/>
      <c r="K14335" s="94"/>
      <c r="M14335" s="94"/>
    </row>
    <row r="14336" s="93" customFormat="1" spans="3:13">
      <c r="C14336" s="94"/>
      <c r="E14336" s="94"/>
      <c r="G14336" s="94"/>
      <c r="I14336" s="94"/>
      <c r="K14336" s="94"/>
      <c r="M14336" s="94"/>
    </row>
    <row r="14337" s="93" customFormat="1" spans="3:13">
      <c r="C14337" s="94"/>
      <c r="E14337" s="94"/>
      <c r="G14337" s="94"/>
      <c r="I14337" s="94"/>
      <c r="K14337" s="94"/>
      <c r="M14337" s="94"/>
    </row>
    <row r="14338" s="93" customFormat="1" spans="3:13">
      <c r="C14338" s="94"/>
      <c r="E14338" s="94"/>
      <c r="G14338" s="94"/>
      <c r="I14338" s="94"/>
      <c r="K14338" s="94"/>
      <c r="M14338" s="94"/>
    </row>
    <row r="14339" s="93" customFormat="1" spans="3:13">
      <c r="C14339" s="94"/>
      <c r="E14339" s="94"/>
      <c r="G14339" s="94"/>
      <c r="I14339" s="94"/>
      <c r="K14339" s="94"/>
      <c r="M14339" s="94"/>
    </row>
    <row r="14340" s="93" customFormat="1" spans="3:13">
      <c r="C14340" s="94"/>
      <c r="E14340" s="94"/>
      <c r="G14340" s="94"/>
      <c r="I14340" s="94"/>
      <c r="K14340" s="94"/>
      <c r="M14340" s="94"/>
    </row>
    <row r="14341" s="93" customFormat="1" spans="3:13">
      <c r="C14341" s="94"/>
      <c r="E14341" s="94"/>
      <c r="G14341" s="94"/>
      <c r="I14341" s="94"/>
      <c r="K14341" s="94"/>
      <c r="M14341" s="94"/>
    </row>
    <row r="14342" s="93" customFormat="1" spans="3:13">
      <c r="C14342" s="94"/>
      <c r="E14342" s="94"/>
      <c r="G14342" s="94"/>
      <c r="I14342" s="94"/>
      <c r="K14342" s="94"/>
      <c r="M14342" s="94"/>
    </row>
    <row r="14343" s="93" customFormat="1" spans="3:13">
      <c r="C14343" s="94"/>
      <c r="E14343" s="94"/>
      <c r="G14343" s="94"/>
      <c r="I14343" s="94"/>
      <c r="K14343" s="94"/>
      <c r="M14343" s="94"/>
    </row>
    <row r="14344" s="93" customFormat="1" spans="3:13">
      <c r="C14344" s="94"/>
      <c r="E14344" s="94"/>
      <c r="G14344" s="94"/>
      <c r="I14344" s="94"/>
      <c r="K14344" s="94"/>
      <c r="M14344" s="94"/>
    </row>
    <row r="14345" s="93" customFormat="1" spans="3:13">
      <c r="C14345" s="94"/>
      <c r="E14345" s="94"/>
      <c r="G14345" s="94"/>
      <c r="I14345" s="94"/>
      <c r="K14345" s="94"/>
      <c r="M14345" s="94"/>
    </row>
    <row r="14346" s="93" customFormat="1" spans="3:13">
      <c r="C14346" s="94"/>
      <c r="E14346" s="94"/>
      <c r="G14346" s="94"/>
      <c r="I14346" s="94"/>
      <c r="K14346" s="94"/>
      <c r="M14346" s="94"/>
    </row>
    <row r="14347" s="93" customFormat="1" spans="3:13">
      <c r="C14347" s="94"/>
      <c r="E14347" s="94"/>
      <c r="G14347" s="94"/>
      <c r="I14347" s="94"/>
      <c r="K14347" s="94"/>
      <c r="M14347" s="94"/>
    </row>
    <row r="14348" s="93" customFormat="1" spans="3:13">
      <c r="C14348" s="94"/>
      <c r="E14348" s="94"/>
      <c r="G14348" s="94"/>
      <c r="I14348" s="94"/>
      <c r="K14348" s="94"/>
      <c r="M14348" s="94"/>
    </row>
    <row r="14349" s="93" customFormat="1" spans="3:13">
      <c r="C14349" s="94"/>
      <c r="E14349" s="94"/>
      <c r="G14349" s="94"/>
      <c r="I14349" s="94"/>
      <c r="K14349" s="94"/>
      <c r="M14349" s="94"/>
    </row>
    <row r="14350" s="93" customFormat="1" spans="3:13">
      <c r="C14350" s="94"/>
      <c r="E14350" s="94"/>
      <c r="G14350" s="94"/>
      <c r="I14350" s="94"/>
      <c r="K14350" s="94"/>
      <c r="M14350" s="94"/>
    </row>
    <row r="14351" s="93" customFormat="1" spans="3:13">
      <c r="C14351" s="94"/>
      <c r="E14351" s="94"/>
      <c r="G14351" s="94"/>
      <c r="I14351" s="94"/>
      <c r="K14351" s="94"/>
      <c r="M14351" s="94"/>
    </row>
    <row r="14352" s="93" customFormat="1" spans="3:13">
      <c r="C14352" s="94"/>
      <c r="E14352" s="94"/>
      <c r="G14352" s="94"/>
      <c r="I14352" s="94"/>
      <c r="K14352" s="94"/>
      <c r="M14352" s="94"/>
    </row>
    <row r="14353" s="93" customFormat="1" spans="3:13">
      <c r="C14353" s="94"/>
      <c r="E14353" s="94"/>
      <c r="G14353" s="94"/>
      <c r="I14353" s="94"/>
      <c r="K14353" s="94"/>
      <c r="M14353" s="94"/>
    </row>
    <row r="14354" s="93" customFormat="1" spans="3:13">
      <c r="C14354" s="94"/>
      <c r="E14354" s="94"/>
      <c r="G14354" s="94"/>
      <c r="I14354" s="94"/>
      <c r="K14354" s="94"/>
      <c r="M14354" s="94"/>
    </row>
    <row r="14355" s="93" customFormat="1" spans="3:13">
      <c r="C14355" s="94"/>
      <c r="E14355" s="94"/>
      <c r="G14355" s="94"/>
      <c r="I14355" s="94"/>
      <c r="K14355" s="94"/>
      <c r="M14355" s="94"/>
    </row>
    <row r="14356" s="93" customFormat="1" spans="3:13">
      <c r="C14356" s="94"/>
      <c r="E14356" s="94"/>
      <c r="G14356" s="94"/>
      <c r="I14356" s="94"/>
      <c r="K14356" s="94"/>
      <c r="M14356" s="94"/>
    </row>
    <row r="14357" s="93" customFormat="1" spans="3:13">
      <c r="C14357" s="94"/>
      <c r="E14357" s="94"/>
      <c r="G14357" s="94"/>
      <c r="I14357" s="94"/>
      <c r="K14357" s="94"/>
      <c r="M14357" s="94"/>
    </row>
    <row r="14358" s="93" customFormat="1" spans="3:13">
      <c r="C14358" s="94"/>
      <c r="E14358" s="94"/>
      <c r="G14358" s="94"/>
      <c r="I14358" s="94"/>
      <c r="K14358" s="94"/>
      <c r="M14358" s="94"/>
    </row>
    <row r="14359" s="93" customFormat="1" spans="3:13">
      <c r="C14359" s="94"/>
      <c r="E14359" s="94"/>
      <c r="G14359" s="94"/>
      <c r="I14359" s="94"/>
      <c r="K14359" s="94"/>
      <c r="M14359" s="94"/>
    </row>
    <row r="14360" s="93" customFormat="1" spans="3:13">
      <c r="C14360" s="94"/>
      <c r="E14360" s="94"/>
      <c r="G14360" s="94"/>
      <c r="I14360" s="94"/>
      <c r="K14360" s="94"/>
      <c r="M14360" s="94"/>
    </row>
    <row r="14361" s="93" customFormat="1" spans="3:13">
      <c r="C14361" s="94"/>
      <c r="E14361" s="94"/>
      <c r="G14361" s="94"/>
      <c r="I14361" s="94"/>
      <c r="K14361" s="94"/>
      <c r="M14361" s="94"/>
    </row>
    <row r="14362" s="93" customFormat="1" spans="3:13">
      <c r="C14362" s="94"/>
      <c r="E14362" s="94"/>
      <c r="G14362" s="94"/>
      <c r="I14362" s="94"/>
      <c r="K14362" s="94"/>
      <c r="M14362" s="94"/>
    </row>
    <row r="14363" s="93" customFormat="1" spans="3:13">
      <c r="C14363" s="94"/>
      <c r="E14363" s="94"/>
      <c r="G14363" s="94"/>
      <c r="I14363" s="94"/>
      <c r="K14363" s="94"/>
      <c r="M14363" s="94"/>
    </row>
    <row r="14364" s="93" customFormat="1" spans="3:13">
      <c r="C14364" s="94"/>
      <c r="E14364" s="94"/>
      <c r="G14364" s="94"/>
      <c r="I14364" s="94"/>
      <c r="K14364" s="94"/>
      <c r="M14364" s="94"/>
    </row>
    <row r="14365" s="93" customFormat="1" spans="3:13">
      <c r="C14365" s="94"/>
      <c r="E14365" s="94"/>
      <c r="G14365" s="94"/>
      <c r="I14365" s="94"/>
      <c r="K14365" s="94"/>
      <c r="M14365" s="94"/>
    </row>
    <row r="14366" s="93" customFormat="1" spans="3:13">
      <c r="C14366" s="94"/>
      <c r="E14366" s="94"/>
      <c r="G14366" s="94"/>
      <c r="I14366" s="94"/>
      <c r="K14366" s="94"/>
      <c r="M14366" s="94"/>
    </row>
    <row r="14367" s="93" customFormat="1" spans="3:13">
      <c r="C14367" s="94"/>
      <c r="E14367" s="94"/>
      <c r="G14367" s="94"/>
      <c r="I14367" s="94"/>
      <c r="K14367" s="94"/>
      <c r="M14367" s="94"/>
    </row>
    <row r="14368" s="93" customFormat="1" spans="3:13">
      <c r="C14368" s="94"/>
      <c r="E14368" s="94"/>
      <c r="G14368" s="94"/>
      <c r="I14368" s="94"/>
      <c r="K14368" s="94"/>
      <c r="M14368" s="94"/>
    </row>
    <row r="14369" s="93" customFormat="1" spans="3:13">
      <c r="C14369" s="94"/>
      <c r="E14369" s="94"/>
      <c r="G14369" s="94"/>
      <c r="I14369" s="94"/>
      <c r="K14369" s="94"/>
      <c r="M14369" s="94"/>
    </row>
    <row r="14370" s="93" customFormat="1" spans="3:13">
      <c r="C14370" s="94"/>
      <c r="E14370" s="94"/>
      <c r="G14370" s="94"/>
      <c r="I14370" s="94"/>
      <c r="K14370" s="94"/>
      <c r="M14370" s="94"/>
    </row>
    <row r="14371" s="93" customFormat="1" spans="3:13">
      <c r="C14371" s="94"/>
      <c r="E14371" s="94"/>
      <c r="G14371" s="94"/>
      <c r="I14371" s="94"/>
      <c r="K14371" s="94"/>
      <c r="M14371" s="94"/>
    </row>
    <row r="14372" s="93" customFormat="1" spans="3:13">
      <c r="C14372" s="94"/>
      <c r="E14372" s="94"/>
      <c r="G14372" s="94"/>
      <c r="I14372" s="94"/>
      <c r="K14372" s="94"/>
      <c r="M14372" s="94"/>
    </row>
    <row r="14373" s="93" customFormat="1" spans="3:13">
      <c r="C14373" s="94"/>
      <c r="E14373" s="94"/>
      <c r="G14373" s="94"/>
      <c r="I14373" s="94"/>
      <c r="K14373" s="94"/>
      <c r="M14373" s="94"/>
    </row>
    <row r="14374" s="93" customFormat="1" spans="3:13">
      <c r="C14374" s="94"/>
      <c r="E14374" s="94"/>
      <c r="G14374" s="94"/>
      <c r="I14374" s="94"/>
      <c r="K14374" s="94"/>
      <c r="M14374" s="94"/>
    </row>
    <row r="14375" s="93" customFormat="1" spans="3:13">
      <c r="C14375" s="94"/>
      <c r="E14375" s="94"/>
      <c r="G14375" s="94"/>
      <c r="I14375" s="94"/>
      <c r="K14375" s="94"/>
      <c r="M14375" s="94"/>
    </row>
    <row r="14376" s="93" customFormat="1" spans="3:13">
      <c r="C14376" s="94"/>
      <c r="E14376" s="94"/>
      <c r="G14376" s="94"/>
      <c r="I14376" s="94"/>
      <c r="K14376" s="94"/>
      <c r="M14376" s="94"/>
    </row>
    <row r="14377" s="93" customFormat="1" spans="3:13">
      <c r="C14377" s="94"/>
      <c r="E14377" s="94"/>
      <c r="G14377" s="94"/>
      <c r="I14377" s="94"/>
      <c r="K14377" s="94"/>
      <c r="M14377" s="94"/>
    </row>
    <row r="14378" s="93" customFormat="1" spans="3:13">
      <c r="C14378" s="94"/>
      <c r="E14378" s="94"/>
      <c r="G14378" s="94"/>
      <c r="I14378" s="94"/>
      <c r="K14378" s="94"/>
      <c r="M14378" s="94"/>
    </row>
    <row r="14379" s="93" customFormat="1" spans="3:13">
      <c r="C14379" s="94"/>
      <c r="E14379" s="94"/>
      <c r="G14379" s="94"/>
      <c r="I14379" s="94"/>
      <c r="K14379" s="94"/>
      <c r="M14379" s="94"/>
    </row>
    <row r="14380" s="93" customFormat="1" spans="3:13">
      <c r="C14380" s="94"/>
      <c r="E14380" s="94"/>
      <c r="G14380" s="94"/>
      <c r="I14380" s="94"/>
      <c r="K14380" s="94"/>
      <c r="M14380" s="94"/>
    </row>
    <row r="14381" s="93" customFormat="1" spans="3:13">
      <c r="C14381" s="94"/>
      <c r="E14381" s="94"/>
      <c r="G14381" s="94"/>
      <c r="I14381" s="94"/>
      <c r="K14381" s="94"/>
      <c r="M14381" s="94"/>
    </row>
    <row r="14382" s="93" customFormat="1" spans="3:13">
      <c r="C14382" s="94"/>
      <c r="E14382" s="94"/>
      <c r="G14382" s="94"/>
      <c r="I14382" s="94"/>
      <c r="K14382" s="94"/>
      <c r="M14382" s="94"/>
    </row>
    <row r="14383" s="93" customFormat="1" spans="3:13">
      <c r="C14383" s="94"/>
      <c r="E14383" s="94"/>
      <c r="G14383" s="94"/>
      <c r="I14383" s="94"/>
      <c r="K14383" s="94"/>
      <c r="M14383" s="94"/>
    </row>
    <row r="14384" s="93" customFormat="1" spans="3:13">
      <c r="C14384" s="94"/>
      <c r="E14384" s="94"/>
      <c r="G14384" s="94"/>
      <c r="I14384" s="94"/>
      <c r="K14384" s="94"/>
      <c r="M14384" s="94"/>
    </row>
    <row r="14385" s="93" customFormat="1" spans="3:13">
      <c r="C14385" s="94"/>
      <c r="E14385" s="94"/>
      <c r="G14385" s="94"/>
      <c r="I14385" s="94"/>
      <c r="K14385" s="94"/>
      <c r="M14385" s="94"/>
    </row>
    <row r="14386" s="93" customFormat="1" spans="3:13">
      <c r="C14386" s="94"/>
      <c r="E14386" s="94"/>
      <c r="G14386" s="94"/>
      <c r="I14386" s="94"/>
      <c r="K14386" s="94"/>
      <c r="M14386" s="94"/>
    </row>
    <row r="14387" s="93" customFormat="1" spans="3:13">
      <c r="C14387" s="94"/>
      <c r="E14387" s="94"/>
      <c r="G14387" s="94"/>
      <c r="I14387" s="94"/>
      <c r="K14387" s="94"/>
      <c r="M14387" s="94"/>
    </row>
    <row r="14388" s="93" customFormat="1" spans="3:13">
      <c r="C14388" s="94"/>
      <c r="E14388" s="94"/>
      <c r="G14388" s="94"/>
      <c r="I14388" s="94"/>
      <c r="K14388" s="94"/>
      <c r="M14388" s="94"/>
    </row>
    <row r="14389" s="93" customFormat="1" spans="3:13">
      <c r="C14389" s="94"/>
      <c r="E14389" s="94"/>
      <c r="G14389" s="94"/>
      <c r="I14389" s="94"/>
      <c r="K14389" s="94"/>
      <c r="M14389" s="94"/>
    </row>
    <row r="14390" s="93" customFormat="1" spans="3:13">
      <c r="C14390" s="94"/>
      <c r="E14390" s="94"/>
      <c r="G14390" s="94"/>
      <c r="I14390" s="94"/>
      <c r="K14390" s="94"/>
      <c r="M14390" s="94"/>
    </row>
    <row r="14391" s="93" customFormat="1" spans="3:13">
      <c r="C14391" s="94"/>
      <c r="E14391" s="94"/>
      <c r="G14391" s="94"/>
      <c r="I14391" s="94"/>
      <c r="K14391" s="94"/>
      <c r="M14391" s="94"/>
    </row>
    <row r="14392" s="93" customFormat="1" spans="3:13">
      <c r="C14392" s="94"/>
      <c r="E14392" s="94"/>
      <c r="G14392" s="94"/>
      <c r="I14392" s="94"/>
      <c r="K14392" s="94"/>
      <c r="M14392" s="94"/>
    </row>
    <row r="14393" s="93" customFormat="1" spans="3:13">
      <c r="C14393" s="94"/>
      <c r="E14393" s="94"/>
      <c r="G14393" s="94"/>
      <c r="I14393" s="94"/>
      <c r="K14393" s="94"/>
      <c r="M14393" s="94"/>
    </row>
    <row r="14394" s="93" customFormat="1" spans="3:13">
      <c r="C14394" s="94"/>
      <c r="E14394" s="94"/>
      <c r="G14394" s="94"/>
      <c r="I14394" s="94"/>
      <c r="K14394" s="94"/>
      <c r="M14394" s="94"/>
    </row>
    <row r="14395" s="93" customFormat="1" spans="3:13">
      <c r="C14395" s="94"/>
      <c r="E14395" s="94"/>
      <c r="G14395" s="94"/>
      <c r="I14395" s="94"/>
      <c r="K14395" s="94"/>
      <c r="M14395" s="94"/>
    </row>
    <row r="14396" s="93" customFormat="1" spans="3:13">
      <c r="C14396" s="94"/>
      <c r="E14396" s="94"/>
      <c r="G14396" s="94"/>
      <c r="I14396" s="94"/>
      <c r="K14396" s="94"/>
      <c r="M14396" s="94"/>
    </row>
    <row r="14397" s="93" customFormat="1" spans="3:13">
      <c r="C14397" s="94"/>
      <c r="E14397" s="94"/>
      <c r="G14397" s="94"/>
      <c r="I14397" s="94"/>
      <c r="K14397" s="94"/>
      <c r="M14397" s="94"/>
    </row>
    <row r="14398" s="93" customFormat="1" spans="3:13">
      <c r="C14398" s="94"/>
      <c r="E14398" s="94"/>
      <c r="G14398" s="94"/>
      <c r="I14398" s="94"/>
      <c r="K14398" s="94"/>
      <c r="M14398" s="94"/>
    </row>
    <row r="14399" s="93" customFormat="1" spans="3:13">
      <c r="C14399" s="94"/>
      <c r="E14399" s="94"/>
      <c r="G14399" s="94"/>
      <c r="I14399" s="94"/>
      <c r="K14399" s="94"/>
      <c r="M14399" s="94"/>
    </row>
    <row r="14400" s="93" customFormat="1" spans="3:13">
      <c r="C14400" s="94"/>
      <c r="E14400" s="94"/>
      <c r="G14400" s="94"/>
      <c r="I14400" s="94"/>
      <c r="K14400" s="94"/>
      <c r="M14400" s="94"/>
    </row>
    <row r="14401" s="93" customFormat="1" spans="3:13">
      <c r="C14401" s="94"/>
      <c r="E14401" s="94"/>
      <c r="G14401" s="94"/>
      <c r="I14401" s="94"/>
      <c r="K14401" s="94"/>
      <c r="M14401" s="94"/>
    </row>
    <row r="14402" s="93" customFormat="1" spans="3:13">
      <c r="C14402" s="94"/>
      <c r="E14402" s="94"/>
      <c r="G14402" s="94"/>
      <c r="I14402" s="94"/>
      <c r="K14402" s="94"/>
      <c r="M14402" s="94"/>
    </row>
    <row r="14403" s="93" customFormat="1" spans="3:13">
      <c r="C14403" s="94"/>
      <c r="E14403" s="94"/>
      <c r="G14403" s="94"/>
      <c r="I14403" s="94"/>
      <c r="K14403" s="94"/>
      <c r="M14403" s="94"/>
    </row>
    <row r="14404" s="93" customFormat="1" spans="3:13">
      <c r="C14404" s="94"/>
      <c r="E14404" s="94"/>
      <c r="G14404" s="94"/>
      <c r="I14404" s="94"/>
      <c r="K14404" s="94"/>
      <c r="M14404" s="94"/>
    </row>
    <row r="14405" s="93" customFormat="1" spans="3:13">
      <c r="C14405" s="94"/>
      <c r="E14405" s="94"/>
      <c r="G14405" s="94"/>
      <c r="I14405" s="94"/>
      <c r="K14405" s="94"/>
      <c r="M14405" s="94"/>
    </row>
    <row r="14406" s="93" customFormat="1" spans="3:13">
      <c r="C14406" s="94"/>
      <c r="E14406" s="94"/>
      <c r="G14406" s="94"/>
      <c r="I14406" s="94"/>
      <c r="K14406" s="94"/>
      <c r="M14406" s="94"/>
    </row>
    <row r="14407" s="93" customFormat="1" spans="3:13">
      <c r="C14407" s="94"/>
      <c r="E14407" s="94"/>
      <c r="G14407" s="94"/>
      <c r="I14407" s="94"/>
      <c r="K14407" s="94"/>
      <c r="M14407" s="94"/>
    </row>
    <row r="14408" s="93" customFormat="1" spans="3:13">
      <c r="C14408" s="94"/>
      <c r="E14408" s="94"/>
      <c r="G14408" s="94"/>
      <c r="I14408" s="94"/>
      <c r="K14408" s="94"/>
      <c r="M14408" s="94"/>
    </row>
    <row r="14409" s="93" customFormat="1" spans="3:13">
      <c r="C14409" s="94"/>
      <c r="E14409" s="94"/>
      <c r="G14409" s="94"/>
      <c r="I14409" s="94"/>
      <c r="K14409" s="94"/>
      <c r="M14409" s="94"/>
    </row>
    <row r="14410" s="93" customFormat="1" spans="3:13">
      <c r="C14410" s="94"/>
      <c r="E14410" s="94"/>
      <c r="G14410" s="94"/>
      <c r="I14410" s="94"/>
      <c r="K14410" s="94"/>
      <c r="M14410" s="94"/>
    </row>
    <row r="14411" s="93" customFormat="1" spans="3:13">
      <c r="C14411" s="94"/>
      <c r="E14411" s="94"/>
      <c r="G14411" s="94"/>
      <c r="I14411" s="94"/>
      <c r="K14411" s="94"/>
      <c r="M14411" s="94"/>
    </row>
    <row r="14412" s="93" customFormat="1" spans="3:13">
      <c r="C14412" s="94"/>
      <c r="E14412" s="94"/>
      <c r="G14412" s="94"/>
      <c r="I14412" s="94"/>
      <c r="K14412" s="94"/>
      <c r="M14412" s="94"/>
    </row>
    <row r="14413" s="93" customFormat="1" spans="3:13">
      <c r="C14413" s="94"/>
      <c r="E14413" s="94"/>
      <c r="G14413" s="94"/>
      <c r="I14413" s="94"/>
      <c r="K14413" s="94"/>
      <c r="M14413" s="94"/>
    </row>
    <row r="14414" s="93" customFormat="1" spans="3:13">
      <c r="C14414" s="94"/>
      <c r="E14414" s="94"/>
      <c r="G14414" s="94"/>
      <c r="I14414" s="94"/>
      <c r="K14414" s="94"/>
      <c r="M14414" s="94"/>
    </row>
    <row r="14415" s="93" customFormat="1" spans="3:13">
      <c r="C14415" s="94"/>
      <c r="E14415" s="94"/>
      <c r="G14415" s="94"/>
      <c r="I14415" s="94"/>
      <c r="K14415" s="94"/>
      <c r="M14415" s="94"/>
    </row>
    <row r="14416" s="93" customFormat="1" spans="3:13">
      <c r="C14416" s="94"/>
      <c r="E14416" s="94"/>
      <c r="G14416" s="94"/>
      <c r="I14416" s="94"/>
      <c r="K14416" s="94"/>
      <c r="M14416" s="94"/>
    </row>
    <row r="14417" s="93" customFormat="1" spans="3:13">
      <c r="C14417" s="94"/>
      <c r="E14417" s="94"/>
      <c r="G14417" s="94"/>
      <c r="I14417" s="94"/>
      <c r="K14417" s="94"/>
      <c r="M14417" s="94"/>
    </row>
    <row r="14418" s="93" customFormat="1" spans="3:13">
      <c r="C14418" s="94"/>
      <c r="E14418" s="94"/>
      <c r="G14418" s="94"/>
      <c r="I14418" s="94"/>
      <c r="K14418" s="94"/>
      <c r="M14418" s="94"/>
    </row>
    <row r="14419" s="93" customFormat="1" spans="3:13">
      <c r="C14419" s="94"/>
      <c r="E14419" s="94"/>
      <c r="G14419" s="94"/>
      <c r="I14419" s="94"/>
      <c r="K14419" s="94"/>
      <c r="M14419" s="94"/>
    </row>
    <row r="14420" s="93" customFormat="1" spans="3:13">
      <c r="C14420" s="94"/>
      <c r="E14420" s="94"/>
      <c r="G14420" s="94"/>
      <c r="I14420" s="94"/>
      <c r="K14420" s="94"/>
      <c r="M14420" s="94"/>
    </row>
    <row r="14421" s="93" customFormat="1" spans="3:13">
      <c r="C14421" s="94"/>
      <c r="E14421" s="94"/>
      <c r="G14421" s="94"/>
      <c r="I14421" s="94"/>
      <c r="K14421" s="94"/>
      <c r="M14421" s="94"/>
    </row>
    <row r="14422" s="93" customFormat="1" spans="3:13">
      <c r="C14422" s="94"/>
      <c r="E14422" s="94"/>
      <c r="G14422" s="94"/>
      <c r="I14422" s="94"/>
      <c r="K14422" s="94"/>
      <c r="M14422" s="94"/>
    </row>
    <row r="14423" s="93" customFormat="1" spans="3:13">
      <c r="C14423" s="94"/>
      <c r="E14423" s="94"/>
      <c r="G14423" s="94"/>
      <c r="I14423" s="94"/>
      <c r="K14423" s="94"/>
      <c r="M14423" s="94"/>
    </row>
    <row r="14424" s="93" customFormat="1" spans="3:13">
      <c r="C14424" s="94"/>
      <c r="E14424" s="94"/>
      <c r="G14424" s="94"/>
      <c r="I14424" s="94"/>
      <c r="K14424" s="94"/>
      <c r="M14424" s="94"/>
    </row>
    <row r="14425" s="93" customFormat="1" spans="3:13">
      <c r="C14425" s="94"/>
      <c r="E14425" s="94"/>
      <c r="G14425" s="94"/>
      <c r="I14425" s="94"/>
      <c r="K14425" s="94"/>
      <c r="M14425" s="94"/>
    </row>
    <row r="14426" s="93" customFormat="1" spans="3:13">
      <c r="C14426" s="94"/>
      <c r="E14426" s="94"/>
      <c r="G14426" s="94"/>
      <c r="I14426" s="94"/>
      <c r="K14426" s="94"/>
      <c r="M14426" s="94"/>
    </row>
    <row r="14427" s="93" customFormat="1" spans="3:13">
      <c r="C14427" s="94"/>
      <c r="E14427" s="94"/>
      <c r="G14427" s="94"/>
      <c r="I14427" s="94"/>
      <c r="K14427" s="94"/>
      <c r="M14427" s="94"/>
    </row>
    <row r="14428" s="93" customFormat="1" spans="3:13">
      <c r="C14428" s="94"/>
      <c r="E14428" s="94"/>
      <c r="G14428" s="94"/>
      <c r="I14428" s="94"/>
      <c r="K14428" s="94"/>
      <c r="M14428" s="94"/>
    </row>
    <row r="14429" s="93" customFormat="1" spans="3:13">
      <c r="C14429" s="94"/>
      <c r="E14429" s="94"/>
      <c r="G14429" s="94"/>
      <c r="I14429" s="94"/>
      <c r="K14429" s="94"/>
      <c r="M14429" s="94"/>
    </row>
    <row r="14430" s="93" customFormat="1" spans="3:13">
      <c r="C14430" s="94"/>
      <c r="E14430" s="94"/>
      <c r="G14430" s="94"/>
      <c r="I14430" s="94"/>
      <c r="K14430" s="94"/>
      <c r="M14430" s="94"/>
    </row>
    <row r="14431" s="93" customFormat="1" spans="3:13">
      <c r="C14431" s="94"/>
      <c r="E14431" s="94"/>
      <c r="G14431" s="94"/>
      <c r="I14431" s="94"/>
      <c r="K14431" s="94"/>
      <c r="M14431" s="94"/>
    </row>
    <row r="14432" s="93" customFormat="1" spans="3:13">
      <c r="C14432" s="94"/>
      <c r="E14432" s="94"/>
      <c r="G14432" s="94"/>
      <c r="I14432" s="94"/>
      <c r="K14432" s="94"/>
      <c r="M14432" s="94"/>
    </row>
    <row r="14433" s="93" customFormat="1" spans="3:13">
      <c r="C14433" s="94"/>
      <c r="E14433" s="94"/>
      <c r="G14433" s="94"/>
      <c r="I14433" s="94"/>
      <c r="K14433" s="94"/>
      <c r="M14433" s="94"/>
    </row>
    <row r="14434" s="93" customFormat="1" spans="3:13">
      <c r="C14434" s="94"/>
      <c r="E14434" s="94"/>
      <c r="G14434" s="94"/>
      <c r="I14434" s="94"/>
      <c r="K14434" s="94"/>
      <c r="M14434" s="94"/>
    </row>
    <row r="14435" s="93" customFormat="1" spans="3:13">
      <c r="C14435" s="94"/>
      <c r="E14435" s="94"/>
      <c r="G14435" s="94"/>
      <c r="I14435" s="94"/>
      <c r="K14435" s="94"/>
      <c r="M14435" s="94"/>
    </row>
    <row r="14436" s="93" customFormat="1" spans="3:13">
      <c r="C14436" s="94"/>
      <c r="E14436" s="94"/>
      <c r="G14436" s="94"/>
      <c r="I14436" s="94"/>
      <c r="K14436" s="94"/>
      <c r="M14436" s="94"/>
    </row>
    <row r="14437" s="93" customFormat="1" spans="3:13">
      <c r="C14437" s="94"/>
      <c r="E14437" s="94"/>
      <c r="G14437" s="94"/>
      <c r="I14437" s="94"/>
      <c r="K14437" s="94"/>
      <c r="M14437" s="94"/>
    </row>
    <row r="14438" s="93" customFormat="1" spans="3:13">
      <c r="C14438" s="94"/>
      <c r="E14438" s="94"/>
      <c r="G14438" s="94"/>
      <c r="I14438" s="94"/>
      <c r="K14438" s="94"/>
      <c r="M14438" s="94"/>
    </row>
    <row r="14439" s="93" customFormat="1" spans="3:13">
      <c r="C14439" s="94"/>
      <c r="E14439" s="94"/>
      <c r="G14439" s="94"/>
      <c r="I14439" s="94"/>
      <c r="K14439" s="94"/>
      <c r="M14439" s="94"/>
    </row>
    <row r="14440" s="93" customFormat="1" spans="3:13">
      <c r="C14440" s="94"/>
      <c r="E14440" s="94"/>
      <c r="G14440" s="94"/>
      <c r="I14440" s="94"/>
      <c r="K14440" s="94"/>
      <c r="M14440" s="94"/>
    </row>
    <row r="14441" s="93" customFormat="1" spans="3:13">
      <c r="C14441" s="94"/>
      <c r="E14441" s="94"/>
      <c r="G14441" s="94"/>
      <c r="I14441" s="94"/>
      <c r="K14441" s="94"/>
      <c r="M14441" s="94"/>
    </row>
    <row r="14442" s="93" customFormat="1" spans="3:13">
      <c r="C14442" s="94"/>
      <c r="E14442" s="94"/>
      <c r="G14442" s="94"/>
      <c r="I14442" s="94"/>
      <c r="K14442" s="94"/>
      <c r="M14442" s="94"/>
    </row>
    <row r="14443" s="93" customFormat="1" spans="3:13">
      <c r="C14443" s="94"/>
      <c r="E14443" s="94"/>
      <c r="G14443" s="94"/>
      <c r="I14443" s="94"/>
      <c r="K14443" s="94"/>
      <c r="M14443" s="94"/>
    </row>
    <row r="14444" s="93" customFormat="1" spans="3:13">
      <c r="C14444" s="94"/>
      <c r="E14444" s="94"/>
      <c r="G14444" s="94"/>
      <c r="I14444" s="94"/>
      <c r="K14444" s="94"/>
      <c r="M14444" s="94"/>
    </row>
    <row r="14445" s="93" customFormat="1" spans="3:13">
      <c r="C14445" s="94"/>
      <c r="E14445" s="94"/>
      <c r="G14445" s="94"/>
      <c r="I14445" s="94"/>
      <c r="K14445" s="94"/>
      <c r="M14445" s="94"/>
    </row>
    <row r="14446" s="93" customFormat="1" spans="3:13">
      <c r="C14446" s="94"/>
      <c r="E14446" s="94"/>
      <c r="G14446" s="94"/>
      <c r="I14446" s="94"/>
      <c r="K14446" s="94"/>
      <c r="M14446" s="94"/>
    </row>
    <row r="14447" s="93" customFormat="1" spans="3:13">
      <c r="C14447" s="94"/>
      <c r="E14447" s="94"/>
      <c r="G14447" s="94"/>
      <c r="I14447" s="94"/>
      <c r="K14447" s="94"/>
      <c r="M14447" s="94"/>
    </row>
    <row r="14448" s="93" customFormat="1" spans="3:13">
      <c r="C14448" s="94"/>
      <c r="E14448" s="94"/>
      <c r="G14448" s="94"/>
      <c r="I14448" s="94"/>
      <c r="K14448" s="94"/>
      <c r="M14448" s="94"/>
    </row>
    <row r="14449" s="93" customFormat="1" spans="3:13">
      <c r="C14449" s="94"/>
      <c r="E14449" s="94"/>
      <c r="G14449" s="94"/>
      <c r="I14449" s="94"/>
      <c r="K14449" s="94"/>
      <c r="M14449" s="94"/>
    </row>
    <row r="14450" s="93" customFormat="1" spans="3:13">
      <c r="C14450" s="94"/>
      <c r="E14450" s="94"/>
      <c r="G14450" s="94"/>
      <c r="I14450" s="94"/>
      <c r="K14450" s="94"/>
      <c r="M14450" s="94"/>
    </row>
    <row r="14451" s="93" customFormat="1" spans="3:13">
      <c r="C14451" s="94"/>
      <c r="E14451" s="94"/>
      <c r="G14451" s="94"/>
      <c r="I14451" s="94"/>
      <c r="K14451" s="94"/>
      <c r="M14451" s="94"/>
    </row>
    <row r="14452" s="93" customFormat="1" spans="3:13">
      <c r="C14452" s="94"/>
      <c r="E14452" s="94"/>
      <c r="G14452" s="94"/>
      <c r="I14452" s="94"/>
      <c r="K14452" s="94"/>
      <c r="M14452" s="94"/>
    </row>
    <row r="14453" s="93" customFormat="1" spans="3:13">
      <c r="C14453" s="94"/>
      <c r="E14453" s="94"/>
      <c r="G14453" s="94"/>
      <c r="I14453" s="94"/>
      <c r="K14453" s="94"/>
      <c r="M14453" s="94"/>
    </row>
    <row r="14454" s="93" customFormat="1" spans="3:13">
      <c r="C14454" s="94"/>
      <c r="E14454" s="94"/>
      <c r="G14454" s="94"/>
      <c r="I14454" s="94"/>
      <c r="K14454" s="94"/>
      <c r="M14454" s="94"/>
    </row>
    <row r="14455" s="93" customFormat="1" spans="3:13">
      <c r="C14455" s="94"/>
      <c r="E14455" s="94"/>
      <c r="G14455" s="94"/>
      <c r="I14455" s="94"/>
      <c r="K14455" s="94"/>
      <c r="M14455" s="94"/>
    </row>
    <row r="14456" s="93" customFormat="1" spans="3:13">
      <c r="C14456" s="94"/>
      <c r="E14456" s="94"/>
      <c r="G14456" s="94"/>
      <c r="I14456" s="94"/>
      <c r="K14456" s="94"/>
      <c r="M14456" s="94"/>
    </row>
    <row r="14457" s="93" customFormat="1" spans="3:13">
      <c r="C14457" s="94"/>
      <c r="E14457" s="94"/>
      <c r="G14457" s="94"/>
      <c r="I14457" s="94"/>
      <c r="K14457" s="94"/>
      <c r="M14457" s="94"/>
    </row>
    <row r="14458" s="93" customFormat="1" spans="3:13">
      <c r="C14458" s="94"/>
      <c r="E14458" s="94"/>
      <c r="G14458" s="94"/>
      <c r="I14458" s="94"/>
      <c r="K14458" s="94"/>
      <c r="M14458" s="94"/>
    </row>
    <row r="14459" s="93" customFormat="1" spans="3:13">
      <c r="C14459" s="94"/>
      <c r="E14459" s="94"/>
      <c r="G14459" s="94"/>
      <c r="I14459" s="94"/>
      <c r="K14459" s="94"/>
      <c r="M14459" s="94"/>
    </row>
    <row r="14460" s="93" customFormat="1" spans="3:13">
      <c r="C14460" s="94"/>
      <c r="E14460" s="94"/>
      <c r="G14460" s="94"/>
      <c r="I14460" s="94"/>
      <c r="K14460" s="94"/>
      <c r="M14460" s="94"/>
    </row>
    <row r="14461" s="93" customFormat="1" spans="3:13">
      <c r="C14461" s="94"/>
      <c r="E14461" s="94"/>
      <c r="G14461" s="94"/>
      <c r="I14461" s="94"/>
      <c r="K14461" s="94"/>
      <c r="M14461" s="94"/>
    </row>
    <row r="14462" s="93" customFormat="1" spans="3:13">
      <c r="C14462" s="94"/>
      <c r="E14462" s="94"/>
      <c r="G14462" s="94"/>
      <c r="I14462" s="94"/>
      <c r="K14462" s="94"/>
      <c r="M14462" s="94"/>
    </row>
    <row r="14463" s="93" customFormat="1" spans="3:13">
      <c r="C14463" s="94"/>
      <c r="E14463" s="94"/>
      <c r="G14463" s="94"/>
      <c r="I14463" s="94"/>
      <c r="K14463" s="94"/>
      <c r="M14463" s="94"/>
    </row>
    <row r="14464" s="93" customFormat="1" spans="3:13">
      <c r="C14464" s="94"/>
      <c r="E14464" s="94"/>
      <c r="G14464" s="94"/>
      <c r="I14464" s="94"/>
      <c r="K14464" s="94"/>
      <c r="M14464" s="94"/>
    </row>
    <row r="14465" s="93" customFormat="1" spans="3:13">
      <c r="C14465" s="94"/>
      <c r="E14465" s="94"/>
      <c r="G14465" s="94"/>
      <c r="I14465" s="94"/>
      <c r="K14465" s="94"/>
      <c r="M14465" s="94"/>
    </row>
    <row r="14466" s="93" customFormat="1" spans="3:13">
      <c r="C14466" s="94"/>
      <c r="E14466" s="94"/>
      <c r="G14466" s="94"/>
      <c r="I14466" s="94"/>
      <c r="K14466" s="94"/>
      <c r="M14466" s="94"/>
    </row>
    <row r="14467" s="93" customFormat="1" spans="3:13">
      <c r="C14467" s="94"/>
      <c r="E14467" s="94"/>
      <c r="G14467" s="94"/>
      <c r="I14467" s="94"/>
      <c r="K14467" s="94"/>
      <c r="M14467" s="94"/>
    </row>
    <row r="14468" s="93" customFormat="1" spans="3:13">
      <c r="C14468" s="94"/>
      <c r="E14468" s="94"/>
      <c r="G14468" s="94"/>
      <c r="I14468" s="94"/>
      <c r="K14468" s="94"/>
      <c r="M14468" s="94"/>
    </row>
    <row r="14469" s="93" customFormat="1" spans="3:13">
      <c r="C14469" s="94"/>
      <c r="E14469" s="94"/>
      <c r="G14469" s="94"/>
      <c r="I14469" s="94"/>
      <c r="K14469" s="94"/>
      <c r="M14469" s="94"/>
    </row>
    <row r="14470" s="93" customFormat="1" spans="3:13">
      <c r="C14470" s="94"/>
      <c r="E14470" s="94"/>
      <c r="G14470" s="94"/>
      <c r="I14470" s="94"/>
      <c r="K14470" s="94"/>
      <c r="M14470" s="94"/>
    </row>
    <row r="14471" s="93" customFormat="1" spans="3:13">
      <c r="C14471" s="94"/>
      <c r="E14471" s="94"/>
      <c r="G14471" s="94"/>
      <c r="I14471" s="94"/>
      <c r="K14471" s="94"/>
      <c r="M14471" s="94"/>
    </row>
    <row r="14472" s="93" customFormat="1" spans="3:13">
      <c r="C14472" s="94"/>
      <c r="E14472" s="94"/>
      <c r="G14472" s="94"/>
      <c r="I14472" s="94"/>
      <c r="K14472" s="94"/>
      <c r="M14472" s="94"/>
    </row>
    <row r="14473" s="93" customFormat="1" spans="3:13">
      <c r="C14473" s="94"/>
      <c r="E14473" s="94"/>
      <c r="G14473" s="94"/>
      <c r="I14473" s="94"/>
      <c r="K14473" s="94"/>
      <c r="M14473" s="94"/>
    </row>
    <row r="14474" s="93" customFormat="1" spans="3:13">
      <c r="C14474" s="94"/>
      <c r="E14474" s="94"/>
      <c r="G14474" s="94"/>
      <c r="I14474" s="94"/>
      <c r="K14474" s="94"/>
      <c r="M14474" s="94"/>
    </row>
    <row r="14475" s="93" customFormat="1" spans="3:13">
      <c r="C14475" s="94"/>
      <c r="E14475" s="94"/>
      <c r="G14475" s="94"/>
      <c r="I14475" s="94"/>
      <c r="K14475" s="94"/>
      <c r="M14475" s="94"/>
    </row>
    <row r="14476" s="93" customFormat="1" spans="3:13">
      <c r="C14476" s="94"/>
      <c r="E14476" s="94"/>
      <c r="G14476" s="94"/>
      <c r="I14476" s="94"/>
      <c r="K14476" s="94"/>
      <c r="M14476" s="94"/>
    </row>
    <row r="14477" s="93" customFormat="1" spans="3:13">
      <c r="C14477" s="94"/>
      <c r="E14477" s="94"/>
      <c r="G14477" s="94"/>
      <c r="I14477" s="94"/>
      <c r="K14477" s="94"/>
      <c r="M14477" s="94"/>
    </row>
    <row r="14478" s="93" customFormat="1" spans="3:13">
      <c r="C14478" s="94"/>
      <c r="E14478" s="94"/>
      <c r="G14478" s="94"/>
      <c r="I14478" s="94"/>
      <c r="K14478" s="94"/>
      <c r="M14478" s="94"/>
    </row>
    <row r="14479" s="93" customFormat="1" spans="3:13">
      <c r="C14479" s="94"/>
      <c r="E14479" s="94"/>
      <c r="G14479" s="94"/>
      <c r="I14479" s="94"/>
      <c r="K14479" s="94"/>
      <c r="M14479" s="94"/>
    </row>
    <row r="14480" s="93" customFormat="1" spans="3:13">
      <c r="C14480" s="94"/>
      <c r="E14480" s="94"/>
      <c r="G14480" s="94"/>
      <c r="I14480" s="94"/>
      <c r="K14480" s="94"/>
      <c r="M14480" s="94"/>
    </row>
    <row r="14481" s="93" customFormat="1" spans="3:13">
      <c r="C14481" s="94"/>
      <c r="E14481" s="94"/>
      <c r="G14481" s="94"/>
      <c r="I14481" s="94"/>
      <c r="K14481" s="94"/>
      <c r="M14481" s="94"/>
    </row>
    <row r="14482" s="93" customFormat="1" spans="3:13">
      <c r="C14482" s="94"/>
      <c r="E14482" s="94"/>
      <c r="G14482" s="94"/>
      <c r="I14482" s="94"/>
      <c r="K14482" s="94"/>
      <c r="M14482" s="94"/>
    </row>
    <row r="14483" s="93" customFormat="1" spans="3:13">
      <c r="C14483" s="94"/>
      <c r="E14483" s="94"/>
      <c r="G14483" s="94"/>
      <c r="I14483" s="94"/>
      <c r="K14483" s="94"/>
      <c r="M14483" s="94"/>
    </row>
    <row r="14484" s="93" customFormat="1" spans="3:13">
      <c r="C14484" s="94"/>
      <c r="E14484" s="94"/>
      <c r="G14484" s="94"/>
      <c r="I14484" s="94"/>
      <c r="K14484" s="94"/>
      <c r="M14484" s="94"/>
    </row>
    <row r="14485" s="93" customFormat="1" spans="3:13">
      <c r="C14485" s="94"/>
      <c r="E14485" s="94"/>
      <c r="G14485" s="94"/>
      <c r="I14485" s="94"/>
      <c r="K14485" s="94"/>
      <c r="M14485" s="94"/>
    </row>
    <row r="14486" s="93" customFormat="1" spans="3:13">
      <c r="C14486" s="94"/>
      <c r="E14486" s="94"/>
      <c r="G14486" s="94"/>
      <c r="I14486" s="94"/>
      <c r="K14486" s="94"/>
      <c r="M14486" s="94"/>
    </row>
    <row r="14487" s="93" customFormat="1" spans="3:13">
      <c r="C14487" s="94"/>
      <c r="E14487" s="94"/>
      <c r="G14487" s="94"/>
      <c r="I14487" s="94"/>
      <c r="K14487" s="94"/>
      <c r="M14487" s="94"/>
    </row>
    <row r="14488" s="93" customFormat="1" spans="3:13">
      <c r="C14488" s="94"/>
      <c r="E14488" s="94"/>
      <c r="G14488" s="94"/>
      <c r="I14488" s="94"/>
      <c r="K14488" s="94"/>
      <c r="M14488" s="94"/>
    </row>
    <row r="14489" s="93" customFormat="1" spans="3:13">
      <c r="C14489" s="94"/>
      <c r="E14489" s="94"/>
      <c r="G14489" s="94"/>
      <c r="I14489" s="94"/>
      <c r="K14489" s="94"/>
      <c r="M14489" s="94"/>
    </row>
    <row r="14490" s="93" customFormat="1" spans="3:13">
      <c r="C14490" s="94"/>
      <c r="E14490" s="94"/>
      <c r="G14490" s="94"/>
      <c r="I14490" s="94"/>
      <c r="K14490" s="94"/>
      <c r="M14490" s="94"/>
    </row>
    <row r="14491" s="93" customFormat="1" spans="3:13">
      <c r="C14491" s="94"/>
      <c r="E14491" s="94"/>
      <c r="G14491" s="94"/>
      <c r="I14491" s="94"/>
      <c r="K14491" s="94"/>
      <c r="M14491" s="94"/>
    </row>
    <row r="14492" s="93" customFormat="1" spans="3:13">
      <c r="C14492" s="94"/>
      <c r="E14492" s="94"/>
      <c r="G14492" s="94"/>
      <c r="I14492" s="94"/>
      <c r="K14492" s="94"/>
      <c r="M14492" s="94"/>
    </row>
    <row r="14493" s="93" customFormat="1" spans="3:13">
      <c r="C14493" s="94"/>
      <c r="E14493" s="94"/>
      <c r="G14493" s="94"/>
      <c r="I14493" s="94"/>
      <c r="K14493" s="94"/>
      <c r="M14493" s="94"/>
    </row>
    <row r="14494" s="93" customFormat="1" spans="3:13">
      <c r="C14494" s="94"/>
      <c r="E14494" s="94"/>
      <c r="G14494" s="94"/>
      <c r="I14494" s="94"/>
      <c r="K14494" s="94"/>
      <c r="M14494" s="94"/>
    </row>
    <row r="14495" s="93" customFormat="1" spans="3:13">
      <c r="C14495" s="94"/>
      <c r="E14495" s="94"/>
      <c r="G14495" s="94"/>
      <c r="I14495" s="94"/>
      <c r="K14495" s="94"/>
      <c r="M14495" s="94"/>
    </row>
    <row r="14496" s="93" customFormat="1" spans="3:13">
      <c r="C14496" s="94"/>
      <c r="E14496" s="94"/>
      <c r="G14496" s="94"/>
      <c r="I14496" s="94"/>
      <c r="K14496" s="94"/>
      <c r="M14496" s="94"/>
    </row>
    <row r="14497" s="93" customFormat="1" spans="3:13">
      <c r="C14497" s="94"/>
      <c r="E14497" s="94"/>
      <c r="G14497" s="94"/>
      <c r="I14497" s="94"/>
      <c r="K14497" s="94"/>
      <c r="M14497" s="94"/>
    </row>
    <row r="14498" s="93" customFormat="1" spans="3:13">
      <c r="C14498" s="94"/>
      <c r="E14498" s="94"/>
      <c r="G14498" s="94"/>
      <c r="I14498" s="94"/>
      <c r="K14498" s="94"/>
      <c r="M14498" s="94"/>
    </row>
    <row r="14499" s="93" customFormat="1" spans="3:13">
      <c r="C14499" s="94"/>
      <c r="E14499" s="94"/>
      <c r="G14499" s="94"/>
      <c r="I14499" s="94"/>
      <c r="K14499" s="94"/>
      <c r="M14499" s="94"/>
    </row>
    <row r="14500" s="93" customFormat="1" spans="3:13">
      <c r="C14500" s="94"/>
      <c r="E14500" s="94"/>
      <c r="G14500" s="94"/>
      <c r="I14500" s="94"/>
      <c r="K14500" s="94"/>
      <c r="M14500" s="94"/>
    </row>
    <row r="14501" s="93" customFormat="1" spans="3:13">
      <c r="C14501" s="94"/>
      <c r="E14501" s="94"/>
      <c r="G14501" s="94"/>
      <c r="I14501" s="94"/>
      <c r="K14501" s="94"/>
      <c r="M14501" s="94"/>
    </row>
    <row r="14502" s="93" customFormat="1" spans="3:13">
      <c r="C14502" s="94"/>
      <c r="E14502" s="94"/>
      <c r="G14502" s="94"/>
      <c r="I14502" s="94"/>
      <c r="K14502" s="94"/>
      <c r="M14502" s="94"/>
    </row>
    <row r="14503" s="93" customFormat="1" spans="3:13">
      <c r="C14503" s="94"/>
      <c r="E14503" s="94"/>
      <c r="G14503" s="94"/>
      <c r="I14503" s="94"/>
      <c r="K14503" s="94"/>
      <c r="M14503" s="94"/>
    </row>
    <row r="14504" s="93" customFormat="1" spans="3:13">
      <c r="C14504" s="94"/>
      <c r="E14504" s="94"/>
      <c r="G14504" s="94"/>
      <c r="I14504" s="94"/>
      <c r="K14504" s="94"/>
      <c r="M14504" s="94"/>
    </row>
    <row r="14505" s="93" customFormat="1" spans="3:13">
      <c r="C14505" s="94"/>
      <c r="E14505" s="94"/>
      <c r="G14505" s="94"/>
      <c r="I14505" s="94"/>
      <c r="K14505" s="94"/>
      <c r="M14505" s="94"/>
    </row>
    <row r="14506" s="93" customFormat="1" spans="3:13">
      <c r="C14506" s="94"/>
      <c r="E14506" s="94"/>
      <c r="G14506" s="94"/>
      <c r="I14506" s="94"/>
      <c r="K14506" s="94"/>
      <c r="M14506" s="94"/>
    </row>
    <row r="14507" s="93" customFormat="1" spans="3:13">
      <c r="C14507" s="94"/>
      <c r="E14507" s="94"/>
      <c r="G14507" s="94"/>
      <c r="I14507" s="94"/>
      <c r="K14507" s="94"/>
      <c r="M14507" s="94"/>
    </row>
    <row r="14508" s="93" customFormat="1" spans="3:13">
      <c r="C14508" s="94"/>
      <c r="E14508" s="94"/>
      <c r="G14508" s="94"/>
      <c r="I14508" s="94"/>
      <c r="K14508" s="94"/>
      <c r="M14508" s="94"/>
    </row>
    <row r="14509" s="93" customFormat="1" spans="3:13">
      <c r="C14509" s="94"/>
      <c r="E14509" s="94"/>
      <c r="G14509" s="94"/>
      <c r="I14509" s="94"/>
      <c r="K14509" s="94"/>
      <c r="M14509" s="94"/>
    </row>
    <row r="14510" s="93" customFormat="1" spans="3:13">
      <c r="C14510" s="94"/>
      <c r="E14510" s="94"/>
      <c r="G14510" s="94"/>
      <c r="I14510" s="94"/>
      <c r="K14510" s="94"/>
      <c r="M14510" s="94"/>
    </row>
    <row r="14511" s="93" customFormat="1" spans="3:13">
      <c r="C14511" s="94"/>
      <c r="E14511" s="94"/>
      <c r="G14511" s="94"/>
      <c r="I14511" s="94"/>
      <c r="K14511" s="94"/>
      <c r="M14511" s="94"/>
    </row>
    <row r="14512" s="93" customFormat="1" spans="3:13">
      <c r="C14512" s="94"/>
      <c r="E14512" s="94"/>
      <c r="G14512" s="94"/>
      <c r="I14512" s="94"/>
      <c r="K14512" s="94"/>
      <c r="M14512" s="94"/>
    </row>
    <row r="14513" s="93" customFormat="1" spans="3:13">
      <c r="C14513" s="94"/>
      <c r="E14513" s="94"/>
      <c r="G14513" s="94"/>
      <c r="I14513" s="94"/>
      <c r="K14513" s="94"/>
      <c r="M14513" s="94"/>
    </row>
    <row r="14514" s="93" customFormat="1" spans="3:13">
      <c r="C14514" s="94"/>
      <c r="E14514" s="94"/>
      <c r="G14514" s="94"/>
      <c r="I14514" s="94"/>
      <c r="K14514" s="94"/>
      <c r="M14514" s="94"/>
    </row>
    <row r="14515" s="93" customFormat="1" spans="3:13">
      <c r="C14515" s="94"/>
      <c r="E14515" s="94"/>
      <c r="G14515" s="94"/>
      <c r="I14515" s="94"/>
      <c r="K14515" s="94"/>
      <c r="M14515" s="94"/>
    </row>
    <row r="14516" s="93" customFormat="1" spans="3:13">
      <c r="C14516" s="94"/>
      <c r="E14516" s="94"/>
      <c r="G14516" s="94"/>
      <c r="I14516" s="94"/>
      <c r="K14516" s="94"/>
      <c r="M14516" s="94"/>
    </row>
    <row r="14517" s="93" customFormat="1" spans="3:13">
      <c r="C14517" s="94"/>
      <c r="E14517" s="94"/>
      <c r="G14517" s="94"/>
      <c r="I14517" s="94"/>
      <c r="K14517" s="94"/>
      <c r="M14517" s="94"/>
    </row>
    <row r="14518" s="93" customFormat="1" spans="3:13">
      <c r="C14518" s="94"/>
      <c r="E14518" s="94"/>
      <c r="G14518" s="94"/>
      <c r="I14518" s="94"/>
      <c r="K14518" s="94"/>
      <c r="M14518" s="94"/>
    </row>
    <row r="14519" s="93" customFormat="1" spans="3:13">
      <c r="C14519" s="94"/>
      <c r="E14519" s="94"/>
      <c r="G14519" s="94"/>
      <c r="I14519" s="94"/>
      <c r="K14519" s="94"/>
      <c r="M14519" s="94"/>
    </row>
    <row r="14520" s="93" customFormat="1" spans="3:13">
      <c r="C14520" s="94"/>
      <c r="E14520" s="94"/>
      <c r="G14520" s="94"/>
      <c r="I14520" s="94"/>
      <c r="K14520" s="94"/>
      <c r="M14520" s="94"/>
    </row>
    <row r="14521" s="93" customFormat="1" spans="3:13">
      <c r="C14521" s="94"/>
      <c r="E14521" s="94"/>
      <c r="G14521" s="94"/>
      <c r="I14521" s="94"/>
      <c r="K14521" s="94"/>
      <c r="M14521" s="94"/>
    </row>
    <row r="14522" s="93" customFormat="1" spans="3:13">
      <c r="C14522" s="94"/>
      <c r="E14522" s="94"/>
      <c r="G14522" s="94"/>
      <c r="I14522" s="94"/>
      <c r="K14522" s="94"/>
      <c r="M14522" s="94"/>
    </row>
    <row r="14523" s="93" customFormat="1" spans="3:13">
      <c r="C14523" s="94"/>
      <c r="E14523" s="94"/>
      <c r="G14523" s="94"/>
      <c r="I14523" s="94"/>
      <c r="K14523" s="94"/>
      <c r="M14523" s="94"/>
    </row>
    <row r="14524" s="93" customFormat="1" spans="3:13">
      <c r="C14524" s="94"/>
      <c r="E14524" s="94"/>
      <c r="G14524" s="94"/>
      <c r="I14524" s="94"/>
      <c r="K14524" s="94"/>
      <c r="M14524" s="94"/>
    </row>
    <row r="14525" s="93" customFormat="1" spans="3:13">
      <c r="C14525" s="94"/>
      <c r="E14525" s="94"/>
      <c r="G14525" s="94"/>
      <c r="I14525" s="94"/>
      <c r="K14525" s="94"/>
      <c r="M14525" s="94"/>
    </row>
    <row r="14526" s="93" customFormat="1" spans="3:13">
      <c r="C14526" s="94"/>
      <c r="E14526" s="94"/>
      <c r="G14526" s="94"/>
      <c r="I14526" s="94"/>
      <c r="K14526" s="94"/>
      <c r="M14526" s="94"/>
    </row>
    <row r="14527" s="93" customFormat="1" spans="3:13">
      <c r="C14527" s="94"/>
      <c r="E14527" s="94"/>
      <c r="G14527" s="94"/>
      <c r="I14527" s="94"/>
      <c r="K14527" s="94"/>
      <c r="M14527" s="94"/>
    </row>
    <row r="14528" s="93" customFormat="1" spans="3:13">
      <c r="C14528" s="94"/>
      <c r="E14528" s="94"/>
      <c r="G14528" s="94"/>
      <c r="I14528" s="94"/>
      <c r="K14528" s="94"/>
      <c r="M14528" s="94"/>
    </row>
    <row r="14529" s="93" customFormat="1" spans="3:13">
      <c r="C14529" s="94"/>
      <c r="E14529" s="94"/>
      <c r="G14529" s="94"/>
      <c r="I14529" s="94"/>
      <c r="K14529" s="94"/>
      <c r="M14529" s="94"/>
    </row>
    <row r="14530" s="93" customFormat="1" spans="3:13">
      <c r="C14530" s="94"/>
      <c r="E14530" s="94"/>
      <c r="G14530" s="94"/>
      <c r="I14530" s="94"/>
      <c r="K14530" s="94"/>
      <c r="M14530" s="94"/>
    </row>
    <row r="14531" s="93" customFormat="1" spans="3:13">
      <c r="C14531" s="94"/>
      <c r="E14531" s="94"/>
      <c r="G14531" s="94"/>
      <c r="I14531" s="94"/>
      <c r="K14531" s="94"/>
      <c r="M14531" s="94"/>
    </row>
    <row r="14532" s="93" customFormat="1" spans="3:13">
      <c r="C14532" s="94"/>
      <c r="E14532" s="94"/>
      <c r="G14532" s="94"/>
      <c r="I14532" s="94"/>
      <c r="K14532" s="94"/>
      <c r="M14532" s="94"/>
    </row>
    <row r="14533" s="93" customFormat="1" spans="3:13">
      <c r="C14533" s="94"/>
      <c r="E14533" s="94"/>
      <c r="G14533" s="94"/>
      <c r="I14533" s="94"/>
      <c r="K14533" s="94"/>
      <c r="M14533" s="94"/>
    </row>
    <row r="14534" s="93" customFormat="1" spans="3:13">
      <c r="C14534" s="94"/>
      <c r="E14534" s="94"/>
      <c r="G14534" s="94"/>
      <c r="I14534" s="94"/>
      <c r="K14534" s="94"/>
      <c r="M14534" s="94"/>
    </row>
    <row r="14535" s="93" customFormat="1" spans="3:13">
      <c r="C14535" s="94"/>
      <c r="E14535" s="94"/>
      <c r="G14535" s="94"/>
      <c r="I14535" s="94"/>
      <c r="K14535" s="94"/>
      <c r="M14535" s="94"/>
    </row>
    <row r="14536" s="93" customFormat="1" spans="3:13">
      <c r="C14536" s="94"/>
      <c r="E14536" s="94"/>
      <c r="G14536" s="94"/>
      <c r="I14536" s="94"/>
      <c r="K14536" s="94"/>
      <c r="M14536" s="94"/>
    </row>
    <row r="14537" s="93" customFormat="1" spans="3:13">
      <c r="C14537" s="94"/>
      <c r="E14537" s="94"/>
      <c r="G14537" s="94"/>
      <c r="I14537" s="94"/>
      <c r="K14537" s="94"/>
      <c r="M14537" s="94"/>
    </row>
    <row r="14538" s="93" customFormat="1" spans="3:13">
      <c r="C14538" s="94"/>
      <c r="E14538" s="94"/>
      <c r="G14538" s="94"/>
      <c r="I14538" s="94"/>
      <c r="K14538" s="94"/>
      <c r="M14538" s="94"/>
    </row>
    <row r="14539" s="93" customFormat="1" spans="3:13">
      <c r="C14539" s="94"/>
      <c r="E14539" s="94"/>
      <c r="G14539" s="94"/>
      <c r="I14539" s="94"/>
      <c r="K14539" s="94"/>
      <c r="M14539" s="94"/>
    </row>
    <row r="14540" s="93" customFormat="1" spans="3:13">
      <c r="C14540" s="94"/>
      <c r="E14540" s="94"/>
      <c r="G14540" s="94"/>
      <c r="I14540" s="94"/>
      <c r="K14540" s="94"/>
      <c r="M14540" s="94"/>
    </row>
    <row r="14541" s="93" customFormat="1" spans="3:13">
      <c r="C14541" s="94"/>
      <c r="E14541" s="94"/>
      <c r="G14541" s="94"/>
      <c r="I14541" s="94"/>
      <c r="K14541" s="94"/>
      <c r="M14541" s="94"/>
    </row>
    <row r="14542" s="93" customFormat="1" spans="3:13">
      <c r="C14542" s="94"/>
      <c r="E14542" s="94"/>
      <c r="G14542" s="94"/>
      <c r="I14542" s="94"/>
      <c r="K14542" s="94"/>
      <c r="M14542" s="94"/>
    </row>
    <row r="14543" s="93" customFormat="1" spans="3:13">
      <c r="C14543" s="94"/>
      <c r="E14543" s="94"/>
      <c r="G14543" s="94"/>
      <c r="I14543" s="94"/>
      <c r="K14543" s="94"/>
      <c r="M14543" s="94"/>
    </row>
    <row r="14544" s="93" customFormat="1" spans="3:13">
      <c r="C14544" s="94"/>
      <c r="E14544" s="94"/>
      <c r="G14544" s="94"/>
      <c r="I14544" s="94"/>
      <c r="K14544" s="94"/>
      <c r="M14544" s="94"/>
    </row>
    <row r="14545" s="93" customFormat="1" spans="3:13">
      <c r="C14545" s="94"/>
      <c r="E14545" s="94"/>
      <c r="G14545" s="94"/>
      <c r="I14545" s="94"/>
      <c r="K14545" s="94"/>
      <c r="M14545" s="94"/>
    </row>
    <row r="14546" s="93" customFormat="1" spans="3:13">
      <c r="C14546" s="94"/>
      <c r="E14546" s="94"/>
      <c r="G14546" s="94"/>
      <c r="I14546" s="94"/>
      <c r="K14546" s="94"/>
      <c r="M14546" s="94"/>
    </row>
    <row r="14547" s="93" customFormat="1" spans="3:13">
      <c r="C14547" s="94"/>
      <c r="E14547" s="94"/>
      <c r="G14547" s="94"/>
      <c r="I14547" s="94"/>
      <c r="K14547" s="94"/>
      <c r="M14547" s="94"/>
    </row>
    <row r="14548" s="93" customFormat="1" spans="3:13">
      <c r="C14548" s="94"/>
      <c r="E14548" s="94"/>
      <c r="G14548" s="94"/>
      <c r="I14548" s="94"/>
      <c r="K14548" s="94"/>
      <c r="M14548" s="94"/>
    </row>
    <row r="14549" s="93" customFormat="1" spans="3:13">
      <c r="C14549" s="94"/>
      <c r="E14549" s="94"/>
      <c r="G14549" s="94"/>
      <c r="I14549" s="94"/>
      <c r="K14549" s="94"/>
      <c r="M14549" s="94"/>
    </row>
    <row r="14550" s="93" customFormat="1" spans="3:13">
      <c r="C14550" s="94"/>
      <c r="E14550" s="94"/>
      <c r="G14550" s="94"/>
      <c r="I14550" s="94"/>
      <c r="K14550" s="94"/>
      <c r="M14550" s="94"/>
    </row>
    <row r="14551" s="93" customFormat="1" spans="3:13">
      <c r="C14551" s="94"/>
      <c r="E14551" s="94"/>
      <c r="G14551" s="94"/>
      <c r="I14551" s="94"/>
      <c r="K14551" s="94"/>
      <c r="M14551" s="94"/>
    </row>
    <row r="14552" s="93" customFormat="1" spans="3:13">
      <c r="C14552" s="94"/>
      <c r="E14552" s="94"/>
      <c r="G14552" s="94"/>
      <c r="I14552" s="94"/>
      <c r="K14552" s="94"/>
      <c r="M14552" s="94"/>
    </row>
    <row r="14553" s="93" customFormat="1" spans="3:13">
      <c r="C14553" s="94"/>
      <c r="E14553" s="94"/>
      <c r="G14553" s="94"/>
      <c r="I14553" s="94"/>
      <c r="K14553" s="94"/>
      <c r="M14553" s="94"/>
    </row>
    <row r="14554" s="93" customFormat="1" spans="3:13">
      <c r="C14554" s="94"/>
      <c r="E14554" s="94"/>
      <c r="G14554" s="94"/>
      <c r="I14554" s="94"/>
      <c r="K14554" s="94"/>
      <c r="M14554" s="94"/>
    </row>
    <row r="14555" s="93" customFormat="1" spans="3:13">
      <c r="C14555" s="94"/>
      <c r="E14555" s="94"/>
      <c r="G14555" s="94"/>
      <c r="I14555" s="94"/>
      <c r="K14555" s="94"/>
      <c r="M14555" s="94"/>
    </row>
    <row r="14556" s="93" customFormat="1" spans="3:13">
      <c r="C14556" s="94"/>
      <c r="E14556" s="94"/>
      <c r="G14556" s="94"/>
      <c r="I14556" s="94"/>
      <c r="K14556" s="94"/>
      <c r="M14556" s="94"/>
    </row>
    <row r="14557" s="93" customFormat="1" spans="3:13">
      <c r="C14557" s="94"/>
      <c r="E14557" s="94"/>
      <c r="G14557" s="94"/>
      <c r="I14557" s="94"/>
      <c r="K14557" s="94"/>
      <c r="M14557" s="94"/>
    </row>
    <row r="14558" s="93" customFormat="1" spans="3:13">
      <c r="C14558" s="94"/>
      <c r="E14558" s="94"/>
      <c r="G14558" s="94"/>
      <c r="I14558" s="94"/>
      <c r="K14558" s="94"/>
      <c r="M14558" s="94"/>
    </row>
    <row r="14559" s="93" customFormat="1" spans="3:13">
      <c r="C14559" s="94"/>
      <c r="E14559" s="94"/>
      <c r="G14559" s="94"/>
      <c r="I14559" s="94"/>
      <c r="K14559" s="94"/>
      <c r="M14559" s="94"/>
    </row>
    <row r="14560" s="93" customFormat="1" spans="3:13">
      <c r="C14560" s="94"/>
      <c r="E14560" s="94"/>
      <c r="G14560" s="94"/>
      <c r="I14560" s="94"/>
      <c r="K14560" s="94"/>
      <c r="M14560" s="94"/>
    </row>
    <row r="14561" s="93" customFormat="1" spans="3:13">
      <c r="C14561" s="94"/>
      <c r="E14561" s="94"/>
      <c r="G14561" s="94"/>
      <c r="I14561" s="94"/>
      <c r="K14561" s="94"/>
      <c r="M14561" s="94"/>
    </row>
    <row r="14562" s="93" customFormat="1" spans="3:13">
      <c r="C14562" s="94"/>
      <c r="E14562" s="94"/>
      <c r="G14562" s="94"/>
      <c r="I14562" s="94"/>
      <c r="K14562" s="94"/>
      <c r="M14562" s="94"/>
    </row>
    <row r="14563" s="93" customFormat="1" spans="3:13">
      <c r="C14563" s="94"/>
      <c r="E14563" s="94"/>
      <c r="G14563" s="94"/>
      <c r="I14563" s="94"/>
      <c r="K14563" s="94"/>
      <c r="M14563" s="94"/>
    </row>
    <row r="14564" s="93" customFormat="1" spans="3:13">
      <c r="C14564" s="94"/>
      <c r="E14564" s="94"/>
      <c r="G14564" s="94"/>
      <c r="I14564" s="94"/>
      <c r="K14564" s="94"/>
      <c r="M14564" s="94"/>
    </row>
    <row r="14565" s="93" customFormat="1" spans="3:13">
      <c r="C14565" s="94"/>
      <c r="E14565" s="94"/>
      <c r="G14565" s="94"/>
      <c r="I14565" s="94"/>
      <c r="K14565" s="94"/>
      <c r="M14565" s="94"/>
    </row>
    <row r="14566" s="93" customFormat="1" spans="3:13">
      <c r="C14566" s="94"/>
      <c r="E14566" s="94"/>
      <c r="G14566" s="94"/>
      <c r="I14566" s="94"/>
      <c r="K14566" s="94"/>
      <c r="M14566" s="94"/>
    </row>
    <row r="14567" s="93" customFormat="1" spans="3:13">
      <c r="C14567" s="94"/>
      <c r="E14567" s="94"/>
      <c r="G14567" s="94"/>
      <c r="I14567" s="94"/>
      <c r="K14567" s="94"/>
      <c r="M14567" s="94"/>
    </row>
    <row r="14568" s="93" customFormat="1" spans="3:13">
      <c r="C14568" s="94"/>
      <c r="E14568" s="94"/>
      <c r="G14568" s="94"/>
      <c r="I14568" s="94"/>
      <c r="K14568" s="94"/>
      <c r="M14568" s="94"/>
    </row>
    <row r="14569" s="93" customFormat="1" spans="3:13">
      <c r="C14569" s="94"/>
      <c r="E14569" s="94"/>
      <c r="G14569" s="94"/>
      <c r="I14569" s="94"/>
      <c r="K14569" s="94"/>
      <c r="M14569" s="94"/>
    </row>
    <row r="14570" s="93" customFormat="1" spans="3:13">
      <c r="C14570" s="94"/>
      <c r="E14570" s="94"/>
      <c r="G14570" s="94"/>
      <c r="I14570" s="94"/>
      <c r="K14570" s="94"/>
      <c r="M14570" s="94"/>
    </row>
    <row r="14571" s="93" customFormat="1" spans="3:13">
      <c r="C14571" s="94"/>
      <c r="E14571" s="94"/>
      <c r="G14571" s="94"/>
      <c r="I14571" s="94"/>
      <c r="K14571" s="94"/>
      <c r="M14571" s="94"/>
    </row>
    <row r="14572" s="93" customFormat="1" spans="3:13">
      <c r="C14572" s="94"/>
      <c r="E14572" s="94"/>
      <c r="G14572" s="94"/>
      <c r="I14572" s="94"/>
      <c r="K14572" s="94"/>
      <c r="M14572" s="94"/>
    </row>
    <row r="14573" s="93" customFormat="1" spans="3:13">
      <c r="C14573" s="94"/>
      <c r="E14573" s="94"/>
      <c r="G14573" s="94"/>
      <c r="I14573" s="94"/>
      <c r="K14573" s="94"/>
      <c r="M14573" s="94"/>
    </row>
    <row r="14574" s="93" customFormat="1" spans="3:13">
      <c r="C14574" s="94"/>
      <c r="E14574" s="94"/>
      <c r="G14574" s="94"/>
      <c r="I14574" s="94"/>
      <c r="K14574" s="94"/>
      <c r="M14574" s="94"/>
    </row>
    <row r="14575" s="93" customFormat="1" spans="3:13">
      <c r="C14575" s="94"/>
      <c r="E14575" s="94"/>
      <c r="G14575" s="94"/>
      <c r="I14575" s="94"/>
      <c r="K14575" s="94"/>
      <c r="M14575" s="94"/>
    </row>
    <row r="14576" s="93" customFormat="1" spans="3:13">
      <c r="C14576" s="94"/>
      <c r="E14576" s="94"/>
      <c r="G14576" s="94"/>
      <c r="I14576" s="94"/>
      <c r="K14576" s="94"/>
      <c r="M14576" s="94"/>
    </row>
    <row r="14577" s="93" customFormat="1" spans="3:13">
      <c r="C14577" s="94"/>
      <c r="E14577" s="94"/>
      <c r="G14577" s="94"/>
      <c r="I14577" s="94"/>
      <c r="K14577" s="94"/>
      <c r="M14577" s="94"/>
    </row>
    <row r="14578" s="93" customFormat="1" spans="3:13">
      <c r="C14578" s="94"/>
      <c r="E14578" s="94"/>
      <c r="G14578" s="94"/>
      <c r="I14578" s="94"/>
      <c r="K14578" s="94"/>
      <c r="M14578" s="94"/>
    </row>
    <row r="14579" s="93" customFormat="1" spans="3:13">
      <c r="C14579" s="94"/>
      <c r="E14579" s="94"/>
      <c r="G14579" s="94"/>
      <c r="I14579" s="94"/>
      <c r="K14579" s="94"/>
      <c r="M14579" s="94"/>
    </row>
    <row r="14580" s="93" customFormat="1" spans="3:13">
      <c r="C14580" s="94"/>
      <c r="E14580" s="94"/>
      <c r="G14580" s="94"/>
      <c r="I14580" s="94"/>
      <c r="K14580" s="94"/>
      <c r="M14580" s="94"/>
    </row>
    <row r="14581" s="93" customFormat="1" spans="3:13">
      <c r="C14581" s="94"/>
      <c r="E14581" s="94"/>
      <c r="G14581" s="94"/>
      <c r="I14581" s="94"/>
      <c r="K14581" s="94"/>
      <c r="M14581" s="94"/>
    </row>
    <row r="14582" s="93" customFormat="1" spans="3:13">
      <c r="C14582" s="94"/>
      <c r="E14582" s="94"/>
      <c r="G14582" s="94"/>
      <c r="I14582" s="94"/>
      <c r="K14582" s="94"/>
      <c r="M14582" s="94"/>
    </row>
    <row r="14583" s="93" customFormat="1" spans="3:13">
      <c r="C14583" s="94"/>
      <c r="E14583" s="94"/>
      <c r="G14583" s="94"/>
      <c r="I14583" s="94"/>
      <c r="K14583" s="94"/>
      <c r="M14583" s="94"/>
    </row>
    <row r="14584" s="93" customFormat="1" spans="3:13">
      <c r="C14584" s="94"/>
      <c r="E14584" s="94"/>
      <c r="G14584" s="94"/>
      <c r="I14584" s="94"/>
      <c r="K14584" s="94"/>
      <c r="M14584" s="94"/>
    </row>
    <row r="14585" s="93" customFormat="1" spans="3:13">
      <c r="C14585" s="94"/>
      <c r="E14585" s="94"/>
      <c r="G14585" s="94"/>
      <c r="I14585" s="94"/>
      <c r="K14585" s="94"/>
      <c r="M14585" s="94"/>
    </row>
    <row r="14586" s="93" customFormat="1" spans="3:13">
      <c r="C14586" s="94"/>
      <c r="E14586" s="94"/>
      <c r="G14586" s="94"/>
      <c r="I14586" s="94"/>
      <c r="K14586" s="94"/>
      <c r="M14586" s="94"/>
    </row>
    <row r="14587" s="93" customFormat="1" spans="3:13">
      <c r="C14587" s="94"/>
      <c r="E14587" s="94"/>
      <c r="G14587" s="94"/>
      <c r="I14587" s="94"/>
      <c r="K14587" s="94"/>
      <c r="M14587" s="94"/>
    </row>
    <row r="14588" s="93" customFormat="1" spans="3:13">
      <c r="C14588" s="94"/>
      <c r="E14588" s="94"/>
      <c r="G14588" s="94"/>
      <c r="I14588" s="94"/>
      <c r="K14588" s="94"/>
      <c r="M14588" s="94"/>
    </row>
    <row r="14589" s="93" customFormat="1" spans="3:13">
      <c r="C14589" s="94"/>
      <c r="E14589" s="94"/>
      <c r="G14589" s="94"/>
      <c r="I14589" s="94"/>
      <c r="K14589" s="94"/>
      <c r="M14589" s="94"/>
    </row>
    <row r="14590" s="93" customFormat="1" spans="3:13">
      <c r="C14590" s="94"/>
      <c r="E14590" s="94"/>
      <c r="G14590" s="94"/>
      <c r="I14590" s="94"/>
      <c r="K14590" s="94"/>
      <c r="M14590" s="94"/>
    </row>
    <row r="14591" s="93" customFormat="1" spans="3:13">
      <c r="C14591" s="94"/>
      <c r="E14591" s="94"/>
      <c r="G14591" s="94"/>
      <c r="I14591" s="94"/>
      <c r="K14591" s="94"/>
      <c r="M14591" s="94"/>
    </row>
    <row r="14592" s="93" customFormat="1" spans="3:13">
      <c r="C14592" s="94"/>
      <c r="E14592" s="94"/>
      <c r="G14592" s="94"/>
      <c r="I14592" s="94"/>
      <c r="K14592" s="94"/>
      <c r="M14592" s="94"/>
    </row>
    <row r="14593" s="93" customFormat="1" spans="3:13">
      <c r="C14593" s="94"/>
      <c r="E14593" s="94"/>
      <c r="G14593" s="94"/>
      <c r="I14593" s="94"/>
      <c r="K14593" s="94"/>
      <c r="M14593" s="94"/>
    </row>
    <row r="14594" s="93" customFormat="1" spans="3:13">
      <c r="C14594" s="94"/>
      <c r="E14594" s="94"/>
      <c r="G14594" s="94"/>
      <c r="I14594" s="94"/>
      <c r="K14594" s="94"/>
      <c r="M14594" s="94"/>
    </row>
    <row r="14595" s="93" customFormat="1" spans="3:13">
      <c r="C14595" s="94"/>
      <c r="E14595" s="94"/>
      <c r="G14595" s="94"/>
      <c r="I14595" s="94"/>
      <c r="K14595" s="94"/>
      <c r="M14595" s="94"/>
    </row>
    <row r="14596" s="93" customFormat="1" spans="3:13">
      <c r="C14596" s="94"/>
      <c r="E14596" s="94"/>
      <c r="G14596" s="94"/>
      <c r="I14596" s="94"/>
      <c r="K14596" s="94"/>
      <c r="M14596" s="94"/>
    </row>
    <row r="14597" s="93" customFormat="1" spans="3:13">
      <c r="C14597" s="94"/>
      <c r="E14597" s="94"/>
      <c r="G14597" s="94"/>
      <c r="I14597" s="94"/>
      <c r="K14597" s="94"/>
      <c r="M14597" s="94"/>
    </row>
    <row r="14598" s="93" customFormat="1" spans="3:13">
      <c r="C14598" s="94"/>
      <c r="E14598" s="94"/>
      <c r="G14598" s="94"/>
      <c r="I14598" s="94"/>
      <c r="K14598" s="94"/>
      <c r="M14598" s="94"/>
    </row>
    <row r="14599" s="93" customFormat="1" spans="3:13">
      <c r="C14599" s="94"/>
      <c r="E14599" s="94"/>
      <c r="G14599" s="94"/>
      <c r="I14599" s="94"/>
      <c r="K14599" s="94"/>
      <c r="M14599" s="94"/>
    </row>
    <row r="14600" s="93" customFormat="1" spans="3:13">
      <c r="C14600" s="94"/>
      <c r="E14600" s="94"/>
      <c r="G14600" s="94"/>
      <c r="I14600" s="94"/>
      <c r="K14600" s="94"/>
      <c r="M14600" s="94"/>
    </row>
    <row r="14601" s="93" customFormat="1" spans="3:13">
      <c r="C14601" s="94"/>
      <c r="E14601" s="94"/>
      <c r="G14601" s="94"/>
      <c r="I14601" s="94"/>
      <c r="K14601" s="94"/>
      <c r="M14601" s="94"/>
    </row>
    <row r="14602" s="93" customFormat="1" spans="3:13">
      <c r="C14602" s="94"/>
      <c r="E14602" s="94"/>
      <c r="G14602" s="94"/>
      <c r="I14602" s="94"/>
      <c r="K14602" s="94"/>
      <c r="M14602" s="94"/>
    </row>
    <row r="14603" s="93" customFormat="1" spans="3:13">
      <c r="C14603" s="94"/>
      <c r="E14603" s="94"/>
      <c r="G14603" s="94"/>
      <c r="I14603" s="94"/>
      <c r="K14603" s="94"/>
      <c r="M14603" s="94"/>
    </row>
    <row r="14604" s="93" customFormat="1" spans="3:13">
      <c r="C14604" s="94"/>
      <c r="E14604" s="94"/>
      <c r="G14604" s="94"/>
      <c r="I14604" s="94"/>
      <c r="K14604" s="94"/>
      <c r="M14604" s="94"/>
    </row>
    <row r="14605" s="93" customFormat="1" spans="3:13">
      <c r="C14605" s="94"/>
      <c r="E14605" s="94"/>
      <c r="G14605" s="94"/>
      <c r="I14605" s="94"/>
      <c r="K14605" s="94"/>
      <c r="M14605" s="94"/>
    </row>
    <row r="14606" s="93" customFormat="1" spans="3:13">
      <c r="C14606" s="94"/>
      <c r="E14606" s="94"/>
      <c r="G14606" s="94"/>
      <c r="I14606" s="94"/>
      <c r="K14606" s="94"/>
      <c r="M14606" s="94"/>
    </row>
    <row r="14607" s="93" customFormat="1" spans="3:13">
      <c r="C14607" s="94"/>
      <c r="E14607" s="94"/>
      <c r="G14607" s="94"/>
      <c r="I14607" s="94"/>
      <c r="K14607" s="94"/>
      <c r="M14607" s="94"/>
    </row>
    <row r="14608" s="93" customFormat="1" spans="3:13">
      <c r="C14608" s="94"/>
      <c r="E14608" s="94"/>
      <c r="G14608" s="94"/>
      <c r="I14608" s="94"/>
      <c r="K14608" s="94"/>
      <c r="M14608" s="94"/>
    </row>
    <row r="14609" s="93" customFormat="1" spans="3:13">
      <c r="C14609" s="94"/>
      <c r="E14609" s="94"/>
      <c r="G14609" s="94"/>
      <c r="I14609" s="94"/>
      <c r="K14609" s="94"/>
      <c r="M14609" s="94"/>
    </row>
    <row r="14610" s="93" customFormat="1" spans="3:13">
      <c r="C14610" s="94"/>
      <c r="E14610" s="94"/>
      <c r="G14610" s="94"/>
      <c r="I14610" s="94"/>
      <c r="K14610" s="94"/>
      <c r="M14610" s="94"/>
    </row>
    <row r="14611" s="93" customFormat="1" spans="3:13">
      <c r="C14611" s="94"/>
      <c r="E14611" s="94"/>
      <c r="G14611" s="94"/>
      <c r="I14611" s="94"/>
      <c r="K14611" s="94"/>
      <c r="M14611" s="94"/>
    </row>
    <row r="14612" s="93" customFormat="1" spans="3:13">
      <c r="C14612" s="94"/>
      <c r="E14612" s="94"/>
      <c r="G14612" s="94"/>
      <c r="I14612" s="94"/>
      <c r="K14612" s="94"/>
      <c r="M14612" s="94"/>
    </row>
    <row r="14613" s="93" customFormat="1" spans="3:13">
      <c r="C14613" s="94"/>
      <c r="E14613" s="94"/>
      <c r="G14613" s="94"/>
      <c r="I14613" s="94"/>
      <c r="K14613" s="94"/>
      <c r="M14613" s="94"/>
    </row>
    <row r="14614" s="93" customFormat="1" spans="3:13">
      <c r="C14614" s="94"/>
      <c r="E14614" s="94"/>
      <c r="G14614" s="94"/>
      <c r="I14614" s="94"/>
      <c r="K14614" s="94"/>
      <c r="M14614" s="94"/>
    </row>
    <row r="14615" s="93" customFormat="1" spans="3:13">
      <c r="C14615" s="94"/>
      <c r="E14615" s="94"/>
      <c r="G14615" s="94"/>
      <c r="I14615" s="94"/>
      <c r="K14615" s="94"/>
      <c r="M14615" s="94"/>
    </row>
    <row r="14616" s="93" customFormat="1" spans="3:13">
      <c r="C14616" s="94"/>
      <c r="E14616" s="94"/>
      <c r="G14616" s="94"/>
      <c r="I14616" s="94"/>
      <c r="K14616" s="94"/>
      <c r="M14616" s="94"/>
    </row>
    <row r="14617" s="93" customFormat="1" spans="3:13">
      <c r="C14617" s="94"/>
      <c r="E14617" s="94"/>
      <c r="G14617" s="94"/>
      <c r="I14617" s="94"/>
      <c r="K14617" s="94"/>
      <c r="M14617" s="94"/>
    </row>
    <row r="14618" s="93" customFormat="1" spans="3:13">
      <c r="C14618" s="94"/>
      <c r="E14618" s="94"/>
      <c r="G14618" s="94"/>
      <c r="I14618" s="94"/>
      <c r="K14618" s="94"/>
      <c r="M14618" s="94"/>
    </row>
    <row r="14619" s="93" customFormat="1" spans="3:13">
      <c r="C14619" s="94"/>
      <c r="E14619" s="94"/>
      <c r="G14619" s="94"/>
      <c r="I14619" s="94"/>
      <c r="K14619" s="94"/>
      <c r="M14619" s="94"/>
    </row>
    <row r="14620" s="93" customFormat="1" spans="3:13">
      <c r="C14620" s="94"/>
      <c r="E14620" s="94"/>
      <c r="G14620" s="94"/>
      <c r="I14620" s="94"/>
      <c r="K14620" s="94"/>
      <c r="M14620" s="94"/>
    </row>
    <row r="14621" s="93" customFormat="1" spans="3:13">
      <c r="C14621" s="94"/>
      <c r="E14621" s="94"/>
      <c r="G14621" s="94"/>
      <c r="I14621" s="94"/>
      <c r="K14621" s="94"/>
      <c r="M14621" s="94"/>
    </row>
    <row r="14622" s="93" customFormat="1" spans="3:13">
      <c r="C14622" s="94"/>
      <c r="E14622" s="94"/>
      <c r="G14622" s="94"/>
      <c r="I14622" s="94"/>
      <c r="K14622" s="94"/>
      <c r="M14622" s="94"/>
    </row>
    <row r="14623" s="93" customFormat="1" spans="3:13">
      <c r="C14623" s="94"/>
      <c r="E14623" s="94"/>
      <c r="G14623" s="94"/>
      <c r="I14623" s="94"/>
      <c r="K14623" s="94"/>
      <c r="M14623" s="94"/>
    </row>
    <row r="14624" s="93" customFormat="1" spans="3:13">
      <c r="C14624" s="94"/>
      <c r="E14624" s="94"/>
      <c r="G14624" s="94"/>
      <c r="I14624" s="94"/>
      <c r="K14624" s="94"/>
      <c r="M14624" s="94"/>
    </row>
    <row r="14625" s="93" customFormat="1" spans="3:13">
      <c r="C14625" s="94"/>
      <c r="E14625" s="94"/>
      <c r="G14625" s="94"/>
      <c r="I14625" s="94"/>
      <c r="K14625" s="94"/>
      <c r="M14625" s="94"/>
    </row>
    <row r="14626" s="93" customFormat="1" spans="3:13">
      <c r="C14626" s="94"/>
      <c r="E14626" s="94"/>
      <c r="G14626" s="94"/>
      <c r="I14626" s="94"/>
      <c r="K14626" s="94"/>
      <c r="M14626" s="94"/>
    </row>
    <row r="14627" s="93" customFormat="1" spans="3:13">
      <c r="C14627" s="94"/>
      <c r="E14627" s="94"/>
      <c r="G14627" s="94"/>
      <c r="I14627" s="94"/>
      <c r="K14627" s="94"/>
      <c r="M14627" s="94"/>
    </row>
    <row r="14628" s="93" customFormat="1" spans="3:13">
      <c r="C14628" s="94"/>
      <c r="E14628" s="94"/>
      <c r="G14628" s="94"/>
      <c r="I14628" s="94"/>
      <c r="K14628" s="94"/>
      <c r="M14628" s="94"/>
    </row>
    <row r="14629" s="93" customFormat="1" spans="3:13">
      <c r="C14629" s="94"/>
      <c r="E14629" s="94"/>
      <c r="G14629" s="94"/>
      <c r="I14629" s="94"/>
      <c r="K14629" s="94"/>
      <c r="M14629" s="94"/>
    </row>
    <row r="14630" s="93" customFormat="1" spans="3:13">
      <c r="C14630" s="94"/>
      <c r="E14630" s="94"/>
      <c r="G14630" s="94"/>
      <c r="I14630" s="94"/>
      <c r="K14630" s="94"/>
      <c r="M14630" s="94"/>
    </row>
    <row r="14631" s="93" customFormat="1" spans="3:13">
      <c r="C14631" s="94"/>
      <c r="E14631" s="94"/>
      <c r="G14631" s="94"/>
      <c r="I14631" s="94"/>
      <c r="K14631" s="94"/>
      <c r="M14631" s="94"/>
    </row>
    <row r="14632" s="93" customFormat="1" spans="3:13">
      <c r="C14632" s="94"/>
      <c r="E14632" s="94"/>
      <c r="G14632" s="94"/>
      <c r="I14632" s="94"/>
      <c r="K14632" s="94"/>
      <c r="M14632" s="94"/>
    </row>
    <row r="14633" s="93" customFormat="1" spans="3:13">
      <c r="C14633" s="94"/>
      <c r="E14633" s="94"/>
      <c r="G14633" s="94"/>
      <c r="I14633" s="94"/>
      <c r="K14633" s="94"/>
      <c r="M14633" s="94"/>
    </row>
    <row r="14634" s="93" customFormat="1" spans="3:13">
      <c r="C14634" s="94"/>
      <c r="E14634" s="94"/>
      <c r="G14634" s="94"/>
      <c r="I14634" s="94"/>
      <c r="K14634" s="94"/>
      <c r="M14634" s="94"/>
    </row>
    <row r="14635" s="93" customFormat="1" spans="3:13">
      <c r="C14635" s="94"/>
      <c r="E14635" s="94"/>
      <c r="G14635" s="94"/>
      <c r="I14635" s="94"/>
      <c r="K14635" s="94"/>
      <c r="M14635" s="94"/>
    </row>
    <row r="14636" s="93" customFormat="1" spans="3:13">
      <c r="C14636" s="94"/>
      <c r="E14636" s="94"/>
      <c r="G14636" s="94"/>
      <c r="I14636" s="94"/>
      <c r="K14636" s="94"/>
      <c r="M14636" s="94"/>
    </row>
    <row r="14637" s="93" customFormat="1" spans="3:13">
      <c r="C14637" s="94"/>
      <c r="E14637" s="94"/>
      <c r="G14637" s="94"/>
      <c r="I14637" s="94"/>
      <c r="K14637" s="94"/>
      <c r="M14637" s="94"/>
    </row>
    <row r="14638" s="93" customFormat="1" spans="3:13">
      <c r="C14638" s="94"/>
      <c r="E14638" s="94"/>
      <c r="G14638" s="94"/>
      <c r="I14638" s="94"/>
      <c r="K14638" s="94"/>
      <c r="M14638" s="94"/>
    </row>
    <row r="14639" s="93" customFormat="1" spans="3:13">
      <c r="C14639" s="94"/>
      <c r="E14639" s="94"/>
      <c r="G14639" s="94"/>
      <c r="I14639" s="94"/>
      <c r="K14639" s="94"/>
      <c r="M14639" s="94"/>
    </row>
    <row r="14640" s="93" customFormat="1" spans="3:13">
      <c r="C14640" s="94"/>
      <c r="E14640" s="94"/>
      <c r="G14640" s="94"/>
      <c r="I14640" s="94"/>
      <c r="K14640" s="94"/>
      <c r="M14640" s="94"/>
    </row>
    <row r="14641" s="93" customFormat="1" spans="3:13">
      <c r="C14641" s="94"/>
      <c r="E14641" s="94"/>
      <c r="G14641" s="94"/>
      <c r="I14641" s="94"/>
      <c r="K14641" s="94"/>
      <c r="M14641" s="94"/>
    </row>
    <row r="14642" s="93" customFormat="1" spans="3:13">
      <c r="C14642" s="94"/>
      <c r="E14642" s="94"/>
      <c r="G14642" s="94"/>
      <c r="I14642" s="94"/>
      <c r="K14642" s="94"/>
      <c r="M14642" s="94"/>
    </row>
    <row r="14643" s="93" customFormat="1" spans="3:13">
      <c r="C14643" s="94"/>
      <c r="E14643" s="94"/>
      <c r="G14643" s="94"/>
      <c r="I14643" s="94"/>
      <c r="K14643" s="94"/>
      <c r="M14643" s="94"/>
    </row>
    <row r="14644" s="93" customFormat="1" spans="3:13">
      <c r="C14644" s="94"/>
      <c r="E14644" s="94"/>
      <c r="G14644" s="94"/>
      <c r="I14644" s="94"/>
      <c r="K14644" s="94"/>
      <c r="M14644" s="94"/>
    </row>
    <row r="14645" s="93" customFormat="1" spans="3:13">
      <c r="C14645" s="94"/>
      <c r="E14645" s="94"/>
      <c r="G14645" s="94"/>
      <c r="I14645" s="94"/>
      <c r="K14645" s="94"/>
      <c r="M14645" s="94"/>
    </row>
    <row r="14646" s="93" customFormat="1" spans="3:13">
      <c r="C14646" s="94"/>
      <c r="E14646" s="94"/>
      <c r="G14646" s="94"/>
      <c r="I14646" s="94"/>
      <c r="K14646" s="94"/>
      <c r="M14646" s="94"/>
    </row>
    <row r="14647" s="93" customFormat="1" spans="3:13">
      <c r="C14647" s="94"/>
      <c r="E14647" s="94"/>
      <c r="G14647" s="94"/>
      <c r="I14647" s="94"/>
      <c r="K14647" s="94"/>
      <c r="M14647" s="94"/>
    </row>
    <row r="14648" s="93" customFormat="1" spans="3:13">
      <c r="C14648" s="94"/>
      <c r="E14648" s="94"/>
      <c r="G14648" s="94"/>
      <c r="I14648" s="94"/>
      <c r="K14648" s="94"/>
      <c r="M14648" s="94"/>
    </row>
    <row r="14649" s="93" customFormat="1" spans="3:13">
      <c r="C14649" s="94"/>
      <c r="E14649" s="94"/>
      <c r="G14649" s="94"/>
      <c r="I14649" s="94"/>
      <c r="K14649" s="94"/>
      <c r="M14649" s="94"/>
    </row>
    <row r="14650" s="93" customFormat="1" spans="3:13">
      <c r="C14650" s="94"/>
      <c r="E14650" s="94"/>
      <c r="G14650" s="94"/>
      <c r="I14650" s="94"/>
      <c r="K14650" s="94"/>
      <c r="M14650" s="94"/>
    </row>
    <row r="14651" s="93" customFormat="1" spans="3:13">
      <c r="C14651" s="94"/>
      <c r="E14651" s="94"/>
      <c r="G14651" s="94"/>
      <c r="I14651" s="94"/>
      <c r="K14651" s="94"/>
      <c r="M14651" s="94"/>
    </row>
    <row r="14652" s="93" customFormat="1" spans="3:13">
      <c r="C14652" s="94"/>
      <c r="E14652" s="94"/>
      <c r="G14652" s="94"/>
      <c r="I14652" s="94"/>
      <c r="K14652" s="94"/>
      <c r="M14652" s="94"/>
    </row>
    <row r="14653" s="93" customFormat="1" spans="3:13">
      <c r="C14653" s="94"/>
      <c r="E14653" s="94"/>
      <c r="G14653" s="94"/>
      <c r="I14653" s="94"/>
      <c r="K14653" s="94"/>
      <c r="M14653" s="94"/>
    </row>
    <row r="14654" s="93" customFormat="1" spans="3:13">
      <c r="C14654" s="94"/>
      <c r="E14654" s="94"/>
      <c r="G14654" s="94"/>
      <c r="I14654" s="94"/>
      <c r="K14654" s="94"/>
      <c r="M14654" s="94"/>
    </row>
    <row r="14655" s="93" customFormat="1" spans="3:13">
      <c r="C14655" s="94"/>
      <c r="E14655" s="94"/>
      <c r="G14655" s="94"/>
      <c r="I14655" s="94"/>
      <c r="K14655" s="94"/>
      <c r="M14655" s="94"/>
    </row>
    <row r="14656" s="93" customFormat="1" spans="3:13">
      <c r="C14656" s="94"/>
      <c r="E14656" s="94"/>
      <c r="G14656" s="94"/>
      <c r="I14656" s="94"/>
      <c r="K14656" s="94"/>
      <c r="M14656" s="94"/>
    </row>
    <row r="14657" s="93" customFormat="1" spans="3:13">
      <c r="C14657" s="94"/>
      <c r="E14657" s="94"/>
      <c r="G14657" s="94"/>
      <c r="I14657" s="94"/>
      <c r="K14657" s="94"/>
      <c r="M14657" s="94"/>
    </row>
    <row r="14658" s="93" customFormat="1" spans="3:13">
      <c r="C14658" s="94"/>
      <c r="E14658" s="94"/>
      <c r="G14658" s="94"/>
      <c r="I14658" s="94"/>
      <c r="K14658" s="94"/>
      <c r="M14658" s="94"/>
    </row>
    <row r="14659" s="93" customFormat="1" spans="3:13">
      <c r="C14659" s="94"/>
      <c r="E14659" s="94"/>
      <c r="G14659" s="94"/>
      <c r="I14659" s="94"/>
      <c r="K14659" s="94"/>
      <c r="M14659" s="94"/>
    </row>
    <row r="14660" s="93" customFormat="1" spans="3:13">
      <c r="C14660" s="94"/>
      <c r="E14660" s="94"/>
      <c r="G14660" s="94"/>
      <c r="I14660" s="94"/>
      <c r="K14660" s="94"/>
      <c r="M14660" s="94"/>
    </row>
    <row r="14661" s="93" customFormat="1" spans="3:13">
      <c r="C14661" s="94"/>
      <c r="E14661" s="94"/>
      <c r="G14661" s="94"/>
      <c r="I14661" s="94"/>
      <c r="K14661" s="94"/>
      <c r="M14661" s="94"/>
    </row>
    <row r="14662" s="93" customFormat="1" spans="3:13">
      <c r="C14662" s="94"/>
      <c r="E14662" s="94"/>
      <c r="G14662" s="94"/>
      <c r="I14662" s="94"/>
      <c r="K14662" s="94"/>
      <c r="M14662" s="94"/>
    </row>
    <row r="14663" s="93" customFormat="1" spans="3:13">
      <c r="C14663" s="94"/>
      <c r="E14663" s="94"/>
      <c r="G14663" s="94"/>
      <c r="I14663" s="94"/>
      <c r="K14663" s="94"/>
      <c r="M14663" s="94"/>
    </row>
    <row r="14664" s="93" customFormat="1" spans="3:13">
      <c r="C14664" s="94"/>
      <c r="E14664" s="94"/>
      <c r="G14664" s="94"/>
      <c r="I14664" s="94"/>
      <c r="K14664" s="94"/>
      <c r="M14664" s="94"/>
    </row>
    <row r="14665" s="93" customFormat="1" spans="3:13">
      <c r="C14665" s="94"/>
      <c r="E14665" s="94"/>
      <c r="G14665" s="94"/>
      <c r="I14665" s="94"/>
      <c r="K14665" s="94"/>
      <c r="M14665" s="94"/>
    </row>
    <row r="14666" s="93" customFormat="1" spans="3:13">
      <c r="C14666" s="94"/>
      <c r="E14666" s="94"/>
      <c r="G14666" s="94"/>
      <c r="I14666" s="94"/>
      <c r="K14666" s="94"/>
      <c r="M14666" s="94"/>
    </row>
    <row r="14667" s="93" customFormat="1" spans="3:13">
      <c r="C14667" s="94"/>
      <c r="E14667" s="94"/>
      <c r="G14667" s="94"/>
      <c r="I14667" s="94"/>
      <c r="K14667" s="94"/>
      <c r="M14667" s="94"/>
    </row>
    <row r="14668" s="93" customFormat="1" spans="3:13">
      <c r="C14668" s="94"/>
      <c r="E14668" s="94"/>
      <c r="G14668" s="94"/>
      <c r="I14668" s="94"/>
      <c r="K14668" s="94"/>
      <c r="M14668" s="94"/>
    </row>
    <row r="14669" s="93" customFormat="1" spans="3:13">
      <c r="C14669" s="94"/>
      <c r="E14669" s="94"/>
      <c r="G14669" s="94"/>
      <c r="I14669" s="94"/>
      <c r="K14669" s="94"/>
      <c r="M14669" s="94"/>
    </row>
    <row r="14670" s="93" customFormat="1" spans="3:13">
      <c r="C14670" s="94"/>
      <c r="E14670" s="94"/>
      <c r="G14670" s="94"/>
      <c r="I14670" s="94"/>
      <c r="K14670" s="94"/>
      <c r="M14670" s="94"/>
    </row>
    <row r="14671" s="93" customFormat="1" spans="3:13">
      <c r="C14671" s="94"/>
      <c r="E14671" s="94"/>
      <c r="G14671" s="94"/>
      <c r="I14671" s="94"/>
      <c r="K14671" s="94"/>
      <c r="M14671" s="94"/>
    </row>
    <row r="14672" s="93" customFormat="1" spans="3:13">
      <c r="C14672" s="94"/>
      <c r="E14672" s="94"/>
      <c r="G14672" s="94"/>
      <c r="I14672" s="94"/>
      <c r="K14672" s="94"/>
      <c r="M14672" s="94"/>
    </row>
    <row r="14673" s="93" customFormat="1" spans="3:13">
      <c r="C14673" s="94"/>
      <c r="E14673" s="94"/>
      <c r="G14673" s="94"/>
      <c r="I14673" s="94"/>
      <c r="K14673" s="94"/>
      <c r="M14673" s="94"/>
    </row>
    <row r="14674" s="93" customFormat="1" spans="3:13">
      <c r="C14674" s="94"/>
      <c r="E14674" s="94"/>
      <c r="G14674" s="94"/>
      <c r="I14674" s="94"/>
      <c r="K14674" s="94"/>
      <c r="M14674" s="94"/>
    </row>
    <row r="14675" s="93" customFormat="1" spans="3:13">
      <c r="C14675" s="94"/>
      <c r="E14675" s="94"/>
      <c r="G14675" s="94"/>
      <c r="I14675" s="94"/>
      <c r="K14675" s="94"/>
      <c r="M14675" s="94"/>
    </row>
    <row r="14676" s="93" customFormat="1" spans="3:13">
      <c r="C14676" s="94"/>
      <c r="E14676" s="94"/>
      <c r="G14676" s="94"/>
      <c r="I14676" s="94"/>
      <c r="K14676" s="94"/>
      <c r="M14676" s="94"/>
    </row>
    <row r="14677" s="93" customFormat="1" spans="3:13">
      <c r="C14677" s="94"/>
      <c r="E14677" s="94"/>
      <c r="G14677" s="94"/>
      <c r="I14677" s="94"/>
      <c r="K14677" s="94"/>
      <c r="M14677" s="94"/>
    </row>
    <row r="14678" s="93" customFormat="1" spans="3:13">
      <c r="C14678" s="94"/>
      <c r="E14678" s="94"/>
      <c r="G14678" s="94"/>
      <c r="I14678" s="94"/>
      <c r="K14678" s="94"/>
      <c r="M14678" s="94"/>
    </row>
    <row r="14679" s="93" customFormat="1" spans="3:13">
      <c r="C14679" s="94"/>
      <c r="E14679" s="94"/>
      <c r="G14679" s="94"/>
      <c r="I14679" s="94"/>
      <c r="K14679" s="94"/>
      <c r="M14679" s="94"/>
    </row>
    <row r="14680" s="93" customFormat="1" spans="3:13">
      <c r="C14680" s="94"/>
      <c r="E14680" s="94"/>
      <c r="G14680" s="94"/>
      <c r="I14680" s="94"/>
      <c r="K14680" s="94"/>
      <c r="M14680" s="94"/>
    </row>
    <row r="14681" s="93" customFormat="1" spans="3:13">
      <c r="C14681" s="94"/>
      <c r="E14681" s="94"/>
      <c r="G14681" s="94"/>
      <c r="I14681" s="94"/>
      <c r="K14681" s="94"/>
      <c r="M14681" s="94"/>
    </row>
    <row r="14682" s="93" customFormat="1" spans="3:13">
      <c r="C14682" s="94"/>
      <c r="E14682" s="94"/>
      <c r="G14682" s="94"/>
      <c r="I14682" s="94"/>
      <c r="K14682" s="94"/>
      <c r="M14682" s="94"/>
    </row>
    <row r="14683" s="93" customFormat="1" spans="3:13">
      <c r="C14683" s="94"/>
      <c r="E14683" s="94"/>
      <c r="G14683" s="94"/>
      <c r="I14683" s="94"/>
      <c r="K14683" s="94"/>
      <c r="M14683" s="94"/>
    </row>
    <row r="14684" s="93" customFormat="1" spans="3:13">
      <c r="C14684" s="94"/>
      <c r="E14684" s="94"/>
      <c r="G14684" s="94"/>
      <c r="I14684" s="94"/>
      <c r="K14684" s="94"/>
      <c r="M14684" s="94"/>
    </row>
    <row r="14685" s="93" customFormat="1" spans="3:13">
      <c r="C14685" s="94"/>
      <c r="E14685" s="94"/>
      <c r="G14685" s="94"/>
      <c r="I14685" s="94"/>
      <c r="K14685" s="94"/>
      <c r="M14685" s="94"/>
    </row>
    <row r="14686" s="93" customFormat="1" spans="3:13">
      <c r="C14686" s="94"/>
      <c r="E14686" s="94"/>
      <c r="G14686" s="94"/>
      <c r="I14686" s="94"/>
      <c r="K14686" s="94"/>
      <c r="M14686" s="94"/>
    </row>
    <row r="14687" s="93" customFormat="1" spans="3:13">
      <c r="C14687" s="94"/>
      <c r="E14687" s="94"/>
      <c r="G14687" s="94"/>
      <c r="I14687" s="94"/>
      <c r="K14687" s="94"/>
      <c r="M14687" s="94"/>
    </row>
    <row r="14688" s="93" customFormat="1" spans="3:13">
      <c r="C14688" s="94"/>
      <c r="E14688" s="94"/>
      <c r="G14688" s="94"/>
      <c r="I14688" s="94"/>
      <c r="K14688" s="94"/>
      <c r="M14688" s="94"/>
    </row>
    <row r="14689" s="93" customFormat="1" spans="3:13">
      <c r="C14689" s="94"/>
      <c r="E14689" s="94"/>
      <c r="G14689" s="94"/>
      <c r="I14689" s="94"/>
      <c r="K14689" s="94"/>
      <c r="M14689" s="94"/>
    </row>
    <row r="14690" s="93" customFormat="1" spans="3:13">
      <c r="C14690" s="94"/>
      <c r="E14690" s="94"/>
      <c r="G14690" s="94"/>
      <c r="I14690" s="94"/>
      <c r="K14690" s="94"/>
      <c r="M14690" s="94"/>
    </row>
    <row r="14691" s="93" customFormat="1" spans="3:13">
      <c r="C14691" s="94"/>
      <c r="E14691" s="94"/>
      <c r="G14691" s="94"/>
      <c r="I14691" s="94"/>
      <c r="K14691" s="94"/>
      <c r="M14691" s="94"/>
    </row>
    <row r="14692" s="93" customFormat="1" spans="3:13">
      <c r="C14692" s="94"/>
      <c r="E14692" s="94"/>
      <c r="G14692" s="94"/>
      <c r="I14692" s="94"/>
      <c r="K14692" s="94"/>
      <c r="M14692" s="94"/>
    </row>
    <row r="14693" s="93" customFormat="1" spans="3:13">
      <c r="C14693" s="94"/>
      <c r="E14693" s="94"/>
      <c r="G14693" s="94"/>
      <c r="I14693" s="94"/>
      <c r="K14693" s="94"/>
      <c r="M14693" s="94"/>
    </row>
    <row r="14694" s="93" customFormat="1" spans="3:13">
      <c r="C14694" s="94"/>
      <c r="E14694" s="94"/>
      <c r="G14694" s="94"/>
      <c r="I14694" s="94"/>
      <c r="K14694" s="94"/>
      <c r="M14694" s="94"/>
    </row>
    <row r="14695" s="93" customFormat="1" spans="3:13">
      <c r="C14695" s="94"/>
      <c r="E14695" s="94"/>
      <c r="G14695" s="94"/>
      <c r="I14695" s="94"/>
      <c r="K14695" s="94"/>
      <c r="M14695" s="94"/>
    </row>
    <row r="14696" s="93" customFormat="1" spans="3:13">
      <c r="C14696" s="94"/>
      <c r="E14696" s="94"/>
      <c r="G14696" s="94"/>
      <c r="I14696" s="94"/>
      <c r="K14696" s="94"/>
      <c r="M14696" s="94"/>
    </row>
    <row r="14697" s="93" customFormat="1" spans="3:13">
      <c r="C14697" s="94"/>
      <c r="E14697" s="94"/>
      <c r="G14697" s="94"/>
      <c r="I14697" s="94"/>
      <c r="K14697" s="94"/>
      <c r="M14697" s="94"/>
    </row>
    <row r="14698" s="93" customFormat="1" spans="3:13">
      <c r="C14698" s="94"/>
      <c r="E14698" s="94"/>
      <c r="G14698" s="94"/>
      <c r="I14698" s="94"/>
      <c r="K14698" s="94"/>
      <c r="M14698" s="94"/>
    </row>
    <row r="14699" s="93" customFormat="1" spans="3:13">
      <c r="C14699" s="94"/>
      <c r="E14699" s="94"/>
      <c r="G14699" s="94"/>
      <c r="I14699" s="94"/>
      <c r="K14699" s="94"/>
      <c r="M14699" s="94"/>
    </row>
    <row r="14700" s="93" customFormat="1" spans="3:13">
      <c r="C14700" s="94"/>
      <c r="E14700" s="94"/>
      <c r="G14700" s="94"/>
      <c r="I14700" s="94"/>
      <c r="K14700" s="94"/>
      <c r="M14700" s="94"/>
    </row>
    <row r="14701" s="93" customFormat="1" spans="3:13">
      <c r="C14701" s="94"/>
      <c r="E14701" s="94"/>
      <c r="G14701" s="94"/>
      <c r="I14701" s="94"/>
      <c r="K14701" s="94"/>
      <c r="M14701" s="94"/>
    </row>
    <row r="14702" s="93" customFormat="1" spans="3:13">
      <c r="C14702" s="94"/>
      <c r="E14702" s="94"/>
      <c r="G14702" s="94"/>
      <c r="I14702" s="94"/>
      <c r="K14702" s="94"/>
      <c r="M14702" s="94"/>
    </row>
    <row r="14703" s="93" customFormat="1" spans="3:13">
      <c r="C14703" s="94"/>
      <c r="E14703" s="94"/>
      <c r="G14703" s="94"/>
      <c r="I14703" s="94"/>
      <c r="K14703" s="94"/>
      <c r="M14703" s="94"/>
    </row>
    <row r="14704" s="93" customFormat="1" spans="3:13">
      <c r="C14704" s="94"/>
      <c r="E14704" s="94"/>
      <c r="G14704" s="94"/>
      <c r="I14704" s="94"/>
      <c r="K14704" s="94"/>
      <c r="M14704" s="94"/>
    </row>
    <row r="14705" s="93" customFormat="1" spans="3:13">
      <c r="C14705" s="94"/>
      <c r="E14705" s="94"/>
      <c r="G14705" s="94"/>
      <c r="I14705" s="94"/>
      <c r="K14705" s="94"/>
      <c r="M14705" s="94"/>
    </row>
    <row r="14706" s="93" customFormat="1" spans="3:13">
      <c r="C14706" s="94"/>
      <c r="E14706" s="94"/>
      <c r="G14706" s="94"/>
      <c r="I14706" s="94"/>
      <c r="K14706" s="94"/>
      <c r="M14706" s="94"/>
    </row>
    <row r="14707" s="93" customFormat="1" spans="3:13">
      <c r="C14707" s="94"/>
      <c r="E14707" s="94"/>
      <c r="G14707" s="94"/>
      <c r="I14707" s="94"/>
      <c r="K14707" s="94"/>
      <c r="M14707" s="94"/>
    </row>
    <row r="14708" s="93" customFormat="1" spans="3:13">
      <c r="C14708" s="94"/>
      <c r="E14708" s="94"/>
      <c r="G14708" s="94"/>
      <c r="I14708" s="94"/>
      <c r="K14708" s="94"/>
      <c r="M14708" s="94"/>
    </row>
    <row r="14709" s="93" customFormat="1" spans="3:13">
      <c r="C14709" s="94"/>
      <c r="E14709" s="94"/>
      <c r="G14709" s="94"/>
      <c r="I14709" s="94"/>
      <c r="K14709" s="94"/>
      <c r="M14709" s="94"/>
    </row>
    <row r="14710" s="93" customFormat="1" spans="3:13">
      <c r="C14710" s="94"/>
      <c r="E14710" s="94"/>
      <c r="G14710" s="94"/>
      <c r="I14710" s="94"/>
      <c r="K14710" s="94"/>
      <c r="M14710" s="94"/>
    </row>
    <row r="14711" s="93" customFormat="1" spans="3:13">
      <c r="C14711" s="94"/>
      <c r="E14711" s="94"/>
      <c r="G14711" s="94"/>
      <c r="I14711" s="94"/>
      <c r="K14711" s="94"/>
      <c r="M14711" s="94"/>
    </row>
    <row r="14712" s="93" customFormat="1" spans="3:13">
      <c r="C14712" s="94"/>
      <c r="E14712" s="94"/>
      <c r="G14712" s="94"/>
      <c r="I14712" s="94"/>
      <c r="K14712" s="94"/>
      <c r="M14712" s="94"/>
    </row>
    <row r="14713" s="93" customFormat="1" spans="3:13">
      <c r="C14713" s="94"/>
      <c r="E14713" s="94"/>
      <c r="G14713" s="94"/>
      <c r="I14713" s="94"/>
      <c r="K14713" s="94"/>
      <c r="M14713" s="94"/>
    </row>
    <row r="14714" s="93" customFormat="1" spans="3:13">
      <c r="C14714" s="94"/>
      <c r="E14714" s="94"/>
      <c r="G14714" s="94"/>
      <c r="I14714" s="94"/>
      <c r="K14714" s="94"/>
      <c r="M14714" s="94"/>
    </row>
    <row r="14715" s="93" customFormat="1" spans="3:13">
      <c r="C14715" s="94"/>
      <c r="E14715" s="94"/>
      <c r="G14715" s="94"/>
      <c r="I14715" s="94"/>
      <c r="K14715" s="94"/>
      <c r="M14715" s="94"/>
    </row>
    <row r="14716" s="93" customFormat="1" spans="3:13">
      <c r="C14716" s="94"/>
      <c r="E14716" s="94"/>
      <c r="G14716" s="94"/>
      <c r="I14716" s="94"/>
      <c r="K14716" s="94"/>
      <c r="M14716" s="94"/>
    </row>
    <row r="14717" s="93" customFormat="1" spans="3:13">
      <c r="C14717" s="94"/>
      <c r="E14717" s="94"/>
      <c r="G14717" s="94"/>
      <c r="I14717" s="94"/>
      <c r="K14717" s="94"/>
      <c r="M14717" s="94"/>
    </row>
    <row r="14718" s="93" customFormat="1" spans="3:13">
      <c r="C14718" s="94"/>
      <c r="E14718" s="94"/>
      <c r="G14718" s="94"/>
      <c r="I14718" s="94"/>
      <c r="K14718" s="94"/>
      <c r="M14718" s="94"/>
    </row>
    <row r="14719" s="93" customFormat="1" spans="3:13">
      <c r="C14719" s="94"/>
      <c r="E14719" s="94"/>
      <c r="G14719" s="94"/>
      <c r="I14719" s="94"/>
      <c r="K14719" s="94"/>
      <c r="M14719" s="94"/>
    </row>
    <row r="14720" s="93" customFormat="1" spans="3:13">
      <c r="C14720" s="94"/>
      <c r="E14720" s="94"/>
      <c r="G14720" s="94"/>
      <c r="I14720" s="94"/>
      <c r="K14720" s="94"/>
      <c r="M14720" s="94"/>
    </row>
    <row r="14721" s="93" customFormat="1" spans="3:13">
      <c r="C14721" s="94"/>
      <c r="E14721" s="94"/>
      <c r="G14721" s="94"/>
      <c r="I14721" s="94"/>
      <c r="K14721" s="94"/>
      <c r="M14721" s="94"/>
    </row>
    <row r="14722" s="93" customFormat="1" spans="3:13">
      <c r="C14722" s="94"/>
      <c r="E14722" s="94"/>
      <c r="G14722" s="94"/>
      <c r="I14722" s="94"/>
      <c r="K14722" s="94"/>
      <c r="M14722" s="94"/>
    </row>
    <row r="14723" s="93" customFormat="1" spans="3:13">
      <c r="C14723" s="94"/>
      <c r="E14723" s="94"/>
      <c r="G14723" s="94"/>
      <c r="I14723" s="94"/>
      <c r="K14723" s="94"/>
      <c r="M14723" s="94"/>
    </row>
    <row r="14724" s="93" customFormat="1" spans="3:13">
      <c r="C14724" s="94"/>
      <c r="E14724" s="94"/>
      <c r="G14724" s="94"/>
      <c r="I14724" s="94"/>
      <c r="K14724" s="94"/>
      <c r="M14724" s="94"/>
    </row>
    <row r="14725" s="93" customFormat="1" spans="3:13">
      <c r="C14725" s="94"/>
      <c r="E14725" s="94"/>
      <c r="G14725" s="94"/>
      <c r="I14725" s="94"/>
      <c r="K14725" s="94"/>
      <c r="M14725" s="94"/>
    </row>
    <row r="14726" s="93" customFormat="1" spans="3:13">
      <c r="C14726" s="94"/>
      <c r="E14726" s="94"/>
      <c r="G14726" s="94"/>
      <c r="I14726" s="94"/>
      <c r="K14726" s="94"/>
      <c r="M14726" s="94"/>
    </row>
    <row r="14727" s="93" customFormat="1" spans="3:13">
      <c r="C14727" s="94"/>
      <c r="E14727" s="94"/>
      <c r="G14727" s="94"/>
      <c r="I14727" s="94"/>
      <c r="K14727" s="94"/>
      <c r="M14727" s="94"/>
    </row>
    <row r="14728" s="93" customFormat="1" spans="3:13">
      <c r="C14728" s="94"/>
      <c r="E14728" s="94"/>
      <c r="G14728" s="94"/>
      <c r="I14728" s="94"/>
      <c r="K14728" s="94"/>
      <c r="M14728" s="94"/>
    </row>
    <row r="14729" s="93" customFormat="1" spans="3:13">
      <c r="C14729" s="94"/>
      <c r="E14729" s="94"/>
      <c r="G14729" s="94"/>
      <c r="I14729" s="94"/>
      <c r="K14729" s="94"/>
      <c r="M14729" s="94"/>
    </row>
    <row r="14730" s="93" customFormat="1" spans="3:13">
      <c r="C14730" s="94"/>
      <c r="E14730" s="94"/>
      <c r="G14730" s="94"/>
      <c r="I14730" s="94"/>
      <c r="K14730" s="94"/>
      <c r="M14730" s="94"/>
    </row>
    <row r="14731" s="93" customFormat="1" spans="3:13">
      <c r="C14731" s="94"/>
      <c r="E14731" s="94"/>
      <c r="G14731" s="94"/>
      <c r="I14731" s="94"/>
      <c r="K14731" s="94"/>
      <c r="M14731" s="94"/>
    </row>
    <row r="14732" s="93" customFormat="1" spans="3:13">
      <c r="C14732" s="94"/>
      <c r="E14732" s="94"/>
      <c r="G14732" s="94"/>
      <c r="I14732" s="94"/>
      <c r="K14732" s="94"/>
      <c r="M14732" s="94"/>
    </row>
    <row r="14733" s="93" customFormat="1" spans="3:13">
      <c r="C14733" s="94"/>
      <c r="E14733" s="94"/>
      <c r="G14733" s="94"/>
      <c r="I14733" s="94"/>
      <c r="K14733" s="94"/>
      <c r="M14733" s="94"/>
    </row>
    <row r="14734" s="93" customFormat="1" spans="3:13">
      <c r="C14734" s="94"/>
      <c r="E14734" s="94"/>
      <c r="G14734" s="94"/>
      <c r="I14734" s="94"/>
      <c r="K14734" s="94"/>
      <c r="M14734" s="94"/>
    </row>
    <row r="14735" s="93" customFormat="1" spans="3:13">
      <c r="C14735" s="94"/>
      <c r="E14735" s="94"/>
      <c r="G14735" s="94"/>
      <c r="I14735" s="94"/>
      <c r="K14735" s="94"/>
      <c r="M14735" s="94"/>
    </row>
    <row r="14736" s="93" customFormat="1" spans="3:13">
      <c r="C14736" s="94"/>
      <c r="E14736" s="94"/>
      <c r="G14736" s="94"/>
      <c r="I14736" s="94"/>
      <c r="K14736" s="94"/>
      <c r="M14736" s="94"/>
    </row>
    <row r="14737" s="93" customFormat="1" spans="3:13">
      <c r="C14737" s="94"/>
      <c r="E14737" s="94"/>
      <c r="G14737" s="94"/>
      <c r="I14737" s="94"/>
      <c r="K14737" s="94"/>
      <c r="M14737" s="94"/>
    </row>
    <row r="14738" s="93" customFormat="1" spans="3:13">
      <c r="C14738" s="94"/>
      <c r="E14738" s="94"/>
      <c r="G14738" s="94"/>
      <c r="I14738" s="94"/>
      <c r="K14738" s="94"/>
      <c r="M14738" s="94"/>
    </row>
    <row r="14739" s="93" customFormat="1" spans="3:13">
      <c r="C14739" s="94"/>
      <c r="E14739" s="94"/>
      <c r="G14739" s="94"/>
      <c r="I14739" s="94"/>
      <c r="K14739" s="94"/>
      <c r="M14739" s="94"/>
    </row>
    <row r="14740" s="93" customFormat="1" spans="3:13">
      <c r="C14740" s="94"/>
      <c r="E14740" s="94"/>
      <c r="G14740" s="94"/>
      <c r="I14740" s="94"/>
      <c r="K14740" s="94"/>
      <c r="M14740" s="94"/>
    </row>
    <row r="14741" s="93" customFormat="1" spans="3:13">
      <c r="C14741" s="94"/>
      <c r="E14741" s="94"/>
      <c r="G14741" s="94"/>
      <c r="I14741" s="94"/>
      <c r="K14741" s="94"/>
      <c r="M14741" s="94"/>
    </row>
    <row r="14742" s="93" customFormat="1" spans="3:13">
      <c r="C14742" s="94"/>
      <c r="E14742" s="94"/>
      <c r="G14742" s="94"/>
      <c r="I14742" s="94"/>
      <c r="K14742" s="94"/>
      <c r="M14742" s="94"/>
    </row>
    <row r="14743" s="93" customFormat="1" spans="3:13">
      <c r="C14743" s="94"/>
      <c r="E14743" s="94"/>
      <c r="G14743" s="94"/>
      <c r="I14743" s="94"/>
      <c r="K14743" s="94"/>
      <c r="M14743" s="94"/>
    </row>
    <row r="14744" s="93" customFormat="1" spans="3:13">
      <c r="C14744" s="94"/>
      <c r="E14744" s="94"/>
      <c r="G14744" s="94"/>
      <c r="I14744" s="94"/>
      <c r="K14744" s="94"/>
      <c r="M14744" s="94"/>
    </row>
    <row r="14745" s="93" customFormat="1" spans="3:13">
      <c r="C14745" s="94"/>
      <c r="E14745" s="94"/>
      <c r="G14745" s="94"/>
      <c r="I14745" s="94"/>
      <c r="K14745" s="94"/>
      <c r="M14745" s="94"/>
    </row>
    <row r="14746" s="93" customFormat="1" spans="3:13">
      <c r="C14746" s="94"/>
      <c r="E14746" s="94"/>
      <c r="G14746" s="94"/>
      <c r="I14746" s="94"/>
      <c r="K14746" s="94"/>
      <c r="M14746" s="94"/>
    </row>
    <row r="14747" s="93" customFormat="1" spans="3:13">
      <c r="C14747" s="94"/>
      <c r="E14747" s="94"/>
      <c r="G14747" s="94"/>
      <c r="I14747" s="94"/>
      <c r="K14747" s="94"/>
      <c r="M14747" s="94"/>
    </row>
    <row r="14748" s="93" customFormat="1" spans="3:13">
      <c r="C14748" s="94"/>
      <c r="E14748" s="94"/>
      <c r="G14748" s="94"/>
      <c r="I14748" s="94"/>
      <c r="K14748" s="94"/>
      <c r="M14748" s="94"/>
    </row>
    <row r="14749" s="93" customFormat="1" spans="3:13">
      <c r="C14749" s="94"/>
      <c r="E14749" s="94"/>
      <c r="G14749" s="94"/>
      <c r="I14749" s="94"/>
      <c r="K14749" s="94"/>
      <c r="M14749" s="94"/>
    </row>
    <row r="14750" s="93" customFormat="1" spans="3:13">
      <c r="C14750" s="94"/>
      <c r="E14750" s="94"/>
      <c r="G14750" s="94"/>
      <c r="I14750" s="94"/>
      <c r="K14750" s="94"/>
      <c r="M14750" s="94"/>
    </row>
    <row r="14751" s="93" customFormat="1" spans="3:13">
      <c r="C14751" s="94"/>
      <c r="E14751" s="94"/>
      <c r="G14751" s="94"/>
      <c r="I14751" s="94"/>
      <c r="K14751" s="94"/>
      <c r="M14751" s="94"/>
    </row>
    <row r="14752" s="93" customFormat="1" spans="3:13">
      <c r="C14752" s="94"/>
      <c r="E14752" s="94"/>
      <c r="G14752" s="94"/>
      <c r="I14752" s="94"/>
      <c r="K14752" s="94"/>
      <c r="M14752" s="94"/>
    </row>
    <row r="14753" s="93" customFormat="1" spans="3:13">
      <c r="C14753" s="94"/>
      <c r="E14753" s="94"/>
      <c r="G14753" s="94"/>
      <c r="I14753" s="94"/>
      <c r="K14753" s="94"/>
      <c r="M14753" s="94"/>
    </row>
    <row r="14754" s="93" customFormat="1" spans="3:13">
      <c r="C14754" s="94"/>
      <c r="E14754" s="94"/>
      <c r="G14754" s="94"/>
      <c r="I14754" s="94"/>
      <c r="K14754" s="94"/>
      <c r="M14754" s="94"/>
    </row>
    <row r="14755" s="93" customFormat="1" spans="3:13">
      <c r="C14755" s="94"/>
      <c r="E14755" s="94"/>
      <c r="G14755" s="94"/>
      <c r="I14755" s="94"/>
      <c r="K14755" s="94"/>
      <c r="M14755" s="94"/>
    </row>
    <row r="14756" s="93" customFormat="1" spans="3:13">
      <c r="C14756" s="94"/>
      <c r="E14756" s="94"/>
      <c r="G14756" s="94"/>
      <c r="I14756" s="94"/>
      <c r="K14756" s="94"/>
      <c r="M14756" s="94"/>
    </row>
    <row r="14757" s="93" customFormat="1" spans="3:13">
      <c r="C14757" s="94"/>
      <c r="E14757" s="94"/>
      <c r="G14757" s="94"/>
      <c r="I14757" s="94"/>
      <c r="K14757" s="94"/>
      <c r="M14757" s="94"/>
    </row>
    <row r="14758" s="93" customFormat="1" spans="3:13">
      <c r="C14758" s="94"/>
      <c r="E14758" s="94"/>
      <c r="G14758" s="94"/>
      <c r="I14758" s="94"/>
      <c r="K14758" s="94"/>
      <c r="M14758" s="94"/>
    </row>
    <row r="14759" s="93" customFormat="1" spans="3:13">
      <c r="C14759" s="94"/>
      <c r="E14759" s="94"/>
      <c r="G14759" s="94"/>
      <c r="I14759" s="94"/>
      <c r="K14759" s="94"/>
      <c r="M14759" s="94"/>
    </row>
    <row r="14760" s="93" customFormat="1" spans="3:13">
      <c r="C14760" s="94"/>
      <c r="E14760" s="94"/>
      <c r="G14760" s="94"/>
      <c r="I14760" s="94"/>
      <c r="K14760" s="94"/>
      <c r="M14760" s="94"/>
    </row>
    <row r="14761" s="93" customFormat="1" spans="3:13">
      <c r="C14761" s="94"/>
      <c r="E14761" s="94"/>
      <c r="G14761" s="94"/>
      <c r="I14761" s="94"/>
      <c r="K14761" s="94"/>
      <c r="M14761" s="94"/>
    </row>
    <row r="14762" s="93" customFormat="1" spans="3:13">
      <c r="C14762" s="94"/>
      <c r="E14762" s="94"/>
      <c r="G14762" s="94"/>
      <c r="I14762" s="94"/>
      <c r="K14762" s="94"/>
      <c r="M14762" s="94"/>
    </row>
    <row r="14763" s="93" customFormat="1" spans="3:13">
      <c r="C14763" s="94"/>
      <c r="E14763" s="94"/>
      <c r="G14763" s="94"/>
      <c r="I14763" s="94"/>
      <c r="K14763" s="94"/>
      <c r="M14763" s="94"/>
    </row>
    <row r="14764" s="93" customFormat="1" spans="3:13">
      <c r="C14764" s="94"/>
      <c r="E14764" s="94"/>
      <c r="G14764" s="94"/>
      <c r="I14764" s="94"/>
      <c r="K14764" s="94"/>
      <c r="M14764" s="94"/>
    </row>
    <row r="14765" s="93" customFormat="1" spans="3:13">
      <c r="C14765" s="94"/>
      <c r="E14765" s="94"/>
      <c r="G14765" s="94"/>
      <c r="I14765" s="94"/>
      <c r="K14765" s="94"/>
      <c r="M14765" s="94"/>
    </row>
    <row r="14766" s="93" customFormat="1" spans="3:13">
      <c r="C14766" s="94"/>
      <c r="E14766" s="94"/>
      <c r="G14766" s="94"/>
      <c r="I14766" s="94"/>
      <c r="K14766" s="94"/>
      <c r="M14766" s="94"/>
    </row>
    <row r="14767" s="93" customFormat="1" spans="3:13">
      <c r="C14767" s="94"/>
      <c r="E14767" s="94"/>
      <c r="G14767" s="94"/>
      <c r="I14767" s="94"/>
      <c r="K14767" s="94"/>
      <c r="M14767" s="94"/>
    </row>
    <row r="14768" s="93" customFormat="1" spans="3:13">
      <c r="C14768" s="94"/>
      <c r="E14768" s="94"/>
      <c r="G14768" s="94"/>
      <c r="I14768" s="94"/>
      <c r="K14768" s="94"/>
      <c r="M14768" s="94"/>
    </row>
    <row r="14769" s="93" customFormat="1" spans="3:13">
      <c r="C14769" s="94"/>
      <c r="E14769" s="94"/>
      <c r="G14769" s="94"/>
      <c r="I14769" s="94"/>
      <c r="K14769" s="94"/>
      <c r="M14769" s="94"/>
    </row>
    <row r="14770" s="93" customFormat="1" spans="3:13">
      <c r="C14770" s="94"/>
      <c r="E14770" s="94"/>
      <c r="G14770" s="94"/>
      <c r="I14770" s="94"/>
      <c r="K14770" s="94"/>
      <c r="M14770" s="94"/>
    </row>
    <row r="14771" s="93" customFormat="1" spans="3:13">
      <c r="C14771" s="94"/>
      <c r="E14771" s="94"/>
      <c r="G14771" s="94"/>
      <c r="I14771" s="94"/>
      <c r="K14771" s="94"/>
      <c r="M14771" s="94"/>
    </row>
    <row r="14772" s="93" customFormat="1" spans="3:13">
      <c r="C14772" s="94"/>
      <c r="E14772" s="94"/>
      <c r="G14772" s="94"/>
      <c r="I14772" s="94"/>
      <c r="K14772" s="94"/>
      <c r="M14772" s="94"/>
    </row>
    <row r="14773" s="93" customFormat="1" spans="3:13">
      <c r="C14773" s="94"/>
      <c r="E14773" s="94"/>
      <c r="G14773" s="94"/>
      <c r="I14773" s="94"/>
      <c r="K14773" s="94"/>
      <c r="M14773" s="94"/>
    </row>
    <row r="14774" s="93" customFormat="1" spans="3:13">
      <c r="C14774" s="94"/>
      <c r="E14774" s="94"/>
      <c r="G14774" s="94"/>
      <c r="I14774" s="94"/>
      <c r="K14774" s="94"/>
      <c r="M14774" s="94"/>
    </row>
    <row r="14775" s="93" customFormat="1" spans="3:13">
      <c r="C14775" s="94"/>
      <c r="E14775" s="94"/>
      <c r="G14775" s="94"/>
      <c r="I14775" s="94"/>
      <c r="K14775" s="94"/>
      <c r="M14775" s="94"/>
    </row>
    <row r="14776" s="93" customFormat="1" spans="3:13">
      <c r="C14776" s="94"/>
      <c r="E14776" s="94"/>
      <c r="G14776" s="94"/>
      <c r="I14776" s="94"/>
      <c r="K14776" s="94"/>
      <c r="M14776" s="94"/>
    </row>
    <row r="14777" s="93" customFormat="1" spans="3:13">
      <c r="C14777" s="94"/>
      <c r="E14777" s="94"/>
      <c r="G14777" s="94"/>
      <c r="I14777" s="94"/>
      <c r="K14777" s="94"/>
      <c r="M14777" s="94"/>
    </row>
    <row r="14778" s="93" customFormat="1" spans="3:13">
      <c r="C14778" s="94"/>
      <c r="E14778" s="94"/>
      <c r="G14778" s="94"/>
      <c r="I14778" s="94"/>
      <c r="K14778" s="94"/>
      <c r="M14778" s="94"/>
    </row>
    <row r="14779" s="93" customFormat="1" spans="3:13">
      <c r="C14779" s="94"/>
      <c r="E14779" s="94"/>
      <c r="G14779" s="94"/>
      <c r="I14779" s="94"/>
      <c r="K14779" s="94"/>
      <c r="M14779" s="94"/>
    </row>
    <row r="14780" s="93" customFormat="1" spans="3:13">
      <c r="C14780" s="94"/>
      <c r="E14780" s="94"/>
      <c r="G14780" s="94"/>
      <c r="I14780" s="94"/>
      <c r="K14780" s="94"/>
      <c r="M14780" s="94"/>
    </row>
    <row r="14781" s="93" customFormat="1" spans="3:13">
      <c r="C14781" s="94"/>
      <c r="E14781" s="94"/>
      <c r="G14781" s="94"/>
      <c r="I14781" s="94"/>
      <c r="K14781" s="94"/>
      <c r="M14781" s="94"/>
    </row>
    <row r="14782" s="93" customFormat="1" spans="3:13">
      <c r="C14782" s="94"/>
      <c r="E14782" s="94"/>
      <c r="G14782" s="94"/>
      <c r="I14782" s="94"/>
      <c r="K14782" s="94"/>
      <c r="M14782" s="94"/>
    </row>
    <row r="14783" s="93" customFormat="1" spans="3:13">
      <c r="C14783" s="94"/>
      <c r="E14783" s="94"/>
      <c r="G14783" s="94"/>
      <c r="I14783" s="94"/>
      <c r="K14783" s="94"/>
      <c r="M14783" s="94"/>
    </row>
    <row r="14784" s="93" customFormat="1" spans="3:13">
      <c r="C14784" s="94"/>
      <c r="E14784" s="94"/>
      <c r="G14784" s="94"/>
      <c r="I14784" s="94"/>
      <c r="K14784" s="94"/>
      <c r="M14784" s="94"/>
    </row>
    <row r="14785" s="93" customFormat="1" spans="3:13">
      <c r="C14785" s="94"/>
      <c r="E14785" s="94"/>
      <c r="G14785" s="94"/>
      <c r="I14785" s="94"/>
      <c r="K14785" s="94"/>
      <c r="M14785" s="94"/>
    </row>
    <row r="14786" s="93" customFormat="1" spans="3:13">
      <c r="C14786" s="94"/>
      <c r="E14786" s="94"/>
      <c r="G14786" s="94"/>
      <c r="I14786" s="94"/>
      <c r="K14786" s="94"/>
      <c r="M14786" s="94"/>
    </row>
    <row r="14787" s="93" customFormat="1" spans="3:13">
      <c r="C14787" s="94"/>
      <c r="E14787" s="94"/>
      <c r="G14787" s="94"/>
      <c r="I14787" s="94"/>
      <c r="K14787" s="94"/>
      <c r="M14787" s="94"/>
    </row>
    <row r="14788" s="93" customFormat="1" spans="3:13">
      <c r="C14788" s="94"/>
      <c r="E14788" s="94"/>
      <c r="G14788" s="94"/>
      <c r="I14788" s="94"/>
      <c r="K14788" s="94"/>
      <c r="M14788" s="94"/>
    </row>
    <row r="14789" s="93" customFormat="1" spans="3:13">
      <c r="C14789" s="94"/>
      <c r="E14789" s="94"/>
      <c r="G14789" s="94"/>
      <c r="I14789" s="94"/>
      <c r="K14789" s="94"/>
      <c r="M14789" s="94"/>
    </row>
    <row r="14790" s="93" customFormat="1" spans="3:13">
      <c r="C14790" s="94"/>
      <c r="E14790" s="94"/>
      <c r="G14790" s="94"/>
      <c r="I14790" s="94"/>
      <c r="K14790" s="94"/>
      <c r="M14790" s="94"/>
    </row>
    <row r="14791" s="93" customFormat="1" spans="3:13">
      <c r="C14791" s="94"/>
      <c r="E14791" s="94"/>
      <c r="G14791" s="94"/>
      <c r="I14791" s="94"/>
      <c r="K14791" s="94"/>
      <c r="M14791" s="94"/>
    </row>
    <row r="14792" s="93" customFormat="1" spans="3:13">
      <c r="C14792" s="94"/>
      <c r="E14792" s="94"/>
      <c r="G14792" s="94"/>
      <c r="I14792" s="94"/>
      <c r="K14792" s="94"/>
      <c r="M14792" s="94"/>
    </row>
    <row r="14793" s="93" customFormat="1" spans="3:13">
      <c r="C14793" s="94"/>
      <c r="E14793" s="94"/>
      <c r="G14793" s="94"/>
      <c r="I14793" s="94"/>
      <c r="K14793" s="94"/>
      <c r="M14793" s="94"/>
    </row>
    <row r="14794" s="93" customFormat="1" spans="3:13">
      <c r="C14794" s="94"/>
      <c r="E14794" s="94"/>
      <c r="G14794" s="94"/>
      <c r="I14794" s="94"/>
      <c r="K14794" s="94"/>
      <c r="M14794" s="94"/>
    </row>
    <row r="14795" s="93" customFormat="1" spans="3:13">
      <c r="C14795" s="94"/>
      <c r="E14795" s="94"/>
      <c r="G14795" s="94"/>
      <c r="I14795" s="94"/>
      <c r="K14795" s="94"/>
      <c r="M14795" s="94"/>
    </row>
    <row r="14796" s="93" customFormat="1" spans="3:13">
      <c r="C14796" s="94"/>
      <c r="E14796" s="94"/>
      <c r="G14796" s="94"/>
      <c r="I14796" s="94"/>
      <c r="K14796" s="94"/>
      <c r="M14796" s="94"/>
    </row>
    <row r="14797" s="93" customFormat="1" spans="3:13">
      <c r="C14797" s="94"/>
      <c r="E14797" s="94"/>
      <c r="G14797" s="94"/>
      <c r="I14797" s="94"/>
      <c r="K14797" s="94"/>
      <c r="M14797" s="94"/>
    </row>
    <row r="14798" s="93" customFormat="1" spans="3:13">
      <c r="C14798" s="94"/>
      <c r="E14798" s="94"/>
      <c r="G14798" s="94"/>
      <c r="I14798" s="94"/>
      <c r="K14798" s="94"/>
      <c r="M14798" s="94"/>
    </row>
    <row r="14799" s="93" customFormat="1" spans="3:13">
      <c r="C14799" s="94"/>
      <c r="E14799" s="94"/>
      <c r="G14799" s="94"/>
      <c r="I14799" s="94"/>
      <c r="K14799" s="94"/>
      <c r="M14799" s="94"/>
    </row>
    <row r="14800" s="93" customFormat="1" spans="3:13">
      <c r="C14800" s="94"/>
      <c r="E14800" s="94"/>
      <c r="G14800" s="94"/>
      <c r="I14800" s="94"/>
      <c r="K14800" s="94"/>
      <c r="M14800" s="94"/>
    </row>
    <row r="14801" s="93" customFormat="1" spans="3:13">
      <c r="C14801" s="94"/>
      <c r="E14801" s="94"/>
      <c r="G14801" s="94"/>
      <c r="I14801" s="94"/>
      <c r="K14801" s="94"/>
      <c r="M14801" s="94"/>
    </row>
    <row r="14802" s="93" customFormat="1" spans="3:13">
      <c r="C14802" s="94"/>
      <c r="E14802" s="94"/>
      <c r="G14802" s="94"/>
      <c r="I14802" s="94"/>
      <c r="K14802" s="94"/>
      <c r="M14802" s="94"/>
    </row>
    <row r="14803" s="93" customFormat="1" spans="3:13">
      <c r="C14803" s="94"/>
      <c r="E14803" s="94"/>
      <c r="G14803" s="94"/>
      <c r="I14803" s="94"/>
      <c r="K14803" s="94"/>
      <c r="M14803" s="94"/>
    </row>
    <row r="14804" s="93" customFormat="1" spans="3:13">
      <c r="C14804" s="94"/>
      <c r="E14804" s="94"/>
      <c r="G14804" s="94"/>
      <c r="I14804" s="94"/>
      <c r="K14804" s="94"/>
      <c r="M14804" s="94"/>
    </row>
    <row r="14805" s="93" customFormat="1" spans="3:13">
      <c r="C14805" s="94"/>
      <c r="E14805" s="94"/>
      <c r="G14805" s="94"/>
      <c r="I14805" s="94"/>
      <c r="K14805" s="94"/>
      <c r="M14805" s="94"/>
    </row>
    <row r="14806" s="93" customFormat="1" spans="3:13">
      <c r="C14806" s="94"/>
      <c r="E14806" s="94"/>
      <c r="G14806" s="94"/>
      <c r="I14806" s="94"/>
      <c r="K14806" s="94"/>
      <c r="M14806" s="94"/>
    </row>
    <row r="14807" s="93" customFormat="1" spans="3:13">
      <c r="C14807" s="94"/>
      <c r="E14807" s="94"/>
      <c r="G14807" s="94"/>
      <c r="I14807" s="94"/>
      <c r="K14807" s="94"/>
      <c r="M14807" s="94"/>
    </row>
    <row r="14808" s="93" customFormat="1" spans="3:13">
      <c r="C14808" s="94"/>
      <c r="E14808" s="94"/>
      <c r="G14808" s="94"/>
      <c r="I14808" s="94"/>
      <c r="K14808" s="94"/>
      <c r="M14808" s="94"/>
    </row>
    <row r="14809" s="93" customFormat="1" spans="3:13">
      <c r="C14809" s="94"/>
      <c r="E14809" s="94"/>
      <c r="G14809" s="94"/>
      <c r="I14809" s="94"/>
      <c r="K14809" s="94"/>
      <c r="M14809" s="94"/>
    </row>
    <row r="14810" s="93" customFormat="1" spans="3:13">
      <c r="C14810" s="94"/>
      <c r="E14810" s="94"/>
      <c r="G14810" s="94"/>
      <c r="I14810" s="94"/>
      <c r="K14810" s="94"/>
      <c r="M14810" s="94"/>
    </row>
    <row r="14811" s="93" customFormat="1" spans="3:13">
      <c r="C14811" s="94"/>
      <c r="E14811" s="94"/>
      <c r="G14811" s="94"/>
      <c r="I14811" s="94"/>
      <c r="K14811" s="94"/>
      <c r="M14811" s="94"/>
    </row>
    <row r="14812" s="93" customFormat="1" spans="3:13">
      <c r="C14812" s="94"/>
      <c r="E14812" s="94"/>
      <c r="G14812" s="94"/>
      <c r="I14812" s="94"/>
      <c r="K14812" s="94"/>
      <c r="M14812" s="94"/>
    </row>
    <row r="14813" s="93" customFormat="1" spans="3:13">
      <c r="C14813" s="94"/>
      <c r="E14813" s="94"/>
      <c r="G14813" s="94"/>
      <c r="I14813" s="94"/>
      <c r="K14813" s="94"/>
      <c r="M14813" s="94"/>
    </row>
    <row r="14814" s="93" customFormat="1" spans="3:13">
      <c r="C14814" s="94"/>
      <c r="E14814" s="94"/>
      <c r="G14814" s="94"/>
      <c r="I14814" s="94"/>
      <c r="K14814" s="94"/>
      <c r="M14814" s="94"/>
    </row>
    <row r="14815" s="93" customFormat="1" spans="3:13">
      <c r="C14815" s="94"/>
      <c r="E14815" s="94"/>
      <c r="G14815" s="94"/>
      <c r="I14815" s="94"/>
      <c r="K14815" s="94"/>
      <c r="M14815" s="94"/>
    </row>
    <row r="14816" s="93" customFormat="1" spans="3:13">
      <c r="C14816" s="94"/>
      <c r="E14816" s="94"/>
      <c r="G14816" s="94"/>
      <c r="I14816" s="94"/>
      <c r="K14816" s="94"/>
      <c r="M14816" s="94"/>
    </row>
    <row r="14817" s="93" customFormat="1" spans="3:13">
      <c r="C14817" s="94"/>
      <c r="E14817" s="94"/>
      <c r="G14817" s="94"/>
      <c r="I14817" s="94"/>
      <c r="K14817" s="94"/>
      <c r="M14817" s="94"/>
    </row>
    <row r="14818" s="93" customFormat="1" spans="3:13">
      <c r="C14818" s="94"/>
      <c r="E14818" s="94"/>
      <c r="G14818" s="94"/>
      <c r="I14818" s="94"/>
      <c r="K14818" s="94"/>
      <c r="M14818" s="94"/>
    </row>
    <row r="14819" s="93" customFormat="1" spans="3:13">
      <c r="C14819" s="94"/>
      <c r="E14819" s="94"/>
      <c r="G14819" s="94"/>
      <c r="I14819" s="94"/>
      <c r="K14819" s="94"/>
      <c r="M14819" s="94"/>
    </row>
    <row r="14820" s="93" customFormat="1" spans="3:13">
      <c r="C14820" s="94"/>
      <c r="E14820" s="94"/>
      <c r="G14820" s="94"/>
      <c r="I14820" s="94"/>
      <c r="K14820" s="94"/>
      <c r="M14820" s="94"/>
    </row>
    <row r="14821" s="93" customFormat="1" spans="3:13">
      <c r="C14821" s="94"/>
      <c r="E14821" s="94"/>
      <c r="G14821" s="94"/>
      <c r="I14821" s="94"/>
      <c r="K14821" s="94"/>
      <c r="M14821" s="94"/>
    </row>
    <row r="14822" s="93" customFormat="1" spans="3:13">
      <c r="C14822" s="94"/>
      <c r="E14822" s="94"/>
      <c r="G14822" s="94"/>
      <c r="I14822" s="94"/>
      <c r="K14822" s="94"/>
      <c r="M14822" s="94"/>
    </row>
    <row r="14823" s="93" customFormat="1" spans="3:13">
      <c r="C14823" s="94"/>
      <c r="E14823" s="94"/>
      <c r="G14823" s="94"/>
      <c r="I14823" s="94"/>
      <c r="K14823" s="94"/>
      <c r="M14823" s="94"/>
    </row>
    <row r="14824" s="93" customFormat="1" spans="3:13">
      <c r="C14824" s="94"/>
      <c r="E14824" s="94"/>
      <c r="G14824" s="94"/>
      <c r="I14824" s="94"/>
      <c r="K14824" s="94"/>
      <c r="M14824" s="94"/>
    </row>
    <row r="14825" s="93" customFormat="1" spans="3:13">
      <c r="C14825" s="94"/>
      <c r="E14825" s="94"/>
      <c r="G14825" s="94"/>
      <c r="I14825" s="94"/>
      <c r="K14825" s="94"/>
      <c r="M14825" s="94"/>
    </row>
    <row r="14826" s="93" customFormat="1" spans="3:13">
      <c r="C14826" s="94"/>
      <c r="E14826" s="94"/>
      <c r="G14826" s="94"/>
      <c r="I14826" s="94"/>
      <c r="K14826" s="94"/>
      <c r="M14826" s="94"/>
    </row>
    <row r="14827" s="93" customFormat="1" spans="3:13">
      <c r="C14827" s="94"/>
      <c r="E14827" s="94"/>
      <c r="G14827" s="94"/>
      <c r="I14827" s="94"/>
      <c r="K14827" s="94"/>
      <c r="M14827" s="94"/>
    </row>
    <row r="14828" s="93" customFormat="1" spans="3:13">
      <c r="C14828" s="94"/>
      <c r="E14828" s="94"/>
      <c r="G14828" s="94"/>
      <c r="I14828" s="94"/>
      <c r="K14828" s="94"/>
      <c r="M14828" s="94"/>
    </row>
    <row r="14829" s="93" customFormat="1" spans="3:13">
      <c r="C14829" s="94"/>
      <c r="E14829" s="94"/>
      <c r="G14829" s="94"/>
      <c r="I14829" s="94"/>
      <c r="K14829" s="94"/>
      <c r="M14829" s="94"/>
    </row>
    <row r="14830" s="93" customFormat="1" spans="3:13">
      <c r="C14830" s="94"/>
      <c r="E14830" s="94"/>
      <c r="G14830" s="94"/>
      <c r="I14830" s="94"/>
      <c r="K14830" s="94"/>
      <c r="M14830" s="94"/>
    </row>
    <row r="14831" s="93" customFormat="1" spans="3:13">
      <c r="C14831" s="94"/>
      <c r="E14831" s="94"/>
      <c r="G14831" s="94"/>
      <c r="I14831" s="94"/>
      <c r="K14831" s="94"/>
      <c r="M14831" s="94"/>
    </row>
    <row r="14832" s="93" customFormat="1" spans="3:13">
      <c r="C14832" s="94"/>
      <c r="E14832" s="94"/>
      <c r="G14832" s="94"/>
      <c r="I14832" s="94"/>
      <c r="K14832" s="94"/>
      <c r="M14832" s="94"/>
    </row>
    <row r="14833" s="93" customFormat="1" spans="3:13">
      <c r="C14833" s="94"/>
      <c r="E14833" s="94"/>
      <c r="G14833" s="94"/>
      <c r="I14833" s="94"/>
      <c r="K14833" s="94"/>
      <c r="M14833" s="94"/>
    </row>
    <row r="14834" s="93" customFormat="1" spans="3:13">
      <c r="C14834" s="94"/>
      <c r="E14834" s="94"/>
      <c r="G14834" s="94"/>
      <c r="I14834" s="94"/>
      <c r="K14834" s="94"/>
      <c r="M14834" s="94"/>
    </row>
    <row r="14835" s="93" customFormat="1" spans="3:13">
      <c r="C14835" s="94"/>
      <c r="E14835" s="94"/>
      <c r="G14835" s="94"/>
      <c r="I14835" s="94"/>
      <c r="K14835" s="94"/>
      <c r="M14835" s="94"/>
    </row>
    <row r="14836" s="93" customFormat="1" spans="3:13">
      <c r="C14836" s="94"/>
      <c r="E14836" s="94"/>
      <c r="G14836" s="94"/>
      <c r="I14836" s="94"/>
      <c r="K14836" s="94"/>
      <c r="M14836" s="94"/>
    </row>
    <row r="14837" s="93" customFormat="1" spans="3:13">
      <c r="C14837" s="94"/>
      <c r="E14837" s="94"/>
      <c r="G14837" s="94"/>
      <c r="I14837" s="94"/>
      <c r="K14837" s="94"/>
      <c r="M14837" s="94"/>
    </row>
    <row r="14838" s="93" customFormat="1" spans="3:13">
      <c r="C14838" s="94"/>
      <c r="E14838" s="94"/>
      <c r="G14838" s="94"/>
      <c r="I14838" s="94"/>
      <c r="K14838" s="94"/>
      <c r="M14838" s="94"/>
    </row>
    <row r="14839" s="93" customFormat="1" spans="3:13">
      <c r="C14839" s="94"/>
      <c r="E14839" s="94"/>
      <c r="G14839" s="94"/>
      <c r="I14839" s="94"/>
      <c r="K14839" s="94"/>
      <c r="M14839" s="94"/>
    </row>
    <row r="14840" s="93" customFormat="1" spans="3:13">
      <c r="C14840" s="94"/>
      <c r="E14840" s="94"/>
      <c r="G14840" s="94"/>
      <c r="I14840" s="94"/>
      <c r="K14840" s="94"/>
      <c r="M14840" s="94"/>
    </row>
    <row r="14841" s="93" customFormat="1" spans="3:13">
      <c r="C14841" s="94"/>
      <c r="E14841" s="94"/>
      <c r="G14841" s="94"/>
      <c r="I14841" s="94"/>
      <c r="K14841" s="94"/>
      <c r="M14841" s="94"/>
    </row>
    <row r="14842" s="93" customFormat="1" spans="3:13">
      <c r="C14842" s="94"/>
      <c r="E14842" s="94"/>
      <c r="G14842" s="94"/>
      <c r="I14842" s="94"/>
      <c r="K14842" s="94"/>
      <c r="M14842" s="94"/>
    </row>
    <row r="14843" s="93" customFormat="1" spans="3:13">
      <c r="C14843" s="94"/>
      <c r="E14843" s="94"/>
      <c r="G14843" s="94"/>
      <c r="I14843" s="94"/>
      <c r="K14843" s="94"/>
      <c r="M14843" s="94"/>
    </row>
    <row r="14844" s="93" customFormat="1" spans="3:13">
      <c r="C14844" s="94"/>
      <c r="E14844" s="94"/>
      <c r="G14844" s="94"/>
      <c r="I14844" s="94"/>
      <c r="K14844" s="94"/>
      <c r="M14844" s="94"/>
    </row>
    <row r="14845" s="93" customFormat="1" spans="3:13">
      <c r="C14845" s="94"/>
      <c r="E14845" s="94"/>
      <c r="G14845" s="94"/>
      <c r="I14845" s="94"/>
      <c r="K14845" s="94"/>
      <c r="M14845" s="94"/>
    </row>
    <row r="14846" s="93" customFormat="1" spans="3:13">
      <c r="C14846" s="94"/>
      <c r="E14846" s="94"/>
      <c r="G14846" s="94"/>
      <c r="I14846" s="94"/>
      <c r="K14846" s="94"/>
      <c r="M14846" s="94"/>
    </row>
    <row r="14847" s="93" customFormat="1" spans="3:13">
      <c r="C14847" s="94"/>
      <c r="E14847" s="94"/>
      <c r="G14847" s="94"/>
      <c r="I14847" s="94"/>
      <c r="K14847" s="94"/>
      <c r="M14847" s="94"/>
    </row>
    <row r="14848" s="93" customFormat="1" spans="3:13">
      <c r="C14848" s="94"/>
      <c r="E14848" s="94"/>
      <c r="G14848" s="94"/>
      <c r="I14848" s="94"/>
      <c r="K14848" s="94"/>
      <c r="M14848" s="94"/>
    </row>
    <row r="14849" s="93" customFormat="1" spans="3:13">
      <c r="C14849" s="94"/>
      <c r="E14849" s="94"/>
      <c r="G14849" s="94"/>
      <c r="I14849" s="94"/>
      <c r="K14849" s="94"/>
      <c r="M14849" s="94"/>
    </row>
    <row r="14850" s="93" customFormat="1" spans="3:13">
      <c r="C14850" s="94"/>
      <c r="E14850" s="94"/>
      <c r="G14850" s="94"/>
      <c r="I14850" s="94"/>
      <c r="K14850" s="94"/>
      <c r="M14850" s="94"/>
    </row>
    <row r="14851" s="93" customFormat="1" spans="3:13">
      <c r="C14851" s="94"/>
      <c r="E14851" s="94"/>
      <c r="G14851" s="94"/>
      <c r="I14851" s="94"/>
      <c r="K14851" s="94"/>
      <c r="M14851" s="94"/>
    </row>
    <row r="14852" s="93" customFormat="1" spans="3:13">
      <c r="C14852" s="94"/>
      <c r="E14852" s="94"/>
      <c r="G14852" s="94"/>
      <c r="I14852" s="94"/>
      <c r="K14852" s="94"/>
      <c r="M14852" s="94"/>
    </row>
    <row r="14853" s="93" customFormat="1" spans="3:13">
      <c r="C14853" s="94"/>
      <c r="E14853" s="94"/>
      <c r="G14853" s="94"/>
      <c r="I14853" s="94"/>
      <c r="K14853" s="94"/>
      <c r="M14853" s="94"/>
    </row>
    <row r="14854" s="93" customFormat="1" spans="3:13">
      <c r="C14854" s="94"/>
      <c r="E14854" s="94"/>
      <c r="G14854" s="94"/>
      <c r="I14854" s="94"/>
      <c r="K14854" s="94"/>
      <c r="M14854" s="94"/>
    </row>
    <row r="14855" s="93" customFormat="1" spans="3:13">
      <c r="C14855" s="94"/>
      <c r="E14855" s="94"/>
      <c r="G14855" s="94"/>
      <c r="I14855" s="94"/>
      <c r="K14855" s="94"/>
      <c r="M14855" s="94"/>
    </row>
    <row r="14856" s="93" customFormat="1" spans="3:13">
      <c r="C14856" s="94"/>
      <c r="E14856" s="94"/>
      <c r="G14856" s="94"/>
      <c r="I14856" s="94"/>
      <c r="K14856" s="94"/>
      <c r="M14856" s="94"/>
    </row>
    <row r="14857" s="93" customFormat="1" spans="3:13">
      <c r="C14857" s="94"/>
      <c r="E14857" s="94"/>
      <c r="G14857" s="94"/>
      <c r="I14857" s="94"/>
      <c r="K14857" s="94"/>
      <c r="M14857" s="94"/>
    </row>
    <row r="14858" s="93" customFormat="1" spans="3:13">
      <c r="C14858" s="94"/>
      <c r="E14858" s="94"/>
      <c r="G14858" s="94"/>
      <c r="I14858" s="94"/>
      <c r="K14858" s="94"/>
      <c r="M14858" s="94"/>
    </row>
    <row r="14859" s="93" customFormat="1" spans="3:13">
      <c r="C14859" s="94"/>
      <c r="E14859" s="94"/>
      <c r="G14859" s="94"/>
      <c r="I14859" s="94"/>
      <c r="K14859" s="94"/>
      <c r="M14859" s="94"/>
    </row>
    <row r="14860" s="93" customFormat="1" spans="3:13">
      <c r="C14860" s="94"/>
      <c r="E14860" s="94"/>
      <c r="G14860" s="94"/>
      <c r="I14860" s="94"/>
      <c r="K14860" s="94"/>
      <c r="M14860" s="94"/>
    </row>
    <row r="14861" s="93" customFormat="1" spans="3:13">
      <c r="C14861" s="94"/>
      <c r="E14861" s="94"/>
      <c r="G14861" s="94"/>
      <c r="I14861" s="94"/>
      <c r="K14861" s="94"/>
      <c r="M14861" s="94"/>
    </row>
    <row r="14862" s="93" customFormat="1" spans="3:13">
      <c r="C14862" s="94"/>
      <c r="E14862" s="94"/>
      <c r="G14862" s="94"/>
      <c r="I14862" s="94"/>
      <c r="K14862" s="94"/>
      <c r="M14862" s="94"/>
    </row>
    <row r="14863" s="93" customFormat="1" spans="3:13">
      <c r="C14863" s="94"/>
      <c r="E14863" s="94"/>
      <c r="G14863" s="94"/>
      <c r="I14863" s="94"/>
      <c r="K14863" s="94"/>
      <c r="M14863" s="94"/>
    </row>
    <row r="14864" s="93" customFormat="1" spans="3:13">
      <c r="C14864" s="94"/>
      <c r="E14864" s="94"/>
      <c r="G14864" s="94"/>
      <c r="I14864" s="94"/>
      <c r="K14864" s="94"/>
      <c r="M14864" s="94"/>
    </row>
    <row r="14865" s="93" customFormat="1" spans="3:13">
      <c r="C14865" s="94"/>
      <c r="E14865" s="94"/>
      <c r="G14865" s="94"/>
      <c r="I14865" s="94"/>
      <c r="K14865" s="94"/>
      <c r="M14865" s="94"/>
    </row>
    <row r="14866" s="93" customFormat="1" spans="3:13">
      <c r="C14866" s="94"/>
      <c r="E14866" s="94"/>
      <c r="G14866" s="94"/>
      <c r="I14866" s="94"/>
      <c r="K14866" s="94"/>
      <c r="M14866" s="94"/>
    </row>
    <row r="14867" s="93" customFormat="1" spans="3:13">
      <c r="C14867" s="94"/>
      <c r="E14867" s="94"/>
      <c r="G14867" s="94"/>
      <c r="I14867" s="94"/>
      <c r="K14867" s="94"/>
      <c r="M14867" s="94"/>
    </row>
    <row r="14868" s="93" customFormat="1" spans="3:13">
      <c r="C14868" s="94"/>
      <c r="E14868" s="94"/>
      <c r="G14868" s="94"/>
      <c r="I14868" s="94"/>
      <c r="K14868" s="94"/>
      <c r="M14868" s="94"/>
    </row>
    <row r="14869" s="93" customFormat="1" spans="3:13">
      <c r="C14869" s="94"/>
      <c r="E14869" s="94"/>
      <c r="G14869" s="94"/>
      <c r="I14869" s="94"/>
      <c r="K14869" s="94"/>
      <c r="M14869" s="94"/>
    </row>
    <row r="14870" s="93" customFormat="1" spans="3:13">
      <c r="C14870" s="94"/>
      <c r="E14870" s="94"/>
      <c r="G14870" s="94"/>
      <c r="I14870" s="94"/>
      <c r="K14870" s="94"/>
      <c r="M14870" s="94"/>
    </row>
    <row r="14871" s="93" customFormat="1" spans="3:13">
      <c r="C14871" s="94"/>
      <c r="E14871" s="94"/>
      <c r="G14871" s="94"/>
      <c r="I14871" s="94"/>
      <c r="K14871" s="94"/>
      <c r="M14871" s="94"/>
    </row>
    <row r="14872" s="93" customFormat="1" spans="3:13">
      <c r="C14872" s="94"/>
      <c r="E14872" s="94"/>
      <c r="G14872" s="94"/>
      <c r="I14872" s="94"/>
      <c r="K14872" s="94"/>
      <c r="M14872" s="94"/>
    </row>
    <row r="14873" s="93" customFormat="1" spans="3:13">
      <c r="C14873" s="94"/>
      <c r="E14873" s="94"/>
      <c r="G14873" s="94"/>
      <c r="I14873" s="94"/>
      <c r="K14873" s="94"/>
      <c r="M14873" s="94"/>
    </row>
    <row r="14874" s="93" customFormat="1" spans="3:13">
      <c r="C14874" s="94"/>
      <c r="E14874" s="94"/>
      <c r="G14874" s="94"/>
      <c r="I14874" s="94"/>
      <c r="K14874" s="94"/>
      <c r="M14874" s="94"/>
    </row>
    <row r="14875" s="93" customFormat="1" spans="3:13">
      <c r="C14875" s="94"/>
      <c r="E14875" s="94"/>
      <c r="G14875" s="94"/>
      <c r="I14875" s="94"/>
      <c r="K14875" s="94"/>
      <c r="M14875" s="94"/>
    </row>
    <row r="14876" s="93" customFormat="1" spans="3:13">
      <c r="C14876" s="94"/>
      <c r="E14876" s="94"/>
      <c r="G14876" s="94"/>
      <c r="I14876" s="94"/>
      <c r="K14876" s="94"/>
      <c r="M14876" s="94"/>
    </row>
    <row r="14877" s="93" customFormat="1" spans="3:13">
      <c r="C14877" s="94"/>
      <c r="E14877" s="94"/>
      <c r="G14877" s="94"/>
      <c r="I14877" s="94"/>
      <c r="K14877" s="94"/>
      <c r="M14877" s="94"/>
    </row>
    <row r="14878" s="93" customFormat="1" spans="3:13">
      <c r="C14878" s="94"/>
      <c r="E14878" s="94"/>
      <c r="G14878" s="94"/>
      <c r="I14878" s="94"/>
      <c r="K14878" s="94"/>
      <c r="M14878" s="94"/>
    </row>
    <row r="14879" s="93" customFormat="1" spans="3:13">
      <c r="C14879" s="94"/>
      <c r="E14879" s="94"/>
      <c r="G14879" s="94"/>
      <c r="I14879" s="94"/>
      <c r="K14879" s="94"/>
      <c r="M14879" s="94"/>
    </row>
    <row r="14880" s="93" customFormat="1" spans="3:13">
      <c r="C14880" s="94"/>
      <c r="E14880" s="94"/>
      <c r="G14880" s="94"/>
      <c r="I14880" s="94"/>
      <c r="K14880" s="94"/>
      <c r="M14880" s="94"/>
    </row>
    <row r="14881" s="93" customFormat="1" spans="3:13">
      <c r="C14881" s="94"/>
      <c r="E14881" s="94"/>
      <c r="G14881" s="94"/>
      <c r="I14881" s="94"/>
      <c r="K14881" s="94"/>
      <c r="M14881" s="94"/>
    </row>
    <row r="14882" s="93" customFormat="1" spans="3:13">
      <c r="C14882" s="94"/>
      <c r="E14882" s="94"/>
      <c r="G14882" s="94"/>
      <c r="I14882" s="94"/>
      <c r="K14882" s="94"/>
      <c r="M14882" s="94"/>
    </row>
    <row r="14883" s="93" customFormat="1" spans="3:13">
      <c r="C14883" s="94"/>
      <c r="E14883" s="94"/>
      <c r="G14883" s="94"/>
      <c r="I14883" s="94"/>
      <c r="K14883" s="94"/>
      <c r="M14883" s="94"/>
    </row>
    <row r="14884" s="93" customFormat="1" spans="3:13">
      <c r="C14884" s="94"/>
      <c r="E14884" s="94"/>
      <c r="G14884" s="94"/>
      <c r="I14884" s="94"/>
      <c r="K14884" s="94"/>
      <c r="M14884" s="94"/>
    </row>
    <row r="14885" s="93" customFormat="1" spans="3:13">
      <c r="C14885" s="94"/>
      <c r="E14885" s="94"/>
      <c r="G14885" s="94"/>
      <c r="I14885" s="94"/>
      <c r="K14885" s="94"/>
      <c r="M14885" s="94"/>
    </row>
    <row r="14886" s="93" customFormat="1" spans="3:13">
      <c r="C14886" s="94"/>
      <c r="E14886" s="94"/>
      <c r="G14886" s="94"/>
      <c r="I14886" s="94"/>
      <c r="K14886" s="94"/>
      <c r="M14886" s="94"/>
    </row>
    <row r="14887" s="93" customFormat="1" spans="3:13">
      <c r="C14887" s="94"/>
      <c r="E14887" s="94"/>
      <c r="G14887" s="94"/>
      <c r="I14887" s="94"/>
      <c r="K14887" s="94"/>
      <c r="M14887" s="94"/>
    </row>
    <row r="14888" s="93" customFormat="1" spans="3:13">
      <c r="C14888" s="94"/>
      <c r="E14888" s="94"/>
      <c r="G14888" s="94"/>
      <c r="I14888" s="94"/>
      <c r="K14888" s="94"/>
      <c r="M14888" s="94"/>
    </row>
    <row r="14889" s="93" customFormat="1" spans="3:13">
      <c r="C14889" s="94"/>
      <c r="E14889" s="94"/>
      <c r="G14889" s="94"/>
      <c r="I14889" s="94"/>
      <c r="K14889" s="94"/>
      <c r="M14889" s="94"/>
    </row>
    <row r="14890" s="93" customFormat="1" spans="3:13">
      <c r="C14890" s="94"/>
      <c r="E14890" s="94"/>
      <c r="G14890" s="94"/>
      <c r="I14890" s="94"/>
      <c r="K14890" s="94"/>
      <c r="M14890" s="94"/>
    </row>
    <row r="14891" s="93" customFormat="1" spans="3:13">
      <c r="C14891" s="94"/>
      <c r="E14891" s="94"/>
      <c r="G14891" s="94"/>
      <c r="I14891" s="94"/>
      <c r="K14891" s="94"/>
      <c r="M14891" s="94"/>
    </row>
    <row r="14892" s="93" customFormat="1" spans="3:13">
      <c r="C14892" s="94"/>
      <c r="E14892" s="94"/>
      <c r="G14892" s="94"/>
      <c r="I14892" s="94"/>
      <c r="K14892" s="94"/>
      <c r="M14892" s="94"/>
    </row>
    <row r="14893" s="93" customFormat="1" spans="3:13">
      <c r="C14893" s="94"/>
      <c r="E14893" s="94"/>
      <c r="G14893" s="94"/>
      <c r="I14893" s="94"/>
      <c r="K14893" s="94"/>
      <c r="M14893" s="94"/>
    </row>
    <row r="14894" s="93" customFormat="1" spans="3:13">
      <c r="C14894" s="94"/>
      <c r="E14894" s="94"/>
      <c r="G14894" s="94"/>
      <c r="I14894" s="94"/>
      <c r="K14894" s="94"/>
      <c r="M14894" s="94"/>
    </row>
    <row r="14895" s="93" customFormat="1" spans="3:13">
      <c r="C14895" s="94"/>
      <c r="E14895" s="94"/>
      <c r="G14895" s="94"/>
      <c r="I14895" s="94"/>
      <c r="K14895" s="94"/>
      <c r="M14895" s="94"/>
    </row>
    <row r="14896" s="93" customFormat="1" spans="3:13">
      <c r="C14896" s="94"/>
      <c r="E14896" s="94"/>
      <c r="G14896" s="94"/>
      <c r="I14896" s="94"/>
      <c r="K14896" s="94"/>
      <c r="M14896" s="94"/>
    </row>
    <row r="14897" s="93" customFormat="1" spans="3:13">
      <c r="C14897" s="94"/>
      <c r="E14897" s="94"/>
      <c r="G14897" s="94"/>
      <c r="I14897" s="94"/>
      <c r="K14897" s="94"/>
      <c r="M14897" s="94"/>
    </row>
    <row r="14898" s="93" customFormat="1" spans="3:13">
      <c r="C14898" s="94"/>
      <c r="E14898" s="94"/>
      <c r="G14898" s="94"/>
      <c r="I14898" s="94"/>
      <c r="K14898" s="94"/>
      <c r="M14898" s="94"/>
    </row>
    <row r="14899" s="93" customFormat="1" spans="3:13">
      <c r="C14899" s="94"/>
      <c r="E14899" s="94"/>
      <c r="G14899" s="94"/>
      <c r="I14899" s="94"/>
      <c r="K14899" s="94"/>
      <c r="M14899" s="94"/>
    </row>
    <row r="14900" s="93" customFormat="1" spans="3:13">
      <c r="C14900" s="94"/>
      <c r="E14900" s="94"/>
      <c r="G14900" s="94"/>
      <c r="I14900" s="94"/>
      <c r="K14900" s="94"/>
      <c r="M14900" s="94"/>
    </row>
    <row r="14901" s="93" customFormat="1" spans="3:13">
      <c r="C14901" s="94"/>
      <c r="E14901" s="94"/>
      <c r="G14901" s="94"/>
      <c r="I14901" s="94"/>
      <c r="K14901" s="94"/>
      <c r="M14901" s="94"/>
    </row>
    <row r="14902" s="93" customFormat="1" spans="3:13">
      <c r="C14902" s="94"/>
      <c r="E14902" s="94"/>
      <c r="G14902" s="94"/>
      <c r="I14902" s="94"/>
      <c r="K14902" s="94"/>
      <c r="M14902" s="94"/>
    </row>
    <row r="14903" s="93" customFormat="1" spans="3:13">
      <c r="C14903" s="94"/>
      <c r="E14903" s="94"/>
      <c r="G14903" s="94"/>
      <c r="I14903" s="94"/>
      <c r="K14903" s="94"/>
      <c r="M14903" s="94"/>
    </row>
    <row r="14904" s="93" customFormat="1" spans="3:13">
      <c r="C14904" s="94"/>
      <c r="E14904" s="94"/>
      <c r="G14904" s="94"/>
      <c r="I14904" s="94"/>
      <c r="K14904" s="94"/>
      <c r="M14904" s="94"/>
    </row>
    <row r="14905" s="93" customFormat="1" spans="3:13">
      <c r="C14905" s="94"/>
      <c r="E14905" s="94"/>
      <c r="G14905" s="94"/>
      <c r="I14905" s="94"/>
      <c r="K14905" s="94"/>
      <c r="M14905" s="94"/>
    </row>
    <row r="14906" s="93" customFormat="1" spans="3:13">
      <c r="C14906" s="94"/>
      <c r="E14906" s="94"/>
      <c r="G14906" s="94"/>
      <c r="I14906" s="94"/>
      <c r="K14906" s="94"/>
      <c r="M14906" s="94"/>
    </row>
    <row r="14907" s="93" customFormat="1" spans="3:13">
      <c r="C14907" s="94"/>
      <c r="E14907" s="94"/>
      <c r="G14907" s="94"/>
      <c r="I14907" s="94"/>
      <c r="K14907" s="94"/>
      <c r="M14907" s="94"/>
    </row>
    <row r="14908" s="93" customFormat="1" spans="3:13">
      <c r="C14908" s="94"/>
      <c r="E14908" s="94"/>
      <c r="G14908" s="94"/>
      <c r="I14908" s="94"/>
      <c r="K14908" s="94"/>
      <c r="M14908" s="94"/>
    </row>
    <row r="14909" s="93" customFormat="1" spans="3:13">
      <c r="C14909" s="94"/>
      <c r="E14909" s="94"/>
      <c r="G14909" s="94"/>
      <c r="I14909" s="94"/>
      <c r="K14909" s="94"/>
      <c r="M14909" s="94"/>
    </row>
    <row r="14910" s="93" customFormat="1" spans="3:13">
      <c r="C14910" s="94"/>
      <c r="E14910" s="94"/>
      <c r="G14910" s="94"/>
      <c r="I14910" s="94"/>
      <c r="K14910" s="94"/>
      <c r="M14910" s="94"/>
    </row>
    <row r="14911" s="93" customFormat="1" spans="3:13">
      <c r="C14911" s="94"/>
      <c r="E14911" s="94"/>
      <c r="G14911" s="94"/>
      <c r="I14911" s="94"/>
      <c r="K14911" s="94"/>
      <c r="M14911" s="94"/>
    </row>
    <row r="14912" s="93" customFormat="1" spans="3:13">
      <c r="C14912" s="94"/>
      <c r="E14912" s="94"/>
      <c r="G14912" s="94"/>
      <c r="I14912" s="94"/>
      <c r="K14912" s="94"/>
      <c r="M14912" s="94"/>
    </row>
    <row r="14913" s="93" customFormat="1" spans="3:13">
      <c r="C14913" s="94"/>
      <c r="E14913" s="94"/>
      <c r="G14913" s="94"/>
      <c r="I14913" s="94"/>
      <c r="K14913" s="94"/>
      <c r="M14913" s="94"/>
    </row>
    <row r="14914" s="93" customFormat="1" spans="3:13">
      <c r="C14914" s="94"/>
      <c r="E14914" s="94"/>
      <c r="G14914" s="94"/>
      <c r="I14914" s="94"/>
      <c r="K14914" s="94"/>
      <c r="M14914" s="94"/>
    </row>
    <row r="14915" s="93" customFormat="1" spans="3:13">
      <c r="C14915" s="94"/>
      <c r="E14915" s="94"/>
      <c r="G14915" s="94"/>
      <c r="I14915" s="94"/>
      <c r="K14915" s="94"/>
      <c r="M14915" s="94"/>
    </row>
    <row r="14916" s="93" customFormat="1" spans="3:13">
      <c r="C14916" s="94"/>
      <c r="E14916" s="94"/>
      <c r="G14916" s="94"/>
      <c r="I14916" s="94"/>
      <c r="K14916" s="94"/>
      <c r="M14916" s="94"/>
    </row>
    <row r="14917" s="93" customFormat="1" spans="3:13">
      <c r="C14917" s="94"/>
      <c r="E14917" s="94"/>
      <c r="G14917" s="94"/>
      <c r="I14917" s="94"/>
      <c r="K14917" s="94"/>
      <c r="M14917" s="94"/>
    </row>
    <row r="14918" s="93" customFormat="1" spans="3:13">
      <c r="C14918" s="94"/>
      <c r="E14918" s="94"/>
      <c r="G14918" s="94"/>
      <c r="I14918" s="94"/>
      <c r="K14918" s="94"/>
      <c r="M14918" s="94"/>
    </row>
    <row r="14919" s="93" customFormat="1" spans="3:13">
      <c r="C14919" s="94"/>
      <c r="E14919" s="94"/>
      <c r="G14919" s="94"/>
      <c r="I14919" s="94"/>
      <c r="K14919" s="94"/>
      <c r="M14919" s="94"/>
    </row>
    <row r="14920" s="93" customFormat="1" spans="3:13">
      <c r="C14920" s="94"/>
      <c r="E14920" s="94"/>
      <c r="G14920" s="94"/>
      <c r="I14920" s="94"/>
      <c r="K14920" s="94"/>
      <c r="M14920" s="94"/>
    </row>
    <row r="14921" s="93" customFormat="1" spans="3:13">
      <c r="C14921" s="94"/>
      <c r="E14921" s="94"/>
      <c r="G14921" s="94"/>
      <c r="I14921" s="94"/>
      <c r="K14921" s="94"/>
      <c r="M14921" s="94"/>
    </row>
    <row r="14922" s="93" customFormat="1" spans="3:13">
      <c r="C14922" s="94"/>
      <c r="E14922" s="94"/>
      <c r="G14922" s="94"/>
      <c r="I14922" s="94"/>
      <c r="K14922" s="94"/>
      <c r="M14922" s="94"/>
    </row>
    <row r="14923" s="93" customFormat="1" spans="3:13">
      <c r="C14923" s="94"/>
      <c r="E14923" s="94"/>
      <c r="G14923" s="94"/>
      <c r="I14923" s="94"/>
      <c r="K14923" s="94"/>
      <c r="M14923" s="94"/>
    </row>
    <row r="14924" s="93" customFormat="1" spans="3:13">
      <c r="C14924" s="94"/>
      <c r="E14924" s="94"/>
      <c r="G14924" s="94"/>
      <c r="I14924" s="94"/>
      <c r="K14924" s="94"/>
      <c r="M14924" s="94"/>
    </row>
    <row r="14925" s="93" customFormat="1" spans="3:13">
      <c r="C14925" s="94"/>
      <c r="E14925" s="94"/>
      <c r="G14925" s="94"/>
      <c r="I14925" s="94"/>
      <c r="K14925" s="94"/>
      <c r="M14925" s="94"/>
    </row>
    <row r="14926" s="93" customFormat="1" spans="3:13">
      <c r="C14926" s="94"/>
      <c r="E14926" s="94"/>
      <c r="G14926" s="94"/>
      <c r="I14926" s="94"/>
      <c r="K14926" s="94"/>
      <c r="M14926" s="94"/>
    </row>
    <row r="14927" s="93" customFormat="1" spans="3:13">
      <c r="C14927" s="94"/>
      <c r="E14927" s="94"/>
      <c r="G14927" s="94"/>
      <c r="I14927" s="94"/>
      <c r="K14927" s="94"/>
      <c r="M14927" s="94"/>
    </row>
    <row r="14928" s="93" customFormat="1" spans="3:13">
      <c r="C14928" s="94"/>
      <c r="E14928" s="94"/>
      <c r="G14928" s="94"/>
      <c r="I14928" s="94"/>
      <c r="K14928" s="94"/>
      <c r="M14928" s="94"/>
    </row>
    <row r="14929" s="93" customFormat="1" spans="3:13">
      <c r="C14929" s="94"/>
      <c r="E14929" s="94"/>
      <c r="G14929" s="94"/>
      <c r="I14929" s="94"/>
      <c r="K14929" s="94"/>
      <c r="M14929" s="94"/>
    </row>
    <row r="14930" s="93" customFormat="1" spans="3:13">
      <c r="C14930" s="94"/>
      <c r="E14930" s="94"/>
      <c r="G14930" s="94"/>
      <c r="I14930" s="94"/>
      <c r="K14930" s="94"/>
      <c r="M14930" s="94"/>
    </row>
    <row r="14931" s="93" customFormat="1" spans="3:13">
      <c r="C14931" s="94"/>
      <c r="E14931" s="94"/>
      <c r="G14931" s="94"/>
      <c r="I14931" s="94"/>
      <c r="K14931" s="94"/>
      <c r="M14931" s="94"/>
    </row>
    <row r="14932" s="93" customFormat="1" spans="3:13">
      <c r="C14932" s="94"/>
      <c r="E14932" s="94"/>
      <c r="G14932" s="94"/>
      <c r="I14932" s="94"/>
      <c r="K14932" s="94"/>
      <c r="M14932" s="94"/>
    </row>
    <row r="14933" s="93" customFormat="1" spans="3:13">
      <c r="C14933" s="94"/>
      <c r="E14933" s="94"/>
      <c r="G14933" s="94"/>
      <c r="I14933" s="94"/>
      <c r="K14933" s="94"/>
      <c r="M14933" s="94"/>
    </row>
    <row r="14934" s="93" customFormat="1" spans="3:13">
      <c r="C14934" s="94"/>
      <c r="E14934" s="94"/>
      <c r="G14934" s="94"/>
      <c r="I14934" s="94"/>
      <c r="K14934" s="94"/>
      <c r="M14934" s="94"/>
    </row>
    <row r="14935" s="93" customFormat="1" spans="3:13">
      <c r="C14935" s="94"/>
      <c r="E14935" s="94"/>
      <c r="G14935" s="94"/>
      <c r="I14935" s="94"/>
      <c r="K14935" s="94"/>
      <c r="M14935" s="94"/>
    </row>
    <row r="14936" s="93" customFormat="1" spans="3:13">
      <c r="C14936" s="94"/>
      <c r="E14936" s="94"/>
      <c r="G14936" s="94"/>
      <c r="I14936" s="94"/>
      <c r="K14936" s="94"/>
      <c r="M14936" s="94"/>
    </row>
    <row r="14937" s="93" customFormat="1" spans="3:13">
      <c r="C14937" s="94"/>
      <c r="E14937" s="94"/>
      <c r="G14937" s="94"/>
      <c r="I14937" s="94"/>
      <c r="K14937" s="94"/>
      <c r="M14937" s="94"/>
    </row>
    <row r="14938" s="93" customFormat="1" spans="3:13">
      <c r="C14938" s="94"/>
      <c r="E14938" s="94"/>
      <c r="G14938" s="94"/>
      <c r="I14938" s="94"/>
      <c r="K14938" s="94"/>
      <c r="M14938" s="94"/>
    </row>
    <row r="14939" s="93" customFormat="1" spans="3:13">
      <c r="C14939" s="94"/>
      <c r="E14939" s="94"/>
      <c r="G14939" s="94"/>
      <c r="I14939" s="94"/>
      <c r="K14939" s="94"/>
      <c r="M14939" s="94"/>
    </row>
    <row r="14940" s="93" customFormat="1" spans="3:13">
      <c r="C14940" s="94"/>
      <c r="E14940" s="94"/>
      <c r="G14940" s="94"/>
      <c r="I14940" s="94"/>
      <c r="K14940" s="94"/>
      <c r="M14940" s="94"/>
    </row>
    <row r="14941" s="93" customFormat="1" spans="3:13">
      <c r="C14941" s="94"/>
      <c r="E14941" s="94"/>
      <c r="G14941" s="94"/>
      <c r="I14941" s="94"/>
      <c r="K14941" s="94"/>
      <c r="M14941" s="94"/>
    </row>
    <row r="14942" s="93" customFormat="1" spans="3:13">
      <c r="C14942" s="94"/>
      <c r="E14942" s="94"/>
      <c r="G14942" s="94"/>
      <c r="I14942" s="94"/>
      <c r="K14942" s="94"/>
      <c r="M14942" s="94"/>
    </row>
    <row r="14943" s="93" customFormat="1" spans="3:13">
      <c r="C14943" s="94"/>
      <c r="E14943" s="94"/>
      <c r="G14943" s="94"/>
      <c r="I14943" s="94"/>
      <c r="K14943" s="94"/>
      <c r="M14943" s="94"/>
    </row>
    <row r="14944" s="93" customFormat="1" spans="3:13">
      <c r="C14944" s="94"/>
      <c r="E14944" s="94"/>
      <c r="G14944" s="94"/>
      <c r="I14944" s="94"/>
      <c r="K14944" s="94"/>
      <c r="M14944" s="94"/>
    </row>
    <row r="14945" s="93" customFormat="1" spans="3:13">
      <c r="C14945" s="94"/>
      <c r="E14945" s="94"/>
      <c r="G14945" s="94"/>
      <c r="I14945" s="94"/>
      <c r="K14945" s="94"/>
      <c r="M14945" s="94"/>
    </row>
    <row r="14946" s="93" customFormat="1" spans="3:13">
      <c r="C14946" s="94"/>
      <c r="E14946" s="94"/>
      <c r="G14946" s="94"/>
      <c r="I14946" s="94"/>
      <c r="K14946" s="94"/>
      <c r="M14946" s="94"/>
    </row>
    <row r="14947" s="93" customFormat="1" spans="3:13">
      <c r="C14947" s="94"/>
      <c r="E14947" s="94"/>
      <c r="G14947" s="94"/>
      <c r="I14947" s="94"/>
      <c r="K14947" s="94"/>
      <c r="M14947" s="94"/>
    </row>
    <row r="14948" s="93" customFormat="1" spans="3:13">
      <c r="C14948" s="94"/>
      <c r="E14948" s="94"/>
      <c r="G14948" s="94"/>
      <c r="I14948" s="94"/>
      <c r="K14948" s="94"/>
      <c r="M14948" s="94"/>
    </row>
    <row r="14949" s="93" customFormat="1" spans="3:13">
      <c r="C14949" s="94"/>
      <c r="E14949" s="94"/>
      <c r="G14949" s="94"/>
      <c r="I14949" s="94"/>
      <c r="K14949" s="94"/>
      <c r="M14949" s="94"/>
    </row>
    <row r="14950" s="93" customFormat="1" spans="3:13">
      <c r="C14950" s="94"/>
      <c r="E14950" s="94"/>
      <c r="G14950" s="94"/>
      <c r="I14950" s="94"/>
      <c r="K14950" s="94"/>
      <c r="M14950" s="94"/>
    </row>
    <row r="14951" s="93" customFormat="1" spans="3:13">
      <c r="C14951" s="94"/>
      <c r="E14951" s="94"/>
      <c r="G14951" s="94"/>
      <c r="I14951" s="94"/>
      <c r="K14951" s="94"/>
      <c r="M14951" s="94"/>
    </row>
    <row r="14952" s="93" customFormat="1" spans="3:13">
      <c r="C14952" s="94"/>
      <c r="E14952" s="94"/>
      <c r="G14952" s="94"/>
      <c r="I14952" s="94"/>
      <c r="K14952" s="94"/>
      <c r="M14952" s="94"/>
    </row>
    <row r="14953" s="93" customFormat="1" spans="3:13">
      <c r="C14953" s="94"/>
      <c r="E14953" s="94"/>
      <c r="G14953" s="94"/>
      <c r="I14953" s="94"/>
      <c r="K14953" s="94"/>
      <c r="M14953" s="94"/>
    </row>
    <row r="14954" s="93" customFormat="1" spans="3:13">
      <c r="C14954" s="94"/>
      <c r="E14954" s="94"/>
      <c r="G14954" s="94"/>
      <c r="I14954" s="94"/>
      <c r="K14954" s="94"/>
      <c r="M14954" s="94"/>
    </row>
    <row r="14955" s="93" customFormat="1" spans="3:13">
      <c r="C14955" s="94"/>
      <c r="E14955" s="94"/>
      <c r="G14955" s="94"/>
      <c r="I14955" s="94"/>
      <c r="K14955" s="94"/>
      <c r="M14955" s="94"/>
    </row>
    <row r="14956" s="93" customFormat="1" spans="3:13">
      <c r="C14956" s="94"/>
      <c r="E14956" s="94"/>
      <c r="G14956" s="94"/>
      <c r="I14956" s="94"/>
      <c r="K14956" s="94"/>
      <c r="M14956" s="94"/>
    </row>
    <row r="14957" s="93" customFormat="1" spans="3:13">
      <c r="C14957" s="94"/>
      <c r="E14957" s="94"/>
      <c r="G14957" s="94"/>
      <c r="I14957" s="94"/>
      <c r="K14957" s="94"/>
      <c r="M14957" s="94"/>
    </row>
    <row r="14958" s="93" customFormat="1" spans="3:13">
      <c r="C14958" s="94"/>
      <c r="E14958" s="94"/>
      <c r="G14958" s="94"/>
      <c r="I14958" s="94"/>
      <c r="K14958" s="94"/>
      <c r="M14958" s="94"/>
    </row>
    <row r="14959" s="93" customFormat="1" spans="3:13">
      <c r="C14959" s="94"/>
      <c r="E14959" s="94"/>
      <c r="G14959" s="94"/>
      <c r="I14959" s="94"/>
      <c r="K14959" s="94"/>
      <c r="M14959" s="94"/>
    </row>
    <row r="14960" s="93" customFormat="1" spans="3:13">
      <c r="C14960" s="94"/>
      <c r="E14960" s="94"/>
      <c r="G14960" s="94"/>
      <c r="I14960" s="94"/>
      <c r="K14960" s="94"/>
      <c r="M14960" s="94"/>
    </row>
    <row r="14961" s="93" customFormat="1" spans="3:13">
      <c r="C14961" s="94"/>
      <c r="E14961" s="94"/>
      <c r="G14961" s="94"/>
      <c r="I14961" s="94"/>
      <c r="K14961" s="94"/>
      <c r="M14961" s="94"/>
    </row>
    <row r="14962" s="93" customFormat="1" spans="3:13">
      <c r="C14962" s="94"/>
      <c r="E14962" s="94"/>
      <c r="G14962" s="94"/>
      <c r="I14962" s="94"/>
      <c r="K14962" s="94"/>
      <c r="M14962" s="94"/>
    </row>
    <row r="14963" s="93" customFormat="1" spans="3:13">
      <c r="C14963" s="94"/>
      <c r="E14963" s="94"/>
      <c r="G14963" s="94"/>
      <c r="I14963" s="94"/>
      <c r="K14963" s="94"/>
      <c r="M14963" s="94"/>
    </row>
    <row r="14964" s="93" customFormat="1" spans="3:13">
      <c r="C14964" s="94"/>
      <c r="E14964" s="94"/>
      <c r="G14964" s="94"/>
      <c r="I14964" s="94"/>
      <c r="K14964" s="94"/>
      <c r="M14964" s="94"/>
    </row>
    <row r="14965" s="93" customFormat="1" spans="3:13">
      <c r="C14965" s="94"/>
      <c r="E14965" s="94"/>
      <c r="G14965" s="94"/>
      <c r="I14965" s="94"/>
      <c r="K14965" s="94"/>
      <c r="M14965" s="94"/>
    </row>
    <row r="14966" s="93" customFormat="1" spans="3:13">
      <c r="C14966" s="94"/>
      <c r="E14966" s="94"/>
      <c r="G14966" s="94"/>
      <c r="I14966" s="94"/>
      <c r="K14966" s="94"/>
      <c r="M14966" s="94"/>
    </row>
    <row r="14967" s="93" customFormat="1" spans="3:13">
      <c r="C14967" s="94"/>
      <c r="E14967" s="94"/>
      <c r="G14967" s="94"/>
      <c r="I14967" s="94"/>
      <c r="K14967" s="94"/>
      <c r="M14967" s="94"/>
    </row>
    <row r="14968" s="93" customFormat="1" spans="3:13">
      <c r="C14968" s="94"/>
      <c r="E14968" s="94"/>
      <c r="G14968" s="94"/>
      <c r="I14968" s="94"/>
      <c r="K14968" s="94"/>
      <c r="M14968" s="94"/>
    </row>
    <row r="14969" s="93" customFormat="1" spans="3:13">
      <c r="C14969" s="94"/>
      <c r="E14969" s="94"/>
      <c r="G14969" s="94"/>
      <c r="I14969" s="94"/>
      <c r="K14969" s="94"/>
      <c r="M14969" s="94"/>
    </row>
    <row r="14970" s="93" customFormat="1" spans="3:13">
      <c r="C14970" s="94"/>
      <c r="E14970" s="94"/>
      <c r="G14970" s="94"/>
      <c r="I14970" s="94"/>
      <c r="K14970" s="94"/>
      <c r="M14970" s="94"/>
    </row>
    <row r="14971" s="93" customFormat="1" spans="3:13">
      <c r="C14971" s="94"/>
      <c r="E14971" s="94"/>
      <c r="G14971" s="94"/>
      <c r="I14971" s="94"/>
      <c r="K14971" s="94"/>
      <c r="M14971" s="94"/>
    </row>
    <row r="14972" s="93" customFormat="1" spans="3:13">
      <c r="C14972" s="94"/>
      <c r="E14972" s="94"/>
      <c r="G14972" s="94"/>
      <c r="I14972" s="94"/>
      <c r="K14972" s="94"/>
      <c r="M14972" s="94"/>
    </row>
    <row r="14973" s="93" customFormat="1" spans="3:13">
      <c r="C14973" s="94"/>
      <c r="E14973" s="94"/>
      <c r="G14973" s="94"/>
      <c r="I14973" s="94"/>
      <c r="K14973" s="94"/>
      <c r="M14973" s="94"/>
    </row>
    <row r="14974" s="93" customFormat="1" spans="3:13">
      <c r="C14974" s="94"/>
      <c r="E14974" s="94"/>
      <c r="G14974" s="94"/>
      <c r="I14974" s="94"/>
      <c r="K14974" s="94"/>
      <c r="M14974" s="94"/>
    </row>
    <row r="14975" s="93" customFormat="1" spans="3:13">
      <c r="C14975" s="94"/>
      <c r="E14975" s="94"/>
      <c r="G14975" s="94"/>
      <c r="I14975" s="94"/>
      <c r="K14975" s="94"/>
      <c r="M14975" s="94"/>
    </row>
    <row r="14976" s="93" customFormat="1" spans="3:13">
      <c r="C14976" s="94"/>
      <c r="E14976" s="94"/>
      <c r="G14976" s="94"/>
      <c r="I14976" s="94"/>
      <c r="K14976" s="94"/>
      <c r="M14976" s="94"/>
    </row>
    <row r="14977" s="93" customFormat="1" spans="3:13">
      <c r="C14977" s="94"/>
      <c r="E14977" s="94"/>
      <c r="G14977" s="94"/>
      <c r="I14977" s="94"/>
      <c r="K14977" s="94"/>
      <c r="M14977" s="94"/>
    </row>
    <row r="14978" s="93" customFormat="1" spans="3:13">
      <c r="C14978" s="94"/>
      <c r="E14978" s="94"/>
      <c r="G14978" s="94"/>
      <c r="I14978" s="94"/>
      <c r="K14978" s="94"/>
      <c r="M14978" s="94"/>
    </row>
    <row r="14979" s="93" customFormat="1" spans="3:13">
      <c r="C14979" s="94"/>
      <c r="E14979" s="94"/>
      <c r="G14979" s="94"/>
      <c r="I14979" s="94"/>
      <c r="K14979" s="94"/>
      <c r="M14979" s="94"/>
    </row>
    <row r="14980" s="93" customFormat="1" spans="3:13">
      <c r="C14980" s="94"/>
      <c r="E14980" s="94"/>
      <c r="G14980" s="94"/>
      <c r="I14980" s="94"/>
      <c r="K14980" s="94"/>
      <c r="M14980" s="94"/>
    </row>
    <row r="14981" s="93" customFormat="1" spans="3:13">
      <c r="C14981" s="94"/>
      <c r="E14981" s="94"/>
      <c r="G14981" s="94"/>
      <c r="I14981" s="94"/>
      <c r="K14981" s="94"/>
      <c r="M14981" s="94"/>
    </row>
    <row r="14982" s="93" customFormat="1" spans="3:13">
      <c r="C14982" s="94"/>
      <c r="E14982" s="94"/>
      <c r="G14982" s="94"/>
      <c r="I14982" s="94"/>
      <c r="K14982" s="94"/>
      <c r="M14982" s="94"/>
    </row>
    <row r="14983" s="93" customFormat="1" spans="3:13">
      <c r="C14983" s="94"/>
      <c r="E14983" s="94"/>
      <c r="G14983" s="94"/>
      <c r="I14983" s="94"/>
      <c r="K14983" s="94"/>
      <c r="M14983" s="94"/>
    </row>
    <row r="14984" s="93" customFormat="1" spans="3:13">
      <c r="C14984" s="94"/>
      <c r="E14984" s="94"/>
      <c r="G14984" s="94"/>
      <c r="I14984" s="94"/>
      <c r="K14984" s="94"/>
      <c r="M14984" s="94"/>
    </row>
    <row r="14985" s="93" customFormat="1" spans="3:13">
      <c r="C14985" s="94"/>
      <c r="E14985" s="94"/>
      <c r="G14985" s="94"/>
      <c r="I14985" s="94"/>
      <c r="K14985" s="94"/>
      <c r="M14985" s="94"/>
    </row>
    <row r="14986" s="93" customFormat="1" spans="3:13">
      <c r="C14986" s="94"/>
      <c r="E14986" s="94"/>
      <c r="G14986" s="94"/>
      <c r="I14986" s="94"/>
      <c r="K14986" s="94"/>
      <c r="M14986" s="94"/>
    </row>
    <row r="14987" s="93" customFormat="1" spans="3:13">
      <c r="C14987" s="94"/>
      <c r="E14987" s="94"/>
      <c r="G14987" s="94"/>
      <c r="I14987" s="94"/>
      <c r="K14987" s="94"/>
      <c r="M14987" s="94"/>
    </row>
    <row r="14988" s="93" customFormat="1" spans="3:13">
      <c r="C14988" s="94"/>
      <c r="E14988" s="94"/>
      <c r="G14988" s="94"/>
      <c r="I14988" s="94"/>
      <c r="K14988" s="94"/>
      <c r="M14988" s="94"/>
    </row>
    <row r="14989" s="93" customFormat="1" spans="3:13">
      <c r="C14989" s="94"/>
      <c r="E14989" s="94"/>
      <c r="G14989" s="94"/>
      <c r="I14989" s="94"/>
      <c r="K14989" s="94"/>
      <c r="M14989" s="94"/>
    </row>
    <row r="14990" s="93" customFormat="1" spans="3:13">
      <c r="C14990" s="94"/>
      <c r="E14990" s="94"/>
      <c r="G14990" s="94"/>
      <c r="I14990" s="94"/>
      <c r="K14990" s="94"/>
      <c r="M14990" s="94"/>
    </row>
    <row r="14991" s="93" customFormat="1" spans="3:13">
      <c r="C14991" s="94"/>
      <c r="E14991" s="94"/>
      <c r="G14991" s="94"/>
      <c r="I14991" s="94"/>
      <c r="K14991" s="94"/>
      <c r="M14991" s="94"/>
    </row>
    <row r="14992" s="93" customFormat="1" spans="3:13">
      <c r="C14992" s="94"/>
      <c r="E14992" s="94"/>
      <c r="G14992" s="94"/>
      <c r="I14992" s="94"/>
      <c r="K14992" s="94"/>
      <c r="M14992" s="94"/>
    </row>
    <row r="14993" s="93" customFormat="1" spans="3:13">
      <c r="C14993" s="94"/>
      <c r="E14993" s="94"/>
      <c r="G14993" s="94"/>
      <c r="I14993" s="94"/>
      <c r="K14993" s="94"/>
      <c r="M14993" s="94"/>
    </row>
    <row r="14994" s="93" customFormat="1" spans="3:13">
      <c r="C14994" s="94"/>
      <c r="E14994" s="94"/>
      <c r="G14994" s="94"/>
      <c r="I14994" s="94"/>
      <c r="K14994" s="94"/>
      <c r="M14994" s="94"/>
    </row>
    <row r="14995" s="93" customFormat="1" spans="3:13">
      <c r="C14995" s="94"/>
      <c r="E14995" s="94"/>
      <c r="G14995" s="94"/>
      <c r="I14995" s="94"/>
      <c r="K14995" s="94"/>
      <c r="M14995" s="94"/>
    </row>
    <row r="14996" s="93" customFormat="1" spans="3:13">
      <c r="C14996" s="94"/>
      <c r="E14996" s="94"/>
      <c r="G14996" s="94"/>
      <c r="I14996" s="94"/>
      <c r="K14996" s="94"/>
      <c r="M14996" s="94"/>
    </row>
    <row r="14997" s="93" customFormat="1" spans="3:13">
      <c r="C14997" s="94"/>
      <c r="E14997" s="94"/>
      <c r="G14997" s="94"/>
      <c r="I14997" s="94"/>
      <c r="K14997" s="94"/>
      <c r="M14997" s="94"/>
    </row>
    <row r="14998" s="93" customFormat="1" spans="3:13">
      <c r="C14998" s="94"/>
      <c r="E14998" s="94"/>
      <c r="G14998" s="94"/>
      <c r="I14998" s="94"/>
      <c r="K14998" s="94"/>
      <c r="M14998" s="94"/>
    </row>
    <row r="14999" s="93" customFormat="1" spans="3:13">
      <c r="C14999" s="94"/>
      <c r="E14999" s="94"/>
      <c r="G14999" s="94"/>
      <c r="I14999" s="94"/>
      <c r="K14999" s="94"/>
      <c r="M14999" s="94"/>
    </row>
    <row r="15000" s="93" customFormat="1" spans="3:13">
      <c r="C15000" s="94"/>
      <c r="E15000" s="94"/>
      <c r="G15000" s="94"/>
      <c r="I15000" s="94"/>
      <c r="K15000" s="94"/>
      <c r="M15000" s="94"/>
    </row>
    <row r="15001" s="93" customFormat="1" spans="3:13">
      <c r="C15001" s="94"/>
      <c r="E15001" s="94"/>
      <c r="G15001" s="94"/>
      <c r="I15001" s="94"/>
      <c r="K15001" s="94"/>
      <c r="M15001" s="94"/>
    </row>
    <row r="15002" s="93" customFormat="1" spans="3:13">
      <c r="C15002" s="94"/>
      <c r="E15002" s="94"/>
      <c r="G15002" s="94"/>
      <c r="I15002" s="94"/>
      <c r="K15002" s="94"/>
      <c r="M15002" s="94"/>
    </row>
    <row r="15003" s="93" customFormat="1" spans="3:13">
      <c r="C15003" s="94"/>
      <c r="E15003" s="94"/>
      <c r="G15003" s="94"/>
      <c r="I15003" s="94"/>
      <c r="K15003" s="94"/>
      <c r="M15003" s="94"/>
    </row>
    <row r="15004" s="93" customFormat="1" spans="3:13">
      <c r="C15004" s="94"/>
      <c r="E15004" s="94"/>
      <c r="G15004" s="94"/>
      <c r="I15004" s="94"/>
      <c r="K15004" s="94"/>
      <c r="M15004" s="94"/>
    </row>
    <row r="15005" s="93" customFormat="1" spans="3:13">
      <c r="C15005" s="94"/>
      <c r="E15005" s="94"/>
      <c r="G15005" s="94"/>
      <c r="I15005" s="94"/>
      <c r="K15005" s="94"/>
      <c r="M15005" s="94"/>
    </row>
    <row r="15006" s="93" customFormat="1" spans="3:13">
      <c r="C15006" s="94"/>
      <c r="E15006" s="94"/>
      <c r="G15006" s="94"/>
      <c r="I15006" s="94"/>
      <c r="K15006" s="94"/>
      <c r="M15006" s="94"/>
    </row>
    <row r="15007" s="93" customFormat="1" spans="3:13">
      <c r="C15007" s="94"/>
      <c r="E15007" s="94"/>
      <c r="G15007" s="94"/>
      <c r="I15007" s="94"/>
      <c r="K15007" s="94"/>
      <c r="M15007" s="94"/>
    </row>
    <row r="15008" s="93" customFormat="1" spans="3:13">
      <c r="C15008" s="94"/>
      <c r="E15008" s="94"/>
      <c r="G15008" s="94"/>
      <c r="I15008" s="94"/>
      <c r="K15008" s="94"/>
      <c r="M15008" s="94"/>
    </row>
    <row r="15009" s="93" customFormat="1" spans="3:13">
      <c r="C15009" s="94"/>
      <c r="E15009" s="94"/>
      <c r="G15009" s="94"/>
      <c r="I15009" s="94"/>
      <c r="K15009" s="94"/>
      <c r="M15009" s="94"/>
    </row>
    <row r="15010" s="93" customFormat="1" spans="3:13">
      <c r="C15010" s="94"/>
      <c r="E15010" s="94"/>
      <c r="G15010" s="94"/>
      <c r="I15010" s="94"/>
      <c r="K15010" s="94"/>
      <c r="M15010" s="94"/>
    </row>
    <row r="15011" s="93" customFormat="1" spans="3:13">
      <c r="C15011" s="94"/>
      <c r="E15011" s="94"/>
      <c r="G15011" s="94"/>
      <c r="I15011" s="94"/>
      <c r="K15011" s="94"/>
      <c r="M15011" s="94"/>
    </row>
    <row r="15012" s="93" customFormat="1" spans="3:13">
      <c r="C15012" s="94"/>
      <c r="E15012" s="94"/>
      <c r="G15012" s="94"/>
      <c r="I15012" s="94"/>
      <c r="K15012" s="94"/>
      <c r="M15012" s="94"/>
    </row>
    <row r="15013" s="93" customFormat="1" spans="3:13">
      <c r="C15013" s="94"/>
      <c r="E15013" s="94"/>
      <c r="G15013" s="94"/>
      <c r="I15013" s="94"/>
      <c r="K15013" s="94"/>
      <c r="M15013" s="94"/>
    </row>
    <row r="15014" s="93" customFormat="1" spans="3:13">
      <c r="C15014" s="94"/>
      <c r="E15014" s="94"/>
      <c r="G15014" s="94"/>
      <c r="I15014" s="94"/>
      <c r="K15014" s="94"/>
      <c r="M15014" s="94"/>
    </row>
    <row r="15015" s="93" customFormat="1" spans="3:13">
      <c r="C15015" s="94"/>
      <c r="E15015" s="94"/>
      <c r="G15015" s="94"/>
      <c r="I15015" s="94"/>
      <c r="K15015" s="94"/>
      <c r="M15015" s="94"/>
    </row>
    <row r="15016" s="93" customFormat="1" spans="3:13">
      <c r="C15016" s="94"/>
      <c r="E15016" s="94"/>
      <c r="G15016" s="94"/>
      <c r="I15016" s="94"/>
      <c r="K15016" s="94"/>
      <c r="M15016" s="94"/>
    </row>
    <row r="15017" s="93" customFormat="1" spans="3:13">
      <c r="C15017" s="94"/>
      <c r="E15017" s="94"/>
      <c r="G15017" s="94"/>
      <c r="I15017" s="94"/>
      <c r="K15017" s="94"/>
      <c r="M15017" s="94"/>
    </row>
    <row r="15018" s="93" customFormat="1" spans="3:13">
      <c r="C15018" s="94"/>
      <c r="E15018" s="94"/>
      <c r="G15018" s="94"/>
      <c r="I15018" s="94"/>
      <c r="K15018" s="94"/>
      <c r="M15018" s="94"/>
    </row>
    <row r="15019" s="93" customFormat="1" spans="3:13">
      <c r="C15019" s="94"/>
      <c r="E15019" s="94"/>
      <c r="G15019" s="94"/>
      <c r="I15019" s="94"/>
      <c r="K15019" s="94"/>
      <c r="M15019" s="94"/>
    </row>
    <row r="15020" s="93" customFormat="1" spans="3:13">
      <c r="C15020" s="94"/>
      <c r="E15020" s="94"/>
      <c r="G15020" s="94"/>
      <c r="I15020" s="94"/>
      <c r="K15020" s="94"/>
      <c r="M15020" s="94"/>
    </row>
    <row r="15021" s="93" customFormat="1" spans="3:13">
      <c r="C15021" s="94"/>
      <c r="E15021" s="94"/>
      <c r="G15021" s="94"/>
      <c r="I15021" s="94"/>
      <c r="K15021" s="94"/>
      <c r="M15021" s="94"/>
    </row>
    <row r="15022" s="93" customFormat="1" spans="3:13">
      <c r="C15022" s="94"/>
      <c r="E15022" s="94"/>
      <c r="G15022" s="94"/>
      <c r="I15022" s="94"/>
      <c r="K15022" s="94"/>
      <c r="M15022" s="94"/>
    </row>
    <row r="15023" s="93" customFormat="1" spans="3:13">
      <c r="C15023" s="94"/>
      <c r="E15023" s="94"/>
      <c r="G15023" s="94"/>
      <c r="I15023" s="94"/>
      <c r="K15023" s="94"/>
      <c r="M15023" s="94"/>
    </row>
    <row r="15024" s="93" customFormat="1" spans="3:13">
      <c r="C15024" s="94"/>
      <c r="E15024" s="94"/>
      <c r="G15024" s="94"/>
      <c r="I15024" s="94"/>
      <c r="K15024" s="94"/>
      <c r="M15024" s="94"/>
    </row>
    <row r="15025" s="93" customFormat="1" spans="3:13">
      <c r="C15025" s="94"/>
      <c r="E15025" s="94"/>
      <c r="G15025" s="94"/>
      <c r="I15025" s="94"/>
      <c r="K15025" s="94"/>
      <c r="M15025" s="94"/>
    </row>
    <row r="15026" s="93" customFormat="1" spans="3:13">
      <c r="C15026" s="94"/>
      <c r="E15026" s="94"/>
      <c r="G15026" s="94"/>
      <c r="I15026" s="94"/>
      <c r="K15026" s="94"/>
      <c r="M15026" s="94"/>
    </row>
    <row r="15027" s="93" customFormat="1" spans="3:13">
      <c r="C15027" s="94"/>
      <c r="E15027" s="94"/>
      <c r="G15027" s="94"/>
      <c r="I15027" s="94"/>
      <c r="K15027" s="94"/>
      <c r="M15027" s="94"/>
    </row>
    <row r="15028" s="93" customFormat="1" spans="3:13">
      <c r="C15028" s="94"/>
      <c r="E15028" s="94"/>
      <c r="G15028" s="94"/>
      <c r="I15028" s="94"/>
      <c r="K15028" s="94"/>
      <c r="M15028" s="94"/>
    </row>
    <row r="15029" s="93" customFormat="1" spans="3:13">
      <c r="C15029" s="94"/>
      <c r="E15029" s="94"/>
      <c r="G15029" s="94"/>
      <c r="I15029" s="94"/>
      <c r="K15029" s="94"/>
      <c r="M15029" s="94"/>
    </row>
    <row r="15030" s="93" customFormat="1" spans="3:13">
      <c r="C15030" s="94"/>
      <c r="E15030" s="94"/>
      <c r="G15030" s="94"/>
      <c r="I15030" s="94"/>
      <c r="K15030" s="94"/>
      <c r="M15030" s="94"/>
    </row>
    <row r="15031" s="93" customFormat="1" spans="3:13">
      <c r="C15031" s="94"/>
      <c r="E15031" s="94"/>
      <c r="G15031" s="94"/>
      <c r="I15031" s="94"/>
      <c r="K15031" s="94"/>
      <c r="M15031" s="94"/>
    </row>
    <row r="15032" s="93" customFormat="1" spans="3:13">
      <c r="C15032" s="94"/>
      <c r="E15032" s="94"/>
      <c r="G15032" s="94"/>
      <c r="I15032" s="94"/>
      <c r="K15032" s="94"/>
      <c r="M15032" s="94"/>
    </row>
    <row r="15033" s="93" customFormat="1" spans="3:13">
      <c r="C15033" s="94"/>
      <c r="E15033" s="94"/>
      <c r="G15033" s="94"/>
      <c r="I15033" s="94"/>
      <c r="K15033" s="94"/>
      <c r="M15033" s="94"/>
    </row>
    <row r="15034" s="93" customFormat="1" spans="3:13">
      <c r="C15034" s="94"/>
      <c r="E15034" s="94"/>
      <c r="G15034" s="94"/>
      <c r="I15034" s="94"/>
      <c r="K15034" s="94"/>
      <c r="M15034" s="94"/>
    </row>
    <row r="15035" s="93" customFormat="1" spans="3:13">
      <c r="C15035" s="94"/>
      <c r="E15035" s="94"/>
      <c r="G15035" s="94"/>
      <c r="I15035" s="94"/>
      <c r="K15035" s="94"/>
      <c r="M15035" s="94"/>
    </row>
    <row r="15036" s="93" customFormat="1" spans="3:13">
      <c r="C15036" s="94"/>
      <c r="E15036" s="94"/>
      <c r="G15036" s="94"/>
      <c r="I15036" s="94"/>
      <c r="K15036" s="94"/>
      <c r="M15036" s="94"/>
    </row>
    <row r="15037" s="93" customFormat="1" spans="3:13">
      <c r="C15037" s="94"/>
      <c r="E15037" s="94"/>
      <c r="G15037" s="94"/>
      <c r="I15037" s="94"/>
      <c r="K15037" s="94"/>
      <c r="M15037" s="94"/>
    </row>
    <row r="15038" s="93" customFormat="1" spans="3:13">
      <c r="C15038" s="94"/>
      <c r="E15038" s="94"/>
      <c r="G15038" s="94"/>
      <c r="I15038" s="94"/>
      <c r="K15038" s="94"/>
      <c r="M15038" s="94"/>
    </row>
    <row r="15039" s="93" customFormat="1" spans="3:13">
      <c r="C15039" s="94"/>
      <c r="E15039" s="94"/>
      <c r="G15039" s="94"/>
      <c r="I15039" s="94"/>
      <c r="K15039" s="94"/>
      <c r="M15039" s="94"/>
    </row>
    <row r="15040" s="93" customFormat="1" spans="3:13">
      <c r="C15040" s="94"/>
      <c r="E15040" s="94"/>
      <c r="G15040" s="94"/>
      <c r="I15040" s="94"/>
      <c r="K15040" s="94"/>
      <c r="M15040" s="94"/>
    </row>
    <row r="15041" s="93" customFormat="1" spans="3:13">
      <c r="C15041" s="94"/>
      <c r="E15041" s="94"/>
      <c r="G15041" s="94"/>
      <c r="I15041" s="94"/>
      <c r="K15041" s="94"/>
      <c r="M15041" s="94"/>
    </row>
    <row r="15042" s="93" customFormat="1" spans="3:13">
      <c r="C15042" s="94"/>
      <c r="E15042" s="94"/>
      <c r="G15042" s="94"/>
      <c r="I15042" s="94"/>
      <c r="K15042" s="94"/>
      <c r="M15042" s="94"/>
    </row>
    <row r="15043" s="93" customFormat="1" spans="3:13">
      <c r="C15043" s="94"/>
      <c r="E15043" s="94"/>
      <c r="G15043" s="94"/>
      <c r="I15043" s="94"/>
      <c r="K15043" s="94"/>
      <c r="M15043" s="94"/>
    </row>
    <row r="15044" s="93" customFormat="1" spans="3:13">
      <c r="C15044" s="94"/>
      <c r="E15044" s="94"/>
      <c r="G15044" s="94"/>
      <c r="I15044" s="94"/>
      <c r="K15044" s="94"/>
      <c r="M15044" s="94"/>
    </row>
    <row r="15045" s="93" customFormat="1" spans="3:13">
      <c r="C15045" s="94"/>
      <c r="E15045" s="94"/>
      <c r="G15045" s="94"/>
      <c r="I15045" s="94"/>
      <c r="K15045" s="94"/>
      <c r="M15045" s="94"/>
    </row>
    <row r="15046" s="93" customFormat="1" spans="3:13">
      <c r="C15046" s="94"/>
      <c r="E15046" s="94"/>
      <c r="G15046" s="94"/>
      <c r="I15046" s="94"/>
      <c r="K15046" s="94"/>
      <c r="M15046" s="94"/>
    </row>
    <row r="15047" s="93" customFormat="1" spans="3:13">
      <c r="C15047" s="94"/>
      <c r="E15047" s="94"/>
      <c r="G15047" s="94"/>
      <c r="I15047" s="94"/>
      <c r="K15047" s="94"/>
      <c r="M15047" s="94"/>
    </row>
    <row r="15048" s="93" customFormat="1" spans="3:13">
      <c r="C15048" s="94"/>
      <c r="E15048" s="94"/>
      <c r="G15048" s="94"/>
      <c r="I15048" s="94"/>
      <c r="K15048" s="94"/>
      <c r="M15048" s="94"/>
    </row>
    <row r="15049" s="93" customFormat="1" spans="3:13">
      <c r="C15049" s="94"/>
      <c r="E15049" s="94"/>
      <c r="G15049" s="94"/>
      <c r="I15049" s="94"/>
      <c r="K15049" s="94"/>
      <c r="M15049" s="94"/>
    </row>
    <row r="15050" s="93" customFormat="1" spans="3:13">
      <c r="C15050" s="94"/>
      <c r="E15050" s="94"/>
      <c r="G15050" s="94"/>
      <c r="I15050" s="94"/>
      <c r="K15050" s="94"/>
      <c r="M15050" s="94"/>
    </row>
    <row r="15051" s="93" customFormat="1" spans="3:13">
      <c r="C15051" s="94"/>
      <c r="E15051" s="94"/>
      <c r="G15051" s="94"/>
      <c r="I15051" s="94"/>
      <c r="K15051" s="94"/>
      <c r="M15051" s="94"/>
    </row>
    <row r="15052" s="93" customFormat="1" spans="3:13">
      <c r="C15052" s="94"/>
      <c r="E15052" s="94"/>
      <c r="G15052" s="94"/>
      <c r="I15052" s="94"/>
      <c r="K15052" s="94"/>
      <c r="M15052" s="94"/>
    </row>
    <row r="15053" s="93" customFormat="1" spans="3:13">
      <c r="C15053" s="94"/>
      <c r="E15053" s="94"/>
      <c r="G15053" s="94"/>
      <c r="I15053" s="94"/>
      <c r="K15053" s="94"/>
      <c r="M15053" s="94"/>
    </row>
    <row r="15054" s="93" customFormat="1" spans="3:13">
      <c r="C15054" s="94"/>
      <c r="E15054" s="94"/>
      <c r="G15054" s="94"/>
      <c r="I15054" s="94"/>
      <c r="K15054" s="94"/>
      <c r="M15054" s="94"/>
    </row>
    <row r="15055" s="93" customFormat="1" spans="3:13">
      <c r="C15055" s="94"/>
      <c r="E15055" s="94"/>
      <c r="G15055" s="94"/>
      <c r="I15055" s="94"/>
      <c r="K15055" s="94"/>
      <c r="M15055" s="94"/>
    </row>
    <row r="15056" s="93" customFormat="1" spans="3:13">
      <c r="C15056" s="94"/>
      <c r="E15056" s="94"/>
      <c r="G15056" s="94"/>
      <c r="I15056" s="94"/>
      <c r="K15056" s="94"/>
      <c r="M15056" s="94"/>
    </row>
    <row r="15057" s="93" customFormat="1" spans="3:13">
      <c r="C15057" s="94"/>
      <c r="E15057" s="94"/>
      <c r="G15057" s="94"/>
      <c r="I15057" s="94"/>
      <c r="K15057" s="94"/>
      <c r="M15057" s="94"/>
    </row>
    <row r="15058" s="93" customFormat="1" spans="3:13">
      <c r="C15058" s="94"/>
      <c r="E15058" s="94"/>
      <c r="G15058" s="94"/>
      <c r="I15058" s="94"/>
      <c r="K15058" s="94"/>
      <c r="M15058" s="94"/>
    </row>
    <row r="15059" s="93" customFormat="1" spans="3:13">
      <c r="C15059" s="94"/>
      <c r="E15059" s="94"/>
      <c r="G15059" s="94"/>
      <c r="I15059" s="94"/>
      <c r="K15059" s="94"/>
      <c r="M15059" s="94"/>
    </row>
    <row r="15060" s="93" customFormat="1" spans="3:13">
      <c r="C15060" s="94"/>
      <c r="E15060" s="94"/>
      <c r="G15060" s="94"/>
      <c r="I15060" s="94"/>
      <c r="K15060" s="94"/>
      <c r="M15060" s="94"/>
    </row>
    <row r="15061" s="93" customFormat="1" spans="3:13">
      <c r="C15061" s="94"/>
      <c r="E15061" s="94"/>
      <c r="G15061" s="94"/>
      <c r="I15061" s="94"/>
      <c r="K15061" s="94"/>
      <c r="M15061" s="94"/>
    </row>
    <row r="15062" s="93" customFormat="1" spans="3:13">
      <c r="C15062" s="94"/>
      <c r="E15062" s="94"/>
      <c r="G15062" s="94"/>
      <c r="I15062" s="94"/>
      <c r="K15062" s="94"/>
      <c r="M15062" s="94"/>
    </row>
    <row r="15063" s="93" customFormat="1" spans="3:13">
      <c r="C15063" s="94"/>
      <c r="E15063" s="94"/>
      <c r="G15063" s="94"/>
      <c r="I15063" s="94"/>
      <c r="K15063" s="94"/>
      <c r="M15063" s="94"/>
    </row>
    <row r="15064" s="93" customFormat="1" spans="3:13">
      <c r="C15064" s="94"/>
      <c r="E15064" s="94"/>
      <c r="G15064" s="94"/>
      <c r="I15064" s="94"/>
      <c r="K15064" s="94"/>
      <c r="M15064" s="94"/>
    </row>
    <row r="15065" s="93" customFormat="1" spans="3:13">
      <c r="C15065" s="94"/>
      <c r="E15065" s="94"/>
      <c r="G15065" s="94"/>
      <c r="I15065" s="94"/>
      <c r="K15065" s="94"/>
      <c r="M15065" s="94"/>
    </row>
    <row r="15066" s="93" customFormat="1" spans="3:13">
      <c r="C15066" s="94"/>
      <c r="E15066" s="94"/>
      <c r="G15066" s="94"/>
      <c r="I15066" s="94"/>
      <c r="K15066" s="94"/>
      <c r="M15066" s="94"/>
    </row>
    <row r="15067" s="93" customFormat="1" spans="3:13">
      <c r="C15067" s="94"/>
      <c r="E15067" s="94"/>
      <c r="G15067" s="94"/>
      <c r="I15067" s="94"/>
      <c r="K15067" s="94"/>
      <c r="M15067" s="94"/>
    </row>
    <row r="15068" s="93" customFormat="1" spans="3:13">
      <c r="C15068" s="94"/>
      <c r="E15068" s="94"/>
      <c r="G15068" s="94"/>
      <c r="I15068" s="94"/>
      <c r="K15068" s="94"/>
      <c r="M15068" s="94"/>
    </row>
    <row r="15069" s="93" customFormat="1" spans="3:13">
      <c r="C15069" s="94"/>
      <c r="E15069" s="94"/>
      <c r="G15069" s="94"/>
      <c r="I15069" s="94"/>
      <c r="K15069" s="94"/>
      <c r="M15069" s="94"/>
    </row>
    <row r="15070" s="93" customFormat="1" spans="3:13">
      <c r="C15070" s="94"/>
      <c r="E15070" s="94"/>
      <c r="G15070" s="94"/>
      <c r="I15070" s="94"/>
      <c r="K15070" s="94"/>
      <c r="M15070" s="94"/>
    </row>
    <row r="15071" s="93" customFormat="1" spans="3:13">
      <c r="C15071" s="94"/>
      <c r="E15071" s="94"/>
      <c r="G15071" s="94"/>
      <c r="I15071" s="94"/>
      <c r="K15071" s="94"/>
      <c r="M15071" s="94"/>
    </row>
    <row r="15072" s="93" customFormat="1" spans="3:13">
      <c r="C15072" s="94"/>
      <c r="E15072" s="94"/>
      <c r="G15072" s="94"/>
      <c r="I15072" s="94"/>
      <c r="K15072" s="94"/>
      <c r="M15072" s="94"/>
    </row>
    <row r="15073" s="93" customFormat="1" spans="3:13">
      <c r="C15073" s="94"/>
      <c r="E15073" s="94"/>
      <c r="G15073" s="94"/>
      <c r="I15073" s="94"/>
      <c r="K15073" s="94"/>
      <c r="M15073" s="94"/>
    </row>
    <row r="15074" s="93" customFormat="1" spans="3:13">
      <c r="C15074" s="94"/>
      <c r="E15074" s="94"/>
      <c r="G15074" s="94"/>
      <c r="I15074" s="94"/>
      <c r="K15074" s="94"/>
      <c r="M15074" s="94"/>
    </row>
    <row r="15075" s="93" customFormat="1" spans="3:13">
      <c r="C15075" s="94"/>
      <c r="E15075" s="94"/>
      <c r="G15075" s="94"/>
      <c r="I15075" s="94"/>
      <c r="K15075" s="94"/>
      <c r="M15075" s="94"/>
    </row>
    <row r="15076" s="93" customFormat="1" spans="3:13">
      <c r="C15076" s="94"/>
      <c r="E15076" s="94"/>
      <c r="G15076" s="94"/>
      <c r="I15076" s="94"/>
      <c r="K15076" s="94"/>
      <c r="M15076" s="94"/>
    </row>
    <row r="15077" s="93" customFormat="1" spans="3:13">
      <c r="C15077" s="94"/>
      <c r="E15077" s="94"/>
      <c r="G15077" s="94"/>
      <c r="I15077" s="94"/>
      <c r="K15077" s="94"/>
      <c r="M15077" s="94"/>
    </row>
    <row r="15078" s="93" customFormat="1" spans="3:13">
      <c r="C15078" s="94"/>
      <c r="E15078" s="94"/>
      <c r="G15078" s="94"/>
      <c r="I15078" s="94"/>
      <c r="K15078" s="94"/>
      <c r="M15078" s="94"/>
    </row>
    <row r="15079" s="93" customFormat="1" spans="3:13">
      <c r="C15079" s="94"/>
      <c r="E15079" s="94"/>
      <c r="G15079" s="94"/>
      <c r="I15079" s="94"/>
      <c r="K15079" s="94"/>
      <c r="M15079" s="94"/>
    </row>
    <row r="15080" s="93" customFormat="1" spans="3:13">
      <c r="C15080" s="94"/>
      <c r="E15080" s="94"/>
      <c r="G15080" s="94"/>
      <c r="I15080" s="94"/>
      <c r="K15080" s="94"/>
      <c r="M15080" s="94"/>
    </row>
    <row r="15081" s="93" customFormat="1" spans="3:13">
      <c r="C15081" s="94"/>
      <c r="E15081" s="94"/>
      <c r="G15081" s="94"/>
      <c r="I15081" s="94"/>
      <c r="K15081" s="94"/>
      <c r="M15081" s="94"/>
    </row>
    <row r="15082" s="93" customFormat="1" spans="3:13">
      <c r="C15082" s="94"/>
      <c r="E15082" s="94"/>
      <c r="G15082" s="94"/>
      <c r="I15082" s="94"/>
      <c r="K15082" s="94"/>
      <c r="M15082" s="94"/>
    </row>
    <row r="15083" s="93" customFormat="1" spans="3:13">
      <c r="C15083" s="94"/>
      <c r="E15083" s="94"/>
      <c r="G15083" s="94"/>
      <c r="I15083" s="94"/>
      <c r="K15083" s="94"/>
      <c r="M15083" s="94"/>
    </row>
    <row r="15084" s="93" customFormat="1" spans="3:13">
      <c r="C15084" s="94"/>
      <c r="E15084" s="94"/>
      <c r="G15084" s="94"/>
      <c r="I15084" s="94"/>
      <c r="K15084" s="94"/>
      <c r="M15084" s="94"/>
    </row>
    <row r="15085" s="93" customFormat="1" spans="3:13">
      <c r="C15085" s="94"/>
      <c r="E15085" s="94"/>
      <c r="G15085" s="94"/>
      <c r="I15085" s="94"/>
      <c r="K15085" s="94"/>
      <c r="M15085" s="94"/>
    </row>
    <row r="15086" s="93" customFormat="1" spans="3:13">
      <c r="C15086" s="94"/>
      <c r="E15086" s="94"/>
      <c r="G15086" s="94"/>
      <c r="I15086" s="94"/>
      <c r="K15086" s="94"/>
      <c r="M15086" s="94"/>
    </row>
    <row r="15087" s="93" customFormat="1" spans="3:13">
      <c r="C15087" s="94"/>
      <c r="E15087" s="94"/>
      <c r="G15087" s="94"/>
      <c r="I15087" s="94"/>
      <c r="K15087" s="94"/>
      <c r="M15087" s="94"/>
    </row>
    <row r="15088" s="93" customFormat="1" spans="3:13">
      <c r="C15088" s="94"/>
      <c r="E15088" s="94"/>
      <c r="G15088" s="94"/>
      <c r="I15088" s="94"/>
      <c r="K15088" s="94"/>
      <c r="M15088" s="94"/>
    </row>
    <row r="15089" s="93" customFormat="1" spans="3:13">
      <c r="C15089" s="94"/>
      <c r="E15089" s="94"/>
      <c r="G15089" s="94"/>
      <c r="I15089" s="94"/>
      <c r="K15089" s="94"/>
      <c r="M15089" s="94"/>
    </row>
    <row r="15090" s="93" customFormat="1" spans="3:13">
      <c r="C15090" s="94"/>
      <c r="E15090" s="94"/>
      <c r="G15090" s="94"/>
      <c r="I15090" s="94"/>
      <c r="K15090" s="94"/>
      <c r="M15090" s="94"/>
    </row>
    <row r="15091" s="93" customFormat="1" spans="3:13">
      <c r="C15091" s="94"/>
      <c r="E15091" s="94"/>
      <c r="G15091" s="94"/>
      <c r="I15091" s="94"/>
      <c r="K15091" s="94"/>
      <c r="M15091" s="94"/>
    </row>
    <row r="15092" s="93" customFormat="1" spans="3:13">
      <c r="C15092" s="94"/>
      <c r="E15092" s="94"/>
      <c r="G15092" s="94"/>
      <c r="I15092" s="94"/>
      <c r="K15092" s="94"/>
      <c r="M15092" s="94"/>
    </row>
    <row r="15093" s="93" customFormat="1" spans="3:13">
      <c r="C15093" s="94"/>
      <c r="E15093" s="94"/>
      <c r="G15093" s="94"/>
      <c r="I15093" s="94"/>
      <c r="K15093" s="94"/>
      <c r="M15093" s="94"/>
    </row>
    <row r="15094" s="93" customFormat="1" spans="3:13">
      <c r="C15094" s="94"/>
      <c r="E15094" s="94"/>
      <c r="G15094" s="94"/>
      <c r="I15094" s="94"/>
      <c r="K15094" s="94"/>
      <c r="M15094" s="94"/>
    </row>
    <row r="15095" s="93" customFormat="1" spans="3:13">
      <c r="C15095" s="94"/>
      <c r="E15095" s="94"/>
      <c r="G15095" s="94"/>
      <c r="I15095" s="94"/>
      <c r="K15095" s="94"/>
      <c r="M15095" s="94"/>
    </row>
    <row r="15096" s="93" customFormat="1" spans="3:13">
      <c r="C15096" s="94"/>
      <c r="E15096" s="94"/>
      <c r="G15096" s="94"/>
      <c r="I15096" s="94"/>
      <c r="K15096" s="94"/>
      <c r="M15096" s="94"/>
    </row>
    <row r="15097" s="93" customFormat="1" spans="3:13">
      <c r="C15097" s="94"/>
      <c r="E15097" s="94"/>
      <c r="G15097" s="94"/>
      <c r="I15097" s="94"/>
      <c r="K15097" s="94"/>
      <c r="M15097" s="94"/>
    </row>
    <row r="15098" s="93" customFormat="1" spans="3:13">
      <c r="C15098" s="94"/>
      <c r="E15098" s="94"/>
      <c r="G15098" s="94"/>
      <c r="I15098" s="94"/>
      <c r="K15098" s="94"/>
      <c r="M15098" s="94"/>
    </row>
    <row r="15099" s="93" customFormat="1" spans="3:13">
      <c r="C15099" s="94"/>
      <c r="E15099" s="94"/>
      <c r="G15099" s="94"/>
      <c r="I15099" s="94"/>
      <c r="K15099" s="94"/>
      <c r="M15099" s="94"/>
    </row>
    <row r="15100" s="93" customFormat="1" spans="3:13">
      <c r="C15100" s="94"/>
      <c r="E15100" s="94"/>
      <c r="G15100" s="94"/>
      <c r="I15100" s="94"/>
      <c r="K15100" s="94"/>
      <c r="M15100" s="94"/>
    </row>
    <row r="15101" s="93" customFormat="1" spans="3:13">
      <c r="C15101" s="94"/>
      <c r="E15101" s="94"/>
      <c r="G15101" s="94"/>
      <c r="I15101" s="94"/>
      <c r="K15101" s="94"/>
      <c r="M15101" s="94"/>
    </row>
    <row r="15102" s="93" customFormat="1" spans="3:13">
      <c r="C15102" s="94"/>
      <c r="E15102" s="94"/>
      <c r="G15102" s="94"/>
      <c r="I15102" s="94"/>
      <c r="K15102" s="94"/>
      <c r="M15102" s="94"/>
    </row>
    <row r="15103" s="93" customFormat="1" spans="3:13">
      <c r="C15103" s="94"/>
      <c r="E15103" s="94"/>
      <c r="G15103" s="94"/>
      <c r="I15103" s="94"/>
      <c r="K15103" s="94"/>
      <c r="M15103" s="94"/>
    </row>
    <row r="15104" s="93" customFormat="1" spans="3:13">
      <c r="C15104" s="94"/>
      <c r="E15104" s="94"/>
      <c r="G15104" s="94"/>
      <c r="I15104" s="94"/>
      <c r="K15104" s="94"/>
      <c r="M15104" s="94"/>
    </row>
    <row r="15105" s="93" customFormat="1" spans="3:13">
      <c r="C15105" s="94"/>
      <c r="E15105" s="94"/>
      <c r="G15105" s="94"/>
      <c r="I15105" s="94"/>
      <c r="K15105" s="94"/>
      <c r="M15105" s="94"/>
    </row>
    <row r="15106" s="93" customFormat="1" spans="3:13">
      <c r="C15106" s="94"/>
      <c r="E15106" s="94"/>
      <c r="G15106" s="94"/>
      <c r="I15106" s="94"/>
      <c r="K15106" s="94"/>
      <c r="M15106" s="94"/>
    </row>
    <row r="15107" s="93" customFormat="1" spans="3:13">
      <c r="C15107" s="94"/>
      <c r="E15107" s="94"/>
      <c r="G15107" s="94"/>
      <c r="I15107" s="94"/>
      <c r="K15107" s="94"/>
      <c r="M15107" s="94"/>
    </row>
    <row r="15108" s="93" customFormat="1" spans="3:13">
      <c r="C15108" s="94"/>
      <c r="E15108" s="94"/>
      <c r="G15108" s="94"/>
      <c r="I15108" s="94"/>
      <c r="K15108" s="94"/>
      <c r="M15108" s="94"/>
    </row>
    <row r="15109" s="93" customFormat="1" spans="3:13">
      <c r="C15109" s="94"/>
      <c r="E15109" s="94"/>
      <c r="G15109" s="94"/>
      <c r="I15109" s="94"/>
      <c r="K15109" s="94"/>
      <c r="M15109" s="94"/>
    </row>
    <row r="15110" s="93" customFormat="1" spans="3:13">
      <c r="C15110" s="94"/>
      <c r="E15110" s="94"/>
      <c r="G15110" s="94"/>
      <c r="I15110" s="94"/>
      <c r="K15110" s="94"/>
      <c r="M15110" s="94"/>
    </row>
    <row r="15111" s="93" customFormat="1" spans="3:13">
      <c r="C15111" s="94"/>
      <c r="E15111" s="94"/>
      <c r="G15111" s="94"/>
      <c r="I15111" s="94"/>
      <c r="K15111" s="94"/>
      <c r="M15111" s="94"/>
    </row>
    <row r="15112" s="93" customFormat="1" spans="3:13">
      <c r="C15112" s="94"/>
      <c r="E15112" s="94"/>
      <c r="G15112" s="94"/>
      <c r="I15112" s="94"/>
      <c r="K15112" s="94"/>
      <c r="M15112" s="94"/>
    </row>
    <row r="15113" s="93" customFormat="1" spans="3:13">
      <c r="C15113" s="94"/>
      <c r="E15113" s="94"/>
      <c r="G15113" s="94"/>
      <c r="I15113" s="94"/>
      <c r="K15113" s="94"/>
      <c r="M15113" s="94"/>
    </row>
    <row r="15114" s="93" customFormat="1" spans="3:13">
      <c r="C15114" s="94"/>
      <c r="E15114" s="94"/>
      <c r="G15114" s="94"/>
      <c r="I15114" s="94"/>
      <c r="K15114" s="94"/>
      <c r="M15114" s="94"/>
    </row>
    <row r="15115" s="93" customFormat="1" spans="3:13">
      <c r="C15115" s="94"/>
      <c r="E15115" s="94"/>
      <c r="G15115" s="94"/>
      <c r="I15115" s="94"/>
      <c r="K15115" s="94"/>
      <c r="M15115" s="94"/>
    </row>
    <row r="15116" s="93" customFormat="1" spans="3:13">
      <c r="C15116" s="94"/>
      <c r="E15116" s="94"/>
      <c r="G15116" s="94"/>
      <c r="I15116" s="94"/>
      <c r="K15116" s="94"/>
      <c r="M15116" s="94"/>
    </row>
    <row r="15117" s="93" customFormat="1" spans="3:13">
      <c r="C15117" s="94"/>
      <c r="E15117" s="94"/>
      <c r="G15117" s="94"/>
      <c r="I15117" s="94"/>
      <c r="K15117" s="94"/>
      <c r="M15117" s="94"/>
    </row>
    <row r="15118" s="93" customFormat="1" spans="3:13">
      <c r="C15118" s="94"/>
      <c r="E15118" s="94"/>
      <c r="G15118" s="94"/>
      <c r="I15118" s="94"/>
      <c r="K15118" s="94"/>
      <c r="M15118" s="94"/>
    </row>
    <row r="15119" s="93" customFormat="1" spans="3:13">
      <c r="C15119" s="94"/>
      <c r="E15119" s="94"/>
      <c r="G15119" s="94"/>
      <c r="I15119" s="94"/>
      <c r="K15119" s="94"/>
      <c r="M15119" s="94"/>
    </row>
    <row r="15120" s="93" customFormat="1" spans="3:13">
      <c r="C15120" s="94"/>
      <c r="E15120" s="94"/>
      <c r="G15120" s="94"/>
      <c r="I15120" s="94"/>
      <c r="K15120" s="94"/>
      <c r="M15120" s="94"/>
    </row>
    <row r="15121" s="93" customFormat="1" spans="3:13">
      <c r="C15121" s="94"/>
      <c r="E15121" s="94"/>
      <c r="G15121" s="94"/>
      <c r="I15121" s="94"/>
      <c r="K15121" s="94"/>
      <c r="M15121" s="94"/>
    </row>
    <row r="15122" s="93" customFormat="1" spans="3:13">
      <c r="C15122" s="94"/>
      <c r="E15122" s="94"/>
      <c r="G15122" s="94"/>
      <c r="I15122" s="94"/>
      <c r="K15122" s="94"/>
      <c r="M15122" s="94"/>
    </row>
    <row r="15123" s="93" customFormat="1" spans="3:13">
      <c r="C15123" s="94"/>
      <c r="E15123" s="94"/>
      <c r="G15123" s="94"/>
      <c r="I15123" s="94"/>
      <c r="K15123" s="94"/>
      <c r="M15123" s="94"/>
    </row>
    <row r="15124" s="93" customFormat="1" spans="3:13">
      <c r="C15124" s="94"/>
      <c r="E15124" s="94"/>
      <c r="G15124" s="94"/>
      <c r="I15124" s="94"/>
      <c r="K15124" s="94"/>
      <c r="M15124" s="94"/>
    </row>
    <row r="15125" s="93" customFormat="1" spans="3:13">
      <c r="C15125" s="94"/>
      <c r="E15125" s="94"/>
      <c r="G15125" s="94"/>
      <c r="I15125" s="94"/>
      <c r="K15125" s="94"/>
      <c r="M15125" s="94"/>
    </row>
    <row r="15126" s="93" customFormat="1" spans="3:13">
      <c r="C15126" s="94"/>
      <c r="E15126" s="94"/>
      <c r="G15126" s="94"/>
      <c r="I15126" s="94"/>
      <c r="K15126" s="94"/>
      <c r="M15126" s="94"/>
    </row>
    <row r="15127" s="93" customFormat="1" spans="3:13">
      <c r="C15127" s="94"/>
      <c r="E15127" s="94"/>
      <c r="G15127" s="94"/>
      <c r="I15127" s="94"/>
      <c r="K15127" s="94"/>
      <c r="M15127" s="94"/>
    </row>
    <row r="15128" s="93" customFormat="1" spans="3:13">
      <c r="C15128" s="94"/>
      <c r="E15128" s="94"/>
      <c r="G15128" s="94"/>
      <c r="I15128" s="94"/>
      <c r="K15128" s="94"/>
      <c r="M15128" s="94"/>
    </row>
    <row r="15129" s="93" customFormat="1" spans="3:13">
      <c r="C15129" s="94"/>
      <c r="E15129" s="94"/>
      <c r="G15129" s="94"/>
      <c r="I15129" s="94"/>
      <c r="K15129" s="94"/>
      <c r="M15129" s="94"/>
    </row>
    <row r="15130" s="93" customFormat="1" spans="3:13">
      <c r="C15130" s="94"/>
      <c r="E15130" s="94"/>
      <c r="G15130" s="94"/>
      <c r="I15130" s="94"/>
      <c r="K15130" s="94"/>
      <c r="M15130" s="94"/>
    </row>
    <row r="15131" s="93" customFormat="1" spans="3:13">
      <c r="C15131" s="94"/>
      <c r="E15131" s="94"/>
      <c r="G15131" s="94"/>
      <c r="I15131" s="94"/>
      <c r="K15131" s="94"/>
      <c r="M15131" s="94"/>
    </row>
    <row r="15132" s="93" customFormat="1" spans="3:13">
      <c r="C15132" s="94"/>
      <c r="E15132" s="94"/>
      <c r="G15132" s="94"/>
      <c r="I15132" s="94"/>
      <c r="K15132" s="94"/>
      <c r="M15132" s="94"/>
    </row>
    <row r="15133" s="93" customFormat="1" spans="3:13">
      <c r="C15133" s="94"/>
      <c r="E15133" s="94"/>
      <c r="G15133" s="94"/>
      <c r="I15133" s="94"/>
      <c r="K15133" s="94"/>
      <c r="M15133" s="94"/>
    </row>
    <row r="15134" s="93" customFormat="1" spans="3:13">
      <c r="C15134" s="94"/>
      <c r="E15134" s="94"/>
      <c r="G15134" s="94"/>
      <c r="I15134" s="94"/>
      <c r="K15134" s="94"/>
      <c r="M15134" s="94"/>
    </row>
    <row r="15135" s="93" customFormat="1" spans="3:13">
      <c r="C15135" s="94"/>
      <c r="E15135" s="94"/>
      <c r="G15135" s="94"/>
      <c r="I15135" s="94"/>
      <c r="K15135" s="94"/>
      <c r="M15135" s="94"/>
    </row>
    <row r="15136" s="93" customFormat="1" spans="3:13">
      <c r="C15136" s="94"/>
      <c r="E15136" s="94"/>
      <c r="G15136" s="94"/>
      <c r="I15136" s="94"/>
      <c r="K15136" s="94"/>
      <c r="M15136" s="94"/>
    </row>
    <row r="15137" s="93" customFormat="1" spans="3:13">
      <c r="C15137" s="94"/>
      <c r="E15137" s="94"/>
      <c r="G15137" s="94"/>
      <c r="I15137" s="94"/>
      <c r="K15137" s="94"/>
      <c r="M15137" s="94"/>
    </row>
    <row r="15138" s="93" customFormat="1" spans="3:13">
      <c r="C15138" s="94"/>
      <c r="E15138" s="94"/>
      <c r="G15138" s="94"/>
      <c r="I15138" s="94"/>
      <c r="K15138" s="94"/>
      <c r="M15138" s="94"/>
    </row>
    <row r="15139" s="93" customFormat="1" spans="3:13">
      <c r="C15139" s="94"/>
      <c r="E15139" s="94"/>
      <c r="G15139" s="94"/>
      <c r="I15139" s="94"/>
      <c r="K15139" s="94"/>
      <c r="M15139" s="94"/>
    </row>
    <row r="15140" s="93" customFormat="1" spans="3:13">
      <c r="C15140" s="94"/>
      <c r="E15140" s="94"/>
      <c r="G15140" s="94"/>
      <c r="I15140" s="94"/>
      <c r="K15140" s="94"/>
      <c r="M15140" s="94"/>
    </row>
    <row r="15141" s="93" customFormat="1" spans="3:13">
      <c r="C15141" s="94"/>
      <c r="E15141" s="94"/>
      <c r="G15141" s="94"/>
      <c r="I15141" s="94"/>
      <c r="K15141" s="94"/>
      <c r="M15141" s="94"/>
    </row>
    <row r="15142" s="93" customFormat="1" spans="3:13">
      <c r="C15142" s="94"/>
      <c r="E15142" s="94"/>
      <c r="G15142" s="94"/>
      <c r="I15142" s="94"/>
      <c r="K15142" s="94"/>
      <c r="M15142" s="94"/>
    </row>
    <row r="15143" s="93" customFormat="1" spans="3:13">
      <c r="C15143" s="94"/>
      <c r="E15143" s="94"/>
      <c r="G15143" s="94"/>
      <c r="I15143" s="94"/>
      <c r="K15143" s="94"/>
      <c r="M15143" s="94"/>
    </row>
    <row r="15144" s="93" customFormat="1" spans="3:13">
      <c r="C15144" s="94"/>
      <c r="E15144" s="94"/>
      <c r="G15144" s="94"/>
      <c r="I15144" s="94"/>
      <c r="K15144" s="94"/>
      <c r="M15144" s="94"/>
    </row>
    <row r="15145" s="93" customFormat="1" spans="3:13">
      <c r="C15145" s="94"/>
      <c r="E15145" s="94"/>
      <c r="G15145" s="94"/>
      <c r="I15145" s="94"/>
      <c r="K15145" s="94"/>
      <c r="M15145" s="94"/>
    </row>
    <row r="15146" s="93" customFormat="1" spans="3:13">
      <c r="C15146" s="94"/>
      <c r="E15146" s="94"/>
      <c r="G15146" s="94"/>
      <c r="I15146" s="94"/>
      <c r="K15146" s="94"/>
      <c r="M15146" s="94"/>
    </row>
    <row r="15147" s="93" customFormat="1" spans="3:13">
      <c r="C15147" s="94"/>
      <c r="E15147" s="94"/>
      <c r="G15147" s="94"/>
      <c r="I15147" s="94"/>
      <c r="K15147" s="94"/>
      <c r="M15147" s="94"/>
    </row>
    <row r="15148" s="93" customFormat="1" spans="3:13">
      <c r="C15148" s="94"/>
      <c r="E15148" s="94"/>
      <c r="G15148" s="94"/>
      <c r="I15148" s="94"/>
      <c r="K15148" s="94"/>
      <c r="M15148" s="94"/>
    </row>
    <row r="15149" s="93" customFormat="1" spans="3:13">
      <c r="C15149" s="94"/>
      <c r="E15149" s="94"/>
      <c r="G15149" s="94"/>
      <c r="I15149" s="94"/>
      <c r="K15149" s="94"/>
      <c r="M15149" s="94"/>
    </row>
    <row r="15150" s="93" customFormat="1" spans="3:13">
      <c r="C15150" s="94"/>
      <c r="E15150" s="94"/>
      <c r="G15150" s="94"/>
      <c r="I15150" s="94"/>
      <c r="K15150" s="94"/>
      <c r="M15150" s="94"/>
    </row>
    <row r="15151" s="93" customFormat="1" spans="3:13">
      <c r="C15151" s="94"/>
      <c r="E15151" s="94"/>
      <c r="G15151" s="94"/>
      <c r="I15151" s="94"/>
      <c r="K15151" s="94"/>
      <c r="M15151" s="94"/>
    </row>
    <row r="15152" s="93" customFormat="1" spans="3:13">
      <c r="C15152" s="94"/>
      <c r="E15152" s="94"/>
      <c r="G15152" s="94"/>
      <c r="I15152" s="94"/>
      <c r="K15152" s="94"/>
      <c r="M15152" s="94"/>
    </row>
    <row r="15153" s="93" customFormat="1" spans="3:13">
      <c r="C15153" s="94"/>
      <c r="E15153" s="94"/>
      <c r="G15153" s="94"/>
      <c r="I15153" s="94"/>
      <c r="K15153" s="94"/>
      <c r="M15153" s="94"/>
    </row>
    <row r="15154" s="93" customFormat="1" spans="3:13">
      <c r="C15154" s="94"/>
      <c r="E15154" s="94"/>
      <c r="G15154" s="94"/>
      <c r="I15154" s="94"/>
      <c r="K15154" s="94"/>
      <c r="M15154" s="94"/>
    </row>
    <row r="15155" s="93" customFormat="1" spans="3:13">
      <c r="C15155" s="94"/>
      <c r="E15155" s="94"/>
      <c r="G15155" s="94"/>
      <c r="I15155" s="94"/>
      <c r="K15155" s="94"/>
      <c r="M15155" s="94"/>
    </row>
    <row r="15156" s="93" customFormat="1" spans="3:13">
      <c r="C15156" s="94"/>
      <c r="E15156" s="94"/>
      <c r="G15156" s="94"/>
      <c r="I15156" s="94"/>
      <c r="K15156" s="94"/>
      <c r="M15156" s="94"/>
    </row>
    <row r="15157" s="93" customFormat="1" spans="3:13">
      <c r="C15157" s="94"/>
      <c r="E15157" s="94"/>
      <c r="G15157" s="94"/>
      <c r="I15157" s="94"/>
      <c r="K15157" s="94"/>
      <c r="M15157" s="94"/>
    </row>
    <row r="15158" s="93" customFormat="1" spans="3:13">
      <c r="C15158" s="94"/>
      <c r="E15158" s="94"/>
      <c r="G15158" s="94"/>
      <c r="I15158" s="94"/>
      <c r="K15158" s="94"/>
      <c r="M15158" s="94"/>
    </row>
    <row r="15159" s="93" customFormat="1" spans="3:13">
      <c r="C15159" s="94"/>
      <c r="E15159" s="94"/>
      <c r="G15159" s="94"/>
      <c r="I15159" s="94"/>
      <c r="K15159" s="94"/>
      <c r="M15159" s="94"/>
    </row>
    <row r="15160" s="93" customFormat="1" spans="3:13">
      <c r="C15160" s="94"/>
      <c r="E15160" s="94"/>
      <c r="G15160" s="94"/>
      <c r="I15160" s="94"/>
      <c r="K15160" s="94"/>
      <c r="M15160" s="94"/>
    </row>
    <row r="15161" s="93" customFormat="1" spans="3:13">
      <c r="C15161" s="94"/>
      <c r="E15161" s="94"/>
      <c r="G15161" s="94"/>
      <c r="I15161" s="94"/>
      <c r="K15161" s="94"/>
      <c r="M15161" s="94"/>
    </row>
    <row r="15162" s="93" customFormat="1" spans="3:13">
      <c r="C15162" s="94"/>
      <c r="E15162" s="94"/>
      <c r="G15162" s="94"/>
      <c r="I15162" s="94"/>
      <c r="K15162" s="94"/>
      <c r="M15162" s="94"/>
    </row>
    <row r="15163" s="93" customFormat="1" spans="3:13">
      <c r="C15163" s="94"/>
      <c r="E15163" s="94"/>
      <c r="G15163" s="94"/>
      <c r="I15163" s="94"/>
      <c r="K15163" s="94"/>
      <c r="M15163" s="94"/>
    </row>
    <row r="15164" s="93" customFormat="1" spans="3:13">
      <c r="C15164" s="94"/>
      <c r="E15164" s="94"/>
      <c r="G15164" s="94"/>
      <c r="I15164" s="94"/>
      <c r="K15164" s="94"/>
      <c r="M15164" s="94"/>
    </row>
    <row r="15165" s="93" customFormat="1" spans="3:13">
      <c r="C15165" s="94"/>
      <c r="E15165" s="94"/>
      <c r="G15165" s="94"/>
      <c r="I15165" s="94"/>
      <c r="K15165" s="94"/>
      <c r="M15165" s="94"/>
    </row>
    <row r="15166" s="93" customFormat="1" spans="3:13">
      <c r="C15166" s="94"/>
      <c r="E15166" s="94"/>
      <c r="G15166" s="94"/>
      <c r="I15166" s="94"/>
      <c r="K15166" s="94"/>
      <c r="M15166" s="94"/>
    </row>
    <row r="15167" s="93" customFormat="1" spans="3:13">
      <c r="C15167" s="94"/>
      <c r="E15167" s="94"/>
      <c r="G15167" s="94"/>
      <c r="I15167" s="94"/>
      <c r="K15167" s="94"/>
      <c r="M15167" s="94"/>
    </row>
    <row r="15168" s="93" customFormat="1" spans="3:13">
      <c r="C15168" s="94"/>
      <c r="E15168" s="94"/>
      <c r="G15168" s="94"/>
      <c r="I15168" s="94"/>
      <c r="K15168" s="94"/>
      <c r="M15168" s="94"/>
    </row>
    <row r="15169" s="93" customFormat="1" spans="3:13">
      <c r="C15169" s="94"/>
      <c r="E15169" s="94"/>
      <c r="G15169" s="94"/>
      <c r="I15169" s="94"/>
      <c r="K15169" s="94"/>
      <c r="M15169" s="94"/>
    </row>
    <row r="15170" s="93" customFormat="1" spans="3:13">
      <c r="C15170" s="94"/>
      <c r="E15170" s="94"/>
      <c r="G15170" s="94"/>
      <c r="I15170" s="94"/>
      <c r="K15170" s="94"/>
      <c r="M15170" s="94"/>
    </row>
    <row r="15171" s="93" customFormat="1" spans="3:13">
      <c r="C15171" s="94"/>
      <c r="E15171" s="94"/>
      <c r="G15171" s="94"/>
      <c r="I15171" s="94"/>
      <c r="K15171" s="94"/>
      <c r="M15171" s="94"/>
    </row>
    <row r="15172" s="93" customFormat="1" spans="3:13">
      <c r="C15172" s="94"/>
      <c r="E15172" s="94"/>
      <c r="G15172" s="94"/>
      <c r="I15172" s="94"/>
      <c r="K15172" s="94"/>
      <c r="M15172" s="94"/>
    </row>
    <row r="15173" s="93" customFormat="1" spans="3:13">
      <c r="C15173" s="94"/>
      <c r="E15173" s="94"/>
      <c r="G15173" s="94"/>
      <c r="I15173" s="94"/>
      <c r="K15173" s="94"/>
      <c r="M15173" s="94"/>
    </row>
    <row r="15174" s="93" customFormat="1" spans="3:13">
      <c r="C15174" s="94"/>
      <c r="E15174" s="94"/>
      <c r="G15174" s="94"/>
      <c r="I15174" s="94"/>
      <c r="K15174" s="94"/>
      <c r="M15174" s="94"/>
    </row>
    <row r="15175" s="93" customFormat="1" spans="3:13">
      <c r="C15175" s="94"/>
      <c r="E15175" s="94"/>
      <c r="G15175" s="94"/>
      <c r="I15175" s="94"/>
      <c r="K15175" s="94"/>
      <c r="M15175" s="94"/>
    </row>
    <row r="15176" s="93" customFormat="1" spans="3:13">
      <c r="C15176" s="94"/>
      <c r="E15176" s="94"/>
      <c r="G15176" s="94"/>
      <c r="I15176" s="94"/>
      <c r="K15176" s="94"/>
      <c r="M15176" s="94"/>
    </row>
    <row r="15177" s="93" customFormat="1" spans="3:13">
      <c r="C15177" s="94"/>
      <c r="E15177" s="94"/>
      <c r="G15177" s="94"/>
      <c r="I15177" s="94"/>
      <c r="K15177" s="94"/>
      <c r="M15177" s="94"/>
    </row>
    <row r="15178" s="93" customFormat="1" spans="3:13">
      <c r="C15178" s="94"/>
      <c r="E15178" s="94"/>
      <c r="G15178" s="94"/>
      <c r="I15178" s="94"/>
      <c r="K15178" s="94"/>
      <c r="M15178" s="94"/>
    </row>
    <row r="15179" s="93" customFormat="1" spans="3:13">
      <c r="C15179" s="94"/>
      <c r="E15179" s="94"/>
      <c r="G15179" s="94"/>
      <c r="I15179" s="94"/>
      <c r="K15179" s="94"/>
      <c r="M15179" s="94"/>
    </row>
    <row r="15180" s="93" customFormat="1" spans="3:13">
      <c r="C15180" s="94"/>
      <c r="E15180" s="94"/>
      <c r="G15180" s="94"/>
      <c r="I15180" s="94"/>
      <c r="K15180" s="94"/>
      <c r="M15180" s="94"/>
    </row>
    <row r="15181" s="93" customFormat="1" spans="3:13">
      <c r="C15181" s="94"/>
      <c r="E15181" s="94"/>
      <c r="G15181" s="94"/>
      <c r="I15181" s="94"/>
      <c r="K15181" s="94"/>
      <c r="M15181" s="94"/>
    </row>
    <row r="15182" s="93" customFormat="1" spans="3:13">
      <c r="C15182" s="94"/>
      <c r="E15182" s="94"/>
      <c r="G15182" s="94"/>
      <c r="I15182" s="94"/>
      <c r="K15182" s="94"/>
      <c r="M15182" s="94"/>
    </row>
    <row r="15183" s="93" customFormat="1" spans="3:13">
      <c r="C15183" s="94"/>
      <c r="E15183" s="94"/>
      <c r="G15183" s="94"/>
      <c r="I15183" s="94"/>
      <c r="K15183" s="94"/>
      <c r="M15183" s="94"/>
    </row>
    <row r="15184" s="93" customFormat="1" spans="3:13">
      <c r="C15184" s="94"/>
      <c r="E15184" s="94"/>
      <c r="G15184" s="94"/>
      <c r="I15184" s="94"/>
      <c r="K15184" s="94"/>
      <c r="M15184" s="94"/>
    </row>
    <row r="15185" s="93" customFormat="1" spans="3:13">
      <c r="C15185" s="94"/>
      <c r="E15185" s="94"/>
      <c r="G15185" s="94"/>
      <c r="I15185" s="94"/>
      <c r="K15185" s="94"/>
      <c r="M15185" s="94"/>
    </row>
    <row r="15186" s="93" customFormat="1" spans="3:13">
      <c r="C15186" s="94"/>
      <c r="E15186" s="94"/>
      <c r="G15186" s="94"/>
      <c r="I15186" s="94"/>
      <c r="K15186" s="94"/>
      <c r="M15186" s="94"/>
    </row>
    <row r="15187" s="93" customFormat="1" spans="3:13">
      <c r="C15187" s="94"/>
      <c r="E15187" s="94"/>
      <c r="G15187" s="94"/>
      <c r="I15187" s="94"/>
      <c r="K15187" s="94"/>
      <c r="M15187" s="94"/>
    </row>
    <row r="15188" s="93" customFormat="1" spans="3:13">
      <c r="C15188" s="94"/>
      <c r="E15188" s="94"/>
      <c r="G15188" s="94"/>
      <c r="I15188" s="94"/>
      <c r="K15188" s="94"/>
      <c r="M15188" s="94"/>
    </row>
    <row r="15189" s="93" customFormat="1" spans="3:13">
      <c r="C15189" s="94"/>
      <c r="E15189" s="94"/>
      <c r="G15189" s="94"/>
      <c r="I15189" s="94"/>
      <c r="K15189" s="94"/>
      <c r="M15189" s="94"/>
    </row>
    <row r="15190" s="93" customFormat="1" spans="3:13">
      <c r="C15190" s="94"/>
      <c r="E15190" s="94"/>
      <c r="G15190" s="94"/>
      <c r="I15190" s="94"/>
      <c r="K15190" s="94"/>
      <c r="M15190" s="94"/>
    </row>
    <row r="15191" s="93" customFormat="1" spans="3:13">
      <c r="C15191" s="94"/>
      <c r="E15191" s="94"/>
      <c r="G15191" s="94"/>
      <c r="I15191" s="94"/>
      <c r="K15191" s="94"/>
      <c r="M15191" s="94"/>
    </row>
    <row r="15192" s="93" customFormat="1" spans="3:13">
      <c r="C15192" s="94"/>
      <c r="E15192" s="94"/>
      <c r="G15192" s="94"/>
      <c r="I15192" s="94"/>
      <c r="K15192" s="94"/>
      <c r="M15192" s="94"/>
    </row>
    <row r="15193" s="93" customFormat="1" spans="3:13">
      <c r="C15193" s="94"/>
      <c r="E15193" s="94"/>
      <c r="G15193" s="94"/>
      <c r="I15193" s="94"/>
      <c r="K15193" s="94"/>
      <c r="M15193" s="94"/>
    </row>
    <row r="15194" s="93" customFormat="1" spans="3:13">
      <c r="C15194" s="94"/>
      <c r="E15194" s="94"/>
      <c r="G15194" s="94"/>
      <c r="I15194" s="94"/>
      <c r="K15194" s="94"/>
      <c r="M15194" s="94"/>
    </row>
    <row r="15195" s="93" customFormat="1" spans="3:13">
      <c r="C15195" s="94"/>
      <c r="E15195" s="94"/>
      <c r="G15195" s="94"/>
      <c r="I15195" s="94"/>
      <c r="K15195" s="94"/>
      <c r="M15195" s="94"/>
    </row>
    <row r="15196" s="93" customFormat="1" spans="3:13">
      <c r="C15196" s="94"/>
      <c r="E15196" s="94"/>
      <c r="G15196" s="94"/>
      <c r="I15196" s="94"/>
      <c r="K15196" s="94"/>
      <c r="M15196" s="94"/>
    </row>
    <row r="15197" s="93" customFormat="1" spans="3:13">
      <c r="C15197" s="94"/>
      <c r="E15197" s="94"/>
      <c r="G15197" s="94"/>
      <c r="I15197" s="94"/>
      <c r="K15197" s="94"/>
      <c r="M15197" s="94"/>
    </row>
    <row r="15198" s="93" customFormat="1" spans="3:13">
      <c r="C15198" s="94"/>
      <c r="E15198" s="94"/>
      <c r="G15198" s="94"/>
      <c r="I15198" s="94"/>
      <c r="K15198" s="94"/>
      <c r="M15198" s="94"/>
    </row>
    <row r="15199" s="93" customFormat="1" spans="3:13">
      <c r="C15199" s="94"/>
      <c r="E15199" s="94"/>
      <c r="G15199" s="94"/>
      <c r="I15199" s="94"/>
      <c r="K15199" s="94"/>
      <c r="M15199" s="94"/>
    </row>
    <row r="15200" s="93" customFormat="1" spans="3:13">
      <c r="C15200" s="94"/>
      <c r="E15200" s="94"/>
      <c r="G15200" s="94"/>
      <c r="I15200" s="94"/>
      <c r="K15200" s="94"/>
      <c r="M15200" s="94"/>
    </row>
    <row r="15201" s="93" customFormat="1" spans="3:13">
      <c r="C15201" s="94"/>
      <c r="E15201" s="94"/>
      <c r="G15201" s="94"/>
      <c r="I15201" s="94"/>
      <c r="K15201" s="94"/>
      <c r="M15201" s="94"/>
    </row>
    <row r="15202" s="93" customFormat="1" spans="3:13">
      <c r="C15202" s="94"/>
      <c r="E15202" s="94"/>
      <c r="G15202" s="94"/>
      <c r="I15202" s="94"/>
      <c r="K15202" s="94"/>
      <c r="M15202" s="94"/>
    </row>
    <row r="15203" s="93" customFormat="1" spans="3:13">
      <c r="C15203" s="94"/>
      <c r="E15203" s="94"/>
      <c r="G15203" s="94"/>
      <c r="I15203" s="94"/>
      <c r="K15203" s="94"/>
      <c r="M15203" s="94"/>
    </row>
    <row r="15204" s="93" customFormat="1" spans="3:13">
      <c r="C15204" s="94"/>
      <c r="E15204" s="94"/>
      <c r="G15204" s="94"/>
      <c r="I15204" s="94"/>
      <c r="K15204" s="94"/>
      <c r="M15204" s="94"/>
    </row>
    <row r="15205" s="93" customFormat="1" spans="3:13">
      <c r="C15205" s="94"/>
      <c r="E15205" s="94"/>
      <c r="G15205" s="94"/>
      <c r="I15205" s="94"/>
      <c r="K15205" s="94"/>
      <c r="M15205" s="94"/>
    </row>
    <row r="15206" s="93" customFormat="1" spans="3:13">
      <c r="C15206" s="94"/>
      <c r="E15206" s="94"/>
      <c r="G15206" s="94"/>
      <c r="I15206" s="94"/>
      <c r="K15206" s="94"/>
      <c r="M15206" s="94"/>
    </row>
    <row r="15207" s="93" customFormat="1" spans="3:13">
      <c r="C15207" s="94"/>
      <c r="E15207" s="94"/>
      <c r="G15207" s="94"/>
      <c r="I15207" s="94"/>
      <c r="K15207" s="94"/>
      <c r="M15207" s="94"/>
    </row>
    <row r="15208" s="93" customFormat="1" spans="3:13">
      <c r="C15208" s="94"/>
      <c r="E15208" s="94"/>
      <c r="G15208" s="94"/>
      <c r="I15208" s="94"/>
      <c r="K15208" s="94"/>
      <c r="M15208" s="94"/>
    </row>
    <row r="15209" s="93" customFormat="1" spans="3:13">
      <c r="C15209" s="94"/>
      <c r="E15209" s="94"/>
      <c r="G15209" s="94"/>
      <c r="I15209" s="94"/>
      <c r="K15209" s="94"/>
      <c r="M15209" s="94"/>
    </row>
    <row r="15210" s="93" customFormat="1" spans="3:13">
      <c r="C15210" s="94"/>
      <c r="E15210" s="94"/>
      <c r="G15210" s="94"/>
      <c r="I15210" s="94"/>
      <c r="K15210" s="94"/>
      <c r="M15210" s="94"/>
    </row>
    <row r="15211" s="93" customFormat="1" spans="3:13">
      <c r="C15211" s="94"/>
      <c r="E15211" s="94"/>
      <c r="G15211" s="94"/>
      <c r="I15211" s="94"/>
      <c r="K15211" s="94"/>
      <c r="M15211" s="94"/>
    </row>
    <row r="15212" s="93" customFormat="1" spans="3:13">
      <c r="C15212" s="94"/>
      <c r="E15212" s="94"/>
      <c r="G15212" s="94"/>
      <c r="I15212" s="94"/>
      <c r="K15212" s="94"/>
      <c r="M15212" s="94"/>
    </row>
    <row r="15213" s="93" customFormat="1" spans="3:13">
      <c r="C15213" s="94"/>
      <c r="E15213" s="94"/>
      <c r="G15213" s="94"/>
      <c r="I15213" s="94"/>
      <c r="K15213" s="94"/>
      <c r="M15213" s="94"/>
    </row>
    <row r="15214" s="93" customFormat="1" spans="3:13">
      <c r="C15214" s="94"/>
      <c r="E15214" s="94"/>
      <c r="G15214" s="94"/>
      <c r="I15214" s="94"/>
      <c r="K15214" s="94"/>
      <c r="M15214" s="94"/>
    </row>
    <row r="15215" s="93" customFormat="1" spans="3:13">
      <c r="C15215" s="94"/>
      <c r="E15215" s="94"/>
      <c r="G15215" s="94"/>
      <c r="I15215" s="94"/>
      <c r="K15215" s="94"/>
      <c r="M15215" s="94"/>
    </row>
    <row r="15216" s="93" customFormat="1" spans="3:13">
      <c r="C15216" s="94"/>
      <c r="E15216" s="94"/>
      <c r="G15216" s="94"/>
      <c r="I15216" s="94"/>
      <c r="K15216" s="94"/>
      <c r="M15216" s="94"/>
    </row>
    <row r="15217" s="93" customFormat="1" spans="3:13">
      <c r="C15217" s="94"/>
      <c r="E15217" s="94"/>
      <c r="G15217" s="94"/>
      <c r="I15217" s="94"/>
      <c r="K15217" s="94"/>
      <c r="M15217" s="94"/>
    </row>
    <row r="15218" s="93" customFormat="1" spans="3:13">
      <c r="C15218" s="94"/>
      <c r="E15218" s="94"/>
      <c r="G15218" s="94"/>
      <c r="I15218" s="94"/>
      <c r="K15218" s="94"/>
      <c r="M15218" s="94"/>
    </row>
    <row r="15219" s="93" customFormat="1" spans="3:13">
      <c r="C15219" s="94"/>
      <c r="E15219" s="94"/>
      <c r="G15219" s="94"/>
      <c r="I15219" s="94"/>
      <c r="K15219" s="94"/>
      <c r="M15219" s="94"/>
    </row>
    <row r="15220" s="93" customFormat="1" spans="3:13">
      <c r="C15220" s="94"/>
      <c r="E15220" s="94"/>
      <c r="G15220" s="94"/>
      <c r="I15220" s="94"/>
      <c r="K15220" s="94"/>
      <c r="M15220" s="94"/>
    </row>
    <row r="15221" s="93" customFormat="1" spans="3:13">
      <c r="C15221" s="94"/>
      <c r="E15221" s="94"/>
      <c r="G15221" s="94"/>
      <c r="I15221" s="94"/>
      <c r="K15221" s="94"/>
      <c r="M15221" s="94"/>
    </row>
    <row r="15222" s="93" customFormat="1" spans="3:13">
      <c r="C15222" s="94"/>
      <c r="E15222" s="94"/>
      <c r="G15222" s="94"/>
      <c r="I15222" s="94"/>
      <c r="K15222" s="94"/>
      <c r="M15222" s="94"/>
    </row>
    <row r="15223" s="93" customFormat="1" spans="3:13">
      <c r="C15223" s="94"/>
      <c r="E15223" s="94"/>
      <c r="G15223" s="94"/>
      <c r="I15223" s="94"/>
      <c r="K15223" s="94"/>
      <c r="M15223" s="94"/>
    </row>
    <row r="15224" s="93" customFormat="1" spans="3:13">
      <c r="C15224" s="94"/>
      <c r="E15224" s="94"/>
      <c r="G15224" s="94"/>
      <c r="I15224" s="94"/>
      <c r="K15224" s="94"/>
      <c r="M15224" s="94"/>
    </row>
    <row r="15225" s="93" customFormat="1" spans="3:13">
      <c r="C15225" s="94"/>
      <c r="E15225" s="94"/>
      <c r="G15225" s="94"/>
      <c r="I15225" s="94"/>
      <c r="K15225" s="94"/>
      <c r="M15225" s="94"/>
    </row>
    <row r="15226" s="93" customFormat="1" spans="3:13">
      <c r="C15226" s="94"/>
      <c r="E15226" s="94"/>
      <c r="G15226" s="94"/>
      <c r="I15226" s="94"/>
      <c r="K15226" s="94"/>
      <c r="M15226" s="94"/>
    </row>
    <row r="15227" s="93" customFormat="1" spans="3:13">
      <c r="C15227" s="94"/>
      <c r="E15227" s="94"/>
      <c r="G15227" s="94"/>
      <c r="I15227" s="94"/>
      <c r="K15227" s="94"/>
      <c r="M15227" s="94"/>
    </row>
    <row r="15228" s="93" customFormat="1" spans="3:13">
      <c r="C15228" s="94"/>
      <c r="E15228" s="94"/>
      <c r="G15228" s="94"/>
      <c r="I15228" s="94"/>
      <c r="K15228" s="94"/>
      <c r="M15228" s="94"/>
    </row>
    <row r="15229" s="93" customFormat="1" spans="3:13">
      <c r="C15229" s="94"/>
      <c r="E15229" s="94"/>
      <c r="G15229" s="94"/>
      <c r="I15229" s="94"/>
      <c r="K15229" s="94"/>
      <c r="M15229" s="94"/>
    </row>
    <row r="15230" s="93" customFormat="1" spans="3:13">
      <c r="C15230" s="94"/>
      <c r="E15230" s="94"/>
      <c r="G15230" s="94"/>
      <c r="I15230" s="94"/>
      <c r="K15230" s="94"/>
      <c r="M15230" s="94"/>
    </row>
    <row r="15231" s="93" customFormat="1" spans="3:13">
      <c r="C15231" s="94"/>
      <c r="E15231" s="94"/>
      <c r="G15231" s="94"/>
      <c r="I15231" s="94"/>
      <c r="K15231" s="94"/>
      <c r="M15231" s="94"/>
    </row>
    <row r="15232" s="93" customFormat="1" spans="3:13">
      <c r="C15232" s="94"/>
      <c r="E15232" s="94"/>
      <c r="G15232" s="94"/>
      <c r="I15232" s="94"/>
      <c r="K15232" s="94"/>
      <c r="M15232" s="94"/>
    </row>
    <row r="15233" s="93" customFormat="1" spans="3:13">
      <c r="C15233" s="94"/>
      <c r="E15233" s="94"/>
      <c r="G15233" s="94"/>
      <c r="I15233" s="94"/>
      <c r="K15233" s="94"/>
      <c r="M15233" s="94"/>
    </row>
    <row r="15234" s="93" customFormat="1" spans="3:13">
      <c r="C15234" s="94"/>
      <c r="E15234" s="94"/>
      <c r="G15234" s="94"/>
      <c r="I15234" s="94"/>
      <c r="K15234" s="94"/>
      <c r="M15234" s="94"/>
    </row>
    <row r="15235" s="93" customFormat="1" spans="3:13">
      <c r="C15235" s="94"/>
      <c r="E15235" s="94"/>
      <c r="G15235" s="94"/>
      <c r="I15235" s="94"/>
      <c r="K15235" s="94"/>
      <c r="M15235" s="94"/>
    </row>
    <row r="15236" s="93" customFormat="1" spans="3:13">
      <c r="C15236" s="94"/>
      <c r="E15236" s="94"/>
      <c r="G15236" s="94"/>
      <c r="I15236" s="94"/>
      <c r="K15236" s="94"/>
      <c r="M15236" s="94"/>
    </row>
    <row r="15237" s="93" customFormat="1" spans="3:13">
      <c r="C15237" s="94"/>
      <c r="E15237" s="94"/>
      <c r="G15237" s="94"/>
      <c r="I15237" s="94"/>
      <c r="K15237" s="94"/>
      <c r="M15237" s="94"/>
    </row>
    <row r="15238" s="93" customFormat="1" spans="3:13">
      <c r="C15238" s="94"/>
      <c r="E15238" s="94"/>
      <c r="G15238" s="94"/>
      <c r="I15238" s="94"/>
      <c r="K15238" s="94"/>
      <c r="M15238" s="94"/>
    </row>
    <row r="15239" s="93" customFormat="1" spans="3:13">
      <c r="C15239" s="94"/>
      <c r="E15239" s="94"/>
      <c r="G15239" s="94"/>
      <c r="I15239" s="94"/>
      <c r="K15239" s="94"/>
      <c r="M15239" s="94"/>
    </row>
    <row r="15240" s="93" customFormat="1" spans="3:13">
      <c r="C15240" s="94"/>
      <c r="E15240" s="94"/>
      <c r="G15240" s="94"/>
      <c r="I15240" s="94"/>
      <c r="K15240" s="94"/>
      <c r="M15240" s="94"/>
    </row>
    <row r="15241" s="93" customFormat="1" spans="3:13">
      <c r="C15241" s="94"/>
      <c r="E15241" s="94"/>
      <c r="G15241" s="94"/>
      <c r="I15241" s="94"/>
      <c r="K15241" s="94"/>
      <c r="M15241" s="94"/>
    </row>
    <row r="15242" s="93" customFormat="1" spans="3:13">
      <c r="C15242" s="94"/>
      <c r="E15242" s="94"/>
      <c r="G15242" s="94"/>
      <c r="I15242" s="94"/>
      <c r="K15242" s="94"/>
      <c r="M15242" s="94"/>
    </row>
    <row r="15243" s="93" customFormat="1" spans="3:13">
      <c r="C15243" s="94"/>
      <c r="E15243" s="94"/>
      <c r="G15243" s="94"/>
      <c r="I15243" s="94"/>
      <c r="K15243" s="94"/>
      <c r="M15243" s="94"/>
    </row>
    <row r="15244" s="93" customFormat="1" spans="3:13">
      <c r="C15244" s="94"/>
      <c r="E15244" s="94"/>
      <c r="G15244" s="94"/>
      <c r="I15244" s="94"/>
      <c r="K15244" s="94"/>
      <c r="M15244" s="94"/>
    </row>
    <row r="15245" s="93" customFormat="1" spans="3:13">
      <c r="C15245" s="94"/>
      <c r="E15245" s="94"/>
      <c r="G15245" s="94"/>
      <c r="I15245" s="94"/>
      <c r="K15245" s="94"/>
      <c r="M15245" s="94"/>
    </row>
    <row r="15246" s="93" customFormat="1" spans="3:13">
      <c r="C15246" s="94"/>
      <c r="E15246" s="94"/>
      <c r="G15246" s="94"/>
      <c r="I15246" s="94"/>
      <c r="K15246" s="94"/>
      <c r="M15246" s="94"/>
    </row>
    <row r="15247" s="93" customFormat="1" spans="3:13">
      <c r="C15247" s="94"/>
      <c r="E15247" s="94"/>
      <c r="G15247" s="94"/>
      <c r="I15247" s="94"/>
      <c r="K15247" s="94"/>
      <c r="M15247" s="94"/>
    </row>
    <row r="15248" s="93" customFormat="1" spans="3:13">
      <c r="C15248" s="94"/>
      <c r="E15248" s="94"/>
      <c r="G15248" s="94"/>
      <c r="I15248" s="94"/>
      <c r="K15248" s="94"/>
      <c r="M15248" s="94"/>
    </row>
    <row r="15249" s="93" customFormat="1" spans="3:13">
      <c r="C15249" s="94"/>
      <c r="E15249" s="94"/>
      <c r="G15249" s="94"/>
      <c r="I15249" s="94"/>
      <c r="K15249" s="94"/>
      <c r="M15249" s="94"/>
    </row>
    <row r="15250" s="93" customFormat="1" spans="3:13">
      <c r="C15250" s="94"/>
      <c r="E15250" s="94"/>
      <c r="G15250" s="94"/>
      <c r="I15250" s="94"/>
      <c r="K15250" s="94"/>
      <c r="M15250" s="94"/>
    </row>
    <row r="15251" s="93" customFormat="1" spans="3:13">
      <c r="C15251" s="94"/>
      <c r="E15251" s="94"/>
      <c r="G15251" s="94"/>
      <c r="I15251" s="94"/>
      <c r="K15251" s="94"/>
      <c r="M15251" s="94"/>
    </row>
    <row r="15252" s="93" customFormat="1" spans="3:13">
      <c r="C15252" s="94"/>
      <c r="E15252" s="94"/>
      <c r="G15252" s="94"/>
      <c r="I15252" s="94"/>
      <c r="K15252" s="94"/>
      <c r="M15252" s="94"/>
    </row>
    <row r="15253" s="93" customFormat="1" spans="3:13">
      <c r="C15253" s="94"/>
      <c r="E15253" s="94"/>
      <c r="G15253" s="94"/>
      <c r="I15253" s="94"/>
      <c r="K15253" s="94"/>
      <c r="M15253" s="94"/>
    </row>
    <row r="15254" s="93" customFormat="1" spans="3:13">
      <c r="C15254" s="94"/>
      <c r="E15254" s="94"/>
      <c r="G15254" s="94"/>
      <c r="I15254" s="94"/>
      <c r="K15254" s="94"/>
      <c r="M15254" s="94"/>
    </row>
    <row r="15255" s="93" customFormat="1" spans="3:13">
      <c r="C15255" s="94"/>
      <c r="E15255" s="94"/>
      <c r="G15255" s="94"/>
      <c r="I15255" s="94"/>
      <c r="K15255" s="94"/>
      <c r="M15255" s="94"/>
    </row>
    <row r="15256" s="93" customFormat="1" spans="3:13">
      <c r="C15256" s="94"/>
      <c r="E15256" s="94"/>
      <c r="G15256" s="94"/>
      <c r="I15256" s="94"/>
      <c r="K15256" s="94"/>
      <c r="M15256" s="94"/>
    </row>
    <row r="15257" s="93" customFormat="1" spans="3:13">
      <c r="C15257" s="94"/>
      <c r="E15257" s="94"/>
      <c r="G15257" s="94"/>
      <c r="I15257" s="94"/>
      <c r="K15257" s="94"/>
      <c r="M15257" s="94"/>
    </row>
    <row r="15258" s="93" customFormat="1" spans="3:13">
      <c r="C15258" s="94"/>
      <c r="E15258" s="94"/>
      <c r="G15258" s="94"/>
      <c r="I15258" s="94"/>
      <c r="K15258" s="94"/>
      <c r="M15258" s="94"/>
    </row>
    <row r="15259" s="93" customFormat="1" spans="3:13">
      <c r="C15259" s="94"/>
      <c r="E15259" s="94"/>
      <c r="G15259" s="94"/>
      <c r="I15259" s="94"/>
      <c r="K15259" s="94"/>
      <c r="M15259" s="94"/>
    </row>
    <row r="15260" s="93" customFormat="1" spans="3:13">
      <c r="C15260" s="94"/>
      <c r="E15260" s="94"/>
      <c r="G15260" s="94"/>
      <c r="I15260" s="94"/>
      <c r="K15260" s="94"/>
      <c r="M15260" s="94"/>
    </row>
    <row r="15261" s="93" customFormat="1" spans="3:13">
      <c r="C15261" s="94"/>
      <c r="E15261" s="94"/>
      <c r="G15261" s="94"/>
      <c r="I15261" s="94"/>
      <c r="K15261" s="94"/>
      <c r="M15261" s="94"/>
    </row>
    <row r="15262" s="93" customFormat="1" spans="3:13">
      <c r="C15262" s="94"/>
      <c r="E15262" s="94"/>
      <c r="G15262" s="94"/>
      <c r="I15262" s="94"/>
      <c r="K15262" s="94"/>
      <c r="M15262" s="94"/>
    </row>
    <row r="15263" s="93" customFormat="1" spans="3:13">
      <c r="C15263" s="94"/>
      <c r="E15263" s="94"/>
      <c r="G15263" s="94"/>
      <c r="I15263" s="94"/>
      <c r="K15263" s="94"/>
      <c r="M15263" s="94"/>
    </row>
    <row r="15264" s="93" customFormat="1" spans="3:13">
      <c r="C15264" s="94"/>
      <c r="E15264" s="94"/>
      <c r="G15264" s="94"/>
      <c r="I15264" s="94"/>
      <c r="K15264" s="94"/>
      <c r="M15264" s="94"/>
    </row>
    <row r="15265" s="93" customFormat="1" spans="3:13">
      <c r="C15265" s="94"/>
      <c r="E15265" s="94"/>
      <c r="G15265" s="94"/>
      <c r="I15265" s="94"/>
      <c r="K15265" s="94"/>
      <c r="M15265" s="94"/>
    </row>
    <row r="15266" s="93" customFormat="1" spans="3:13">
      <c r="C15266" s="94"/>
      <c r="E15266" s="94"/>
      <c r="G15266" s="94"/>
      <c r="I15266" s="94"/>
      <c r="K15266" s="94"/>
      <c r="M15266" s="94"/>
    </row>
    <row r="15267" s="93" customFormat="1" spans="3:13">
      <c r="C15267" s="94"/>
      <c r="E15267" s="94"/>
      <c r="G15267" s="94"/>
      <c r="I15267" s="94"/>
      <c r="K15267" s="94"/>
      <c r="M15267" s="94"/>
    </row>
    <row r="15268" s="93" customFormat="1" spans="3:13">
      <c r="C15268" s="94"/>
      <c r="E15268" s="94"/>
      <c r="G15268" s="94"/>
      <c r="I15268" s="94"/>
      <c r="K15268" s="94"/>
      <c r="M15268" s="94"/>
    </row>
    <row r="15269" s="93" customFormat="1" spans="3:13">
      <c r="C15269" s="94"/>
      <c r="E15269" s="94"/>
      <c r="G15269" s="94"/>
      <c r="I15269" s="94"/>
      <c r="K15269" s="94"/>
      <c r="M15269" s="94"/>
    </row>
    <row r="15270" s="93" customFormat="1" spans="3:13">
      <c r="C15270" s="94"/>
      <c r="E15270" s="94"/>
      <c r="G15270" s="94"/>
      <c r="I15270" s="94"/>
      <c r="K15270" s="94"/>
      <c r="M15270" s="94"/>
    </row>
    <row r="15271" s="93" customFormat="1" spans="3:13">
      <c r="C15271" s="94"/>
      <c r="E15271" s="94"/>
      <c r="G15271" s="94"/>
      <c r="I15271" s="94"/>
      <c r="K15271" s="94"/>
      <c r="M15271" s="94"/>
    </row>
    <row r="15272" s="93" customFormat="1" spans="3:13">
      <c r="C15272" s="94"/>
      <c r="E15272" s="94"/>
      <c r="G15272" s="94"/>
      <c r="I15272" s="94"/>
      <c r="K15272" s="94"/>
      <c r="M15272" s="94"/>
    </row>
    <row r="15273" s="93" customFormat="1" spans="3:13">
      <c r="C15273" s="94"/>
      <c r="E15273" s="94"/>
      <c r="G15273" s="94"/>
      <c r="I15273" s="94"/>
      <c r="K15273" s="94"/>
      <c r="M15273" s="94"/>
    </row>
    <row r="15274" s="93" customFormat="1" spans="3:13">
      <c r="C15274" s="94"/>
      <c r="E15274" s="94"/>
      <c r="G15274" s="94"/>
      <c r="I15274" s="94"/>
      <c r="K15274" s="94"/>
      <c r="M15274" s="94"/>
    </row>
    <row r="15275" s="93" customFormat="1" spans="3:13">
      <c r="C15275" s="94"/>
      <c r="E15275" s="94"/>
      <c r="G15275" s="94"/>
      <c r="I15275" s="94"/>
      <c r="K15275" s="94"/>
      <c r="M15275" s="94"/>
    </row>
    <row r="15276" s="93" customFormat="1" spans="3:13">
      <c r="C15276" s="94"/>
      <c r="E15276" s="94"/>
      <c r="G15276" s="94"/>
      <c r="I15276" s="94"/>
      <c r="K15276" s="94"/>
      <c r="M15276" s="94"/>
    </row>
    <row r="15277" s="93" customFormat="1" spans="3:13">
      <c r="C15277" s="94"/>
      <c r="E15277" s="94"/>
      <c r="G15277" s="94"/>
      <c r="I15277" s="94"/>
      <c r="K15277" s="94"/>
      <c r="M15277" s="94"/>
    </row>
    <row r="15278" s="93" customFormat="1" spans="3:13">
      <c r="C15278" s="94"/>
      <c r="E15278" s="94"/>
      <c r="G15278" s="94"/>
      <c r="I15278" s="94"/>
      <c r="K15278" s="94"/>
      <c r="M15278" s="94"/>
    </row>
    <row r="15279" s="93" customFormat="1" spans="3:13">
      <c r="C15279" s="94"/>
      <c r="E15279" s="94"/>
      <c r="G15279" s="94"/>
      <c r="I15279" s="94"/>
      <c r="K15279" s="94"/>
      <c r="M15279" s="94"/>
    </row>
    <row r="15280" s="93" customFormat="1" spans="3:13">
      <c r="C15280" s="94"/>
      <c r="E15280" s="94"/>
      <c r="G15280" s="94"/>
      <c r="I15280" s="94"/>
      <c r="K15280" s="94"/>
      <c r="M15280" s="94"/>
    </row>
    <row r="15281" s="93" customFormat="1" spans="3:13">
      <c r="C15281" s="94"/>
      <c r="E15281" s="94"/>
      <c r="G15281" s="94"/>
      <c r="I15281" s="94"/>
      <c r="K15281" s="94"/>
      <c r="M15281" s="94"/>
    </row>
    <row r="15282" s="93" customFormat="1" spans="3:13">
      <c r="C15282" s="94"/>
      <c r="E15282" s="94"/>
      <c r="G15282" s="94"/>
      <c r="I15282" s="94"/>
      <c r="K15282" s="94"/>
      <c r="M15282" s="94"/>
    </row>
    <row r="15283" s="93" customFormat="1" spans="3:13">
      <c r="C15283" s="94"/>
      <c r="E15283" s="94"/>
      <c r="G15283" s="94"/>
      <c r="I15283" s="94"/>
      <c r="K15283" s="94"/>
      <c r="M15283" s="94"/>
    </row>
    <row r="15284" s="93" customFormat="1" spans="3:13">
      <c r="C15284" s="94"/>
      <c r="E15284" s="94"/>
      <c r="G15284" s="94"/>
      <c r="I15284" s="94"/>
      <c r="K15284" s="94"/>
      <c r="M15284" s="94"/>
    </row>
    <row r="15285" s="93" customFormat="1" spans="3:13">
      <c r="C15285" s="94"/>
      <c r="E15285" s="94"/>
      <c r="G15285" s="94"/>
      <c r="I15285" s="94"/>
      <c r="K15285" s="94"/>
      <c r="M15285" s="94"/>
    </row>
    <row r="15286" s="93" customFormat="1" spans="3:13">
      <c r="C15286" s="94"/>
      <c r="E15286" s="94"/>
      <c r="G15286" s="94"/>
      <c r="I15286" s="94"/>
      <c r="K15286" s="94"/>
      <c r="M15286" s="94"/>
    </row>
    <row r="15287" s="93" customFormat="1" spans="3:13">
      <c r="C15287" s="94"/>
      <c r="E15287" s="94"/>
      <c r="G15287" s="94"/>
      <c r="I15287" s="94"/>
      <c r="K15287" s="94"/>
      <c r="M15287" s="94"/>
    </row>
    <row r="15288" s="93" customFormat="1" spans="3:13">
      <c r="C15288" s="94"/>
      <c r="E15288" s="94"/>
      <c r="G15288" s="94"/>
      <c r="I15288" s="94"/>
      <c r="K15288" s="94"/>
      <c r="M15288" s="94"/>
    </row>
    <row r="15289" s="93" customFormat="1" spans="3:13">
      <c r="C15289" s="94"/>
      <c r="E15289" s="94"/>
      <c r="G15289" s="94"/>
      <c r="I15289" s="94"/>
      <c r="K15289" s="94"/>
      <c r="M15289" s="94"/>
    </row>
    <row r="15290" s="93" customFormat="1" spans="3:13">
      <c r="C15290" s="94"/>
      <c r="E15290" s="94"/>
      <c r="G15290" s="94"/>
      <c r="I15290" s="94"/>
      <c r="K15290" s="94"/>
      <c r="M15290" s="94"/>
    </row>
    <row r="15291" s="93" customFormat="1" spans="3:13">
      <c r="C15291" s="94"/>
      <c r="E15291" s="94"/>
      <c r="G15291" s="94"/>
      <c r="I15291" s="94"/>
      <c r="K15291" s="94"/>
      <c r="M15291" s="94"/>
    </row>
    <row r="15292" s="93" customFormat="1" spans="3:13">
      <c r="C15292" s="94"/>
      <c r="E15292" s="94"/>
      <c r="G15292" s="94"/>
      <c r="I15292" s="94"/>
      <c r="K15292" s="94"/>
      <c r="M15292" s="94"/>
    </row>
    <row r="15293" s="93" customFormat="1" spans="3:13">
      <c r="C15293" s="94"/>
      <c r="E15293" s="94"/>
      <c r="G15293" s="94"/>
      <c r="I15293" s="94"/>
      <c r="K15293" s="94"/>
      <c r="M15293" s="94"/>
    </row>
    <row r="15294" s="93" customFormat="1" spans="3:13">
      <c r="C15294" s="94"/>
      <c r="E15294" s="94"/>
      <c r="G15294" s="94"/>
      <c r="I15294" s="94"/>
      <c r="K15294" s="94"/>
      <c r="M15294" s="94"/>
    </row>
    <row r="15295" s="93" customFormat="1" spans="3:13">
      <c r="C15295" s="94"/>
      <c r="E15295" s="94"/>
      <c r="G15295" s="94"/>
      <c r="I15295" s="94"/>
      <c r="K15295" s="94"/>
      <c r="M15295" s="94"/>
    </row>
    <row r="15296" s="93" customFormat="1" spans="3:13">
      <c r="C15296" s="94"/>
      <c r="E15296" s="94"/>
      <c r="G15296" s="94"/>
      <c r="I15296" s="94"/>
      <c r="K15296" s="94"/>
      <c r="M15296" s="94"/>
    </row>
    <row r="15297" s="93" customFormat="1" spans="3:13">
      <c r="C15297" s="94"/>
      <c r="E15297" s="94"/>
      <c r="G15297" s="94"/>
      <c r="I15297" s="94"/>
      <c r="K15297" s="94"/>
      <c r="M15297" s="94"/>
    </row>
    <row r="15298" s="93" customFormat="1" spans="3:13">
      <c r="C15298" s="94"/>
      <c r="E15298" s="94"/>
      <c r="G15298" s="94"/>
      <c r="I15298" s="94"/>
      <c r="K15298" s="94"/>
      <c r="M15298" s="94"/>
    </row>
    <row r="15299" s="93" customFormat="1" spans="3:13">
      <c r="C15299" s="94"/>
      <c r="E15299" s="94"/>
      <c r="G15299" s="94"/>
      <c r="I15299" s="94"/>
      <c r="K15299" s="94"/>
      <c r="M15299" s="94"/>
    </row>
    <row r="15300" s="93" customFormat="1" spans="3:13">
      <c r="C15300" s="94"/>
      <c r="E15300" s="94"/>
      <c r="G15300" s="94"/>
      <c r="I15300" s="94"/>
      <c r="K15300" s="94"/>
      <c r="M15300" s="94"/>
    </row>
    <row r="15301" s="93" customFormat="1" spans="3:13">
      <c r="C15301" s="94"/>
      <c r="E15301" s="94"/>
      <c r="G15301" s="94"/>
      <c r="I15301" s="94"/>
      <c r="K15301" s="94"/>
      <c r="M15301" s="94"/>
    </row>
    <row r="15302" s="93" customFormat="1" spans="3:13">
      <c r="C15302" s="94"/>
      <c r="E15302" s="94"/>
      <c r="G15302" s="94"/>
      <c r="I15302" s="94"/>
      <c r="K15302" s="94"/>
      <c r="M15302" s="94"/>
    </row>
    <row r="15303" s="93" customFormat="1" spans="3:13">
      <c r="C15303" s="94"/>
      <c r="E15303" s="94"/>
      <c r="G15303" s="94"/>
      <c r="I15303" s="94"/>
      <c r="K15303" s="94"/>
      <c r="M15303" s="94"/>
    </row>
    <row r="15304" s="93" customFormat="1" spans="3:13">
      <c r="C15304" s="94"/>
      <c r="E15304" s="94"/>
      <c r="G15304" s="94"/>
      <c r="I15304" s="94"/>
      <c r="K15304" s="94"/>
      <c r="M15304" s="94"/>
    </row>
    <row r="15305" s="93" customFormat="1" spans="3:13">
      <c r="C15305" s="94"/>
      <c r="E15305" s="94"/>
      <c r="G15305" s="94"/>
      <c r="I15305" s="94"/>
      <c r="K15305" s="94"/>
      <c r="M15305" s="94"/>
    </row>
    <row r="15306" s="93" customFormat="1" spans="3:13">
      <c r="C15306" s="94"/>
      <c r="E15306" s="94"/>
      <c r="G15306" s="94"/>
      <c r="I15306" s="94"/>
      <c r="K15306" s="94"/>
      <c r="M15306" s="94"/>
    </row>
    <row r="15307" s="93" customFormat="1" spans="3:13">
      <c r="C15307" s="94"/>
      <c r="E15307" s="94"/>
      <c r="G15307" s="94"/>
      <c r="I15307" s="94"/>
      <c r="K15307" s="94"/>
      <c r="M15307" s="94"/>
    </row>
    <row r="15308" s="93" customFormat="1" spans="3:13">
      <c r="C15308" s="94"/>
      <c r="E15308" s="94"/>
      <c r="G15308" s="94"/>
      <c r="I15308" s="94"/>
      <c r="K15308" s="94"/>
      <c r="M15308" s="94"/>
    </row>
    <row r="15309" s="93" customFormat="1" spans="3:13">
      <c r="C15309" s="94"/>
      <c r="E15309" s="94"/>
      <c r="G15309" s="94"/>
      <c r="I15309" s="94"/>
      <c r="K15309" s="94"/>
      <c r="M15309" s="94"/>
    </row>
    <row r="15310" s="93" customFormat="1" spans="3:13">
      <c r="C15310" s="94"/>
      <c r="E15310" s="94"/>
      <c r="G15310" s="94"/>
      <c r="I15310" s="94"/>
      <c r="K15310" s="94"/>
      <c r="M15310" s="94"/>
    </row>
    <row r="15311" s="93" customFormat="1" spans="3:13">
      <c r="C15311" s="94"/>
      <c r="E15311" s="94"/>
      <c r="G15311" s="94"/>
      <c r="I15311" s="94"/>
      <c r="K15311" s="94"/>
      <c r="M15311" s="94"/>
    </row>
    <row r="15312" s="93" customFormat="1" spans="3:13">
      <c r="C15312" s="94"/>
      <c r="E15312" s="94"/>
      <c r="G15312" s="94"/>
      <c r="I15312" s="94"/>
      <c r="K15312" s="94"/>
      <c r="M15312" s="94"/>
    </row>
    <row r="15313" s="93" customFormat="1" spans="3:13">
      <c r="C15313" s="94"/>
      <c r="E15313" s="94"/>
      <c r="G15313" s="94"/>
      <c r="I15313" s="94"/>
      <c r="K15313" s="94"/>
      <c r="M15313" s="94"/>
    </row>
    <row r="15314" s="93" customFormat="1" spans="3:13">
      <c r="C15314" s="94"/>
      <c r="E15314" s="94"/>
      <c r="G15314" s="94"/>
      <c r="I15314" s="94"/>
      <c r="K15314" s="94"/>
      <c r="M15314" s="94"/>
    </row>
    <row r="15315" s="93" customFormat="1" spans="3:13">
      <c r="C15315" s="94"/>
      <c r="E15315" s="94"/>
      <c r="G15315" s="94"/>
      <c r="I15315" s="94"/>
      <c r="K15315" s="94"/>
      <c r="M15315" s="94"/>
    </row>
    <row r="15316" s="93" customFormat="1" spans="3:13">
      <c r="C15316" s="94"/>
      <c r="E15316" s="94"/>
      <c r="G15316" s="94"/>
      <c r="I15316" s="94"/>
      <c r="K15316" s="94"/>
      <c r="M15316" s="94"/>
    </row>
    <row r="15317" s="93" customFormat="1" spans="3:13">
      <c r="C15317" s="94"/>
      <c r="E15317" s="94"/>
      <c r="G15317" s="94"/>
      <c r="I15317" s="94"/>
      <c r="K15317" s="94"/>
      <c r="M15317" s="94"/>
    </row>
    <row r="15318" s="93" customFormat="1" spans="3:13">
      <c r="C15318" s="94"/>
      <c r="E15318" s="94"/>
      <c r="G15318" s="94"/>
      <c r="I15318" s="94"/>
      <c r="K15318" s="94"/>
      <c r="M15318" s="94"/>
    </row>
    <row r="15319" s="93" customFormat="1" spans="3:13">
      <c r="C15319" s="94"/>
      <c r="E15319" s="94"/>
      <c r="G15319" s="94"/>
      <c r="I15319" s="94"/>
      <c r="K15319" s="94"/>
      <c r="M15319" s="94"/>
    </row>
    <row r="15320" s="93" customFormat="1" spans="3:13">
      <c r="C15320" s="94"/>
      <c r="E15320" s="94"/>
      <c r="G15320" s="94"/>
      <c r="I15320" s="94"/>
      <c r="K15320" s="94"/>
      <c r="M15320" s="94"/>
    </row>
    <row r="15321" s="93" customFormat="1" spans="3:13">
      <c r="C15321" s="94"/>
      <c r="E15321" s="94"/>
      <c r="G15321" s="94"/>
      <c r="I15321" s="94"/>
      <c r="K15321" s="94"/>
      <c r="M15321" s="94"/>
    </row>
    <row r="15322" s="93" customFormat="1" spans="3:13">
      <c r="C15322" s="94"/>
      <c r="E15322" s="94"/>
      <c r="G15322" s="94"/>
      <c r="I15322" s="94"/>
      <c r="K15322" s="94"/>
      <c r="M15322" s="94"/>
    </row>
    <row r="15323" s="93" customFormat="1" spans="3:13">
      <c r="C15323" s="94"/>
      <c r="E15323" s="94"/>
      <c r="G15323" s="94"/>
      <c r="I15323" s="94"/>
      <c r="K15323" s="94"/>
      <c r="M15323" s="94"/>
    </row>
    <row r="15324" s="93" customFormat="1" spans="3:13">
      <c r="C15324" s="94"/>
      <c r="E15324" s="94"/>
      <c r="G15324" s="94"/>
      <c r="I15324" s="94"/>
      <c r="K15324" s="94"/>
      <c r="M15324" s="94"/>
    </row>
    <row r="15325" s="93" customFormat="1" spans="3:13">
      <c r="C15325" s="94"/>
      <c r="E15325" s="94"/>
      <c r="G15325" s="94"/>
      <c r="I15325" s="94"/>
      <c r="K15325" s="94"/>
      <c r="M15325" s="94"/>
    </row>
    <row r="15326" s="93" customFormat="1" spans="3:13">
      <c r="C15326" s="94"/>
      <c r="E15326" s="94"/>
      <c r="G15326" s="94"/>
      <c r="I15326" s="94"/>
      <c r="K15326" s="94"/>
      <c r="M15326" s="94"/>
    </row>
    <row r="15327" s="93" customFormat="1" spans="3:13">
      <c r="C15327" s="94"/>
      <c r="E15327" s="94"/>
      <c r="G15327" s="94"/>
      <c r="I15327" s="94"/>
      <c r="K15327" s="94"/>
      <c r="M15327" s="94"/>
    </row>
    <row r="15328" s="93" customFormat="1" spans="3:13">
      <c r="C15328" s="94"/>
      <c r="E15328" s="94"/>
      <c r="G15328" s="94"/>
      <c r="I15328" s="94"/>
      <c r="K15328" s="94"/>
      <c r="M15328" s="94"/>
    </row>
    <row r="15329" s="93" customFormat="1" spans="3:13">
      <c r="C15329" s="94"/>
      <c r="E15329" s="94"/>
      <c r="G15329" s="94"/>
      <c r="I15329" s="94"/>
      <c r="K15329" s="94"/>
      <c r="M15329" s="94"/>
    </row>
    <row r="15330" s="93" customFormat="1" spans="3:13">
      <c r="C15330" s="94"/>
      <c r="E15330" s="94"/>
      <c r="G15330" s="94"/>
      <c r="I15330" s="94"/>
      <c r="K15330" s="94"/>
      <c r="M15330" s="94"/>
    </row>
    <row r="15331" s="93" customFormat="1" spans="3:13">
      <c r="C15331" s="94"/>
      <c r="E15331" s="94"/>
      <c r="G15331" s="94"/>
      <c r="I15331" s="94"/>
      <c r="K15331" s="94"/>
      <c r="M15331" s="94"/>
    </row>
    <row r="15332" s="93" customFormat="1" spans="3:13">
      <c r="C15332" s="94"/>
      <c r="E15332" s="94"/>
      <c r="G15332" s="94"/>
      <c r="I15332" s="94"/>
      <c r="K15332" s="94"/>
      <c r="M15332" s="94"/>
    </row>
    <row r="15333" s="93" customFormat="1" spans="3:13">
      <c r="C15333" s="94"/>
      <c r="E15333" s="94"/>
      <c r="G15333" s="94"/>
      <c r="I15333" s="94"/>
      <c r="K15333" s="94"/>
      <c r="M15333" s="94"/>
    </row>
    <row r="15334" s="93" customFormat="1" spans="3:13">
      <c r="C15334" s="94"/>
      <c r="E15334" s="94"/>
      <c r="G15334" s="94"/>
      <c r="I15334" s="94"/>
      <c r="K15334" s="94"/>
      <c r="M15334" s="94"/>
    </row>
    <row r="15335" s="93" customFormat="1" spans="3:13">
      <c r="C15335" s="94"/>
      <c r="E15335" s="94"/>
      <c r="G15335" s="94"/>
      <c r="I15335" s="94"/>
      <c r="K15335" s="94"/>
      <c r="M15335" s="94"/>
    </row>
    <row r="15336" s="93" customFormat="1" spans="3:13">
      <c r="C15336" s="94"/>
      <c r="E15336" s="94"/>
      <c r="G15336" s="94"/>
      <c r="I15336" s="94"/>
      <c r="K15336" s="94"/>
      <c r="M15336" s="94"/>
    </row>
    <row r="15337" s="93" customFormat="1" spans="3:13">
      <c r="C15337" s="94"/>
      <c r="E15337" s="94"/>
      <c r="G15337" s="94"/>
      <c r="I15337" s="94"/>
      <c r="K15337" s="94"/>
      <c r="M15337" s="94"/>
    </row>
    <row r="15338" s="93" customFormat="1" spans="3:13">
      <c r="C15338" s="94"/>
      <c r="E15338" s="94"/>
      <c r="G15338" s="94"/>
      <c r="I15338" s="94"/>
      <c r="K15338" s="94"/>
      <c r="M15338" s="94"/>
    </row>
    <row r="15339" s="93" customFormat="1" spans="3:13">
      <c r="C15339" s="94"/>
      <c r="E15339" s="94"/>
      <c r="G15339" s="94"/>
      <c r="I15339" s="94"/>
      <c r="K15339" s="94"/>
      <c r="M15339" s="94"/>
    </row>
    <row r="15340" s="93" customFormat="1" spans="3:13">
      <c r="C15340" s="94"/>
      <c r="E15340" s="94"/>
      <c r="G15340" s="94"/>
      <c r="I15340" s="94"/>
      <c r="K15340" s="94"/>
      <c r="M15340" s="94"/>
    </row>
    <row r="15341" s="93" customFormat="1" spans="3:13">
      <c r="C15341" s="94"/>
      <c r="E15341" s="94"/>
      <c r="G15341" s="94"/>
      <c r="I15341" s="94"/>
      <c r="K15341" s="94"/>
      <c r="M15341" s="94"/>
    </row>
    <row r="15342" s="93" customFormat="1" spans="3:13">
      <c r="C15342" s="94"/>
      <c r="E15342" s="94"/>
      <c r="G15342" s="94"/>
      <c r="I15342" s="94"/>
      <c r="K15342" s="94"/>
      <c r="M15342" s="94"/>
    </row>
    <row r="15343" s="93" customFormat="1" spans="3:13">
      <c r="C15343" s="94"/>
      <c r="E15343" s="94"/>
      <c r="G15343" s="94"/>
      <c r="I15343" s="94"/>
      <c r="K15343" s="94"/>
      <c r="M15343" s="94"/>
    </row>
    <row r="15344" s="93" customFormat="1" spans="3:13">
      <c r="C15344" s="94"/>
      <c r="E15344" s="94"/>
      <c r="G15344" s="94"/>
      <c r="I15344" s="94"/>
      <c r="K15344" s="94"/>
      <c r="M15344" s="94"/>
    </row>
    <row r="15345" s="93" customFormat="1" spans="3:13">
      <c r="C15345" s="94"/>
      <c r="E15345" s="94"/>
      <c r="G15345" s="94"/>
      <c r="I15345" s="94"/>
      <c r="K15345" s="94"/>
      <c r="M15345" s="94"/>
    </row>
    <row r="15346" s="93" customFormat="1" spans="3:13">
      <c r="C15346" s="94"/>
      <c r="E15346" s="94"/>
      <c r="G15346" s="94"/>
      <c r="I15346" s="94"/>
      <c r="K15346" s="94"/>
      <c r="M15346" s="94"/>
    </row>
    <row r="15347" s="93" customFormat="1" spans="3:13">
      <c r="C15347" s="94"/>
      <c r="E15347" s="94"/>
      <c r="G15347" s="94"/>
      <c r="I15347" s="94"/>
      <c r="K15347" s="94"/>
      <c r="M15347" s="94"/>
    </row>
    <row r="15348" s="93" customFormat="1" spans="3:13">
      <c r="C15348" s="94"/>
      <c r="E15348" s="94"/>
      <c r="G15348" s="94"/>
      <c r="I15348" s="94"/>
      <c r="K15348" s="94"/>
      <c r="M15348" s="94"/>
    </row>
    <row r="15349" s="93" customFormat="1" spans="3:13">
      <c r="C15349" s="94"/>
      <c r="E15349" s="94"/>
      <c r="G15349" s="94"/>
      <c r="I15349" s="94"/>
      <c r="K15349" s="94"/>
      <c r="M15349" s="94"/>
    </row>
    <row r="15350" s="93" customFormat="1" spans="3:13">
      <c r="C15350" s="94"/>
      <c r="E15350" s="94"/>
      <c r="G15350" s="94"/>
      <c r="I15350" s="94"/>
      <c r="K15350" s="94"/>
      <c r="M15350" s="94"/>
    </row>
    <row r="15351" s="93" customFormat="1" spans="3:13">
      <c r="C15351" s="94"/>
      <c r="E15351" s="94"/>
      <c r="G15351" s="94"/>
      <c r="I15351" s="94"/>
      <c r="K15351" s="94"/>
      <c r="M15351" s="94"/>
    </row>
    <row r="15352" s="93" customFormat="1" spans="3:13">
      <c r="C15352" s="94"/>
      <c r="E15352" s="94"/>
      <c r="G15352" s="94"/>
      <c r="I15352" s="94"/>
      <c r="K15352" s="94"/>
      <c r="M15352" s="94"/>
    </row>
    <row r="15353" s="93" customFormat="1" spans="3:13">
      <c r="C15353" s="94"/>
      <c r="E15353" s="94"/>
      <c r="G15353" s="94"/>
      <c r="I15353" s="94"/>
      <c r="K15353" s="94"/>
      <c r="M15353" s="94"/>
    </row>
    <row r="15354" s="93" customFormat="1" spans="3:13">
      <c r="C15354" s="94"/>
      <c r="E15354" s="94"/>
      <c r="G15354" s="94"/>
      <c r="I15354" s="94"/>
      <c r="K15354" s="94"/>
      <c r="M15354" s="94"/>
    </row>
    <row r="15355" s="93" customFormat="1" spans="3:13">
      <c r="C15355" s="94"/>
      <c r="E15355" s="94"/>
      <c r="G15355" s="94"/>
      <c r="I15355" s="94"/>
      <c r="K15355" s="94"/>
      <c r="M15355" s="94"/>
    </row>
    <row r="15356" s="93" customFormat="1" spans="3:13">
      <c r="C15356" s="94"/>
      <c r="E15356" s="94"/>
      <c r="G15356" s="94"/>
      <c r="I15356" s="94"/>
      <c r="K15356" s="94"/>
      <c r="M15356" s="94"/>
    </row>
    <row r="15357" s="93" customFormat="1" spans="3:13">
      <c r="C15357" s="94"/>
      <c r="E15357" s="94"/>
      <c r="G15357" s="94"/>
      <c r="I15357" s="94"/>
      <c r="K15357" s="94"/>
      <c r="M15357" s="94"/>
    </row>
    <row r="15358" s="93" customFormat="1" spans="3:13">
      <c r="C15358" s="94"/>
      <c r="E15358" s="94"/>
      <c r="G15358" s="94"/>
      <c r="I15358" s="94"/>
      <c r="K15358" s="94"/>
      <c r="M15358" s="94"/>
    </row>
    <row r="15359" s="93" customFormat="1" spans="3:13">
      <c r="C15359" s="94"/>
      <c r="E15359" s="94"/>
      <c r="G15359" s="94"/>
      <c r="I15359" s="94"/>
      <c r="K15359" s="94"/>
      <c r="M15359" s="94"/>
    </row>
    <row r="15360" s="93" customFormat="1" spans="3:13">
      <c r="C15360" s="94"/>
      <c r="E15360" s="94"/>
      <c r="G15360" s="94"/>
      <c r="I15360" s="94"/>
      <c r="K15360" s="94"/>
      <c r="M15360" s="94"/>
    </row>
    <row r="15361" s="93" customFormat="1" spans="3:13">
      <c r="C15361" s="94"/>
      <c r="E15361" s="94"/>
      <c r="G15361" s="94"/>
      <c r="I15361" s="94"/>
      <c r="K15361" s="94"/>
      <c r="M15361" s="94"/>
    </row>
    <row r="15362" s="93" customFormat="1" spans="3:13">
      <c r="C15362" s="94"/>
      <c r="E15362" s="94"/>
      <c r="G15362" s="94"/>
      <c r="I15362" s="94"/>
      <c r="K15362" s="94"/>
      <c r="M15362" s="94"/>
    </row>
    <row r="15363" s="93" customFormat="1" spans="3:13">
      <c r="C15363" s="94"/>
      <c r="E15363" s="94"/>
      <c r="G15363" s="94"/>
      <c r="I15363" s="94"/>
      <c r="K15363" s="94"/>
      <c r="M15363" s="94"/>
    </row>
    <row r="15364" s="93" customFormat="1" spans="3:13">
      <c r="C15364" s="94"/>
      <c r="E15364" s="94"/>
      <c r="G15364" s="94"/>
      <c r="I15364" s="94"/>
      <c r="K15364" s="94"/>
      <c r="M15364" s="94"/>
    </row>
    <row r="15365" s="93" customFormat="1" spans="3:13">
      <c r="C15365" s="94"/>
      <c r="E15365" s="94"/>
      <c r="G15365" s="94"/>
      <c r="I15365" s="94"/>
      <c r="K15365" s="94"/>
      <c r="M15365" s="94"/>
    </row>
    <row r="15366" s="93" customFormat="1" spans="3:13">
      <c r="C15366" s="94"/>
      <c r="E15366" s="94"/>
      <c r="G15366" s="94"/>
      <c r="I15366" s="94"/>
      <c r="K15366" s="94"/>
      <c r="M15366" s="94"/>
    </row>
    <row r="15367" s="93" customFormat="1" spans="3:13">
      <c r="C15367" s="94"/>
      <c r="E15367" s="94"/>
      <c r="G15367" s="94"/>
      <c r="I15367" s="94"/>
      <c r="K15367" s="94"/>
      <c r="M15367" s="94"/>
    </row>
    <row r="15368" s="93" customFormat="1" spans="3:13">
      <c r="C15368" s="94"/>
      <c r="E15368" s="94"/>
      <c r="G15368" s="94"/>
      <c r="I15368" s="94"/>
      <c r="K15368" s="94"/>
      <c r="M15368" s="94"/>
    </row>
    <row r="15369" s="93" customFormat="1" spans="3:13">
      <c r="C15369" s="94"/>
      <c r="E15369" s="94"/>
      <c r="G15369" s="94"/>
      <c r="I15369" s="94"/>
      <c r="K15369" s="94"/>
      <c r="M15369" s="94"/>
    </row>
    <row r="15370" s="93" customFormat="1" spans="3:13">
      <c r="C15370" s="94"/>
      <c r="E15370" s="94"/>
      <c r="G15370" s="94"/>
      <c r="I15370" s="94"/>
      <c r="K15370" s="94"/>
      <c r="M15370" s="94"/>
    </row>
    <row r="15371" s="93" customFormat="1" spans="3:13">
      <c r="C15371" s="94"/>
      <c r="E15371" s="94"/>
      <c r="G15371" s="94"/>
      <c r="I15371" s="94"/>
      <c r="K15371" s="94"/>
      <c r="M15371" s="94"/>
    </row>
    <row r="15372" s="93" customFormat="1" spans="3:13">
      <c r="C15372" s="94"/>
      <c r="E15372" s="94"/>
      <c r="G15372" s="94"/>
      <c r="I15372" s="94"/>
      <c r="K15372" s="94"/>
      <c r="M15372" s="94"/>
    </row>
    <row r="15373" s="93" customFormat="1" spans="3:13">
      <c r="C15373" s="94"/>
      <c r="E15373" s="94"/>
      <c r="G15373" s="94"/>
      <c r="I15373" s="94"/>
      <c r="K15373" s="94"/>
      <c r="M15373" s="94"/>
    </row>
    <row r="15374" s="93" customFormat="1" spans="3:13">
      <c r="C15374" s="94"/>
      <c r="E15374" s="94"/>
      <c r="G15374" s="94"/>
      <c r="I15374" s="94"/>
      <c r="K15374" s="94"/>
      <c r="M15374" s="94"/>
    </row>
    <row r="15375" s="93" customFormat="1" spans="3:13">
      <c r="C15375" s="94"/>
      <c r="E15375" s="94"/>
      <c r="G15375" s="94"/>
      <c r="I15375" s="94"/>
      <c r="K15375" s="94"/>
      <c r="M15375" s="94"/>
    </row>
    <row r="15376" s="93" customFormat="1" spans="3:13">
      <c r="C15376" s="94"/>
      <c r="E15376" s="94"/>
      <c r="G15376" s="94"/>
      <c r="I15376" s="94"/>
      <c r="K15376" s="94"/>
      <c r="M15376" s="94"/>
    </row>
    <row r="15377" s="93" customFormat="1" spans="3:13">
      <c r="C15377" s="94"/>
      <c r="E15377" s="94"/>
      <c r="G15377" s="94"/>
      <c r="I15377" s="94"/>
      <c r="K15377" s="94"/>
      <c r="M15377" s="94"/>
    </row>
    <row r="15378" s="93" customFormat="1" spans="3:13">
      <c r="C15378" s="94"/>
      <c r="E15378" s="94"/>
      <c r="G15378" s="94"/>
      <c r="I15378" s="94"/>
      <c r="K15378" s="94"/>
      <c r="M15378" s="94"/>
    </row>
    <row r="15379" s="93" customFormat="1" spans="3:13">
      <c r="C15379" s="94"/>
      <c r="E15379" s="94"/>
      <c r="G15379" s="94"/>
      <c r="I15379" s="94"/>
      <c r="K15379" s="94"/>
      <c r="M15379" s="94"/>
    </row>
    <row r="15380" s="93" customFormat="1" spans="3:13">
      <c r="C15380" s="94"/>
      <c r="E15380" s="94"/>
      <c r="G15380" s="94"/>
      <c r="I15380" s="94"/>
      <c r="K15380" s="94"/>
      <c r="M15380" s="94"/>
    </row>
    <row r="15381" s="93" customFormat="1" spans="3:13">
      <c r="C15381" s="94"/>
      <c r="E15381" s="94"/>
      <c r="G15381" s="94"/>
      <c r="I15381" s="94"/>
      <c r="K15381" s="94"/>
      <c r="M15381" s="94"/>
    </row>
    <row r="15382" s="93" customFormat="1" spans="3:13">
      <c r="C15382" s="94"/>
      <c r="E15382" s="94"/>
      <c r="G15382" s="94"/>
      <c r="I15382" s="94"/>
      <c r="K15382" s="94"/>
      <c r="M15382" s="94"/>
    </row>
    <row r="15383" s="93" customFormat="1" spans="3:13">
      <c r="C15383" s="94"/>
      <c r="E15383" s="94"/>
      <c r="G15383" s="94"/>
      <c r="I15383" s="94"/>
      <c r="K15383" s="94"/>
      <c r="M15383" s="94"/>
    </row>
    <row r="15384" s="93" customFormat="1" spans="3:13">
      <c r="C15384" s="94"/>
      <c r="E15384" s="94"/>
      <c r="G15384" s="94"/>
      <c r="I15384" s="94"/>
      <c r="K15384" s="94"/>
      <c r="M15384" s="94"/>
    </row>
    <row r="15385" s="93" customFormat="1" spans="3:13">
      <c r="C15385" s="94"/>
      <c r="E15385" s="94"/>
      <c r="G15385" s="94"/>
      <c r="I15385" s="94"/>
      <c r="K15385" s="94"/>
      <c r="M15385" s="94"/>
    </row>
    <row r="15386" s="93" customFormat="1" spans="3:13">
      <c r="C15386" s="94"/>
      <c r="E15386" s="94"/>
      <c r="G15386" s="94"/>
      <c r="I15386" s="94"/>
      <c r="K15386" s="94"/>
      <c r="M15386" s="94"/>
    </row>
    <row r="15387" s="93" customFormat="1" spans="3:13">
      <c r="C15387" s="94"/>
      <c r="E15387" s="94"/>
      <c r="G15387" s="94"/>
      <c r="I15387" s="94"/>
      <c r="K15387" s="94"/>
      <c r="M15387" s="94"/>
    </row>
    <row r="15388" s="93" customFormat="1" spans="3:13">
      <c r="C15388" s="94"/>
      <c r="E15388" s="94"/>
      <c r="G15388" s="94"/>
      <c r="I15388" s="94"/>
      <c r="K15388" s="94"/>
      <c r="M15388" s="94"/>
    </row>
    <row r="15389" s="93" customFormat="1" spans="3:13">
      <c r="C15389" s="94"/>
      <c r="E15389" s="94"/>
      <c r="G15389" s="94"/>
      <c r="I15389" s="94"/>
      <c r="K15389" s="94"/>
      <c r="M15389" s="94"/>
    </row>
    <row r="15390" s="93" customFormat="1" spans="3:13">
      <c r="C15390" s="94"/>
      <c r="E15390" s="94"/>
      <c r="G15390" s="94"/>
      <c r="I15390" s="94"/>
      <c r="K15390" s="94"/>
      <c r="M15390" s="94"/>
    </row>
    <row r="15391" s="93" customFormat="1" spans="3:13">
      <c r="C15391" s="94"/>
      <c r="E15391" s="94"/>
      <c r="G15391" s="94"/>
      <c r="I15391" s="94"/>
      <c r="K15391" s="94"/>
      <c r="M15391" s="94"/>
    </row>
    <row r="15392" s="93" customFormat="1" spans="3:13">
      <c r="C15392" s="94"/>
      <c r="E15392" s="94"/>
      <c r="G15392" s="94"/>
      <c r="I15392" s="94"/>
      <c r="K15392" s="94"/>
      <c r="M15392" s="94"/>
    </row>
    <row r="15393" s="93" customFormat="1" spans="3:13">
      <c r="C15393" s="94"/>
      <c r="E15393" s="94"/>
      <c r="G15393" s="94"/>
      <c r="I15393" s="94"/>
      <c r="K15393" s="94"/>
      <c r="M15393" s="94"/>
    </row>
    <row r="15394" s="93" customFormat="1" spans="3:13">
      <c r="C15394" s="94"/>
      <c r="E15394" s="94"/>
      <c r="G15394" s="94"/>
      <c r="I15394" s="94"/>
      <c r="K15394" s="94"/>
      <c r="M15394" s="94"/>
    </row>
    <row r="15395" s="93" customFormat="1" spans="3:13">
      <c r="C15395" s="94"/>
      <c r="E15395" s="94"/>
      <c r="G15395" s="94"/>
      <c r="I15395" s="94"/>
      <c r="K15395" s="94"/>
      <c r="M15395" s="94"/>
    </row>
    <row r="15396" s="93" customFormat="1" spans="3:13">
      <c r="C15396" s="94"/>
      <c r="E15396" s="94"/>
      <c r="G15396" s="94"/>
      <c r="I15396" s="94"/>
      <c r="K15396" s="94"/>
      <c r="M15396" s="94"/>
    </row>
    <row r="15397" s="93" customFormat="1" spans="3:13">
      <c r="C15397" s="94"/>
      <c r="E15397" s="94"/>
      <c r="G15397" s="94"/>
      <c r="I15397" s="94"/>
      <c r="K15397" s="94"/>
      <c r="M15397" s="94"/>
    </row>
    <row r="15398" s="93" customFormat="1" spans="3:13">
      <c r="C15398" s="94"/>
      <c r="E15398" s="94"/>
      <c r="G15398" s="94"/>
      <c r="I15398" s="94"/>
      <c r="K15398" s="94"/>
      <c r="M15398" s="94"/>
    </row>
    <row r="15399" s="93" customFormat="1" spans="3:13">
      <c r="C15399" s="94"/>
      <c r="E15399" s="94"/>
      <c r="G15399" s="94"/>
      <c r="I15399" s="94"/>
      <c r="K15399" s="94"/>
      <c r="M15399" s="94"/>
    </row>
    <row r="15400" s="93" customFormat="1" spans="3:13">
      <c r="C15400" s="94"/>
      <c r="E15400" s="94"/>
      <c r="G15400" s="94"/>
      <c r="I15400" s="94"/>
      <c r="K15400" s="94"/>
      <c r="M15400" s="94"/>
    </row>
    <row r="15401" s="93" customFormat="1" spans="3:13">
      <c r="C15401" s="94"/>
      <c r="E15401" s="94"/>
      <c r="G15401" s="94"/>
      <c r="I15401" s="94"/>
      <c r="K15401" s="94"/>
      <c r="M15401" s="94"/>
    </row>
    <row r="15402" s="93" customFormat="1" spans="3:13">
      <c r="C15402" s="94"/>
      <c r="E15402" s="94"/>
      <c r="G15402" s="94"/>
      <c r="I15402" s="94"/>
      <c r="K15402" s="94"/>
      <c r="M15402" s="94"/>
    </row>
    <row r="15403" s="93" customFormat="1" spans="3:13">
      <c r="C15403" s="94"/>
      <c r="E15403" s="94"/>
      <c r="G15403" s="94"/>
      <c r="I15403" s="94"/>
      <c r="K15403" s="94"/>
      <c r="M15403" s="94"/>
    </row>
    <row r="15404" s="93" customFormat="1" spans="3:13">
      <c r="C15404" s="94"/>
      <c r="E15404" s="94"/>
      <c r="G15404" s="94"/>
      <c r="I15404" s="94"/>
      <c r="K15404" s="94"/>
      <c r="M15404" s="94"/>
    </row>
    <row r="15405" s="93" customFormat="1" spans="3:13">
      <c r="C15405" s="94"/>
      <c r="E15405" s="94"/>
      <c r="G15405" s="94"/>
      <c r="I15405" s="94"/>
      <c r="K15405" s="94"/>
      <c r="M15405" s="94"/>
    </row>
    <row r="15406" s="93" customFormat="1" spans="3:13">
      <c r="C15406" s="94"/>
      <c r="E15406" s="94"/>
      <c r="G15406" s="94"/>
      <c r="I15406" s="94"/>
      <c r="K15406" s="94"/>
      <c r="M15406" s="94"/>
    </row>
    <row r="15407" s="93" customFormat="1" spans="3:13">
      <c r="C15407" s="94"/>
      <c r="E15407" s="94"/>
      <c r="G15407" s="94"/>
      <c r="I15407" s="94"/>
      <c r="K15407" s="94"/>
      <c r="M15407" s="94"/>
    </row>
    <row r="15408" s="93" customFormat="1" spans="3:13">
      <c r="C15408" s="94"/>
      <c r="E15408" s="94"/>
      <c r="G15408" s="94"/>
      <c r="I15408" s="94"/>
      <c r="K15408" s="94"/>
      <c r="M15408" s="94"/>
    </row>
    <row r="15409" s="93" customFormat="1" spans="3:13">
      <c r="C15409" s="94"/>
      <c r="E15409" s="94"/>
      <c r="G15409" s="94"/>
      <c r="I15409" s="94"/>
      <c r="K15409" s="94"/>
      <c r="M15409" s="94"/>
    </row>
    <row r="15410" s="93" customFormat="1" spans="3:13">
      <c r="C15410" s="94"/>
      <c r="E15410" s="94"/>
      <c r="G15410" s="94"/>
      <c r="I15410" s="94"/>
      <c r="K15410" s="94"/>
      <c r="M15410" s="94"/>
    </row>
    <row r="15411" s="93" customFormat="1" spans="3:13">
      <c r="C15411" s="94"/>
      <c r="E15411" s="94"/>
      <c r="G15411" s="94"/>
      <c r="I15411" s="94"/>
      <c r="K15411" s="94"/>
      <c r="M15411" s="94"/>
    </row>
    <row r="15412" s="93" customFormat="1" spans="3:13">
      <c r="C15412" s="94"/>
      <c r="E15412" s="94"/>
      <c r="G15412" s="94"/>
      <c r="I15412" s="94"/>
      <c r="K15412" s="94"/>
      <c r="M15412" s="94"/>
    </row>
    <row r="15413" s="93" customFormat="1" spans="3:13">
      <c r="C15413" s="94"/>
      <c r="E15413" s="94"/>
      <c r="G15413" s="94"/>
      <c r="I15413" s="94"/>
      <c r="K15413" s="94"/>
      <c r="M15413" s="94"/>
    </row>
    <row r="15414" s="93" customFormat="1" spans="3:13">
      <c r="C15414" s="94"/>
      <c r="E15414" s="94"/>
      <c r="G15414" s="94"/>
      <c r="I15414" s="94"/>
      <c r="K15414" s="94"/>
      <c r="M15414" s="94"/>
    </row>
    <row r="15415" s="93" customFormat="1" spans="3:13">
      <c r="C15415" s="94"/>
      <c r="E15415" s="94"/>
      <c r="G15415" s="94"/>
      <c r="I15415" s="94"/>
      <c r="K15415" s="94"/>
      <c r="M15415" s="94"/>
    </row>
    <row r="15416" s="93" customFormat="1" spans="3:13">
      <c r="C15416" s="94"/>
      <c r="E15416" s="94"/>
      <c r="G15416" s="94"/>
      <c r="I15416" s="94"/>
      <c r="K15416" s="94"/>
      <c r="M15416" s="94"/>
    </row>
    <row r="15417" s="93" customFormat="1" spans="3:13">
      <c r="C15417" s="94"/>
      <c r="E15417" s="94"/>
      <c r="G15417" s="94"/>
      <c r="I15417" s="94"/>
      <c r="K15417" s="94"/>
      <c r="M15417" s="94"/>
    </row>
    <row r="15418" s="93" customFormat="1" spans="3:13">
      <c r="C15418" s="94"/>
      <c r="E15418" s="94"/>
      <c r="G15418" s="94"/>
      <c r="I15418" s="94"/>
      <c r="K15418" s="94"/>
      <c r="M15418" s="94"/>
    </row>
    <row r="15419" s="93" customFormat="1" spans="3:13">
      <c r="C15419" s="94"/>
      <c r="E15419" s="94"/>
      <c r="G15419" s="94"/>
      <c r="I15419" s="94"/>
      <c r="K15419" s="94"/>
      <c r="M15419" s="94"/>
    </row>
    <row r="15420" s="93" customFormat="1" spans="3:13">
      <c r="C15420" s="94"/>
      <c r="E15420" s="94"/>
      <c r="G15420" s="94"/>
      <c r="I15420" s="94"/>
      <c r="K15420" s="94"/>
      <c r="M15420" s="94"/>
    </row>
    <row r="15421" s="93" customFormat="1" spans="3:13">
      <c r="C15421" s="94"/>
      <c r="E15421" s="94"/>
      <c r="G15421" s="94"/>
      <c r="I15421" s="94"/>
      <c r="K15421" s="94"/>
      <c r="M15421" s="94"/>
    </row>
    <row r="15422" s="93" customFormat="1" spans="3:13">
      <c r="C15422" s="94"/>
      <c r="E15422" s="94"/>
      <c r="G15422" s="94"/>
      <c r="I15422" s="94"/>
      <c r="K15422" s="94"/>
      <c r="M15422" s="94"/>
    </row>
    <row r="15423" s="93" customFormat="1" spans="3:13">
      <c r="C15423" s="94"/>
      <c r="E15423" s="94"/>
      <c r="G15423" s="94"/>
      <c r="I15423" s="94"/>
      <c r="K15423" s="94"/>
      <c r="M15423" s="94"/>
    </row>
    <row r="15424" s="93" customFormat="1" spans="3:13">
      <c r="C15424" s="94"/>
      <c r="E15424" s="94"/>
      <c r="G15424" s="94"/>
      <c r="I15424" s="94"/>
      <c r="K15424" s="94"/>
      <c r="M15424" s="94"/>
    </row>
    <row r="15425" s="93" customFormat="1" spans="3:13">
      <c r="C15425" s="94"/>
      <c r="E15425" s="94"/>
      <c r="G15425" s="94"/>
      <c r="I15425" s="94"/>
      <c r="K15425" s="94"/>
      <c r="M15425" s="94"/>
    </row>
    <row r="15426" s="93" customFormat="1" spans="3:13">
      <c r="C15426" s="94"/>
      <c r="E15426" s="94"/>
      <c r="G15426" s="94"/>
      <c r="I15426" s="94"/>
      <c r="K15426" s="94"/>
      <c r="M15426" s="94"/>
    </row>
    <row r="15427" s="93" customFormat="1" spans="3:13">
      <c r="C15427" s="94"/>
      <c r="E15427" s="94"/>
      <c r="G15427" s="94"/>
      <c r="I15427" s="94"/>
      <c r="K15427" s="94"/>
      <c r="M15427" s="94"/>
    </row>
    <row r="15428" s="93" customFormat="1" spans="3:13">
      <c r="C15428" s="94"/>
      <c r="E15428" s="94"/>
      <c r="G15428" s="94"/>
      <c r="I15428" s="94"/>
      <c r="K15428" s="94"/>
      <c r="M15428" s="94"/>
    </row>
    <row r="15429" s="93" customFormat="1" spans="3:13">
      <c r="C15429" s="94"/>
      <c r="E15429" s="94"/>
      <c r="G15429" s="94"/>
      <c r="I15429" s="94"/>
      <c r="K15429" s="94"/>
      <c r="M15429" s="94"/>
    </row>
    <row r="15430" s="93" customFormat="1" spans="3:13">
      <c r="C15430" s="94"/>
      <c r="E15430" s="94"/>
      <c r="G15430" s="94"/>
      <c r="I15430" s="94"/>
      <c r="K15430" s="94"/>
      <c r="M15430" s="94"/>
    </row>
    <row r="15431" s="93" customFormat="1" spans="3:13">
      <c r="C15431" s="94"/>
      <c r="E15431" s="94"/>
      <c r="G15431" s="94"/>
      <c r="I15431" s="94"/>
      <c r="K15431" s="94"/>
      <c r="M15431" s="94"/>
    </row>
    <row r="15432" s="93" customFormat="1" spans="3:13">
      <c r="C15432" s="94"/>
      <c r="E15432" s="94"/>
      <c r="G15432" s="94"/>
      <c r="I15432" s="94"/>
      <c r="K15432" s="94"/>
      <c r="M15432" s="94"/>
    </row>
    <row r="15433" s="93" customFormat="1" spans="3:13">
      <c r="C15433" s="94"/>
      <c r="E15433" s="94"/>
      <c r="G15433" s="94"/>
      <c r="I15433" s="94"/>
      <c r="K15433" s="94"/>
      <c r="M15433" s="94"/>
    </row>
    <row r="15434" s="93" customFormat="1" spans="3:13">
      <c r="C15434" s="94"/>
      <c r="E15434" s="94"/>
      <c r="G15434" s="94"/>
      <c r="I15434" s="94"/>
      <c r="K15434" s="94"/>
      <c r="M15434" s="94"/>
    </row>
    <row r="15435" s="93" customFormat="1" spans="3:13">
      <c r="C15435" s="94"/>
      <c r="E15435" s="94"/>
      <c r="G15435" s="94"/>
      <c r="I15435" s="94"/>
      <c r="K15435" s="94"/>
      <c r="M15435" s="94"/>
    </row>
    <row r="15436" s="93" customFormat="1" spans="3:13">
      <c r="C15436" s="94"/>
      <c r="E15436" s="94"/>
      <c r="G15436" s="94"/>
      <c r="I15436" s="94"/>
      <c r="K15436" s="94"/>
      <c r="M15436" s="94"/>
    </row>
    <row r="15437" s="93" customFormat="1" spans="3:13">
      <c r="C15437" s="94"/>
      <c r="E15437" s="94"/>
      <c r="G15437" s="94"/>
      <c r="I15437" s="94"/>
      <c r="K15437" s="94"/>
      <c r="M15437" s="94"/>
    </row>
    <row r="15438" s="93" customFormat="1" spans="3:13">
      <c r="C15438" s="94"/>
      <c r="E15438" s="94"/>
      <c r="G15438" s="94"/>
      <c r="I15438" s="94"/>
      <c r="K15438" s="94"/>
      <c r="M15438" s="94"/>
    </row>
    <row r="15439" s="93" customFormat="1" spans="3:13">
      <c r="C15439" s="94"/>
      <c r="E15439" s="94"/>
      <c r="G15439" s="94"/>
      <c r="I15439" s="94"/>
      <c r="K15439" s="94"/>
      <c r="M15439" s="94"/>
    </row>
    <row r="15440" s="93" customFormat="1" spans="3:13">
      <c r="C15440" s="94"/>
      <c r="E15440" s="94"/>
      <c r="G15440" s="94"/>
      <c r="I15440" s="94"/>
      <c r="K15440" s="94"/>
      <c r="M15440" s="94"/>
    </row>
    <row r="15441" s="93" customFormat="1" spans="3:13">
      <c r="C15441" s="94"/>
      <c r="E15441" s="94"/>
      <c r="G15441" s="94"/>
      <c r="I15441" s="94"/>
      <c r="K15441" s="94"/>
      <c r="M15441" s="94"/>
    </row>
    <row r="15442" s="93" customFormat="1" spans="3:13">
      <c r="C15442" s="94"/>
      <c r="E15442" s="94"/>
      <c r="G15442" s="94"/>
      <c r="I15442" s="94"/>
      <c r="K15442" s="94"/>
      <c r="M15442" s="94"/>
    </row>
    <row r="15443" s="93" customFormat="1" spans="3:13">
      <c r="C15443" s="94"/>
      <c r="E15443" s="94"/>
      <c r="G15443" s="94"/>
      <c r="I15443" s="94"/>
      <c r="K15443" s="94"/>
      <c r="M15443" s="94"/>
    </row>
    <row r="15444" s="93" customFormat="1" spans="3:13">
      <c r="C15444" s="94"/>
      <c r="E15444" s="94"/>
      <c r="G15444" s="94"/>
      <c r="I15444" s="94"/>
      <c r="K15444" s="94"/>
      <c r="M15444" s="94"/>
    </row>
    <row r="15445" s="93" customFormat="1" spans="3:13">
      <c r="C15445" s="94"/>
      <c r="E15445" s="94"/>
      <c r="G15445" s="94"/>
      <c r="I15445" s="94"/>
      <c r="K15445" s="94"/>
      <c r="M15445" s="94"/>
    </row>
    <row r="15446" s="93" customFormat="1" spans="3:13">
      <c r="C15446" s="94"/>
      <c r="E15446" s="94"/>
      <c r="G15446" s="94"/>
      <c r="I15446" s="94"/>
      <c r="K15446" s="94"/>
      <c r="M15446" s="94"/>
    </row>
    <row r="15447" s="93" customFormat="1" spans="3:13">
      <c r="C15447" s="94"/>
      <c r="E15447" s="94"/>
      <c r="G15447" s="94"/>
      <c r="I15447" s="94"/>
      <c r="K15447" s="94"/>
      <c r="M15447" s="94"/>
    </row>
    <row r="15448" s="93" customFormat="1" spans="3:13">
      <c r="C15448" s="94"/>
      <c r="E15448" s="94"/>
      <c r="G15448" s="94"/>
      <c r="I15448" s="94"/>
      <c r="K15448" s="94"/>
      <c r="M15448" s="94"/>
    </row>
    <row r="15449" s="93" customFormat="1" spans="3:13">
      <c r="C15449" s="94"/>
      <c r="E15449" s="94"/>
      <c r="G15449" s="94"/>
      <c r="I15449" s="94"/>
      <c r="K15449" s="94"/>
      <c r="M15449" s="94"/>
    </row>
    <row r="15450" s="93" customFormat="1" spans="3:13">
      <c r="C15450" s="94"/>
      <c r="E15450" s="94"/>
      <c r="G15450" s="94"/>
      <c r="I15450" s="94"/>
      <c r="K15450" s="94"/>
      <c r="M15450" s="94"/>
    </row>
    <row r="15451" s="93" customFormat="1" spans="3:13">
      <c r="C15451" s="94"/>
      <c r="E15451" s="94"/>
      <c r="G15451" s="94"/>
      <c r="I15451" s="94"/>
      <c r="K15451" s="94"/>
      <c r="M15451" s="94"/>
    </row>
    <row r="15452" s="93" customFormat="1" spans="3:13">
      <c r="C15452" s="94"/>
      <c r="E15452" s="94"/>
      <c r="G15452" s="94"/>
      <c r="I15452" s="94"/>
      <c r="K15452" s="94"/>
      <c r="M15452" s="94"/>
    </row>
    <row r="15453" s="93" customFormat="1" spans="3:13">
      <c r="C15453" s="94"/>
      <c r="E15453" s="94"/>
      <c r="G15453" s="94"/>
      <c r="I15453" s="94"/>
      <c r="K15453" s="94"/>
      <c r="M15453" s="94"/>
    </row>
    <row r="15454" s="93" customFormat="1" spans="3:13">
      <c r="C15454" s="94"/>
      <c r="E15454" s="94"/>
      <c r="G15454" s="94"/>
      <c r="I15454" s="94"/>
      <c r="K15454" s="94"/>
      <c r="M15454" s="94"/>
    </row>
    <row r="15455" s="93" customFormat="1" spans="3:13">
      <c r="C15455" s="94"/>
      <c r="E15455" s="94"/>
      <c r="G15455" s="94"/>
      <c r="I15455" s="94"/>
      <c r="K15455" s="94"/>
      <c r="M15455" s="94"/>
    </row>
    <row r="15456" s="93" customFormat="1" spans="3:13">
      <c r="C15456" s="94"/>
      <c r="E15456" s="94"/>
      <c r="G15456" s="94"/>
      <c r="I15456" s="94"/>
      <c r="K15456" s="94"/>
      <c r="M15456" s="94"/>
    </row>
    <row r="15457" s="93" customFormat="1" spans="3:13">
      <c r="C15457" s="94"/>
      <c r="E15457" s="94"/>
      <c r="G15457" s="94"/>
      <c r="I15457" s="94"/>
      <c r="K15457" s="94"/>
      <c r="M15457" s="94"/>
    </row>
    <row r="15458" s="93" customFormat="1" spans="3:13">
      <c r="C15458" s="94"/>
      <c r="E15458" s="94"/>
      <c r="G15458" s="94"/>
      <c r="I15458" s="94"/>
      <c r="K15458" s="94"/>
      <c r="M15458" s="94"/>
    </row>
    <row r="15459" s="93" customFormat="1" spans="3:13">
      <c r="C15459" s="94"/>
      <c r="E15459" s="94"/>
      <c r="G15459" s="94"/>
      <c r="I15459" s="94"/>
      <c r="K15459" s="94"/>
      <c r="M15459" s="94"/>
    </row>
    <row r="15460" s="93" customFormat="1" spans="3:13">
      <c r="C15460" s="94"/>
      <c r="E15460" s="94"/>
      <c r="G15460" s="94"/>
      <c r="I15460" s="94"/>
      <c r="K15460" s="94"/>
      <c r="M15460" s="94"/>
    </row>
    <row r="15461" s="93" customFormat="1" spans="3:13">
      <c r="C15461" s="94"/>
      <c r="E15461" s="94"/>
      <c r="G15461" s="94"/>
      <c r="I15461" s="94"/>
      <c r="K15461" s="94"/>
      <c r="M15461" s="94"/>
    </row>
    <row r="15462" s="93" customFormat="1" spans="3:13">
      <c r="C15462" s="94"/>
      <c r="E15462" s="94"/>
      <c r="G15462" s="94"/>
      <c r="I15462" s="94"/>
      <c r="K15462" s="94"/>
      <c r="M15462" s="94"/>
    </row>
    <row r="15463" s="93" customFormat="1" spans="3:13">
      <c r="C15463" s="94"/>
      <c r="E15463" s="94"/>
      <c r="G15463" s="94"/>
      <c r="I15463" s="94"/>
      <c r="K15463" s="94"/>
      <c r="M15463" s="94"/>
    </row>
    <row r="15464" s="93" customFormat="1" spans="3:13">
      <c r="C15464" s="94"/>
      <c r="E15464" s="94"/>
      <c r="G15464" s="94"/>
      <c r="I15464" s="94"/>
      <c r="K15464" s="94"/>
      <c r="M15464" s="94"/>
    </row>
    <row r="15465" s="93" customFormat="1" spans="3:13">
      <c r="C15465" s="94"/>
      <c r="E15465" s="94"/>
      <c r="G15465" s="94"/>
      <c r="I15465" s="94"/>
      <c r="K15465" s="94"/>
      <c r="M15465" s="94"/>
    </row>
    <row r="15466" s="93" customFormat="1" spans="3:13">
      <c r="C15466" s="94"/>
      <c r="E15466" s="94"/>
      <c r="G15466" s="94"/>
      <c r="I15466" s="94"/>
      <c r="K15466" s="94"/>
      <c r="M15466" s="94"/>
    </row>
    <row r="15467" s="93" customFormat="1" spans="3:13">
      <c r="C15467" s="94"/>
      <c r="E15467" s="94"/>
      <c r="G15467" s="94"/>
      <c r="I15467" s="94"/>
      <c r="K15467" s="94"/>
      <c r="M15467" s="94"/>
    </row>
    <row r="15468" s="93" customFormat="1" spans="3:13">
      <c r="C15468" s="94"/>
      <c r="E15468" s="94"/>
      <c r="G15468" s="94"/>
      <c r="I15468" s="94"/>
      <c r="K15468" s="94"/>
      <c r="M15468" s="94"/>
    </row>
    <row r="15469" s="93" customFormat="1" spans="3:13">
      <c r="C15469" s="94"/>
      <c r="E15469" s="94"/>
      <c r="G15469" s="94"/>
      <c r="I15469" s="94"/>
      <c r="K15469" s="94"/>
      <c r="M15469" s="94"/>
    </row>
    <row r="15470" s="93" customFormat="1" spans="3:13">
      <c r="C15470" s="94"/>
      <c r="E15470" s="94"/>
      <c r="G15470" s="94"/>
      <c r="I15470" s="94"/>
      <c r="K15470" s="94"/>
      <c r="M15470" s="94"/>
    </row>
    <row r="15471" s="93" customFormat="1" spans="3:13">
      <c r="C15471" s="94"/>
      <c r="E15471" s="94"/>
      <c r="G15471" s="94"/>
      <c r="I15471" s="94"/>
      <c r="K15471" s="94"/>
      <c r="M15471" s="94"/>
    </row>
    <row r="15472" s="93" customFormat="1" spans="3:13">
      <c r="C15472" s="94"/>
      <c r="E15472" s="94"/>
      <c r="G15472" s="94"/>
      <c r="I15472" s="94"/>
      <c r="K15472" s="94"/>
      <c r="M15472" s="94"/>
    </row>
    <row r="15473" s="93" customFormat="1" spans="3:13">
      <c r="C15473" s="94"/>
      <c r="E15473" s="94"/>
      <c r="G15473" s="94"/>
      <c r="I15473" s="94"/>
      <c r="K15473" s="94"/>
      <c r="M15473" s="94"/>
    </row>
    <row r="15474" s="93" customFormat="1" spans="3:13">
      <c r="C15474" s="94"/>
      <c r="E15474" s="94"/>
      <c r="G15474" s="94"/>
      <c r="I15474" s="94"/>
      <c r="K15474" s="94"/>
      <c r="M15474" s="94"/>
    </row>
    <row r="15475" s="93" customFormat="1" spans="3:13">
      <c r="C15475" s="94"/>
      <c r="E15475" s="94"/>
      <c r="G15475" s="94"/>
      <c r="I15475" s="94"/>
      <c r="K15475" s="94"/>
      <c r="M15475" s="94"/>
    </row>
    <row r="15476" s="93" customFormat="1" spans="3:13">
      <c r="C15476" s="94"/>
      <c r="E15476" s="94"/>
      <c r="G15476" s="94"/>
      <c r="I15476" s="94"/>
      <c r="K15476" s="94"/>
      <c r="M15476" s="94"/>
    </row>
    <row r="15477" s="93" customFormat="1" spans="3:13">
      <c r="C15477" s="94"/>
      <c r="E15477" s="94"/>
      <c r="G15477" s="94"/>
      <c r="I15477" s="94"/>
      <c r="K15477" s="94"/>
      <c r="M15477" s="94"/>
    </row>
    <row r="15478" s="93" customFormat="1" spans="3:13">
      <c r="C15478" s="94"/>
      <c r="E15478" s="94"/>
      <c r="G15478" s="94"/>
      <c r="I15478" s="94"/>
      <c r="K15478" s="94"/>
      <c r="M15478" s="94"/>
    </row>
    <row r="15479" s="93" customFormat="1" spans="3:13">
      <c r="C15479" s="94"/>
      <c r="E15479" s="94"/>
      <c r="G15479" s="94"/>
      <c r="I15479" s="94"/>
      <c r="K15479" s="94"/>
      <c r="M15479" s="94"/>
    </row>
    <row r="15480" s="93" customFormat="1" spans="3:13">
      <c r="C15480" s="94"/>
      <c r="E15480" s="94"/>
      <c r="G15480" s="94"/>
      <c r="I15480" s="94"/>
      <c r="K15480" s="94"/>
      <c r="M15480" s="94"/>
    </row>
    <row r="15481" s="93" customFormat="1" spans="3:13">
      <c r="C15481" s="94"/>
      <c r="E15481" s="94"/>
      <c r="G15481" s="94"/>
      <c r="I15481" s="94"/>
      <c r="K15481" s="94"/>
      <c r="M15481" s="94"/>
    </row>
    <row r="15482" s="93" customFormat="1" spans="3:13">
      <c r="C15482" s="94"/>
      <c r="E15482" s="94"/>
      <c r="G15482" s="94"/>
      <c r="I15482" s="94"/>
      <c r="K15482" s="94"/>
      <c r="M15482" s="94"/>
    </row>
    <row r="15483" s="93" customFormat="1" spans="3:13">
      <c r="C15483" s="94"/>
      <c r="E15483" s="94"/>
      <c r="G15483" s="94"/>
      <c r="I15483" s="94"/>
      <c r="K15483" s="94"/>
      <c r="M15483" s="94"/>
    </row>
    <row r="15484" s="93" customFormat="1" spans="3:13">
      <c r="C15484" s="94"/>
      <c r="E15484" s="94"/>
      <c r="G15484" s="94"/>
      <c r="I15484" s="94"/>
      <c r="K15484" s="94"/>
      <c r="M15484" s="94"/>
    </row>
    <row r="15485" s="93" customFormat="1" spans="3:13">
      <c r="C15485" s="94"/>
      <c r="E15485" s="94"/>
      <c r="G15485" s="94"/>
      <c r="I15485" s="94"/>
      <c r="K15485" s="94"/>
      <c r="M15485" s="94"/>
    </row>
    <row r="15486" s="93" customFormat="1" spans="3:13">
      <c r="C15486" s="94"/>
      <c r="E15486" s="94"/>
      <c r="G15486" s="94"/>
      <c r="I15486" s="94"/>
      <c r="K15486" s="94"/>
      <c r="M15486" s="94"/>
    </row>
    <row r="15487" s="93" customFormat="1" spans="3:13">
      <c r="C15487" s="94"/>
      <c r="E15487" s="94"/>
      <c r="G15487" s="94"/>
      <c r="I15487" s="94"/>
      <c r="K15487" s="94"/>
      <c r="M15487" s="94"/>
    </row>
    <row r="15488" s="93" customFormat="1" spans="3:13">
      <c r="C15488" s="94"/>
      <c r="E15488" s="94"/>
      <c r="G15488" s="94"/>
      <c r="I15488" s="94"/>
      <c r="K15488" s="94"/>
      <c r="M15488" s="94"/>
    </row>
    <row r="15489" s="93" customFormat="1" spans="3:13">
      <c r="C15489" s="94"/>
      <c r="E15489" s="94"/>
      <c r="G15489" s="94"/>
      <c r="I15489" s="94"/>
      <c r="K15489" s="94"/>
      <c r="M15489" s="94"/>
    </row>
    <row r="15490" s="93" customFormat="1" spans="3:13">
      <c r="C15490" s="94"/>
      <c r="E15490" s="94"/>
      <c r="G15490" s="94"/>
      <c r="I15490" s="94"/>
      <c r="K15490" s="94"/>
      <c r="M15490" s="94"/>
    </row>
    <row r="15491" s="93" customFormat="1" spans="3:13">
      <c r="C15491" s="94"/>
      <c r="E15491" s="94"/>
      <c r="G15491" s="94"/>
      <c r="I15491" s="94"/>
      <c r="K15491" s="94"/>
      <c r="M15491" s="94"/>
    </row>
    <row r="15492" s="93" customFormat="1" spans="3:13">
      <c r="C15492" s="94"/>
      <c r="E15492" s="94"/>
      <c r="G15492" s="94"/>
      <c r="I15492" s="94"/>
      <c r="K15492" s="94"/>
      <c r="M15492" s="94"/>
    </row>
    <row r="15493" s="93" customFormat="1" spans="3:13">
      <c r="C15493" s="94"/>
      <c r="E15493" s="94"/>
      <c r="G15493" s="94"/>
      <c r="I15493" s="94"/>
      <c r="K15493" s="94"/>
      <c r="M15493" s="94"/>
    </row>
    <row r="15494" s="93" customFormat="1" spans="3:13">
      <c r="C15494" s="94"/>
      <c r="E15494" s="94"/>
      <c r="G15494" s="94"/>
      <c r="I15494" s="94"/>
      <c r="K15494" s="94"/>
      <c r="M15494" s="94"/>
    </row>
    <row r="15495" s="93" customFormat="1" spans="3:13">
      <c r="C15495" s="94"/>
      <c r="E15495" s="94"/>
      <c r="G15495" s="94"/>
      <c r="I15495" s="94"/>
      <c r="K15495" s="94"/>
      <c r="M15495" s="94"/>
    </row>
    <row r="15496" s="93" customFormat="1" spans="3:13">
      <c r="C15496" s="94"/>
      <c r="E15496" s="94"/>
      <c r="G15496" s="94"/>
      <c r="I15496" s="94"/>
      <c r="K15496" s="94"/>
      <c r="M15496" s="94"/>
    </row>
    <row r="15497" s="93" customFormat="1" spans="3:13">
      <c r="C15497" s="94"/>
      <c r="E15497" s="94"/>
      <c r="G15497" s="94"/>
      <c r="I15497" s="94"/>
      <c r="K15497" s="94"/>
      <c r="M15497" s="94"/>
    </row>
    <row r="15498" s="93" customFormat="1" spans="3:13">
      <c r="C15498" s="94"/>
      <c r="E15498" s="94"/>
      <c r="G15498" s="94"/>
      <c r="I15498" s="94"/>
      <c r="K15498" s="94"/>
      <c r="M15498" s="94"/>
    </row>
    <row r="15499" s="93" customFormat="1" spans="3:13">
      <c r="C15499" s="94"/>
      <c r="E15499" s="94"/>
      <c r="G15499" s="94"/>
      <c r="I15499" s="94"/>
      <c r="K15499" s="94"/>
      <c r="M15499" s="94"/>
    </row>
    <row r="15500" s="93" customFormat="1" spans="3:13">
      <c r="C15500" s="94"/>
      <c r="E15500" s="94"/>
      <c r="G15500" s="94"/>
      <c r="I15500" s="94"/>
      <c r="K15500" s="94"/>
      <c r="M15500" s="94"/>
    </row>
    <row r="15501" s="93" customFormat="1" spans="3:13">
      <c r="C15501" s="94"/>
      <c r="E15501" s="94"/>
      <c r="G15501" s="94"/>
      <c r="I15501" s="94"/>
      <c r="K15501" s="94"/>
      <c r="M15501" s="94"/>
    </row>
    <row r="15502" s="93" customFormat="1" spans="3:13">
      <c r="C15502" s="94"/>
      <c r="E15502" s="94"/>
      <c r="G15502" s="94"/>
      <c r="I15502" s="94"/>
      <c r="K15502" s="94"/>
      <c r="M15502" s="94"/>
    </row>
    <row r="15503" s="93" customFormat="1" spans="3:13">
      <c r="C15503" s="94"/>
      <c r="E15503" s="94"/>
      <c r="G15503" s="94"/>
      <c r="I15503" s="94"/>
      <c r="K15503" s="94"/>
      <c r="M15503" s="94"/>
    </row>
    <row r="15504" s="93" customFormat="1" spans="3:13">
      <c r="C15504" s="94"/>
      <c r="E15504" s="94"/>
      <c r="G15504" s="94"/>
      <c r="I15504" s="94"/>
      <c r="K15504" s="94"/>
      <c r="M15504" s="94"/>
    </row>
    <row r="15505" s="93" customFormat="1" spans="3:13">
      <c r="C15505" s="94"/>
      <c r="E15505" s="94"/>
      <c r="G15505" s="94"/>
      <c r="I15505" s="94"/>
      <c r="K15505" s="94"/>
      <c r="M15505" s="94"/>
    </row>
    <row r="15506" s="93" customFormat="1" spans="3:13">
      <c r="C15506" s="94"/>
      <c r="E15506" s="94"/>
      <c r="G15506" s="94"/>
      <c r="I15506" s="94"/>
      <c r="K15506" s="94"/>
      <c r="M15506" s="94"/>
    </row>
    <row r="15507" s="93" customFormat="1" spans="3:13">
      <c r="C15507" s="94"/>
      <c r="E15507" s="94"/>
      <c r="G15507" s="94"/>
      <c r="I15507" s="94"/>
      <c r="K15507" s="94"/>
      <c r="M15507" s="94"/>
    </row>
    <row r="15508" s="93" customFormat="1" spans="3:13">
      <c r="C15508" s="94"/>
      <c r="E15508" s="94"/>
      <c r="G15508" s="94"/>
      <c r="I15508" s="94"/>
      <c r="K15508" s="94"/>
      <c r="M15508" s="94"/>
    </row>
    <row r="15509" s="93" customFormat="1" spans="3:13">
      <c r="C15509" s="94"/>
      <c r="E15509" s="94"/>
      <c r="G15509" s="94"/>
      <c r="I15509" s="94"/>
      <c r="K15509" s="94"/>
      <c r="M15509" s="94"/>
    </row>
    <row r="15510" s="93" customFormat="1" spans="3:13">
      <c r="C15510" s="94"/>
      <c r="E15510" s="94"/>
      <c r="G15510" s="94"/>
      <c r="I15510" s="94"/>
      <c r="K15510" s="94"/>
      <c r="M15510" s="94"/>
    </row>
    <row r="15511" s="93" customFormat="1" spans="3:13">
      <c r="C15511" s="94"/>
      <c r="E15511" s="94"/>
      <c r="G15511" s="94"/>
      <c r="I15511" s="94"/>
      <c r="K15511" s="94"/>
      <c r="M15511" s="94"/>
    </row>
    <row r="15512" s="93" customFormat="1" spans="3:13">
      <c r="C15512" s="94"/>
      <c r="E15512" s="94"/>
      <c r="G15512" s="94"/>
      <c r="I15512" s="94"/>
      <c r="K15512" s="94"/>
      <c r="M15512" s="94"/>
    </row>
    <row r="15513" s="93" customFormat="1" spans="3:13">
      <c r="C15513" s="94"/>
      <c r="E15513" s="94"/>
      <c r="G15513" s="94"/>
      <c r="I15513" s="94"/>
      <c r="K15513" s="94"/>
      <c r="M15513" s="94"/>
    </row>
    <row r="15514" s="93" customFormat="1" spans="3:13">
      <c r="C15514" s="94"/>
      <c r="E15514" s="94"/>
      <c r="G15514" s="94"/>
      <c r="I15514" s="94"/>
      <c r="K15514" s="94"/>
      <c r="M15514" s="94"/>
    </row>
    <row r="15515" s="93" customFormat="1" spans="3:13">
      <c r="C15515" s="94"/>
      <c r="E15515" s="94"/>
      <c r="G15515" s="94"/>
      <c r="I15515" s="94"/>
      <c r="K15515" s="94"/>
      <c r="M15515" s="94"/>
    </row>
    <row r="15516" s="93" customFormat="1" spans="3:13">
      <c r="C15516" s="94"/>
      <c r="E15516" s="94"/>
      <c r="G15516" s="94"/>
      <c r="I15516" s="94"/>
      <c r="K15516" s="94"/>
      <c r="M15516" s="94"/>
    </row>
    <row r="15517" s="93" customFormat="1" spans="3:13">
      <c r="C15517" s="94"/>
      <c r="E15517" s="94"/>
      <c r="G15517" s="94"/>
      <c r="I15517" s="94"/>
      <c r="K15517" s="94"/>
      <c r="M15517" s="94"/>
    </row>
    <row r="15518" s="93" customFormat="1" spans="3:13">
      <c r="C15518" s="94"/>
      <c r="E15518" s="94"/>
      <c r="G15518" s="94"/>
      <c r="I15518" s="94"/>
      <c r="K15518" s="94"/>
      <c r="M15518" s="94"/>
    </row>
    <row r="15519" s="93" customFormat="1" spans="3:13">
      <c r="C15519" s="94"/>
      <c r="E15519" s="94"/>
      <c r="G15519" s="94"/>
      <c r="I15519" s="94"/>
      <c r="K15519" s="94"/>
      <c r="M15519" s="94"/>
    </row>
    <row r="15520" s="93" customFormat="1" spans="3:13">
      <c r="C15520" s="94"/>
      <c r="E15520" s="94"/>
      <c r="G15520" s="94"/>
      <c r="I15520" s="94"/>
      <c r="K15520" s="94"/>
      <c r="M15520" s="94"/>
    </row>
    <row r="15521" s="93" customFormat="1" spans="3:13">
      <c r="C15521" s="94"/>
      <c r="E15521" s="94"/>
      <c r="G15521" s="94"/>
      <c r="I15521" s="94"/>
      <c r="K15521" s="94"/>
      <c r="M15521" s="94"/>
    </row>
    <row r="15522" s="93" customFormat="1" spans="3:13">
      <c r="C15522" s="94"/>
      <c r="E15522" s="94"/>
      <c r="G15522" s="94"/>
      <c r="I15522" s="94"/>
      <c r="K15522" s="94"/>
      <c r="M15522" s="94"/>
    </row>
    <row r="15523" s="93" customFormat="1" spans="3:13">
      <c r="C15523" s="94"/>
      <c r="E15523" s="94"/>
      <c r="G15523" s="94"/>
      <c r="I15523" s="94"/>
      <c r="K15523" s="94"/>
      <c r="M15523" s="94"/>
    </row>
    <row r="15524" s="93" customFormat="1" spans="3:13">
      <c r="C15524" s="94"/>
      <c r="E15524" s="94"/>
      <c r="G15524" s="94"/>
      <c r="I15524" s="94"/>
      <c r="K15524" s="94"/>
      <c r="M15524" s="94"/>
    </row>
    <row r="15525" s="93" customFormat="1" spans="3:13">
      <c r="C15525" s="94"/>
      <c r="E15525" s="94"/>
      <c r="G15525" s="94"/>
      <c r="I15525" s="94"/>
      <c r="K15525" s="94"/>
      <c r="M15525" s="94"/>
    </row>
    <row r="15526" s="93" customFormat="1" spans="3:13">
      <c r="C15526" s="94"/>
      <c r="E15526" s="94"/>
      <c r="G15526" s="94"/>
      <c r="I15526" s="94"/>
      <c r="K15526" s="94"/>
      <c r="M15526" s="94"/>
    </row>
    <row r="15527" s="93" customFormat="1" spans="3:13">
      <c r="C15527" s="94"/>
      <c r="E15527" s="94"/>
      <c r="G15527" s="94"/>
      <c r="I15527" s="94"/>
      <c r="K15527" s="94"/>
      <c r="M15527" s="94"/>
    </row>
    <row r="15528" s="93" customFormat="1" spans="3:13">
      <c r="C15528" s="94"/>
      <c r="E15528" s="94"/>
      <c r="G15528" s="94"/>
      <c r="I15528" s="94"/>
      <c r="K15528" s="94"/>
      <c r="M15528" s="94"/>
    </row>
    <row r="15529" s="93" customFormat="1" spans="3:13">
      <c r="C15529" s="94"/>
      <c r="E15529" s="94"/>
      <c r="G15529" s="94"/>
      <c r="I15529" s="94"/>
      <c r="K15529" s="94"/>
      <c r="M15529" s="94"/>
    </row>
    <row r="15530" s="93" customFormat="1" spans="3:13">
      <c r="C15530" s="94"/>
      <c r="E15530" s="94"/>
      <c r="G15530" s="94"/>
      <c r="I15530" s="94"/>
      <c r="K15530" s="94"/>
      <c r="M15530" s="94"/>
    </row>
    <row r="15531" s="93" customFormat="1" spans="3:13">
      <c r="C15531" s="94"/>
      <c r="E15531" s="94"/>
      <c r="G15531" s="94"/>
      <c r="I15531" s="94"/>
      <c r="K15531" s="94"/>
      <c r="M15531" s="94"/>
    </row>
    <row r="15532" s="93" customFormat="1" spans="3:13">
      <c r="C15532" s="94"/>
      <c r="E15532" s="94"/>
      <c r="G15532" s="94"/>
      <c r="I15532" s="94"/>
      <c r="K15532" s="94"/>
      <c r="M15532" s="94"/>
    </row>
    <row r="15533" s="93" customFormat="1" spans="3:13">
      <c r="C15533" s="94"/>
      <c r="E15533" s="94"/>
      <c r="G15533" s="94"/>
      <c r="I15533" s="94"/>
      <c r="K15533" s="94"/>
      <c r="M15533" s="94"/>
    </row>
    <row r="15534" s="93" customFormat="1" spans="3:13">
      <c r="C15534" s="94"/>
      <c r="E15534" s="94"/>
      <c r="G15534" s="94"/>
      <c r="I15534" s="94"/>
      <c r="K15534" s="94"/>
      <c r="M15534" s="94"/>
    </row>
    <row r="15535" s="93" customFormat="1" spans="3:13">
      <c r="C15535" s="94"/>
      <c r="E15535" s="94"/>
      <c r="G15535" s="94"/>
      <c r="I15535" s="94"/>
      <c r="K15535" s="94"/>
      <c r="M15535" s="94"/>
    </row>
    <row r="15536" s="93" customFormat="1" spans="3:13">
      <c r="C15536" s="94"/>
      <c r="E15536" s="94"/>
      <c r="G15536" s="94"/>
      <c r="I15536" s="94"/>
      <c r="K15536" s="94"/>
      <c r="M15536" s="94"/>
    </row>
    <row r="15537" s="93" customFormat="1" spans="3:13">
      <c r="C15537" s="94"/>
      <c r="E15537" s="94"/>
      <c r="G15537" s="94"/>
      <c r="I15537" s="94"/>
      <c r="K15537" s="94"/>
      <c r="M15537" s="94"/>
    </row>
    <row r="15538" s="93" customFormat="1" spans="3:13">
      <c r="C15538" s="94"/>
      <c r="E15538" s="94"/>
      <c r="G15538" s="94"/>
      <c r="I15538" s="94"/>
      <c r="K15538" s="94"/>
      <c r="M15538" s="94"/>
    </row>
    <row r="15539" s="93" customFormat="1" spans="3:13">
      <c r="C15539" s="94"/>
      <c r="E15539" s="94"/>
      <c r="G15539" s="94"/>
      <c r="I15539" s="94"/>
      <c r="K15539" s="94"/>
      <c r="M15539" s="94"/>
    </row>
    <row r="15540" s="93" customFormat="1" spans="3:13">
      <c r="C15540" s="94"/>
      <c r="E15540" s="94"/>
      <c r="G15540" s="94"/>
      <c r="I15540" s="94"/>
      <c r="K15540" s="94"/>
      <c r="M15540" s="94"/>
    </row>
    <row r="15541" s="93" customFormat="1" spans="3:13">
      <c r="C15541" s="94"/>
      <c r="E15541" s="94"/>
      <c r="G15541" s="94"/>
      <c r="I15541" s="94"/>
      <c r="K15541" s="94"/>
      <c r="M15541" s="94"/>
    </row>
    <row r="15542" s="93" customFormat="1" spans="3:13">
      <c r="C15542" s="94"/>
      <c r="E15542" s="94"/>
      <c r="G15542" s="94"/>
      <c r="I15542" s="94"/>
      <c r="K15542" s="94"/>
      <c r="M15542" s="94"/>
    </row>
    <row r="15543" s="93" customFormat="1" spans="3:13">
      <c r="C15543" s="94"/>
      <c r="E15543" s="94"/>
      <c r="G15543" s="94"/>
      <c r="I15543" s="94"/>
      <c r="K15543" s="94"/>
      <c r="M15543" s="94"/>
    </row>
    <row r="15544" s="93" customFormat="1" spans="3:13">
      <c r="C15544" s="94"/>
      <c r="E15544" s="94"/>
      <c r="G15544" s="94"/>
      <c r="I15544" s="94"/>
      <c r="K15544" s="94"/>
      <c r="M15544" s="94"/>
    </row>
    <row r="15545" s="93" customFormat="1" spans="3:13">
      <c r="C15545" s="94"/>
      <c r="E15545" s="94"/>
      <c r="G15545" s="94"/>
      <c r="I15545" s="94"/>
      <c r="K15545" s="94"/>
      <c r="M15545" s="94"/>
    </row>
    <row r="15546" s="93" customFormat="1" spans="3:13">
      <c r="C15546" s="94"/>
      <c r="E15546" s="94"/>
      <c r="G15546" s="94"/>
      <c r="I15546" s="94"/>
      <c r="K15546" s="94"/>
      <c r="M15546" s="94"/>
    </row>
    <row r="15547" s="93" customFormat="1" spans="3:13">
      <c r="C15547" s="94"/>
      <c r="E15547" s="94"/>
      <c r="G15547" s="94"/>
      <c r="I15547" s="94"/>
      <c r="K15547" s="94"/>
      <c r="M15547" s="94"/>
    </row>
    <row r="15548" s="93" customFormat="1" spans="3:13">
      <c r="C15548" s="94"/>
      <c r="E15548" s="94"/>
      <c r="G15548" s="94"/>
      <c r="I15548" s="94"/>
      <c r="K15548" s="94"/>
      <c r="M15548" s="94"/>
    </row>
    <row r="15549" s="93" customFormat="1" spans="3:13">
      <c r="C15549" s="94"/>
      <c r="E15549" s="94"/>
      <c r="G15549" s="94"/>
      <c r="I15549" s="94"/>
      <c r="K15549" s="94"/>
      <c r="M15549" s="94"/>
    </row>
    <row r="15550" s="93" customFormat="1" spans="3:13">
      <c r="C15550" s="94"/>
      <c r="E15550" s="94"/>
      <c r="G15550" s="94"/>
      <c r="I15550" s="94"/>
      <c r="K15550" s="94"/>
      <c r="M15550" s="94"/>
    </row>
    <row r="15551" s="93" customFormat="1" spans="3:13">
      <c r="C15551" s="94"/>
      <c r="E15551" s="94"/>
      <c r="G15551" s="94"/>
      <c r="I15551" s="94"/>
      <c r="K15551" s="94"/>
      <c r="M15551" s="94"/>
    </row>
    <row r="15552" s="93" customFormat="1" spans="3:13">
      <c r="C15552" s="94"/>
      <c r="E15552" s="94"/>
      <c r="G15552" s="94"/>
      <c r="I15552" s="94"/>
      <c r="K15552" s="94"/>
      <c r="M15552" s="94"/>
    </row>
    <row r="15553" s="93" customFormat="1" spans="3:13">
      <c r="C15553" s="94"/>
      <c r="E15553" s="94"/>
      <c r="G15553" s="94"/>
      <c r="I15553" s="94"/>
      <c r="K15553" s="94"/>
      <c r="M15553" s="94"/>
    </row>
    <row r="15554" s="93" customFormat="1" spans="3:13">
      <c r="C15554" s="94"/>
      <c r="E15554" s="94"/>
      <c r="G15554" s="94"/>
      <c r="I15554" s="94"/>
      <c r="K15554" s="94"/>
      <c r="M15554" s="94"/>
    </row>
    <row r="15555" s="93" customFormat="1" spans="3:13">
      <c r="C15555" s="94"/>
      <c r="E15555" s="94"/>
      <c r="G15555" s="94"/>
      <c r="I15555" s="94"/>
      <c r="K15555" s="94"/>
      <c r="M15555" s="94"/>
    </row>
    <row r="15556" s="93" customFormat="1" spans="3:13">
      <c r="C15556" s="94"/>
      <c r="E15556" s="94"/>
      <c r="G15556" s="94"/>
      <c r="I15556" s="94"/>
      <c r="K15556" s="94"/>
      <c r="M15556" s="94"/>
    </row>
    <row r="15557" s="93" customFormat="1" spans="3:13">
      <c r="C15557" s="94"/>
      <c r="E15557" s="94"/>
      <c r="G15557" s="94"/>
      <c r="I15557" s="94"/>
      <c r="K15557" s="94"/>
      <c r="M15557" s="94"/>
    </row>
    <row r="15558" s="93" customFormat="1" spans="3:13">
      <c r="C15558" s="94"/>
      <c r="E15558" s="94"/>
      <c r="G15558" s="94"/>
      <c r="I15558" s="94"/>
      <c r="K15558" s="94"/>
      <c r="M15558" s="94"/>
    </row>
    <row r="15559" s="93" customFormat="1" spans="3:13">
      <c r="C15559" s="94"/>
      <c r="E15559" s="94"/>
      <c r="G15559" s="94"/>
      <c r="I15559" s="94"/>
      <c r="K15559" s="94"/>
      <c r="M15559" s="94"/>
    </row>
    <row r="15560" s="93" customFormat="1" spans="3:13">
      <c r="C15560" s="94"/>
      <c r="E15560" s="94"/>
      <c r="G15560" s="94"/>
      <c r="I15560" s="94"/>
      <c r="K15560" s="94"/>
      <c r="M15560" s="94"/>
    </row>
    <row r="15561" s="93" customFormat="1" spans="3:13">
      <c r="C15561" s="94"/>
      <c r="E15561" s="94"/>
      <c r="G15561" s="94"/>
      <c r="I15561" s="94"/>
      <c r="K15561" s="94"/>
      <c r="M15561" s="94"/>
    </row>
    <row r="15562" s="93" customFormat="1" spans="3:13">
      <c r="C15562" s="94"/>
      <c r="E15562" s="94"/>
      <c r="G15562" s="94"/>
      <c r="I15562" s="94"/>
      <c r="K15562" s="94"/>
      <c r="M15562" s="94"/>
    </row>
    <row r="15563" s="93" customFormat="1" spans="3:13">
      <c r="C15563" s="94"/>
      <c r="E15563" s="94"/>
      <c r="G15563" s="94"/>
      <c r="I15563" s="94"/>
      <c r="K15563" s="94"/>
      <c r="M15563" s="94"/>
    </row>
    <row r="15564" s="93" customFormat="1" spans="3:13">
      <c r="C15564" s="94"/>
      <c r="E15564" s="94"/>
      <c r="G15564" s="94"/>
      <c r="I15564" s="94"/>
      <c r="K15564" s="94"/>
      <c r="M15564" s="94"/>
    </row>
    <row r="15565" s="93" customFormat="1" spans="3:13">
      <c r="C15565" s="94"/>
      <c r="E15565" s="94"/>
      <c r="G15565" s="94"/>
      <c r="I15565" s="94"/>
      <c r="K15565" s="94"/>
      <c r="M15565" s="94"/>
    </row>
    <row r="15566" s="93" customFormat="1" spans="3:13">
      <c r="C15566" s="94"/>
      <c r="E15566" s="94"/>
      <c r="G15566" s="94"/>
      <c r="I15566" s="94"/>
      <c r="K15566" s="94"/>
      <c r="M15566" s="94"/>
    </row>
    <row r="15567" s="93" customFormat="1" spans="3:13">
      <c r="C15567" s="94"/>
      <c r="E15567" s="94"/>
      <c r="G15567" s="94"/>
      <c r="I15567" s="94"/>
      <c r="K15567" s="94"/>
      <c r="M15567" s="94"/>
    </row>
    <row r="15568" s="93" customFormat="1" spans="3:13">
      <c r="C15568" s="94"/>
      <c r="E15568" s="94"/>
      <c r="G15568" s="94"/>
      <c r="I15568" s="94"/>
      <c r="K15568" s="94"/>
      <c r="M15568" s="94"/>
    </row>
    <row r="15569" s="93" customFormat="1" spans="3:13">
      <c r="C15569" s="94"/>
      <c r="E15569" s="94"/>
      <c r="G15569" s="94"/>
      <c r="I15569" s="94"/>
      <c r="K15569" s="94"/>
      <c r="M15569" s="94"/>
    </row>
    <row r="15570" s="93" customFormat="1" spans="3:13">
      <c r="C15570" s="94"/>
      <c r="E15570" s="94"/>
      <c r="G15570" s="94"/>
      <c r="I15570" s="94"/>
      <c r="K15570" s="94"/>
      <c r="M15570" s="94"/>
    </row>
    <row r="15571" s="93" customFormat="1" spans="3:13">
      <c r="C15571" s="94"/>
      <c r="E15571" s="94"/>
      <c r="G15571" s="94"/>
      <c r="I15571" s="94"/>
      <c r="K15571" s="94"/>
      <c r="M15571" s="94"/>
    </row>
    <row r="15572" s="93" customFormat="1" spans="3:13">
      <c r="C15572" s="94"/>
      <c r="E15572" s="94"/>
      <c r="G15572" s="94"/>
      <c r="I15572" s="94"/>
      <c r="K15572" s="94"/>
      <c r="M15572" s="94"/>
    </row>
    <row r="15573" s="93" customFormat="1" spans="3:13">
      <c r="C15573" s="94"/>
      <c r="E15573" s="94"/>
      <c r="G15573" s="94"/>
      <c r="I15573" s="94"/>
      <c r="K15573" s="94"/>
      <c r="M15573" s="94"/>
    </row>
    <row r="15574" s="93" customFormat="1" spans="3:13">
      <c r="C15574" s="94"/>
      <c r="E15574" s="94"/>
      <c r="G15574" s="94"/>
      <c r="I15574" s="94"/>
      <c r="K15574" s="94"/>
      <c r="M15574" s="94"/>
    </row>
    <row r="15575" s="93" customFormat="1" spans="3:13">
      <c r="C15575" s="94"/>
      <c r="E15575" s="94"/>
      <c r="G15575" s="94"/>
      <c r="I15575" s="94"/>
      <c r="K15575" s="94"/>
      <c r="M15575" s="94"/>
    </row>
    <row r="15576" s="93" customFormat="1" spans="3:13">
      <c r="C15576" s="94"/>
      <c r="E15576" s="94"/>
      <c r="G15576" s="94"/>
      <c r="I15576" s="94"/>
      <c r="K15576" s="94"/>
      <c r="M15576" s="94"/>
    </row>
    <row r="15577" s="93" customFormat="1" spans="3:13">
      <c r="C15577" s="94"/>
      <c r="E15577" s="94"/>
      <c r="G15577" s="94"/>
      <c r="I15577" s="94"/>
      <c r="K15577" s="94"/>
      <c r="M15577" s="94"/>
    </row>
    <row r="15578" s="93" customFormat="1" spans="3:13">
      <c r="C15578" s="94"/>
      <c r="E15578" s="94"/>
      <c r="G15578" s="94"/>
      <c r="I15578" s="94"/>
      <c r="K15578" s="94"/>
      <c r="M15578" s="94"/>
    </row>
    <row r="15579" s="93" customFormat="1" spans="3:13">
      <c r="C15579" s="94"/>
      <c r="E15579" s="94"/>
      <c r="G15579" s="94"/>
      <c r="I15579" s="94"/>
      <c r="K15579" s="94"/>
      <c r="M15579" s="94"/>
    </row>
    <row r="15580" s="93" customFormat="1" spans="3:13">
      <c r="C15580" s="94"/>
      <c r="E15580" s="94"/>
      <c r="G15580" s="94"/>
      <c r="I15580" s="94"/>
      <c r="K15580" s="94"/>
      <c r="M15580" s="94"/>
    </row>
    <row r="15581" s="93" customFormat="1" spans="3:13">
      <c r="C15581" s="94"/>
      <c r="E15581" s="94"/>
      <c r="G15581" s="94"/>
      <c r="I15581" s="94"/>
      <c r="K15581" s="94"/>
      <c r="M15581" s="94"/>
    </row>
    <row r="15582" s="93" customFormat="1" spans="3:13">
      <c r="C15582" s="94"/>
      <c r="E15582" s="94"/>
      <c r="G15582" s="94"/>
      <c r="I15582" s="94"/>
      <c r="K15582" s="94"/>
      <c r="M15582" s="94"/>
    </row>
    <row r="15583" s="93" customFormat="1" spans="3:13">
      <c r="C15583" s="94"/>
      <c r="E15583" s="94"/>
      <c r="G15583" s="94"/>
      <c r="I15583" s="94"/>
      <c r="K15583" s="94"/>
      <c r="M15583" s="94"/>
    </row>
    <row r="15584" s="93" customFormat="1" spans="3:13">
      <c r="C15584" s="94"/>
      <c r="E15584" s="94"/>
      <c r="G15584" s="94"/>
      <c r="I15584" s="94"/>
      <c r="K15584" s="94"/>
      <c r="M15584" s="94"/>
    </row>
    <row r="15585" s="93" customFormat="1" spans="3:13">
      <c r="C15585" s="94"/>
      <c r="E15585" s="94"/>
      <c r="G15585" s="94"/>
      <c r="I15585" s="94"/>
      <c r="K15585" s="94"/>
      <c r="M15585" s="94"/>
    </row>
    <row r="15586" s="93" customFormat="1" spans="3:13">
      <c r="C15586" s="94"/>
      <c r="E15586" s="94"/>
      <c r="G15586" s="94"/>
      <c r="I15586" s="94"/>
      <c r="K15586" s="94"/>
      <c r="M15586" s="94"/>
    </row>
    <row r="15587" s="93" customFormat="1" spans="3:13">
      <c r="C15587" s="94"/>
      <c r="E15587" s="94"/>
      <c r="G15587" s="94"/>
      <c r="I15587" s="94"/>
      <c r="K15587" s="94"/>
      <c r="M15587" s="94"/>
    </row>
    <row r="15588" s="93" customFormat="1" spans="3:13">
      <c r="C15588" s="94"/>
      <c r="E15588" s="94"/>
      <c r="G15588" s="94"/>
      <c r="I15588" s="94"/>
      <c r="K15588" s="94"/>
      <c r="M15588" s="94"/>
    </row>
    <row r="15589" s="93" customFormat="1" spans="3:13">
      <c r="C15589" s="94"/>
      <c r="E15589" s="94"/>
      <c r="G15589" s="94"/>
      <c r="I15589" s="94"/>
      <c r="K15589" s="94"/>
      <c r="M15589" s="94"/>
    </row>
    <row r="15590" s="93" customFormat="1" spans="3:13">
      <c r="C15590" s="94"/>
      <c r="E15590" s="94"/>
      <c r="G15590" s="94"/>
      <c r="I15590" s="94"/>
      <c r="K15590" s="94"/>
      <c r="M15590" s="94"/>
    </row>
    <row r="15591" s="93" customFormat="1" spans="3:13">
      <c r="C15591" s="94"/>
      <c r="E15591" s="94"/>
      <c r="G15591" s="94"/>
      <c r="I15591" s="94"/>
      <c r="K15591" s="94"/>
      <c r="M15591" s="94"/>
    </row>
    <row r="15592" s="93" customFormat="1" spans="3:13">
      <c r="C15592" s="94"/>
      <c r="E15592" s="94"/>
      <c r="G15592" s="94"/>
      <c r="I15592" s="94"/>
      <c r="K15592" s="94"/>
      <c r="M15592" s="94"/>
    </row>
    <row r="15593" s="93" customFormat="1" spans="3:13">
      <c r="C15593" s="94"/>
      <c r="E15593" s="94"/>
      <c r="G15593" s="94"/>
      <c r="I15593" s="94"/>
      <c r="K15593" s="94"/>
      <c r="M15593" s="94"/>
    </row>
    <row r="15594" s="93" customFormat="1" spans="3:13">
      <c r="C15594" s="94"/>
      <c r="E15594" s="94"/>
      <c r="G15594" s="94"/>
      <c r="I15594" s="94"/>
      <c r="K15594" s="94"/>
      <c r="M15594" s="94"/>
    </row>
    <row r="15595" s="93" customFormat="1" spans="3:13">
      <c r="C15595" s="94"/>
      <c r="E15595" s="94"/>
      <c r="G15595" s="94"/>
      <c r="I15595" s="94"/>
      <c r="K15595" s="94"/>
      <c r="M15595" s="94"/>
    </row>
    <row r="15596" s="93" customFormat="1" spans="3:13">
      <c r="C15596" s="94"/>
      <c r="E15596" s="94"/>
      <c r="G15596" s="94"/>
      <c r="I15596" s="94"/>
      <c r="K15596" s="94"/>
      <c r="M15596" s="94"/>
    </row>
    <row r="15597" s="93" customFormat="1" spans="3:13">
      <c r="C15597" s="94"/>
      <c r="E15597" s="94"/>
      <c r="G15597" s="94"/>
      <c r="I15597" s="94"/>
      <c r="K15597" s="94"/>
      <c r="M15597" s="94"/>
    </row>
    <row r="15598" s="93" customFormat="1" spans="3:13">
      <c r="C15598" s="94"/>
      <c r="E15598" s="94"/>
      <c r="G15598" s="94"/>
      <c r="I15598" s="94"/>
      <c r="K15598" s="94"/>
      <c r="M15598" s="94"/>
    </row>
    <row r="15599" s="93" customFormat="1" spans="3:13">
      <c r="C15599" s="94"/>
      <c r="E15599" s="94"/>
      <c r="G15599" s="94"/>
      <c r="I15599" s="94"/>
      <c r="K15599" s="94"/>
      <c r="M15599" s="94"/>
    </row>
    <row r="15600" s="93" customFormat="1" spans="3:13">
      <c r="C15600" s="94"/>
      <c r="E15600" s="94"/>
      <c r="G15600" s="94"/>
      <c r="I15600" s="94"/>
      <c r="K15600" s="94"/>
      <c r="M15600" s="94"/>
    </row>
    <row r="15601" s="93" customFormat="1" spans="3:13">
      <c r="C15601" s="94"/>
      <c r="E15601" s="94"/>
      <c r="G15601" s="94"/>
      <c r="I15601" s="94"/>
      <c r="K15601" s="94"/>
      <c r="M15601" s="94"/>
    </row>
    <row r="15602" s="93" customFormat="1" spans="3:13">
      <c r="C15602" s="94"/>
      <c r="E15602" s="94"/>
      <c r="G15602" s="94"/>
      <c r="I15602" s="94"/>
      <c r="K15602" s="94"/>
      <c r="M15602" s="94"/>
    </row>
    <row r="15603" s="93" customFormat="1" spans="3:13">
      <c r="C15603" s="94"/>
      <c r="E15603" s="94"/>
      <c r="G15603" s="94"/>
      <c r="I15603" s="94"/>
      <c r="K15603" s="94"/>
      <c r="M15603" s="94"/>
    </row>
    <row r="15604" s="93" customFormat="1" spans="3:13">
      <c r="C15604" s="94"/>
      <c r="E15604" s="94"/>
      <c r="G15604" s="94"/>
      <c r="I15604" s="94"/>
      <c r="K15604" s="94"/>
      <c r="M15604" s="94"/>
    </row>
    <row r="15605" s="93" customFormat="1" spans="3:13">
      <c r="C15605" s="94"/>
      <c r="E15605" s="94"/>
      <c r="G15605" s="94"/>
      <c r="I15605" s="94"/>
      <c r="K15605" s="94"/>
      <c r="M15605" s="94"/>
    </row>
    <row r="15606" s="93" customFormat="1" spans="3:13">
      <c r="C15606" s="94"/>
      <c r="E15606" s="94"/>
      <c r="G15606" s="94"/>
      <c r="I15606" s="94"/>
      <c r="K15606" s="94"/>
      <c r="M15606" s="94"/>
    </row>
    <row r="15607" s="93" customFormat="1" spans="3:13">
      <c r="C15607" s="94"/>
      <c r="E15607" s="94"/>
      <c r="G15607" s="94"/>
      <c r="I15607" s="94"/>
      <c r="K15607" s="94"/>
      <c r="M15607" s="94"/>
    </row>
    <row r="15608" s="93" customFormat="1" spans="3:13">
      <c r="C15608" s="94"/>
      <c r="E15608" s="94"/>
      <c r="G15608" s="94"/>
      <c r="I15608" s="94"/>
      <c r="K15608" s="94"/>
      <c r="M15608" s="94"/>
    </row>
    <row r="15609" s="93" customFormat="1" spans="3:13">
      <c r="C15609" s="94"/>
      <c r="E15609" s="94"/>
      <c r="G15609" s="94"/>
      <c r="I15609" s="94"/>
      <c r="K15609" s="94"/>
      <c r="M15609" s="94"/>
    </row>
    <row r="15610" s="93" customFormat="1" spans="3:13">
      <c r="C15610" s="94"/>
      <c r="E15610" s="94"/>
      <c r="G15610" s="94"/>
      <c r="I15610" s="94"/>
      <c r="K15610" s="94"/>
      <c r="M15610" s="94"/>
    </row>
    <row r="15611" s="93" customFormat="1" spans="3:13">
      <c r="C15611" s="94"/>
      <c r="E15611" s="94"/>
      <c r="G15611" s="94"/>
      <c r="I15611" s="94"/>
      <c r="K15611" s="94"/>
      <c r="M15611" s="94"/>
    </row>
    <row r="15612" s="93" customFormat="1" spans="3:13">
      <c r="C15612" s="94"/>
      <c r="E15612" s="94"/>
      <c r="G15612" s="94"/>
      <c r="I15612" s="94"/>
      <c r="K15612" s="94"/>
      <c r="M15612" s="94"/>
    </row>
    <row r="15613" s="93" customFormat="1" spans="3:13">
      <c r="C15613" s="94"/>
      <c r="E15613" s="94"/>
      <c r="G15613" s="94"/>
      <c r="I15613" s="94"/>
      <c r="K15613" s="94"/>
      <c r="M15613" s="94"/>
    </row>
    <row r="15614" s="93" customFormat="1" spans="3:13">
      <c r="C15614" s="94"/>
      <c r="E15614" s="94"/>
      <c r="G15614" s="94"/>
      <c r="I15614" s="94"/>
      <c r="K15614" s="94"/>
      <c r="M15614" s="94"/>
    </row>
    <row r="15615" s="93" customFormat="1" spans="3:13">
      <c r="C15615" s="94"/>
      <c r="E15615" s="94"/>
      <c r="G15615" s="94"/>
      <c r="I15615" s="94"/>
      <c r="K15615" s="94"/>
      <c r="M15615" s="94"/>
    </row>
    <row r="15616" s="93" customFormat="1" spans="3:13">
      <c r="C15616" s="94"/>
      <c r="E15616" s="94"/>
      <c r="G15616" s="94"/>
      <c r="I15616" s="94"/>
      <c r="K15616" s="94"/>
      <c r="M15616" s="94"/>
    </row>
    <row r="15617" s="93" customFormat="1" spans="3:13">
      <c r="C15617" s="94"/>
      <c r="E15617" s="94"/>
      <c r="G15617" s="94"/>
      <c r="I15617" s="94"/>
      <c r="K15617" s="94"/>
      <c r="M15617" s="94"/>
    </row>
    <row r="15618" s="93" customFormat="1" spans="3:13">
      <c r="C15618" s="94"/>
      <c r="E15618" s="94"/>
      <c r="G15618" s="94"/>
      <c r="I15618" s="94"/>
      <c r="K15618" s="94"/>
      <c r="M15618" s="94"/>
    </row>
    <row r="15619" s="93" customFormat="1" spans="3:13">
      <c r="C15619" s="94"/>
      <c r="E15619" s="94"/>
      <c r="G15619" s="94"/>
      <c r="I15619" s="94"/>
      <c r="K15619" s="94"/>
      <c r="M15619" s="94"/>
    </row>
    <row r="15620" s="93" customFormat="1" spans="3:13">
      <c r="C15620" s="94"/>
      <c r="E15620" s="94"/>
      <c r="G15620" s="94"/>
      <c r="I15620" s="94"/>
      <c r="K15620" s="94"/>
      <c r="M15620" s="94"/>
    </row>
    <row r="15621" s="93" customFormat="1" spans="3:13">
      <c r="C15621" s="94"/>
      <c r="E15621" s="94"/>
      <c r="G15621" s="94"/>
      <c r="I15621" s="94"/>
      <c r="K15621" s="94"/>
      <c r="M15621" s="94"/>
    </row>
    <row r="15622" s="93" customFormat="1" spans="3:13">
      <c r="C15622" s="94"/>
      <c r="E15622" s="94"/>
      <c r="G15622" s="94"/>
      <c r="I15622" s="94"/>
      <c r="K15622" s="94"/>
      <c r="M15622" s="94"/>
    </row>
    <row r="15623" s="93" customFormat="1" spans="3:13">
      <c r="C15623" s="94"/>
      <c r="E15623" s="94"/>
      <c r="G15623" s="94"/>
      <c r="I15623" s="94"/>
      <c r="K15623" s="94"/>
      <c r="M15623" s="94"/>
    </row>
    <row r="15624" s="93" customFormat="1" spans="3:13">
      <c r="C15624" s="94"/>
      <c r="E15624" s="94"/>
      <c r="G15624" s="94"/>
      <c r="I15624" s="94"/>
      <c r="K15624" s="94"/>
      <c r="M15624" s="94"/>
    </row>
    <row r="15625" s="93" customFormat="1" spans="3:13">
      <c r="C15625" s="94"/>
      <c r="E15625" s="94"/>
      <c r="G15625" s="94"/>
      <c r="I15625" s="94"/>
      <c r="K15625" s="94"/>
      <c r="M15625" s="94"/>
    </row>
    <row r="15626" s="93" customFormat="1" spans="3:13">
      <c r="C15626" s="94"/>
      <c r="E15626" s="94"/>
      <c r="G15626" s="94"/>
      <c r="I15626" s="94"/>
      <c r="K15626" s="94"/>
      <c r="M15626" s="94"/>
    </row>
    <row r="15627" s="93" customFormat="1" spans="3:13">
      <c r="C15627" s="94"/>
      <c r="E15627" s="94"/>
      <c r="G15627" s="94"/>
      <c r="I15627" s="94"/>
      <c r="K15627" s="94"/>
      <c r="M15627" s="94"/>
    </row>
    <row r="15628" s="93" customFormat="1" spans="3:13">
      <c r="C15628" s="94"/>
      <c r="E15628" s="94"/>
      <c r="G15628" s="94"/>
      <c r="I15628" s="94"/>
      <c r="K15628" s="94"/>
      <c r="M15628" s="94"/>
    </row>
    <row r="15629" s="93" customFormat="1" spans="3:13">
      <c r="C15629" s="94"/>
      <c r="E15629" s="94"/>
      <c r="G15629" s="94"/>
      <c r="I15629" s="94"/>
      <c r="K15629" s="94"/>
      <c r="M15629" s="94"/>
    </row>
    <row r="15630" s="93" customFormat="1" spans="3:13">
      <c r="C15630" s="94"/>
      <c r="E15630" s="94"/>
      <c r="G15630" s="94"/>
      <c r="I15630" s="94"/>
      <c r="K15630" s="94"/>
      <c r="M15630" s="94"/>
    </row>
    <row r="15631" s="93" customFormat="1" spans="3:13">
      <c r="C15631" s="94"/>
      <c r="E15631" s="94"/>
      <c r="G15631" s="94"/>
      <c r="I15631" s="94"/>
      <c r="K15631" s="94"/>
      <c r="M15631" s="94"/>
    </row>
    <row r="15632" s="93" customFormat="1" spans="3:13">
      <c r="C15632" s="94"/>
      <c r="E15632" s="94"/>
      <c r="G15632" s="94"/>
      <c r="I15632" s="94"/>
      <c r="K15632" s="94"/>
      <c r="M15632" s="94"/>
    </row>
    <row r="15633" s="93" customFormat="1" spans="3:13">
      <c r="C15633" s="94"/>
      <c r="E15633" s="94"/>
      <c r="G15633" s="94"/>
      <c r="I15633" s="94"/>
      <c r="K15633" s="94"/>
      <c r="M15633" s="94"/>
    </row>
    <row r="15634" s="93" customFormat="1" spans="3:13">
      <c r="C15634" s="94"/>
      <c r="E15634" s="94"/>
      <c r="G15634" s="94"/>
      <c r="I15634" s="94"/>
      <c r="K15634" s="94"/>
      <c r="M15634" s="94"/>
    </row>
    <row r="15635" s="93" customFormat="1" spans="3:13">
      <c r="C15635" s="94"/>
      <c r="E15635" s="94"/>
      <c r="G15635" s="94"/>
      <c r="I15635" s="94"/>
      <c r="K15635" s="94"/>
      <c r="M15635" s="94"/>
    </row>
    <row r="15636" s="93" customFormat="1" spans="3:13">
      <c r="C15636" s="94"/>
      <c r="E15636" s="94"/>
      <c r="G15636" s="94"/>
      <c r="I15636" s="94"/>
      <c r="K15636" s="94"/>
      <c r="M15636" s="94"/>
    </row>
    <row r="15637" s="93" customFormat="1" spans="3:13">
      <c r="C15637" s="94"/>
      <c r="E15637" s="94"/>
      <c r="G15637" s="94"/>
      <c r="I15637" s="94"/>
      <c r="K15637" s="94"/>
      <c r="M15637" s="94"/>
    </row>
    <row r="15638" s="93" customFormat="1" spans="3:13">
      <c r="C15638" s="94"/>
      <c r="E15638" s="94"/>
      <c r="G15638" s="94"/>
      <c r="I15638" s="94"/>
      <c r="K15638" s="94"/>
      <c r="M15638" s="94"/>
    </row>
    <row r="15639" s="93" customFormat="1" spans="3:13">
      <c r="C15639" s="94"/>
      <c r="E15639" s="94"/>
      <c r="G15639" s="94"/>
      <c r="I15639" s="94"/>
      <c r="K15639" s="94"/>
      <c r="M15639" s="94"/>
    </row>
    <row r="15640" s="93" customFormat="1" spans="3:13">
      <c r="C15640" s="94"/>
      <c r="E15640" s="94"/>
      <c r="G15640" s="94"/>
      <c r="I15640" s="94"/>
      <c r="K15640" s="94"/>
      <c r="M15640" s="94"/>
    </row>
    <row r="15641" s="93" customFormat="1" spans="3:13">
      <c r="C15641" s="94"/>
      <c r="E15641" s="94"/>
      <c r="G15641" s="94"/>
      <c r="I15641" s="94"/>
      <c r="K15641" s="94"/>
      <c r="M15641" s="94"/>
    </row>
    <row r="15642" s="93" customFormat="1" spans="3:13">
      <c r="C15642" s="94"/>
      <c r="E15642" s="94"/>
      <c r="G15642" s="94"/>
      <c r="I15642" s="94"/>
      <c r="K15642" s="94"/>
      <c r="M15642" s="94"/>
    </row>
    <row r="15643" s="93" customFormat="1" spans="3:13">
      <c r="C15643" s="94"/>
      <c r="E15643" s="94"/>
      <c r="G15643" s="94"/>
      <c r="I15643" s="94"/>
      <c r="K15643" s="94"/>
      <c r="M15643" s="94"/>
    </row>
    <row r="15644" s="93" customFormat="1" spans="3:13">
      <c r="C15644" s="94"/>
      <c r="E15644" s="94"/>
      <c r="G15644" s="94"/>
      <c r="I15644" s="94"/>
      <c r="K15644" s="94"/>
      <c r="M15644" s="94"/>
    </row>
    <row r="15645" s="93" customFormat="1" spans="3:13">
      <c r="C15645" s="94"/>
      <c r="E15645" s="94"/>
      <c r="G15645" s="94"/>
      <c r="I15645" s="94"/>
      <c r="K15645" s="94"/>
      <c r="M15645" s="94"/>
    </row>
    <row r="15646" s="93" customFormat="1" spans="3:13">
      <c r="C15646" s="94"/>
      <c r="E15646" s="94"/>
      <c r="G15646" s="94"/>
      <c r="I15646" s="94"/>
      <c r="K15646" s="94"/>
      <c r="M15646" s="94"/>
    </row>
    <row r="15647" s="93" customFormat="1" spans="3:13">
      <c r="C15647" s="94"/>
      <c r="E15647" s="94"/>
      <c r="G15647" s="94"/>
      <c r="I15647" s="94"/>
      <c r="K15647" s="94"/>
      <c r="M15647" s="94"/>
    </row>
    <row r="15648" s="93" customFormat="1" spans="3:13">
      <c r="C15648" s="94"/>
      <c r="E15648" s="94"/>
      <c r="G15648" s="94"/>
      <c r="I15648" s="94"/>
      <c r="K15648" s="94"/>
      <c r="M15648" s="94"/>
    </row>
    <row r="15649" s="93" customFormat="1" spans="3:13">
      <c r="C15649" s="94"/>
      <c r="E15649" s="94"/>
      <c r="G15649" s="94"/>
      <c r="I15649" s="94"/>
      <c r="K15649" s="94"/>
      <c r="M15649" s="94"/>
    </row>
    <row r="15650" s="93" customFormat="1" spans="3:13">
      <c r="C15650" s="94"/>
      <c r="E15650" s="94"/>
      <c r="G15650" s="94"/>
      <c r="I15650" s="94"/>
      <c r="K15650" s="94"/>
      <c r="M15650" s="94"/>
    </row>
    <row r="15651" s="93" customFormat="1" spans="3:13">
      <c r="C15651" s="94"/>
      <c r="E15651" s="94"/>
      <c r="G15651" s="94"/>
      <c r="I15651" s="94"/>
      <c r="K15651" s="94"/>
      <c r="M15651" s="94"/>
    </row>
    <row r="15652" s="93" customFormat="1" spans="3:13">
      <c r="C15652" s="94"/>
      <c r="E15652" s="94"/>
      <c r="G15652" s="94"/>
      <c r="I15652" s="94"/>
      <c r="K15652" s="94"/>
      <c r="M15652" s="94"/>
    </row>
    <row r="15653" s="93" customFormat="1" spans="3:13">
      <c r="C15653" s="94"/>
      <c r="E15653" s="94"/>
      <c r="G15653" s="94"/>
      <c r="I15653" s="94"/>
      <c r="K15653" s="94"/>
      <c r="M15653" s="94"/>
    </row>
    <row r="15654" s="93" customFormat="1" spans="3:13">
      <c r="C15654" s="94"/>
      <c r="E15654" s="94"/>
      <c r="G15654" s="94"/>
      <c r="I15654" s="94"/>
      <c r="K15654" s="94"/>
      <c r="M15654" s="94"/>
    </row>
    <row r="15655" s="93" customFormat="1" spans="3:13">
      <c r="C15655" s="94"/>
      <c r="E15655" s="94"/>
      <c r="G15655" s="94"/>
      <c r="I15655" s="94"/>
      <c r="K15655" s="94"/>
      <c r="M15655" s="94"/>
    </row>
    <row r="15656" s="93" customFormat="1" spans="3:13">
      <c r="C15656" s="94"/>
      <c r="E15656" s="94"/>
      <c r="G15656" s="94"/>
      <c r="I15656" s="94"/>
      <c r="K15656" s="94"/>
      <c r="M15656" s="94"/>
    </row>
    <row r="15657" s="93" customFormat="1" spans="3:13">
      <c r="C15657" s="94"/>
      <c r="E15657" s="94"/>
      <c r="G15657" s="94"/>
      <c r="I15657" s="94"/>
      <c r="K15657" s="94"/>
      <c r="M15657" s="94"/>
    </row>
    <row r="15658" s="93" customFormat="1" spans="3:13">
      <c r="C15658" s="94"/>
      <c r="E15658" s="94"/>
      <c r="G15658" s="94"/>
      <c r="I15658" s="94"/>
      <c r="K15658" s="94"/>
      <c r="M15658" s="94"/>
    </row>
    <row r="15659" s="93" customFormat="1" spans="3:13">
      <c r="C15659" s="94"/>
      <c r="E15659" s="94"/>
      <c r="G15659" s="94"/>
      <c r="I15659" s="94"/>
      <c r="K15659" s="94"/>
      <c r="M15659" s="94"/>
    </row>
    <row r="15660" s="93" customFormat="1" spans="3:13">
      <c r="C15660" s="94"/>
      <c r="E15660" s="94"/>
      <c r="G15660" s="94"/>
      <c r="I15660" s="94"/>
      <c r="K15660" s="94"/>
      <c r="M15660" s="94"/>
    </row>
    <row r="15661" s="93" customFormat="1" spans="3:13">
      <c r="C15661" s="94"/>
      <c r="E15661" s="94"/>
      <c r="G15661" s="94"/>
      <c r="I15661" s="94"/>
      <c r="K15661" s="94"/>
      <c r="M15661" s="94"/>
    </row>
    <row r="15662" s="93" customFormat="1" spans="3:13">
      <c r="C15662" s="94"/>
      <c r="E15662" s="94"/>
      <c r="G15662" s="94"/>
      <c r="I15662" s="94"/>
      <c r="K15662" s="94"/>
      <c r="M15662" s="94"/>
    </row>
    <row r="15663" s="93" customFormat="1" spans="3:13">
      <c r="C15663" s="94"/>
      <c r="E15663" s="94"/>
      <c r="G15663" s="94"/>
      <c r="I15663" s="94"/>
      <c r="K15663" s="94"/>
      <c r="M15663" s="94"/>
    </row>
    <row r="15664" s="93" customFormat="1" spans="3:13">
      <c r="C15664" s="94"/>
      <c r="E15664" s="94"/>
      <c r="G15664" s="94"/>
      <c r="I15664" s="94"/>
      <c r="K15664" s="94"/>
      <c r="M15664" s="94"/>
    </row>
    <row r="15665" s="93" customFormat="1" spans="3:13">
      <c r="C15665" s="94"/>
      <c r="E15665" s="94"/>
      <c r="G15665" s="94"/>
      <c r="I15665" s="94"/>
      <c r="K15665" s="94"/>
      <c r="M15665" s="94"/>
    </row>
    <row r="15666" s="93" customFormat="1" spans="3:13">
      <c r="C15666" s="94"/>
      <c r="E15666" s="94"/>
      <c r="G15666" s="94"/>
      <c r="I15666" s="94"/>
      <c r="K15666" s="94"/>
      <c r="M15666" s="94"/>
    </row>
    <row r="15667" s="93" customFormat="1" spans="3:13">
      <c r="C15667" s="94"/>
      <c r="E15667" s="94"/>
      <c r="G15667" s="94"/>
      <c r="I15667" s="94"/>
      <c r="K15667" s="94"/>
      <c r="M15667" s="94"/>
    </row>
    <row r="15668" s="93" customFormat="1" spans="3:13">
      <c r="C15668" s="94"/>
      <c r="E15668" s="94"/>
      <c r="G15668" s="94"/>
      <c r="I15668" s="94"/>
      <c r="K15668" s="94"/>
      <c r="M15668" s="94"/>
    </row>
    <row r="15669" s="93" customFormat="1" spans="3:13">
      <c r="C15669" s="94"/>
      <c r="E15669" s="94"/>
      <c r="G15669" s="94"/>
      <c r="I15669" s="94"/>
      <c r="K15669" s="94"/>
      <c r="M15669" s="94"/>
    </row>
    <row r="15670" s="93" customFormat="1" spans="3:13">
      <c r="C15670" s="94"/>
      <c r="E15670" s="94"/>
      <c r="G15670" s="94"/>
      <c r="I15670" s="94"/>
      <c r="K15670" s="94"/>
      <c r="M15670" s="94"/>
    </row>
    <row r="15671" s="93" customFormat="1" spans="3:13">
      <c r="C15671" s="94"/>
      <c r="E15671" s="94"/>
      <c r="G15671" s="94"/>
      <c r="I15671" s="94"/>
      <c r="K15671" s="94"/>
      <c r="M15671" s="94"/>
    </row>
    <row r="15672" s="93" customFormat="1" spans="3:13">
      <c r="C15672" s="94"/>
      <c r="E15672" s="94"/>
      <c r="G15672" s="94"/>
      <c r="I15672" s="94"/>
      <c r="K15672" s="94"/>
      <c r="M15672" s="94"/>
    </row>
    <row r="15673" s="93" customFormat="1" spans="3:13">
      <c r="C15673" s="94"/>
      <c r="E15673" s="94"/>
      <c r="G15673" s="94"/>
      <c r="I15673" s="94"/>
      <c r="K15673" s="94"/>
      <c r="M15673" s="94"/>
    </row>
    <row r="15674" s="93" customFormat="1" spans="3:13">
      <c r="C15674" s="94"/>
      <c r="E15674" s="94"/>
      <c r="G15674" s="94"/>
      <c r="I15674" s="94"/>
      <c r="K15674" s="94"/>
      <c r="M15674" s="94"/>
    </row>
    <row r="15675" s="93" customFormat="1" spans="3:13">
      <c r="C15675" s="94"/>
      <c r="E15675" s="94"/>
      <c r="G15675" s="94"/>
      <c r="I15675" s="94"/>
      <c r="K15675" s="94"/>
      <c r="M15675" s="94"/>
    </row>
    <row r="15676" s="93" customFormat="1" spans="3:13">
      <c r="C15676" s="94"/>
      <c r="E15676" s="94"/>
      <c r="G15676" s="94"/>
      <c r="I15676" s="94"/>
      <c r="K15676" s="94"/>
      <c r="M15676" s="94"/>
    </row>
    <row r="15677" s="93" customFormat="1" spans="3:13">
      <c r="C15677" s="94"/>
      <c r="E15677" s="94"/>
      <c r="G15677" s="94"/>
      <c r="I15677" s="94"/>
      <c r="K15677" s="94"/>
      <c r="M15677" s="94"/>
    </row>
    <row r="15678" s="93" customFormat="1" spans="3:13">
      <c r="C15678" s="94"/>
      <c r="E15678" s="94"/>
      <c r="G15678" s="94"/>
      <c r="I15678" s="94"/>
      <c r="K15678" s="94"/>
      <c r="M15678" s="94"/>
    </row>
    <row r="15679" s="93" customFormat="1" spans="3:13">
      <c r="C15679" s="94"/>
      <c r="E15679" s="94"/>
      <c r="G15679" s="94"/>
      <c r="I15679" s="94"/>
      <c r="K15679" s="94"/>
      <c r="M15679" s="94"/>
    </row>
    <row r="15680" s="93" customFormat="1" spans="3:13">
      <c r="C15680" s="94"/>
      <c r="E15680" s="94"/>
      <c r="G15680" s="94"/>
      <c r="I15680" s="94"/>
      <c r="K15680" s="94"/>
      <c r="M15680" s="94"/>
    </row>
    <row r="15681" s="93" customFormat="1" spans="3:13">
      <c r="C15681" s="94"/>
      <c r="E15681" s="94"/>
      <c r="G15681" s="94"/>
      <c r="I15681" s="94"/>
      <c r="K15681" s="94"/>
      <c r="M15681" s="94"/>
    </row>
    <row r="15682" s="93" customFormat="1" spans="3:13">
      <c r="C15682" s="94"/>
      <c r="E15682" s="94"/>
      <c r="G15682" s="94"/>
      <c r="I15682" s="94"/>
      <c r="K15682" s="94"/>
      <c r="M15682" s="94"/>
    </row>
    <row r="15683" s="93" customFormat="1" spans="3:13">
      <c r="C15683" s="94"/>
      <c r="E15683" s="94"/>
      <c r="G15683" s="94"/>
      <c r="I15683" s="94"/>
      <c r="K15683" s="94"/>
      <c r="M15683" s="94"/>
    </row>
    <row r="15684" s="93" customFormat="1" spans="3:13">
      <c r="C15684" s="94"/>
      <c r="E15684" s="94"/>
      <c r="G15684" s="94"/>
      <c r="I15684" s="94"/>
      <c r="K15684" s="94"/>
      <c r="M15684" s="94"/>
    </row>
    <row r="15685" s="93" customFormat="1" spans="3:13">
      <c r="C15685" s="94"/>
      <c r="E15685" s="94"/>
      <c r="G15685" s="94"/>
      <c r="I15685" s="94"/>
      <c r="K15685" s="94"/>
      <c r="M15685" s="94"/>
    </row>
    <row r="15686" s="93" customFormat="1" spans="3:13">
      <c r="C15686" s="94"/>
      <c r="E15686" s="94"/>
      <c r="G15686" s="94"/>
      <c r="I15686" s="94"/>
      <c r="K15686" s="94"/>
      <c r="M15686" s="94"/>
    </row>
    <row r="15687" s="93" customFormat="1" spans="3:13">
      <c r="C15687" s="94"/>
      <c r="E15687" s="94"/>
      <c r="G15687" s="94"/>
      <c r="I15687" s="94"/>
      <c r="K15687" s="94"/>
      <c r="M15687" s="94"/>
    </row>
    <row r="15688" s="93" customFormat="1" spans="3:13">
      <c r="C15688" s="94"/>
      <c r="E15688" s="94"/>
      <c r="G15688" s="94"/>
      <c r="I15688" s="94"/>
      <c r="K15688" s="94"/>
      <c r="M15688" s="94"/>
    </row>
    <row r="15689" s="93" customFormat="1" spans="3:13">
      <c r="C15689" s="94"/>
      <c r="E15689" s="94"/>
      <c r="G15689" s="94"/>
      <c r="I15689" s="94"/>
      <c r="K15689" s="94"/>
      <c r="M15689" s="94"/>
    </row>
    <row r="15690" s="93" customFormat="1" spans="3:13">
      <c r="C15690" s="94"/>
      <c r="E15690" s="94"/>
      <c r="G15690" s="94"/>
      <c r="I15690" s="94"/>
      <c r="K15690" s="94"/>
      <c r="M15690" s="94"/>
    </row>
    <row r="15691" s="93" customFormat="1" spans="3:13">
      <c r="C15691" s="94"/>
      <c r="E15691" s="94"/>
      <c r="G15691" s="94"/>
      <c r="I15691" s="94"/>
      <c r="K15691" s="94"/>
      <c r="M15691" s="94"/>
    </row>
    <row r="15692" s="93" customFormat="1" spans="3:13">
      <c r="C15692" s="94"/>
      <c r="E15692" s="94"/>
      <c r="G15692" s="94"/>
      <c r="I15692" s="94"/>
      <c r="K15692" s="94"/>
      <c r="M15692" s="94"/>
    </row>
    <row r="15693" s="93" customFormat="1" spans="3:13">
      <c r="C15693" s="94"/>
      <c r="E15693" s="94"/>
      <c r="G15693" s="94"/>
      <c r="I15693" s="94"/>
      <c r="K15693" s="94"/>
      <c r="M15693" s="94"/>
    </row>
    <row r="15694" s="93" customFormat="1" spans="3:13">
      <c r="C15694" s="94"/>
      <c r="E15694" s="94"/>
      <c r="G15694" s="94"/>
      <c r="I15694" s="94"/>
      <c r="K15694" s="94"/>
      <c r="M15694" s="94"/>
    </row>
    <row r="15695" s="93" customFormat="1" spans="3:13">
      <c r="C15695" s="94"/>
      <c r="E15695" s="94"/>
      <c r="G15695" s="94"/>
      <c r="I15695" s="94"/>
      <c r="K15695" s="94"/>
      <c r="M15695" s="94"/>
    </row>
    <row r="15696" s="93" customFormat="1" spans="3:13">
      <c r="C15696" s="94"/>
      <c r="E15696" s="94"/>
      <c r="G15696" s="94"/>
      <c r="I15696" s="94"/>
      <c r="K15696" s="94"/>
      <c r="M15696" s="94"/>
    </row>
    <row r="15697" s="93" customFormat="1" spans="3:13">
      <c r="C15697" s="94"/>
      <c r="E15697" s="94"/>
      <c r="G15697" s="94"/>
      <c r="I15697" s="94"/>
      <c r="K15697" s="94"/>
      <c r="M15697" s="94"/>
    </row>
    <row r="15698" s="93" customFormat="1" spans="3:13">
      <c r="C15698" s="94"/>
      <c r="E15698" s="94"/>
      <c r="G15698" s="94"/>
      <c r="I15698" s="94"/>
      <c r="K15698" s="94"/>
      <c r="M15698" s="94"/>
    </row>
    <row r="15699" s="93" customFormat="1" spans="3:13">
      <c r="C15699" s="94"/>
      <c r="E15699" s="94"/>
      <c r="G15699" s="94"/>
      <c r="I15699" s="94"/>
      <c r="K15699" s="94"/>
      <c r="M15699" s="94"/>
    </row>
    <row r="15700" s="93" customFormat="1" spans="3:13">
      <c r="C15700" s="94"/>
      <c r="E15700" s="94"/>
      <c r="G15700" s="94"/>
      <c r="I15700" s="94"/>
      <c r="K15700" s="94"/>
      <c r="M15700" s="94"/>
    </row>
    <row r="15701" s="93" customFormat="1" spans="3:13">
      <c r="C15701" s="94"/>
      <c r="E15701" s="94"/>
      <c r="G15701" s="94"/>
      <c r="I15701" s="94"/>
      <c r="K15701" s="94"/>
      <c r="M15701" s="94"/>
    </row>
    <row r="15702" s="93" customFormat="1" spans="3:13">
      <c r="C15702" s="94"/>
      <c r="E15702" s="94"/>
      <c r="G15702" s="94"/>
      <c r="I15702" s="94"/>
      <c r="K15702" s="94"/>
      <c r="M15702" s="94"/>
    </row>
    <row r="15703" s="93" customFormat="1" spans="3:13">
      <c r="C15703" s="94"/>
      <c r="E15703" s="94"/>
      <c r="G15703" s="94"/>
      <c r="I15703" s="94"/>
      <c r="K15703" s="94"/>
      <c r="M15703" s="94"/>
    </row>
    <row r="15704" s="93" customFormat="1" spans="3:13">
      <c r="C15704" s="94"/>
      <c r="E15704" s="94"/>
      <c r="G15704" s="94"/>
      <c r="I15704" s="94"/>
      <c r="K15704" s="94"/>
      <c r="M15704" s="94"/>
    </row>
    <row r="15705" s="93" customFormat="1" spans="3:13">
      <c r="C15705" s="94"/>
      <c r="E15705" s="94"/>
      <c r="G15705" s="94"/>
      <c r="I15705" s="94"/>
      <c r="K15705" s="94"/>
      <c r="M15705" s="94"/>
    </row>
    <row r="15706" s="93" customFormat="1" spans="3:13">
      <c r="C15706" s="94"/>
      <c r="E15706" s="94"/>
      <c r="G15706" s="94"/>
      <c r="I15706" s="94"/>
      <c r="K15706" s="94"/>
      <c r="M15706" s="94"/>
    </row>
    <row r="15707" s="93" customFormat="1" spans="3:13">
      <c r="C15707" s="94"/>
      <c r="E15707" s="94"/>
      <c r="G15707" s="94"/>
      <c r="I15707" s="94"/>
      <c r="K15707" s="94"/>
      <c r="M15707" s="94"/>
    </row>
    <row r="15708" s="93" customFormat="1" spans="3:13">
      <c r="C15708" s="94"/>
      <c r="E15708" s="94"/>
      <c r="G15708" s="94"/>
      <c r="I15708" s="94"/>
      <c r="K15708" s="94"/>
      <c r="M15708" s="94"/>
    </row>
    <row r="15709" s="93" customFormat="1" spans="3:13">
      <c r="C15709" s="94"/>
      <c r="E15709" s="94"/>
      <c r="G15709" s="94"/>
      <c r="I15709" s="94"/>
      <c r="K15709" s="94"/>
      <c r="M15709" s="94"/>
    </row>
    <row r="15710" s="93" customFormat="1" spans="3:13">
      <c r="C15710" s="94"/>
      <c r="E15710" s="94"/>
      <c r="G15710" s="94"/>
      <c r="I15710" s="94"/>
      <c r="K15710" s="94"/>
      <c r="M15710" s="94"/>
    </row>
    <row r="15711" s="93" customFormat="1" spans="3:13">
      <c r="C15711" s="94"/>
      <c r="E15711" s="94"/>
      <c r="G15711" s="94"/>
      <c r="I15711" s="94"/>
      <c r="K15711" s="94"/>
      <c r="M15711" s="94"/>
    </row>
    <row r="15712" s="93" customFormat="1" spans="3:13">
      <c r="C15712" s="94"/>
      <c r="E15712" s="94"/>
      <c r="G15712" s="94"/>
      <c r="I15712" s="94"/>
      <c r="K15712" s="94"/>
      <c r="M15712" s="94"/>
    </row>
    <row r="15713" s="93" customFormat="1" spans="3:13">
      <c r="C15713" s="94"/>
      <c r="E15713" s="94"/>
      <c r="G15713" s="94"/>
      <c r="I15713" s="94"/>
      <c r="K15713" s="94"/>
      <c r="M15713" s="94"/>
    </row>
    <row r="15714" s="93" customFormat="1" spans="3:13">
      <c r="C15714" s="94"/>
      <c r="E15714" s="94"/>
      <c r="G15714" s="94"/>
      <c r="I15714" s="94"/>
      <c r="K15714" s="94"/>
      <c r="M15714" s="94"/>
    </row>
    <row r="15715" s="93" customFormat="1" spans="3:13">
      <c r="C15715" s="94"/>
      <c r="E15715" s="94"/>
      <c r="G15715" s="94"/>
      <c r="I15715" s="94"/>
      <c r="K15715" s="94"/>
      <c r="M15715" s="94"/>
    </row>
    <row r="15716" s="93" customFormat="1" spans="3:13">
      <c r="C15716" s="94"/>
      <c r="E15716" s="94"/>
      <c r="G15716" s="94"/>
      <c r="I15716" s="94"/>
      <c r="K15716" s="94"/>
      <c r="M15716" s="94"/>
    </row>
    <row r="15717" s="93" customFormat="1" spans="3:13">
      <c r="C15717" s="94"/>
      <c r="E15717" s="94"/>
      <c r="G15717" s="94"/>
      <c r="I15717" s="94"/>
      <c r="K15717" s="94"/>
      <c r="M15717" s="94"/>
    </row>
    <row r="15718" s="93" customFormat="1" spans="3:13">
      <c r="C15718" s="94"/>
      <c r="E15718" s="94"/>
      <c r="G15718" s="94"/>
      <c r="I15718" s="94"/>
      <c r="K15718" s="94"/>
      <c r="M15718" s="94"/>
    </row>
    <row r="15719" s="93" customFormat="1" spans="3:13">
      <c r="C15719" s="94"/>
      <c r="E15719" s="94"/>
      <c r="G15719" s="94"/>
      <c r="I15719" s="94"/>
      <c r="K15719" s="94"/>
      <c r="M15719" s="94"/>
    </row>
    <row r="15720" s="93" customFormat="1" spans="3:13">
      <c r="C15720" s="94"/>
      <c r="E15720" s="94"/>
      <c r="G15720" s="94"/>
      <c r="I15720" s="94"/>
      <c r="K15720" s="94"/>
      <c r="M15720" s="94"/>
    </row>
    <row r="15721" s="93" customFormat="1" spans="3:13">
      <c r="C15721" s="94"/>
      <c r="E15721" s="94"/>
      <c r="G15721" s="94"/>
      <c r="I15721" s="94"/>
      <c r="K15721" s="94"/>
      <c r="M15721" s="94"/>
    </row>
    <row r="15722" s="93" customFormat="1" spans="3:13">
      <c r="C15722" s="94"/>
      <c r="E15722" s="94"/>
      <c r="G15722" s="94"/>
      <c r="I15722" s="94"/>
      <c r="K15722" s="94"/>
      <c r="M15722" s="94"/>
    </row>
    <row r="15723" s="93" customFormat="1" spans="3:13">
      <c r="C15723" s="94"/>
      <c r="E15723" s="94"/>
      <c r="G15723" s="94"/>
      <c r="I15723" s="94"/>
      <c r="K15723" s="94"/>
      <c r="M15723" s="94"/>
    </row>
    <row r="15724" s="93" customFormat="1" spans="3:13">
      <c r="C15724" s="94"/>
      <c r="E15724" s="94"/>
      <c r="G15724" s="94"/>
      <c r="I15724" s="94"/>
      <c r="K15724" s="94"/>
      <c r="M15724" s="94"/>
    </row>
    <row r="15725" s="93" customFormat="1" spans="3:13">
      <c r="C15725" s="94"/>
      <c r="E15725" s="94"/>
      <c r="G15725" s="94"/>
      <c r="I15725" s="94"/>
      <c r="K15725" s="94"/>
      <c r="M15725" s="94"/>
    </row>
    <row r="15726" s="93" customFormat="1" spans="3:13">
      <c r="C15726" s="94"/>
      <c r="E15726" s="94"/>
      <c r="G15726" s="94"/>
      <c r="I15726" s="94"/>
      <c r="K15726" s="94"/>
      <c r="M15726" s="94"/>
    </row>
    <row r="15727" s="93" customFormat="1" spans="3:13">
      <c r="C15727" s="94"/>
      <c r="E15727" s="94"/>
      <c r="G15727" s="94"/>
      <c r="I15727" s="94"/>
      <c r="K15727" s="94"/>
      <c r="M15727" s="94"/>
    </row>
    <row r="15728" s="93" customFormat="1" spans="3:13">
      <c r="C15728" s="94"/>
      <c r="E15728" s="94"/>
      <c r="G15728" s="94"/>
      <c r="I15728" s="94"/>
      <c r="K15728" s="94"/>
      <c r="M15728" s="94"/>
    </row>
    <row r="15729" s="93" customFormat="1" spans="3:13">
      <c r="C15729" s="94"/>
      <c r="E15729" s="94"/>
      <c r="G15729" s="94"/>
      <c r="I15729" s="94"/>
      <c r="K15729" s="94"/>
      <c r="M15729" s="94"/>
    </row>
    <row r="15730" s="93" customFormat="1" spans="3:13">
      <c r="C15730" s="94"/>
      <c r="E15730" s="94"/>
      <c r="G15730" s="94"/>
      <c r="I15730" s="94"/>
      <c r="K15730" s="94"/>
      <c r="M15730" s="94"/>
    </row>
    <row r="15731" s="93" customFormat="1" spans="3:13">
      <c r="C15731" s="94"/>
      <c r="E15731" s="94"/>
      <c r="G15731" s="94"/>
      <c r="I15731" s="94"/>
      <c r="K15731" s="94"/>
      <c r="M15731" s="94"/>
    </row>
    <row r="15732" s="93" customFormat="1" spans="3:13">
      <c r="C15732" s="94"/>
      <c r="E15732" s="94"/>
      <c r="G15732" s="94"/>
      <c r="I15732" s="94"/>
      <c r="K15732" s="94"/>
      <c r="M15732" s="94"/>
    </row>
    <row r="15733" s="93" customFormat="1" spans="3:13">
      <c r="C15733" s="94"/>
      <c r="E15733" s="94"/>
      <c r="G15733" s="94"/>
      <c r="I15733" s="94"/>
      <c r="K15733" s="94"/>
      <c r="M15733" s="94"/>
    </row>
    <row r="15734" s="93" customFormat="1" spans="3:13">
      <c r="C15734" s="94"/>
      <c r="E15734" s="94"/>
      <c r="G15734" s="94"/>
      <c r="I15734" s="94"/>
      <c r="K15734" s="94"/>
      <c r="M15734" s="94"/>
    </row>
    <row r="15735" s="93" customFormat="1" spans="3:13">
      <c r="C15735" s="94"/>
      <c r="E15735" s="94"/>
      <c r="G15735" s="94"/>
      <c r="I15735" s="94"/>
      <c r="K15735" s="94"/>
      <c r="M15735" s="94"/>
    </row>
    <row r="15736" s="93" customFormat="1" spans="3:13">
      <c r="C15736" s="94"/>
      <c r="E15736" s="94"/>
      <c r="G15736" s="94"/>
      <c r="I15736" s="94"/>
      <c r="K15736" s="94"/>
      <c r="M15736" s="94"/>
    </row>
    <row r="15737" s="93" customFormat="1" spans="3:13">
      <c r="C15737" s="94"/>
      <c r="E15737" s="94"/>
      <c r="G15737" s="94"/>
      <c r="I15737" s="94"/>
      <c r="K15737" s="94"/>
      <c r="M15737" s="94"/>
    </row>
    <row r="15738" s="93" customFormat="1" spans="3:13">
      <c r="C15738" s="94"/>
      <c r="E15738" s="94"/>
      <c r="G15738" s="94"/>
      <c r="I15738" s="94"/>
      <c r="K15738" s="94"/>
      <c r="M15738" s="94"/>
    </row>
    <row r="15739" s="93" customFormat="1" spans="3:13">
      <c r="C15739" s="94"/>
      <c r="E15739" s="94"/>
      <c r="G15739" s="94"/>
      <c r="I15739" s="94"/>
      <c r="K15739" s="94"/>
      <c r="M15739" s="94"/>
    </row>
    <row r="15740" s="93" customFormat="1" spans="3:13">
      <c r="C15740" s="94"/>
      <c r="E15740" s="94"/>
      <c r="G15740" s="94"/>
      <c r="I15740" s="94"/>
      <c r="K15740" s="94"/>
      <c r="M15740" s="94"/>
    </row>
    <row r="15741" s="93" customFormat="1" spans="3:13">
      <c r="C15741" s="94"/>
      <c r="E15741" s="94"/>
      <c r="G15741" s="94"/>
      <c r="I15741" s="94"/>
      <c r="K15741" s="94"/>
      <c r="M15741" s="94"/>
    </row>
    <row r="15742" s="93" customFormat="1" spans="3:13">
      <c r="C15742" s="94"/>
      <c r="E15742" s="94"/>
      <c r="G15742" s="94"/>
      <c r="I15742" s="94"/>
      <c r="K15742" s="94"/>
      <c r="M15742" s="94"/>
    </row>
    <row r="15743" s="93" customFormat="1" spans="3:13">
      <c r="C15743" s="94"/>
      <c r="E15743" s="94"/>
      <c r="G15743" s="94"/>
      <c r="I15743" s="94"/>
      <c r="K15743" s="94"/>
      <c r="M15743" s="94"/>
    </row>
    <row r="15744" s="93" customFormat="1" spans="3:13">
      <c r="C15744" s="94"/>
      <c r="E15744" s="94"/>
      <c r="G15744" s="94"/>
      <c r="I15744" s="94"/>
      <c r="K15744" s="94"/>
      <c r="M15744" s="94"/>
    </row>
    <row r="15745" s="93" customFormat="1" spans="3:13">
      <c r="C15745" s="94"/>
      <c r="E15745" s="94"/>
      <c r="G15745" s="94"/>
      <c r="I15745" s="94"/>
      <c r="K15745" s="94"/>
      <c r="M15745" s="94"/>
    </row>
    <row r="15746" s="93" customFormat="1" spans="3:13">
      <c r="C15746" s="94"/>
      <c r="E15746" s="94"/>
      <c r="G15746" s="94"/>
      <c r="I15746" s="94"/>
      <c r="K15746" s="94"/>
      <c r="M15746" s="94"/>
    </row>
    <row r="15747" s="93" customFormat="1" spans="3:13">
      <c r="C15747" s="94"/>
      <c r="E15747" s="94"/>
      <c r="G15747" s="94"/>
      <c r="I15747" s="94"/>
      <c r="K15747" s="94"/>
      <c r="M15747" s="94"/>
    </row>
    <row r="15748" s="93" customFormat="1" spans="3:13">
      <c r="C15748" s="94"/>
      <c r="E15748" s="94"/>
      <c r="G15748" s="94"/>
      <c r="I15748" s="94"/>
      <c r="K15748" s="94"/>
      <c r="M15748" s="94"/>
    </row>
    <row r="15749" s="93" customFormat="1" spans="3:13">
      <c r="C15749" s="94"/>
      <c r="E15749" s="94"/>
      <c r="G15749" s="94"/>
      <c r="I15749" s="94"/>
      <c r="K15749" s="94"/>
      <c r="M15749" s="94"/>
    </row>
    <row r="15750" s="93" customFormat="1" spans="3:13">
      <c r="C15750" s="94"/>
      <c r="E15750" s="94"/>
      <c r="G15750" s="94"/>
      <c r="I15750" s="94"/>
      <c r="K15750" s="94"/>
      <c r="M15750" s="94"/>
    </row>
    <row r="15751" s="93" customFormat="1" spans="3:13">
      <c r="C15751" s="94"/>
      <c r="E15751" s="94"/>
      <c r="G15751" s="94"/>
      <c r="I15751" s="94"/>
      <c r="K15751" s="94"/>
      <c r="M15751" s="94"/>
    </row>
    <row r="15752" s="93" customFormat="1" spans="3:13">
      <c r="C15752" s="94"/>
      <c r="E15752" s="94"/>
      <c r="G15752" s="94"/>
      <c r="I15752" s="94"/>
      <c r="K15752" s="94"/>
      <c r="M15752" s="94"/>
    </row>
    <row r="15753" s="93" customFormat="1" spans="3:13">
      <c r="C15753" s="94"/>
      <c r="E15753" s="94"/>
      <c r="G15753" s="94"/>
      <c r="I15753" s="94"/>
      <c r="K15753" s="94"/>
      <c r="M15753" s="94"/>
    </row>
    <row r="15754" s="93" customFormat="1" spans="3:13">
      <c r="C15754" s="94"/>
      <c r="E15754" s="94"/>
      <c r="G15754" s="94"/>
      <c r="I15754" s="94"/>
      <c r="K15754" s="94"/>
      <c r="M15754" s="94"/>
    </row>
    <row r="15755" s="93" customFormat="1" spans="3:13">
      <c r="C15755" s="94"/>
      <c r="E15755" s="94"/>
      <c r="G15755" s="94"/>
      <c r="I15755" s="94"/>
      <c r="K15755" s="94"/>
      <c r="M15755" s="94"/>
    </row>
    <row r="15756" s="93" customFormat="1" spans="3:13">
      <c r="C15756" s="94"/>
      <c r="E15756" s="94"/>
      <c r="G15756" s="94"/>
      <c r="I15756" s="94"/>
      <c r="K15756" s="94"/>
      <c r="M15756" s="94"/>
    </row>
    <row r="15757" s="93" customFormat="1" spans="3:13">
      <c r="C15757" s="94"/>
      <c r="E15757" s="94"/>
      <c r="G15757" s="94"/>
      <c r="I15757" s="94"/>
      <c r="K15757" s="94"/>
      <c r="M15757" s="94"/>
    </row>
    <row r="15758" s="93" customFormat="1" spans="3:13">
      <c r="C15758" s="94"/>
      <c r="E15758" s="94"/>
      <c r="G15758" s="94"/>
      <c r="I15758" s="94"/>
      <c r="K15758" s="94"/>
      <c r="M15758" s="94"/>
    </row>
    <row r="15759" s="93" customFormat="1" spans="3:13">
      <c r="C15759" s="94"/>
      <c r="E15759" s="94"/>
      <c r="G15759" s="94"/>
      <c r="I15759" s="94"/>
      <c r="K15759" s="94"/>
      <c r="M15759" s="94"/>
    </row>
    <row r="15760" s="93" customFormat="1" spans="3:13">
      <c r="C15760" s="94"/>
      <c r="E15760" s="94"/>
      <c r="G15760" s="94"/>
      <c r="I15760" s="94"/>
      <c r="K15760" s="94"/>
      <c r="M15760" s="94"/>
    </row>
    <row r="15761" s="93" customFormat="1" spans="3:13">
      <c r="C15761" s="94"/>
      <c r="E15761" s="94"/>
      <c r="G15761" s="94"/>
      <c r="I15761" s="94"/>
      <c r="K15761" s="94"/>
      <c r="M15761" s="94"/>
    </row>
    <row r="15762" s="93" customFormat="1" spans="3:13">
      <c r="C15762" s="94"/>
      <c r="E15762" s="94"/>
      <c r="G15762" s="94"/>
      <c r="I15762" s="94"/>
      <c r="K15762" s="94"/>
      <c r="M15762" s="94"/>
    </row>
    <row r="15763" s="93" customFormat="1" spans="3:13">
      <c r="C15763" s="94"/>
      <c r="E15763" s="94"/>
      <c r="G15763" s="94"/>
      <c r="I15763" s="94"/>
      <c r="K15763" s="94"/>
      <c r="M15763" s="94"/>
    </row>
    <row r="15764" s="93" customFormat="1" spans="3:13">
      <c r="C15764" s="94"/>
      <c r="E15764" s="94"/>
      <c r="G15764" s="94"/>
      <c r="I15764" s="94"/>
      <c r="K15764" s="94"/>
      <c r="M15764" s="94"/>
    </row>
    <row r="15765" s="93" customFormat="1" spans="3:13">
      <c r="C15765" s="94"/>
      <c r="E15765" s="94"/>
      <c r="G15765" s="94"/>
      <c r="I15765" s="94"/>
      <c r="K15765" s="94"/>
      <c r="M15765" s="94"/>
    </row>
    <row r="15766" s="93" customFormat="1" spans="3:13">
      <c r="C15766" s="94"/>
      <c r="E15766" s="94"/>
      <c r="G15766" s="94"/>
      <c r="I15766" s="94"/>
      <c r="K15766" s="94"/>
      <c r="M15766" s="94"/>
    </row>
    <row r="15767" s="93" customFormat="1" spans="3:13">
      <c r="C15767" s="94"/>
      <c r="E15767" s="94"/>
      <c r="G15767" s="94"/>
      <c r="I15767" s="94"/>
      <c r="K15767" s="94"/>
      <c r="M15767" s="94"/>
    </row>
    <row r="15768" s="93" customFormat="1" spans="3:13">
      <c r="C15768" s="94"/>
      <c r="E15768" s="94"/>
      <c r="G15768" s="94"/>
      <c r="I15768" s="94"/>
      <c r="K15768" s="94"/>
      <c r="M15768" s="94"/>
    </row>
    <row r="15769" s="93" customFormat="1" spans="3:13">
      <c r="C15769" s="94"/>
      <c r="E15769" s="94"/>
      <c r="G15769" s="94"/>
      <c r="I15769" s="94"/>
      <c r="K15769" s="94"/>
      <c r="M15769" s="94"/>
    </row>
    <row r="15770" s="93" customFormat="1" spans="3:13">
      <c r="C15770" s="94"/>
      <c r="E15770" s="94"/>
      <c r="G15770" s="94"/>
      <c r="I15770" s="94"/>
      <c r="K15770" s="94"/>
      <c r="M15770" s="94"/>
    </row>
    <row r="15771" s="93" customFormat="1" spans="3:13">
      <c r="C15771" s="94"/>
      <c r="E15771" s="94"/>
      <c r="G15771" s="94"/>
      <c r="I15771" s="94"/>
      <c r="K15771" s="94"/>
      <c r="M15771" s="94"/>
    </row>
    <row r="15772" s="93" customFormat="1" spans="3:13">
      <c r="C15772" s="94"/>
      <c r="E15772" s="94"/>
      <c r="G15772" s="94"/>
      <c r="I15772" s="94"/>
      <c r="K15772" s="94"/>
      <c r="M15772" s="94"/>
    </row>
    <row r="15773" s="93" customFormat="1" spans="3:13">
      <c r="C15773" s="94"/>
      <c r="E15773" s="94"/>
      <c r="G15773" s="94"/>
      <c r="I15773" s="94"/>
      <c r="K15773" s="94"/>
      <c r="M15773" s="94"/>
    </row>
    <row r="15774" s="93" customFormat="1" spans="3:13">
      <c r="C15774" s="94"/>
      <c r="E15774" s="94"/>
      <c r="G15774" s="94"/>
      <c r="I15774" s="94"/>
      <c r="K15774" s="94"/>
      <c r="M15774" s="94"/>
    </row>
    <row r="15775" s="93" customFormat="1" spans="3:13">
      <c r="C15775" s="94"/>
      <c r="E15775" s="94"/>
      <c r="G15775" s="94"/>
      <c r="I15775" s="94"/>
      <c r="K15775" s="94"/>
      <c r="M15775" s="94"/>
    </row>
    <row r="15776" s="93" customFormat="1" spans="3:13">
      <c r="C15776" s="94"/>
      <c r="E15776" s="94"/>
      <c r="G15776" s="94"/>
      <c r="I15776" s="94"/>
      <c r="K15776" s="94"/>
      <c r="M15776" s="94"/>
    </row>
    <row r="15777" s="93" customFormat="1" spans="3:13">
      <c r="C15777" s="94"/>
      <c r="E15777" s="94"/>
      <c r="G15777" s="94"/>
      <c r="I15777" s="94"/>
      <c r="K15777" s="94"/>
      <c r="M15777" s="94"/>
    </row>
    <row r="15778" s="93" customFormat="1" spans="3:13">
      <c r="C15778" s="94"/>
      <c r="E15778" s="94"/>
      <c r="G15778" s="94"/>
      <c r="I15778" s="94"/>
      <c r="K15778" s="94"/>
      <c r="M15778" s="94"/>
    </row>
    <row r="15779" s="93" customFormat="1" spans="3:13">
      <c r="C15779" s="94"/>
      <c r="E15779" s="94"/>
      <c r="G15779" s="94"/>
      <c r="I15779" s="94"/>
      <c r="K15779" s="94"/>
      <c r="M15779" s="94"/>
    </row>
    <row r="15780" s="93" customFormat="1" spans="3:13">
      <c r="C15780" s="94"/>
      <c r="E15780" s="94"/>
      <c r="G15780" s="94"/>
      <c r="I15780" s="94"/>
      <c r="K15780" s="94"/>
      <c r="M15780" s="94"/>
    </row>
    <row r="15781" s="93" customFormat="1" spans="3:13">
      <c r="C15781" s="94"/>
      <c r="E15781" s="94"/>
      <c r="G15781" s="94"/>
      <c r="I15781" s="94"/>
      <c r="K15781" s="94"/>
      <c r="M15781" s="94"/>
    </row>
    <row r="15782" s="93" customFormat="1" spans="3:13">
      <c r="C15782" s="94"/>
      <c r="E15782" s="94"/>
      <c r="G15782" s="94"/>
      <c r="I15782" s="94"/>
      <c r="K15782" s="94"/>
      <c r="M15782" s="94"/>
    </row>
    <row r="15783" s="93" customFormat="1" spans="3:13">
      <c r="C15783" s="94"/>
      <c r="E15783" s="94"/>
      <c r="G15783" s="94"/>
      <c r="I15783" s="94"/>
      <c r="K15783" s="94"/>
      <c r="M15783" s="94"/>
    </row>
    <row r="15784" s="93" customFormat="1" spans="3:13">
      <c r="C15784" s="94"/>
      <c r="E15784" s="94"/>
      <c r="G15784" s="94"/>
      <c r="I15784" s="94"/>
      <c r="K15784" s="94"/>
      <c r="M15784" s="94"/>
    </row>
    <row r="15785" s="93" customFormat="1" spans="3:13">
      <c r="C15785" s="94"/>
      <c r="E15785" s="94"/>
      <c r="G15785" s="94"/>
      <c r="I15785" s="94"/>
      <c r="K15785" s="94"/>
      <c r="M15785" s="94"/>
    </row>
    <row r="15786" s="93" customFormat="1" spans="3:13">
      <c r="C15786" s="94"/>
      <c r="E15786" s="94"/>
      <c r="G15786" s="94"/>
      <c r="I15786" s="94"/>
      <c r="K15786" s="94"/>
      <c r="M15786" s="94"/>
    </row>
    <row r="15787" s="93" customFormat="1" spans="3:13">
      <c r="C15787" s="94"/>
      <c r="E15787" s="94"/>
      <c r="G15787" s="94"/>
      <c r="I15787" s="94"/>
      <c r="K15787" s="94"/>
      <c r="M15787" s="94"/>
    </row>
    <row r="15788" s="93" customFormat="1" spans="3:13">
      <c r="C15788" s="94"/>
      <c r="E15788" s="94"/>
      <c r="G15788" s="94"/>
      <c r="I15788" s="94"/>
      <c r="K15788" s="94"/>
      <c r="M15788" s="94"/>
    </row>
    <row r="15789" s="93" customFormat="1" spans="3:13">
      <c r="C15789" s="94"/>
      <c r="E15789" s="94"/>
      <c r="G15789" s="94"/>
      <c r="I15789" s="94"/>
      <c r="K15789" s="94"/>
      <c r="M15789" s="94"/>
    </row>
    <row r="15790" s="93" customFormat="1" spans="3:13">
      <c r="C15790" s="94"/>
      <c r="E15790" s="94"/>
      <c r="G15790" s="94"/>
      <c r="I15790" s="94"/>
      <c r="K15790" s="94"/>
      <c r="M15790" s="94"/>
    </row>
    <row r="15791" s="93" customFormat="1" spans="3:13">
      <c r="C15791" s="94"/>
      <c r="E15791" s="94"/>
      <c r="G15791" s="94"/>
      <c r="I15791" s="94"/>
      <c r="K15791" s="94"/>
      <c r="M15791" s="94"/>
    </row>
    <row r="15792" s="93" customFormat="1" spans="3:13">
      <c r="C15792" s="94"/>
      <c r="E15792" s="94"/>
      <c r="G15792" s="94"/>
      <c r="I15792" s="94"/>
      <c r="K15792" s="94"/>
      <c r="M15792" s="94"/>
    </row>
    <row r="15793" s="93" customFormat="1" spans="3:13">
      <c r="C15793" s="94"/>
      <c r="E15793" s="94"/>
      <c r="G15793" s="94"/>
      <c r="I15793" s="94"/>
      <c r="K15793" s="94"/>
      <c r="M15793" s="94"/>
    </row>
    <row r="15794" s="93" customFormat="1" spans="3:13">
      <c r="C15794" s="94"/>
      <c r="E15794" s="94"/>
      <c r="G15794" s="94"/>
      <c r="I15794" s="94"/>
      <c r="K15794" s="94"/>
      <c r="M15794" s="94"/>
    </row>
    <row r="15795" s="93" customFormat="1" spans="3:13">
      <c r="C15795" s="94"/>
      <c r="E15795" s="94"/>
      <c r="G15795" s="94"/>
      <c r="I15795" s="94"/>
      <c r="K15795" s="94"/>
      <c r="M15795" s="94"/>
    </row>
    <row r="15796" s="93" customFormat="1" spans="3:13">
      <c r="C15796" s="94"/>
      <c r="E15796" s="94"/>
      <c r="G15796" s="94"/>
      <c r="I15796" s="94"/>
      <c r="K15796" s="94"/>
      <c r="M15796" s="94"/>
    </row>
    <row r="15797" s="93" customFormat="1" spans="3:13">
      <c r="C15797" s="94"/>
      <c r="E15797" s="94"/>
      <c r="G15797" s="94"/>
      <c r="I15797" s="94"/>
      <c r="K15797" s="94"/>
      <c r="M15797" s="94"/>
    </row>
    <row r="15798" s="93" customFormat="1" spans="3:13">
      <c r="C15798" s="94"/>
      <c r="E15798" s="94"/>
      <c r="G15798" s="94"/>
      <c r="I15798" s="94"/>
      <c r="K15798" s="94"/>
      <c r="M15798" s="94"/>
    </row>
    <row r="15799" s="93" customFormat="1" spans="3:13">
      <c r="C15799" s="94"/>
      <c r="E15799" s="94"/>
      <c r="G15799" s="94"/>
      <c r="I15799" s="94"/>
      <c r="K15799" s="94"/>
      <c r="M15799" s="94"/>
    </row>
    <row r="15800" s="93" customFormat="1" spans="3:13">
      <c r="C15800" s="94"/>
      <c r="E15800" s="94"/>
      <c r="G15800" s="94"/>
      <c r="I15800" s="94"/>
      <c r="K15800" s="94"/>
      <c r="M15800" s="94"/>
    </row>
    <row r="15801" s="93" customFormat="1" spans="3:13">
      <c r="C15801" s="94"/>
      <c r="E15801" s="94"/>
      <c r="G15801" s="94"/>
      <c r="I15801" s="94"/>
      <c r="K15801" s="94"/>
      <c r="M15801" s="94"/>
    </row>
    <row r="15802" s="93" customFormat="1" spans="3:13">
      <c r="C15802" s="94"/>
      <c r="E15802" s="94"/>
      <c r="G15802" s="94"/>
      <c r="I15802" s="94"/>
      <c r="K15802" s="94"/>
      <c r="M15802" s="94"/>
    </row>
    <row r="15803" s="93" customFormat="1" spans="3:13">
      <c r="C15803" s="94"/>
      <c r="E15803" s="94"/>
      <c r="G15803" s="94"/>
      <c r="I15803" s="94"/>
      <c r="K15803" s="94"/>
      <c r="M15803" s="94"/>
    </row>
    <row r="15804" s="93" customFormat="1" spans="3:13">
      <c r="C15804" s="94"/>
      <c r="E15804" s="94"/>
      <c r="G15804" s="94"/>
      <c r="I15804" s="94"/>
      <c r="K15804" s="94"/>
      <c r="M15804" s="94"/>
    </row>
    <row r="15805" s="93" customFormat="1" spans="3:13">
      <c r="C15805" s="94"/>
      <c r="E15805" s="94"/>
      <c r="G15805" s="94"/>
      <c r="I15805" s="94"/>
      <c r="K15805" s="94"/>
      <c r="M15805" s="94"/>
    </row>
    <row r="15806" s="93" customFormat="1" spans="3:13">
      <c r="C15806" s="94"/>
      <c r="E15806" s="94"/>
      <c r="G15806" s="94"/>
      <c r="I15806" s="94"/>
      <c r="K15806" s="94"/>
      <c r="M15806" s="94"/>
    </row>
    <row r="15807" s="93" customFormat="1" spans="3:13">
      <c r="C15807" s="94"/>
      <c r="E15807" s="94"/>
      <c r="G15807" s="94"/>
      <c r="I15807" s="94"/>
      <c r="K15807" s="94"/>
      <c r="M15807" s="94"/>
    </row>
    <row r="15808" s="93" customFormat="1" spans="3:13">
      <c r="C15808" s="94"/>
      <c r="E15808" s="94"/>
      <c r="G15808" s="94"/>
      <c r="I15808" s="94"/>
      <c r="K15808" s="94"/>
      <c r="M15808" s="94"/>
    </row>
    <row r="15809" s="93" customFormat="1" spans="3:13">
      <c r="C15809" s="94"/>
      <c r="E15809" s="94"/>
      <c r="G15809" s="94"/>
      <c r="I15809" s="94"/>
      <c r="K15809" s="94"/>
      <c r="M15809" s="94"/>
    </row>
    <row r="15810" s="93" customFormat="1" spans="3:13">
      <c r="C15810" s="94"/>
      <c r="E15810" s="94"/>
      <c r="G15810" s="94"/>
      <c r="I15810" s="94"/>
      <c r="K15810" s="94"/>
      <c r="M15810" s="94"/>
    </row>
    <row r="15811" s="93" customFormat="1" spans="3:13">
      <c r="C15811" s="94"/>
      <c r="E15811" s="94"/>
      <c r="G15811" s="94"/>
      <c r="I15811" s="94"/>
      <c r="K15811" s="94"/>
      <c r="M15811" s="94"/>
    </row>
    <row r="15812" s="93" customFormat="1" spans="3:13">
      <c r="C15812" s="94"/>
      <c r="E15812" s="94"/>
      <c r="G15812" s="94"/>
      <c r="I15812" s="94"/>
      <c r="K15812" s="94"/>
      <c r="M15812" s="94"/>
    </row>
    <row r="15813" s="93" customFormat="1" spans="3:13">
      <c r="C15813" s="94"/>
      <c r="E15813" s="94"/>
      <c r="G15813" s="94"/>
      <c r="I15813" s="94"/>
      <c r="K15813" s="94"/>
      <c r="M15813" s="94"/>
    </row>
    <row r="15814" s="93" customFormat="1" spans="3:13">
      <c r="C15814" s="94"/>
      <c r="E15814" s="94"/>
      <c r="G15814" s="94"/>
      <c r="I15814" s="94"/>
      <c r="K15814" s="94"/>
      <c r="M15814" s="94"/>
    </row>
    <row r="15815" s="93" customFormat="1" spans="3:13">
      <c r="C15815" s="94"/>
      <c r="E15815" s="94"/>
      <c r="G15815" s="94"/>
      <c r="I15815" s="94"/>
      <c r="K15815" s="94"/>
      <c r="M15815" s="94"/>
    </row>
    <row r="15816" s="93" customFormat="1" spans="3:13">
      <c r="C15816" s="94"/>
      <c r="E15816" s="94"/>
      <c r="G15816" s="94"/>
      <c r="I15816" s="94"/>
      <c r="K15816" s="94"/>
      <c r="M15816" s="94"/>
    </row>
    <row r="15817" s="93" customFormat="1" spans="3:13">
      <c r="C15817" s="94"/>
      <c r="E15817" s="94"/>
      <c r="G15817" s="94"/>
      <c r="I15817" s="94"/>
      <c r="K15817" s="94"/>
      <c r="M15817" s="94"/>
    </row>
    <row r="15818" s="93" customFormat="1" spans="3:13">
      <c r="C15818" s="94"/>
      <c r="E15818" s="94"/>
      <c r="G15818" s="94"/>
      <c r="I15818" s="94"/>
      <c r="K15818" s="94"/>
      <c r="M15818" s="94"/>
    </row>
    <row r="15819" s="93" customFormat="1" spans="3:13">
      <c r="C15819" s="94"/>
      <c r="E15819" s="94"/>
      <c r="G15819" s="94"/>
      <c r="I15819" s="94"/>
      <c r="K15819" s="94"/>
      <c r="M15819" s="94"/>
    </row>
    <row r="15820" s="93" customFormat="1" spans="3:13">
      <c r="C15820" s="94"/>
      <c r="E15820" s="94"/>
      <c r="G15820" s="94"/>
      <c r="I15820" s="94"/>
      <c r="K15820" s="94"/>
      <c r="M15820" s="94"/>
    </row>
    <row r="15821" s="93" customFormat="1" spans="3:13">
      <c r="C15821" s="94"/>
      <c r="E15821" s="94"/>
      <c r="G15821" s="94"/>
      <c r="I15821" s="94"/>
      <c r="K15821" s="94"/>
      <c r="M15821" s="94"/>
    </row>
    <row r="15822" s="93" customFormat="1" spans="3:13">
      <c r="C15822" s="94"/>
      <c r="E15822" s="94"/>
      <c r="G15822" s="94"/>
      <c r="I15822" s="94"/>
      <c r="K15822" s="94"/>
      <c r="M15822" s="94"/>
    </row>
    <row r="15823" s="93" customFormat="1" spans="3:13">
      <c r="C15823" s="94"/>
      <c r="E15823" s="94"/>
      <c r="G15823" s="94"/>
      <c r="I15823" s="94"/>
      <c r="K15823" s="94"/>
      <c r="M15823" s="94"/>
    </row>
    <row r="15824" s="93" customFormat="1" spans="3:13">
      <c r="C15824" s="94"/>
      <c r="E15824" s="94"/>
      <c r="G15824" s="94"/>
      <c r="I15824" s="94"/>
      <c r="K15824" s="94"/>
      <c r="M15824" s="94"/>
    </row>
    <row r="15825" s="93" customFormat="1" spans="3:13">
      <c r="C15825" s="94"/>
      <c r="E15825" s="94"/>
      <c r="G15825" s="94"/>
      <c r="I15825" s="94"/>
      <c r="K15825" s="94"/>
      <c r="M15825" s="94"/>
    </row>
    <row r="15826" s="93" customFormat="1" spans="3:13">
      <c r="C15826" s="94"/>
      <c r="E15826" s="94"/>
      <c r="G15826" s="94"/>
      <c r="I15826" s="94"/>
      <c r="K15826" s="94"/>
      <c r="M15826" s="94"/>
    </row>
    <row r="15827" s="93" customFormat="1" spans="3:13">
      <c r="C15827" s="94"/>
      <c r="E15827" s="94"/>
      <c r="G15827" s="94"/>
      <c r="I15827" s="94"/>
      <c r="K15827" s="94"/>
      <c r="M15827" s="94"/>
    </row>
    <row r="15828" s="93" customFormat="1" spans="3:13">
      <c r="C15828" s="94"/>
      <c r="E15828" s="94"/>
      <c r="G15828" s="94"/>
      <c r="I15828" s="94"/>
      <c r="K15828" s="94"/>
      <c r="M15828" s="94"/>
    </row>
    <row r="15829" s="93" customFormat="1" spans="3:13">
      <c r="C15829" s="94"/>
      <c r="E15829" s="94"/>
      <c r="G15829" s="94"/>
      <c r="I15829" s="94"/>
      <c r="K15829" s="94"/>
      <c r="M15829" s="94"/>
    </row>
    <row r="15830" s="93" customFormat="1" spans="3:13">
      <c r="C15830" s="94"/>
      <c r="E15830" s="94"/>
      <c r="G15830" s="94"/>
      <c r="I15830" s="94"/>
      <c r="K15830" s="94"/>
      <c r="M15830" s="94"/>
    </row>
    <row r="15831" s="93" customFormat="1" spans="3:13">
      <c r="C15831" s="94"/>
      <c r="E15831" s="94"/>
      <c r="G15831" s="94"/>
      <c r="I15831" s="94"/>
      <c r="K15831" s="94"/>
      <c r="M15831" s="94"/>
    </row>
    <row r="15832" s="93" customFormat="1" spans="3:13">
      <c r="C15832" s="94"/>
      <c r="E15832" s="94"/>
      <c r="G15832" s="94"/>
      <c r="I15832" s="94"/>
      <c r="K15832" s="94"/>
      <c r="M15832" s="94"/>
    </row>
    <row r="15833" s="93" customFormat="1" spans="3:13">
      <c r="C15833" s="94"/>
      <c r="E15833" s="94"/>
      <c r="G15833" s="94"/>
      <c r="I15833" s="94"/>
      <c r="K15833" s="94"/>
      <c r="M15833" s="94"/>
    </row>
    <row r="15834" s="93" customFormat="1" spans="3:13">
      <c r="C15834" s="94"/>
      <c r="E15834" s="94"/>
      <c r="G15834" s="94"/>
      <c r="I15834" s="94"/>
      <c r="K15834" s="94"/>
      <c r="M15834" s="94"/>
    </row>
    <row r="15835" s="93" customFormat="1" spans="3:13">
      <c r="C15835" s="94"/>
      <c r="E15835" s="94"/>
      <c r="G15835" s="94"/>
      <c r="I15835" s="94"/>
      <c r="K15835" s="94"/>
      <c r="M15835" s="94"/>
    </row>
    <row r="15836" s="93" customFormat="1" spans="3:13">
      <c r="C15836" s="94"/>
      <c r="E15836" s="94"/>
      <c r="G15836" s="94"/>
      <c r="I15836" s="94"/>
      <c r="K15836" s="94"/>
      <c r="M15836" s="94"/>
    </row>
    <row r="15837" s="93" customFormat="1" spans="3:13">
      <c r="C15837" s="94"/>
      <c r="E15837" s="94"/>
      <c r="G15837" s="94"/>
      <c r="I15837" s="94"/>
      <c r="K15837" s="94"/>
      <c r="M15837" s="94"/>
    </row>
    <row r="15838" s="93" customFormat="1" spans="3:13">
      <c r="C15838" s="94"/>
      <c r="E15838" s="94"/>
      <c r="G15838" s="94"/>
      <c r="I15838" s="94"/>
      <c r="K15838" s="94"/>
      <c r="M15838" s="94"/>
    </row>
    <row r="15839" s="93" customFormat="1" spans="3:13">
      <c r="C15839" s="94"/>
      <c r="E15839" s="94"/>
      <c r="G15839" s="94"/>
      <c r="I15839" s="94"/>
      <c r="K15839" s="94"/>
      <c r="M15839" s="94"/>
    </row>
    <row r="15840" s="93" customFormat="1" spans="3:13">
      <c r="C15840" s="94"/>
      <c r="E15840" s="94"/>
      <c r="G15840" s="94"/>
      <c r="I15840" s="94"/>
      <c r="K15840" s="94"/>
      <c r="M15840" s="94"/>
    </row>
    <row r="15841" s="93" customFormat="1" spans="3:13">
      <c r="C15841" s="94"/>
      <c r="E15841" s="94"/>
      <c r="G15841" s="94"/>
      <c r="I15841" s="94"/>
      <c r="K15841" s="94"/>
      <c r="M15841" s="94"/>
    </row>
    <row r="15842" s="93" customFormat="1" spans="3:13">
      <c r="C15842" s="94"/>
      <c r="E15842" s="94"/>
      <c r="G15842" s="94"/>
      <c r="I15842" s="94"/>
      <c r="K15842" s="94"/>
      <c r="M15842" s="94"/>
    </row>
    <row r="15843" s="93" customFormat="1" spans="3:13">
      <c r="C15843" s="94"/>
      <c r="E15843" s="94"/>
      <c r="G15843" s="94"/>
      <c r="I15843" s="94"/>
      <c r="K15843" s="94"/>
      <c r="M15843" s="94"/>
    </row>
    <row r="15844" s="93" customFormat="1" spans="3:13">
      <c r="C15844" s="94"/>
      <c r="E15844" s="94"/>
      <c r="G15844" s="94"/>
      <c r="I15844" s="94"/>
      <c r="K15844" s="94"/>
      <c r="M15844" s="94"/>
    </row>
    <row r="15845" s="93" customFormat="1" spans="3:13">
      <c r="C15845" s="94"/>
      <c r="E15845" s="94"/>
      <c r="G15845" s="94"/>
      <c r="I15845" s="94"/>
      <c r="K15845" s="94"/>
      <c r="M15845" s="94"/>
    </row>
    <row r="15846" s="93" customFormat="1" spans="3:13">
      <c r="C15846" s="94"/>
      <c r="E15846" s="94"/>
      <c r="G15846" s="94"/>
      <c r="I15846" s="94"/>
      <c r="K15846" s="94"/>
      <c r="M15846" s="94"/>
    </row>
    <row r="15847" s="93" customFormat="1" spans="3:13">
      <c r="C15847" s="94"/>
      <c r="E15847" s="94"/>
      <c r="G15847" s="94"/>
      <c r="I15847" s="94"/>
      <c r="K15847" s="94"/>
      <c r="M15847" s="94"/>
    </row>
    <row r="15848" s="93" customFormat="1" spans="3:13">
      <c r="C15848" s="94"/>
      <c r="E15848" s="94"/>
      <c r="G15848" s="94"/>
      <c r="I15848" s="94"/>
      <c r="K15848" s="94"/>
      <c r="M15848" s="94"/>
    </row>
    <row r="15849" s="93" customFormat="1" spans="3:13">
      <c r="C15849" s="94"/>
      <c r="E15849" s="94"/>
      <c r="G15849" s="94"/>
      <c r="I15849" s="94"/>
      <c r="K15849" s="94"/>
      <c r="M15849" s="94"/>
    </row>
    <row r="15850" s="93" customFormat="1" spans="3:13">
      <c r="C15850" s="94"/>
      <c r="E15850" s="94"/>
      <c r="G15850" s="94"/>
      <c r="I15850" s="94"/>
      <c r="K15850" s="94"/>
      <c r="M15850" s="94"/>
    </row>
    <row r="15851" s="93" customFormat="1" spans="3:13">
      <c r="C15851" s="94"/>
      <c r="E15851" s="94"/>
      <c r="G15851" s="94"/>
      <c r="I15851" s="94"/>
      <c r="K15851" s="94"/>
      <c r="M15851" s="94"/>
    </row>
    <row r="15852" s="93" customFormat="1" spans="3:13">
      <c r="C15852" s="94"/>
      <c r="E15852" s="94"/>
      <c r="G15852" s="94"/>
      <c r="I15852" s="94"/>
      <c r="K15852" s="94"/>
      <c r="M15852" s="94"/>
    </row>
    <row r="15853" s="93" customFormat="1" spans="3:13">
      <c r="C15853" s="94"/>
      <c r="E15853" s="94"/>
      <c r="G15853" s="94"/>
      <c r="I15853" s="94"/>
      <c r="K15853" s="94"/>
      <c r="M15853" s="94"/>
    </row>
    <row r="15854" s="93" customFormat="1" spans="3:13">
      <c r="C15854" s="94"/>
      <c r="E15854" s="94"/>
      <c r="G15854" s="94"/>
      <c r="I15854" s="94"/>
      <c r="K15854" s="94"/>
      <c r="M15854" s="94"/>
    </row>
    <row r="15855" s="93" customFormat="1" spans="3:13">
      <c r="C15855" s="94"/>
      <c r="E15855" s="94"/>
      <c r="G15855" s="94"/>
      <c r="I15855" s="94"/>
      <c r="K15855" s="94"/>
      <c r="M15855" s="94"/>
    </row>
    <row r="15856" s="93" customFormat="1" spans="3:13">
      <c r="C15856" s="94"/>
      <c r="E15856" s="94"/>
      <c r="G15856" s="94"/>
      <c r="I15856" s="94"/>
      <c r="K15856" s="94"/>
      <c r="M15856" s="94"/>
    </row>
    <row r="15857" s="93" customFormat="1" spans="3:13">
      <c r="C15857" s="94"/>
      <c r="E15857" s="94"/>
      <c r="G15857" s="94"/>
      <c r="I15857" s="94"/>
      <c r="K15857" s="94"/>
      <c r="M15857" s="94"/>
    </row>
    <row r="15858" s="93" customFormat="1" spans="3:13">
      <c r="C15858" s="94"/>
      <c r="E15858" s="94"/>
      <c r="G15858" s="94"/>
      <c r="I15858" s="94"/>
      <c r="K15858" s="94"/>
      <c r="M15858" s="94"/>
    </row>
    <row r="15859" s="93" customFormat="1" spans="3:13">
      <c r="C15859" s="94"/>
      <c r="E15859" s="94"/>
      <c r="G15859" s="94"/>
      <c r="I15859" s="94"/>
      <c r="K15859" s="94"/>
      <c r="M15859" s="94"/>
    </row>
    <row r="15860" s="93" customFormat="1" spans="3:13">
      <c r="C15860" s="94"/>
      <c r="E15860" s="94"/>
      <c r="G15860" s="94"/>
      <c r="I15860" s="94"/>
      <c r="K15860" s="94"/>
      <c r="M15860" s="94"/>
    </row>
    <row r="15861" s="93" customFormat="1" spans="3:13">
      <c r="C15861" s="94"/>
      <c r="E15861" s="94"/>
      <c r="G15861" s="94"/>
      <c r="I15861" s="94"/>
      <c r="K15861" s="94"/>
      <c r="M15861" s="94"/>
    </row>
    <row r="15862" s="93" customFormat="1" spans="3:13">
      <c r="C15862" s="94"/>
      <c r="E15862" s="94"/>
      <c r="G15862" s="94"/>
      <c r="I15862" s="94"/>
      <c r="K15862" s="94"/>
      <c r="M15862" s="94"/>
    </row>
    <row r="15863" s="93" customFormat="1" spans="3:13">
      <c r="C15863" s="94"/>
      <c r="E15863" s="94"/>
      <c r="G15863" s="94"/>
      <c r="I15863" s="94"/>
      <c r="K15863" s="94"/>
      <c r="M15863" s="94"/>
    </row>
    <row r="15864" s="93" customFormat="1" spans="3:13">
      <c r="C15864" s="94"/>
      <c r="E15864" s="94"/>
      <c r="G15864" s="94"/>
      <c r="I15864" s="94"/>
      <c r="K15864" s="94"/>
      <c r="M15864" s="94"/>
    </row>
    <row r="15865" s="93" customFormat="1" spans="3:13">
      <c r="C15865" s="94"/>
      <c r="E15865" s="94"/>
      <c r="G15865" s="94"/>
      <c r="I15865" s="94"/>
      <c r="K15865" s="94"/>
      <c r="M15865" s="94"/>
    </row>
    <row r="15866" s="93" customFormat="1" spans="3:13">
      <c r="C15866" s="94"/>
      <c r="E15866" s="94"/>
      <c r="G15866" s="94"/>
      <c r="I15866" s="94"/>
      <c r="K15866" s="94"/>
      <c r="M15866" s="94"/>
    </row>
    <row r="15867" s="93" customFormat="1" spans="3:13">
      <c r="C15867" s="94"/>
      <c r="E15867" s="94"/>
      <c r="G15867" s="94"/>
      <c r="I15867" s="94"/>
      <c r="K15867" s="94"/>
      <c r="M15867" s="94"/>
    </row>
    <row r="15868" s="93" customFormat="1" spans="3:13">
      <c r="C15868" s="94"/>
      <c r="E15868" s="94"/>
      <c r="G15868" s="94"/>
      <c r="I15868" s="94"/>
      <c r="K15868" s="94"/>
      <c r="M15868" s="94"/>
    </row>
    <row r="15869" s="93" customFormat="1" spans="3:13">
      <c r="C15869" s="94"/>
      <c r="E15869" s="94"/>
      <c r="G15869" s="94"/>
      <c r="I15869" s="94"/>
      <c r="K15869" s="94"/>
      <c r="M15869" s="94"/>
    </row>
    <row r="15870" s="93" customFormat="1" spans="3:13">
      <c r="C15870" s="94"/>
      <c r="E15870" s="94"/>
      <c r="G15870" s="94"/>
      <c r="I15870" s="94"/>
      <c r="K15870" s="94"/>
      <c r="M15870" s="94"/>
    </row>
    <row r="15871" s="93" customFormat="1" spans="3:13">
      <c r="C15871" s="94"/>
      <c r="E15871" s="94"/>
      <c r="G15871" s="94"/>
      <c r="I15871" s="94"/>
      <c r="K15871" s="94"/>
      <c r="M15871" s="94"/>
    </row>
    <row r="15872" s="93" customFormat="1" spans="3:13">
      <c r="C15872" s="94"/>
      <c r="E15872" s="94"/>
      <c r="G15872" s="94"/>
      <c r="I15872" s="94"/>
      <c r="K15872" s="94"/>
      <c r="M15872" s="94"/>
    </row>
    <row r="15873" s="93" customFormat="1" spans="3:13">
      <c r="C15873" s="94"/>
      <c r="E15873" s="94"/>
      <c r="G15873" s="94"/>
      <c r="I15873" s="94"/>
      <c r="K15873" s="94"/>
      <c r="M15873" s="94"/>
    </row>
    <row r="15874" s="93" customFormat="1" spans="3:13">
      <c r="C15874" s="94"/>
      <c r="E15874" s="94"/>
      <c r="G15874" s="94"/>
      <c r="I15874" s="94"/>
      <c r="K15874" s="94"/>
      <c r="M15874" s="94"/>
    </row>
    <row r="15875" s="93" customFormat="1" spans="3:13">
      <c r="C15875" s="94"/>
      <c r="E15875" s="94"/>
      <c r="G15875" s="94"/>
      <c r="I15875" s="94"/>
      <c r="K15875" s="94"/>
      <c r="M15875" s="94"/>
    </row>
    <row r="15876" s="93" customFormat="1" spans="3:13">
      <c r="C15876" s="94"/>
      <c r="E15876" s="94"/>
      <c r="G15876" s="94"/>
      <c r="I15876" s="94"/>
      <c r="K15876" s="94"/>
      <c r="M15876" s="94"/>
    </row>
    <row r="15877" s="93" customFormat="1" spans="3:13">
      <c r="C15877" s="94"/>
      <c r="E15877" s="94"/>
      <c r="G15877" s="94"/>
      <c r="I15877" s="94"/>
      <c r="K15877" s="94"/>
      <c r="M15877" s="94"/>
    </row>
    <row r="15878" s="93" customFormat="1" spans="3:13">
      <c r="C15878" s="94"/>
      <c r="E15878" s="94"/>
      <c r="G15878" s="94"/>
      <c r="I15878" s="94"/>
      <c r="K15878" s="94"/>
      <c r="M15878" s="94"/>
    </row>
    <row r="15879" s="93" customFormat="1" spans="3:13">
      <c r="C15879" s="94"/>
      <c r="E15879" s="94"/>
      <c r="G15879" s="94"/>
      <c r="I15879" s="94"/>
      <c r="K15879" s="94"/>
      <c r="M15879" s="94"/>
    </row>
    <row r="15880" s="93" customFormat="1" spans="3:13">
      <c r="C15880" s="94"/>
      <c r="E15880" s="94"/>
      <c r="G15880" s="94"/>
      <c r="I15880" s="94"/>
      <c r="K15880" s="94"/>
      <c r="M15880" s="94"/>
    </row>
    <row r="15881" s="93" customFormat="1" spans="3:13">
      <c r="C15881" s="94"/>
      <c r="E15881" s="94"/>
      <c r="G15881" s="94"/>
      <c r="I15881" s="94"/>
      <c r="K15881" s="94"/>
      <c r="M15881" s="94"/>
    </row>
    <row r="15882" s="93" customFormat="1" spans="3:13">
      <c r="C15882" s="94"/>
      <c r="E15882" s="94"/>
      <c r="G15882" s="94"/>
      <c r="I15882" s="94"/>
      <c r="K15882" s="94"/>
      <c r="M15882" s="94"/>
    </row>
    <row r="15883" s="93" customFormat="1" spans="3:13">
      <c r="C15883" s="94"/>
      <c r="E15883" s="94"/>
      <c r="G15883" s="94"/>
      <c r="I15883" s="94"/>
      <c r="K15883" s="94"/>
      <c r="M15883" s="94"/>
    </row>
    <row r="15884" s="93" customFormat="1" spans="3:13">
      <c r="C15884" s="94"/>
      <c r="E15884" s="94"/>
      <c r="G15884" s="94"/>
      <c r="I15884" s="94"/>
      <c r="K15884" s="94"/>
      <c r="M15884" s="94"/>
    </row>
    <row r="15885" s="93" customFormat="1" spans="3:13">
      <c r="C15885" s="94"/>
      <c r="E15885" s="94"/>
      <c r="G15885" s="94"/>
      <c r="I15885" s="94"/>
      <c r="K15885" s="94"/>
      <c r="M15885" s="94"/>
    </row>
    <row r="15886" s="93" customFormat="1" spans="3:13">
      <c r="C15886" s="94"/>
      <c r="E15886" s="94"/>
      <c r="G15886" s="94"/>
      <c r="I15886" s="94"/>
      <c r="K15886" s="94"/>
      <c r="M15886" s="94"/>
    </row>
    <row r="15887" s="93" customFormat="1" spans="3:13">
      <c r="C15887" s="94"/>
      <c r="E15887" s="94"/>
      <c r="G15887" s="94"/>
      <c r="I15887" s="94"/>
      <c r="K15887" s="94"/>
      <c r="M15887" s="94"/>
    </row>
    <row r="15888" s="93" customFormat="1" spans="3:13">
      <c r="C15888" s="94"/>
      <c r="E15888" s="94"/>
      <c r="G15888" s="94"/>
      <c r="I15888" s="94"/>
      <c r="K15888" s="94"/>
      <c r="M15888" s="94"/>
    </row>
    <row r="15889" s="93" customFormat="1" spans="3:13">
      <c r="C15889" s="94"/>
      <c r="E15889" s="94"/>
      <c r="G15889" s="94"/>
      <c r="I15889" s="94"/>
      <c r="K15889" s="94"/>
      <c r="M15889" s="94"/>
    </row>
    <row r="15890" s="93" customFormat="1" spans="3:13">
      <c r="C15890" s="94"/>
      <c r="E15890" s="94"/>
      <c r="G15890" s="94"/>
      <c r="I15890" s="94"/>
      <c r="K15890" s="94"/>
      <c r="M15890" s="94"/>
    </row>
    <row r="15891" s="93" customFormat="1" spans="3:13">
      <c r="C15891" s="94"/>
      <c r="E15891" s="94"/>
      <c r="G15891" s="94"/>
      <c r="I15891" s="94"/>
      <c r="K15891" s="94"/>
      <c r="M15891" s="94"/>
    </row>
    <row r="15892" s="93" customFormat="1" spans="3:13">
      <c r="C15892" s="94"/>
      <c r="E15892" s="94"/>
      <c r="G15892" s="94"/>
      <c r="I15892" s="94"/>
      <c r="K15892" s="94"/>
      <c r="M15892" s="94"/>
    </row>
    <row r="15893" s="93" customFormat="1" spans="3:13">
      <c r="C15893" s="94"/>
      <c r="E15893" s="94"/>
      <c r="G15893" s="94"/>
      <c r="I15893" s="94"/>
      <c r="K15893" s="94"/>
      <c r="M15893" s="94"/>
    </row>
    <row r="15894" s="93" customFormat="1" spans="3:13">
      <c r="C15894" s="94"/>
      <c r="E15894" s="94"/>
      <c r="G15894" s="94"/>
      <c r="I15894" s="94"/>
      <c r="K15894" s="94"/>
      <c r="M15894" s="94"/>
    </row>
    <row r="15895" s="93" customFormat="1" spans="3:13">
      <c r="C15895" s="94"/>
      <c r="E15895" s="94"/>
      <c r="G15895" s="94"/>
      <c r="I15895" s="94"/>
      <c r="K15895" s="94"/>
      <c r="M15895" s="94"/>
    </row>
    <row r="15896" s="93" customFormat="1" spans="3:13">
      <c r="C15896" s="94"/>
      <c r="E15896" s="94"/>
      <c r="G15896" s="94"/>
      <c r="I15896" s="94"/>
      <c r="K15896" s="94"/>
      <c r="M15896" s="94"/>
    </row>
    <row r="15897" s="93" customFormat="1" spans="3:13">
      <c r="C15897" s="94"/>
      <c r="E15897" s="94"/>
      <c r="G15897" s="94"/>
      <c r="I15897" s="94"/>
      <c r="K15897" s="94"/>
      <c r="M15897" s="94"/>
    </row>
    <row r="15898" s="93" customFormat="1" spans="3:13">
      <c r="C15898" s="94"/>
      <c r="E15898" s="94"/>
      <c r="G15898" s="94"/>
      <c r="I15898" s="94"/>
      <c r="K15898" s="94"/>
      <c r="M15898" s="94"/>
    </row>
    <row r="15899" s="93" customFormat="1" spans="3:13">
      <c r="C15899" s="94"/>
      <c r="E15899" s="94"/>
      <c r="G15899" s="94"/>
      <c r="I15899" s="94"/>
      <c r="K15899" s="94"/>
      <c r="M15899" s="94"/>
    </row>
    <row r="15900" s="93" customFormat="1" spans="3:13">
      <c r="C15900" s="94"/>
      <c r="E15900" s="94"/>
      <c r="G15900" s="94"/>
      <c r="I15900" s="94"/>
      <c r="K15900" s="94"/>
      <c r="M15900" s="94"/>
    </row>
    <row r="15901" s="93" customFormat="1" spans="3:13">
      <c r="C15901" s="94"/>
      <c r="E15901" s="94"/>
      <c r="G15901" s="94"/>
      <c r="I15901" s="94"/>
      <c r="K15901" s="94"/>
      <c r="M15901" s="94"/>
    </row>
    <row r="15902" s="93" customFormat="1" spans="3:13">
      <c r="C15902" s="94"/>
      <c r="E15902" s="94"/>
      <c r="G15902" s="94"/>
      <c r="I15902" s="94"/>
      <c r="K15902" s="94"/>
      <c r="M15902" s="94"/>
    </row>
    <row r="15903" s="93" customFormat="1" spans="3:13">
      <c r="C15903" s="94"/>
      <c r="E15903" s="94"/>
      <c r="G15903" s="94"/>
      <c r="I15903" s="94"/>
      <c r="K15903" s="94"/>
      <c r="M15903" s="94"/>
    </row>
    <row r="15904" s="93" customFormat="1" spans="3:13">
      <c r="C15904" s="94"/>
      <c r="E15904" s="94"/>
      <c r="G15904" s="94"/>
      <c r="I15904" s="94"/>
      <c r="K15904" s="94"/>
      <c r="M15904" s="94"/>
    </row>
    <row r="15905" s="93" customFormat="1" spans="3:13">
      <c r="C15905" s="94"/>
      <c r="E15905" s="94"/>
      <c r="G15905" s="94"/>
      <c r="I15905" s="94"/>
      <c r="K15905" s="94"/>
      <c r="M15905" s="94"/>
    </row>
    <row r="15906" s="93" customFormat="1" spans="3:13">
      <c r="C15906" s="94"/>
      <c r="E15906" s="94"/>
      <c r="G15906" s="94"/>
      <c r="I15906" s="94"/>
      <c r="K15906" s="94"/>
      <c r="M15906" s="94"/>
    </row>
    <row r="15907" s="93" customFormat="1" spans="3:13">
      <c r="C15907" s="94"/>
      <c r="E15907" s="94"/>
      <c r="G15907" s="94"/>
      <c r="I15907" s="94"/>
      <c r="K15907" s="94"/>
      <c r="M15907" s="94"/>
    </row>
    <row r="15908" s="93" customFormat="1" spans="3:13">
      <c r="C15908" s="94"/>
      <c r="E15908" s="94"/>
      <c r="G15908" s="94"/>
      <c r="I15908" s="94"/>
      <c r="K15908" s="94"/>
      <c r="M15908" s="94"/>
    </row>
    <row r="15909" s="93" customFormat="1" spans="3:13">
      <c r="C15909" s="94"/>
      <c r="E15909" s="94"/>
      <c r="G15909" s="94"/>
      <c r="I15909" s="94"/>
      <c r="K15909" s="94"/>
      <c r="M15909" s="94"/>
    </row>
    <row r="15910" s="93" customFormat="1" spans="3:13">
      <c r="C15910" s="94"/>
      <c r="E15910" s="94"/>
      <c r="G15910" s="94"/>
      <c r="I15910" s="94"/>
      <c r="K15910" s="94"/>
      <c r="M15910" s="94"/>
    </row>
    <row r="15911" s="93" customFormat="1" spans="3:13">
      <c r="C15911" s="94"/>
      <c r="E15911" s="94"/>
      <c r="G15911" s="94"/>
      <c r="I15911" s="94"/>
      <c r="K15911" s="94"/>
      <c r="M15911" s="94"/>
    </row>
    <row r="15912" s="93" customFormat="1" spans="3:13">
      <c r="C15912" s="94"/>
      <c r="E15912" s="94"/>
      <c r="G15912" s="94"/>
      <c r="I15912" s="94"/>
      <c r="K15912" s="94"/>
      <c r="M15912" s="94"/>
    </row>
    <row r="15913" s="93" customFormat="1" spans="3:13">
      <c r="C15913" s="94"/>
      <c r="E15913" s="94"/>
      <c r="G15913" s="94"/>
      <c r="I15913" s="94"/>
      <c r="K15913" s="94"/>
      <c r="M15913" s="94"/>
    </row>
    <row r="15914" s="93" customFormat="1" spans="3:13">
      <c r="C15914" s="94"/>
      <c r="E15914" s="94"/>
      <c r="G15914" s="94"/>
      <c r="I15914" s="94"/>
      <c r="K15914" s="94"/>
      <c r="M15914" s="94"/>
    </row>
    <row r="15915" s="93" customFormat="1" spans="3:13">
      <c r="C15915" s="94"/>
      <c r="E15915" s="94"/>
      <c r="G15915" s="94"/>
      <c r="I15915" s="94"/>
      <c r="K15915" s="94"/>
      <c r="M15915" s="94"/>
    </row>
    <row r="15916" s="93" customFormat="1" spans="3:13">
      <c r="C15916" s="94"/>
      <c r="E15916" s="94"/>
      <c r="G15916" s="94"/>
      <c r="I15916" s="94"/>
      <c r="K15916" s="94"/>
      <c r="M15916" s="94"/>
    </row>
    <row r="15917" s="93" customFormat="1" spans="3:13">
      <c r="C15917" s="94"/>
      <c r="E15917" s="94"/>
      <c r="G15917" s="94"/>
      <c r="I15917" s="94"/>
      <c r="K15917" s="94"/>
      <c r="M15917" s="94"/>
    </row>
    <row r="15918" s="93" customFormat="1" spans="3:13">
      <c r="C15918" s="94"/>
      <c r="E15918" s="94"/>
      <c r="G15918" s="94"/>
      <c r="I15918" s="94"/>
      <c r="K15918" s="94"/>
      <c r="M15918" s="94"/>
    </row>
    <row r="15919" s="93" customFormat="1" spans="3:13">
      <c r="C15919" s="94"/>
      <c r="E15919" s="94"/>
      <c r="G15919" s="94"/>
      <c r="I15919" s="94"/>
      <c r="K15919" s="94"/>
      <c r="M15919" s="94"/>
    </row>
    <row r="15920" s="93" customFormat="1" spans="3:13">
      <c r="C15920" s="94"/>
      <c r="E15920" s="94"/>
      <c r="G15920" s="94"/>
      <c r="I15920" s="94"/>
      <c r="K15920" s="94"/>
      <c r="M15920" s="94"/>
    </row>
    <row r="15921" s="93" customFormat="1" spans="3:13">
      <c r="C15921" s="94"/>
      <c r="E15921" s="94"/>
      <c r="G15921" s="94"/>
      <c r="I15921" s="94"/>
      <c r="K15921" s="94"/>
      <c r="M15921" s="94"/>
    </row>
    <row r="15922" s="93" customFormat="1" spans="3:13">
      <c r="C15922" s="94"/>
      <c r="E15922" s="94"/>
      <c r="G15922" s="94"/>
      <c r="I15922" s="94"/>
      <c r="K15922" s="94"/>
      <c r="M15922" s="94"/>
    </row>
    <row r="15923" s="93" customFormat="1" spans="3:13">
      <c r="C15923" s="94"/>
      <c r="E15923" s="94"/>
      <c r="G15923" s="94"/>
      <c r="I15923" s="94"/>
      <c r="K15923" s="94"/>
      <c r="M15923" s="94"/>
    </row>
    <row r="15924" s="93" customFormat="1" spans="3:13">
      <c r="C15924" s="94"/>
      <c r="E15924" s="94"/>
      <c r="G15924" s="94"/>
      <c r="I15924" s="94"/>
      <c r="K15924" s="94"/>
      <c r="M15924" s="94"/>
    </row>
    <row r="15925" s="93" customFormat="1" spans="3:13">
      <c r="C15925" s="94"/>
      <c r="E15925" s="94"/>
      <c r="G15925" s="94"/>
      <c r="I15925" s="94"/>
      <c r="K15925" s="94"/>
      <c r="M15925" s="94"/>
    </row>
    <row r="15926" s="93" customFormat="1" spans="3:13">
      <c r="C15926" s="94"/>
      <c r="E15926" s="94"/>
      <c r="G15926" s="94"/>
      <c r="I15926" s="94"/>
      <c r="K15926" s="94"/>
      <c r="M15926" s="94"/>
    </row>
    <row r="15927" s="93" customFormat="1" spans="3:13">
      <c r="C15927" s="94"/>
      <c r="E15927" s="94"/>
      <c r="G15927" s="94"/>
      <c r="I15927" s="94"/>
      <c r="K15927" s="94"/>
      <c r="M15927" s="94"/>
    </row>
    <row r="15928" s="93" customFormat="1" spans="3:13">
      <c r="C15928" s="94"/>
      <c r="E15928" s="94"/>
      <c r="G15928" s="94"/>
      <c r="I15928" s="94"/>
      <c r="K15928" s="94"/>
      <c r="M15928" s="94"/>
    </row>
    <row r="15929" s="93" customFormat="1" spans="3:13">
      <c r="C15929" s="94"/>
      <c r="E15929" s="94"/>
      <c r="G15929" s="94"/>
      <c r="I15929" s="94"/>
      <c r="K15929" s="94"/>
      <c r="M15929" s="94"/>
    </row>
    <row r="15930" s="93" customFormat="1" spans="3:13">
      <c r="C15930" s="94"/>
      <c r="E15930" s="94"/>
      <c r="G15930" s="94"/>
      <c r="I15930" s="94"/>
      <c r="K15930" s="94"/>
      <c r="M15930" s="94"/>
    </row>
    <row r="15931" s="93" customFormat="1" spans="3:13">
      <c r="C15931" s="94"/>
      <c r="E15931" s="94"/>
      <c r="G15931" s="94"/>
      <c r="I15931" s="94"/>
      <c r="K15931" s="94"/>
      <c r="M15931" s="94"/>
    </row>
    <row r="15932" s="93" customFormat="1" spans="3:13">
      <c r="C15932" s="94"/>
      <c r="E15932" s="94"/>
      <c r="G15932" s="94"/>
      <c r="I15932" s="94"/>
      <c r="K15932" s="94"/>
      <c r="M15932" s="94"/>
    </row>
    <row r="15933" s="93" customFormat="1" spans="3:13">
      <c r="C15933" s="94"/>
      <c r="E15933" s="94"/>
      <c r="G15933" s="94"/>
      <c r="I15933" s="94"/>
      <c r="K15933" s="94"/>
      <c r="M15933" s="94"/>
    </row>
    <row r="15934" s="93" customFormat="1" spans="3:13">
      <c r="C15934" s="94"/>
      <c r="E15934" s="94"/>
      <c r="G15934" s="94"/>
      <c r="I15934" s="94"/>
      <c r="K15934" s="94"/>
      <c r="M15934" s="94"/>
    </row>
    <row r="15935" s="93" customFormat="1" spans="3:13">
      <c r="C15935" s="94"/>
      <c r="E15935" s="94"/>
      <c r="G15935" s="94"/>
      <c r="I15935" s="94"/>
      <c r="K15935" s="94"/>
      <c r="M15935" s="94"/>
    </row>
    <row r="15936" s="93" customFormat="1" spans="3:13">
      <c r="C15936" s="94"/>
      <c r="E15936" s="94"/>
      <c r="G15936" s="94"/>
      <c r="I15936" s="94"/>
      <c r="K15936" s="94"/>
      <c r="M15936" s="94"/>
    </row>
    <row r="15937" s="93" customFormat="1" spans="3:13">
      <c r="C15937" s="94"/>
      <c r="E15937" s="94"/>
      <c r="G15937" s="94"/>
      <c r="I15937" s="94"/>
      <c r="K15937" s="94"/>
      <c r="M15937" s="94"/>
    </row>
    <row r="15938" s="93" customFormat="1" spans="3:13">
      <c r="C15938" s="94"/>
      <c r="E15938" s="94"/>
      <c r="G15938" s="94"/>
      <c r="I15938" s="94"/>
      <c r="K15938" s="94"/>
      <c r="M15938" s="94"/>
    </row>
    <row r="15939" s="93" customFormat="1" spans="3:13">
      <c r="C15939" s="94"/>
      <c r="E15939" s="94"/>
      <c r="G15939" s="94"/>
      <c r="I15939" s="94"/>
      <c r="K15939" s="94"/>
      <c r="M15939" s="94"/>
    </row>
    <row r="15940" s="93" customFormat="1" spans="3:13">
      <c r="C15940" s="94"/>
      <c r="E15940" s="94"/>
      <c r="G15940" s="94"/>
      <c r="I15940" s="94"/>
      <c r="K15940" s="94"/>
      <c r="M15940" s="94"/>
    </row>
    <row r="15941" s="93" customFormat="1" spans="3:13">
      <c r="C15941" s="94"/>
      <c r="E15941" s="94"/>
      <c r="G15941" s="94"/>
      <c r="I15941" s="94"/>
      <c r="K15941" s="94"/>
      <c r="M15941" s="94"/>
    </row>
    <row r="15942" s="93" customFormat="1" spans="3:13">
      <c r="C15942" s="94"/>
      <c r="E15942" s="94"/>
      <c r="G15942" s="94"/>
      <c r="I15942" s="94"/>
      <c r="K15942" s="94"/>
      <c r="M15942" s="94"/>
    </row>
    <row r="15943" s="93" customFormat="1" spans="3:13">
      <c r="C15943" s="94"/>
      <c r="E15943" s="94"/>
      <c r="G15943" s="94"/>
      <c r="I15943" s="94"/>
      <c r="K15943" s="94"/>
      <c r="M15943" s="94"/>
    </row>
    <row r="15944" s="93" customFormat="1" spans="3:13">
      <c r="C15944" s="94"/>
      <c r="E15944" s="94"/>
      <c r="G15944" s="94"/>
      <c r="I15944" s="94"/>
      <c r="K15944" s="94"/>
      <c r="M15944" s="94"/>
    </row>
    <row r="15945" s="93" customFormat="1" spans="3:13">
      <c r="C15945" s="94"/>
      <c r="E15945" s="94"/>
      <c r="G15945" s="94"/>
      <c r="I15945" s="94"/>
      <c r="K15945" s="94"/>
      <c r="M15945" s="94"/>
    </row>
    <row r="15946" s="93" customFormat="1" spans="3:13">
      <c r="C15946" s="94"/>
      <c r="E15946" s="94"/>
      <c r="G15946" s="94"/>
      <c r="I15946" s="94"/>
      <c r="K15946" s="94"/>
      <c r="M15946" s="94"/>
    </row>
    <row r="15947" s="93" customFormat="1" spans="3:13">
      <c r="C15947" s="94"/>
      <c r="E15947" s="94"/>
      <c r="G15947" s="94"/>
      <c r="I15947" s="94"/>
      <c r="K15947" s="94"/>
      <c r="M15947" s="94"/>
    </row>
    <row r="15948" s="93" customFormat="1" spans="3:13">
      <c r="C15948" s="94"/>
      <c r="E15948" s="94"/>
      <c r="G15948" s="94"/>
      <c r="I15948" s="94"/>
      <c r="K15948" s="94"/>
      <c r="M15948" s="94"/>
    </row>
    <row r="15949" s="93" customFormat="1" spans="3:13">
      <c r="C15949" s="94"/>
      <c r="E15949" s="94"/>
      <c r="G15949" s="94"/>
      <c r="I15949" s="94"/>
      <c r="K15949" s="94"/>
      <c r="M15949" s="94"/>
    </row>
    <row r="15950" s="93" customFormat="1" spans="3:13">
      <c r="C15950" s="94"/>
      <c r="E15950" s="94"/>
      <c r="G15950" s="94"/>
      <c r="I15950" s="94"/>
      <c r="K15950" s="94"/>
      <c r="M15950" s="94"/>
    </row>
    <row r="15951" s="93" customFormat="1" spans="3:13">
      <c r="C15951" s="94"/>
      <c r="E15951" s="94"/>
      <c r="G15951" s="94"/>
      <c r="I15951" s="94"/>
      <c r="K15951" s="94"/>
      <c r="M15951" s="94"/>
    </row>
    <row r="15952" s="93" customFormat="1" spans="3:13">
      <c r="C15952" s="94"/>
      <c r="E15952" s="94"/>
      <c r="G15952" s="94"/>
      <c r="I15952" s="94"/>
      <c r="K15952" s="94"/>
      <c r="M15952" s="94"/>
    </row>
    <row r="15953" s="93" customFormat="1" spans="3:13">
      <c r="C15953" s="94"/>
      <c r="E15953" s="94"/>
      <c r="G15953" s="94"/>
      <c r="I15953" s="94"/>
      <c r="K15953" s="94"/>
      <c r="M15953" s="94"/>
    </row>
    <row r="15954" s="93" customFormat="1" spans="3:13">
      <c r="C15954" s="94"/>
      <c r="E15954" s="94"/>
      <c r="G15954" s="94"/>
      <c r="I15954" s="94"/>
      <c r="K15954" s="94"/>
      <c r="M15954" s="94"/>
    </row>
    <row r="15955" s="93" customFormat="1" spans="3:13">
      <c r="C15955" s="94"/>
      <c r="E15955" s="94"/>
      <c r="G15955" s="94"/>
      <c r="I15955" s="94"/>
      <c r="K15955" s="94"/>
      <c r="M15955" s="94"/>
    </row>
    <row r="15956" s="93" customFormat="1" spans="3:13">
      <c r="C15956" s="94"/>
      <c r="E15956" s="94"/>
      <c r="G15956" s="94"/>
      <c r="I15956" s="94"/>
      <c r="K15956" s="94"/>
      <c r="M15956" s="94"/>
    </row>
    <row r="15957" s="93" customFormat="1" spans="3:13">
      <c r="C15957" s="94"/>
      <c r="E15957" s="94"/>
      <c r="G15957" s="94"/>
      <c r="I15957" s="94"/>
      <c r="K15957" s="94"/>
      <c r="M15957" s="94"/>
    </row>
    <row r="15958" s="93" customFormat="1" spans="3:13">
      <c r="C15958" s="94"/>
      <c r="E15958" s="94"/>
      <c r="G15958" s="94"/>
      <c r="I15958" s="94"/>
      <c r="K15958" s="94"/>
      <c r="M15958" s="94"/>
    </row>
    <row r="15959" s="93" customFormat="1" spans="3:13">
      <c r="C15959" s="94"/>
      <c r="E15959" s="94"/>
      <c r="G15959" s="94"/>
      <c r="I15959" s="94"/>
      <c r="K15959" s="94"/>
      <c r="M15959" s="94"/>
    </row>
    <row r="15960" s="93" customFormat="1" spans="3:13">
      <c r="C15960" s="94"/>
      <c r="E15960" s="94"/>
      <c r="G15960" s="94"/>
      <c r="I15960" s="94"/>
      <c r="K15960" s="94"/>
      <c r="M15960" s="94"/>
    </row>
    <row r="15961" s="93" customFormat="1" spans="3:13">
      <c r="C15961" s="94"/>
      <c r="E15961" s="94"/>
      <c r="G15961" s="94"/>
      <c r="I15961" s="94"/>
      <c r="K15961" s="94"/>
      <c r="M15961" s="94"/>
    </row>
    <row r="15962" s="93" customFormat="1" spans="3:13">
      <c r="C15962" s="94"/>
      <c r="E15962" s="94"/>
      <c r="G15962" s="94"/>
      <c r="I15962" s="94"/>
      <c r="K15962" s="94"/>
      <c r="M15962" s="94"/>
    </row>
    <row r="15963" s="93" customFormat="1" spans="3:13">
      <c r="C15963" s="94"/>
      <c r="E15963" s="94"/>
      <c r="G15963" s="94"/>
      <c r="I15963" s="94"/>
      <c r="K15963" s="94"/>
      <c r="M15963" s="94"/>
    </row>
    <row r="15964" s="93" customFormat="1" spans="3:13">
      <c r="C15964" s="94"/>
      <c r="E15964" s="94"/>
      <c r="G15964" s="94"/>
      <c r="I15964" s="94"/>
      <c r="K15964" s="94"/>
      <c r="M15964" s="94"/>
    </row>
    <row r="15965" s="93" customFormat="1" spans="3:13">
      <c r="C15965" s="94"/>
      <c r="E15965" s="94"/>
      <c r="G15965" s="94"/>
      <c r="I15965" s="94"/>
      <c r="K15965" s="94"/>
      <c r="M15965" s="94"/>
    </row>
    <row r="15966" s="93" customFormat="1" spans="3:13">
      <c r="C15966" s="94"/>
      <c r="E15966" s="94"/>
      <c r="G15966" s="94"/>
      <c r="I15966" s="94"/>
      <c r="K15966" s="94"/>
      <c r="M15966" s="94"/>
    </row>
    <row r="15967" s="93" customFormat="1" spans="3:13">
      <c r="C15967" s="94"/>
      <c r="E15967" s="94"/>
      <c r="G15967" s="94"/>
      <c r="I15967" s="94"/>
      <c r="K15967" s="94"/>
      <c r="M15967" s="94"/>
    </row>
    <row r="15968" s="93" customFormat="1" spans="3:13">
      <c r="C15968" s="94"/>
      <c r="E15968" s="94"/>
      <c r="G15968" s="94"/>
      <c r="I15968" s="94"/>
      <c r="K15968" s="94"/>
      <c r="M15968" s="94"/>
    </row>
    <row r="15969" s="93" customFormat="1" spans="3:13">
      <c r="C15969" s="94"/>
      <c r="E15969" s="94"/>
      <c r="G15969" s="94"/>
      <c r="I15969" s="94"/>
      <c r="K15969" s="94"/>
      <c r="M15969" s="94"/>
    </row>
    <row r="15970" s="93" customFormat="1" spans="3:13">
      <c r="C15970" s="94"/>
      <c r="E15970" s="94"/>
      <c r="G15970" s="94"/>
      <c r="I15970" s="94"/>
      <c r="K15970" s="94"/>
      <c r="M15970" s="94"/>
    </row>
    <row r="15971" s="93" customFormat="1" spans="3:13">
      <c r="C15971" s="94"/>
      <c r="E15971" s="94"/>
      <c r="G15971" s="94"/>
      <c r="I15971" s="94"/>
      <c r="K15971" s="94"/>
      <c r="M15971" s="94"/>
    </row>
    <row r="15972" s="93" customFormat="1" spans="3:13">
      <c r="C15972" s="94"/>
      <c r="E15972" s="94"/>
      <c r="G15972" s="94"/>
      <c r="I15972" s="94"/>
      <c r="K15972" s="94"/>
      <c r="M15972" s="94"/>
    </row>
    <row r="15973" s="93" customFormat="1" spans="3:13">
      <c r="C15973" s="94"/>
      <c r="E15973" s="94"/>
      <c r="G15973" s="94"/>
      <c r="I15973" s="94"/>
      <c r="K15973" s="94"/>
      <c r="M15973" s="94"/>
    </row>
    <row r="15974" s="93" customFormat="1" spans="3:13">
      <c r="C15974" s="94"/>
      <c r="E15974" s="94"/>
      <c r="G15974" s="94"/>
      <c r="I15974" s="94"/>
      <c r="K15974" s="94"/>
      <c r="M15974" s="94"/>
    </row>
    <row r="15975" s="93" customFormat="1" spans="3:13">
      <c r="C15975" s="94"/>
      <c r="E15975" s="94"/>
      <c r="G15975" s="94"/>
      <c r="I15975" s="94"/>
      <c r="K15975" s="94"/>
      <c r="M15975" s="94"/>
    </row>
    <row r="15976" s="93" customFormat="1" spans="3:13">
      <c r="C15976" s="94"/>
      <c r="E15976" s="94"/>
      <c r="G15976" s="94"/>
      <c r="I15976" s="94"/>
      <c r="K15976" s="94"/>
      <c r="M15976" s="94"/>
    </row>
    <row r="15977" s="93" customFormat="1" spans="3:13">
      <c r="C15977" s="94"/>
      <c r="E15977" s="94"/>
      <c r="G15977" s="94"/>
      <c r="I15977" s="94"/>
      <c r="K15977" s="94"/>
      <c r="M15977" s="94"/>
    </row>
    <row r="15978" s="93" customFormat="1" spans="3:13">
      <c r="C15978" s="94"/>
      <c r="E15978" s="94"/>
      <c r="G15978" s="94"/>
      <c r="I15978" s="94"/>
      <c r="K15978" s="94"/>
      <c r="M15978" s="94"/>
    </row>
    <row r="15979" s="93" customFormat="1" spans="3:13">
      <c r="C15979" s="94"/>
      <c r="E15979" s="94"/>
      <c r="G15979" s="94"/>
      <c r="I15979" s="94"/>
      <c r="K15979" s="94"/>
      <c r="M15979" s="94"/>
    </row>
    <row r="15980" s="93" customFormat="1" spans="3:13">
      <c r="C15980" s="94"/>
      <c r="E15980" s="94"/>
      <c r="G15980" s="94"/>
      <c r="I15980" s="94"/>
      <c r="K15980" s="94"/>
      <c r="M15980" s="94"/>
    </row>
    <row r="15981" s="93" customFormat="1" spans="3:13">
      <c r="C15981" s="94"/>
      <c r="E15981" s="94"/>
      <c r="G15981" s="94"/>
      <c r="I15981" s="94"/>
      <c r="K15981" s="94"/>
      <c r="M15981" s="94"/>
    </row>
    <row r="15982" s="93" customFormat="1" spans="3:13">
      <c r="C15982" s="94"/>
      <c r="E15982" s="94"/>
      <c r="G15982" s="94"/>
      <c r="I15982" s="94"/>
      <c r="K15982" s="94"/>
      <c r="M15982" s="94"/>
    </row>
    <row r="15983" s="93" customFormat="1" spans="3:13">
      <c r="C15983" s="94"/>
      <c r="E15983" s="94"/>
      <c r="G15983" s="94"/>
      <c r="I15983" s="94"/>
      <c r="K15983" s="94"/>
      <c r="M15983" s="94"/>
    </row>
    <row r="15984" s="93" customFormat="1" spans="3:13">
      <c r="C15984" s="94"/>
      <c r="E15984" s="94"/>
      <c r="G15984" s="94"/>
      <c r="I15984" s="94"/>
      <c r="K15984" s="94"/>
      <c r="M15984" s="94"/>
    </row>
    <row r="15985" s="93" customFormat="1" spans="3:13">
      <c r="C15985" s="94"/>
      <c r="E15985" s="94"/>
      <c r="G15985" s="94"/>
      <c r="I15985" s="94"/>
      <c r="K15985" s="94"/>
      <c r="M15985" s="94"/>
    </row>
    <row r="15986" s="93" customFormat="1" spans="3:13">
      <c r="C15986" s="94"/>
      <c r="E15986" s="94"/>
      <c r="G15986" s="94"/>
      <c r="I15986" s="94"/>
      <c r="K15986" s="94"/>
      <c r="M15986" s="94"/>
    </row>
    <row r="15987" s="93" customFormat="1" spans="3:13">
      <c r="C15987" s="94"/>
      <c r="E15987" s="94"/>
      <c r="G15987" s="94"/>
      <c r="I15987" s="94"/>
      <c r="K15987" s="94"/>
      <c r="M15987" s="94"/>
    </row>
    <row r="15988" s="93" customFormat="1" spans="3:13">
      <c r="C15988" s="94"/>
      <c r="E15988" s="94"/>
      <c r="G15988" s="94"/>
      <c r="I15988" s="94"/>
      <c r="K15988" s="94"/>
      <c r="M15988" s="94"/>
    </row>
    <row r="15989" s="93" customFormat="1" spans="3:13">
      <c r="C15989" s="94"/>
      <c r="E15989" s="94"/>
      <c r="G15989" s="94"/>
      <c r="I15989" s="94"/>
      <c r="K15989" s="94"/>
      <c r="M15989" s="94"/>
    </row>
    <row r="15990" s="93" customFormat="1" spans="3:13">
      <c r="C15990" s="94"/>
      <c r="E15990" s="94"/>
      <c r="G15990" s="94"/>
      <c r="I15990" s="94"/>
      <c r="K15990" s="94"/>
      <c r="M15990" s="94"/>
    </row>
    <row r="15991" s="93" customFormat="1" spans="3:13">
      <c r="C15991" s="94"/>
      <c r="E15991" s="94"/>
      <c r="G15991" s="94"/>
      <c r="I15991" s="94"/>
      <c r="K15991" s="94"/>
      <c r="M15991" s="94"/>
    </row>
    <row r="15992" s="93" customFormat="1" spans="3:13">
      <c r="C15992" s="94"/>
      <c r="E15992" s="94"/>
      <c r="G15992" s="94"/>
      <c r="I15992" s="94"/>
      <c r="K15992" s="94"/>
      <c r="M15992" s="94"/>
    </row>
    <row r="15993" s="93" customFormat="1" spans="3:13">
      <c r="C15993" s="94"/>
      <c r="E15993" s="94"/>
      <c r="G15993" s="94"/>
      <c r="I15993" s="94"/>
      <c r="K15993" s="94"/>
      <c r="M15993" s="94"/>
    </row>
    <row r="15994" s="93" customFormat="1" spans="3:13">
      <c r="C15994" s="94"/>
      <c r="E15994" s="94"/>
      <c r="G15994" s="94"/>
      <c r="I15994" s="94"/>
      <c r="K15994" s="94"/>
      <c r="M15994" s="94"/>
    </row>
    <row r="15995" s="93" customFormat="1" spans="3:13">
      <c r="C15995" s="94"/>
      <c r="E15995" s="94"/>
      <c r="G15995" s="94"/>
      <c r="I15995" s="94"/>
      <c r="K15995" s="94"/>
      <c r="M15995" s="94"/>
    </row>
    <row r="15996" s="93" customFormat="1" spans="3:13">
      <c r="C15996" s="94"/>
      <c r="E15996" s="94"/>
      <c r="G15996" s="94"/>
      <c r="I15996" s="94"/>
      <c r="K15996" s="94"/>
      <c r="M15996" s="94"/>
    </row>
    <row r="15997" s="93" customFormat="1" spans="3:13">
      <c r="C15997" s="94"/>
      <c r="E15997" s="94"/>
      <c r="G15997" s="94"/>
      <c r="I15997" s="94"/>
      <c r="K15997" s="94"/>
      <c r="M15997" s="94"/>
    </row>
    <row r="15998" s="93" customFormat="1" spans="3:13">
      <c r="C15998" s="94"/>
      <c r="E15998" s="94"/>
      <c r="G15998" s="94"/>
      <c r="I15998" s="94"/>
      <c r="K15998" s="94"/>
      <c r="M15998" s="94"/>
    </row>
    <row r="15999" s="93" customFormat="1" spans="3:13">
      <c r="C15999" s="94"/>
      <c r="E15999" s="94"/>
      <c r="G15999" s="94"/>
      <c r="I15999" s="94"/>
      <c r="K15999" s="94"/>
      <c r="M15999" s="94"/>
    </row>
    <row r="16000" s="93" customFormat="1" spans="3:13">
      <c r="C16000" s="94"/>
      <c r="E16000" s="94"/>
      <c r="G16000" s="94"/>
      <c r="I16000" s="94"/>
      <c r="K16000" s="94"/>
      <c r="M16000" s="94"/>
    </row>
    <row r="16001" s="93" customFormat="1" spans="3:13">
      <c r="C16001" s="94"/>
      <c r="E16001" s="94"/>
      <c r="G16001" s="94"/>
      <c r="I16001" s="94"/>
      <c r="K16001" s="94"/>
      <c r="M16001" s="94"/>
    </row>
    <row r="16002" s="93" customFormat="1" spans="3:13">
      <c r="C16002" s="94"/>
      <c r="E16002" s="94"/>
      <c r="G16002" s="94"/>
      <c r="I16002" s="94"/>
      <c r="K16002" s="94"/>
      <c r="M16002" s="94"/>
    </row>
    <row r="16003" s="93" customFormat="1" spans="3:13">
      <c r="C16003" s="94"/>
      <c r="E16003" s="94"/>
      <c r="G16003" s="94"/>
      <c r="I16003" s="94"/>
      <c r="K16003" s="94"/>
      <c r="M16003" s="94"/>
    </row>
    <row r="16004" s="93" customFormat="1" spans="3:13">
      <c r="C16004" s="94"/>
      <c r="E16004" s="94"/>
      <c r="G16004" s="94"/>
      <c r="I16004" s="94"/>
      <c r="K16004" s="94"/>
      <c r="M16004" s="94"/>
    </row>
    <row r="16005" s="93" customFormat="1" spans="3:13">
      <c r="C16005" s="94"/>
      <c r="E16005" s="94"/>
      <c r="G16005" s="94"/>
      <c r="I16005" s="94"/>
      <c r="K16005" s="94"/>
      <c r="M16005" s="94"/>
    </row>
    <row r="16006" s="93" customFormat="1" spans="3:13">
      <c r="C16006" s="94"/>
      <c r="E16006" s="94"/>
      <c r="G16006" s="94"/>
      <c r="I16006" s="94"/>
      <c r="K16006" s="94"/>
      <c r="M16006" s="94"/>
    </row>
    <row r="16007" s="93" customFormat="1" spans="3:13">
      <c r="C16007" s="94"/>
      <c r="E16007" s="94"/>
      <c r="G16007" s="94"/>
      <c r="I16007" s="94"/>
      <c r="K16007" s="94"/>
      <c r="M16007" s="94"/>
    </row>
    <row r="16008" s="93" customFormat="1" spans="3:13">
      <c r="C16008" s="94"/>
      <c r="E16008" s="94"/>
      <c r="G16008" s="94"/>
      <c r="I16008" s="94"/>
      <c r="K16008" s="94"/>
      <c r="M16008" s="94"/>
    </row>
    <row r="16009" s="93" customFormat="1" spans="3:13">
      <c r="C16009" s="94"/>
      <c r="E16009" s="94"/>
      <c r="G16009" s="94"/>
      <c r="I16009" s="94"/>
      <c r="K16009" s="94"/>
      <c r="M16009" s="94"/>
    </row>
    <row r="16010" s="93" customFormat="1" spans="3:13">
      <c r="C16010" s="94"/>
      <c r="E16010" s="94"/>
      <c r="G16010" s="94"/>
      <c r="I16010" s="94"/>
      <c r="K16010" s="94"/>
      <c r="M16010" s="94"/>
    </row>
    <row r="16011" s="93" customFormat="1" spans="3:13">
      <c r="C16011" s="94"/>
      <c r="E16011" s="94"/>
      <c r="G16011" s="94"/>
      <c r="I16011" s="94"/>
      <c r="K16011" s="94"/>
      <c r="M16011" s="94"/>
    </row>
    <row r="16012" s="93" customFormat="1" spans="3:13">
      <c r="C16012" s="94"/>
      <c r="E16012" s="94"/>
      <c r="G16012" s="94"/>
      <c r="I16012" s="94"/>
      <c r="K16012" s="94"/>
      <c r="M16012" s="94"/>
    </row>
    <row r="16013" s="93" customFormat="1" spans="3:13">
      <c r="C16013" s="94"/>
      <c r="E16013" s="94"/>
      <c r="G16013" s="94"/>
      <c r="I16013" s="94"/>
      <c r="K16013" s="94"/>
      <c r="M16013" s="94"/>
    </row>
    <row r="16014" s="93" customFormat="1" spans="3:13">
      <c r="C16014" s="94"/>
      <c r="E16014" s="94"/>
      <c r="G16014" s="94"/>
      <c r="I16014" s="94"/>
      <c r="K16014" s="94"/>
      <c r="M16014" s="94"/>
    </row>
    <row r="16015" s="93" customFormat="1" spans="3:13">
      <c r="C16015" s="94"/>
      <c r="E16015" s="94"/>
      <c r="G16015" s="94"/>
      <c r="I16015" s="94"/>
      <c r="K16015" s="94"/>
      <c r="M16015" s="94"/>
    </row>
    <row r="16016" s="93" customFormat="1" spans="3:13">
      <c r="C16016" s="94"/>
      <c r="E16016" s="94"/>
      <c r="G16016" s="94"/>
      <c r="I16016" s="94"/>
      <c r="K16016" s="94"/>
      <c r="M16016" s="94"/>
    </row>
    <row r="16017" s="93" customFormat="1" spans="3:13">
      <c r="C16017" s="94"/>
      <c r="E16017" s="94"/>
      <c r="G16017" s="94"/>
      <c r="I16017" s="94"/>
      <c r="K16017" s="94"/>
      <c r="M16017" s="94"/>
    </row>
    <row r="16018" s="93" customFormat="1" spans="3:13">
      <c r="C16018" s="94"/>
      <c r="E16018" s="94"/>
      <c r="G16018" s="94"/>
      <c r="I16018" s="94"/>
      <c r="K16018" s="94"/>
      <c r="M16018" s="94"/>
    </row>
    <row r="16019" s="93" customFormat="1" spans="3:13">
      <c r="C16019" s="94"/>
      <c r="E16019" s="94"/>
      <c r="G16019" s="94"/>
      <c r="I16019" s="94"/>
      <c r="K16019" s="94"/>
      <c r="M16019" s="94"/>
    </row>
    <row r="16020" s="93" customFormat="1" spans="3:13">
      <c r="C16020" s="94"/>
      <c r="E16020" s="94"/>
      <c r="G16020" s="94"/>
      <c r="I16020" s="94"/>
      <c r="K16020" s="94"/>
      <c r="M16020" s="94"/>
    </row>
    <row r="16021" s="93" customFormat="1" spans="3:13">
      <c r="C16021" s="94"/>
      <c r="E16021" s="94"/>
      <c r="G16021" s="94"/>
      <c r="I16021" s="94"/>
      <c r="K16021" s="94"/>
      <c r="M16021" s="94"/>
    </row>
    <row r="16022" s="93" customFormat="1" spans="3:13">
      <c r="C16022" s="94"/>
      <c r="E16022" s="94"/>
      <c r="G16022" s="94"/>
      <c r="I16022" s="94"/>
      <c r="K16022" s="94"/>
      <c r="M16022" s="94"/>
    </row>
    <row r="16023" s="93" customFormat="1" spans="3:13">
      <c r="C16023" s="94"/>
      <c r="E16023" s="94"/>
      <c r="G16023" s="94"/>
      <c r="I16023" s="94"/>
      <c r="K16023" s="94"/>
      <c r="M16023" s="94"/>
    </row>
    <row r="16024" s="93" customFormat="1" spans="3:13">
      <c r="C16024" s="94"/>
      <c r="E16024" s="94"/>
      <c r="G16024" s="94"/>
      <c r="I16024" s="94"/>
      <c r="K16024" s="94"/>
      <c r="M16024" s="94"/>
    </row>
    <row r="16025" s="93" customFormat="1" spans="3:13">
      <c r="C16025" s="94"/>
      <c r="E16025" s="94"/>
      <c r="G16025" s="94"/>
      <c r="I16025" s="94"/>
      <c r="K16025" s="94"/>
      <c r="M16025" s="94"/>
    </row>
    <row r="16026" s="93" customFormat="1" spans="3:13">
      <c r="C16026" s="94"/>
      <c r="E16026" s="94"/>
      <c r="G16026" s="94"/>
      <c r="I16026" s="94"/>
      <c r="K16026" s="94"/>
      <c r="M16026" s="94"/>
    </row>
    <row r="16027" s="93" customFormat="1" spans="3:13">
      <c r="C16027" s="94"/>
      <c r="E16027" s="94"/>
      <c r="G16027" s="94"/>
      <c r="I16027" s="94"/>
      <c r="K16027" s="94"/>
      <c r="M16027" s="94"/>
    </row>
    <row r="16028" s="93" customFormat="1" spans="3:13">
      <c r="C16028" s="94"/>
      <c r="E16028" s="94"/>
      <c r="G16028" s="94"/>
      <c r="I16028" s="94"/>
      <c r="K16028" s="94"/>
      <c r="M16028" s="94"/>
    </row>
    <row r="16029" s="93" customFormat="1" spans="3:13">
      <c r="C16029" s="94"/>
      <c r="E16029" s="94"/>
      <c r="G16029" s="94"/>
      <c r="I16029" s="94"/>
      <c r="K16029" s="94"/>
      <c r="M16029" s="94"/>
    </row>
    <row r="16030" s="93" customFormat="1" spans="3:13">
      <c r="C16030" s="94"/>
      <c r="E16030" s="94"/>
      <c r="G16030" s="94"/>
      <c r="I16030" s="94"/>
      <c r="K16030" s="94"/>
      <c r="M16030" s="94"/>
    </row>
    <row r="16031" s="93" customFormat="1" spans="3:13">
      <c r="C16031" s="94"/>
      <c r="E16031" s="94"/>
      <c r="G16031" s="94"/>
      <c r="I16031" s="94"/>
      <c r="K16031" s="94"/>
      <c r="M16031" s="94"/>
    </row>
    <row r="16032" s="93" customFormat="1" spans="3:13">
      <c r="C16032" s="94"/>
      <c r="E16032" s="94"/>
      <c r="G16032" s="94"/>
      <c r="I16032" s="94"/>
      <c r="K16032" s="94"/>
      <c r="M16032" s="94"/>
    </row>
    <row r="16033" s="93" customFormat="1" spans="3:13">
      <c r="C16033" s="94"/>
      <c r="E16033" s="94"/>
      <c r="G16033" s="94"/>
      <c r="I16033" s="94"/>
      <c r="K16033" s="94"/>
      <c r="M16033" s="94"/>
    </row>
    <row r="16034" s="93" customFormat="1" spans="3:13">
      <c r="C16034" s="94"/>
      <c r="E16034" s="94"/>
      <c r="G16034" s="94"/>
      <c r="I16034" s="94"/>
      <c r="K16034" s="94"/>
      <c r="M16034" s="94"/>
    </row>
    <row r="16035" s="93" customFormat="1" spans="3:13">
      <c r="C16035" s="94"/>
      <c r="E16035" s="94"/>
      <c r="G16035" s="94"/>
      <c r="I16035" s="94"/>
      <c r="K16035" s="94"/>
      <c r="M16035" s="94"/>
    </row>
    <row r="16036" s="93" customFormat="1" spans="3:13">
      <c r="C16036" s="94"/>
      <c r="E16036" s="94"/>
      <c r="G16036" s="94"/>
      <c r="I16036" s="94"/>
      <c r="K16036" s="94"/>
      <c r="M16036" s="94"/>
    </row>
    <row r="16037" s="93" customFormat="1" spans="3:13">
      <c r="C16037" s="94"/>
      <c r="E16037" s="94"/>
      <c r="G16037" s="94"/>
      <c r="I16037" s="94"/>
      <c r="K16037" s="94"/>
      <c r="M16037" s="94"/>
    </row>
    <row r="16038" s="93" customFormat="1" spans="3:13">
      <c r="C16038" s="94"/>
      <c r="E16038" s="94"/>
      <c r="G16038" s="94"/>
      <c r="I16038" s="94"/>
      <c r="K16038" s="94"/>
      <c r="M16038" s="94"/>
    </row>
    <row r="16039" s="93" customFormat="1" spans="3:13">
      <c r="C16039" s="94"/>
      <c r="E16039" s="94"/>
      <c r="G16039" s="94"/>
      <c r="I16039" s="94"/>
      <c r="K16039" s="94"/>
      <c r="M16039" s="94"/>
    </row>
    <row r="16040" s="93" customFormat="1" spans="3:13">
      <c r="C16040" s="94"/>
      <c r="E16040" s="94"/>
      <c r="G16040" s="94"/>
      <c r="I16040" s="94"/>
      <c r="K16040" s="94"/>
      <c r="M16040" s="94"/>
    </row>
    <row r="16041" s="93" customFormat="1" spans="3:13">
      <c r="C16041" s="94"/>
      <c r="E16041" s="94"/>
      <c r="G16041" s="94"/>
      <c r="I16041" s="94"/>
      <c r="K16041" s="94"/>
      <c r="M16041" s="94"/>
    </row>
    <row r="16042" s="93" customFormat="1" spans="3:13">
      <c r="C16042" s="94"/>
      <c r="E16042" s="94"/>
      <c r="G16042" s="94"/>
      <c r="I16042" s="94"/>
      <c r="K16042" s="94"/>
      <c r="M16042" s="94"/>
    </row>
    <row r="16043" s="93" customFormat="1" spans="3:13">
      <c r="C16043" s="94"/>
      <c r="E16043" s="94"/>
      <c r="G16043" s="94"/>
      <c r="I16043" s="94"/>
      <c r="K16043" s="94"/>
      <c r="M16043" s="94"/>
    </row>
    <row r="16044" s="93" customFormat="1" spans="3:13">
      <c r="C16044" s="94"/>
      <c r="E16044" s="94"/>
      <c r="G16044" s="94"/>
      <c r="I16044" s="94"/>
      <c r="K16044" s="94"/>
      <c r="M16044" s="94"/>
    </row>
    <row r="16045" s="93" customFormat="1" spans="3:13">
      <c r="C16045" s="94"/>
      <c r="E16045" s="94"/>
      <c r="G16045" s="94"/>
      <c r="I16045" s="94"/>
      <c r="K16045" s="94"/>
      <c r="M16045" s="94"/>
    </row>
    <row r="16046" s="93" customFormat="1" spans="3:13">
      <c r="C16046" s="94"/>
      <c r="E16046" s="94"/>
      <c r="G16046" s="94"/>
      <c r="I16046" s="94"/>
      <c r="K16046" s="94"/>
      <c r="M16046" s="94"/>
    </row>
    <row r="16047" s="93" customFormat="1" spans="3:13">
      <c r="C16047" s="94"/>
      <c r="E16047" s="94"/>
      <c r="G16047" s="94"/>
      <c r="I16047" s="94"/>
      <c r="K16047" s="94"/>
      <c r="M16047" s="94"/>
    </row>
    <row r="16048" s="93" customFormat="1" spans="3:13">
      <c r="C16048" s="94"/>
      <c r="E16048" s="94"/>
      <c r="G16048" s="94"/>
      <c r="I16048" s="94"/>
      <c r="K16048" s="94"/>
      <c r="M16048" s="94"/>
    </row>
    <row r="16049" s="93" customFormat="1" spans="3:13">
      <c r="C16049" s="94"/>
      <c r="E16049" s="94"/>
      <c r="G16049" s="94"/>
      <c r="I16049" s="94"/>
      <c r="K16049" s="94"/>
      <c r="M16049" s="94"/>
    </row>
    <row r="16050" s="93" customFormat="1" spans="3:13">
      <c r="C16050" s="94"/>
      <c r="E16050" s="94"/>
      <c r="G16050" s="94"/>
      <c r="I16050" s="94"/>
      <c r="K16050" s="94"/>
      <c r="M16050" s="94"/>
    </row>
    <row r="16051" s="93" customFormat="1" spans="3:13">
      <c r="C16051" s="94"/>
      <c r="E16051" s="94"/>
      <c r="G16051" s="94"/>
      <c r="I16051" s="94"/>
      <c r="K16051" s="94"/>
      <c r="M16051" s="94"/>
    </row>
    <row r="16052" s="93" customFormat="1" spans="3:13">
      <c r="C16052" s="94"/>
      <c r="E16052" s="94"/>
      <c r="G16052" s="94"/>
      <c r="I16052" s="94"/>
      <c r="K16052" s="94"/>
      <c r="M16052" s="94"/>
    </row>
    <row r="16053" s="93" customFormat="1" spans="3:13">
      <c r="C16053" s="94"/>
      <c r="E16053" s="94"/>
      <c r="G16053" s="94"/>
      <c r="I16053" s="94"/>
      <c r="K16053" s="94"/>
      <c r="M16053" s="94"/>
    </row>
    <row r="16054" s="93" customFormat="1" spans="3:13">
      <c r="C16054" s="94"/>
      <c r="E16054" s="94"/>
      <c r="G16054" s="94"/>
      <c r="I16054" s="94"/>
      <c r="K16054" s="94"/>
      <c r="M16054" s="94"/>
    </row>
    <row r="16055" s="93" customFormat="1" spans="3:13">
      <c r="C16055" s="94"/>
      <c r="E16055" s="94"/>
      <c r="G16055" s="94"/>
      <c r="I16055" s="94"/>
      <c r="K16055" s="94"/>
      <c r="M16055" s="94"/>
    </row>
    <row r="16056" s="93" customFormat="1" spans="3:13">
      <c r="C16056" s="94"/>
      <c r="E16056" s="94"/>
      <c r="G16056" s="94"/>
      <c r="I16056" s="94"/>
      <c r="K16056" s="94"/>
      <c r="M16056" s="94"/>
    </row>
    <row r="16057" s="93" customFormat="1" spans="3:13">
      <c r="C16057" s="94"/>
      <c r="E16057" s="94"/>
      <c r="G16057" s="94"/>
      <c r="I16057" s="94"/>
      <c r="K16057" s="94"/>
      <c r="M16057" s="94"/>
    </row>
    <row r="16058" s="93" customFormat="1" spans="3:13">
      <c r="C16058" s="94"/>
      <c r="E16058" s="94"/>
      <c r="G16058" s="94"/>
      <c r="I16058" s="94"/>
      <c r="K16058" s="94"/>
      <c r="M16058" s="94"/>
    </row>
    <row r="16059" s="93" customFormat="1" spans="3:13">
      <c r="C16059" s="94"/>
      <c r="E16059" s="94"/>
      <c r="G16059" s="94"/>
      <c r="I16059" s="94"/>
      <c r="K16059" s="94"/>
      <c r="M16059" s="94"/>
    </row>
    <row r="16060" s="93" customFormat="1" spans="3:13">
      <c r="C16060" s="94"/>
      <c r="E16060" s="94"/>
      <c r="G16060" s="94"/>
      <c r="I16060" s="94"/>
      <c r="K16060" s="94"/>
      <c r="M16060" s="94"/>
    </row>
    <row r="16061" s="93" customFormat="1" spans="3:13">
      <c r="C16061" s="94"/>
      <c r="E16061" s="94"/>
      <c r="G16061" s="94"/>
      <c r="I16061" s="94"/>
      <c r="K16061" s="94"/>
      <c r="M16061" s="94"/>
    </row>
    <row r="16062" s="93" customFormat="1" spans="3:13">
      <c r="C16062" s="94"/>
      <c r="E16062" s="94"/>
      <c r="G16062" s="94"/>
      <c r="I16062" s="94"/>
      <c r="K16062" s="94"/>
      <c r="M16062" s="94"/>
    </row>
    <row r="16063" s="93" customFormat="1" spans="3:13">
      <c r="C16063" s="94"/>
      <c r="E16063" s="94"/>
      <c r="G16063" s="94"/>
      <c r="I16063" s="94"/>
      <c r="K16063" s="94"/>
      <c r="M16063" s="94"/>
    </row>
    <row r="16064" s="93" customFormat="1" spans="3:13">
      <c r="C16064" s="94"/>
      <c r="E16064" s="94"/>
      <c r="G16064" s="94"/>
      <c r="I16064" s="94"/>
      <c r="K16064" s="94"/>
      <c r="M16064" s="94"/>
    </row>
    <row r="16065" s="93" customFormat="1" spans="3:13">
      <c r="C16065" s="94"/>
      <c r="E16065" s="94"/>
      <c r="G16065" s="94"/>
      <c r="I16065" s="94"/>
      <c r="K16065" s="94"/>
      <c r="M16065" s="94"/>
    </row>
    <row r="16066" s="93" customFormat="1" spans="3:13">
      <c r="C16066" s="94"/>
      <c r="E16066" s="94"/>
      <c r="G16066" s="94"/>
      <c r="I16066" s="94"/>
      <c r="K16066" s="94"/>
      <c r="M16066" s="94"/>
    </row>
    <row r="16067" s="93" customFormat="1" spans="3:13">
      <c r="C16067" s="94"/>
      <c r="E16067" s="94"/>
      <c r="G16067" s="94"/>
      <c r="I16067" s="94"/>
      <c r="K16067" s="94"/>
      <c r="M16067" s="94"/>
    </row>
    <row r="16068" s="93" customFormat="1" spans="3:13">
      <c r="C16068" s="94"/>
      <c r="E16068" s="94"/>
      <c r="G16068" s="94"/>
      <c r="I16068" s="94"/>
      <c r="K16068" s="94"/>
      <c r="M16068" s="94"/>
    </row>
    <row r="16069" s="93" customFormat="1" spans="3:13">
      <c r="C16069" s="94"/>
      <c r="E16069" s="94"/>
      <c r="G16069" s="94"/>
      <c r="I16069" s="94"/>
      <c r="K16069" s="94"/>
      <c r="M16069" s="94"/>
    </row>
    <row r="16070" s="93" customFormat="1" spans="3:13">
      <c r="C16070" s="94"/>
      <c r="E16070" s="94"/>
      <c r="G16070" s="94"/>
      <c r="I16070" s="94"/>
      <c r="K16070" s="94"/>
      <c r="M16070" s="94"/>
    </row>
    <row r="16071" s="93" customFormat="1" spans="3:13">
      <c r="C16071" s="94"/>
      <c r="E16071" s="94"/>
      <c r="G16071" s="94"/>
      <c r="I16071" s="94"/>
      <c r="K16071" s="94"/>
      <c r="M16071" s="94"/>
    </row>
    <row r="16072" s="93" customFormat="1" spans="3:13">
      <c r="C16072" s="94"/>
      <c r="E16072" s="94"/>
      <c r="G16072" s="94"/>
      <c r="I16072" s="94"/>
      <c r="K16072" s="94"/>
      <c r="M16072" s="94"/>
    </row>
    <row r="16073" s="93" customFormat="1" spans="3:13">
      <c r="C16073" s="94"/>
      <c r="E16073" s="94"/>
      <c r="G16073" s="94"/>
      <c r="I16073" s="94"/>
      <c r="K16073" s="94"/>
      <c r="M16073" s="94"/>
    </row>
    <row r="16074" s="93" customFormat="1" spans="3:13">
      <c r="C16074" s="94"/>
      <c r="E16074" s="94"/>
      <c r="G16074" s="94"/>
      <c r="I16074" s="94"/>
      <c r="K16074" s="94"/>
      <c r="M16074" s="94"/>
    </row>
    <row r="16075" s="93" customFormat="1" spans="3:13">
      <c r="C16075" s="94"/>
      <c r="E16075" s="94"/>
      <c r="G16075" s="94"/>
      <c r="I16075" s="94"/>
      <c r="K16075" s="94"/>
      <c r="M16075" s="94"/>
    </row>
    <row r="16076" s="93" customFormat="1" spans="3:13">
      <c r="C16076" s="94"/>
      <c r="E16076" s="94"/>
      <c r="G16076" s="94"/>
      <c r="I16076" s="94"/>
      <c r="K16076" s="94"/>
      <c r="M16076" s="94"/>
    </row>
    <row r="16077" s="93" customFormat="1" spans="3:13">
      <c r="C16077" s="94"/>
      <c r="E16077" s="94"/>
      <c r="G16077" s="94"/>
      <c r="I16077" s="94"/>
      <c r="K16077" s="94"/>
      <c r="M16077" s="94"/>
    </row>
    <row r="16078" s="93" customFormat="1" spans="3:13">
      <c r="C16078" s="94"/>
      <c r="E16078" s="94"/>
      <c r="G16078" s="94"/>
      <c r="I16078" s="94"/>
      <c r="K16078" s="94"/>
      <c r="M16078" s="94"/>
    </row>
    <row r="16079" s="93" customFormat="1" spans="3:13">
      <c r="C16079" s="94"/>
      <c r="E16079" s="94"/>
      <c r="G16079" s="94"/>
      <c r="I16079" s="94"/>
      <c r="K16079" s="94"/>
      <c r="M16079" s="94"/>
    </row>
    <row r="16080" s="93" customFormat="1" spans="3:13">
      <c r="C16080" s="94"/>
      <c r="E16080" s="94"/>
      <c r="G16080" s="94"/>
      <c r="I16080" s="94"/>
      <c r="K16080" s="94"/>
      <c r="M16080" s="94"/>
    </row>
    <row r="16081" s="93" customFormat="1" spans="3:13">
      <c r="C16081" s="94"/>
      <c r="E16081" s="94"/>
      <c r="G16081" s="94"/>
      <c r="I16081" s="94"/>
      <c r="K16081" s="94"/>
      <c r="M16081" s="94"/>
    </row>
    <row r="16082" s="93" customFormat="1" spans="3:13">
      <c r="C16082" s="94"/>
      <c r="E16082" s="94"/>
      <c r="G16082" s="94"/>
      <c r="I16082" s="94"/>
      <c r="K16082" s="94"/>
      <c r="M16082" s="94"/>
    </row>
    <row r="16083" s="93" customFormat="1" spans="3:13">
      <c r="C16083" s="94"/>
      <c r="E16083" s="94"/>
      <c r="G16083" s="94"/>
      <c r="I16083" s="94"/>
      <c r="K16083" s="94"/>
      <c r="M16083" s="94"/>
    </row>
    <row r="16084" s="93" customFormat="1" spans="3:13">
      <c r="C16084" s="94"/>
      <c r="E16084" s="94"/>
      <c r="G16084" s="94"/>
      <c r="I16084" s="94"/>
      <c r="K16084" s="94"/>
      <c r="M16084" s="94"/>
    </row>
    <row r="16085" s="93" customFormat="1" spans="3:13">
      <c r="C16085" s="94"/>
      <c r="E16085" s="94"/>
      <c r="G16085" s="94"/>
      <c r="I16085" s="94"/>
      <c r="K16085" s="94"/>
      <c r="M16085" s="94"/>
    </row>
    <row r="16086" s="93" customFormat="1" spans="3:13">
      <c r="C16086" s="94"/>
      <c r="E16086" s="94"/>
      <c r="G16086" s="94"/>
      <c r="I16086" s="94"/>
      <c r="K16086" s="94"/>
      <c r="M16086" s="94"/>
    </row>
    <row r="16087" s="93" customFormat="1" spans="3:13">
      <c r="C16087" s="94"/>
      <c r="E16087" s="94"/>
      <c r="G16087" s="94"/>
      <c r="I16087" s="94"/>
      <c r="K16087" s="94"/>
      <c r="M16087" s="94"/>
    </row>
    <row r="16088" s="93" customFormat="1" spans="3:13">
      <c r="C16088" s="94"/>
      <c r="E16088" s="94"/>
      <c r="G16088" s="94"/>
      <c r="I16088" s="94"/>
      <c r="K16088" s="94"/>
      <c r="M16088" s="94"/>
    </row>
    <row r="16089" s="93" customFormat="1" spans="3:13">
      <c r="C16089" s="94"/>
      <c r="E16089" s="94"/>
      <c r="G16089" s="94"/>
      <c r="I16089" s="94"/>
      <c r="K16089" s="94"/>
      <c r="M16089" s="94"/>
    </row>
    <row r="16090" s="93" customFormat="1" spans="3:13">
      <c r="C16090" s="94"/>
      <c r="E16090" s="94"/>
      <c r="G16090" s="94"/>
      <c r="I16090" s="94"/>
      <c r="K16090" s="94"/>
      <c r="M16090" s="94"/>
    </row>
    <row r="16091" s="93" customFormat="1" spans="3:13">
      <c r="C16091" s="94"/>
      <c r="E16091" s="94"/>
      <c r="G16091" s="94"/>
      <c r="I16091" s="94"/>
      <c r="K16091" s="94"/>
      <c r="M16091" s="94"/>
    </row>
    <row r="16092" s="93" customFormat="1" spans="3:13">
      <c r="C16092" s="94"/>
      <c r="E16092" s="94"/>
      <c r="G16092" s="94"/>
      <c r="I16092" s="94"/>
      <c r="K16092" s="94"/>
      <c r="M16092" s="94"/>
    </row>
    <row r="16093" s="93" customFormat="1" spans="3:13">
      <c r="C16093" s="94"/>
      <c r="E16093" s="94"/>
      <c r="G16093" s="94"/>
      <c r="I16093" s="94"/>
      <c r="K16093" s="94"/>
      <c r="M16093" s="94"/>
    </row>
    <row r="16094" s="93" customFormat="1" spans="3:13">
      <c r="C16094" s="94"/>
      <c r="E16094" s="94"/>
      <c r="G16094" s="94"/>
      <c r="I16094" s="94"/>
      <c r="K16094" s="94"/>
      <c r="M16094" s="94"/>
    </row>
    <row r="16095" s="93" customFormat="1" spans="3:13">
      <c r="C16095" s="94"/>
      <c r="E16095" s="94"/>
      <c r="G16095" s="94"/>
      <c r="I16095" s="94"/>
      <c r="K16095" s="94"/>
      <c r="M16095" s="94"/>
    </row>
    <row r="16096" s="93" customFormat="1" spans="3:13">
      <c r="C16096" s="94"/>
      <c r="E16096" s="94"/>
      <c r="G16096" s="94"/>
      <c r="I16096" s="94"/>
      <c r="K16096" s="94"/>
      <c r="M16096" s="94"/>
    </row>
    <row r="16097" s="93" customFormat="1" spans="3:13">
      <c r="C16097" s="94"/>
      <c r="E16097" s="94"/>
      <c r="G16097" s="94"/>
      <c r="I16097" s="94"/>
      <c r="K16097" s="94"/>
      <c r="M16097" s="94"/>
    </row>
    <row r="16098" s="93" customFormat="1" spans="3:13">
      <c r="C16098" s="94"/>
      <c r="E16098" s="94"/>
      <c r="G16098" s="94"/>
      <c r="I16098" s="94"/>
      <c r="K16098" s="94"/>
      <c r="M16098" s="94"/>
    </row>
    <row r="16099" s="93" customFormat="1" spans="3:13">
      <c r="C16099" s="94"/>
      <c r="E16099" s="94"/>
      <c r="G16099" s="94"/>
      <c r="I16099" s="94"/>
      <c r="K16099" s="94"/>
      <c r="M16099" s="94"/>
    </row>
    <row r="16100" s="93" customFormat="1" spans="3:13">
      <c r="C16100" s="94"/>
      <c r="E16100" s="94"/>
      <c r="G16100" s="94"/>
      <c r="I16100" s="94"/>
      <c r="K16100" s="94"/>
      <c r="M16100" s="94"/>
    </row>
    <row r="16101" s="93" customFormat="1" spans="3:13">
      <c r="C16101" s="94"/>
      <c r="E16101" s="94"/>
      <c r="G16101" s="94"/>
      <c r="I16101" s="94"/>
      <c r="K16101" s="94"/>
      <c r="M16101" s="94"/>
    </row>
    <row r="16102" s="93" customFormat="1" spans="3:13">
      <c r="C16102" s="94"/>
      <c r="E16102" s="94"/>
      <c r="G16102" s="94"/>
      <c r="I16102" s="94"/>
      <c r="K16102" s="94"/>
      <c r="M16102" s="94"/>
    </row>
    <row r="16103" s="93" customFormat="1" spans="3:13">
      <c r="C16103" s="94"/>
      <c r="E16103" s="94"/>
      <c r="G16103" s="94"/>
      <c r="I16103" s="94"/>
      <c r="K16103" s="94"/>
      <c r="M16103" s="94"/>
    </row>
    <row r="16104" s="93" customFormat="1" spans="3:13">
      <c r="C16104" s="94"/>
      <c r="E16104" s="94"/>
      <c r="G16104" s="94"/>
      <c r="I16104" s="94"/>
      <c r="K16104" s="94"/>
      <c r="M16104" s="94"/>
    </row>
    <row r="16105" s="93" customFormat="1" spans="3:13">
      <c r="C16105" s="94"/>
      <c r="E16105" s="94"/>
      <c r="G16105" s="94"/>
      <c r="I16105" s="94"/>
      <c r="K16105" s="94"/>
      <c r="M16105" s="94"/>
    </row>
    <row r="16106" s="93" customFormat="1" spans="3:13">
      <c r="C16106" s="94"/>
      <c r="E16106" s="94"/>
      <c r="G16106" s="94"/>
      <c r="I16106" s="94"/>
      <c r="K16106" s="94"/>
      <c r="M16106" s="94"/>
    </row>
    <row r="16107" s="93" customFormat="1" spans="3:13">
      <c r="C16107" s="94"/>
      <c r="E16107" s="94"/>
      <c r="G16107" s="94"/>
      <c r="I16107" s="94"/>
      <c r="K16107" s="94"/>
      <c r="M16107" s="94"/>
    </row>
    <row r="16108" s="93" customFormat="1" spans="3:13">
      <c r="C16108" s="94"/>
      <c r="E16108" s="94"/>
      <c r="G16108" s="94"/>
      <c r="I16108" s="94"/>
      <c r="K16108" s="94"/>
      <c r="M16108" s="94"/>
    </row>
    <row r="16109" s="93" customFormat="1" spans="3:13">
      <c r="C16109" s="94"/>
      <c r="E16109" s="94"/>
      <c r="G16109" s="94"/>
      <c r="I16109" s="94"/>
      <c r="K16109" s="94"/>
      <c r="M16109" s="94"/>
    </row>
    <row r="16110" s="93" customFormat="1" spans="3:13">
      <c r="C16110" s="94"/>
      <c r="E16110" s="94"/>
      <c r="G16110" s="94"/>
      <c r="I16110" s="94"/>
      <c r="K16110" s="94"/>
      <c r="M16110" s="94"/>
    </row>
    <row r="16111" s="93" customFormat="1" spans="3:13">
      <c r="C16111" s="94"/>
      <c r="E16111" s="94"/>
      <c r="G16111" s="94"/>
      <c r="I16111" s="94"/>
      <c r="K16111" s="94"/>
      <c r="M16111" s="94"/>
    </row>
    <row r="16112" s="93" customFormat="1" spans="3:13">
      <c r="C16112" s="94"/>
      <c r="E16112" s="94"/>
      <c r="G16112" s="94"/>
      <c r="I16112" s="94"/>
      <c r="K16112" s="94"/>
      <c r="M16112" s="94"/>
    </row>
    <row r="16113" s="93" customFormat="1" spans="3:13">
      <c r="C16113" s="94"/>
      <c r="E16113" s="94"/>
      <c r="G16113" s="94"/>
      <c r="I16113" s="94"/>
      <c r="K16113" s="94"/>
      <c r="M16113" s="94"/>
    </row>
    <row r="16114" s="93" customFormat="1" spans="3:13">
      <c r="C16114" s="94"/>
      <c r="E16114" s="94"/>
      <c r="G16114" s="94"/>
      <c r="I16114" s="94"/>
      <c r="K16114" s="94"/>
      <c r="M16114" s="94"/>
    </row>
    <row r="16115" s="93" customFormat="1" spans="3:13">
      <c r="C16115" s="94"/>
      <c r="E16115" s="94"/>
      <c r="G16115" s="94"/>
      <c r="I16115" s="94"/>
      <c r="K16115" s="94"/>
      <c r="M16115" s="94"/>
    </row>
    <row r="16116" s="93" customFormat="1" spans="3:13">
      <c r="C16116" s="94"/>
      <c r="E16116" s="94"/>
      <c r="G16116" s="94"/>
      <c r="I16116" s="94"/>
      <c r="K16116" s="94"/>
      <c r="M16116" s="94"/>
    </row>
    <row r="16117" s="93" customFormat="1" spans="3:13">
      <c r="C16117" s="94"/>
      <c r="E16117" s="94"/>
      <c r="G16117" s="94"/>
      <c r="I16117" s="94"/>
      <c r="K16117" s="94"/>
      <c r="M16117" s="94"/>
    </row>
    <row r="16118" s="93" customFormat="1" spans="3:13">
      <c r="C16118" s="94"/>
      <c r="E16118" s="94"/>
      <c r="G16118" s="94"/>
      <c r="I16118" s="94"/>
      <c r="K16118" s="94"/>
      <c r="M16118" s="94"/>
    </row>
    <row r="16119" s="93" customFormat="1" spans="3:13">
      <c r="C16119" s="94"/>
      <c r="E16119" s="94"/>
      <c r="G16119" s="94"/>
      <c r="I16119" s="94"/>
      <c r="K16119" s="94"/>
      <c r="M16119" s="94"/>
    </row>
    <row r="16120" s="93" customFormat="1" spans="3:13">
      <c r="C16120" s="94"/>
      <c r="E16120" s="94"/>
      <c r="G16120" s="94"/>
      <c r="I16120" s="94"/>
      <c r="K16120" s="94"/>
      <c r="M16120" s="94"/>
    </row>
    <row r="16121" s="93" customFormat="1" spans="3:13">
      <c r="C16121" s="94"/>
      <c r="E16121" s="94"/>
      <c r="G16121" s="94"/>
      <c r="I16121" s="94"/>
      <c r="K16121" s="94"/>
      <c r="M16121" s="94"/>
    </row>
    <row r="16122" s="93" customFormat="1" spans="3:13">
      <c r="C16122" s="94"/>
      <c r="E16122" s="94"/>
      <c r="G16122" s="94"/>
      <c r="I16122" s="94"/>
      <c r="K16122" s="94"/>
      <c r="M16122" s="94"/>
    </row>
    <row r="16123" s="93" customFormat="1" spans="3:13">
      <c r="C16123" s="94"/>
      <c r="E16123" s="94"/>
      <c r="G16123" s="94"/>
      <c r="I16123" s="94"/>
      <c r="K16123" s="94"/>
      <c r="M16123" s="94"/>
    </row>
    <row r="16124" s="93" customFormat="1" spans="3:13">
      <c r="C16124" s="94"/>
      <c r="E16124" s="94"/>
      <c r="G16124" s="94"/>
      <c r="I16124" s="94"/>
      <c r="K16124" s="94"/>
      <c r="M16124" s="94"/>
    </row>
    <row r="16125" s="93" customFormat="1" spans="3:13">
      <c r="C16125" s="94"/>
      <c r="E16125" s="94"/>
      <c r="G16125" s="94"/>
      <c r="I16125" s="94"/>
      <c r="K16125" s="94"/>
      <c r="M16125" s="94"/>
    </row>
    <row r="16126" s="93" customFormat="1" spans="3:13">
      <c r="C16126" s="94"/>
      <c r="E16126" s="94"/>
      <c r="G16126" s="94"/>
      <c r="I16126" s="94"/>
      <c r="K16126" s="94"/>
      <c r="M16126" s="94"/>
    </row>
    <row r="16127" s="93" customFormat="1" spans="3:13">
      <c r="C16127" s="94"/>
      <c r="E16127" s="94"/>
      <c r="G16127" s="94"/>
      <c r="I16127" s="94"/>
      <c r="K16127" s="94"/>
      <c r="M16127" s="94"/>
    </row>
    <row r="16128" s="93" customFormat="1" spans="3:13">
      <c r="C16128" s="94"/>
      <c r="E16128" s="94"/>
      <c r="G16128" s="94"/>
      <c r="I16128" s="94"/>
      <c r="K16128" s="94"/>
      <c r="M16128" s="94"/>
    </row>
    <row r="16129" s="93" customFormat="1" spans="3:13">
      <c r="C16129" s="94"/>
      <c r="E16129" s="94"/>
      <c r="G16129" s="94"/>
      <c r="I16129" s="94"/>
      <c r="K16129" s="94"/>
      <c r="M16129" s="94"/>
    </row>
    <row r="16130" s="93" customFormat="1" spans="3:13">
      <c r="C16130" s="94"/>
      <c r="E16130" s="94"/>
      <c r="G16130" s="94"/>
      <c r="I16130" s="94"/>
      <c r="K16130" s="94"/>
      <c r="M16130" s="94"/>
    </row>
    <row r="16131" s="93" customFormat="1" spans="3:13">
      <c r="C16131" s="94"/>
      <c r="E16131" s="94"/>
      <c r="G16131" s="94"/>
      <c r="I16131" s="94"/>
      <c r="K16131" s="94"/>
      <c r="M16131" s="94"/>
    </row>
    <row r="16132" s="93" customFormat="1" spans="3:13">
      <c r="C16132" s="94"/>
      <c r="E16132" s="94"/>
      <c r="G16132" s="94"/>
      <c r="I16132" s="94"/>
      <c r="K16132" s="94"/>
      <c r="M16132" s="94"/>
    </row>
    <row r="16133" s="93" customFormat="1" spans="3:13">
      <c r="C16133" s="94"/>
      <c r="E16133" s="94"/>
      <c r="G16133" s="94"/>
      <c r="I16133" s="94"/>
      <c r="K16133" s="94"/>
      <c r="M16133" s="94"/>
    </row>
    <row r="16134" s="93" customFormat="1" spans="3:13">
      <c r="C16134" s="94"/>
      <c r="E16134" s="94"/>
      <c r="G16134" s="94"/>
      <c r="I16134" s="94"/>
      <c r="K16134" s="94"/>
      <c r="M16134" s="94"/>
    </row>
    <row r="16135" s="93" customFormat="1" spans="3:13">
      <c r="C16135" s="94"/>
      <c r="E16135" s="94"/>
      <c r="G16135" s="94"/>
      <c r="I16135" s="94"/>
      <c r="K16135" s="94"/>
      <c r="M16135" s="94"/>
    </row>
    <row r="16136" s="93" customFormat="1" spans="3:13">
      <c r="C16136" s="94"/>
      <c r="E16136" s="94"/>
      <c r="G16136" s="94"/>
      <c r="I16136" s="94"/>
      <c r="K16136" s="94"/>
      <c r="M16136" s="94"/>
    </row>
    <row r="16137" s="93" customFormat="1" spans="3:13">
      <c r="C16137" s="94"/>
      <c r="E16137" s="94"/>
      <c r="G16137" s="94"/>
      <c r="I16137" s="94"/>
      <c r="K16137" s="94"/>
      <c r="M16137" s="94"/>
    </row>
    <row r="16138" s="93" customFormat="1" spans="3:13">
      <c r="C16138" s="94"/>
      <c r="E16138" s="94"/>
      <c r="G16138" s="94"/>
      <c r="I16138" s="94"/>
      <c r="K16138" s="94"/>
      <c r="M16138" s="94"/>
    </row>
    <row r="16139" s="93" customFormat="1" spans="3:13">
      <c r="C16139" s="94"/>
      <c r="E16139" s="94"/>
      <c r="G16139" s="94"/>
      <c r="I16139" s="94"/>
      <c r="K16139" s="94"/>
      <c r="M16139" s="94"/>
    </row>
    <row r="16140" s="93" customFormat="1" spans="3:13">
      <c r="C16140" s="94"/>
      <c r="E16140" s="94"/>
      <c r="G16140" s="94"/>
      <c r="I16140" s="94"/>
      <c r="K16140" s="94"/>
      <c r="M16140" s="94"/>
    </row>
    <row r="16141" s="93" customFormat="1" spans="3:13">
      <c r="C16141" s="94"/>
      <c r="E16141" s="94"/>
      <c r="G16141" s="94"/>
      <c r="I16141" s="94"/>
      <c r="K16141" s="94"/>
      <c r="M16141" s="94"/>
    </row>
    <row r="16142" s="93" customFormat="1" spans="3:13">
      <c r="C16142" s="94"/>
      <c r="E16142" s="94"/>
      <c r="G16142" s="94"/>
      <c r="I16142" s="94"/>
      <c r="K16142" s="94"/>
      <c r="M16142" s="94"/>
    </row>
    <row r="16143" s="93" customFormat="1" spans="3:13">
      <c r="C16143" s="94"/>
      <c r="E16143" s="94"/>
      <c r="G16143" s="94"/>
      <c r="I16143" s="94"/>
      <c r="K16143" s="94"/>
      <c r="M16143" s="94"/>
    </row>
    <row r="16144" s="93" customFormat="1" spans="3:13">
      <c r="C16144" s="94"/>
      <c r="E16144" s="94"/>
      <c r="G16144" s="94"/>
      <c r="I16144" s="94"/>
      <c r="K16144" s="94"/>
      <c r="M16144" s="94"/>
    </row>
    <row r="16145" s="93" customFormat="1" spans="3:13">
      <c r="C16145" s="94"/>
      <c r="E16145" s="94"/>
      <c r="G16145" s="94"/>
      <c r="I16145" s="94"/>
      <c r="K16145" s="94"/>
      <c r="M16145" s="94"/>
    </row>
    <row r="16146" s="93" customFormat="1" spans="3:13">
      <c r="C16146" s="94"/>
      <c r="E16146" s="94"/>
      <c r="G16146" s="94"/>
      <c r="I16146" s="94"/>
      <c r="K16146" s="94"/>
      <c r="M16146" s="94"/>
    </row>
    <row r="16147" s="93" customFormat="1" spans="3:13">
      <c r="C16147" s="94"/>
      <c r="E16147" s="94"/>
      <c r="G16147" s="94"/>
      <c r="I16147" s="94"/>
      <c r="K16147" s="94"/>
      <c r="M16147" s="94"/>
    </row>
    <row r="16148" s="93" customFormat="1" spans="3:13">
      <c r="C16148" s="94"/>
      <c r="E16148" s="94"/>
      <c r="G16148" s="94"/>
      <c r="I16148" s="94"/>
      <c r="K16148" s="94"/>
      <c r="M16148" s="94"/>
    </row>
    <row r="16149" s="93" customFormat="1" spans="3:13">
      <c r="C16149" s="94"/>
      <c r="E16149" s="94"/>
      <c r="G16149" s="94"/>
      <c r="I16149" s="94"/>
      <c r="K16149" s="94"/>
      <c r="M16149" s="94"/>
    </row>
    <row r="16150" s="93" customFormat="1" spans="3:13">
      <c r="C16150" s="94"/>
      <c r="E16150" s="94"/>
      <c r="G16150" s="94"/>
      <c r="I16150" s="94"/>
      <c r="K16150" s="94"/>
      <c r="M16150" s="94"/>
    </row>
    <row r="16151" s="93" customFormat="1" spans="3:13">
      <c r="C16151" s="94"/>
      <c r="E16151" s="94"/>
      <c r="G16151" s="94"/>
      <c r="I16151" s="94"/>
      <c r="K16151" s="94"/>
      <c r="M16151" s="94"/>
    </row>
    <row r="16152" s="93" customFormat="1" spans="3:13">
      <c r="C16152" s="94"/>
      <c r="E16152" s="94"/>
      <c r="G16152" s="94"/>
      <c r="I16152" s="94"/>
      <c r="K16152" s="94"/>
      <c r="M16152" s="94"/>
    </row>
    <row r="16153" s="93" customFormat="1" spans="3:13">
      <c r="C16153" s="94"/>
      <c r="E16153" s="94"/>
      <c r="G16153" s="94"/>
      <c r="I16153" s="94"/>
      <c r="K16153" s="94"/>
      <c r="M16153" s="94"/>
    </row>
    <row r="16154" s="93" customFormat="1" spans="3:13">
      <c r="C16154" s="94"/>
      <c r="E16154" s="94"/>
      <c r="G16154" s="94"/>
      <c r="I16154" s="94"/>
      <c r="K16154" s="94"/>
      <c r="M16154" s="94"/>
    </row>
    <row r="16155" s="93" customFormat="1" spans="3:13">
      <c r="C16155" s="94"/>
      <c r="E16155" s="94"/>
      <c r="G16155" s="94"/>
      <c r="I16155" s="94"/>
      <c r="K16155" s="94"/>
      <c r="M16155" s="94"/>
    </row>
    <row r="16156" s="93" customFormat="1" spans="3:13">
      <c r="C16156" s="94"/>
      <c r="E16156" s="94"/>
      <c r="G16156" s="94"/>
      <c r="I16156" s="94"/>
      <c r="K16156" s="94"/>
      <c r="M16156" s="94"/>
    </row>
    <row r="16157" s="93" customFormat="1" spans="3:13">
      <c r="C16157" s="94"/>
      <c r="E16157" s="94"/>
      <c r="G16157" s="94"/>
      <c r="I16157" s="94"/>
      <c r="K16157" s="94"/>
      <c r="M16157" s="94"/>
    </row>
    <row r="16158" s="93" customFormat="1" spans="3:13">
      <c r="C16158" s="94"/>
      <c r="E16158" s="94"/>
      <c r="G16158" s="94"/>
      <c r="I16158" s="94"/>
      <c r="K16158" s="94"/>
      <c r="M16158" s="94"/>
    </row>
    <row r="16159" s="93" customFormat="1" spans="3:13">
      <c r="C16159" s="94"/>
      <c r="E16159" s="94"/>
      <c r="G16159" s="94"/>
      <c r="I16159" s="94"/>
      <c r="K16159" s="94"/>
      <c r="M16159" s="94"/>
    </row>
    <row r="16160" s="93" customFormat="1" spans="3:13">
      <c r="C16160" s="94"/>
      <c r="E16160" s="94"/>
      <c r="G16160" s="94"/>
      <c r="I16160" s="94"/>
      <c r="K16160" s="94"/>
      <c r="M16160" s="94"/>
    </row>
    <row r="16161" s="93" customFormat="1" spans="3:13">
      <c r="C16161" s="94"/>
      <c r="E16161" s="94"/>
      <c r="G16161" s="94"/>
      <c r="I16161" s="94"/>
      <c r="K16161" s="94"/>
      <c r="M16161" s="94"/>
    </row>
    <row r="16162" s="93" customFormat="1" spans="3:13">
      <c r="C16162" s="94"/>
      <c r="E16162" s="94"/>
      <c r="G16162" s="94"/>
      <c r="I16162" s="94"/>
      <c r="K16162" s="94"/>
      <c r="M16162" s="94"/>
    </row>
    <row r="16163" s="93" customFormat="1" spans="3:13">
      <c r="C16163" s="94"/>
      <c r="E16163" s="94"/>
      <c r="G16163" s="94"/>
      <c r="I16163" s="94"/>
      <c r="K16163" s="94"/>
      <c r="M16163" s="94"/>
    </row>
    <row r="16164" s="93" customFormat="1" spans="3:13">
      <c r="C16164" s="94"/>
      <c r="E16164" s="94"/>
      <c r="G16164" s="94"/>
      <c r="I16164" s="94"/>
      <c r="K16164" s="94"/>
      <c r="M16164" s="94"/>
    </row>
    <row r="16165" s="93" customFormat="1" spans="3:13">
      <c r="C16165" s="94"/>
      <c r="E16165" s="94"/>
      <c r="G16165" s="94"/>
      <c r="I16165" s="94"/>
      <c r="K16165" s="94"/>
      <c r="M16165" s="94"/>
    </row>
    <row r="16166" s="93" customFormat="1" spans="3:13">
      <c r="C16166" s="94"/>
      <c r="E16166" s="94"/>
      <c r="G16166" s="94"/>
      <c r="I16166" s="94"/>
      <c r="K16166" s="94"/>
      <c r="M16166" s="94"/>
    </row>
    <row r="16167" s="93" customFormat="1" spans="3:13">
      <c r="C16167" s="94"/>
      <c r="E16167" s="94"/>
      <c r="G16167" s="94"/>
      <c r="I16167" s="94"/>
      <c r="K16167" s="94"/>
      <c r="M16167" s="94"/>
    </row>
    <row r="16168" s="93" customFormat="1" spans="3:13">
      <c r="C16168" s="94"/>
      <c r="E16168" s="94"/>
      <c r="G16168" s="94"/>
      <c r="I16168" s="94"/>
      <c r="K16168" s="94"/>
      <c r="M16168" s="94"/>
    </row>
    <row r="16169" s="93" customFormat="1" spans="3:13">
      <c r="C16169" s="94"/>
      <c r="E16169" s="94"/>
      <c r="G16169" s="94"/>
      <c r="I16169" s="94"/>
      <c r="K16169" s="94"/>
      <c r="M16169" s="94"/>
    </row>
    <row r="16170" s="93" customFormat="1" spans="3:13">
      <c r="C16170" s="94"/>
      <c r="E16170" s="94"/>
      <c r="G16170" s="94"/>
      <c r="I16170" s="94"/>
      <c r="K16170" s="94"/>
      <c r="M16170" s="94"/>
    </row>
    <row r="16171" s="93" customFormat="1" spans="3:13">
      <c r="C16171" s="94"/>
      <c r="E16171" s="94"/>
      <c r="G16171" s="94"/>
      <c r="I16171" s="94"/>
      <c r="K16171" s="94"/>
      <c r="M16171" s="94"/>
    </row>
    <row r="16172" s="93" customFormat="1" spans="3:13">
      <c r="C16172" s="94"/>
      <c r="E16172" s="94"/>
      <c r="G16172" s="94"/>
      <c r="I16172" s="94"/>
      <c r="K16172" s="94"/>
      <c r="M16172" s="94"/>
    </row>
    <row r="16173" s="93" customFormat="1" spans="3:13">
      <c r="C16173" s="94"/>
      <c r="E16173" s="94"/>
      <c r="G16173" s="94"/>
      <c r="I16173" s="94"/>
      <c r="K16173" s="94"/>
      <c r="M16173" s="94"/>
    </row>
    <row r="16174" s="93" customFormat="1" spans="3:13">
      <c r="C16174" s="94"/>
      <c r="E16174" s="94"/>
      <c r="G16174" s="94"/>
      <c r="I16174" s="94"/>
      <c r="K16174" s="94"/>
      <c r="M16174" s="94"/>
    </row>
    <row r="16175" s="93" customFormat="1" spans="3:13">
      <c r="C16175" s="94"/>
      <c r="E16175" s="94"/>
      <c r="G16175" s="94"/>
      <c r="I16175" s="94"/>
      <c r="K16175" s="94"/>
      <c r="M16175" s="94"/>
    </row>
    <row r="16176" s="93" customFormat="1" spans="3:13">
      <c r="C16176" s="94"/>
      <c r="E16176" s="94"/>
      <c r="G16176" s="94"/>
      <c r="I16176" s="94"/>
      <c r="K16176" s="94"/>
      <c r="M16176" s="94"/>
    </row>
    <row r="16177" s="93" customFormat="1" spans="3:13">
      <c r="C16177" s="94"/>
      <c r="E16177" s="94"/>
      <c r="G16177" s="94"/>
      <c r="I16177" s="94"/>
      <c r="K16177" s="94"/>
      <c r="M16177" s="94"/>
    </row>
    <row r="16178" s="93" customFormat="1" spans="3:13">
      <c r="C16178" s="94"/>
      <c r="E16178" s="94"/>
      <c r="G16178" s="94"/>
      <c r="I16178" s="94"/>
      <c r="K16178" s="94"/>
      <c r="M16178" s="94"/>
    </row>
    <row r="16179" s="93" customFormat="1" spans="3:13">
      <c r="C16179" s="94"/>
      <c r="E16179" s="94"/>
      <c r="G16179" s="94"/>
      <c r="I16179" s="94"/>
      <c r="K16179" s="94"/>
      <c r="M16179" s="94"/>
    </row>
    <row r="16180" s="93" customFormat="1" spans="3:13">
      <c r="C16180" s="94"/>
      <c r="E16180" s="94"/>
      <c r="G16180" s="94"/>
      <c r="I16180" s="94"/>
      <c r="K16180" s="94"/>
      <c r="M16180" s="94"/>
    </row>
    <row r="16181" s="93" customFormat="1" spans="3:13">
      <c r="C16181" s="94"/>
      <c r="E16181" s="94"/>
      <c r="G16181" s="94"/>
      <c r="I16181" s="94"/>
      <c r="K16181" s="94"/>
      <c r="M16181" s="94"/>
    </row>
    <row r="16182" s="93" customFormat="1" spans="3:13">
      <c r="C16182" s="94"/>
      <c r="E16182" s="94"/>
      <c r="G16182" s="94"/>
      <c r="I16182" s="94"/>
      <c r="K16182" s="94"/>
      <c r="M16182" s="94"/>
    </row>
    <row r="16183" s="93" customFormat="1" spans="3:13">
      <c r="C16183" s="94"/>
      <c r="E16183" s="94"/>
      <c r="G16183" s="94"/>
      <c r="I16183" s="94"/>
      <c r="K16183" s="94"/>
      <c r="M16183" s="94"/>
    </row>
    <row r="16184" s="93" customFormat="1" spans="3:13">
      <c r="C16184" s="94"/>
      <c r="E16184" s="94"/>
      <c r="G16184" s="94"/>
      <c r="I16184" s="94"/>
      <c r="K16184" s="94"/>
      <c r="M16184" s="94"/>
    </row>
    <row r="16185" s="93" customFormat="1" spans="3:13">
      <c r="C16185" s="94"/>
      <c r="E16185" s="94"/>
      <c r="G16185" s="94"/>
      <c r="I16185" s="94"/>
      <c r="K16185" s="94"/>
      <c r="M16185" s="94"/>
    </row>
    <row r="16186" s="93" customFormat="1" spans="3:13">
      <c r="C16186" s="94"/>
      <c r="E16186" s="94"/>
      <c r="G16186" s="94"/>
      <c r="I16186" s="94"/>
      <c r="K16186" s="94"/>
      <c r="M16186" s="94"/>
    </row>
    <row r="16187" s="93" customFormat="1" spans="3:13">
      <c r="C16187" s="94"/>
      <c r="E16187" s="94"/>
      <c r="G16187" s="94"/>
      <c r="I16187" s="94"/>
      <c r="K16187" s="94"/>
      <c r="M16187" s="94"/>
    </row>
    <row r="16188" s="93" customFormat="1" spans="3:13">
      <c r="C16188" s="94"/>
      <c r="E16188" s="94"/>
      <c r="G16188" s="94"/>
      <c r="I16188" s="94"/>
      <c r="K16188" s="94"/>
      <c r="M16188" s="94"/>
    </row>
    <row r="16189" s="93" customFormat="1" spans="3:13">
      <c r="C16189" s="94"/>
      <c r="E16189" s="94"/>
      <c r="G16189" s="94"/>
      <c r="I16189" s="94"/>
      <c r="K16189" s="94"/>
      <c r="M16189" s="94"/>
    </row>
    <row r="16190" s="93" customFormat="1" spans="3:13">
      <c r="C16190" s="94"/>
      <c r="E16190" s="94"/>
      <c r="G16190" s="94"/>
      <c r="I16190" s="94"/>
      <c r="K16190" s="94"/>
      <c r="M16190" s="94"/>
    </row>
    <row r="16191" s="93" customFormat="1" spans="3:13">
      <c r="C16191" s="94"/>
      <c r="E16191" s="94"/>
      <c r="G16191" s="94"/>
      <c r="I16191" s="94"/>
      <c r="K16191" s="94"/>
      <c r="M16191" s="94"/>
    </row>
    <row r="16192" s="93" customFormat="1" spans="3:13">
      <c r="C16192" s="94"/>
      <c r="E16192" s="94"/>
      <c r="G16192" s="94"/>
      <c r="I16192" s="94"/>
      <c r="K16192" s="94"/>
      <c r="M16192" s="94"/>
    </row>
    <row r="16193" s="93" customFormat="1" spans="3:13">
      <c r="C16193" s="94"/>
      <c r="E16193" s="94"/>
      <c r="G16193" s="94"/>
      <c r="I16193" s="94"/>
      <c r="K16193" s="94"/>
      <c r="M16193" s="94"/>
    </row>
    <row r="16194" s="93" customFormat="1" spans="3:13">
      <c r="C16194" s="94"/>
      <c r="E16194" s="94"/>
      <c r="G16194" s="94"/>
      <c r="I16194" s="94"/>
      <c r="K16194" s="94"/>
      <c r="M16194" s="94"/>
    </row>
    <row r="16195" s="93" customFormat="1" spans="3:13">
      <c r="C16195" s="94"/>
      <c r="E16195" s="94"/>
      <c r="G16195" s="94"/>
      <c r="I16195" s="94"/>
      <c r="K16195" s="94"/>
      <c r="M16195" s="94"/>
    </row>
    <row r="16196" s="93" customFormat="1" spans="3:13">
      <c r="C16196" s="94"/>
      <c r="E16196" s="94"/>
      <c r="G16196" s="94"/>
      <c r="I16196" s="94"/>
      <c r="K16196" s="94"/>
      <c r="M16196" s="94"/>
    </row>
    <row r="16197" s="93" customFormat="1" spans="3:13">
      <c r="C16197" s="94"/>
      <c r="E16197" s="94"/>
      <c r="G16197" s="94"/>
      <c r="I16197" s="94"/>
      <c r="K16197" s="94"/>
      <c r="M16197" s="94"/>
    </row>
    <row r="16198" s="93" customFormat="1" spans="3:13">
      <c r="C16198" s="94"/>
      <c r="E16198" s="94"/>
      <c r="G16198" s="94"/>
      <c r="I16198" s="94"/>
      <c r="K16198" s="94"/>
      <c r="M16198" s="94"/>
    </row>
    <row r="16199" s="93" customFormat="1" spans="3:13">
      <c r="C16199" s="94"/>
      <c r="E16199" s="94"/>
      <c r="G16199" s="94"/>
      <c r="I16199" s="94"/>
      <c r="K16199" s="94"/>
      <c r="M16199" s="94"/>
    </row>
    <row r="16200" s="93" customFormat="1" spans="3:13">
      <c r="C16200" s="94"/>
      <c r="E16200" s="94"/>
      <c r="G16200" s="94"/>
      <c r="I16200" s="94"/>
      <c r="K16200" s="94"/>
      <c r="M16200" s="94"/>
    </row>
    <row r="16201" s="93" customFormat="1" spans="3:13">
      <c r="C16201" s="94"/>
      <c r="E16201" s="94"/>
      <c r="G16201" s="94"/>
      <c r="I16201" s="94"/>
      <c r="K16201" s="94"/>
      <c r="M16201" s="94"/>
    </row>
    <row r="16202" s="93" customFormat="1" spans="3:13">
      <c r="C16202" s="94"/>
      <c r="E16202" s="94"/>
      <c r="G16202" s="94"/>
      <c r="I16202" s="94"/>
      <c r="K16202" s="94"/>
      <c r="M16202" s="94"/>
    </row>
    <row r="16203" s="93" customFormat="1" spans="3:13">
      <c r="C16203" s="94"/>
      <c r="E16203" s="94"/>
      <c r="G16203" s="94"/>
      <c r="I16203" s="94"/>
      <c r="K16203" s="94"/>
      <c r="M16203" s="94"/>
    </row>
    <row r="16204" s="93" customFormat="1" spans="3:13">
      <c r="C16204" s="94"/>
      <c r="E16204" s="94"/>
      <c r="G16204" s="94"/>
      <c r="I16204" s="94"/>
      <c r="K16204" s="94"/>
      <c r="M16204" s="94"/>
    </row>
    <row r="16205" s="93" customFormat="1" spans="3:13">
      <c r="C16205" s="94"/>
      <c r="E16205" s="94"/>
      <c r="G16205" s="94"/>
      <c r="I16205" s="94"/>
      <c r="K16205" s="94"/>
      <c r="M16205" s="94"/>
    </row>
    <row r="16206" s="93" customFormat="1" spans="3:13">
      <c r="C16206" s="94"/>
      <c r="E16206" s="94"/>
      <c r="G16206" s="94"/>
      <c r="I16206" s="94"/>
      <c r="K16206" s="94"/>
      <c r="M16206" s="94"/>
    </row>
    <row r="16207" s="93" customFormat="1" spans="3:13">
      <c r="C16207" s="94"/>
      <c r="E16207" s="94"/>
      <c r="G16207" s="94"/>
      <c r="I16207" s="94"/>
      <c r="K16207" s="94"/>
      <c r="M16207" s="94"/>
    </row>
    <row r="16208" s="93" customFormat="1" spans="3:13">
      <c r="C16208" s="94"/>
      <c r="E16208" s="94"/>
      <c r="G16208" s="94"/>
      <c r="I16208" s="94"/>
      <c r="K16208" s="94"/>
      <c r="M16208" s="94"/>
    </row>
    <row r="16209" s="93" customFormat="1" spans="3:13">
      <c r="C16209" s="94"/>
      <c r="E16209" s="94"/>
      <c r="G16209" s="94"/>
      <c r="I16209" s="94"/>
      <c r="K16209" s="94"/>
      <c r="M16209" s="94"/>
    </row>
    <row r="16210" s="93" customFormat="1" spans="3:13">
      <c r="C16210" s="94"/>
      <c r="E16210" s="94"/>
      <c r="G16210" s="94"/>
      <c r="I16210" s="94"/>
      <c r="K16210" s="94"/>
      <c r="M16210" s="94"/>
    </row>
    <row r="16211" s="93" customFormat="1" spans="3:13">
      <c r="C16211" s="94"/>
      <c r="E16211" s="94"/>
      <c r="G16211" s="94"/>
      <c r="I16211" s="94"/>
      <c r="K16211" s="94"/>
      <c r="M16211" s="94"/>
    </row>
    <row r="16212" s="93" customFormat="1" spans="3:13">
      <c r="C16212" s="94"/>
      <c r="E16212" s="94"/>
      <c r="G16212" s="94"/>
      <c r="I16212" s="94"/>
      <c r="K16212" s="94"/>
      <c r="M16212" s="94"/>
    </row>
    <row r="16213" s="93" customFormat="1" spans="3:13">
      <c r="C16213" s="94"/>
      <c r="E16213" s="94"/>
      <c r="G16213" s="94"/>
      <c r="I16213" s="94"/>
      <c r="K16213" s="94"/>
      <c r="M16213" s="94"/>
    </row>
    <row r="16214" s="93" customFormat="1" spans="3:13">
      <c r="C16214" s="94"/>
      <c r="E16214" s="94"/>
      <c r="G16214" s="94"/>
      <c r="I16214" s="94"/>
      <c r="K16214" s="94"/>
      <c r="M16214" s="94"/>
    </row>
    <row r="16215" s="93" customFormat="1" spans="3:13">
      <c r="C16215" s="94"/>
      <c r="E16215" s="94"/>
      <c r="G16215" s="94"/>
      <c r="I16215" s="94"/>
      <c r="K16215" s="94"/>
      <c r="M16215" s="94"/>
    </row>
    <row r="16216" s="93" customFormat="1" spans="3:13">
      <c r="C16216" s="94"/>
      <c r="E16216" s="94"/>
      <c r="G16216" s="94"/>
      <c r="I16216" s="94"/>
      <c r="K16216" s="94"/>
      <c r="M16216" s="94"/>
    </row>
    <row r="16217" s="93" customFormat="1" spans="3:13">
      <c r="C16217" s="94"/>
      <c r="E16217" s="94"/>
      <c r="G16217" s="94"/>
      <c r="I16217" s="94"/>
      <c r="K16217" s="94"/>
      <c r="M16217" s="94"/>
    </row>
    <row r="16218" s="93" customFormat="1" spans="3:13">
      <c r="C16218" s="94"/>
      <c r="E16218" s="94"/>
      <c r="G16218" s="94"/>
      <c r="I16218" s="94"/>
      <c r="K16218" s="94"/>
      <c r="M16218" s="94"/>
    </row>
    <row r="16219" s="93" customFormat="1" spans="3:13">
      <c r="C16219" s="94"/>
      <c r="E16219" s="94"/>
      <c r="G16219" s="94"/>
      <c r="I16219" s="94"/>
      <c r="K16219" s="94"/>
      <c r="M16219" s="94"/>
    </row>
    <row r="16220" s="93" customFormat="1" spans="3:13">
      <c r="C16220" s="94"/>
      <c r="E16220" s="94"/>
      <c r="G16220" s="94"/>
      <c r="I16220" s="94"/>
      <c r="K16220" s="94"/>
      <c r="M16220" s="94"/>
    </row>
    <row r="16221" s="93" customFormat="1" spans="3:13">
      <c r="C16221" s="94"/>
      <c r="E16221" s="94"/>
      <c r="G16221" s="94"/>
      <c r="I16221" s="94"/>
      <c r="K16221" s="94"/>
      <c r="M16221" s="94"/>
    </row>
    <row r="16222" s="93" customFormat="1" spans="3:13">
      <c r="C16222" s="94"/>
      <c r="E16222" s="94"/>
      <c r="G16222" s="94"/>
      <c r="I16222" s="94"/>
      <c r="K16222" s="94"/>
      <c r="M16222" s="94"/>
    </row>
    <row r="16223" s="93" customFormat="1" spans="3:13">
      <c r="C16223" s="94"/>
      <c r="E16223" s="94"/>
      <c r="G16223" s="94"/>
      <c r="I16223" s="94"/>
      <c r="K16223" s="94"/>
      <c r="M16223" s="94"/>
    </row>
    <row r="16224" s="93" customFormat="1" spans="3:13">
      <c r="C16224" s="94"/>
      <c r="E16224" s="94"/>
      <c r="G16224" s="94"/>
      <c r="I16224" s="94"/>
      <c r="K16224" s="94"/>
      <c r="M16224" s="94"/>
    </row>
    <row r="16225" s="93" customFormat="1" spans="3:13">
      <c r="C16225" s="94"/>
      <c r="E16225" s="94"/>
      <c r="G16225" s="94"/>
      <c r="I16225" s="94"/>
      <c r="K16225" s="94"/>
      <c r="M16225" s="94"/>
    </row>
    <row r="16226" s="93" customFormat="1" spans="3:13">
      <c r="C16226" s="94"/>
      <c r="E16226" s="94"/>
      <c r="G16226" s="94"/>
      <c r="I16226" s="94"/>
      <c r="K16226" s="94"/>
      <c r="M16226" s="94"/>
    </row>
    <row r="16227" s="93" customFormat="1" spans="3:13">
      <c r="C16227" s="94"/>
      <c r="E16227" s="94"/>
      <c r="G16227" s="94"/>
      <c r="I16227" s="94"/>
      <c r="K16227" s="94"/>
      <c r="M16227" s="94"/>
    </row>
    <row r="16228" s="93" customFormat="1" spans="3:13">
      <c r="C16228" s="94"/>
      <c r="E16228" s="94"/>
      <c r="G16228" s="94"/>
      <c r="I16228" s="94"/>
      <c r="K16228" s="94"/>
      <c r="M16228" s="94"/>
    </row>
    <row r="16229" s="93" customFormat="1" spans="3:13">
      <c r="C16229" s="94"/>
      <c r="E16229" s="94"/>
      <c r="G16229" s="94"/>
      <c r="I16229" s="94"/>
      <c r="K16229" s="94"/>
      <c r="M16229" s="94"/>
    </row>
    <row r="16230" s="93" customFormat="1" spans="3:13">
      <c r="C16230" s="94"/>
      <c r="E16230" s="94"/>
      <c r="G16230" s="94"/>
      <c r="I16230" s="94"/>
      <c r="K16230" s="94"/>
      <c r="M16230" s="94"/>
    </row>
    <row r="16231" s="93" customFormat="1" spans="3:13">
      <c r="C16231" s="94"/>
      <c r="E16231" s="94"/>
      <c r="G16231" s="94"/>
      <c r="I16231" s="94"/>
      <c r="K16231" s="94"/>
      <c r="M16231" s="94"/>
    </row>
    <row r="16232" s="93" customFormat="1" spans="3:13">
      <c r="C16232" s="94"/>
      <c r="E16232" s="94"/>
      <c r="G16232" s="94"/>
      <c r="I16232" s="94"/>
      <c r="K16232" s="94"/>
      <c r="M16232" s="94"/>
    </row>
    <row r="16233" s="93" customFormat="1" spans="3:13">
      <c r="C16233" s="94"/>
      <c r="E16233" s="94"/>
      <c r="G16233" s="94"/>
      <c r="I16233" s="94"/>
      <c r="K16233" s="94"/>
      <c r="M16233" s="94"/>
    </row>
    <row r="16234" s="93" customFormat="1" spans="3:13">
      <c r="C16234" s="94"/>
      <c r="E16234" s="94"/>
      <c r="G16234" s="94"/>
      <c r="I16234" s="94"/>
      <c r="K16234" s="94"/>
      <c r="M16234" s="94"/>
    </row>
    <row r="16235" s="93" customFormat="1" spans="3:13">
      <c r="C16235" s="94"/>
      <c r="E16235" s="94"/>
      <c r="G16235" s="94"/>
      <c r="I16235" s="94"/>
      <c r="K16235" s="94"/>
      <c r="M16235" s="94"/>
    </row>
    <row r="16236" s="93" customFormat="1" spans="3:13">
      <c r="C16236" s="94"/>
      <c r="E16236" s="94"/>
      <c r="G16236" s="94"/>
      <c r="I16236" s="94"/>
      <c r="K16236" s="94"/>
      <c r="M16236" s="94"/>
    </row>
    <row r="16237" s="93" customFormat="1" spans="3:13">
      <c r="C16237" s="94"/>
      <c r="E16237" s="94"/>
      <c r="G16237" s="94"/>
      <c r="I16237" s="94"/>
      <c r="K16237" s="94"/>
      <c r="M16237" s="94"/>
    </row>
    <row r="16238" s="93" customFormat="1" spans="3:13">
      <c r="C16238" s="94"/>
      <c r="E16238" s="94"/>
      <c r="G16238" s="94"/>
      <c r="I16238" s="94"/>
      <c r="K16238" s="94"/>
      <c r="M16238" s="94"/>
    </row>
    <row r="16239" s="93" customFormat="1" spans="3:13">
      <c r="C16239" s="94"/>
      <c r="E16239" s="94"/>
      <c r="G16239" s="94"/>
      <c r="I16239" s="94"/>
      <c r="K16239" s="94"/>
      <c r="M16239" s="94"/>
    </row>
    <row r="16240" s="93" customFormat="1" spans="3:13">
      <c r="C16240" s="94"/>
      <c r="E16240" s="94"/>
      <c r="G16240" s="94"/>
      <c r="I16240" s="94"/>
      <c r="K16240" s="94"/>
      <c r="M16240" s="94"/>
    </row>
    <row r="16241" s="93" customFormat="1" spans="3:13">
      <c r="C16241" s="94"/>
      <c r="E16241" s="94"/>
      <c r="G16241" s="94"/>
      <c r="I16241" s="94"/>
      <c r="K16241" s="94"/>
      <c r="M16241" s="94"/>
    </row>
    <row r="16242" s="93" customFormat="1" spans="3:13">
      <c r="C16242" s="94"/>
      <c r="E16242" s="94"/>
      <c r="G16242" s="94"/>
      <c r="I16242" s="94"/>
      <c r="K16242" s="94"/>
      <c r="M16242" s="94"/>
    </row>
    <row r="16243" s="93" customFormat="1" spans="3:13">
      <c r="C16243" s="94"/>
      <c r="E16243" s="94"/>
      <c r="G16243" s="94"/>
      <c r="I16243" s="94"/>
      <c r="K16243" s="94"/>
      <c r="M16243" s="94"/>
    </row>
    <row r="16244" s="93" customFormat="1" spans="3:13">
      <c r="C16244" s="94"/>
      <c r="E16244" s="94"/>
      <c r="G16244" s="94"/>
      <c r="I16244" s="94"/>
      <c r="K16244" s="94"/>
      <c r="M16244" s="94"/>
    </row>
    <row r="16245" s="93" customFormat="1" spans="3:13">
      <c r="C16245" s="94"/>
      <c r="E16245" s="94"/>
      <c r="G16245" s="94"/>
      <c r="I16245" s="94"/>
      <c r="K16245" s="94"/>
      <c r="M16245" s="94"/>
    </row>
    <row r="16246" s="93" customFormat="1" spans="3:13">
      <c r="C16246" s="94"/>
      <c r="E16246" s="94"/>
      <c r="G16246" s="94"/>
      <c r="I16246" s="94"/>
      <c r="K16246" s="94"/>
      <c r="M16246" s="94"/>
    </row>
    <row r="16247" s="93" customFormat="1" spans="3:13">
      <c r="C16247" s="94"/>
      <c r="E16247" s="94"/>
      <c r="G16247" s="94"/>
      <c r="I16247" s="94"/>
      <c r="K16247" s="94"/>
      <c r="M16247" s="94"/>
    </row>
    <row r="16248" s="93" customFormat="1" spans="3:13">
      <c r="C16248" s="94"/>
      <c r="E16248" s="94"/>
      <c r="G16248" s="94"/>
      <c r="I16248" s="94"/>
      <c r="K16248" s="94"/>
      <c r="M16248" s="94"/>
    </row>
    <row r="16249" s="93" customFormat="1" spans="3:13">
      <c r="C16249" s="94"/>
      <c r="E16249" s="94"/>
      <c r="G16249" s="94"/>
      <c r="I16249" s="94"/>
      <c r="K16249" s="94"/>
      <c r="M16249" s="94"/>
    </row>
    <row r="16250" s="93" customFormat="1" spans="3:13">
      <c r="C16250" s="94"/>
      <c r="E16250" s="94"/>
      <c r="G16250" s="94"/>
      <c r="I16250" s="94"/>
      <c r="K16250" s="94"/>
      <c r="M16250" s="94"/>
    </row>
    <row r="16251" s="93" customFormat="1" spans="3:13">
      <c r="C16251" s="94"/>
      <c r="E16251" s="94"/>
      <c r="G16251" s="94"/>
      <c r="I16251" s="94"/>
      <c r="K16251" s="94"/>
      <c r="M16251" s="94"/>
    </row>
    <row r="16252" s="93" customFormat="1" spans="3:13">
      <c r="C16252" s="94"/>
      <c r="E16252" s="94"/>
      <c r="G16252" s="94"/>
      <c r="I16252" s="94"/>
      <c r="K16252" s="94"/>
      <c r="M16252" s="94"/>
    </row>
    <row r="16253" s="93" customFormat="1" spans="3:13">
      <c r="C16253" s="94"/>
      <c r="E16253" s="94"/>
      <c r="G16253" s="94"/>
      <c r="I16253" s="94"/>
      <c r="K16253" s="94"/>
      <c r="M16253" s="94"/>
    </row>
    <row r="16254" s="93" customFormat="1" spans="3:13">
      <c r="C16254" s="94"/>
      <c r="E16254" s="94"/>
      <c r="G16254" s="94"/>
      <c r="I16254" s="94"/>
      <c r="K16254" s="94"/>
      <c r="M16254" s="94"/>
    </row>
    <row r="16255" s="93" customFormat="1" spans="3:13">
      <c r="C16255" s="94"/>
      <c r="E16255" s="94"/>
      <c r="G16255" s="94"/>
      <c r="I16255" s="94"/>
      <c r="K16255" s="94"/>
      <c r="M16255" s="94"/>
    </row>
    <row r="16256" s="93" customFormat="1" spans="3:13">
      <c r="C16256" s="94"/>
      <c r="E16256" s="94"/>
      <c r="G16256" s="94"/>
      <c r="I16256" s="94"/>
      <c r="K16256" s="94"/>
      <c r="M16256" s="94"/>
    </row>
    <row r="16257" s="93" customFormat="1" spans="3:13">
      <c r="C16257" s="94"/>
      <c r="E16257" s="94"/>
      <c r="G16257" s="94"/>
      <c r="I16257" s="94"/>
      <c r="K16257" s="94"/>
      <c r="M16257" s="94"/>
    </row>
    <row r="16258" s="93" customFormat="1" spans="3:13">
      <c r="C16258" s="94"/>
      <c r="E16258" s="94"/>
      <c r="G16258" s="94"/>
      <c r="I16258" s="94"/>
      <c r="K16258" s="94"/>
      <c r="M16258" s="94"/>
    </row>
    <row r="16259" s="93" customFormat="1" spans="3:13">
      <c r="C16259" s="94"/>
      <c r="E16259" s="94"/>
      <c r="G16259" s="94"/>
      <c r="I16259" s="94"/>
      <c r="K16259" s="94"/>
      <c r="M16259" s="94"/>
    </row>
    <row r="16260" s="93" customFormat="1" spans="3:13">
      <c r="C16260" s="94"/>
      <c r="E16260" s="94"/>
      <c r="G16260" s="94"/>
      <c r="I16260" s="94"/>
      <c r="K16260" s="94"/>
      <c r="M16260" s="94"/>
    </row>
    <row r="16261" s="93" customFormat="1" spans="3:13">
      <c r="C16261" s="94"/>
      <c r="E16261" s="94"/>
      <c r="G16261" s="94"/>
      <c r="I16261" s="94"/>
      <c r="K16261" s="94"/>
      <c r="M16261" s="94"/>
    </row>
    <row r="16262" s="93" customFormat="1" spans="3:13">
      <c r="C16262" s="94"/>
      <c r="E16262" s="94"/>
      <c r="G16262" s="94"/>
      <c r="I16262" s="94"/>
      <c r="K16262" s="94"/>
      <c r="M16262" s="94"/>
    </row>
    <row r="16263" s="93" customFormat="1" spans="3:13">
      <c r="C16263" s="94"/>
      <c r="E16263" s="94"/>
      <c r="G16263" s="94"/>
      <c r="I16263" s="94"/>
      <c r="K16263" s="94"/>
      <c r="M16263" s="94"/>
    </row>
    <row r="16264" s="93" customFormat="1" spans="3:13">
      <c r="C16264" s="94"/>
      <c r="E16264" s="94"/>
      <c r="G16264" s="94"/>
      <c r="I16264" s="94"/>
      <c r="K16264" s="94"/>
      <c r="M16264" s="94"/>
    </row>
    <row r="16265" s="93" customFormat="1" spans="3:13">
      <c r="C16265" s="94"/>
      <c r="E16265" s="94"/>
      <c r="G16265" s="94"/>
      <c r="I16265" s="94"/>
      <c r="K16265" s="94"/>
      <c r="M16265" s="94"/>
    </row>
    <row r="16266" s="93" customFormat="1" spans="3:13">
      <c r="C16266" s="94"/>
      <c r="E16266" s="94"/>
      <c r="G16266" s="94"/>
      <c r="I16266" s="94"/>
      <c r="K16266" s="94"/>
      <c r="M16266" s="94"/>
    </row>
    <row r="16267" s="93" customFormat="1" spans="3:13">
      <c r="C16267" s="94"/>
      <c r="E16267" s="94"/>
      <c r="G16267" s="94"/>
      <c r="I16267" s="94"/>
      <c r="K16267" s="94"/>
      <c r="M16267" s="94"/>
    </row>
    <row r="16268" s="93" customFormat="1" spans="3:13">
      <c r="C16268" s="94"/>
      <c r="E16268" s="94"/>
      <c r="G16268" s="94"/>
      <c r="I16268" s="94"/>
      <c r="K16268" s="94"/>
      <c r="M16268" s="94"/>
    </row>
    <row r="16269" s="93" customFormat="1" spans="3:13">
      <c r="C16269" s="94"/>
      <c r="E16269" s="94"/>
      <c r="G16269" s="94"/>
      <c r="I16269" s="94"/>
      <c r="K16269" s="94"/>
      <c r="M16269" s="94"/>
    </row>
    <row r="16270" s="93" customFormat="1" spans="3:13">
      <c r="C16270" s="94"/>
      <c r="E16270" s="94"/>
      <c r="G16270" s="94"/>
      <c r="I16270" s="94"/>
      <c r="K16270" s="94"/>
      <c r="M16270" s="94"/>
    </row>
    <row r="16271" s="93" customFormat="1" spans="3:13">
      <c r="C16271" s="94"/>
      <c r="E16271" s="94"/>
      <c r="G16271" s="94"/>
      <c r="I16271" s="94"/>
      <c r="K16271" s="94"/>
      <c r="M16271" s="94"/>
    </row>
    <row r="16272" s="93" customFormat="1" spans="3:13">
      <c r="C16272" s="94"/>
      <c r="E16272" s="94"/>
      <c r="G16272" s="94"/>
      <c r="I16272" s="94"/>
      <c r="K16272" s="94"/>
      <c r="M16272" s="94"/>
    </row>
    <row r="16273" s="93" customFormat="1" spans="3:13">
      <c r="C16273" s="94"/>
      <c r="E16273" s="94"/>
      <c r="G16273" s="94"/>
      <c r="I16273" s="94"/>
      <c r="K16273" s="94"/>
      <c r="M16273" s="94"/>
    </row>
    <row r="16274" s="93" customFormat="1" spans="3:13">
      <c r="C16274" s="94"/>
      <c r="E16274" s="94"/>
      <c r="G16274" s="94"/>
      <c r="I16274" s="94"/>
      <c r="K16274" s="94"/>
      <c r="M16274" s="94"/>
    </row>
    <row r="16275" s="93" customFormat="1" spans="3:13">
      <c r="C16275" s="94"/>
      <c r="E16275" s="94"/>
      <c r="G16275" s="94"/>
      <c r="I16275" s="94"/>
      <c r="K16275" s="94"/>
      <c r="M16275" s="94"/>
    </row>
    <row r="16276" s="93" customFormat="1" spans="3:13">
      <c r="C16276" s="94"/>
      <c r="E16276" s="94"/>
      <c r="G16276" s="94"/>
      <c r="I16276" s="94"/>
      <c r="K16276" s="94"/>
      <c r="M16276" s="94"/>
    </row>
    <row r="16277" s="93" customFormat="1" spans="3:13">
      <c r="C16277" s="94"/>
      <c r="E16277" s="94"/>
      <c r="G16277" s="94"/>
      <c r="I16277" s="94"/>
      <c r="K16277" s="94"/>
      <c r="M16277" s="94"/>
    </row>
    <row r="16278" s="93" customFormat="1" spans="3:13">
      <c r="C16278" s="94"/>
      <c r="E16278" s="94"/>
      <c r="G16278" s="94"/>
      <c r="I16278" s="94"/>
      <c r="K16278" s="94"/>
      <c r="M16278" s="94"/>
    </row>
    <row r="16279" s="93" customFormat="1" spans="3:13">
      <c r="C16279" s="94"/>
      <c r="E16279" s="94"/>
      <c r="G16279" s="94"/>
      <c r="I16279" s="94"/>
      <c r="K16279" s="94"/>
      <c r="M16279" s="94"/>
    </row>
    <row r="16280" s="93" customFormat="1" spans="3:13">
      <c r="C16280" s="94"/>
      <c r="E16280" s="94"/>
      <c r="G16280" s="94"/>
      <c r="I16280" s="94"/>
      <c r="K16280" s="94"/>
      <c r="M16280" s="94"/>
    </row>
    <row r="16281" s="93" customFormat="1" spans="3:13">
      <c r="C16281" s="94"/>
      <c r="E16281" s="94"/>
      <c r="G16281" s="94"/>
      <c r="I16281" s="94"/>
      <c r="K16281" s="94"/>
      <c r="M16281" s="94"/>
    </row>
    <row r="16282" s="93" customFormat="1" spans="3:13">
      <c r="C16282" s="94"/>
      <c r="E16282" s="94"/>
      <c r="G16282" s="94"/>
      <c r="I16282" s="94"/>
      <c r="K16282" s="94"/>
      <c r="M16282" s="94"/>
    </row>
    <row r="16283" s="93" customFormat="1" spans="3:13">
      <c r="C16283" s="94"/>
      <c r="E16283" s="94"/>
      <c r="G16283" s="94"/>
      <c r="I16283" s="94"/>
      <c r="K16283" s="94"/>
      <c r="M16283" s="94"/>
    </row>
    <row r="16284" s="93" customFormat="1" spans="3:13">
      <c r="C16284" s="94"/>
      <c r="E16284" s="94"/>
      <c r="G16284" s="94"/>
      <c r="I16284" s="94"/>
      <c r="K16284" s="94"/>
      <c r="M16284" s="94"/>
    </row>
    <row r="16285" s="93" customFormat="1" spans="3:13">
      <c r="C16285" s="94"/>
      <c r="E16285" s="94"/>
      <c r="G16285" s="94"/>
      <c r="I16285" s="94"/>
      <c r="K16285" s="94"/>
      <c r="M16285" s="94"/>
    </row>
    <row r="16286" s="93" customFormat="1" spans="3:13">
      <c r="C16286" s="94"/>
      <c r="E16286" s="94"/>
      <c r="G16286" s="94"/>
      <c r="I16286" s="94"/>
      <c r="K16286" s="94"/>
      <c r="M16286" s="94"/>
    </row>
    <row r="16287" s="93" customFormat="1" spans="3:13">
      <c r="C16287" s="94"/>
      <c r="E16287" s="94"/>
      <c r="G16287" s="94"/>
      <c r="I16287" s="94"/>
      <c r="K16287" s="94"/>
      <c r="M16287" s="94"/>
    </row>
    <row r="16288" s="93" customFormat="1" spans="3:13">
      <c r="C16288" s="94"/>
      <c r="E16288" s="94"/>
      <c r="G16288" s="94"/>
      <c r="I16288" s="94"/>
      <c r="K16288" s="94"/>
      <c r="M16288" s="94"/>
    </row>
    <row r="16289" s="93" customFormat="1" spans="3:13">
      <c r="C16289" s="94"/>
      <c r="E16289" s="94"/>
      <c r="G16289" s="94"/>
      <c r="I16289" s="94"/>
      <c r="K16289" s="94"/>
      <c r="M16289" s="94"/>
    </row>
    <row r="16290" s="93" customFormat="1" spans="3:13">
      <c r="C16290" s="94"/>
      <c r="E16290" s="94"/>
      <c r="G16290" s="94"/>
      <c r="I16290" s="94"/>
      <c r="K16290" s="94"/>
      <c r="M16290" s="94"/>
    </row>
    <row r="16291" s="93" customFormat="1" spans="3:13">
      <c r="C16291" s="94"/>
      <c r="E16291" s="94"/>
      <c r="G16291" s="94"/>
      <c r="I16291" s="94"/>
      <c r="K16291" s="94"/>
      <c r="M16291" s="94"/>
    </row>
    <row r="16292" s="93" customFormat="1" spans="3:13">
      <c r="C16292" s="94"/>
      <c r="E16292" s="94"/>
      <c r="G16292" s="94"/>
      <c r="I16292" s="94"/>
      <c r="K16292" s="94"/>
      <c r="M16292" s="94"/>
    </row>
    <row r="16293" s="93" customFormat="1" spans="3:13">
      <c r="C16293" s="94"/>
      <c r="E16293" s="94"/>
      <c r="G16293" s="94"/>
      <c r="I16293" s="94"/>
      <c r="K16293" s="94"/>
      <c r="M16293" s="94"/>
    </row>
    <row r="16294" s="93" customFormat="1" spans="3:13">
      <c r="C16294" s="94"/>
      <c r="E16294" s="94"/>
      <c r="G16294" s="94"/>
      <c r="I16294" s="94"/>
      <c r="K16294" s="94"/>
      <c r="M16294" s="94"/>
    </row>
    <row r="16295" s="93" customFormat="1" spans="3:13">
      <c r="C16295" s="94"/>
      <c r="E16295" s="94"/>
      <c r="G16295" s="94"/>
      <c r="I16295" s="94"/>
      <c r="K16295" s="94"/>
      <c r="M16295" s="94"/>
    </row>
    <row r="16296" s="93" customFormat="1" spans="3:13">
      <c r="C16296" s="94"/>
      <c r="E16296" s="94"/>
      <c r="G16296" s="94"/>
      <c r="I16296" s="94"/>
      <c r="K16296" s="94"/>
      <c r="M16296" s="94"/>
    </row>
    <row r="16297" s="93" customFormat="1" spans="3:13">
      <c r="C16297" s="94"/>
      <c r="E16297" s="94"/>
      <c r="G16297" s="94"/>
      <c r="I16297" s="94"/>
      <c r="K16297" s="94"/>
      <c r="M16297" s="94"/>
    </row>
    <row r="16298" s="93" customFormat="1" spans="3:13">
      <c r="C16298" s="94"/>
      <c r="E16298" s="94"/>
      <c r="G16298" s="94"/>
      <c r="I16298" s="94"/>
      <c r="K16298" s="94"/>
      <c r="M16298" s="94"/>
    </row>
    <row r="16299" s="93" customFormat="1" spans="3:13">
      <c r="C16299" s="94"/>
      <c r="E16299" s="94"/>
      <c r="G16299" s="94"/>
      <c r="I16299" s="94"/>
      <c r="K16299" s="94"/>
      <c r="M16299" s="94"/>
    </row>
    <row r="16300" s="93" customFormat="1" spans="3:13">
      <c r="C16300" s="94"/>
      <c r="E16300" s="94"/>
      <c r="G16300" s="94"/>
      <c r="I16300" s="94"/>
      <c r="K16300" s="94"/>
      <c r="M16300" s="94"/>
    </row>
    <row r="16301" s="93" customFormat="1" spans="3:13">
      <c r="C16301" s="94"/>
      <c r="E16301" s="94"/>
      <c r="G16301" s="94"/>
      <c r="I16301" s="94"/>
      <c r="K16301" s="94"/>
      <c r="M16301" s="94"/>
    </row>
    <row r="16302" s="93" customFormat="1" spans="3:13">
      <c r="C16302" s="94"/>
      <c r="E16302" s="94"/>
      <c r="G16302" s="94"/>
      <c r="I16302" s="94"/>
      <c r="K16302" s="94"/>
      <c r="M16302" s="94"/>
    </row>
    <row r="16303" s="93" customFormat="1" spans="3:13">
      <c r="C16303" s="94"/>
      <c r="E16303" s="94"/>
      <c r="G16303" s="94"/>
      <c r="I16303" s="94"/>
      <c r="K16303" s="94"/>
      <c r="M16303" s="94"/>
    </row>
    <row r="16304" s="93" customFormat="1" spans="3:13">
      <c r="C16304" s="94"/>
      <c r="E16304" s="94"/>
      <c r="G16304" s="94"/>
      <c r="I16304" s="94"/>
      <c r="K16304" s="94"/>
      <c r="M16304" s="94"/>
    </row>
    <row r="16305" s="93" customFormat="1" spans="3:13">
      <c r="C16305" s="94"/>
      <c r="E16305" s="94"/>
      <c r="G16305" s="94"/>
      <c r="I16305" s="94"/>
      <c r="K16305" s="94"/>
      <c r="M16305" s="94"/>
    </row>
    <row r="16306" s="93" customFormat="1" spans="3:13">
      <c r="C16306" s="94"/>
      <c r="E16306" s="94"/>
      <c r="G16306" s="94"/>
      <c r="I16306" s="94"/>
      <c r="K16306" s="94"/>
      <c r="M16306" s="94"/>
    </row>
    <row r="16307" s="93" customFormat="1" spans="3:13">
      <c r="C16307" s="94"/>
      <c r="E16307" s="94"/>
      <c r="G16307" s="94"/>
      <c r="I16307" s="94"/>
      <c r="K16307" s="94"/>
      <c r="M16307" s="94"/>
    </row>
    <row r="16308" s="93" customFormat="1" spans="3:13">
      <c r="C16308" s="94"/>
      <c r="E16308" s="94"/>
      <c r="G16308" s="94"/>
      <c r="I16308" s="94"/>
      <c r="K16308" s="94"/>
      <c r="M16308" s="94"/>
    </row>
    <row r="16309" s="93" customFormat="1" spans="3:13">
      <c r="C16309" s="94"/>
      <c r="E16309" s="94"/>
      <c r="G16309" s="94"/>
      <c r="I16309" s="94"/>
      <c r="K16309" s="94"/>
      <c r="M16309" s="94"/>
    </row>
    <row r="16310" s="93" customFormat="1" spans="3:13">
      <c r="C16310" s="94"/>
      <c r="E16310" s="94"/>
      <c r="G16310" s="94"/>
      <c r="I16310" s="94"/>
      <c r="K16310" s="94"/>
      <c r="M16310" s="94"/>
    </row>
    <row r="16311" s="93" customFormat="1" spans="3:13">
      <c r="C16311" s="94"/>
      <c r="E16311" s="94"/>
      <c r="G16311" s="94"/>
      <c r="I16311" s="94"/>
      <c r="K16311" s="94"/>
      <c r="M16311" s="94"/>
    </row>
    <row r="16312" s="93" customFormat="1" spans="3:13">
      <c r="C16312" s="94"/>
      <c r="E16312" s="94"/>
      <c r="G16312" s="94"/>
      <c r="I16312" s="94"/>
      <c r="K16312" s="94"/>
      <c r="M16312" s="94"/>
    </row>
    <row r="16313" s="93" customFormat="1" spans="3:13">
      <c r="C16313" s="94"/>
      <c r="E16313" s="94"/>
      <c r="G16313" s="94"/>
      <c r="I16313" s="94"/>
      <c r="K16313" s="94"/>
      <c r="M16313" s="94"/>
    </row>
    <row r="16314" s="93" customFormat="1" spans="3:13">
      <c r="C16314" s="94"/>
      <c r="E16314" s="94"/>
      <c r="G16314" s="94"/>
      <c r="I16314" s="94"/>
      <c r="K16314" s="94"/>
      <c r="M16314" s="94"/>
    </row>
    <row r="16315" s="93" customFormat="1" spans="3:13">
      <c r="C16315" s="94"/>
      <c r="E16315" s="94"/>
      <c r="G16315" s="94"/>
      <c r="I16315" s="94"/>
      <c r="K16315" s="94"/>
      <c r="M16315" s="94"/>
    </row>
    <row r="16316" s="93" customFormat="1" spans="3:13">
      <c r="C16316" s="94"/>
      <c r="E16316" s="94"/>
      <c r="G16316" s="94"/>
      <c r="I16316" s="94"/>
      <c r="K16316" s="94"/>
      <c r="M16316" s="94"/>
    </row>
    <row r="16317" s="93" customFormat="1" spans="3:13">
      <c r="C16317" s="94"/>
      <c r="E16317" s="94"/>
      <c r="G16317" s="94"/>
      <c r="I16317" s="94"/>
      <c r="K16317" s="94"/>
      <c r="M16317" s="94"/>
    </row>
    <row r="16318" s="93" customFormat="1" spans="3:13">
      <c r="C16318" s="94"/>
      <c r="E16318" s="94"/>
      <c r="G16318" s="94"/>
      <c r="I16318" s="94"/>
      <c r="K16318" s="94"/>
      <c r="M16318" s="94"/>
    </row>
    <row r="16319" s="93" customFormat="1" spans="3:13">
      <c r="C16319" s="94"/>
      <c r="E16319" s="94"/>
      <c r="G16319" s="94"/>
      <c r="I16319" s="94"/>
      <c r="K16319" s="94"/>
      <c r="M16319" s="94"/>
    </row>
    <row r="16320" s="93" customFormat="1" spans="3:13">
      <c r="C16320" s="94"/>
      <c r="E16320" s="94"/>
      <c r="G16320" s="94"/>
      <c r="I16320" s="94"/>
      <c r="K16320" s="94"/>
      <c r="M16320" s="94"/>
    </row>
    <row r="16321" s="93" customFormat="1" spans="3:13">
      <c r="C16321" s="94"/>
      <c r="E16321" s="94"/>
      <c r="G16321" s="94"/>
      <c r="I16321" s="94"/>
      <c r="K16321" s="94"/>
      <c r="M16321" s="94"/>
    </row>
    <row r="16322" s="93" customFormat="1" spans="3:13">
      <c r="C16322" s="94"/>
      <c r="E16322" s="94"/>
      <c r="G16322" s="94"/>
      <c r="I16322" s="94"/>
      <c r="K16322" s="94"/>
      <c r="M16322" s="94"/>
    </row>
    <row r="16323" s="93" customFormat="1" spans="3:13">
      <c r="C16323" s="94"/>
      <c r="E16323" s="94"/>
      <c r="G16323" s="94"/>
      <c r="I16323" s="94"/>
      <c r="K16323" s="94"/>
      <c r="M16323" s="94"/>
    </row>
    <row r="16324" s="93" customFormat="1" spans="3:13">
      <c r="C16324" s="94"/>
      <c r="E16324" s="94"/>
      <c r="G16324" s="94"/>
      <c r="I16324" s="94"/>
      <c r="K16324" s="94"/>
      <c r="M16324" s="94"/>
    </row>
    <row r="16325" s="93" customFormat="1" spans="3:13">
      <c r="C16325" s="94"/>
      <c r="E16325" s="94"/>
      <c r="G16325" s="94"/>
      <c r="I16325" s="94"/>
      <c r="K16325" s="94"/>
      <c r="M16325" s="94"/>
    </row>
    <row r="16326" s="93" customFormat="1" spans="3:13">
      <c r="C16326" s="94"/>
      <c r="E16326" s="94"/>
      <c r="G16326" s="94"/>
      <c r="I16326" s="94"/>
      <c r="K16326" s="94"/>
      <c r="M16326" s="94"/>
    </row>
    <row r="16327" s="93" customFormat="1" spans="3:13">
      <c r="C16327" s="94"/>
      <c r="E16327" s="94"/>
      <c r="G16327" s="94"/>
      <c r="I16327" s="94"/>
      <c r="K16327" s="94"/>
      <c r="M16327" s="94"/>
    </row>
    <row r="16328" s="93" customFormat="1" spans="3:13">
      <c r="C16328" s="94"/>
      <c r="E16328" s="94"/>
      <c r="G16328" s="94"/>
      <c r="I16328" s="94"/>
      <c r="K16328" s="94"/>
      <c r="M16328" s="94"/>
    </row>
    <row r="16329" s="93" customFormat="1" spans="3:13">
      <c r="C16329" s="94"/>
      <c r="E16329" s="94"/>
      <c r="G16329" s="94"/>
      <c r="I16329" s="94"/>
      <c r="K16329" s="94"/>
      <c r="M16329" s="94"/>
    </row>
    <row r="16330" s="93" customFormat="1" spans="3:13">
      <c r="C16330" s="94"/>
      <c r="E16330" s="94"/>
      <c r="G16330" s="94"/>
      <c r="I16330" s="94"/>
      <c r="K16330" s="94"/>
      <c r="M16330" s="94"/>
    </row>
    <row r="16331" s="93" customFormat="1" spans="3:13">
      <c r="C16331" s="94"/>
      <c r="E16331" s="94"/>
      <c r="G16331" s="94"/>
      <c r="I16331" s="94"/>
      <c r="K16331" s="94"/>
      <c r="M16331" s="94"/>
    </row>
    <row r="16332" s="93" customFormat="1" spans="3:13">
      <c r="C16332" s="94"/>
      <c r="E16332" s="94"/>
      <c r="G16332" s="94"/>
      <c r="I16332" s="94"/>
      <c r="K16332" s="94"/>
      <c r="M16332" s="94"/>
    </row>
    <row r="16333" s="93" customFormat="1" spans="3:13">
      <c r="C16333" s="94"/>
      <c r="E16333" s="94"/>
      <c r="G16333" s="94"/>
      <c r="I16333" s="94"/>
      <c r="K16333" s="94"/>
      <c r="M16333" s="94"/>
    </row>
    <row r="16334" s="93" customFormat="1" spans="3:13">
      <c r="C16334" s="94"/>
      <c r="E16334" s="94"/>
      <c r="G16334" s="94"/>
      <c r="I16334" s="94"/>
      <c r="K16334" s="94"/>
      <c r="M16334" s="94"/>
    </row>
    <row r="16335" s="93" customFormat="1" spans="3:13">
      <c r="C16335" s="94"/>
      <c r="E16335" s="94"/>
      <c r="G16335" s="94"/>
      <c r="I16335" s="94"/>
      <c r="K16335" s="94"/>
      <c r="M16335" s="94"/>
    </row>
    <row r="16336" s="93" customFormat="1" spans="3:13">
      <c r="C16336" s="94"/>
      <c r="E16336" s="94"/>
      <c r="G16336" s="94"/>
      <c r="I16336" s="94"/>
      <c r="K16336" s="94"/>
      <c r="M16336" s="94"/>
    </row>
    <row r="16337" s="93" customFormat="1" spans="3:13">
      <c r="C16337" s="94"/>
      <c r="E16337" s="94"/>
      <c r="G16337" s="94"/>
      <c r="I16337" s="94"/>
      <c r="K16337" s="94"/>
      <c r="M16337" s="94"/>
    </row>
    <row r="16338" s="93" customFormat="1" spans="3:13">
      <c r="C16338" s="94"/>
      <c r="E16338" s="94"/>
      <c r="G16338" s="94"/>
      <c r="I16338" s="94"/>
      <c r="K16338" s="94"/>
      <c r="M16338" s="94"/>
    </row>
    <row r="16339" s="93" customFormat="1" spans="3:13">
      <c r="C16339" s="94"/>
      <c r="E16339" s="94"/>
      <c r="G16339" s="94"/>
      <c r="I16339" s="94"/>
      <c r="K16339" s="94"/>
      <c r="M16339" s="94"/>
    </row>
    <row r="16340" s="93" customFormat="1" spans="3:13">
      <c r="C16340" s="94"/>
      <c r="E16340" s="94"/>
      <c r="G16340" s="94"/>
      <c r="I16340" s="94"/>
      <c r="K16340" s="94"/>
      <c r="M16340" s="94"/>
    </row>
    <row r="16341" s="93" customFormat="1" spans="3:13">
      <c r="C16341" s="94"/>
      <c r="E16341" s="94"/>
      <c r="G16341" s="94"/>
      <c r="I16341" s="94"/>
      <c r="K16341" s="94"/>
      <c r="M16341" s="94"/>
    </row>
    <row r="16342" s="93" customFormat="1" spans="3:13">
      <c r="C16342" s="94"/>
      <c r="E16342" s="94"/>
      <c r="G16342" s="94"/>
      <c r="I16342" s="94"/>
      <c r="K16342" s="94"/>
      <c r="M16342" s="94"/>
    </row>
    <row r="16343" s="93" customFormat="1" spans="3:13">
      <c r="C16343" s="94"/>
      <c r="E16343" s="94"/>
      <c r="G16343" s="94"/>
      <c r="I16343" s="94"/>
      <c r="K16343" s="94"/>
      <c r="M16343" s="94"/>
    </row>
    <row r="16344" s="93" customFormat="1" spans="3:13">
      <c r="C16344" s="94"/>
      <c r="E16344" s="94"/>
      <c r="G16344" s="94"/>
      <c r="I16344" s="94"/>
      <c r="K16344" s="94"/>
      <c r="M16344" s="94"/>
    </row>
    <row r="16345" s="93" customFormat="1" spans="3:13">
      <c r="C16345" s="94"/>
      <c r="E16345" s="94"/>
      <c r="G16345" s="94"/>
      <c r="I16345" s="94"/>
      <c r="K16345" s="94"/>
      <c r="M16345" s="94"/>
    </row>
    <row r="16346" s="93" customFormat="1" spans="3:13">
      <c r="C16346" s="94"/>
      <c r="E16346" s="94"/>
      <c r="G16346" s="94"/>
      <c r="I16346" s="94"/>
      <c r="K16346" s="94"/>
      <c r="M16346" s="94"/>
    </row>
    <row r="16347" s="93" customFormat="1" spans="3:13">
      <c r="C16347" s="94"/>
      <c r="E16347" s="94"/>
      <c r="G16347" s="94"/>
      <c r="I16347" s="94"/>
      <c r="K16347" s="94"/>
      <c r="M16347" s="94"/>
    </row>
    <row r="16348" s="93" customFormat="1" spans="3:13">
      <c r="C16348" s="94"/>
      <c r="E16348" s="94"/>
      <c r="G16348" s="94"/>
      <c r="I16348" s="94"/>
      <c r="K16348" s="94"/>
      <c r="M16348" s="94"/>
    </row>
    <row r="16349" s="93" customFormat="1" spans="3:13">
      <c r="C16349" s="94"/>
      <c r="E16349" s="94"/>
      <c r="G16349" s="94"/>
      <c r="I16349" s="94"/>
      <c r="K16349" s="94"/>
      <c r="M16349" s="94"/>
    </row>
    <row r="16350" s="93" customFormat="1" spans="3:13">
      <c r="C16350" s="94"/>
      <c r="E16350" s="94"/>
      <c r="G16350" s="94"/>
      <c r="I16350" s="94"/>
      <c r="K16350" s="94"/>
      <c r="M16350" s="94"/>
    </row>
    <row r="16351" s="93" customFormat="1" spans="3:13">
      <c r="C16351" s="94"/>
      <c r="E16351" s="94"/>
      <c r="G16351" s="94"/>
      <c r="I16351" s="94"/>
      <c r="K16351" s="94"/>
      <c r="M16351" s="94"/>
    </row>
    <row r="16352" s="93" customFormat="1" spans="3:13">
      <c r="C16352" s="94"/>
      <c r="E16352" s="94"/>
      <c r="G16352" s="94"/>
      <c r="I16352" s="94"/>
      <c r="K16352" s="94"/>
      <c r="M16352" s="94"/>
    </row>
    <row r="16353" s="93" customFormat="1" spans="3:13">
      <c r="C16353" s="94"/>
      <c r="E16353" s="94"/>
      <c r="G16353" s="94"/>
      <c r="I16353" s="94"/>
      <c r="K16353" s="94"/>
      <c r="M16353" s="94"/>
    </row>
    <row r="16354" s="93" customFormat="1" spans="3:13">
      <c r="C16354" s="94"/>
      <c r="E16354" s="94"/>
      <c r="G16354" s="94"/>
      <c r="I16354" s="94"/>
      <c r="K16354" s="94"/>
      <c r="M16354" s="94"/>
    </row>
    <row r="16355" s="93" customFormat="1" spans="3:13">
      <c r="C16355" s="94"/>
      <c r="E16355" s="94"/>
      <c r="G16355" s="94"/>
      <c r="I16355" s="94"/>
      <c r="K16355" s="94"/>
      <c r="M16355" s="94"/>
    </row>
    <row r="16356" s="93" customFormat="1" spans="3:13">
      <c r="C16356" s="94"/>
      <c r="E16356" s="94"/>
      <c r="G16356" s="94"/>
      <c r="I16356" s="94"/>
      <c r="K16356" s="94"/>
      <c r="M16356" s="94"/>
    </row>
    <row r="16357" s="93" customFormat="1" spans="3:13">
      <c r="C16357" s="94"/>
      <c r="E16357" s="94"/>
      <c r="G16357" s="94"/>
      <c r="I16357" s="94"/>
      <c r="K16357" s="94"/>
      <c r="M16357" s="94"/>
    </row>
    <row r="16358" s="93" customFormat="1" spans="3:13">
      <c r="C16358" s="94"/>
      <c r="E16358" s="94"/>
      <c r="G16358" s="94"/>
      <c r="I16358" s="94"/>
      <c r="K16358" s="94"/>
      <c r="M16358" s="94"/>
    </row>
    <row r="16359" s="93" customFormat="1" spans="3:13">
      <c r="C16359" s="94"/>
      <c r="E16359" s="94"/>
      <c r="G16359" s="94"/>
      <c r="I16359" s="94"/>
      <c r="K16359" s="94"/>
      <c r="M16359" s="94"/>
    </row>
    <row r="16360" s="93" customFormat="1" spans="3:13">
      <c r="C16360" s="94"/>
      <c r="E16360" s="94"/>
      <c r="G16360" s="94"/>
      <c r="I16360" s="94"/>
      <c r="K16360" s="94"/>
      <c r="M16360" s="94"/>
    </row>
    <row r="16361" s="93" customFormat="1" spans="3:13">
      <c r="C16361" s="94"/>
      <c r="E16361" s="94"/>
      <c r="G16361" s="94"/>
      <c r="I16361" s="94"/>
      <c r="K16361" s="94"/>
      <c r="M16361" s="94"/>
    </row>
    <row r="16362" s="93" customFormat="1" spans="3:13">
      <c r="C16362" s="94"/>
      <c r="E16362" s="94"/>
      <c r="G16362" s="94"/>
      <c r="I16362" s="94"/>
      <c r="K16362" s="94"/>
      <c r="M16362" s="94"/>
    </row>
    <row r="16363" s="93" customFormat="1" spans="3:13">
      <c r="C16363" s="94"/>
      <c r="E16363" s="94"/>
      <c r="G16363" s="94"/>
      <c r="I16363" s="94"/>
      <c r="K16363" s="94"/>
      <c r="M16363" s="94"/>
    </row>
    <row r="16364" s="93" customFormat="1" spans="3:13">
      <c r="C16364" s="94"/>
      <c r="E16364" s="94"/>
      <c r="G16364" s="94"/>
      <c r="I16364" s="94"/>
      <c r="K16364" s="94"/>
      <c r="M16364" s="94"/>
    </row>
    <row r="16365" s="93" customFormat="1" spans="3:13">
      <c r="C16365" s="94"/>
      <c r="E16365" s="94"/>
      <c r="G16365" s="94"/>
      <c r="I16365" s="94"/>
      <c r="K16365" s="94"/>
      <c r="M16365" s="94"/>
    </row>
    <row r="16366" s="93" customFormat="1" spans="3:13">
      <c r="C16366" s="94"/>
      <c r="E16366" s="94"/>
      <c r="G16366" s="94"/>
      <c r="I16366" s="94"/>
      <c r="K16366" s="94"/>
      <c r="M16366" s="94"/>
    </row>
    <row r="16367" s="93" customFormat="1" spans="3:13">
      <c r="C16367" s="94"/>
      <c r="E16367" s="94"/>
      <c r="G16367" s="94"/>
      <c r="I16367" s="94"/>
      <c r="K16367" s="94"/>
      <c r="M16367" s="94"/>
    </row>
    <row r="16368" s="93" customFormat="1" spans="3:13">
      <c r="C16368" s="94"/>
      <c r="E16368" s="94"/>
      <c r="G16368" s="94"/>
      <c r="I16368" s="94"/>
      <c r="K16368" s="94"/>
      <c r="M16368" s="94"/>
    </row>
    <row r="16369" s="93" customFormat="1" spans="3:13">
      <c r="C16369" s="94"/>
      <c r="E16369" s="94"/>
      <c r="G16369" s="94"/>
      <c r="I16369" s="94"/>
      <c r="K16369" s="94"/>
      <c r="M16369" s="94"/>
    </row>
    <row r="16370" s="93" customFormat="1" spans="3:13">
      <c r="C16370" s="94"/>
      <c r="E16370" s="94"/>
      <c r="G16370" s="94"/>
      <c r="I16370" s="94"/>
      <c r="K16370" s="94"/>
      <c r="M16370" s="94"/>
    </row>
    <row r="16371" s="93" customFormat="1" spans="3:13">
      <c r="C16371" s="94"/>
      <c r="E16371" s="94"/>
      <c r="G16371" s="94"/>
      <c r="I16371" s="94"/>
      <c r="K16371" s="94"/>
      <c r="M16371" s="94"/>
    </row>
    <row r="16372" s="93" customFormat="1" spans="3:13">
      <c r="C16372" s="94"/>
      <c r="E16372" s="94"/>
      <c r="G16372" s="94"/>
      <c r="I16372" s="94"/>
      <c r="K16372" s="94"/>
      <c r="M16372" s="94"/>
    </row>
    <row r="16373" s="93" customFormat="1" spans="3:13">
      <c r="C16373" s="94"/>
      <c r="E16373" s="94"/>
      <c r="G16373" s="94"/>
      <c r="I16373" s="94"/>
      <c r="K16373" s="94"/>
      <c r="M16373" s="94"/>
    </row>
    <row r="16374" s="93" customFormat="1" spans="3:13">
      <c r="C16374" s="94"/>
      <c r="E16374" s="94"/>
      <c r="G16374" s="94"/>
      <c r="I16374" s="94"/>
      <c r="K16374" s="94"/>
      <c r="M16374" s="94"/>
    </row>
    <row r="16375" s="93" customFormat="1" spans="3:13">
      <c r="C16375" s="94"/>
      <c r="E16375" s="94"/>
      <c r="G16375" s="94"/>
      <c r="I16375" s="94"/>
      <c r="K16375" s="94"/>
      <c r="M16375" s="94"/>
    </row>
    <row r="16376" s="93" customFormat="1" spans="3:13">
      <c r="C16376" s="94"/>
      <c r="E16376" s="94"/>
      <c r="G16376" s="94"/>
      <c r="I16376" s="94"/>
      <c r="K16376" s="94"/>
      <c r="M16376" s="94"/>
    </row>
    <row r="16377" s="93" customFormat="1" spans="3:13">
      <c r="C16377" s="94"/>
      <c r="E16377" s="94"/>
      <c r="G16377" s="94"/>
      <c r="I16377" s="94"/>
      <c r="K16377" s="94"/>
      <c r="M16377" s="94"/>
    </row>
    <row r="16378" s="93" customFormat="1" spans="3:13">
      <c r="C16378" s="94"/>
      <c r="E16378" s="94"/>
      <c r="G16378" s="94"/>
      <c r="I16378" s="94"/>
      <c r="K16378" s="94"/>
      <c r="M16378" s="94"/>
    </row>
    <row r="16379" s="93" customFormat="1" spans="3:13">
      <c r="C16379" s="94"/>
      <c r="E16379" s="94"/>
      <c r="G16379" s="94"/>
      <c r="I16379" s="94"/>
      <c r="K16379" s="94"/>
      <c r="M16379" s="94"/>
    </row>
    <row r="16380" s="93" customFormat="1" spans="3:13">
      <c r="C16380" s="94"/>
      <c r="E16380" s="94"/>
      <c r="G16380" s="94"/>
      <c r="I16380" s="94"/>
      <c r="K16380" s="94"/>
      <c r="M16380" s="94"/>
    </row>
    <row r="16381" s="93" customFormat="1" spans="3:13">
      <c r="C16381" s="94"/>
      <c r="E16381" s="94"/>
      <c r="G16381" s="94"/>
      <c r="I16381" s="94"/>
      <c r="K16381" s="94"/>
      <c r="M16381" s="94"/>
    </row>
    <row r="16382" s="93" customFormat="1" spans="3:13">
      <c r="C16382" s="94"/>
      <c r="E16382" s="94"/>
      <c r="G16382" s="94"/>
      <c r="I16382" s="94"/>
      <c r="K16382" s="94"/>
      <c r="M16382" s="94"/>
    </row>
    <row r="16383" s="93" customFormat="1" spans="3:13">
      <c r="C16383" s="94"/>
      <c r="E16383" s="94"/>
      <c r="G16383" s="94"/>
      <c r="I16383" s="94"/>
      <c r="K16383" s="94"/>
      <c r="M16383" s="94"/>
    </row>
    <row r="16384" s="93" customFormat="1" spans="3:13">
      <c r="C16384" s="94"/>
      <c r="E16384" s="94"/>
      <c r="G16384" s="94"/>
      <c r="I16384" s="94"/>
      <c r="K16384" s="94"/>
      <c r="M16384" s="94"/>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64"/>
  <sheetViews>
    <sheetView topLeftCell="A3311" workbookViewId="0">
      <selection activeCell="E3354" sqref="E3354"/>
    </sheetView>
  </sheetViews>
  <sheetFormatPr defaultColWidth="9" defaultRowHeight="14" outlineLevelCol="6"/>
  <cols>
    <col min="4" max="4" width="32.1272727272727" customWidth="1"/>
    <col min="5" max="5" width="21.3636363636364" customWidth="1"/>
    <col min="6" max="6" width="12.6363636363636" customWidth="1"/>
    <col min="7" max="7" width="9" customWidth="1"/>
  </cols>
  <sheetData>
    <row r="1" spans="1:6">
      <c r="A1">
        <v>1</v>
      </c>
      <c r="B1">
        <v>9999</v>
      </c>
      <c r="C1">
        <v>44</v>
      </c>
      <c r="F1" t="s">
        <v>0</v>
      </c>
    </row>
    <row r="2" spans="1:7">
      <c r="A2" s="25" t="s">
        <v>698</v>
      </c>
      <c r="B2" s="25" t="s">
        <v>699</v>
      </c>
      <c r="C2" s="25" t="s">
        <v>700</v>
      </c>
      <c r="D2" s="25" t="s">
        <v>701</v>
      </c>
      <c r="E2" s="25" t="s">
        <v>702</v>
      </c>
      <c r="F2" s="25" t="s">
        <v>703</v>
      </c>
      <c r="G2" s="25" t="s">
        <v>704</v>
      </c>
    </row>
    <row r="3" s="1" customFormat="1" spans="1:7">
      <c r="A3" s="26" t="s">
        <v>705</v>
      </c>
      <c r="B3" s="26" t="s">
        <v>706</v>
      </c>
      <c r="C3" s="26" t="s">
        <v>707</v>
      </c>
      <c r="D3" s="26"/>
      <c r="E3" s="26" t="s">
        <v>708</v>
      </c>
      <c r="F3" s="26" t="s">
        <v>709</v>
      </c>
      <c r="G3" s="26" t="s">
        <v>710</v>
      </c>
    </row>
    <row r="4" s="1" customFormat="1" spans="1:7">
      <c r="A4" s="26" t="s">
        <v>35</v>
      </c>
      <c r="B4" s="26" t="s">
        <v>35</v>
      </c>
      <c r="C4" s="26" t="s">
        <v>35</v>
      </c>
      <c r="D4" s="26"/>
      <c r="E4" s="26" t="s">
        <v>711</v>
      </c>
      <c r="F4" s="26" t="s">
        <v>35</v>
      </c>
      <c r="G4" s="26" t="s">
        <v>711</v>
      </c>
    </row>
    <row r="5" s="1" customFormat="1" spans="1:7">
      <c r="A5" s="26" t="s">
        <v>37</v>
      </c>
      <c r="B5" s="26" t="s">
        <v>712</v>
      </c>
      <c r="C5" s="26" t="s">
        <v>37</v>
      </c>
      <c r="D5" s="26"/>
      <c r="E5" s="26" t="s">
        <v>37</v>
      </c>
      <c r="F5" s="26" t="s">
        <v>713</v>
      </c>
      <c r="G5" s="26" t="s">
        <v>37</v>
      </c>
    </row>
    <row r="6" s="1" customFormat="1" spans="1:7">
      <c r="A6" s="26" t="s">
        <v>705</v>
      </c>
      <c r="B6" s="26" t="s">
        <v>706</v>
      </c>
      <c r="C6" s="26" t="s">
        <v>707</v>
      </c>
      <c r="D6" s="26"/>
      <c r="E6" s="26" t="s">
        <v>714</v>
      </c>
      <c r="F6" s="26" t="s">
        <v>709</v>
      </c>
      <c r="G6" s="26" t="s">
        <v>715</v>
      </c>
    </row>
    <row r="7" spans="1:7">
      <c r="A7" s="25">
        <v>1001</v>
      </c>
      <c r="B7" s="25">
        <v>1</v>
      </c>
      <c r="C7" s="25">
        <v>1001</v>
      </c>
      <c r="D7" t="s">
        <v>716</v>
      </c>
      <c r="E7" s="27" t="s">
        <v>716</v>
      </c>
      <c r="F7" s="25" t="s">
        <v>717</v>
      </c>
      <c r="G7" t="s">
        <v>718</v>
      </c>
    </row>
    <row r="8" spans="1:7">
      <c r="A8" s="25">
        <v>1001</v>
      </c>
      <c r="B8" s="25">
        <v>1</v>
      </c>
      <c r="C8" s="25">
        <v>1001</v>
      </c>
      <c r="D8" t="s">
        <v>719</v>
      </c>
      <c r="E8" s="27" t="s">
        <v>719</v>
      </c>
      <c r="F8" s="25">
        <v>112002</v>
      </c>
      <c r="G8" t="s">
        <v>720</v>
      </c>
    </row>
    <row r="9" spans="1:7">
      <c r="A9" s="25">
        <v>1001</v>
      </c>
      <c r="B9" s="25">
        <v>1</v>
      </c>
      <c r="C9" s="25">
        <v>1001</v>
      </c>
      <c r="D9" t="s">
        <v>721</v>
      </c>
      <c r="E9" s="27" t="s">
        <v>721</v>
      </c>
      <c r="F9" s="25">
        <v>112003</v>
      </c>
      <c r="G9" t="s">
        <v>722</v>
      </c>
    </row>
    <row r="10" spans="1:7">
      <c r="A10" s="25">
        <v>1001</v>
      </c>
      <c r="B10" s="25">
        <v>1</v>
      </c>
      <c r="C10" s="25">
        <v>1001</v>
      </c>
      <c r="D10" t="s">
        <v>723</v>
      </c>
      <c r="E10" s="27" t="s">
        <v>723</v>
      </c>
      <c r="F10" s="25">
        <v>112004</v>
      </c>
      <c r="G10" t="s">
        <v>724</v>
      </c>
    </row>
    <row r="11" spans="1:7">
      <c r="A11" s="25">
        <v>1001</v>
      </c>
      <c r="B11" s="25">
        <v>1</v>
      </c>
      <c r="C11" s="25">
        <v>1001</v>
      </c>
      <c r="D11" t="s">
        <v>725</v>
      </c>
      <c r="E11" s="27" t="s">
        <v>725</v>
      </c>
      <c r="F11" s="25">
        <v>122001</v>
      </c>
      <c r="G11" t="s">
        <v>726</v>
      </c>
    </row>
    <row r="12" spans="1:7">
      <c r="A12" s="25">
        <v>1001</v>
      </c>
      <c r="B12" s="25">
        <v>1</v>
      </c>
      <c r="C12" s="25">
        <v>1001</v>
      </c>
      <c r="D12" t="s">
        <v>727</v>
      </c>
      <c r="E12" s="27" t="s">
        <v>727</v>
      </c>
      <c r="F12" s="25">
        <v>122002</v>
      </c>
      <c r="G12" t="s">
        <v>728</v>
      </c>
    </row>
    <row r="13" spans="1:7">
      <c r="A13" s="25">
        <v>1001</v>
      </c>
      <c r="B13" s="25">
        <v>1</v>
      </c>
      <c r="C13" s="25">
        <v>1001</v>
      </c>
      <c r="D13" t="s">
        <v>665</v>
      </c>
      <c r="E13" s="27" t="s">
        <v>665</v>
      </c>
      <c r="F13" s="25">
        <v>122003</v>
      </c>
      <c r="G13" t="s">
        <v>729</v>
      </c>
    </row>
    <row r="14" spans="1:7">
      <c r="A14" s="25">
        <v>1001</v>
      </c>
      <c r="B14" s="25">
        <v>1</v>
      </c>
      <c r="C14" s="25">
        <v>1001</v>
      </c>
      <c r="D14" t="s">
        <v>730</v>
      </c>
      <c r="E14" s="27" t="s">
        <v>730</v>
      </c>
      <c r="F14" s="25">
        <v>122004</v>
      </c>
      <c r="G14" t="s">
        <v>731</v>
      </c>
    </row>
    <row r="15" spans="1:7">
      <c r="A15" s="25">
        <v>1001</v>
      </c>
      <c r="B15" s="25">
        <v>1</v>
      </c>
      <c r="C15" s="25">
        <v>1001</v>
      </c>
      <c r="D15" t="s">
        <v>732</v>
      </c>
      <c r="E15" s="27" t="s">
        <v>732</v>
      </c>
      <c r="F15" s="25">
        <v>122005</v>
      </c>
      <c r="G15" t="s">
        <v>733</v>
      </c>
    </row>
    <row r="16" spans="1:7">
      <c r="A16" s="25">
        <v>1001</v>
      </c>
      <c r="B16" s="25">
        <v>1</v>
      </c>
      <c r="C16" s="25">
        <v>1001</v>
      </c>
      <c r="D16" t="s">
        <v>734</v>
      </c>
      <c r="E16" s="27" t="s">
        <v>734</v>
      </c>
      <c r="F16" s="25">
        <v>122006</v>
      </c>
      <c r="G16" t="s">
        <v>735</v>
      </c>
    </row>
    <row r="17" spans="1:7">
      <c r="A17" s="25">
        <v>1001</v>
      </c>
      <c r="B17" s="25">
        <v>1</v>
      </c>
      <c r="C17" s="25">
        <v>1001</v>
      </c>
      <c r="D17" t="s">
        <v>736</v>
      </c>
      <c r="E17" s="27" t="s">
        <v>736</v>
      </c>
      <c r="F17" s="25">
        <v>122007</v>
      </c>
      <c r="G17" t="s">
        <v>737</v>
      </c>
    </row>
    <row r="18" spans="1:7">
      <c r="A18" s="25">
        <v>1001</v>
      </c>
      <c r="B18" s="25">
        <v>1</v>
      </c>
      <c r="C18" s="25">
        <v>1001</v>
      </c>
      <c r="D18" t="s">
        <v>738</v>
      </c>
      <c r="E18" s="27" t="s">
        <v>738</v>
      </c>
      <c r="F18" s="25">
        <v>122008</v>
      </c>
      <c r="G18" t="s">
        <v>739</v>
      </c>
    </row>
    <row r="19" spans="1:7">
      <c r="A19" s="25">
        <v>1001</v>
      </c>
      <c r="B19" s="25">
        <v>1</v>
      </c>
      <c r="C19" s="25">
        <v>1001</v>
      </c>
      <c r="D19" t="s">
        <v>740</v>
      </c>
      <c r="E19" s="27" t="s">
        <v>740</v>
      </c>
      <c r="F19" s="25">
        <v>122009</v>
      </c>
      <c r="G19" t="s">
        <v>741</v>
      </c>
    </row>
    <row r="20" spans="1:7">
      <c r="A20" s="25">
        <v>1001</v>
      </c>
      <c r="B20" s="25">
        <v>1</v>
      </c>
      <c r="C20" s="25">
        <v>1001</v>
      </c>
      <c r="D20" t="s">
        <v>742</v>
      </c>
      <c r="E20" s="27" t="s">
        <v>742</v>
      </c>
      <c r="F20" s="25">
        <v>122010</v>
      </c>
      <c r="G20" t="s">
        <v>743</v>
      </c>
    </row>
    <row r="21" spans="1:7">
      <c r="A21" s="25">
        <v>1001</v>
      </c>
      <c r="B21" s="25">
        <v>1</v>
      </c>
      <c r="C21" s="25">
        <v>1001</v>
      </c>
      <c r="D21" t="s">
        <v>744</v>
      </c>
      <c r="E21" s="27" t="s">
        <v>744</v>
      </c>
      <c r="F21" s="25">
        <v>122011</v>
      </c>
      <c r="G21" t="s">
        <v>745</v>
      </c>
    </row>
    <row r="22" spans="1:7">
      <c r="A22" s="25">
        <v>1001</v>
      </c>
      <c r="B22" s="25">
        <v>1</v>
      </c>
      <c r="C22" s="25">
        <v>1001</v>
      </c>
      <c r="D22" t="s">
        <v>746</v>
      </c>
      <c r="E22" s="27" t="s">
        <v>746</v>
      </c>
      <c r="F22" s="25">
        <v>122012</v>
      </c>
      <c r="G22" t="s">
        <v>747</v>
      </c>
    </row>
    <row r="23" spans="1:7">
      <c r="A23" s="25">
        <v>1001</v>
      </c>
      <c r="B23" s="25">
        <v>1</v>
      </c>
      <c r="C23" s="25">
        <v>1001</v>
      </c>
      <c r="D23" t="s">
        <v>748</v>
      </c>
      <c r="E23" s="27" t="s">
        <v>748</v>
      </c>
      <c r="F23" s="25">
        <v>122013</v>
      </c>
      <c r="G23" t="s">
        <v>749</v>
      </c>
    </row>
    <row r="24" spans="1:7">
      <c r="A24" s="25">
        <v>1001</v>
      </c>
      <c r="B24" s="25">
        <v>1</v>
      </c>
      <c r="C24" s="25">
        <v>1001</v>
      </c>
      <c r="D24" t="s">
        <v>750</v>
      </c>
      <c r="E24" s="27" t="s">
        <v>750</v>
      </c>
      <c r="F24" s="25">
        <v>122014</v>
      </c>
      <c r="G24" t="s">
        <v>751</v>
      </c>
    </row>
    <row r="25" spans="1:7">
      <c r="A25" s="25">
        <v>1001</v>
      </c>
      <c r="B25" s="25">
        <v>1</v>
      </c>
      <c r="C25" s="25">
        <v>1001</v>
      </c>
      <c r="D25" t="s">
        <v>752</v>
      </c>
      <c r="E25" s="27" t="s">
        <v>753</v>
      </c>
      <c r="F25" s="25">
        <v>122015</v>
      </c>
      <c r="G25" t="s">
        <v>754</v>
      </c>
    </row>
    <row r="26" spans="1:7">
      <c r="A26" s="25">
        <v>1001</v>
      </c>
      <c r="B26" s="25">
        <v>1</v>
      </c>
      <c r="C26" s="25">
        <v>1001</v>
      </c>
      <c r="D26" t="s">
        <v>755</v>
      </c>
      <c r="E26" s="27" t="s">
        <v>755</v>
      </c>
      <c r="F26" s="25">
        <v>122016</v>
      </c>
      <c r="G26" t="s">
        <v>756</v>
      </c>
    </row>
    <row r="27" spans="1:7">
      <c r="A27" s="25">
        <v>1001</v>
      </c>
      <c r="B27" s="25">
        <v>1</v>
      </c>
      <c r="C27" s="25">
        <v>1001</v>
      </c>
      <c r="D27" t="s">
        <v>757</v>
      </c>
      <c r="E27" s="27" t="s">
        <v>757</v>
      </c>
      <c r="F27" s="25">
        <v>122017</v>
      </c>
      <c r="G27" t="s">
        <v>758</v>
      </c>
    </row>
    <row r="28" spans="1:7">
      <c r="A28" s="25">
        <v>1001</v>
      </c>
      <c r="B28" s="25">
        <v>1</v>
      </c>
      <c r="C28" s="25">
        <v>1001</v>
      </c>
      <c r="D28" t="s">
        <v>759</v>
      </c>
      <c r="E28" s="27" t="s">
        <v>760</v>
      </c>
      <c r="F28" s="25">
        <v>122018</v>
      </c>
      <c r="G28" t="s">
        <v>761</v>
      </c>
    </row>
    <row r="29" spans="1:7">
      <c r="A29" s="25">
        <v>1001</v>
      </c>
      <c r="B29" s="25">
        <v>1</v>
      </c>
      <c r="C29" s="25">
        <v>1001</v>
      </c>
      <c r="D29" t="s">
        <v>762</v>
      </c>
      <c r="E29" s="27" t="s">
        <v>762</v>
      </c>
      <c r="F29" s="25">
        <v>122019</v>
      </c>
      <c r="G29" t="s">
        <v>763</v>
      </c>
    </row>
    <row r="30" spans="1:7">
      <c r="A30" s="25">
        <v>1001</v>
      </c>
      <c r="B30" s="25">
        <v>1</v>
      </c>
      <c r="C30" s="25">
        <v>1001</v>
      </c>
      <c r="D30" t="s">
        <v>764</v>
      </c>
      <c r="E30" t="s">
        <v>764</v>
      </c>
      <c r="F30" s="25">
        <v>122020</v>
      </c>
      <c r="G30" t="s">
        <v>765</v>
      </c>
    </row>
    <row r="31" spans="1:7">
      <c r="A31" s="25">
        <v>1001</v>
      </c>
      <c r="B31" s="25">
        <v>1</v>
      </c>
      <c r="C31" s="25">
        <v>1001</v>
      </c>
      <c r="D31" t="s">
        <v>766</v>
      </c>
      <c r="E31" t="s">
        <v>766</v>
      </c>
      <c r="F31" s="25">
        <v>122021</v>
      </c>
      <c r="G31" t="s">
        <v>767</v>
      </c>
    </row>
    <row r="32" spans="1:7">
      <c r="A32" s="25">
        <v>1001</v>
      </c>
      <c r="B32" s="25">
        <v>1</v>
      </c>
      <c r="C32" s="25">
        <v>1001</v>
      </c>
      <c r="D32" t="s">
        <v>768</v>
      </c>
      <c r="E32" t="s">
        <v>768</v>
      </c>
      <c r="F32" s="25">
        <v>122022</v>
      </c>
      <c r="G32" t="s">
        <v>769</v>
      </c>
    </row>
    <row r="33" spans="1:7">
      <c r="A33" s="25">
        <v>1001</v>
      </c>
      <c r="B33" s="25">
        <v>1</v>
      </c>
      <c r="C33" s="25">
        <v>1001</v>
      </c>
      <c r="D33" t="s">
        <v>770</v>
      </c>
      <c r="E33" t="s">
        <v>770</v>
      </c>
      <c r="F33" s="25">
        <v>122023</v>
      </c>
      <c r="G33" t="s">
        <v>771</v>
      </c>
    </row>
    <row r="34" spans="1:7">
      <c r="A34" s="25">
        <v>1001</v>
      </c>
      <c r="B34" s="25">
        <v>1</v>
      </c>
      <c r="C34" s="25">
        <v>1001</v>
      </c>
      <c r="D34" t="s">
        <v>772</v>
      </c>
      <c r="E34" t="s">
        <v>772</v>
      </c>
      <c r="F34" s="25">
        <v>122028</v>
      </c>
      <c r="G34" t="s">
        <v>773</v>
      </c>
    </row>
    <row r="35" spans="1:7">
      <c r="A35" s="25">
        <v>1001</v>
      </c>
      <c r="B35" s="25">
        <v>1</v>
      </c>
      <c r="C35" s="25">
        <v>1001</v>
      </c>
      <c r="D35" t="s">
        <v>774</v>
      </c>
      <c r="E35" t="s">
        <v>774</v>
      </c>
      <c r="F35" s="25">
        <v>122029</v>
      </c>
      <c r="G35" t="s">
        <v>775</v>
      </c>
    </row>
    <row r="36" spans="1:7">
      <c r="A36" s="25">
        <v>1001</v>
      </c>
      <c r="B36" s="25">
        <v>1</v>
      </c>
      <c r="C36" s="25">
        <v>1001</v>
      </c>
      <c r="D36" t="s">
        <v>776</v>
      </c>
      <c r="E36" t="s">
        <v>776</v>
      </c>
      <c r="F36" s="25">
        <v>122030</v>
      </c>
      <c r="G36" t="s">
        <v>777</v>
      </c>
    </row>
    <row r="37" spans="1:7">
      <c r="A37" s="25">
        <v>1001</v>
      </c>
      <c r="B37" s="25">
        <v>1</v>
      </c>
      <c r="C37" s="25">
        <v>1001</v>
      </c>
      <c r="D37" t="s">
        <v>778</v>
      </c>
      <c r="E37" t="s">
        <v>778</v>
      </c>
      <c r="F37" s="25">
        <v>122031</v>
      </c>
      <c r="G37" t="s">
        <v>779</v>
      </c>
    </row>
    <row r="38" spans="1:7">
      <c r="A38" s="25">
        <v>1001</v>
      </c>
      <c r="B38" s="25">
        <v>1</v>
      </c>
      <c r="C38" s="25">
        <v>1001</v>
      </c>
      <c r="D38" t="s">
        <v>780</v>
      </c>
      <c r="E38" t="s">
        <v>780</v>
      </c>
      <c r="F38" s="25">
        <v>122032</v>
      </c>
      <c r="G38" t="s">
        <v>781</v>
      </c>
    </row>
    <row r="39" spans="1:7">
      <c r="A39" s="25">
        <v>1001</v>
      </c>
      <c r="B39" s="25">
        <v>1</v>
      </c>
      <c r="C39" s="25">
        <v>1001</v>
      </c>
      <c r="D39" t="s">
        <v>782</v>
      </c>
      <c r="E39" t="s">
        <v>782</v>
      </c>
      <c r="F39" s="25">
        <v>122033</v>
      </c>
      <c r="G39" t="s">
        <v>783</v>
      </c>
    </row>
    <row r="40" spans="1:7">
      <c r="A40" s="25">
        <v>1001</v>
      </c>
      <c r="B40" s="25">
        <v>1</v>
      </c>
      <c r="C40" s="25">
        <v>1001</v>
      </c>
      <c r="D40" t="s">
        <v>784</v>
      </c>
      <c r="E40" t="s">
        <v>784</v>
      </c>
      <c r="F40" s="25">
        <v>122034</v>
      </c>
      <c r="G40" t="s">
        <v>785</v>
      </c>
    </row>
    <row r="41" spans="1:7">
      <c r="A41" s="25">
        <v>1001</v>
      </c>
      <c r="B41" s="25">
        <v>1</v>
      </c>
      <c r="C41" s="25">
        <v>1001</v>
      </c>
      <c r="D41" t="s">
        <v>786</v>
      </c>
      <c r="E41" t="s">
        <v>786</v>
      </c>
      <c r="F41" s="25">
        <v>122035</v>
      </c>
      <c r="G41" t="s">
        <v>787</v>
      </c>
    </row>
    <row r="42" spans="1:7">
      <c r="A42" s="25">
        <v>1001</v>
      </c>
      <c r="B42" s="25">
        <v>6</v>
      </c>
      <c r="C42" s="25">
        <v>1001</v>
      </c>
      <c r="D42" t="s">
        <v>788</v>
      </c>
      <c r="E42" t="s">
        <v>789</v>
      </c>
      <c r="F42" s="25">
        <v>123001</v>
      </c>
      <c r="G42" t="s">
        <v>790</v>
      </c>
    </row>
    <row r="43" spans="1:7">
      <c r="A43" s="25">
        <v>1001</v>
      </c>
      <c r="B43" s="25">
        <v>6</v>
      </c>
      <c r="C43" s="25">
        <v>1001</v>
      </c>
      <c r="D43" t="s">
        <v>791</v>
      </c>
      <c r="E43" t="s">
        <v>792</v>
      </c>
      <c r="F43" s="25">
        <v>123002</v>
      </c>
      <c r="G43" t="s">
        <v>793</v>
      </c>
    </row>
    <row r="44" s="2" customFormat="1" spans="1:7">
      <c r="A44" s="28">
        <v>1001</v>
      </c>
      <c r="B44" s="28">
        <v>1</v>
      </c>
      <c r="C44" s="25">
        <v>1001</v>
      </c>
      <c r="D44" s="2" t="s">
        <v>794</v>
      </c>
      <c r="E44" s="27" t="s">
        <v>794</v>
      </c>
      <c r="F44" s="28">
        <v>212001</v>
      </c>
      <c r="G44" s="2" t="s">
        <v>795</v>
      </c>
    </row>
    <row r="45" s="2" customFormat="1" spans="1:7">
      <c r="A45" s="28">
        <v>1001</v>
      </c>
      <c r="B45" s="28">
        <v>1</v>
      </c>
      <c r="C45" s="25">
        <v>1001</v>
      </c>
      <c r="D45" s="2" t="s">
        <v>796</v>
      </c>
      <c r="E45" s="27" t="s">
        <v>796</v>
      </c>
      <c r="F45" s="28">
        <v>213001</v>
      </c>
      <c r="G45" s="2" t="s">
        <v>797</v>
      </c>
    </row>
    <row r="46" s="2" customFormat="1" spans="1:7">
      <c r="A46" s="28">
        <v>1001</v>
      </c>
      <c r="B46" s="28">
        <v>1</v>
      </c>
      <c r="C46" s="25">
        <v>1001</v>
      </c>
      <c r="D46" s="2" t="s">
        <v>663</v>
      </c>
      <c r="E46" s="27" t="s">
        <v>663</v>
      </c>
      <c r="F46" s="28">
        <v>214001</v>
      </c>
      <c r="G46" s="2" t="s">
        <v>798</v>
      </c>
    </row>
    <row r="47" s="2" customFormat="1" spans="1:7">
      <c r="A47" s="28">
        <v>1001</v>
      </c>
      <c r="B47" s="28">
        <v>1</v>
      </c>
      <c r="C47" s="25">
        <v>1001</v>
      </c>
      <c r="D47" s="2" t="s">
        <v>799</v>
      </c>
      <c r="E47" s="27" t="s">
        <v>799</v>
      </c>
      <c r="F47" s="28">
        <v>215001</v>
      </c>
      <c r="G47" s="2" t="s">
        <v>800</v>
      </c>
    </row>
    <row r="48" s="2" customFormat="1" spans="1:7">
      <c r="A48" s="28">
        <v>1001</v>
      </c>
      <c r="B48" s="28">
        <v>1</v>
      </c>
      <c r="C48" s="25">
        <v>1001</v>
      </c>
      <c r="D48" s="2" t="s">
        <v>675</v>
      </c>
      <c r="E48" s="27" t="s">
        <v>675</v>
      </c>
      <c r="F48" s="28">
        <v>216001</v>
      </c>
      <c r="G48" s="2" t="s">
        <v>801</v>
      </c>
    </row>
    <row r="49" s="2" customFormat="1" spans="1:7">
      <c r="A49" s="28">
        <v>1001</v>
      </c>
      <c r="B49" s="28">
        <v>1</v>
      </c>
      <c r="C49" s="25">
        <v>1001</v>
      </c>
      <c r="D49" s="2">
        <v>1</v>
      </c>
      <c r="E49" s="27">
        <v>1</v>
      </c>
      <c r="F49" s="28">
        <v>217001</v>
      </c>
      <c r="G49" s="2">
        <v>1</v>
      </c>
    </row>
    <row r="50" s="2" customFormat="1" spans="1:7">
      <c r="A50" s="28">
        <v>1001</v>
      </c>
      <c r="B50" s="28">
        <v>8</v>
      </c>
      <c r="C50" s="25">
        <v>1001</v>
      </c>
      <c r="D50" s="2" t="s">
        <v>802</v>
      </c>
      <c r="E50" s="27" t="s">
        <v>803</v>
      </c>
      <c r="F50" s="28">
        <v>212002</v>
      </c>
      <c r="G50" s="2" t="s">
        <v>804</v>
      </c>
    </row>
    <row r="51" s="2" customFormat="1" spans="1:7">
      <c r="A51" s="28">
        <v>1001</v>
      </c>
      <c r="B51" s="28">
        <v>8</v>
      </c>
      <c r="C51" s="25">
        <v>1001</v>
      </c>
      <c r="D51" s="2" t="s">
        <v>805</v>
      </c>
      <c r="E51" s="27" t="s">
        <v>805</v>
      </c>
      <c r="F51" s="28">
        <v>213002</v>
      </c>
      <c r="G51" s="2" t="s">
        <v>804</v>
      </c>
    </row>
    <row r="52" s="2" customFormat="1" spans="1:7">
      <c r="A52" s="28">
        <v>1001</v>
      </c>
      <c r="B52" s="28">
        <v>8</v>
      </c>
      <c r="C52" s="25">
        <v>1001</v>
      </c>
      <c r="D52" s="2" t="s">
        <v>806</v>
      </c>
      <c r="E52" s="27" t="s">
        <v>806</v>
      </c>
      <c r="F52" s="28">
        <v>214002</v>
      </c>
      <c r="G52" s="2" t="s">
        <v>804</v>
      </c>
    </row>
    <row r="53" s="2" customFormat="1" spans="1:7">
      <c r="A53" s="28">
        <v>1001</v>
      </c>
      <c r="B53" s="28">
        <v>8</v>
      </c>
      <c r="C53" s="25">
        <v>1001</v>
      </c>
      <c r="D53" s="2" t="s">
        <v>807</v>
      </c>
      <c r="E53" s="27" t="s">
        <v>807</v>
      </c>
      <c r="F53" s="28">
        <v>215002</v>
      </c>
      <c r="G53" s="2" t="s">
        <v>804</v>
      </c>
    </row>
    <row r="54" s="2" customFormat="1" spans="1:7">
      <c r="A54" s="28">
        <v>1001</v>
      </c>
      <c r="B54" s="28">
        <v>2</v>
      </c>
      <c r="C54" s="25">
        <v>1001</v>
      </c>
      <c r="D54" s="2" t="s">
        <v>688</v>
      </c>
      <c r="E54" s="2" t="s">
        <v>688</v>
      </c>
      <c r="F54" s="28">
        <v>216002</v>
      </c>
      <c r="G54" s="2" t="s">
        <v>808</v>
      </c>
    </row>
    <row r="55" s="2" customFormat="1" spans="1:7">
      <c r="A55" s="28">
        <v>1001</v>
      </c>
      <c r="B55" s="28">
        <v>19</v>
      </c>
      <c r="C55" s="25">
        <v>1001</v>
      </c>
      <c r="D55" s="2" t="s">
        <v>809</v>
      </c>
      <c r="E55" s="27" t="s">
        <v>809</v>
      </c>
      <c r="F55" s="28">
        <v>212004</v>
      </c>
      <c r="G55" s="2" t="s">
        <v>810</v>
      </c>
    </row>
    <row r="56" s="2" customFormat="1" spans="1:7">
      <c r="A56" s="28">
        <v>1001</v>
      </c>
      <c r="B56" s="28">
        <v>19</v>
      </c>
      <c r="C56" s="25">
        <v>1001</v>
      </c>
      <c r="D56" s="2" t="s">
        <v>811</v>
      </c>
      <c r="E56" s="27" t="s">
        <v>811</v>
      </c>
      <c r="F56" s="28">
        <v>213004</v>
      </c>
      <c r="G56" s="2" t="s">
        <v>812</v>
      </c>
    </row>
    <row r="57" s="2" customFormat="1" spans="1:7">
      <c r="A57" s="28">
        <v>1001</v>
      </c>
      <c r="B57" s="28">
        <v>19</v>
      </c>
      <c r="C57" s="25">
        <v>1001</v>
      </c>
      <c r="D57" s="2" t="s">
        <v>813</v>
      </c>
      <c r="E57" s="27" t="s">
        <v>813</v>
      </c>
      <c r="F57" s="28">
        <v>214004</v>
      </c>
      <c r="G57" s="2" t="s">
        <v>814</v>
      </c>
    </row>
    <row r="58" s="2" customFormat="1" spans="1:7">
      <c r="A58" s="28">
        <v>1001</v>
      </c>
      <c r="B58" s="28">
        <v>19</v>
      </c>
      <c r="C58" s="25">
        <v>1001</v>
      </c>
      <c r="D58" s="2" t="s">
        <v>815</v>
      </c>
      <c r="E58" s="27" t="s">
        <v>815</v>
      </c>
      <c r="F58" s="28">
        <v>215004</v>
      </c>
      <c r="G58" s="2" t="s">
        <v>816</v>
      </c>
    </row>
    <row r="59" s="2" customFormat="1" spans="1:7">
      <c r="A59" s="28">
        <v>1001</v>
      </c>
      <c r="B59" s="28">
        <v>2</v>
      </c>
      <c r="C59" s="25">
        <v>1001</v>
      </c>
      <c r="D59" s="2" t="s">
        <v>817</v>
      </c>
      <c r="E59" s="27" t="s">
        <v>817</v>
      </c>
      <c r="F59" s="28">
        <v>218004</v>
      </c>
      <c r="G59" s="2" t="s">
        <v>818</v>
      </c>
    </row>
    <row r="60" spans="1:7">
      <c r="A60" s="25">
        <v>1001</v>
      </c>
      <c r="B60" s="25">
        <v>1</v>
      </c>
      <c r="C60" s="25">
        <v>1001</v>
      </c>
      <c r="D60" t="s">
        <v>819</v>
      </c>
      <c r="E60" s="27" t="s">
        <v>819</v>
      </c>
      <c r="F60" s="25">
        <v>214005</v>
      </c>
      <c r="G60" t="s">
        <v>820</v>
      </c>
    </row>
    <row r="61" spans="1:7">
      <c r="A61" s="25">
        <v>1001</v>
      </c>
      <c r="B61" s="25">
        <v>1</v>
      </c>
      <c r="C61" s="25">
        <v>1001</v>
      </c>
      <c r="D61" t="s">
        <v>821</v>
      </c>
      <c r="E61" s="27" t="s">
        <v>821</v>
      </c>
      <c r="F61" s="25">
        <v>215005</v>
      </c>
      <c r="G61" t="s">
        <v>822</v>
      </c>
    </row>
    <row r="62" s="3" customFormat="1" spans="1:7">
      <c r="A62" s="29">
        <v>1001</v>
      </c>
      <c r="B62" s="29">
        <v>1</v>
      </c>
      <c r="C62" s="29">
        <v>1001</v>
      </c>
      <c r="D62" s="3" t="s">
        <v>823</v>
      </c>
      <c r="E62" s="3" t="s">
        <v>823</v>
      </c>
      <c r="F62" s="29">
        <v>215008</v>
      </c>
      <c r="G62" s="3" t="s">
        <v>824</v>
      </c>
    </row>
    <row r="63" s="3" customFormat="1" spans="1:7">
      <c r="A63" s="29">
        <v>1001</v>
      </c>
      <c r="B63" s="29">
        <v>1</v>
      </c>
      <c r="C63" s="29">
        <v>1001</v>
      </c>
      <c r="D63" s="3" t="s">
        <v>825</v>
      </c>
      <c r="E63" s="3" t="s">
        <v>825</v>
      </c>
      <c r="F63" s="29">
        <v>214017</v>
      </c>
      <c r="G63" s="3" t="s">
        <v>826</v>
      </c>
    </row>
    <row r="64" spans="1:7">
      <c r="A64" s="25">
        <v>1001</v>
      </c>
      <c r="B64" s="25">
        <v>6</v>
      </c>
      <c r="C64" s="25">
        <v>1001</v>
      </c>
      <c r="D64" t="s">
        <v>827</v>
      </c>
      <c r="E64" s="27" t="s">
        <v>827</v>
      </c>
      <c r="F64" s="25">
        <v>212006</v>
      </c>
      <c r="G64" t="s">
        <v>828</v>
      </c>
    </row>
    <row r="65" spans="1:7">
      <c r="A65" s="25">
        <v>1001</v>
      </c>
      <c r="B65" s="25">
        <v>6</v>
      </c>
      <c r="C65" s="25">
        <v>1001</v>
      </c>
      <c r="D65" t="s">
        <v>827</v>
      </c>
      <c r="E65" s="27" t="s">
        <v>827</v>
      </c>
      <c r="F65" s="25">
        <v>213006</v>
      </c>
      <c r="G65" t="s">
        <v>829</v>
      </c>
    </row>
    <row r="66" spans="1:7">
      <c r="A66" s="25">
        <v>1001</v>
      </c>
      <c r="B66" s="25">
        <v>6</v>
      </c>
      <c r="C66" s="25">
        <v>1001</v>
      </c>
      <c r="D66" t="s">
        <v>827</v>
      </c>
      <c r="E66" s="27" t="s">
        <v>827</v>
      </c>
      <c r="F66" s="25">
        <v>214006</v>
      </c>
      <c r="G66" t="s">
        <v>830</v>
      </c>
    </row>
    <row r="67" spans="1:7">
      <c r="A67" s="25">
        <v>1001</v>
      </c>
      <c r="B67" s="25">
        <v>6</v>
      </c>
      <c r="C67" s="25">
        <v>1001</v>
      </c>
      <c r="D67" t="s">
        <v>827</v>
      </c>
      <c r="E67" s="27" t="s">
        <v>827</v>
      </c>
      <c r="F67" s="25">
        <v>215006</v>
      </c>
      <c r="G67" t="s">
        <v>831</v>
      </c>
    </row>
    <row r="68" spans="1:7">
      <c r="A68" s="25">
        <v>1001</v>
      </c>
      <c r="B68" s="25">
        <v>6</v>
      </c>
      <c r="C68" s="25">
        <v>1001</v>
      </c>
      <c r="D68" t="s">
        <v>832</v>
      </c>
      <c r="E68" s="27" t="s">
        <v>832</v>
      </c>
      <c r="F68" s="25">
        <v>211006</v>
      </c>
      <c r="G68" t="s">
        <v>833</v>
      </c>
    </row>
    <row r="69" spans="1:7">
      <c r="A69" s="25">
        <v>1001</v>
      </c>
      <c r="B69" s="25">
        <v>6</v>
      </c>
      <c r="C69" s="25">
        <v>1001</v>
      </c>
      <c r="D69" t="s">
        <v>834</v>
      </c>
      <c r="E69" s="27" t="s">
        <v>834</v>
      </c>
      <c r="F69" s="25">
        <v>216006</v>
      </c>
      <c r="G69" t="s">
        <v>835</v>
      </c>
    </row>
    <row r="70" spans="1:7">
      <c r="A70" s="25">
        <v>1001</v>
      </c>
      <c r="B70" s="25">
        <v>6</v>
      </c>
      <c r="C70" s="25">
        <v>1001</v>
      </c>
      <c r="D70" t="s">
        <v>832</v>
      </c>
      <c r="E70" s="27" t="s">
        <v>832</v>
      </c>
      <c r="F70" s="25">
        <v>217006</v>
      </c>
      <c r="G70" t="s">
        <v>836</v>
      </c>
    </row>
    <row r="71" spans="1:7">
      <c r="A71" s="25">
        <v>1001</v>
      </c>
      <c r="B71" s="25">
        <v>6</v>
      </c>
      <c r="C71" s="25">
        <v>1001</v>
      </c>
      <c r="D71" t="s">
        <v>834</v>
      </c>
      <c r="E71" s="27" t="s">
        <v>834</v>
      </c>
      <c r="F71" s="25">
        <v>218006</v>
      </c>
      <c r="G71" t="s">
        <v>837</v>
      </c>
    </row>
    <row r="72" spans="1:7">
      <c r="A72" s="25">
        <v>1001</v>
      </c>
      <c r="B72" s="25">
        <v>6</v>
      </c>
      <c r="C72" s="25">
        <v>1001</v>
      </c>
      <c r="D72" t="s">
        <v>832</v>
      </c>
      <c r="E72" s="27" t="s">
        <v>832</v>
      </c>
      <c r="F72" s="25">
        <v>219006</v>
      </c>
      <c r="G72" t="s">
        <v>838</v>
      </c>
    </row>
    <row r="73" spans="1:6">
      <c r="A73" s="25">
        <v>1001</v>
      </c>
      <c r="B73" s="25">
        <v>6</v>
      </c>
      <c r="C73" s="25">
        <v>1001</v>
      </c>
      <c r="E73" s="27"/>
      <c r="F73" s="25">
        <v>214107</v>
      </c>
    </row>
    <row r="74" s="2" customFormat="1" spans="1:7">
      <c r="A74" s="28">
        <v>1001</v>
      </c>
      <c r="B74" s="28">
        <v>18</v>
      </c>
      <c r="C74" s="25">
        <v>1001</v>
      </c>
      <c r="D74" s="6" t="s">
        <v>839</v>
      </c>
      <c r="E74" s="27" t="s">
        <v>839</v>
      </c>
      <c r="F74" s="28">
        <v>212007</v>
      </c>
      <c r="G74" s="2" t="s">
        <v>840</v>
      </c>
    </row>
    <row r="75" s="2" customFormat="1" spans="1:7">
      <c r="A75" s="28">
        <v>1001</v>
      </c>
      <c r="B75" s="28">
        <v>18</v>
      </c>
      <c r="C75" s="25">
        <v>1001</v>
      </c>
      <c r="D75" s="6" t="s">
        <v>841</v>
      </c>
      <c r="E75" s="27" t="s">
        <v>841</v>
      </c>
      <c r="F75" s="28">
        <v>213007</v>
      </c>
      <c r="G75" s="2" t="s">
        <v>842</v>
      </c>
    </row>
    <row r="76" s="2" customFormat="1" spans="1:7">
      <c r="A76" s="28">
        <v>1001</v>
      </c>
      <c r="B76" s="28">
        <v>18</v>
      </c>
      <c r="C76" s="25">
        <v>1001</v>
      </c>
      <c r="D76" s="6" t="s">
        <v>664</v>
      </c>
      <c r="E76" s="27" t="s">
        <v>664</v>
      </c>
      <c r="F76" s="28">
        <v>214007</v>
      </c>
      <c r="G76" s="2" t="s">
        <v>843</v>
      </c>
    </row>
    <row r="77" s="2" customFormat="1" spans="1:7">
      <c r="A77" s="28">
        <v>1001</v>
      </c>
      <c r="B77" s="28">
        <v>18</v>
      </c>
      <c r="C77" s="25">
        <v>1001</v>
      </c>
      <c r="D77" s="6" t="s">
        <v>676</v>
      </c>
      <c r="E77" s="27" t="s">
        <v>676</v>
      </c>
      <c r="F77" s="28">
        <v>215007</v>
      </c>
      <c r="G77" s="2" t="s">
        <v>844</v>
      </c>
    </row>
    <row r="78" s="2" customFormat="1" spans="1:7">
      <c r="A78" s="28">
        <v>1001</v>
      </c>
      <c r="B78" s="28"/>
      <c r="C78" s="25">
        <v>1001</v>
      </c>
      <c r="D78" s="2" t="s">
        <v>845</v>
      </c>
      <c r="E78" s="27" t="s">
        <v>845</v>
      </c>
      <c r="F78" s="28">
        <v>216007</v>
      </c>
      <c r="G78" s="2" t="s">
        <v>846</v>
      </c>
    </row>
    <row r="79" s="2" customFormat="1" spans="1:7">
      <c r="A79" s="28">
        <v>1001</v>
      </c>
      <c r="B79" s="28">
        <v>18</v>
      </c>
      <c r="C79" s="25">
        <v>1001</v>
      </c>
      <c r="D79" s="2" t="s">
        <v>847</v>
      </c>
      <c r="E79" s="27" t="s">
        <v>847</v>
      </c>
      <c r="F79" s="28">
        <v>217007</v>
      </c>
      <c r="G79" s="2" t="s">
        <v>848</v>
      </c>
    </row>
    <row r="80" spans="1:7">
      <c r="A80" s="25">
        <v>1001</v>
      </c>
      <c r="B80" s="25">
        <v>9</v>
      </c>
      <c r="C80" s="25">
        <v>1001</v>
      </c>
      <c r="D80" t="s">
        <v>849</v>
      </c>
      <c r="E80" s="27" t="s">
        <v>849</v>
      </c>
      <c r="F80" s="25">
        <v>214003</v>
      </c>
      <c r="G80" t="s">
        <v>850</v>
      </c>
    </row>
    <row r="81" spans="1:7">
      <c r="A81" s="25">
        <v>1001</v>
      </c>
      <c r="B81" s="25">
        <v>1</v>
      </c>
      <c r="C81" s="25">
        <v>1001</v>
      </c>
      <c r="D81" s="30" t="s">
        <v>851</v>
      </c>
      <c r="E81" s="27" t="s">
        <v>851</v>
      </c>
      <c r="F81" s="25">
        <v>214008</v>
      </c>
      <c r="G81" t="s">
        <v>852</v>
      </c>
    </row>
    <row r="82" spans="1:7">
      <c r="A82" s="25">
        <v>1001</v>
      </c>
      <c r="B82" s="25">
        <v>1</v>
      </c>
      <c r="C82" s="25">
        <v>1001</v>
      </c>
      <c r="D82" t="s">
        <v>853</v>
      </c>
      <c r="E82" s="27" t="s">
        <v>853</v>
      </c>
      <c r="F82" s="25">
        <v>214010</v>
      </c>
      <c r="G82" t="s">
        <v>854</v>
      </c>
    </row>
    <row r="83" spans="1:7">
      <c r="A83" s="25">
        <v>1001</v>
      </c>
      <c r="B83" s="25">
        <v>1</v>
      </c>
      <c r="C83" s="25">
        <v>1001</v>
      </c>
      <c r="D83" t="s">
        <v>855</v>
      </c>
      <c r="E83" s="27" t="s">
        <v>855</v>
      </c>
      <c r="F83" s="25">
        <v>214011</v>
      </c>
      <c r="G83" t="s">
        <v>856</v>
      </c>
    </row>
    <row r="84" spans="1:7">
      <c r="A84" s="25">
        <v>1001</v>
      </c>
      <c r="B84" s="25">
        <v>1</v>
      </c>
      <c r="C84" s="25">
        <v>1001</v>
      </c>
      <c r="D84" t="s">
        <v>674</v>
      </c>
      <c r="E84" s="27" t="s">
        <v>674</v>
      </c>
      <c r="F84" s="25">
        <v>215011</v>
      </c>
      <c r="G84" t="s">
        <v>857</v>
      </c>
    </row>
    <row r="85" spans="1:7">
      <c r="A85" s="25">
        <v>1001</v>
      </c>
      <c r="B85" s="25">
        <v>1</v>
      </c>
      <c r="C85" s="25">
        <v>1001</v>
      </c>
      <c r="D85" t="s">
        <v>858</v>
      </c>
      <c r="E85" s="27" t="s">
        <v>858</v>
      </c>
      <c r="F85" s="25">
        <v>216011</v>
      </c>
      <c r="G85" t="s">
        <v>859</v>
      </c>
    </row>
    <row r="86" spans="1:7">
      <c r="A86" s="25">
        <v>1001</v>
      </c>
      <c r="B86" s="25">
        <v>1</v>
      </c>
      <c r="C86" s="25">
        <v>1001</v>
      </c>
      <c r="D86" t="s">
        <v>860</v>
      </c>
      <c r="E86" t="s">
        <v>860</v>
      </c>
      <c r="F86" s="25">
        <v>217011</v>
      </c>
      <c r="G86" t="s">
        <v>861</v>
      </c>
    </row>
    <row r="87" spans="1:7">
      <c r="A87" s="25">
        <v>1001</v>
      </c>
      <c r="B87" s="25">
        <v>1</v>
      </c>
      <c r="C87" s="25">
        <v>1001</v>
      </c>
      <c r="D87" t="s">
        <v>862</v>
      </c>
      <c r="E87" s="27" t="s">
        <v>862</v>
      </c>
      <c r="F87" s="25">
        <v>218011</v>
      </c>
      <c r="G87" t="s">
        <v>863</v>
      </c>
    </row>
    <row r="88" s="4" customFormat="1" spans="1:7">
      <c r="A88" s="31">
        <v>1001</v>
      </c>
      <c r="B88" s="31">
        <v>1</v>
      </c>
      <c r="C88" s="31">
        <v>1001</v>
      </c>
      <c r="D88" s="4" t="s">
        <v>864</v>
      </c>
      <c r="E88" s="32" t="s">
        <v>864</v>
      </c>
      <c r="F88" s="31">
        <v>219011</v>
      </c>
      <c r="G88" s="4" t="s">
        <v>865</v>
      </c>
    </row>
    <row r="89" spans="1:7">
      <c r="A89" s="25">
        <v>1001</v>
      </c>
      <c r="B89" s="25">
        <v>1</v>
      </c>
      <c r="C89" s="25">
        <v>1001</v>
      </c>
      <c r="D89" t="s">
        <v>866</v>
      </c>
      <c r="E89" s="27" t="s">
        <v>866</v>
      </c>
      <c r="F89" s="25">
        <v>220011</v>
      </c>
      <c r="G89" t="s">
        <v>867</v>
      </c>
    </row>
    <row r="90" spans="1:7">
      <c r="A90" s="25">
        <v>1001</v>
      </c>
      <c r="B90" s="25">
        <v>1</v>
      </c>
      <c r="C90" s="25">
        <v>1001</v>
      </c>
      <c r="D90" t="s">
        <v>690</v>
      </c>
      <c r="E90" s="27" t="s">
        <v>690</v>
      </c>
      <c r="F90" s="25">
        <v>221011</v>
      </c>
      <c r="G90" t="s">
        <v>868</v>
      </c>
    </row>
    <row r="91" spans="1:7">
      <c r="A91" s="25">
        <v>1001</v>
      </c>
      <c r="B91" s="25">
        <v>1</v>
      </c>
      <c r="C91" s="25">
        <v>1001</v>
      </c>
      <c r="D91" t="s">
        <v>869</v>
      </c>
      <c r="E91" s="27" t="s">
        <v>869</v>
      </c>
      <c r="F91" s="25">
        <v>214012</v>
      </c>
      <c r="G91" t="s">
        <v>870</v>
      </c>
    </row>
    <row r="92" spans="1:7">
      <c r="A92" s="25">
        <v>1001</v>
      </c>
      <c r="B92" s="25">
        <v>1</v>
      </c>
      <c r="C92" s="25">
        <v>1001</v>
      </c>
      <c r="D92" t="s">
        <v>871</v>
      </c>
      <c r="E92" s="27" t="s">
        <v>871</v>
      </c>
      <c r="F92" s="25">
        <v>212013</v>
      </c>
      <c r="G92" t="s">
        <v>872</v>
      </c>
    </row>
    <row r="93" spans="1:7">
      <c r="A93" s="25">
        <v>1001</v>
      </c>
      <c r="B93" s="25">
        <v>1</v>
      </c>
      <c r="C93" s="25">
        <v>1001</v>
      </c>
      <c r="D93" t="s">
        <v>873</v>
      </c>
      <c r="E93" s="27" t="s">
        <v>873</v>
      </c>
      <c r="F93" s="25">
        <v>213013</v>
      </c>
      <c r="G93" t="s">
        <v>874</v>
      </c>
    </row>
    <row r="94" spans="1:7">
      <c r="A94" s="25">
        <v>1001</v>
      </c>
      <c r="B94" s="25">
        <v>1</v>
      </c>
      <c r="C94" s="25">
        <v>1001</v>
      </c>
      <c r="D94" t="s">
        <v>875</v>
      </c>
      <c r="E94" s="27" t="s">
        <v>875</v>
      </c>
      <c r="F94" s="25">
        <v>214013</v>
      </c>
      <c r="G94" t="s">
        <v>876</v>
      </c>
    </row>
    <row r="95" spans="1:7">
      <c r="A95" s="25">
        <v>1001</v>
      </c>
      <c r="B95" s="25">
        <v>1</v>
      </c>
      <c r="C95" s="25">
        <v>1001</v>
      </c>
      <c r="D95" t="s">
        <v>877</v>
      </c>
      <c r="E95" s="27" t="s">
        <v>877</v>
      </c>
      <c r="F95" s="25">
        <v>215013</v>
      </c>
      <c r="G95" t="s">
        <v>878</v>
      </c>
    </row>
    <row r="96" spans="1:7">
      <c r="A96" s="25">
        <v>1001</v>
      </c>
      <c r="B96" s="25">
        <v>1</v>
      </c>
      <c r="C96" s="25">
        <v>1001</v>
      </c>
      <c r="D96" t="s">
        <v>879</v>
      </c>
      <c r="E96" s="27" t="s">
        <v>879</v>
      </c>
      <c r="F96" s="25">
        <v>214050</v>
      </c>
      <c r="G96" t="s">
        <v>880</v>
      </c>
    </row>
    <row r="97" spans="1:7">
      <c r="A97" s="25">
        <v>1001</v>
      </c>
      <c r="B97" s="25">
        <v>1</v>
      </c>
      <c r="C97" s="25">
        <v>1001</v>
      </c>
      <c r="D97" t="s">
        <v>881</v>
      </c>
      <c r="E97" t="s">
        <v>882</v>
      </c>
      <c r="F97" s="25">
        <v>212014</v>
      </c>
      <c r="G97" t="s">
        <v>883</v>
      </c>
    </row>
    <row r="98" spans="1:7">
      <c r="A98" s="25">
        <v>1001</v>
      </c>
      <c r="B98" s="25">
        <v>1</v>
      </c>
      <c r="C98" s="25">
        <v>1001</v>
      </c>
      <c r="D98" t="s">
        <v>881</v>
      </c>
      <c r="E98" t="s">
        <v>884</v>
      </c>
      <c r="F98" s="25">
        <v>213014</v>
      </c>
      <c r="G98" t="s">
        <v>885</v>
      </c>
    </row>
    <row r="99" spans="1:7">
      <c r="A99" s="25">
        <v>1001</v>
      </c>
      <c r="B99" s="25">
        <v>1</v>
      </c>
      <c r="C99" s="25">
        <v>1001</v>
      </c>
      <c r="D99" t="s">
        <v>881</v>
      </c>
      <c r="E99" t="s">
        <v>886</v>
      </c>
      <c r="F99" s="25">
        <v>214014</v>
      </c>
      <c r="G99" t="s">
        <v>887</v>
      </c>
    </row>
    <row r="100" spans="1:7">
      <c r="A100" s="25">
        <v>1001</v>
      </c>
      <c r="B100" s="25">
        <v>1</v>
      </c>
      <c r="C100" s="25">
        <v>1001</v>
      </c>
      <c r="D100" t="s">
        <v>692</v>
      </c>
      <c r="E100" t="s">
        <v>692</v>
      </c>
      <c r="F100" s="25">
        <v>215015</v>
      </c>
      <c r="G100" t="s">
        <v>888</v>
      </c>
    </row>
    <row r="101" s="5" customFormat="1" spans="1:7">
      <c r="A101" s="33">
        <v>1001</v>
      </c>
      <c r="B101" s="33">
        <v>1</v>
      </c>
      <c r="C101" s="33">
        <v>1001</v>
      </c>
      <c r="D101" s="5" t="s">
        <v>889</v>
      </c>
      <c r="E101" s="5" t="s">
        <v>890</v>
      </c>
      <c r="F101" s="33">
        <v>212016</v>
      </c>
      <c r="G101" s="5" t="s">
        <v>891</v>
      </c>
    </row>
    <row r="102" s="5" customFormat="1" spans="1:7">
      <c r="A102" s="33">
        <v>1001</v>
      </c>
      <c r="B102" s="33">
        <v>1</v>
      </c>
      <c r="C102" s="33">
        <v>1001</v>
      </c>
      <c r="D102" s="5" t="s">
        <v>889</v>
      </c>
      <c r="E102" s="5" t="s">
        <v>892</v>
      </c>
      <c r="F102" s="33">
        <v>213016</v>
      </c>
      <c r="G102" s="5" t="s">
        <v>893</v>
      </c>
    </row>
    <row r="103" s="5" customFormat="1" spans="1:7">
      <c r="A103" s="33">
        <v>1001</v>
      </c>
      <c r="B103" s="33">
        <v>1</v>
      </c>
      <c r="C103" s="33">
        <v>1001</v>
      </c>
      <c r="D103" s="5" t="s">
        <v>889</v>
      </c>
      <c r="E103" s="5" t="s">
        <v>894</v>
      </c>
      <c r="F103" s="33">
        <v>214016</v>
      </c>
      <c r="G103" s="5" t="s">
        <v>895</v>
      </c>
    </row>
    <row r="104" s="5" customFormat="1" spans="1:7">
      <c r="A104" s="33">
        <v>1001</v>
      </c>
      <c r="B104" s="33">
        <v>1</v>
      </c>
      <c r="C104" s="33">
        <v>1001</v>
      </c>
      <c r="D104" s="5" t="s">
        <v>889</v>
      </c>
      <c r="E104" s="5" t="s">
        <v>896</v>
      </c>
      <c r="F104" s="33">
        <v>215016</v>
      </c>
      <c r="G104" s="5" t="s">
        <v>897</v>
      </c>
    </row>
    <row r="105" s="2" customFormat="1" spans="1:7">
      <c r="A105" s="28">
        <v>1001</v>
      </c>
      <c r="B105" s="28">
        <v>1</v>
      </c>
      <c r="C105" s="25">
        <v>1001</v>
      </c>
      <c r="D105" s="2" t="s">
        <v>898</v>
      </c>
      <c r="E105" s="27" t="s">
        <v>898</v>
      </c>
      <c r="F105" s="28">
        <v>225001</v>
      </c>
      <c r="G105" s="2" t="s">
        <v>899</v>
      </c>
    </row>
    <row r="106" s="2" customFormat="1" spans="1:7">
      <c r="A106" s="28">
        <v>1001</v>
      </c>
      <c r="B106" s="28">
        <v>1</v>
      </c>
      <c r="C106" s="25">
        <v>1001</v>
      </c>
      <c r="D106" s="2" t="s">
        <v>900</v>
      </c>
      <c r="E106" s="27" t="s">
        <v>900</v>
      </c>
      <c r="F106" s="28">
        <v>225002</v>
      </c>
      <c r="G106" s="2" t="s">
        <v>901</v>
      </c>
    </row>
    <row r="107" spans="1:7">
      <c r="A107" s="25">
        <v>1001</v>
      </c>
      <c r="B107" s="25">
        <v>7</v>
      </c>
      <c r="C107" s="25">
        <v>1005</v>
      </c>
      <c r="D107" t="s">
        <v>902</v>
      </c>
      <c r="E107" s="27" t="s">
        <v>903</v>
      </c>
      <c r="F107" s="25">
        <v>610001</v>
      </c>
      <c r="G107" t="s">
        <v>904</v>
      </c>
    </row>
    <row r="108" spans="1:7">
      <c r="A108" s="25">
        <v>1001</v>
      </c>
      <c r="B108" s="25">
        <v>7</v>
      </c>
      <c r="C108" s="25">
        <v>1005</v>
      </c>
      <c r="D108" t="s">
        <v>905</v>
      </c>
      <c r="E108" s="27" t="s">
        <v>906</v>
      </c>
      <c r="F108" s="25">
        <v>610002</v>
      </c>
      <c r="G108" t="s">
        <v>907</v>
      </c>
    </row>
    <row r="109" spans="1:7">
      <c r="A109" s="25">
        <v>1001</v>
      </c>
      <c r="B109" s="25">
        <v>7</v>
      </c>
      <c r="C109" s="25">
        <v>1005</v>
      </c>
      <c r="D109" t="s">
        <v>908</v>
      </c>
      <c r="E109" s="27" t="s">
        <v>908</v>
      </c>
      <c r="F109" s="25">
        <v>610003</v>
      </c>
      <c r="G109" t="s">
        <v>909</v>
      </c>
    </row>
    <row r="110" spans="1:7">
      <c r="A110" s="25">
        <v>1001</v>
      </c>
      <c r="B110" s="25">
        <v>7</v>
      </c>
      <c r="C110" s="25">
        <v>1005</v>
      </c>
      <c r="D110" t="s">
        <v>910</v>
      </c>
      <c r="E110" s="27" t="s">
        <v>910</v>
      </c>
      <c r="F110" s="25">
        <v>610004</v>
      </c>
      <c r="G110" t="s">
        <v>911</v>
      </c>
    </row>
    <row r="111" spans="1:7">
      <c r="A111" s="25">
        <v>1001</v>
      </c>
      <c r="B111" s="25">
        <v>7</v>
      </c>
      <c r="C111" s="25">
        <v>1005</v>
      </c>
      <c r="D111" t="s">
        <v>912</v>
      </c>
      <c r="E111" s="27" t="s">
        <v>912</v>
      </c>
      <c r="F111" s="25">
        <v>610005</v>
      </c>
      <c r="G111" t="s">
        <v>913</v>
      </c>
    </row>
    <row r="112" spans="1:7">
      <c r="A112" s="25">
        <v>1001</v>
      </c>
      <c r="B112" s="25">
        <v>7</v>
      </c>
      <c r="C112" s="25">
        <v>1005</v>
      </c>
      <c r="D112" t="s">
        <v>914</v>
      </c>
      <c r="E112" s="27" t="s">
        <v>914</v>
      </c>
      <c r="F112" s="25">
        <v>610006</v>
      </c>
      <c r="G112" t="s">
        <v>915</v>
      </c>
    </row>
    <row r="113" spans="1:7">
      <c r="A113" s="25">
        <v>1001</v>
      </c>
      <c r="B113" s="25">
        <v>7</v>
      </c>
      <c r="C113" s="25">
        <v>1005</v>
      </c>
      <c r="D113" t="s">
        <v>916</v>
      </c>
      <c r="E113" s="27" t="s">
        <v>916</v>
      </c>
      <c r="F113" s="25">
        <v>610007</v>
      </c>
      <c r="G113" t="s">
        <v>917</v>
      </c>
    </row>
    <row r="114" spans="1:7">
      <c r="A114" s="25">
        <v>1001</v>
      </c>
      <c r="B114" s="25">
        <v>7</v>
      </c>
      <c r="C114" s="25">
        <v>1005</v>
      </c>
      <c r="D114" t="s">
        <v>918</v>
      </c>
      <c r="E114" s="27" t="s">
        <v>918</v>
      </c>
      <c r="F114" s="25">
        <v>610008</v>
      </c>
      <c r="G114" t="s">
        <v>919</v>
      </c>
    </row>
    <row r="115" spans="1:7">
      <c r="A115" s="25">
        <v>1001</v>
      </c>
      <c r="B115" s="25">
        <v>7</v>
      </c>
      <c r="C115" s="25">
        <v>1005</v>
      </c>
      <c r="D115" t="s">
        <v>920</v>
      </c>
      <c r="E115" s="27" t="s">
        <v>920</v>
      </c>
      <c r="F115" s="25">
        <v>610009</v>
      </c>
      <c r="G115" t="s">
        <v>921</v>
      </c>
    </row>
    <row r="116" spans="1:7">
      <c r="A116" s="25">
        <v>1001</v>
      </c>
      <c r="B116" s="25">
        <v>7</v>
      </c>
      <c r="C116" s="25">
        <v>1005</v>
      </c>
      <c r="D116" t="s">
        <v>922</v>
      </c>
      <c r="E116" s="27" t="s">
        <v>923</v>
      </c>
      <c r="F116" s="25">
        <v>610010</v>
      </c>
      <c r="G116" t="s">
        <v>924</v>
      </c>
    </row>
    <row r="117" spans="1:7">
      <c r="A117" s="25">
        <v>1001</v>
      </c>
      <c r="B117" s="25">
        <v>7</v>
      </c>
      <c r="C117" s="25">
        <v>1005</v>
      </c>
      <c r="D117" t="s">
        <v>925</v>
      </c>
      <c r="E117" s="27" t="s">
        <v>925</v>
      </c>
      <c r="F117" s="25">
        <v>610011</v>
      </c>
      <c r="G117" t="s">
        <v>926</v>
      </c>
    </row>
    <row r="118" spans="1:7">
      <c r="A118" s="25">
        <v>1001</v>
      </c>
      <c r="B118" s="25">
        <v>7</v>
      </c>
      <c r="C118" s="25">
        <v>1005</v>
      </c>
      <c r="D118" s="34" t="s">
        <v>927</v>
      </c>
      <c r="E118" s="27" t="s">
        <v>927</v>
      </c>
      <c r="F118" s="25">
        <v>610012</v>
      </c>
      <c r="G118" t="s">
        <v>928</v>
      </c>
    </row>
    <row r="119" spans="1:7">
      <c r="A119" s="25">
        <v>1001</v>
      </c>
      <c r="B119" s="25">
        <v>7</v>
      </c>
      <c r="C119" s="25">
        <v>1005</v>
      </c>
      <c r="D119" t="s">
        <v>929</v>
      </c>
      <c r="E119" s="27" t="s">
        <v>930</v>
      </c>
      <c r="F119" s="25">
        <v>610013</v>
      </c>
      <c r="G119" t="s">
        <v>931</v>
      </c>
    </row>
    <row r="120" spans="1:7">
      <c r="A120" s="25">
        <v>1001</v>
      </c>
      <c r="B120" s="25">
        <v>7</v>
      </c>
      <c r="C120" s="25">
        <v>1005</v>
      </c>
      <c r="D120" t="s">
        <v>932</v>
      </c>
      <c r="E120" s="27" t="s">
        <v>933</v>
      </c>
      <c r="F120" s="25">
        <v>610014</v>
      </c>
      <c r="G120" t="s">
        <v>934</v>
      </c>
    </row>
    <row r="121" s="2" customFormat="1" spans="1:7">
      <c r="A121" s="25">
        <v>1001</v>
      </c>
      <c r="B121" s="25">
        <v>7</v>
      </c>
      <c r="C121" s="25">
        <v>1005</v>
      </c>
      <c r="D121" s="2" t="s">
        <v>935</v>
      </c>
      <c r="E121" s="27" t="s">
        <v>936</v>
      </c>
      <c r="F121" s="25">
        <v>610015</v>
      </c>
      <c r="G121" s="2" t="s">
        <v>937</v>
      </c>
    </row>
    <row r="122" s="2" customFormat="1" spans="1:7">
      <c r="A122" s="25">
        <v>1001</v>
      </c>
      <c r="B122" s="25">
        <v>7</v>
      </c>
      <c r="C122" s="25">
        <v>1005</v>
      </c>
      <c r="D122" s="2" t="s">
        <v>938</v>
      </c>
      <c r="E122" s="27" t="s">
        <v>938</v>
      </c>
      <c r="F122" s="25">
        <v>610018</v>
      </c>
      <c r="G122" s="2" t="s">
        <v>939</v>
      </c>
    </row>
    <row r="123" s="2" customFormat="1" spans="1:7">
      <c r="A123" s="25">
        <v>1001</v>
      </c>
      <c r="B123" s="25">
        <v>7</v>
      </c>
      <c r="C123" s="25">
        <v>1005</v>
      </c>
      <c r="D123" s="2" t="s">
        <v>940</v>
      </c>
      <c r="E123" s="27" t="s">
        <v>940</v>
      </c>
      <c r="F123" s="25">
        <v>620001</v>
      </c>
      <c r="G123" s="2" t="s">
        <v>941</v>
      </c>
    </row>
    <row r="124" s="2" customFormat="1" spans="1:7">
      <c r="A124" s="25">
        <v>1001</v>
      </c>
      <c r="B124" s="25">
        <v>7</v>
      </c>
      <c r="C124" s="25">
        <v>1005</v>
      </c>
      <c r="D124" s="2" t="s">
        <v>942</v>
      </c>
      <c r="E124" s="27" t="s">
        <v>942</v>
      </c>
      <c r="F124" s="25">
        <v>620002</v>
      </c>
      <c r="G124" s="2" t="s">
        <v>943</v>
      </c>
    </row>
    <row r="125" s="2" customFormat="1" spans="1:7">
      <c r="A125" s="25">
        <v>1001</v>
      </c>
      <c r="B125" s="25">
        <v>7</v>
      </c>
      <c r="C125" s="25">
        <v>1005</v>
      </c>
      <c r="D125" s="2" t="s">
        <v>944</v>
      </c>
      <c r="E125" s="27" t="s">
        <v>944</v>
      </c>
      <c r="F125" s="25">
        <v>620003</v>
      </c>
      <c r="G125" s="2" t="s">
        <v>945</v>
      </c>
    </row>
    <row r="126" s="2" customFormat="1" spans="1:7">
      <c r="A126" s="25">
        <v>1001</v>
      </c>
      <c r="B126" s="25">
        <v>7</v>
      </c>
      <c r="C126" s="25">
        <v>1005</v>
      </c>
      <c r="D126" s="2" t="s">
        <v>946</v>
      </c>
      <c r="E126" s="27" t="s">
        <v>946</v>
      </c>
      <c r="F126" s="25">
        <v>620004</v>
      </c>
      <c r="G126" s="2" t="s">
        <v>947</v>
      </c>
    </row>
    <row r="127" s="2" customFormat="1" spans="1:7">
      <c r="A127" s="25">
        <v>1001</v>
      </c>
      <c r="B127" s="25">
        <v>7</v>
      </c>
      <c r="C127" s="25">
        <v>1005</v>
      </c>
      <c r="D127" s="2" t="s">
        <v>948</v>
      </c>
      <c r="E127" s="27" t="s">
        <v>948</v>
      </c>
      <c r="F127" s="25">
        <v>620005</v>
      </c>
      <c r="G127" s="2" t="s">
        <v>949</v>
      </c>
    </row>
    <row r="128" s="2" customFormat="1" spans="1:7">
      <c r="A128" s="25">
        <v>1001</v>
      </c>
      <c r="B128" s="25">
        <v>7</v>
      </c>
      <c r="C128" s="25">
        <v>1005</v>
      </c>
      <c r="D128" s="2" t="s">
        <v>950</v>
      </c>
      <c r="E128" s="27" t="s">
        <v>950</v>
      </c>
      <c r="F128" s="25">
        <v>620006</v>
      </c>
      <c r="G128" s="2" t="s">
        <v>951</v>
      </c>
    </row>
    <row r="129" s="2" customFormat="1" spans="1:7">
      <c r="A129" s="25">
        <v>1001</v>
      </c>
      <c r="B129" s="25">
        <v>7</v>
      </c>
      <c r="C129" s="25">
        <v>1005</v>
      </c>
      <c r="D129" s="2" t="s">
        <v>952</v>
      </c>
      <c r="E129" s="27" t="s">
        <v>952</v>
      </c>
      <c r="F129" s="25">
        <v>620007</v>
      </c>
      <c r="G129" s="2" t="s">
        <v>953</v>
      </c>
    </row>
    <row r="130" s="2" customFormat="1" spans="1:7">
      <c r="A130" s="25">
        <v>1001</v>
      </c>
      <c r="B130" s="25">
        <v>7</v>
      </c>
      <c r="C130" s="25">
        <v>1005</v>
      </c>
      <c r="D130" s="2" t="s">
        <v>954</v>
      </c>
      <c r="E130" s="27" t="s">
        <v>954</v>
      </c>
      <c r="F130" s="25">
        <v>620008</v>
      </c>
      <c r="G130" s="2" t="s">
        <v>955</v>
      </c>
    </row>
    <row r="131" s="2" customFormat="1" spans="1:7">
      <c r="A131" s="25">
        <v>1001</v>
      </c>
      <c r="B131" s="25">
        <v>7</v>
      </c>
      <c r="C131" s="25">
        <v>1005</v>
      </c>
      <c r="D131" s="2" t="s">
        <v>956</v>
      </c>
      <c r="E131" s="27" t="s">
        <v>956</v>
      </c>
      <c r="F131" s="25">
        <v>620009</v>
      </c>
      <c r="G131" s="2" t="s">
        <v>957</v>
      </c>
    </row>
    <row r="132" s="2" customFormat="1" spans="1:7">
      <c r="A132" s="25">
        <v>1001</v>
      </c>
      <c r="B132" s="25">
        <v>7</v>
      </c>
      <c r="C132" s="25">
        <v>1005</v>
      </c>
      <c r="D132" s="2" t="s">
        <v>958</v>
      </c>
      <c r="E132" s="27" t="s">
        <v>959</v>
      </c>
      <c r="F132" s="25">
        <v>620010</v>
      </c>
      <c r="G132" s="2" t="s">
        <v>960</v>
      </c>
    </row>
    <row r="133" spans="1:7">
      <c r="A133" s="25">
        <v>1001</v>
      </c>
      <c r="B133" s="25">
        <v>7</v>
      </c>
      <c r="C133" s="25">
        <v>1005</v>
      </c>
      <c r="D133" t="s">
        <v>961</v>
      </c>
      <c r="E133" s="27" t="s">
        <v>962</v>
      </c>
      <c r="F133" s="25">
        <v>620011</v>
      </c>
      <c r="G133" t="s">
        <v>963</v>
      </c>
    </row>
    <row r="134" spans="1:7">
      <c r="A134" s="25">
        <v>1001</v>
      </c>
      <c r="B134" s="25">
        <v>7</v>
      </c>
      <c r="C134" s="25">
        <v>1005</v>
      </c>
      <c r="D134" t="s">
        <v>964</v>
      </c>
      <c r="E134" s="27" t="s">
        <v>965</v>
      </c>
      <c r="F134" s="25">
        <v>620012</v>
      </c>
      <c r="G134" t="s">
        <v>966</v>
      </c>
    </row>
    <row r="135" spans="1:7">
      <c r="A135" s="25">
        <v>1001</v>
      </c>
      <c r="B135" s="25">
        <v>7</v>
      </c>
      <c r="C135" s="25">
        <v>1005</v>
      </c>
      <c r="D135" t="s">
        <v>967</v>
      </c>
      <c r="E135" s="27" t="s">
        <v>967</v>
      </c>
      <c r="F135" s="25">
        <v>620013</v>
      </c>
      <c r="G135" t="s">
        <v>968</v>
      </c>
    </row>
    <row r="136" spans="1:7">
      <c r="A136" s="25">
        <v>1001</v>
      </c>
      <c r="B136" s="25">
        <v>7</v>
      </c>
      <c r="C136" s="25">
        <v>1005</v>
      </c>
      <c r="D136" t="s">
        <v>969</v>
      </c>
      <c r="E136" s="27" t="s">
        <v>969</v>
      </c>
      <c r="F136" s="25">
        <v>620014</v>
      </c>
      <c r="G136" t="s">
        <v>970</v>
      </c>
    </row>
    <row r="137" spans="1:7">
      <c r="A137" s="25">
        <v>1001</v>
      </c>
      <c r="B137" s="25">
        <v>7</v>
      </c>
      <c r="C137" s="25">
        <v>1005</v>
      </c>
      <c r="D137" t="s">
        <v>971</v>
      </c>
      <c r="E137" s="27" t="s">
        <v>971</v>
      </c>
      <c r="F137" s="25">
        <v>620015</v>
      </c>
      <c r="G137" t="s">
        <v>972</v>
      </c>
    </row>
    <row r="138" spans="1:7">
      <c r="A138" s="25">
        <v>1001</v>
      </c>
      <c r="B138" s="25">
        <v>7</v>
      </c>
      <c r="C138" s="25">
        <v>1005</v>
      </c>
      <c r="D138" t="s">
        <v>973</v>
      </c>
      <c r="E138" s="27" t="s">
        <v>974</v>
      </c>
      <c r="F138" s="25">
        <v>620016</v>
      </c>
      <c r="G138" t="s">
        <v>975</v>
      </c>
    </row>
    <row r="139" spans="1:7">
      <c r="A139" s="25">
        <v>1001</v>
      </c>
      <c r="B139" s="25">
        <v>7</v>
      </c>
      <c r="C139" s="25">
        <v>1005</v>
      </c>
      <c r="D139" t="s">
        <v>976</v>
      </c>
      <c r="E139" s="27" t="s">
        <v>977</v>
      </c>
      <c r="F139" s="25">
        <v>620017</v>
      </c>
      <c r="G139" t="s">
        <v>978</v>
      </c>
    </row>
    <row r="140" spans="1:7">
      <c r="A140" s="25">
        <v>1001</v>
      </c>
      <c r="B140" s="25">
        <v>7</v>
      </c>
      <c r="C140" s="25">
        <v>1005</v>
      </c>
      <c r="D140" t="s">
        <v>979</v>
      </c>
      <c r="E140" s="27" t="s">
        <v>979</v>
      </c>
      <c r="F140" s="25">
        <v>620018</v>
      </c>
      <c r="G140" t="s">
        <v>980</v>
      </c>
    </row>
    <row r="141" spans="1:7">
      <c r="A141" s="25">
        <v>1001</v>
      </c>
      <c r="B141" s="25">
        <v>7</v>
      </c>
      <c r="C141" s="25">
        <v>1005</v>
      </c>
      <c r="D141" t="s">
        <v>981</v>
      </c>
      <c r="E141" s="27" t="s">
        <v>981</v>
      </c>
      <c r="F141" s="25">
        <v>620019</v>
      </c>
      <c r="G141" t="s">
        <v>982</v>
      </c>
    </row>
    <row r="142" spans="1:7">
      <c r="A142" s="25">
        <v>1001</v>
      </c>
      <c r="B142" s="25">
        <v>7</v>
      </c>
      <c r="C142" s="25">
        <v>1005</v>
      </c>
      <c r="D142" t="s">
        <v>983</v>
      </c>
      <c r="E142" s="27" t="s">
        <v>983</v>
      </c>
      <c r="F142" s="25">
        <v>620020</v>
      </c>
      <c r="G142" t="s">
        <v>984</v>
      </c>
    </row>
    <row r="143" spans="1:7">
      <c r="A143" s="25">
        <v>1001</v>
      </c>
      <c r="B143" s="25">
        <v>7</v>
      </c>
      <c r="C143" s="25">
        <v>1005</v>
      </c>
      <c r="D143" t="s">
        <v>985</v>
      </c>
      <c r="E143" s="27" t="s">
        <v>985</v>
      </c>
      <c r="F143" s="25">
        <v>620021</v>
      </c>
      <c r="G143" t="s">
        <v>986</v>
      </c>
    </row>
    <row r="144" spans="1:7">
      <c r="A144" s="25">
        <v>1001</v>
      </c>
      <c r="B144" s="25">
        <v>7</v>
      </c>
      <c r="C144" s="25">
        <v>1005</v>
      </c>
      <c r="D144" t="s">
        <v>987</v>
      </c>
      <c r="E144" s="27" t="s">
        <v>988</v>
      </c>
      <c r="F144" s="25">
        <v>620022</v>
      </c>
      <c r="G144" t="s">
        <v>989</v>
      </c>
    </row>
    <row r="145" spans="1:7">
      <c r="A145" s="25">
        <v>1001</v>
      </c>
      <c r="B145" s="25">
        <v>7</v>
      </c>
      <c r="C145" s="25">
        <v>1005</v>
      </c>
      <c r="D145" t="s">
        <v>990</v>
      </c>
      <c r="E145" s="27" t="s">
        <v>990</v>
      </c>
      <c r="F145" s="25">
        <v>620023</v>
      </c>
      <c r="G145" t="s">
        <v>991</v>
      </c>
    </row>
    <row r="146" spans="1:7">
      <c r="A146" s="25">
        <v>1001</v>
      </c>
      <c r="B146" s="25">
        <v>7</v>
      </c>
      <c r="C146" s="25">
        <v>1005</v>
      </c>
      <c r="D146" t="s">
        <v>992</v>
      </c>
      <c r="E146" s="27" t="s">
        <v>992</v>
      </c>
      <c r="F146" s="25">
        <v>620024</v>
      </c>
      <c r="G146" t="s">
        <v>993</v>
      </c>
    </row>
    <row r="147" spans="1:7">
      <c r="A147" s="25">
        <v>1001</v>
      </c>
      <c r="B147" s="25">
        <v>7</v>
      </c>
      <c r="C147" s="25">
        <v>1005</v>
      </c>
      <c r="D147" t="s">
        <v>994</v>
      </c>
      <c r="E147" s="27" t="s">
        <v>994</v>
      </c>
      <c r="F147" s="25">
        <v>620025</v>
      </c>
      <c r="G147" t="s">
        <v>995</v>
      </c>
    </row>
    <row r="148" spans="1:7">
      <c r="A148" s="25">
        <v>1001</v>
      </c>
      <c r="B148" s="25">
        <v>7</v>
      </c>
      <c r="C148" s="25">
        <v>1005</v>
      </c>
      <c r="D148" t="s">
        <v>996</v>
      </c>
      <c r="E148" s="27" t="s">
        <v>996</v>
      </c>
      <c r="F148" s="25">
        <v>620026</v>
      </c>
      <c r="G148" t="s">
        <v>997</v>
      </c>
    </row>
    <row r="149" spans="1:7">
      <c r="A149" s="25">
        <v>1001</v>
      </c>
      <c r="B149" s="25">
        <v>7</v>
      </c>
      <c r="C149" s="25">
        <v>1005</v>
      </c>
      <c r="D149" t="s">
        <v>998</v>
      </c>
      <c r="E149" s="27" t="s">
        <v>998</v>
      </c>
      <c r="F149" s="25">
        <v>620027</v>
      </c>
      <c r="G149" t="s">
        <v>999</v>
      </c>
    </row>
    <row r="150" spans="1:7">
      <c r="A150" s="25">
        <v>1001</v>
      </c>
      <c r="B150" s="25">
        <v>7</v>
      </c>
      <c r="C150" s="25">
        <v>1005</v>
      </c>
      <c r="D150" t="s">
        <v>1000</v>
      </c>
      <c r="E150" s="27" t="s">
        <v>1000</v>
      </c>
      <c r="F150" s="25">
        <v>620028</v>
      </c>
      <c r="G150" t="s">
        <v>1001</v>
      </c>
    </row>
    <row r="151" spans="1:7">
      <c r="A151" s="25">
        <v>1001</v>
      </c>
      <c r="B151" s="25">
        <v>7</v>
      </c>
      <c r="C151" s="25">
        <v>1005</v>
      </c>
      <c r="D151" t="s">
        <v>1002</v>
      </c>
      <c r="E151" s="27" t="s">
        <v>1003</v>
      </c>
      <c r="F151" s="25">
        <v>630001</v>
      </c>
      <c r="G151" t="s">
        <v>1004</v>
      </c>
    </row>
    <row r="152" spans="1:7">
      <c r="A152" s="25">
        <v>1001</v>
      </c>
      <c r="B152" s="25">
        <v>7</v>
      </c>
      <c r="C152" s="25">
        <v>1005</v>
      </c>
      <c r="D152" t="s">
        <v>1005</v>
      </c>
      <c r="E152" s="27" t="s">
        <v>1005</v>
      </c>
      <c r="F152" s="25">
        <v>630002</v>
      </c>
      <c r="G152" t="s">
        <v>1006</v>
      </c>
    </row>
    <row r="153" spans="1:7">
      <c r="A153" s="25">
        <v>1001</v>
      </c>
      <c r="B153" s="25">
        <v>7</v>
      </c>
      <c r="C153" s="25">
        <v>1005</v>
      </c>
      <c r="D153" t="s">
        <v>1007</v>
      </c>
      <c r="E153" s="27" t="s">
        <v>1007</v>
      </c>
      <c r="F153" s="25">
        <v>630003</v>
      </c>
      <c r="G153" t="s">
        <v>1008</v>
      </c>
    </row>
    <row r="154" spans="1:7">
      <c r="A154" s="25">
        <v>1001</v>
      </c>
      <c r="B154" s="25">
        <v>7</v>
      </c>
      <c r="C154" s="25">
        <v>1005</v>
      </c>
      <c r="D154" t="s">
        <v>1009</v>
      </c>
      <c r="E154" s="27" t="s">
        <v>1010</v>
      </c>
      <c r="F154" s="25">
        <v>630004</v>
      </c>
      <c r="G154" t="s">
        <v>1011</v>
      </c>
    </row>
    <row r="155" spans="1:7">
      <c r="A155" s="25">
        <v>1001</v>
      </c>
      <c r="B155" s="25">
        <v>7</v>
      </c>
      <c r="C155" s="25">
        <v>1005</v>
      </c>
      <c r="D155" t="s">
        <v>1012</v>
      </c>
      <c r="E155" s="27" t="s">
        <v>1013</v>
      </c>
      <c r="F155" s="25">
        <v>630005</v>
      </c>
      <c r="G155" t="s">
        <v>1014</v>
      </c>
    </row>
    <row r="156" spans="1:7">
      <c r="A156" s="25">
        <v>1001</v>
      </c>
      <c r="B156" s="25">
        <v>7</v>
      </c>
      <c r="C156" s="25">
        <v>1005</v>
      </c>
      <c r="D156" t="s">
        <v>1015</v>
      </c>
      <c r="E156" s="27" t="s">
        <v>1015</v>
      </c>
      <c r="F156" s="25">
        <v>630006</v>
      </c>
      <c r="G156" t="s">
        <v>1016</v>
      </c>
    </row>
    <row r="157" spans="1:7">
      <c r="A157" s="25">
        <v>1001</v>
      </c>
      <c r="B157" s="25">
        <v>7</v>
      </c>
      <c r="C157" s="25">
        <v>1005</v>
      </c>
      <c r="D157" t="s">
        <v>1017</v>
      </c>
      <c r="E157" s="27" t="s">
        <v>1018</v>
      </c>
      <c r="F157" s="25">
        <v>630007</v>
      </c>
      <c r="G157" t="s">
        <v>1019</v>
      </c>
    </row>
    <row r="158" spans="1:7">
      <c r="A158" s="25">
        <v>1001</v>
      </c>
      <c r="B158" s="25">
        <v>7</v>
      </c>
      <c r="C158" s="25">
        <v>1005</v>
      </c>
      <c r="D158" t="s">
        <v>1020</v>
      </c>
      <c r="E158" s="27" t="s">
        <v>1021</v>
      </c>
      <c r="F158" s="25">
        <v>630008</v>
      </c>
      <c r="G158" t="s">
        <v>1022</v>
      </c>
    </row>
    <row r="159" spans="1:7">
      <c r="A159" s="25">
        <v>1001</v>
      </c>
      <c r="B159" s="25">
        <v>7</v>
      </c>
      <c r="C159" s="25">
        <v>1005</v>
      </c>
      <c r="D159" t="s">
        <v>1023</v>
      </c>
      <c r="E159" s="27" t="s">
        <v>1024</v>
      </c>
      <c r="F159" s="25">
        <v>630009</v>
      </c>
      <c r="G159" t="s">
        <v>1025</v>
      </c>
    </row>
    <row r="160" spans="1:7">
      <c r="A160" s="25">
        <v>1001</v>
      </c>
      <c r="B160" s="25">
        <v>7</v>
      </c>
      <c r="C160" s="25">
        <v>1005</v>
      </c>
      <c r="D160" t="s">
        <v>1026</v>
      </c>
      <c r="E160" s="27" t="s">
        <v>1027</v>
      </c>
      <c r="F160" s="25">
        <v>630010</v>
      </c>
      <c r="G160" t="s">
        <v>1028</v>
      </c>
    </row>
    <row r="161" spans="1:7">
      <c r="A161" s="25">
        <v>1001</v>
      </c>
      <c r="B161" s="25">
        <v>7</v>
      </c>
      <c r="C161" s="25">
        <v>1005</v>
      </c>
      <c r="D161" t="s">
        <v>1029</v>
      </c>
      <c r="E161" s="27" t="s">
        <v>988</v>
      </c>
      <c r="F161" s="25">
        <v>630011</v>
      </c>
      <c r="G161" t="s">
        <v>1030</v>
      </c>
    </row>
    <row r="162" spans="1:7">
      <c r="A162" s="25">
        <v>1001</v>
      </c>
      <c r="B162" s="25">
        <v>7</v>
      </c>
      <c r="C162" s="25">
        <v>1005</v>
      </c>
      <c r="D162" t="s">
        <v>1031</v>
      </c>
      <c r="E162" s="27" t="s">
        <v>1031</v>
      </c>
      <c r="F162" s="25">
        <v>630012</v>
      </c>
      <c r="G162" t="s">
        <v>1032</v>
      </c>
    </row>
    <row r="163" spans="1:7">
      <c r="A163" s="25">
        <v>1001</v>
      </c>
      <c r="B163" s="25">
        <v>7</v>
      </c>
      <c r="C163" s="25">
        <v>1005</v>
      </c>
      <c r="D163" t="s">
        <v>1033</v>
      </c>
      <c r="E163" s="27" t="s">
        <v>1034</v>
      </c>
      <c r="F163" s="25">
        <v>630013</v>
      </c>
      <c r="G163" t="s">
        <v>1035</v>
      </c>
    </row>
    <row r="164" spans="1:7">
      <c r="A164" s="25">
        <v>1001</v>
      </c>
      <c r="B164" s="25">
        <v>7</v>
      </c>
      <c r="C164" s="25">
        <v>1005</v>
      </c>
      <c r="D164" t="s">
        <v>1036</v>
      </c>
      <c r="E164" s="27" t="s">
        <v>1036</v>
      </c>
      <c r="F164" s="25">
        <v>630014</v>
      </c>
      <c r="G164" t="s">
        <v>1037</v>
      </c>
    </row>
    <row r="165" spans="1:7">
      <c r="A165" s="25">
        <v>1001</v>
      </c>
      <c r="B165" s="25">
        <v>7</v>
      </c>
      <c r="C165" s="25">
        <v>1005</v>
      </c>
      <c r="D165" t="s">
        <v>1038</v>
      </c>
      <c r="E165" s="27" t="s">
        <v>1038</v>
      </c>
      <c r="F165" s="25">
        <v>630015</v>
      </c>
      <c r="G165" t="s">
        <v>1039</v>
      </c>
    </row>
    <row r="166" spans="1:7">
      <c r="A166" s="25">
        <v>1001</v>
      </c>
      <c r="B166" s="25">
        <v>7</v>
      </c>
      <c r="C166" s="25">
        <v>1005</v>
      </c>
      <c r="D166" t="s">
        <v>1040</v>
      </c>
      <c r="E166" s="27" t="s">
        <v>1040</v>
      </c>
      <c r="F166" s="25">
        <v>630016</v>
      </c>
      <c r="G166" t="s">
        <v>1041</v>
      </c>
    </row>
    <row r="167" spans="1:7">
      <c r="A167" s="25">
        <v>1001</v>
      </c>
      <c r="B167" s="25">
        <v>7</v>
      </c>
      <c r="C167" s="25">
        <v>1005</v>
      </c>
      <c r="D167" t="s">
        <v>1042</v>
      </c>
      <c r="E167" s="27" t="s">
        <v>1042</v>
      </c>
      <c r="F167" s="25">
        <v>630017</v>
      </c>
      <c r="G167" t="s">
        <v>1043</v>
      </c>
    </row>
    <row r="168" spans="1:7">
      <c r="A168" s="25">
        <v>1001</v>
      </c>
      <c r="B168" s="25">
        <v>7</v>
      </c>
      <c r="C168" s="25">
        <v>1005</v>
      </c>
      <c r="D168" t="s">
        <v>1044</v>
      </c>
      <c r="E168" s="27" t="s">
        <v>1045</v>
      </c>
      <c r="F168" s="25">
        <v>630018</v>
      </c>
      <c r="G168" t="s">
        <v>1046</v>
      </c>
    </row>
    <row r="169" spans="1:7">
      <c r="A169" s="25">
        <v>1001</v>
      </c>
      <c r="B169" s="25">
        <v>7</v>
      </c>
      <c r="C169" s="25">
        <v>1005</v>
      </c>
      <c r="D169" t="s">
        <v>1047</v>
      </c>
      <c r="E169" s="27" t="s">
        <v>1048</v>
      </c>
      <c r="F169" s="25">
        <v>630019</v>
      </c>
      <c r="G169" t="s">
        <v>1049</v>
      </c>
    </row>
    <row r="170" spans="1:7">
      <c r="A170" s="25">
        <v>1001</v>
      </c>
      <c r="B170" s="25">
        <v>7</v>
      </c>
      <c r="C170" s="25">
        <v>1005</v>
      </c>
      <c r="D170" t="s">
        <v>1050</v>
      </c>
      <c r="E170" t="s">
        <v>1050</v>
      </c>
      <c r="F170" s="25">
        <v>630020</v>
      </c>
      <c r="G170" t="s">
        <v>1051</v>
      </c>
    </row>
    <row r="171" spans="1:7">
      <c r="A171" s="25">
        <v>1001</v>
      </c>
      <c r="B171" s="25">
        <v>7</v>
      </c>
      <c r="C171" s="25">
        <v>1005</v>
      </c>
      <c r="D171" t="s">
        <v>1052</v>
      </c>
      <c r="E171" t="s">
        <v>1052</v>
      </c>
      <c r="F171" s="25">
        <v>630021</v>
      </c>
      <c r="G171" t="s">
        <v>1053</v>
      </c>
    </row>
    <row r="172" spans="1:7">
      <c r="A172" s="25">
        <v>1001</v>
      </c>
      <c r="B172" s="25">
        <v>7</v>
      </c>
      <c r="C172" s="25">
        <v>1005</v>
      </c>
      <c r="D172" t="s">
        <v>1054</v>
      </c>
      <c r="E172" t="s">
        <v>1054</v>
      </c>
      <c r="F172" s="25">
        <v>630022</v>
      </c>
      <c r="G172" t="s">
        <v>1055</v>
      </c>
    </row>
    <row r="173" spans="1:7">
      <c r="A173" s="25">
        <v>1001</v>
      </c>
      <c r="B173" s="25">
        <v>7</v>
      </c>
      <c r="C173" s="25">
        <v>1005</v>
      </c>
      <c r="D173" t="s">
        <v>1056</v>
      </c>
      <c r="E173" t="s">
        <v>1056</v>
      </c>
      <c r="F173" s="25">
        <v>630023</v>
      </c>
      <c r="G173" t="s">
        <v>1057</v>
      </c>
    </row>
    <row r="174" spans="1:7">
      <c r="A174" s="25">
        <v>1001</v>
      </c>
      <c r="B174" s="25">
        <v>7</v>
      </c>
      <c r="C174" s="25">
        <v>1005</v>
      </c>
      <c r="D174" t="s">
        <v>1058</v>
      </c>
      <c r="E174" t="s">
        <v>1058</v>
      </c>
      <c r="F174" s="25">
        <v>630024</v>
      </c>
      <c r="G174" t="s">
        <v>1059</v>
      </c>
    </row>
    <row r="175" spans="1:7">
      <c r="A175" s="25">
        <v>1001</v>
      </c>
      <c r="B175" s="25">
        <v>7</v>
      </c>
      <c r="C175" s="25">
        <v>1005</v>
      </c>
      <c r="D175" t="s">
        <v>946</v>
      </c>
      <c r="E175" t="s">
        <v>1060</v>
      </c>
      <c r="F175" s="25">
        <v>630025</v>
      </c>
      <c r="G175" t="s">
        <v>1061</v>
      </c>
    </row>
    <row r="176" spans="1:7">
      <c r="A176" s="25">
        <v>1001</v>
      </c>
      <c r="B176" s="25">
        <v>7</v>
      </c>
      <c r="C176" s="25">
        <v>1005</v>
      </c>
      <c r="D176" t="s">
        <v>1062</v>
      </c>
      <c r="E176" t="s">
        <v>1062</v>
      </c>
      <c r="F176" s="25">
        <v>630026</v>
      </c>
      <c r="G176" t="s">
        <v>1063</v>
      </c>
    </row>
    <row r="177" spans="1:7">
      <c r="A177" s="25">
        <v>1001</v>
      </c>
      <c r="B177" s="25">
        <v>7</v>
      </c>
      <c r="C177" s="25">
        <v>1005</v>
      </c>
      <c r="D177" t="s">
        <v>1064</v>
      </c>
      <c r="E177" t="s">
        <v>1064</v>
      </c>
      <c r="F177" s="25">
        <v>630027</v>
      </c>
      <c r="G177" t="s">
        <v>1065</v>
      </c>
    </row>
    <row r="178" spans="1:7">
      <c r="A178" s="25">
        <v>1001</v>
      </c>
      <c r="B178" s="25">
        <v>7</v>
      </c>
      <c r="C178" s="25">
        <v>1005</v>
      </c>
      <c r="D178" t="s">
        <v>1066</v>
      </c>
      <c r="E178" t="s">
        <v>1067</v>
      </c>
      <c r="F178" s="25">
        <v>630028</v>
      </c>
      <c r="G178" t="s">
        <v>1068</v>
      </c>
    </row>
    <row r="179" spans="1:7">
      <c r="A179" s="25">
        <v>1001</v>
      </c>
      <c r="B179" s="25">
        <v>7</v>
      </c>
      <c r="C179" s="25">
        <v>1005</v>
      </c>
      <c r="D179" t="s">
        <v>1069</v>
      </c>
      <c r="E179" t="s">
        <v>1070</v>
      </c>
      <c r="F179" s="25">
        <v>630029</v>
      </c>
      <c r="G179" t="s">
        <v>1071</v>
      </c>
    </row>
    <row r="180" spans="1:7">
      <c r="A180" s="25">
        <v>1001</v>
      </c>
      <c r="B180" s="25">
        <v>7</v>
      </c>
      <c r="C180" s="25">
        <v>1005</v>
      </c>
      <c r="D180" t="s">
        <v>1072</v>
      </c>
      <c r="E180" t="s">
        <v>1073</v>
      </c>
      <c r="F180" s="25">
        <v>630030</v>
      </c>
      <c r="G180" t="s">
        <v>1074</v>
      </c>
    </row>
    <row r="181" spans="1:7">
      <c r="A181" s="25">
        <v>1001</v>
      </c>
      <c r="B181" s="25">
        <v>7</v>
      </c>
      <c r="C181" s="25">
        <v>1005</v>
      </c>
      <c r="D181" t="s">
        <v>1075</v>
      </c>
      <c r="E181" t="s">
        <v>1075</v>
      </c>
      <c r="F181" s="25">
        <v>630031</v>
      </c>
      <c r="G181" t="s">
        <v>1076</v>
      </c>
    </row>
    <row r="182" spans="1:7">
      <c r="A182" s="25">
        <v>1001</v>
      </c>
      <c r="B182" s="25">
        <v>7</v>
      </c>
      <c r="C182" s="25">
        <v>1005</v>
      </c>
      <c r="D182" t="s">
        <v>1077</v>
      </c>
      <c r="E182" t="s">
        <v>1078</v>
      </c>
      <c r="F182" s="25">
        <v>630032</v>
      </c>
      <c r="G182" t="s">
        <v>1079</v>
      </c>
    </row>
    <row r="183" spans="1:7">
      <c r="A183" s="25">
        <v>1001</v>
      </c>
      <c r="B183" s="25">
        <v>7</v>
      </c>
      <c r="C183" s="25">
        <v>1005</v>
      </c>
      <c r="D183" t="s">
        <v>1080</v>
      </c>
      <c r="E183" t="s">
        <v>1081</v>
      </c>
      <c r="F183" s="25">
        <v>630033</v>
      </c>
      <c r="G183" t="s">
        <v>1082</v>
      </c>
    </row>
    <row r="184" spans="1:7">
      <c r="A184" s="25">
        <v>1001</v>
      </c>
      <c r="B184" s="25">
        <v>7</v>
      </c>
      <c r="C184" s="25">
        <v>1005</v>
      </c>
      <c r="D184" t="s">
        <v>1083</v>
      </c>
      <c r="E184" t="s">
        <v>1084</v>
      </c>
      <c r="F184" s="25">
        <v>630034</v>
      </c>
      <c r="G184" t="s">
        <v>1085</v>
      </c>
    </row>
    <row r="185" spans="1:7">
      <c r="A185" s="25">
        <v>1001</v>
      </c>
      <c r="B185" s="25">
        <v>7</v>
      </c>
      <c r="C185" s="25">
        <v>1005</v>
      </c>
      <c r="D185" t="s">
        <v>1086</v>
      </c>
      <c r="E185" t="s">
        <v>1087</v>
      </c>
      <c r="F185" s="25">
        <v>630035</v>
      </c>
      <c r="G185" t="s">
        <v>1088</v>
      </c>
    </row>
    <row r="186" spans="1:7">
      <c r="A186" s="25">
        <v>1001</v>
      </c>
      <c r="B186" s="25">
        <v>7</v>
      </c>
      <c r="C186" s="25">
        <v>1005</v>
      </c>
      <c r="D186" t="s">
        <v>1089</v>
      </c>
      <c r="E186" t="s">
        <v>1090</v>
      </c>
      <c r="F186" s="25">
        <v>630036</v>
      </c>
      <c r="G186" t="s">
        <v>1091</v>
      </c>
    </row>
    <row r="187" spans="1:7">
      <c r="A187" s="25">
        <v>1001</v>
      </c>
      <c r="B187" s="25">
        <v>7</v>
      </c>
      <c r="C187" s="25">
        <v>1005</v>
      </c>
      <c r="D187" t="s">
        <v>1092</v>
      </c>
      <c r="E187" t="s">
        <v>1093</v>
      </c>
      <c r="F187" s="25">
        <v>630037</v>
      </c>
      <c r="G187" t="s">
        <v>1094</v>
      </c>
    </row>
    <row r="188" spans="1:7">
      <c r="A188" s="25">
        <v>1001</v>
      </c>
      <c r="B188" s="25">
        <v>7</v>
      </c>
      <c r="C188" s="25">
        <v>1005</v>
      </c>
      <c r="D188" t="s">
        <v>1095</v>
      </c>
      <c r="E188" t="s">
        <v>1096</v>
      </c>
      <c r="F188" s="25">
        <v>630038</v>
      </c>
      <c r="G188" t="s">
        <v>1097</v>
      </c>
    </row>
    <row r="189" spans="1:7">
      <c r="A189" s="25">
        <v>1001</v>
      </c>
      <c r="B189" s="25">
        <v>7</v>
      </c>
      <c r="C189" s="25">
        <v>1005</v>
      </c>
      <c r="D189" t="s">
        <v>1098</v>
      </c>
      <c r="E189" t="s">
        <v>1099</v>
      </c>
      <c r="F189" s="25">
        <v>630039</v>
      </c>
      <c r="G189" t="s">
        <v>1100</v>
      </c>
    </row>
    <row r="190" spans="1:7">
      <c r="A190" s="25">
        <v>1001</v>
      </c>
      <c r="B190" s="25">
        <v>7</v>
      </c>
      <c r="C190" s="25">
        <v>1005</v>
      </c>
      <c r="D190" t="s">
        <v>1101</v>
      </c>
      <c r="E190" t="s">
        <v>1102</v>
      </c>
      <c r="F190" s="25">
        <v>630043</v>
      </c>
      <c r="G190" t="s">
        <v>1103</v>
      </c>
    </row>
    <row r="191" spans="1:7">
      <c r="A191" s="25">
        <v>1001</v>
      </c>
      <c r="B191" s="25">
        <v>7</v>
      </c>
      <c r="C191" s="25">
        <v>1005</v>
      </c>
      <c r="D191" t="s">
        <v>1104</v>
      </c>
      <c r="E191" t="s">
        <v>1105</v>
      </c>
      <c r="F191" s="25">
        <v>630040</v>
      </c>
      <c r="G191" t="s">
        <v>1106</v>
      </c>
    </row>
    <row r="192" spans="1:7">
      <c r="A192" s="25">
        <v>1001</v>
      </c>
      <c r="B192" s="25">
        <v>7</v>
      </c>
      <c r="C192" s="25">
        <v>1005</v>
      </c>
      <c r="D192" t="s">
        <v>1107</v>
      </c>
      <c r="E192" t="s">
        <v>1108</v>
      </c>
      <c r="F192" s="25">
        <v>630041</v>
      </c>
      <c r="G192" t="s">
        <v>1109</v>
      </c>
    </row>
    <row r="193" spans="1:7">
      <c r="A193" s="25">
        <v>1001</v>
      </c>
      <c r="B193" s="25">
        <v>7</v>
      </c>
      <c r="C193" s="25">
        <v>1005</v>
      </c>
      <c r="D193" t="s">
        <v>1110</v>
      </c>
      <c r="E193" t="s">
        <v>1111</v>
      </c>
      <c r="F193" s="25">
        <v>630042</v>
      </c>
      <c r="G193" t="s">
        <v>1112</v>
      </c>
    </row>
    <row r="194" spans="1:7">
      <c r="A194" s="25">
        <v>1001</v>
      </c>
      <c r="B194" s="25">
        <v>7</v>
      </c>
      <c r="C194" s="25">
        <v>1005</v>
      </c>
      <c r="D194" t="s">
        <v>1113</v>
      </c>
      <c r="E194" t="s">
        <v>1114</v>
      </c>
      <c r="F194" s="25">
        <v>630044</v>
      </c>
      <c r="G194" t="s">
        <v>1115</v>
      </c>
    </row>
    <row r="195" spans="1:7">
      <c r="A195" s="25">
        <v>1001</v>
      </c>
      <c r="B195" s="25">
        <v>7</v>
      </c>
      <c r="C195" s="25">
        <v>1005</v>
      </c>
      <c r="D195" t="s">
        <v>1116</v>
      </c>
      <c r="E195" t="s">
        <v>1117</v>
      </c>
      <c r="F195" s="25">
        <v>630045</v>
      </c>
      <c r="G195" t="s">
        <v>1118</v>
      </c>
    </row>
    <row r="196" spans="1:7">
      <c r="A196" s="25">
        <v>1001</v>
      </c>
      <c r="B196" s="25">
        <v>7</v>
      </c>
      <c r="C196" s="25">
        <v>1005</v>
      </c>
      <c r="D196" t="s">
        <v>1119</v>
      </c>
      <c r="E196" t="s">
        <v>1120</v>
      </c>
      <c r="F196" s="25">
        <v>630046</v>
      </c>
      <c r="G196" t="s">
        <v>1121</v>
      </c>
    </row>
    <row r="197" spans="1:7">
      <c r="A197" s="25">
        <v>1001</v>
      </c>
      <c r="B197" s="25">
        <v>7</v>
      </c>
      <c r="C197" s="25">
        <v>1005</v>
      </c>
      <c r="D197" t="s">
        <v>1122</v>
      </c>
      <c r="E197" t="s">
        <v>1123</v>
      </c>
      <c r="F197" s="25">
        <v>630047</v>
      </c>
      <c r="G197" t="s">
        <v>1124</v>
      </c>
    </row>
    <row r="198" spans="1:7">
      <c r="A198" s="25">
        <v>1001</v>
      </c>
      <c r="B198" s="25">
        <v>7</v>
      </c>
      <c r="C198" s="25">
        <v>1005</v>
      </c>
      <c r="D198" t="s">
        <v>1125</v>
      </c>
      <c r="E198" t="s">
        <v>1126</v>
      </c>
      <c r="F198" s="25">
        <v>630049</v>
      </c>
      <c r="G198" t="s">
        <v>1127</v>
      </c>
    </row>
    <row r="199" spans="1:7">
      <c r="A199" s="25">
        <v>1001</v>
      </c>
      <c r="B199" s="25">
        <v>7</v>
      </c>
      <c r="C199" s="25">
        <v>1005</v>
      </c>
      <c r="D199" t="s">
        <v>1128</v>
      </c>
      <c r="E199" t="s">
        <v>1129</v>
      </c>
      <c r="F199" s="25">
        <v>630050</v>
      </c>
      <c r="G199" t="s">
        <v>1130</v>
      </c>
    </row>
    <row r="200" spans="1:7">
      <c r="A200" s="25">
        <v>1001</v>
      </c>
      <c r="B200" s="25">
        <v>7</v>
      </c>
      <c r="C200" s="25">
        <v>1005</v>
      </c>
      <c r="D200" t="s">
        <v>1131</v>
      </c>
      <c r="E200" t="s">
        <v>1132</v>
      </c>
      <c r="F200" s="25">
        <v>630051</v>
      </c>
      <c r="G200" t="s">
        <v>1133</v>
      </c>
    </row>
    <row r="201" spans="1:7">
      <c r="A201" s="25">
        <v>1001</v>
      </c>
      <c r="B201" s="25">
        <v>7</v>
      </c>
      <c r="C201" s="25">
        <v>1005</v>
      </c>
      <c r="D201" t="s">
        <v>1134</v>
      </c>
      <c r="E201" t="s">
        <v>1135</v>
      </c>
      <c r="F201" s="25">
        <v>630052</v>
      </c>
      <c r="G201" t="s">
        <v>1136</v>
      </c>
    </row>
    <row r="202" spans="1:7">
      <c r="A202" s="25">
        <v>1001</v>
      </c>
      <c r="B202" s="25">
        <v>7</v>
      </c>
      <c r="C202" s="25">
        <v>1005</v>
      </c>
      <c r="D202" t="s">
        <v>1137</v>
      </c>
      <c r="E202" t="s">
        <v>1138</v>
      </c>
      <c r="F202" s="25">
        <v>630053</v>
      </c>
      <c r="G202" t="s">
        <v>1139</v>
      </c>
    </row>
    <row r="203" spans="1:7">
      <c r="A203" s="25">
        <v>1001</v>
      </c>
      <c r="B203" s="25">
        <v>7</v>
      </c>
      <c r="C203" s="25">
        <v>1005</v>
      </c>
      <c r="D203" t="s">
        <v>1140</v>
      </c>
      <c r="E203" t="s">
        <v>1141</v>
      </c>
      <c r="F203" s="25">
        <v>630054</v>
      </c>
      <c r="G203" t="s">
        <v>1142</v>
      </c>
    </row>
    <row r="204" spans="1:7">
      <c r="A204" s="25">
        <v>1001</v>
      </c>
      <c r="B204" s="25">
        <v>7</v>
      </c>
      <c r="C204" s="25">
        <v>1005</v>
      </c>
      <c r="D204" t="s">
        <v>1143</v>
      </c>
      <c r="E204" t="s">
        <v>1144</v>
      </c>
      <c r="F204" s="25">
        <v>630055</v>
      </c>
      <c r="G204" t="s">
        <v>1145</v>
      </c>
    </row>
    <row r="205" spans="1:7">
      <c r="A205" s="25">
        <v>1001</v>
      </c>
      <c r="B205" s="25">
        <v>7</v>
      </c>
      <c r="C205" s="25">
        <v>1005</v>
      </c>
      <c r="D205" t="s">
        <v>1146</v>
      </c>
      <c r="E205" t="s">
        <v>1147</v>
      </c>
      <c r="F205" s="25">
        <v>630056</v>
      </c>
      <c r="G205" t="s">
        <v>1148</v>
      </c>
    </row>
    <row r="206" spans="1:7">
      <c r="A206" s="25">
        <v>1001</v>
      </c>
      <c r="B206" s="25">
        <v>7</v>
      </c>
      <c r="C206" s="25">
        <v>1005</v>
      </c>
      <c r="D206" t="s">
        <v>1149</v>
      </c>
      <c r="E206" t="s">
        <v>1150</v>
      </c>
      <c r="F206" s="25">
        <v>630057</v>
      </c>
      <c r="G206" t="s">
        <v>1151</v>
      </c>
    </row>
    <row r="207" spans="1:7">
      <c r="A207" s="25">
        <v>1001</v>
      </c>
      <c r="B207" s="25">
        <v>7</v>
      </c>
      <c r="C207" s="25">
        <v>1005</v>
      </c>
      <c r="D207" t="s">
        <v>1152</v>
      </c>
      <c r="E207" t="s">
        <v>1153</v>
      </c>
      <c r="F207" s="25">
        <v>630058</v>
      </c>
      <c r="G207" t="s">
        <v>1154</v>
      </c>
    </row>
    <row r="208" spans="1:7">
      <c r="A208" s="25">
        <v>1001</v>
      </c>
      <c r="B208" s="25">
        <v>7</v>
      </c>
      <c r="C208" s="25">
        <v>1005</v>
      </c>
      <c r="D208" t="s">
        <v>1155</v>
      </c>
      <c r="E208" t="s">
        <v>1156</v>
      </c>
      <c r="F208" s="25">
        <v>630059</v>
      </c>
      <c r="G208" t="s">
        <v>1157</v>
      </c>
    </row>
    <row r="209" spans="1:7">
      <c r="A209" s="25">
        <v>1001</v>
      </c>
      <c r="B209" s="25">
        <v>7</v>
      </c>
      <c r="C209" s="25">
        <v>1005</v>
      </c>
      <c r="D209" t="s">
        <v>1158</v>
      </c>
      <c r="E209" t="s">
        <v>1159</v>
      </c>
      <c r="F209" s="25">
        <v>630060</v>
      </c>
      <c r="G209" t="s">
        <v>1160</v>
      </c>
    </row>
    <row r="210" spans="1:7">
      <c r="A210" s="25">
        <v>1001</v>
      </c>
      <c r="B210" s="25">
        <v>7</v>
      </c>
      <c r="C210" s="25">
        <v>1005</v>
      </c>
      <c r="D210" t="s">
        <v>1161</v>
      </c>
      <c r="E210" t="s">
        <v>1162</v>
      </c>
      <c r="F210" s="25">
        <v>630061</v>
      </c>
      <c r="G210" t="s">
        <v>1163</v>
      </c>
    </row>
    <row r="211" spans="1:7">
      <c r="A211" s="25">
        <v>1001</v>
      </c>
      <c r="B211" s="25">
        <v>7</v>
      </c>
      <c r="C211" s="25">
        <v>1005</v>
      </c>
      <c r="D211" t="s">
        <v>1164</v>
      </c>
      <c r="E211" t="s">
        <v>1165</v>
      </c>
      <c r="F211" s="25">
        <v>630062</v>
      </c>
      <c r="G211" t="s">
        <v>1166</v>
      </c>
    </row>
    <row r="212" spans="1:7">
      <c r="A212" s="25">
        <v>1001</v>
      </c>
      <c r="B212" s="25">
        <v>7</v>
      </c>
      <c r="C212" s="25">
        <v>1005</v>
      </c>
      <c r="D212" t="s">
        <v>1167</v>
      </c>
      <c r="E212" t="s">
        <v>1168</v>
      </c>
      <c r="F212" s="25">
        <v>630063</v>
      </c>
      <c r="G212" t="s">
        <v>1169</v>
      </c>
    </row>
    <row r="213" spans="1:7">
      <c r="A213" s="25">
        <v>1001</v>
      </c>
      <c r="B213" s="25">
        <v>7</v>
      </c>
      <c r="C213" s="25">
        <v>1005</v>
      </c>
      <c r="D213" t="s">
        <v>1170</v>
      </c>
      <c r="E213" t="s">
        <v>1171</v>
      </c>
      <c r="F213" s="25">
        <v>630064</v>
      </c>
      <c r="G213" t="s">
        <v>1172</v>
      </c>
    </row>
    <row r="214" spans="1:7">
      <c r="A214" s="25">
        <v>1001</v>
      </c>
      <c r="B214" s="25">
        <v>7</v>
      </c>
      <c r="C214" s="25">
        <v>1005</v>
      </c>
      <c r="D214" t="s">
        <v>1173</v>
      </c>
      <c r="E214" t="s">
        <v>1173</v>
      </c>
      <c r="F214" s="25">
        <v>630065</v>
      </c>
      <c r="G214" t="s">
        <v>1174</v>
      </c>
    </row>
    <row r="215" spans="1:7">
      <c r="A215" s="25">
        <v>1001</v>
      </c>
      <c r="B215" s="25">
        <v>7</v>
      </c>
      <c r="C215" s="25">
        <v>1005</v>
      </c>
      <c r="D215" t="s">
        <v>1175</v>
      </c>
      <c r="E215" t="s">
        <v>1175</v>
      </c>
      <c r="F215" s="25">
        <v>630066</v>
      </c>
      <c r="G215" t="s">
        <v>1176</v>
      </c>
    </row>
    <row r="216" spans="1:7">
      <c r="A216" s="25">
        <v>1001</v>
      </c>
      <c r="B216" s="25">
        <v>7</v>
      </c>
      <c r="C216" s="25">
        <v>1005</v>
      </c>
      <c r="D216" t="s">
        <v>1177</v>
      </c>
      <c r="E216" t="s">
        <v>1177</v>
      </c>
      <c r="F216" s="25">
        <v>630067</v>
      </c>
      <c r="G216" t="s">
        <v>1178</v>
      </c>
    </row>
    <row r="217" spans="1:7">
      <c r="A217" s="25">
        <v>1001</v>
      </c>
      <c r="B217" s="25">
        <v>7</v>
      </c>
      <c r="C217" s="25">
        <v>1005</v>
      </c>
      <c r="D217" t="s">
        <v>1179</v>
      </c>
      <c r="E217" t="s">
        <v>1179</v>
      </c>
      <c r="F217" s="25">
        <v>630068</v>
      </c>
      <c r="G217" t="s">
        <v>1180</v>
      </c>
    </row>
    <row r="218" spans="1:7">
      <c r="A218" s="25">
        <v>1001</v>
      </c>
      <c r="B218" s="25">
        <v>7</v>
      </c>
      <c r="C218" s="25">
        <v>1005</v>
      </c>
      <c r="D218" t="s">
        <v>1181</v>
      </c>
      <c r="E218" t="s">
        <v>1181</v>
      </c>
      <c r="F218" s="25">
        <v>630069</v>
      </c>
      <c r="G218" t="s">
        <v>1182</v>
      </c>
    </row>
    <row r="219" spans="1:7">
      <c r="A219" s="25">
        <v>1001</v>
      </c>
      <c r="B219" s="25">
        <v>7</v>
      </c>
      <c r="C219" s="25">
        <v>1005</v>
      </c>
      <c r="D219" t="s">
        <v>1183</v>
      </c>
      <c r="E219" t="s">
        <v>1183</v>
      </c>
      <c r="F219" s="25">
        <v>630070</v>
      </c>
      <c r="G219" t="s">
        <v>1184</v>
      </c>
    </row>
    <row r="220" spans="1:7">
      <c r="A220" s="25">
        <v>1001</v>
      </c>
      <c r="B220" s="25">
        <v>7</v>
      </c>
      <c r="C220" s="25">
        <v>1005</v>
      </c>
      <c r="D220" t="s">
        <v>1185</v>
      </c>
      <c r="E220" t="s">
        <v>1185</v>
      </c>
      <c r="F220" s="25">
        <v>630071</v>
      </c>
      <c r="G220" t="s">
        <v>1186</v>
      </c>
    </row>
    <row r="221" spans="1:7">
      <c r="A221" s="25">
        <v>1001</v>
      </c>
      <c r="B221" s="25">
        <v>7</v>
      </c>
      <c r="C221" s="25">
        <v>1005</v>
      </c>
      <c r="D221" t="s">
        <v>1187</v>
      </c>
      <c r="E221" t="s">
        <v>1187</v>
      </c>
      <c r="F221" s="25">
        <v>630072</v>
      </c>
      <c r="G221" t="s">
        <v>1188</v>
      </c>
    </row>
    <row r="222" spans="1:7">
      <c r="A222" s="25">
        <v>1001</v>
      </c>
      <c r="B222" s="25">
        <v>7</v>
      </c>
      <c r="C222" s="25">
        <v>1005</v>
      </c>
      <c r="D222" t="s">
        <v>1189</v>
      </c>
      <c r="E222" t="s">
        <v>1189</v>
      </c>
      <c r="F222" s="25">
        <v>630073</v>
      </c>
      <c r="G222" t="s">
        <v>1190</v>
      </c>
    </row>
    <row r="223" spans="1:7">
      <c r="A223" s="25">
        <v>1001</v>
      </c>
      <c r="B223" s="25">
        <v>7</v>
      </c>
      <c r="C223" s="25">
        <v>1005</v>
      </c>
      <c r="D223" t="s">
        <v>1191</v>
      </c>
      <c r="E223" t="s">
        <v>1191</v>
      </c>
      <c r="F223" s="25">
        <v>630076</v>
      </c>
      <c r="G223" t="s">
        <v>1192</v>
      </c>
    </row>
    <row r="224" s="6" customFormat="1" spans="1:7">
      <c r="A224" s="35">
        <v>1001</v>
      </c>
      <c r="B224" s="35">
        <v>7</v>
      </c>
      <c r="C224" s="35">
        <v>1005</v>
      </c>
      <c r="D224" s="6" t="s">
        <v>1193</v>
      </c>
      <c r="E224" s="6" t="s">
        <v>1193</v>
      </c>
      <c r="F224" s="35">
        <v>630078</v>
      </c>
      <c r="G224" s="6" t="s">
        <v>1194</v>
      </c>
    </row>
    <row r="225" s="6" customFormat="1" spans="1:7">
      <c r="A225" s="35">
        <v>1001</v>
      </c>
      <c r="B225" s="35">
        <v>7</v>
      </c>
      <c r="C225" s="35">
        <v>1005</v>
      </c>
      <c r="D225" s="6" t="s">
        <v>1195</v>
      </c>
      <c r="E225" s="6" t="s">
        <v>1195</v>
      </c>
      <c r="F225" s="35">
        <v>630079</v>
      </c>
      <c r="G225" s="6" t="s">
        <v>1196</v>
      </c>
    </row>
    <row r="226" s="6" customFormat="1" spans="1:7">
      <c r="A226" s="35">
        <v>1001</v>
      </c>
      <c r="B226" s="35">
        <v>7</v>
      </c>
      <c r="C226" s="35">
        <v>1005</v>
      </c>
      <c r="D226" s="6" t="s">
        <v>1197</v>
      </c>
      <c r="E226" s="6" t="s">
        <v>1197</v>
      </c>
      <c r="F226" s="35">
        <v>630080</v>
      </c>
      <c r="G226" s="6" t="s">
        <v>1198</v>
      </c>
    </row>
    <row r="227" s="6" customFormat="1" spans="1:7">
      <c r="A227" s="35">
        <v>1001</v>
      </c>
      <c r="B227" s="35">
        <v>7</v>
      </c>
      <c r="C227" s="35">
        <v>1005</v>
      </c>
      <c r="D227" s="6" t="s">
        <v>1199</v>
      </c>
      <c r="E227" s="6" t="s">
        <v>1199</v>
      </c>
      <c r="F227" s="35">
        <v>630081</v>
      </c>
      <c r="G227" s="6" t="s">
        <v>1200</v>
      </c>
    </row>
    <row r="228" s="6" customFormat="1" spans="1:7">
      <c r="A228" s="35">
        <v>1001</v>
      </c>
      <c r="B228" s="35">
        <v>7</v>
      </c>
      <c r="C228" s="35">
        <v>1005</v>
      </c>
      <c r="D228" s="6" t="s">
        <v>1201</v>
      </c>
      <c r="E228" s="6" t="s">
        <v>1201</v>
      </c>
      <c r="F228" s="35">
        <v>630082</v>
      </c>
      <c r="G228" s="6" t="s">
        <v>1202</v>
      </c>
    </row>
    <row r="229" s="6" customFormat="1" spans="1:7">
      <c r="A229" s="35">
        <v>1001</v>
      </c>
      <c r="B229" s="35">
        <v>7</v>
      </c>
      <c r="C229" s="35">
        <v>1005</v>
      </c>
      <c r="D229" s="6" t="s">
        <v>1203</v>
      </c>
      <c r="E229" s="6" t="s">
        <v>1203</v>
      </c>
      <c r="F229" s="35">
        <v>630083</v>
      </c>
      <c r="G229" s="6" t="s">
        <v>1204</v>
      </c>
    </row>
    <row r="230" s="6" customFormat="1" spans="1:7">
      <c r="A230" s="35">
        <v>1001</v>
      </c>
      <c r="B230" s="35">
        <v>7</v>
      </c>
      <c r="C230" s="35">
        <v>1005</v>
      </c>
      <c r="D230" s="6" t="s">
        <v>1205</v>
      </c>
      <c r="E230" s="6" t="s">
        <v>1205</v>
      </c>
      <c r="F230" s="35">
        <v>630084</v>
      </c>
      <c r="G230" s="6" t="s">
        <v>1206</v>
      </c>
    </row>
    <row r="231" s="6" customFormat="1" spans="1:7">
      <c r="A231" s="35">
        <v>1001</v>
      </c>
      <c r="B231" s="35">
        <v>7</v>
      </c>
      <c r="C231" s="35">
        <v>1005</v>
      </c>
      <c r="D231" s="6" t="s">
        <v>1207</v>
      </c>
      <c r="E231" s="6" t="s">
        <v>1207</v>
      </c>
      <c r="F231" s="35">
        <v>630085</v>
      </c>
      <c r="G231" s="6" t="s">
        <v>1208</v>
      </c>
    </row>
    <row r="232" s="6" customFormat="1" spans="1:7">
      <c r="A232" s="35">
        <v>1001</v>
      </c>
      <c r="B232" s="35">
        <v>7</v>
      </c>
      <c r="C232" s="35">
        <v>1005</v>
      </c>
      <c r="D232" s="6" t="s">
        <v>1209</v>
      </c>
      <c r="E232" s="6" t="s">
        <v>1209</v>
      </c>
      <c r="F232" s="35">
        <v>630086</v>
      </c>
      <c r="G232" s="6" t="s">
        <v>1210</v>
      </c>
    </row>
    <row r="233" s="6" customFormat="1" spans="1:7">
      <c r="A233" s="35">
        <v>1001</v>
      </c>
      <c r="B233" s="35">
        <v>7</v>
      </c>
      <c r="C233" s="35">
        <v>1005</v>
      </c>
      <c r="D233" s="6" t="s">
        <v>1211</v>
      </c>
      <c r="E233" s="6" t="s">
        <v>1211</v>
      </c>
      <c r="F233" s="35">
        <v>630087</v>
      </c>
      <c r="G233" s="6" t="s">
        <v>1212</v>
      </c>
    </row>
    <row r="234" spans="1:7">
      <c r="A234" s="25">
        <v>1001</v>
      </c>
      <c r="B234" s="25">
        <v>7</v>
      </c>
      <c r="C234" s="25">
        <v>1005</v>
      </c>
      <c r="D234" t="s">
        <v>1213</v>
      </c>
      <c r="E234" t="s">
        <v>1213</v>
      </c>
      <c r="F234" s="25">
        <v>640001</v>
      </c>
      <c r="G234" t="s">
        <v>1214</v>
      </c>
    </row>
    <row r="235" spans="1:7">
      <c r="A235" s="25">
        <v>1001</v>
      </c>
      <c r="B235" s="25">
        <v>7</v>
      </c>
      <c r="C235" s="25">
        <v>1005</v>
      </c>
      <c r="D235" t="s">
        <v>1215</v>
      </c>
      <c r="E235" t="s">
        <v>1215</v>
      </c>
      <c r="F235" s="25">
        <v>640002</v>
      </c>
      <c r="G235" t="s">
        <v>1216</v>
      </c>
    </row>
    <row r="236" s="6" customFormat="1" spans="1:7">
      <c r="A236" s="35">
        <v>1001</v>
      </c>
      <c r="B236" s="35">
        <v>7</v>
      </c>
      <c r="C236" s="35">
        <v>1005</v>
      </c>
      <c r="D236" s="6" t="s">
        <v>1217</v>
      </c>
      <c r="E236" s="6" t="s">
        <v>1217</v>
      </c>
      <c r="F236" s="35">
        <v>630089</v>
      </c>
      <c r="G236" s="6" t="s">
        <v>1218</v>
      </c>
    </row>
    <row r="237" s="6" customFormat="1" spans="1:7">
      <c r="A237" s="35">
        <v>1001</v>
      </c>
      <c r="B237" s="35">
        <v>7</v>
      </c>
      <c r="C237" s="35">
        <v>1005</v>
      </c>
      <c r="D237" s="6" t="s">
        <v>1219</v>
      </c>
      <c r="E237" s="6" t="s">
        <v>1219</v>
      </c>
      <c r="F237" s="35">
        <v>630090</v>
      </c>
      <c r="G237" s="6" t="s">
        <v>1220</v>
      </c>
    </row>
    <row r="238" spans="1:7">
      <c r="A238" s="25">
        <v>1001</v>
      </c>
      <c r="B238" s="25">
        <v>7</v>
      </c>
      <c r="C238" s="25">
        <v>1005</v>
      </c>
      <c r="D238" t="s">
        <v>1221</v>
      </c>
      <c r="E238" t="s">
        <v>1221</v>
      </c>
      <c r="F238" s="25">
        <v>630091</v>
      </c>
      <c r="G238" t="s">
        <v>1222</v>
      </c>
    </row>
    <row r="239" spans="1:7">
      <c r="A239" s="25">
        <v>1001</v>
      </c>
      <c r="B239" s="25">
        <v>7</v>
      </c>
      <c r="C239" s="25">
        <v>1005</v>
      </c>
      <c r="D239" t="s">
        <v>1223</v>
      </c>
      <c r="E239" t="s">
        <v>1223</v>
      </c>
      <c r="F239" s="25">
        <v>630092</v>
      </c>
      <c r="G239" t="s">
        <v>1224</v>
      </c>
    </row>
    <row r="240" spans="1:7">
      <c r="A240" s="25">
        <v>1001</v>
      </c>
      <c r="B240" s="25">
        <v>7</v>
      </c>
      <c r="C240" s="25">
        <v>1005</v>
      </c>
      <c r="D240" t="s">
        <v>1225</v>
      </c>
      <c r="E240" t="s">
        <v>1225</v>
      </c>
      <c r="F240" s="25">
        <v>630093</v>
      </c>
      <c r="G240" t="s">
        <v>1226</v>
      </c>
    </row>
    <row r="241" spans="1:7">
      <c r="A241" s="25">
        <v>1001</v>
      </c>
      <c r="B241" s="25">
        <v>7</v>
      </c>
      <c r="C241" s="25">
        <v>1005</v>
      </c>
      <c r="D241" t="s">
        <v>1227</v>
      </c>
      <c r="E241" t="s">
        <v>1227</v>
      </c>
      <c r="F241" s="25">
        <v>630094</v>
      </c>
      <c r="G241" t="s">
        <v>1228</v>
      </c>
    </row>
    <row r="242" spans="1:7">
      <c r="A242" s="25">
        <v>1001</v>
      </c>
      <c r="B242" s="25">
        <v>7</v>
      </c>
      <c r="C242" s="25">
        <v>1005</v>
      </c>
      <c r="D242" t="s">
        <v>1229</v>
      </c>
      <c r="E242" t="s">
        <v>1229</v>
      </c>
      <c r="F242" s="25">
        <v>630095</v>
      </c>
      <c r="G242" t="s">
        <v>1230</v>
      </c>
    </row>
    <row r="243" spans="1:7">
      <c r="A243" s="25">
        <v>1001</v>
      </c>
      <c r="B243" s="25">
        <v>7</v>
      </c>
      <c r="C243" s="25">
        <v>1005</v>
      </c>
      <c r="D243" t="s">
        <v>1231</v>
      </c>
      <c r="E243" t="s">
        <v>1231</v>
      </c>
      <c r="F243" s="25">
        <v>630096</v>
      </c>
      <c r="G243" t="s">
        <v>1232</v>
      </c>
    </row>
    <row r="244" spans="1:7">
      <c r="A244" s="25">
        <v>1001</v>
      </c>
      <c r="B244" s="25">
        <v>7</v>
      </c>
      <c r="C244" s="25">
        <v>1005</v>
      </c>
      <c r="D244" t="s">
        <v>1233</v>
      </c>
      <c r="E244" t="s">
        <v>1233</v>
      </c>
      <c r="F244" s="25">
        <v>630097</v>
      </c>
      <c r="G244" t="s">
        <v>1234</v>
      </c>
    </row>
    <row r="245" spans="1:7">
      <c r="A245" s="25">
        <v>1001</v>
      </c>
      <c r="B245" s="25">
        <v>7</v>
      </c>
      <c r="C245" s="25">
        <v>1005</v>
      </c>
      <c r="D245" t="s">
        <v>1235</v>
      </c>
      <c r="E245" t="s">
        <v>1235</v>
      </c>
      <c r="F245" s="25">
        <v>630098</v>
      </c>
      <c r="G245" t="s">
        <v>1236</v>
      </c>
    </row>
    <row r="246" spans="1:7">
      <c r="A246" s="25">
        <v>1001</v>
      </c>
      <c r="B246" s="25">
        <v>7</v>
      </c>
      <c r="C246" s="25">
        <v>1005</v>
      </c>
      <c r="D246" t="s">
        <v>1237</v>
      </c>
      <c r="E246" t="s">
        <v>1237</v>
      </c>
      <c r="F246" s="25">
        <v>630099</v>
      </c>
      <c r="G246" t="s">
        <v>1238</v>
      </c>
    </row>
    <row r="247" spans="1:7">
      <c r="A247" s="25">
        <v>1001</v>
      </c>
      <c r="B247" s="25">
        <v>7</v>
      </c>
      <c r="C247" s="25">
        <v>1005</v>
      </c>
      <c r="D247" t="s">
        <v>1239</v>
      </c>
      <c r="E247" t="s">
        <v>1239</v>
      </c>
      <c r="F247" s="25">
        <v>630100</v>
      </c>
      <c r="G247" t="s">
        <v>1240</v>
      </c>
    </row>
    <row r="248" spans="1:7">
      <c r="A248" s="25">
        <v>1001</v>
      </c>
      <c r="B248" s="25">
        <v>7</v>
      </c>
      <c r="C248" s="25">
        <v>1005</v>
      </c>
      <c r="D248" t="s">
        <v>1241</v>
      </c>
      <c r="E248" t="s">
        <v>1241</v>
      </c>
      <c r="F248" s="25">
        <v>630101</v>
      </c>
      <c r="G248" t="s">
        <v>1242</v>
      </c>
    </row>
    <row r="249" spans="1:7">
      <c r="A249" s="25">
        <v>1001</v>
      </c>
      <c r="B249" s="25">
        <v>7</v>
      </c>
      <c r="C249" s="25">
        <v>1005</v>
      </c>
      <c r="D249" t="s">
        <v>1243</v>
      </c>
      <c r="E249" t="s">
        <v>1243</v>
      </c>
      <c r="F249" s="25">
        <v>630102</v>
      </c>
      <c r="G249" t="s">
        <v>1244</v>
      </c>
    </row>
    <row r="250" spans="1:7">
      <c r="A250" s="25">
        <v>1001</v>
      </c>
      <c r="B250" s="25">
        <v>7</v>
      </c>
      <c r="C250" s="25">
        <v>1005</v>
      </c>
      <c r="D250" t="s">
        <v>1245</v>
      </c>
      <c r="E250" t="s">
        <v>1245</v>
      </c>
      <c r="F250" s="25">
        <v>630103</v>
      </c>
      <c r="G250" t="s">
        <v>1246</v>
      </c>
    </row>
    <row r="251" s="4" customFormat="1" spans="1:7">
      <c r="A251" s="31">
        <v>1001</v>
      </c>
      <c r="B251" s="31">
        <v>1</v>
      </c>
      <c r="C251" s="31">
        <v>1001</v>
      </c>
      <c r="D251" s="4" t="s">
        <v>1247</v>
      </c>
      <c r="E251" s="4" t="s">
        <v>1248</v>
      </c>
      <c r="F251" s="25">
        <v>630104</v>
      </c>
      <c r="G251" s="4" t="s">
        <v>1249</v>
      </c>
    </row>
    <row r="252" s="4" customFormat="1" spans="1:7">
      <c r="A252" s="31">
        <v>1001</v>
      </c>
      <c r="B252" s="31">
        <v>1</v>
      </c>
      <c r="C252" s="31">
        <v>1001</v>
      </c>
      <c r="D252" s="4" t="s">
        <v>1250</v>
      </c>
      <c r="E252" s="4" t="s">
        <v>1251</v>
      </c>
      <c r="F252" s="25">
        <v>630105</v>
      </c>
      <c r="G252" s="4" t="s">
        <v>1252</v>
      </c>
    </row>
    <row r="253" s="4" customFormat="1" spans="1:7">
      <c r="A253" s="31">
        <v>1001</v>
      </c>
      <c r="B253" s="31">
        <v>1</v>
      </c>
      <c r="C253" s="31">
        <v>1001</v>
      </c>
      <c r="D253" s="4" t="s">
        <v>1253</v>
      </c>
      <c r="E253" s="4" t="s">
        <v>1247</v>
      </c>
      <c r="F253" s="31">
        <v>615001</v>
      </c>
      <c r="G253" s="4" t="s">
        <v>1254</v>
      </c>
    </row>
    <row r="254" s="4" customFormat="1" spans="1:7">
      <c r="A254" s="31">
        <v>1001</v>
      </c>
      <c r="B254" s="31">
        <v>1</v>
      </c>
      <c r="C254" s="31">
        <v>1001</v>
      </c>
      <c r="D254" s="4" t="s">
        <v>1255</v>
      </c>
      <c r="E254" s="4" t="s">
        <v>1250</v>
      </c>
      <c r="F254" s="31">
        <v>615002</v>
      </c>
      <c r="G254" s="4" t="s">
        <v>1256</v>
      </c>
    </row>
    <row r="255" spans="1:7">
      <c r="A255" s="25">
        <v>1001</v>
      </c>
      <c r="B255" s="25">
        <v>1</v>
      </c>
      <c r="C255" s="25">
        <v>1001</v>
      </c>
      <c r="D255" s="36" t="s">
        <v>1257</v>
      </c>
      <c r="E255" s="4" t="s">
        <v>1253</v>
      </c>
      <c r="F255" s="31">
        <v>615003</v>
      </c>
      <c r="G255" t="s">
        <v>1258</v>
      </c>
    </row>
    <row r="256" spans="1:7">
      <c r="A256" s="25">
        <v>1001</v>
      </c>
      <c r="B256" s="25">
        <v>1</v>
      </c>
      <c r="C256" s="25">
        <v>1001</v>
      </c>
      <c r="D256" s="36" t="s">
        <v>1259</v>
      </c>
      <c r="E256" s="4" t="s">
        <v>1255</v>
      </c>
      <c r="F256" s="31">
        <v>615004</v>
      </c>
      <c r="G256" t="s">
        <v>1260</v>
      </c>
    </row>
    <row r="257" spans="1:7">
      <c r="A257" s="25">
        <v>1001</v>
      </c>
      <c r="B257" s="25">
        <v>1</v>
      </c>
      <c r="C257" s="25">
        <v>1001</v>
      </c>
      <c r="D257" s="36" t="s">
        <v>1261</v>
      </c>
      <c r="E257" s="27" t="s">
        <v>1257</v>
      </c>
      <c r="F257" s="25">
        <v>233007</v>
      </c>
      <c r="G257" t="s">
        <v>1262</v>
      </c>
    </row>
    <row r="258" spans="1:7">
      <c r="A258" s="25">
        <v>1001</v>
      </c>
      <c r="B258" s="25">
        <v>1</v>
      </c>
      <c r="C258" s="25">
        <v>1001</v>
      </c>
      <c r="D258" s="36" t="s">
        <v>1263</v>
      </c>
      <c r="E258" s="27" t="s">
        <v>1259</v>
      </c>
      <c r="F258" s="25">
        <v>233008</v>
      </c>
      <c r="G258" t="s">
        <v>1264</v>
      </c>
    </row>
    <row r="259" spans="1:7">
      <c r="A259" s="25">
        <v>1001</v>
      </c>
      <c r="B259" s="25">
        <v>1</v>
      </c>
      <c r="C259" s="25">
        <v>1001</v>
      </c>
      <c r="D259" s="36" t="s">
        <v>1265</v>
      </c>
      <c r="E259" s="27" t="s">
        <v>1261</v>
      </c>
      <c r="F259" s="25">
        <v>233009</v>
      </c>
      <c r="G259" t="s">
        <v>1266</v>
      </c>
    </row>
    <row r="260" spans="1:7">
      <c r="A260" s="25">
        <v>1001</v>
      </c>
      <c r="B260" s="25">
        <v>1</v>
      </c>
      <c r="C260" s="25">
        <v>1001</v>
      </c>
      <c r="D260" s="36" t="s">
        <v>1267</v>
      </c>
      <c r="E260" s="27" t="s">
        <v>1263</v>
      </c>
      <c r="F260" s="25">
        <v>233010</v>
      </c>
      <c r="G260" t="s">
        <v>1268</v>
      </c>
    </row>
    <row r="261" spans="1:7">
      <c r="A261" s="25">
        <v>1001</v>
      </c>
      <c r="B261" s="25">
        <v>1</v>
      </c>
      <c r="C261" s="25">
        <v>1001</v>
      </c>
      <c r="D261" s="36" t="s">
        <v>1269</v>
      </c>
      <c r="E261" s="27" t="s">
        <v>1265</v>
      </c>
      <c r="F261" s="25">
        <v>233011</v>
      </c>
      <c r="G261" t="s">
        <v>1270</v>
      </c>
    </row>
    <row r="262" spans="1:7">
      <c r="A262" s="25">
        <v>1001</v>
      </c>
      <c r="B262" s="25">
        <v>1</v>
      </c>
      <c r="C262" s="25">
        <v>1001</v>
      </c>
      <c r="D262" s="36" t="s">
        <v>1271</v>
      </c>
      <c r="E262" s="27" t="s">
        <v>1267</v>
      </c>
      <c r="F262" s="25">
        <v>233012</v>
      </c>
      <c r="G262" t="s">
        <v>1272</v>
      </c>
    </row>
    <row r="263" spans="1:7">
      <c r="A263" s="25">
        <v>1001</v>
      </c>
      <c r="B263" s="25">
        <v>1</v>
      </c>
      <c r="C263" s="25">
        <v>1001</v>
      </c>
      <c r="D263" s="36" t="s">
        <v>1273</v>
      </c>
      <c r="E263" s="27" t="s">
        <v>1269</v>
      </c>
      <c r="F263" s="25">
        <v>233013</v>
      </c>
      <c r="G263" t="s">
        <v>1274</v>
      </c>
    </row>
    <row r="264" spans="1:7">
      <c r="A264" s="25">
        <v>1001</v>
      </c>
      <c r="B264" s="25">
        <v>1</v>
      </c>
      <c r="C264" s="25">
        <v>1001</v>
      </c>
      <c r="D264" s="36" t="s">
        <v>1275</v>
      </c>
      <c r="E264" s="27" t="s">
        <v>1271</v>
      </c>
      <c r="F264" s="25">
        <v>233014</v>
      </c>
      <c r="G264" t="s">
        <v>1276</v>
      </c>
    </row>
    <row r="265" spans="1:7">
      <c r="A265" s="25">
        <v>1001</v>
      </c>
      <c r="B265" s="25">
        <v>1</v>
      </c>
      <c r="C265" s="25">
        <v>1001</v>
      </c>
      <c r="D265" s="36" t="s">
        <v>1277</v>
      </c>
      <c r="E265" s="27" t="s">
        <v>1273</v>
      </c>
      <c r="F265" s="25">
        <v>233015</v>
      </c>
      <c r="G265" t="s">
        <v>1278</v>
      </c>
    </row>
    <row r="266" spans="1:7">
      <c r="A266" s="25">
        <v>1001</v>
      </c>
      <c r="B266" s="25">
        <v>1</v>
      </c>
      <c r="C266" s="25">
        <v>1001</v>
      </c>
      <c r="D266" s="36" t="s">
        <v>1279</v>
      </c>
      <c r="E266" s="27" t="s">
        <v>1275</v>
      </c>
      <c r="F266" s="25">
        <v>233016</v>
      </c>
      <c r="G266" t="s">
        <v>1280</v>
      </c>
    </row>
    <row r="267" spans="1:7">
      <c r="A267" s="25">
        <v>1001</v>
      </c>
      <c r="B267" s="25">
        <v>1</v>
      </c>
      <c r="C267" s="25">
        <v>1001</v>
      </c>
      <c r="D267" s="36" t="s">
        <v>1281</v>
      </c>
      <c r="E267" s="27" t="s">
        <v>1277</v>
      </c>
      <c r="F267" s="25">
        <v>233017</v>
      </c>
      <c r="G267" t="s">
        <v>1282</v>
      </c>
    </row>
    <row r="268" spans="1:7">
      <c r="A268" s="25">
        <v>1001</v>
      </c>
      <c r="B268" s="25">
        <v>1</v>
      </c>
      <c r="C268" s="25">
        <v>1001</v>
      </c>
      <c r="D268" s="36" t="s">
        <v>1283</v>
      </c>
      <c r="E268" s="27" t="s">
        <v>1279</v>
      </c>
      <c r="F268" s="25">
        <v>233018</v>
      </c>
      <c r="G268" t="s">
        <v>1284</v>
      </c>
    </row>
    <row r="269" spans="1:7">
      <c r="A269" s="25">
        <v>1001</v>
      </c>
      <c r="B269" s="25">
        <v>1</v>
      </c>
      <c r="C269" s="25">
        <v>1001</v>
      </c>
      <c r="D269" s="36" t="s">
        <v>1285</v>
      </c>
      <c r="E269" s="27" t="s">
        <v>1281</v>
      </c>
      <c r="F269" s="25">
        <v>233019</v>
      </c>
      <c r="G269" t="s">
        <v>1286</v>
      </c>
    </row>
    <row r="270" spans="1:7">
      <c r="A270" s="25">
        <v>1001</v>
      </c>
      <c r="B270" s="25">
        <v>1</v>
      </c>
      <c r="C270" s="25">
        <v>1001</v>
      </c>
      <c r="D270" s="36" t="s">
        <v>1287</v>
      </c>
      <c r="E270" s="27" t="s">
        <v>1283</v>
      </c>
      <c r="F270" s="25">
        <v>233020</v>
      </c>
      <c r="G270" t="s">
        <v>1288</v>
      </c>
    </row>
    <row r="271" spans="1:7">
      <c r="A271" s="25">
        <v>1001</v>
      </c>
      <c r="B271" s="25">
        <v>1</v>
      </c>
      <c r="C271" s="25">
        <v>1001</v>
      </c>
      <c r="D271" s="36" t="s">
        <v>1289</v>
      </c>
      <c r="E271" s="27" t="s">
        <v>1285</v>
      </c>
      <c r="F271" s="25">
        <v>233021</v>
      </c>
      <c r="G271" t="s">
        <v>1290</v>
      </c>
    </row>
    <row r="272" spans="1:7">
      <c r="A272" s="25">
        <v>1001</v>
      </c>
      <c r="B272" s="25">
        <v>1</v>
      </c>
      <c r="C272" s="25">
        <v>1001</v>
      </c>
      <c r="D272" s="36" t="s">
        <v>1291</v>
      </c>
      <c r="E272" s="27" t="s">
        <v>1287</v>
      </c>
      <c r="F272" s="25">
        <v>233022</v>
      </c>
      <c r="G272" t="s">
        <v>1292</v>
      </c>
    </row>
    <row r="273" spans="1:7">
      <c r="A273" s="25">
        <v>1001</v>
      </c>
      <c r="B273" s="25">
        <v>1</v>
      </c>
      <c r="C273" s="25">
        <v>1001</v>
      </c>
      <c r="D273" s="36" t="s">
        <v>1293</v>
      </c>
      <c r="E273" s="27" t="s">
        <v>1289</v>
      </c>
      <c r="F273" s="25">
        <v>233023</v>
      </c>
      <c r="G273" t="s">
        <v>1294</v>
      </c>
    </row>
    <row r="274" spans="1:7">
      <c r="A274" s="25">
        <v>1001</v>
      </c>
      <c r="B274" s="25">
        <v>1</v>
      </c>
      <c r="C274" s="25">
        <v>1001</v>
      </c>
      <c r="D274" s="36" t="s">
        <v>1295</v>
      </c>
      <c r="E274" s="27" t="s">
        <v>1291</v>
      </c>
      <c r="F274" s="25">
        <v>233024</v>
      </c>
      <c r="G274" t="s">
        <v>1296</v>
      </c>
    </row>
    <row r="275" spans="1:7">
      <c r="A275" s="25">
        <v>1001</v>
      </c>
      <c r="B275" s="25">
        <v>1</v>
      </c>
      <c r="C275" s="25">
        <v>1001</v>
      </c>
      <c r="D275" s="36" t="s">
        <v>1297</v>
      </c>
      <c r="E275" s="27" t="s">
        <v>1293</v>
      </c>
      <c r="F275" s="25">
        <v>233025</v>
      </c>
      <c r="G275" t="s">
        <v>1298</v>
      </c>
    </row>
    <row r="276" spans="1:7">
      <c r="A276" s="25">
        <v>1001</v>
      </c>
      <c r="B276" s="25">
        <v>1</v>
      </c>
      <c r="C276" s="25">
        <v>1001</v>
      </c>
      <c r="D276" s="36" t="s">
        <v>1299</v>
      </c>
      <c r="E276" s="27" t="s">
        <v>1295</v>
      </c>
      <c r="F276" s="25">
        <v>233026</v>
      </c>
      <c r="G276" t="s">
        <v>1300</v>
      </c>
    </row>
    <row r="277" spans="1:7">
      <c r="A277" s="25">
        <v>1001</v>
      </c>
      <c r="B277" s="25">
        <v>1</v>
      </c>
      <c r="C277" s="25">
        <v>1001</v>
      </c>
      <c r="D277" s="36" t="s">
        <v>1301</v>
      </c>
      <c r="E277" s="27" t="s">
        <v>1297</v>
      </c>
      <c r="F277" s="25">
        <v>233027</v>
      </c>
      <c r="G277" t="s">
        <v>1302</v>
      </c>
    </row>
    <row r="278" spans="1:7">
      <c r="A278" s="25">
        <v>1001</v>
      </c>
      <c r="B278" s="25">
        <v>1</v>
      </c>
      <c r="C278" s="25">
        <v>1001</v>
      </c>
      <c r="D278" s="36" t="s">
        <v>1303</v>
      </c>
      <c r="E278" s="36" t="s">
        <v>1299</v>
      </c>
      <c r="F278" s="25">
        <v>233028</v>
      </c>
      <c r="G278" t="s">
        <v>1304</v>
      </c>
    </row>
    <row r="279" spans="1:7">
      <c r="A279" s="25">
        <v>1001</v>
      </c>
      <c r="B279" s="25">
        <v>1</v>
      </c>
      <c r="C279" s="25">
        <v>1001</v>
      </c>
      <c r="D279" t="s">
        <v>1305</v>
      </c>
      <c r="E279" s="36" t="s">
        <v>1301</v>
      </c>
      <c r="F279" s="25">
        <v>233029</v>
      </c>
      <c r="G279" t="s">
        <v>1306</v>
      </c>
    </row>
    <row r="280" spans="1:7">
      <c r="A280" s="25">
        <v>1001</v>
      </c>
      <c r="B280" s="25">
        <v>1</v>
      </c>
      <c r="C280" s="25">
        <v>1001</v>
      </c>
      <c r="D280" t="s">
        <v>1307</v>
      </c>
      <c r="E280" s="36" t="s">
        <v>1303</v>
      </c>
      <c r="F280" s="25">
        <v>233030</v>
      </c>
      <c r="G280" t="s">
        <v>1308</v>
      </c>
    </row>
    <row r="281" spans="1:7">
      <c r="A281" s="25">
        <v>1001</v>
      </c>
      <c r="B281" s="25">
        <v>1</v>
      </c>
      <c r="C281" s="25">
        <v>1001</v>
      </c>
      <c r="D281" t="s">
        <v>1309</v>
      </c>
      <c r="E281" t="s">
        <v>1305</v>
      </c>
      <c r="F281" s="25">
        <v>233031</v>
      </c>
      <c r="G281" t="s">
        <v>1310</v>
      </c>
    </row>
    <row r="282" spans="1:7">
      <c r="A282" s="25">
        <v>1001</v>
      </c>
      <c r="B282" s="25">
        <v>1</v>
      </c>
      <c r="C282" s="25">
        <v>1001</v>
      </c>
      <c r="D282" t="s">
        <v>1311</v>
      </c>
      <c r="E282" t="s">
        <v>1307</v>
      </c>
      <c r="F282" s="25">
        <v>233032</v>
      </c>
      <c r="G282" t="s">
        <v>1312</v>
      </c>
    </row>
    <row r="283" spans="1:7">
      <c r="A283" s="25">
        <v>1001</v>
      </c>
      <c r="B283" s="25">
        <v>1</v>
      </c>
      <c r="C283" s="25">
        <v>1001</v>
      </c>
      <c r="D283" t="s">
        <v>1313</v>
      </c>
      <c r="E283" t="s">
        <v>1309</v>
      </c>
      <c r="F283" s="25">
        <v>233033</v>
      </c>
      <c r="G283" t="s">
        <v>1314</v>
      </c>
    </row>
    <row r="284" spans="1:7">
      <c r="A284" s="25">
        <v>1001</v>
      </c>
      <c r="B284" s="25">
        <v>1</v>
      </c>
      <c r="C284" s="25">
        <v>1001</v>
      </c>
      <c r="D284" t="s">
        <v>1315</v>
      </c>
      <c r="E284" t="s">
        <v>1311</v>
      </c>
      <c r="F284" s="25">
        <v>233034</v>
      </c>
      <c r="G284" t="s">
        <v>1316</v>
      </c>
    </row>
    <row r="285" spans="1:7">
      <c r="A285" s="25">
        <v>1001</v>
      </c>
      <c r="B285" s="25">
        <v>1</v>
      </c>
      <c r="C285" s="25">
        <v>1001</v>
      </c>
      <c r="D285" t="s">
        <v>1317</v>
      </c>
      <c r="E285" t="s">
        <v>1313</v>
      </c>
      <c r="F285" s="25">
        <v>233035</v>
      </c>
      <c r="G285" t="s">
        <v>1318</v>
      </c>
    </row>
    <row r="286" spans="1:7">
      <c r="A286" s="25">
        <v>1001</v>
      </c>
      <c r="B286" s="25">
        <v>1</v>
      </c>
      <c r="C286" s="25">
        <v>1001</v>
      </c>
      <c r="D286" t="s">
        <v>1319</v>
      </c>
      <c r="E286" t="s">
        <v>1315</v>
      </c>
      <c r="F286" s="25">
        <v>233036</v>
      </c>
      <c r="G286" t="s">
        <v>1320</v>
      </c>
    </row>
    <row r="287" spans="1:7">
      <c r="A287" s="25">
        <v>1001</v>
      </c>
      <c r="B287" s="25">
        <v>1</v>
      </c>
      <c r="C287" s="25">
        <v>1001</v>
      </c>
      <c r="D287" t="s">
        <v>1321</v>
      </c>
      <c r="E287" t="s">
        <v>1317</v>
      </c>
      <c r="F287" s="25">
        <v>233037</v>
      </c>
      <c r="G287" t="s">
        <v>1322</v>
      </c>
    </row>
    <row r="288" spans="1:7">
      <c r="A288" s="25">
        <v>1001</v>
      </c>
      <c r="B288" s="25">
        <v>1</v>
      </c>
      <c r="C288" s="25">
        <v>1001</v>
      </c>
      <c r="D288" t="s">
        <v>1323</v>
      </c>
      <c r="E288" t="s">
        <v>1319</v>
      </c>
      <c r="F288" s="25">
        <v>233038</v>
      </c>
      <c r="G288" t="s">
        <v>1324</v>
      </c>
    </row>
    <row r="289" spans="1:7">
      <c r="A289" s="25">
        <v>1001</v>
      </c>
      <c r="B289" s="25">
        <v>1</v>
      </c>
      <c r="C289" s="25">
        <v>1001</v>
      </c>
      <c r="D289" t="s">
        <v>1325</v>
      </c>
      <c r="E289" t="s">
        <v>1321</v>
      </c>
      <c r="F289" s="25">
        <v>233039</v>
      </c>
      <c r="G289" t="s">
        <v>1326</v>
      </c>
    </row>
    <row r="290" spans="1:7">
      <c r="A290" s="25">
        <v>1001</v>
      </c>
      <c r="B290" s="25">
        <v>1</v>
      </c>
      <c r="C290" s="25">
        <v>1001</v>
      </c>
      <c r="D290" t="s">
        <v>1327</v>
      </c>
      <c r="E290" t="s">
        <v>1323</v>
      </c>
      <c r="F290" s="25">
        <v>233040</v>
      </c>
      <c r="G290" t="s">
        <v>1328</v>
      </c>
    </row>
    <row r="291" spans="1:7">
      <c r="A291" s="25">
        <v>1001</v>
      </c>
      <c r="B291" s="25">
        <v>1</v>
      </c>
      <c r="C291" s="25">
        <v>1001</v>
      </c>
      <c r="D291" t="s">
        <v>1329</v>
      </c>
      <c r="E291" t="s">
        <v>1325</v>
      </c>
      <c r="F291" s="25">
        <v>233041</v>
      </c>
      <c r="G291" t="s">
        <v>1330</v>
      </c>
    </row>
    <row r="292" spans="1:7">
      <c r="A292" s="25">
        <v>1001</v>
      </c>
      <c r="B292" s="25">
        <v>1</v>
      </c>
      <c r="C292" s="25">
        <v>1001</v>
      </c>
      <c r="D292" t="s">
        <v>1331</v>
      </c>
      <c r="E292" t="s">
        <v>1327</v>
      </c>
      <c r="F292" s="25">
        <v>233042</v>
      </c>
      <c r="G292" t="s">
        <v>1332</v>
      </c>
    </row>
    <row r="293" spans="1:7">
      <c r="A293" s="25">
        <v>1001</v>
      </c>
      <c r="B293" s="25">
        <v>1</v>
      </c>
      <c r="C293" s="25">
        <v>1001</v>
      </c>
      <c r="D293" t="s">
        <v>1333</v>
      </c>
      <c r="E293" t="s">
        <v>1329</v>
      </c>
      <c r="F293" s="25">
        <v>233043</v>
      </c>
      <c r="G293" t="s">
        <v>1334</v>
      </c>
    </row>
    <row r="294" spans="1:7">
      <c r="A294" s="25">
        <v>1001</v>
      </c>
      <c r="B294" s="25">
        <v>1</v>
      </c>
      <c r="C294" s="25">
        <v>1001</v>
      </c>
      <c r="D294" t="s">
        <v>1335</v>
      </c>
      <c r="E294" t="s">
        <v>1331</v>
      </c>
      <c r="F294" s="25">
        <v>233044</v>
      </c>
      <c r="G294" t="s">
        <v>1336</v>
      </c>
    </row>
    <row r="295" spans="1:7">
      <c r="A295" s="25">
        <v>1001</v>
      </c>
      <c r="B295" s="25">
        <v>1</v>
      </c>
      <c r="C295" s="25">
        <v>1001</v>
      </c>
      <c r="D295" t="s">
        <v>1337</v>
      </c>
      <c r="E295" t="s">
        <v>1333</v>
      </c>
      <c r="F295" s="25">
        <v>233045</v>
      </c>
      <c r="G295" t="s">
        <v>1338</v>
      </c>
    </row>
    <row r="296" spans="1:7">
      <c r="A296" s="25">
        <v>1001</v>
      </c>
      <c r="B296" s="25">
        <v>1</v>
      </c>
      <c r="C296" s="25">
        <v>1001</v>
      </c>
      <c r="D296" t="s">
        <v>1339</v>
      </c>
      <c r="E296" t="s">
        <v>1335</v>
      </c>
      <c r="F296" s="25">
        <v>233046</v>
      </c>
      <c r="G296" t="s">
        <v>1340</v>
      </c>
    </row>
    <row r="297" spans="1:7">
      <c r="A297" s="25">
        <v>1001</v>
      </c>
      <c r="B297" s="25">
        <v>1</v>
      </c>
      <c r="C297" s="25">
        <v>1001</v>
      </c>
      <c r="D297" t="s">
        <v>1341</v>
      </c>
      <c r="E297" t="s">
        <v>1337</v>
      </c>
      <c r="F297" s="25">
        <v>233047</v>
      </c>
      <c r="G297" t="s">
        <v>1342</v>
      </c>
    </row>
    <row r="298" spans="1:7">
      <c r="A298" s="25">
        <v>1001</v>
      </c>
      <c r="B298" s="25">
        <v>1</v>
      </c>
      <c r="C298" s="25">
        <v>1001</v>
      </c>
      <c r="D298" t="s">
        <v>1343</v>
      </c>
      <c r="E298" t="s">
        <v>1339</v>
      </c>
      <c r="F298" s="25">
        <v>233048</v>
      </c>
      <c r="G298" t="s">
        <v>1344</v>
      </c>
    </row>
    <row r="299" spans="1:7">
      <c r="A299" s="25">
        <v>1001</v>
      </c>
      <c r="B299" s="25">
        <v>1</v>
      </c>
      <c r="C299" s="25">
        <v>1001</v>
      </c>
      <c r="D299" t="s">
        <v>1345</v>
      </c>
      <c r="E299" t="s">
        <v>1341</v>
      </c>
      <c r="F299" s="25">
        <v>233049</v>
      </c>
      <c r="G299" t="s">
        <v>1346</v>
      </c>
    </row>
    <row r="300" spans="1:7">
      <c r="A300" s="25">
        <v>1001</v>
      </c>
      <c r="B300" s="25">
        <v>1</v>
      </c>
      <c r="C300" s="25">
        <v>1001</v>
      </c>
      <c r="D300" t="s">
        <v>1347</v>
      </c>
      <c r="E300" t="s">
        <v>1343</v>
      </c>
      <c r="F300" s="25">
        <v>233050</v>
      </c>
      <c r="G300" t="s">
        <v>1348</v>
      </c>
    </row>
    <row r="301" spans="1:7">
      <c r="A301" s="25">
        <v>1001</v>
      </c>
      <c r="B301" s="25">
        <v>1</v>
      </c>
      <c r="C301" s="25">
        <v>1001</v>
      </c>
      <c r="D301" t="s">
        <v>1349</v>
      </c>
      <c r="E301" t="s">
        <v>1345</v>
      </c>
      <c r="F301" s="25">
        <v>233051</v>
      </c>
      <c r="G301" t="s">
        <v>1350</v>
      </c>
    </row>
    <row r="302" spans="1:7">
      <c r="A302" s="25">
        <v>1001</v>
      </c>
      <c r="B302" s="25">
        <v>1</v>
      </c>
      <c r="C302" s="25">
        <v>1001</v>
      </c>
      <c r="D302" t="s">
        <v>1351</v>
      </c>
      <c r="E302" t="s">
        <v>1347</v>
      </c>
      <c r="F302" s="25">
        <v>233052</v>
      </c>
      <c r="G302" t="s">
        <v>1352</v>
      </c>
    </row>
    <row r="303" spans="1:7">
      <c r="A303" s="25">
        <v>1001</v>
      </c>
      <c r="B303" s="25">
        <v>1</v>
      </c>
      <c r="C303" s="25">
        <v>1001</v>
      </c>
      <c r="D303" s="37" t="s">
        <v>1353</v>
      </c>
      <c r="E303" t="s">
        <v>1349</v>
      </c>
      <c r="F303" s="25">
        <v>233053</v>
      </c>
      <c r="G303" t="s">
        <v>1354</v>
      </c>
    </row>
    <row r="304" spans="1:7">
      <c r="A304" s="25">
        <v>1001</v>
      </c>
      <c r="B304" s="25">
        <v>1</v>
      </c>
      <c r="C304" s="25">
        <v>1001</v>
      </c>
      <c r="D304" s="37" t="s">
        <v>1355</v>
      </c>
      <c r="E304" t="s">
        <v>1351</v>
      </c>
      <c r="F304" s="25">
        <v>233054</v>
      </c>
      <c r="G304" t="s">
        <v>1356</v>
      </c>
    </row>
    <row r="305" spans="1:7">
      <c r="A305" s="25">
        <v>1001</v>
      </c>
      <c r="B305" s="25">
        <v>1</v>
      </c>
      <c r="C305" s="25">
        <v>1001</v>
      </c>
      <c r="D305" s="37" t="s">
        <v>1357</v>
      </c>
      <c r="E305" s="37" t="s">
        <v>1353</v>
      </c>
      <c r="F305" s="25">
        <v>233055</v>
      </c>
      <c r="G305" t="s">
        <v>1358</v>
      </c>
    </row>
    <row r="306" s="7" customFormat="1" spans="1:7">
      <c r="A306" s="38">
        <v>1001</v>
      </c>
      <c r="B306" s="38">
        <v>1</v>
      </c>
      <c r="C306" s="38">
        <v>1001</v>
      </c>
      <c r="D306" s="39" t="s">
        <v>1359</v>
      </c>
      <c r="E306" s="37" t="s">
        <v>1355</v>
      </c>
      <c r="F306" s="25">
        <v>233056</v>
      </c>
      <c r="G306" s="7" t="s">
        <v>1360</v>
      </c>
    </row>
    <row r="307" s="7" customFormat="1" spans="1:7">
      <c r="A307" s="38">
        <v>1001</v>
      </c>
      <c r="B307" s="38">
        <v>1</v>
      </c>
      <c r="C307" s="38">
        <v>1001</v>
      </c>
      <c r="D307" s="39" t="s">
        <v>1361</v>
      </c>
      <c r="E307" s="37" t="s">
        <v>1357</v>
      </c>
      <c r="F307" s="25">
        <v>233057</v>
      </c>
      <c r="G307" s="7" t="s">
        <v>1362</v>
      </c>
    </row>
    <row r="308" s="7" customFormat="1" spans="1:7">
      <c r="A308" s="38">
        <v>1001</v>
      </c>
      <c r="B308" s="38">
        <v>1</v>
      </c>
      <c r="C308" s="38">
        <v>1001</v>
      </c>
      <c r="D308" s="39" t="s">
        <v>1363</v>
      </c>
      <c r="E308" s="40" t="s">
        <v>1364</v>
      </c>
      <c r="F308" s="38">
        <v>211018</v>
      </c>
      <c r="G308" s="7" t="s">
        <v>1365</v>
      </c>
    </row>
    <row r="309" s="7" customFormat="1" spans="1:7">
      <c r="A309" s="38">
        <v>1001</v>
      </c>
      <c r="B309" s="38">
        <v>1</v>
      </c>
      <c r="C309" s="38">
        <v>1001</v>
      </c>
      <c r="D309" s="39" t="s">
        <v>1366</v>
      </c>
      <c r="E309" s="40" t="s">
        <v>1364</v>
      </c>
      <c r="F309" s="38">
        <v>212018</v>
      </c>
      <c r="G309" s="7" t="s">
        <v>1367</v>
      </c>
    </row>
    <row r="310" s="7" customFormat="1" spans="1:7">
      <c r="A310" s="38">
        <v>1001</v>
      </c>
      <c r="B310" s="38">
        <v>1</v>
      </c>
      <c r="C310" s="38">
        <v>1001</v>
      </c>
      <c r="D310" s="39" t="s">
        <v>1368</v>
      </c>
      <c r="E310" s="40" t="s">
        <v>1364</v>
      </c>
      <c r="F310" s="38">
        <v>213018</v>
      </c>
      <c r="G310" s="7" t="s">
        <v>1369</v>
      </c>
    </row>
    <row r="311" s="7" customFormat="1" spans="1:7">
      <c r="A311" s="38">
        <v>1001</v>
      </c>
      <c r="B311" s="38">
        <v>1</v>
      </c>
      <c r="C311" s="38">
        <v>1001</v>
      </c>
      <c r="D311" s="39" t="s">
        <v>1370</v>
      </c>
      <c r="E311" s="40" t="s">
        <v>1364</v>
      </c>
      <c r="F311" s="38">
        <v>214018</v>
      </c>
      <c r="G311" s="7" t="s">
        <v>1371</v>
      </c>
    </row>
    <row r="312" s="7" customFormat="1" spans="1:7">
      <c r="A312" s="38">
        <v>1001</v>
      </c>
      <c r="B312" s="38">
        <v>1</v>
      </c>
      <c r="C312" s="38">
        <v>1001</v>
      </c>
      <c r="D312" s="39" t="s">
        <v>1372</v>
      </c>
      <c r="E312" s="40" t="s">
        <v>1364</v>
      </c>
      <c r="F312" s="38">
        <v>215018</v>
      </c>
      <c r="G312" s="7" t="s">
        <v>1373</v>
      </c>
    </row>
    <row r="313" s="7" customFormat="1" spans="1:7">
      <c r="A313" s="38">
        <v>1001</v>
      </c>
      <c r="B313" s="38">
        <v>1</v>
      </c>
      <c r="C313" s="38">
        <v>1001</v>
      </c>
      <c r="D313" s="39" t="s">
        <v>1374</v>
      </c>
      <c r="E313" s="40" t="s">
        <v>1364</v>
      </c>
      <c r="F313" s="38">
        <v>216018</v>
      </c>
      <c r="G313" s="7" t="s">
        <v>1375</v>
      </c>
    </row>
    <row r="314" s="7" customFormat="1" spans="1:7">
      <c r="A314" s="38">
        <v>1001</v>
      </c>
      <c r="B314" s="38">
        <v>1</v>
      </c>
      <c r="C314" s="38">
        <v>1001</v>
      </c>
      <c r="D314" s="39" t="s">
        <v>1376</v>
      </c>
      <c r="E314" s="40" t="s">
        <v>1364</v>
      </c>
      <c r="F314" s="38">
        <v>217018</v>
      </c>
      <c r="G314" s="7" t="s">
        <v>1377</v>
      </c>
    </row>
    <row r="315" s="7" customFormat="1" spans="1:7">
      <c r="A315" s="38">
        <v>1001</v>
      </c>
      <c r="B315" s="38">
        <v>1</v>
      </c>
      <c r="C315" s="38">
        <v>1001</v>
      </c>
      <c r="D315" s="39" t="s">
        <v>1378</v>
      </c>
      <c r="E315" s="40" t="s">
        <v>1364</v>
      </c>
      <c r="F315" s="38">
        <v>218018</v>
      </c>
      <c r="G315" s="7" t="s">
        <v>1379</v>
      </c>
    </row>
    <row r="316" s="7" customFormat="1" spans="1:7">
      <c r="A316" s="38">
        <v>1001</v>
      </c>
      <c r="B316" s="38">
        <v>1</v>
      </c>
      <c r="C316" s="38">
        <v>1001</v>
      </c>
      <c r="D316" s="39" t="s">
        <v>1380</v>
      </c>
      <c r="E316" s="40" t="s">
        <v>1364</v>
      </c>
      <c r="F316" s="38">
        <v>219018</v>
      </c>
      <c r="G316" s="7" t="s">
        <v>1381</v>
      </c>
    </row>
    <row r="317" s="7" customFormat="1" spans="1:7">
      <c r="A317" s="38">
        <v>1001</v>
      </c>
      <c r="B317" s="38">
        <v>1</v>
      </c>
      <c r="C317" s="38">
        <v>1001</v>
      </c>
      <c r="D317" s="39" t="s">
        <v>1382</v>
      </c>
      <c r="E317" s="40" t="s">
        <v>1364</v>
      </c>
      <c r="F317" s="38">
        <v>210018</v>
      </c>
      <c r="G317" s="7" t="s">
        <v>1383</v>
      </c>
    </row>
    <row r="318" s="7" customFormat="1" spans="1:7">
      <c r="A318" s="38">
        <v>1001</v>
      </c>
      <c r="B318" s="38">
        <v>1</v>
      </c>
      <c r="C318" s="38">
        <v>1001</v>
      </c>
      <c r="D318" s="39" t="s">
        <v>1384</v>
      </c>
      <c r="E318" s="40" t="s">
        <v>1364</v>
      </c>
      <c r="F318" s="38">
        <v>210118</v>
      </c>
      <c r="G318" s="7" t="s">
        <v>1385</v>
      </c>
    </row>
    <row r="319" s="7" customFormat="1" spans="1:7">
      <c r="A319" s="38">
        <v>1001</v>
      </c>
      <c r="B319" s="38">
        <v>1</v>
      </c>
      <c r="C319" s="38">
        <v>1001</v>
      </c>
      <c r="D319" s="39" t="s">
        <v>1386</v>
      </c>
      <c r="E319" s="40" t="s">
        <v>1364</v>
      </c>
      <c r="F319" s="38">
        <v>210218</v>
      </c>
      <c r="G319" s="7" t="s">
        <v>1387</v>
      </c>
    </row>
    <row r="320" s="7" customFormat="1" spans="1:7">
      <c r="A320" s="38">
        <v>1001</v>
      </c>
      <c r="B320" s="38">
        <v>1</v>
      </c>
      <c r="C320" s="38">
        <v>1001</v>
      </c>
      <c r="D320" s="39" t="s">
        <v>1388</v>
      </c>
      <c r="E320" s="40" t="s">
        <v>1364</v>
      </c>
      <c r="F320" s="38">
        <v>210318</v>
      </c>
      <c r="G320" s="7" t="s">
        <v>1389</v>
      </c>
    </row>
    <row r="321" spans="1:7">
      <c r="A321" s="25">
        <v>1001</v>
      </c>
      <c r="B321" s="25">
        <v>1</v>
      </c>
      <c r="C321" s="25">
        <v>1001</v>
      </c>
      <c r="D321" s="36" t="s">
        <v>1390</v>
      </c>
      <c r="E321" s="40" t="s">
        <v>1364</v>
      </c>
      <c r="F321" s="38">
        <v>210418</v>
      </c>
      <c r="G321" t="s">
        <v>1391</v>
      </c>
    </row>
    <row r="322" s="7" customFormat="1" spans="1:7">
      <c r="A322" s="38">
        <v>1001</v>
      </c>
      <c r="B322" s="38">
        <v>1</v>
      </c>
      <c r="C322" s="38">
        <v>1001</v>
      </c>
      <c r="D322" s="39" t="s">
        <v>1392</v>
      </c>
      <c r="E322" s="40" t="s">
        <v>1364</v>
      </c>
      <c r="F322" s="38">
        <v>210518</v>
      </c>
      <c r="G322" s="7" t="s">
        <v>1393</v>
      </c>
    </row>
    <row r="323" s="7" customFormat="1" spans="1:7">
      <c r="A323" s="38">
        <v>1001</v>
      </c>
      <c r="B323" s="38">
        <v>1</v>
      </c>
      <c r="C323" s="38">
        <v>1001</v>
      </c>
      <c r="D323" s="39" t="s">
        <v>1394</v>
      </c>
      <c r="E323" s="27" t="s">
        <v>1364</v>
      </c>
      <c r="F323" s="25">
        <v>210618</v>
      </c>
      <c r="G323" s="7" t="s">
        <v>1395</v>
      </c>
    </row>
    <row r="324" s="7" customFormat="1" spans="1:7">
      <c r="A324" s="38">
        <v>1001</v>
      </c>
      <c r="B324" s="38">
        <v>1</v>
      </c>
      <c r="C324" s="38">
        <v>1001</v>
      </c>
      <c r="D324" s="39" t="s">
        <v>1396</v>
      </c>
      <c r="E324" s="40" t="s">
        <v>1397</v>
      </c>
      <c r="F324" s="38">
        <v>211019</v>
      </c>
      <c r="G324" s="7" t="s">
        <v>1398</v>
      </c>
    </row>
    <row r="325" s="7" customFormat="1" spans="1:7">
      <c r="A325" s="38">
        <v>1001</v>
      </c>
      <c r="B325" s="38">
        <v>1</v>
      </c>
      <c r="C325" s="38">
        <v>1001</v>
      </c>
      <c r="D325" s="39" t="s">
        <v>1399</v>
      </c>
      <c r="E325" s="40" t="s">
        <v>1397</v>
      </c>
      <c r="F325" s="38">
        <v>212019</v>
      </c>
      <c r="G325" s="7" t="s">
        <v>1400</v>
      </c>
    </row>
    <row r="326" s="7" customFormat="1" spans="1:7">
      <c r="A326" s="38">
        <v>1001</v>
      </c>
      <c r="B326" s="38">
        <v>1</v>
      </c>
      <c r="C326" s="38">
        <v>1001</v>
      </c>
      <c r="D326" s="39" t="s">
        <v>1401</v>
      </c>
      <c r="E326" s="40" t="s">
        <v>1397</v>
      </c>
      <c r="F326" s="38">
        <v>213019</v>
      </c>
      <c r="G326" s="7" t="s">
        <v>1402</v>
      </c>
    </row>
    <row r="327" s="7" customFormat="1" spans="1:7">
      <c r="A327" s="38">
        <v>1001</v>
      </c>
      <c r="B327" s="38">
        <v>1</v>
      </c>
      <c r="C327" s="38">
        <v>1001</v>
      </c>
      <c r="D327" s="39" t="s">
        <v>1403</v>
      </c>
      <c r="E327" s="40" t="s">
        <v>1397</v>
      </c>
      <c r="F327" s="38">
        <v>214019</v>
      </c>
      <c r="G327" s="7" t="s">
        <v>1404</v>
      </c>
    </row>
    <row r="328" s="7" customFormat="1" spans="1:7">
      <c r="A328" s="38">
        <v>1001</v>
      </c>
      <c r="B328" s="38">
        <v>1</v>
      </c>
      <c r="C328" s="38">
        <v>1001</v>
      </c>
      <c r="D328" s="39" t="s">
        <v>1405</v>
      </c>
      <c r="E328" s="40" t="s">
        <v>1397</v>
      </c>
      <c r="F328" s="38">
        <v>215019</v>
      </c>
      <c r="G328" s="7" t="s">
        <v>1406</v>
      </c>
    </row>
    <row r="329" s="7" customFormat="1" spans="1:7">
      <c r="A329" s="38">
        <v>1001</v>
      </c>
      <c r="B329" s="38">
        <v>1</v>
      </c>
      <c r="C329" s="38">
        <v>1001</v>
      </c>
      <c r="D329" s="39" t="s">
        <v>1407</v>
      </c>
      <c r="E329" s="40" t="s">
        <v>1397</v>
      </c>
      <c r="F329" s="38">
        <v>216019</v>
      </c>
      <c r="G329" s="7" t="s">
        <v>1408</v>
      </c>
    </row>
    <row r="330" s="7" customFormat="1" spans="1:7">
      <c r="A330" s="38">
        <v>1001</v>
      </c>
      <c r="B330" s="38">
        <v>1</v>
      </c>
      <c r="C330" s="38">
        <v>1001</v>
      </c>
      <c r="D330" s="39" t="s">
        <v>1409</v>
      </c>
      <c r="E330" s="40" t="s">
        <v>1397</v>
      </c>
      <c r="F330" s="38">
        <v>217019</v>
      </c>
      <c r="G330" s="7" t="s">
        <v>1410</v>
      </c>
    </row>
    <row r="331" s="7" customFormat="1" spans="1:7">
      <c r="A331" s="38">
        <v>1001</v>
      </c>
      <c r="B331" s="38">
        <v>1</v>
      </c>
      <c r="C331" s="38">
        <v>1001</v>
      </c>
      <c r="D331" s="39" t="s">
        <v>1411</v>
      </c>
      <c r="E331" s="40" t="s">
        <v>1397</v>
      </c>
      <c r="F331" s="38">
        <v>218019</v>
      </c>
      <c r="G331" s="7" t="s">
        <v>1412</v>
      </c>
    </row>
    <row r="332" s="7" customFormat="1" spans="1:7">
      <c r="A332" s="38">
        <v>1001</v>
      </c>
      <c r="B332" s="38">
        <v>1</v>
      </c>
      <c r="C332" s="38">
        <v>1001</v>
      </c>
      <c r="D332" s="39" t="s">
        <v>1413</v>
      </c>
      <c r="E332" s="40" t="s">
        <v>1397</v>
      </c>
      <c r="F332" s="38">
        <v>219019</v>
      </c>
      <c r="G332" s="7" t="s">
        <v>1414</v>
      </c>
    </row>
    <row r="333" s="7" customFormat="1" spans="1:7">
      <c r="A333" s="38">
        <v>1001</v>
      </c>
      <c r="B333" s="38">
        <v>1</v>
      </c>
      <c r="C333" s="38">
        <v>1001</v>
      </c>
      <c r="D333" s="39" t="s">
        <v>1415</v>
      </c>
      <c r="E333" s="40" t="s">
        <v>1397</v>
      </c>
      <c r="F333" s="38">
        <v>210019</v>
      </c>
      <c r="G333" s="7" t="s">
        <v>1416</v>
      </c>
    </row>
    <row r="334" s="7" customFormat="1" spans="1:7">
      <c r="A334" s="38">
        <v>1001</v>
      </c>
      <c r="B334" s="38">
        <v>1</v>
      </c>
      <c r="C334" s="38">
        <v>1001</v>
      </c>
      <c r="D334" s="39" t="s">
        <v>1417</v>
      </c>
      <c r="E334" s="40" t="s">
        <v>1397</v>
      </c>
      <c r="F334" s="38">
        <v>210119</v>
      </c>
      <c r="G334" s="7" t="s">
        <v>1418</v>
      </c>
    </row>
    <row r="335" s="7" customFormat="1" spans="1:7">
      <c r="A335" s="38">
        <v>1001</v>
      </c>
      <c r="B335" s="38">
        <v>1</v>
      </c>
      <c r="C335" s="38">
        <v>1001</v>
      </c>
      <c r="D335" s="39" t="s">
        <v>1419</v>
      </c>
      <c r="E335" s="40" t="s">
        <v>1397</v>
      </c>
      <c r="F335" s="38">
        <v>210219</v>
      </c>
      <c r="G335" s="7" t="s">
        <v>1420</v>
      </c>
    </row>
    <row r="336" s="7" customFormat="1" spans="1:7">
      <c r="A336" s="38">
        <v>1001</v>
      </c>
      <c r="B336" s="38">
        <v>1</v>
      </c>
      <c r="C336" s="38">
        <v>1001</v>
      </c>
      <c r="D336" s="39" t="s">
        <v>1421</v>
      </c>
      <c r="E336" s="40" t="s">
        <v>1397</v>
      </c>
      <c r="F336" s="38">
        <v>210319</v>
      </c>
      <c r="G336" s="7" t="s">
        <v>1422</v>
      </c>
    </row>
    <row r="337" spans="1:7">
      <c r="A337" s="25">
        <v>1001</v>
      </c>
      <c r="B337" s="25">
        <v>1</v>
      </c>
      <c r="C337" s="25">
        <v>1001</v>
      </c>
      <c r="D337" s="36" t="s">
        <v>1423</v>
      </c>
      <c r="E337" s="40" t="s">
        <v>1397</v>
      </c>
      <c r="F337" s="38">
        <v>210419</v>
      </c>
      <c r="G337" t="s">
        <v>1424</v>
      </c>
    </row>
    <row r="338" s="7" customFormat="1" spans="1:7">
      <c r="A338" s="38">
        <v>1001</v>
      </c>
      <c r="B338" s="38">
        <v>1</v>
      </c>
      <c r="C338" s="38">
        <v>1001</v>
      </c>
      <c r="D338" s="39" t="s">
        <v>1425</v>
      </c>
      <c r="E338" s="40" t="s">
        <v>1397</v>
      </c>
      <c r="F338" s="38">
        <v>210519</v>
      </c>
      <c r="G338" s="7" t="s">
        <v>1426</v>
      </c>
    </row>
    <row r="339" s="7" customFormat="1" spans="1:7">
      <c r="A339" s="38">
        <v>1001</v>
      </c>
      <c r="B339" s="38">
        <v>1</v>
      </c>
      <c r="C339" s="38">
        <v>1001</v>
      </c>
      <c r="D339" s="39" t="s">
        <v>1427</v>
      </c>
      <c r="E339" s="36" t="s">
        <v>1423</v>
      </c>
      <c r="F339" s="25">
        <v>210619</v>
      </c>
      <c r="G339" s="7" t="s">
        <v>1428</v>
      </c>
    </row>
    <row r="340" s="7" customFormat="1" spans="1:7">
      <c r="A340" s="38">
        <v>1001</v>
      </c>
      <c r="B340" s="38">
        <v>1</v>
      </c>
      <c r="C340" s="38">
        <v>1001</v>
      </c>
      <c r="D340" s="39" t="s">
        <v>1429</v>
      </c>
      <c r="E340" s="40" t="s">
        <v>1430</v>
      </c>
      <c r="F340" s="38">
        <v>211020</v>
      </c>
      <c r="G340" s="7" t="s">
        <v>1431</v>
      </c>
    </row>
    <row r="341" s="7" customFormat="1" spans="1:7">
      <c r="A341" s="38">
        <v>1001</v>
      </c>
      <c r="B341" s="38">
        <v>1</v>
      </c>
      <c r="C341" s="38">
        <v>1001</v>
      </c>
      <c r="D341" s="39" t="s">
        <v>1432</v>
      </c>
      <c r="E341" s="40" t="s">
        <v>1430</v>
      </c>
      <c r="F341" s="38">
        <v>212020</v>
      </c>
      <c r="G341" s="7" t="s">
        <v>1433</v>
      </c>
    </row>
    <row r="342" s="7" customFormat="1" spans="1:7">
      <c r="A342" s="38">
        <v>1001</v>
      </c>
      <c r="B342" s="38">
        <v>1</v>
      </c>
      <c r="C342" s="38">
        <v>1001</v>
      </c>
      <c r="D342" s="39" t="s">
        <v>1434</v>
      </c>
      <c r="E342" s="40" t="s">
        <v>1430</v>
      </c>
      <c r="F342" s="38">
        <v>213020</v>
      </c>
      <c r="G342" s="7" t="s">
        <v>1435</v>
      </c>
    </row>
    <row r="343" s="7" customFormat="1" spans="1:7">
      <c r="A343" s="38">
        <v>1001</v>
      </c>
      <c r="B343" s="38">
        <v>1</v>
      </c>
      <c r="C343" s="38">
        <v>1001</v>
      </c>
      <c r="D343" s="39" t="s">
        <v>1436</v>
      </c>
      <c r="E343" s="40" t="s">
        <v>1430</v>
      </c>
      <c r="F343" s="38">
        <v>214020</v>
      </c>
      <c r="G343" s="7" t="s">
        <v>1437</v>
      </c>
    </row>
    <row r="344" s="7" customFormat="1" spans="1:7">
      <c r="A344" s="38">
        <v>1001</v>
      </c>
      <c r="B344" s="38">
        <v>1</v>
      </c>
      <c r="C344" s="38">
        <v>1001</v>
      </c>
      <c r="D344" s="39" t="s">
        <v>1438</v>
      </c>
      <c r="E344" s="40" t="s">
        <v>1430</v>
      </c>
      <c r="F344" s="38">
        <v>215020</v>
      </c>
      <c r="G344" s="7" t="s">
        <v>1439</v>
      </c>
    </row>
    <row r="345" s="7" customFormat="1" spans="1:7">
      <c r="A345" s="38">
        <v>1001</v>
      </c>
      <c r="B345" s="38">
        <v>1</v>
      </c>
      <c r="C345" s="38">
        <v>1001</v>
      </c>
      <c r="D345" s="39" t="s">
        <v>1440</v>
      </c>
      <c r="E345" s="40" t="s">
        <v>1430</v>
      </c>
      <c r="F345" s="38">
        <v>216020</v>
      </c>
      <c r="G345" s="7" t="s">
        <v>1441</v>
      </c>
    </row>
    <row r="346" s="7" customFormat="1" spans="1:7">
      <c r="A346" s="38">
        <v>1001</v>
      </c>
      <c r="B346" s="38">
        <v>1</v>
      </c>
      <c r="C346" s="38">
        <v>1001</v>
      </c>
      <c r="D346" s="39" t="s">
        <v>1442</v>
      </c>
      <c r="E346" s="40" t="s">
        <v>1430</v>
      </c>
      <c r="F346" s="38">
        <v>217020</v>
      </c>
      <c r="G346" s="7" t="s">
        <v>1443</v>
      </c>
    </row>
    <row r="347" s="7" customFormat="1" spans="1:7">
      <c r="A347" s="38">
        <v>1001</v>
      </c>
      <c r="B347" s="38">
        <v>1</v>
      </c>
      <c r="C347" s="38">
        <v>1001</v>
      </c>
      <c r="D347" s="39" t="s">
        <v>1444</v>
      </c>
      <c r="E347" s="40" t="s">
        <v>1430</v>
      </c>
      <c r="F347" s="38">
        <v>218020</v>
      </c>
      <c r="G347" s="7" t="s">
        <v>1445</v>
      </c>
    </row>
    <row r="348" s="7" customFormat="1" spans="1:7">
      <c r="A348" s="38">
        <v>1001</v>
      </c>
      <c r="B348" s="38">
        <v>1</v>
      </c>
      <c r="C348" s="38">
        <v>1001</v>
      </c>
      <c r="D348" s="39" t="s">
        <v>1446</v>
      </c>
      <c r="E348" s="40" t="s">
        <v>1430</v>
      </c>
      <c r="F348" s="38">
        <v>219020</v>
      </c>
      <c r="G348" s="7" t="s">
        <v>1447</v>
      </c>
    </row>
    <row r="349" s="7" customFormat="1" spans="1:7">
      <c r="A349" s="38">
        <v>1001</v>
      </c>
      <c r="B349" s="38">
        <v>1</v>
      </c>
      <c r="C349" s="38">
        <v>1001</v>
      </c>
      <c r="D349" s="39" t="s">
        <v>1448</v>
      </c>
      <c r="E349" s="40" t="s">
        <v>1430</v>
      </c>
      <c r="F349" s="38">
        <v>210020</v>
      </c>
      <c r="G349" s="7" t="s">
        <v>1449</v>
      </c>
    </row>
    <row r="350" s="7" customFormat="1" spans="1:7">
      <c r="A350" s="38">
        <v>1001</v>
      </c>
      <c r="B350" s="38">
        <v>1</v>
      </c>
      <c r="C350" s="38">
        <v>1001</v>
      </c>
      <c r="D350" s="39" t="s">
        <v>1450</v>
      </c>
      <c r="E350" s="40" t="s">
        <v>1430</v>
      </c>
      <c r="F350" s="38">
        <v>210120</v>
      </c>
      <c r="G350" s="7" t="s">
        <v>1451</v>
      </c>
    </row>
    <row r="351" s="7" customFormat="1" spans="1:7">
      <c r="A351" s="38">
        <v>1001</v>
      </c>
      <c r="B351" s="38">
        <v>1</v>
      </c>
      <c r="C351" s="38">
        <v>1001</v>
      </c>
      <c r="D351" s="39" t="s">
        <v>1452</v>
      </c>
      <c r="E351" s="40" t="s">
        <v>1430</v>
      </c>
      <c r="F351" s="38">
        <v>210220</v>
      </c>
      <c r="G351" s="7" t="s">
        <v>1453</v>
      </c>
    </row>
    <row r="352" s="7" customFormat="1" spans="1:7">
      <c r="A352" s="38">
        <v>1001</v>
      </c>
      <c r="B352" s="38">
        <v>1</v>
      </c>
      <c r="C352" s="38">
        <v>1001</v>
      </c>
      <c r="D352" s="39" t="s">
        <v>1454</v>
      </c>
      <c r="E352" s="40" t="s">
        <v>1430</v>
      </c>
      <c r="F352" s="38">
        <v>210320</v>
      </c>
      <c r="G352" s="7" t="s">
        <v>1455</v>
      </c>
    </row>
    <row r="353" spans="1:7">
      <c r="A353" s="25">
        <v>1001</v>
      </c>
      <c r="B353" s="25">
        <v>1</v>
      </c>
      <c r="C353" s="25">
        <v>1001</v>
      </c>
      <c r="D353" s="36" t="s">
        <v>1456</v>
      </c>
      <c r="E353" s="40" t="s">
        <v>1430</v>
      </c>
      <c r="F353" s="38">
        <v>210420</v>
      </c>
      <c r="G353" t="s">
        <v>1457</v>
      </c>
    </row>
    <row r="354" spans="1:7">
      <c r="A354" s="25">
        <v>1001</v>
      </c>
      <c r="B354" s="25">
        <v>1</v>
      </c>
      <c r="C354" s="25">
        <v>1001</v>
      </c>
      <c r="D354" s="36" t="s">
        <v>1458</v>
      </c>
      <c r="E354" s="40" t="s">
        <v>1430</v>
      </c>
      <c r="F354" s="38">
        <v>210520</v>
      </c>
      <c r="G354" t="s">
        <v>1459</v>
      </c>
    </row>
    <row r="355" spans="1:7">
      <c r="A355" s="25">
        <v>1001</v>
      </c>
      <c r="B355" s="25">
        <v>1</v>
      </c>
      <c r="C355" s="25">
        <v>1001</v>
      </c>
      <c r="D355" s="36" t="s">
        <v>1460</v>
      </c>
      <c r="E355" s="36" t="s">
        <v>1456</v>
      </c>
      <c r="F355" s="25">
        <v>210620</v>
      </c>
      <c r="G355" t="s">
        <v>1461</v>
      </c>
    </row>
    <row r="356" spans="1:7">
      <c r="A356" s="25">
        <v>1001</v>
      </c>
      <c r="B356" s="25">
        <v>1</v>
      </c>
      <c r="C356" s="25">
        <v>1001</v>
      </c>
      <c r="D356" s="36" t="s">
        <v>1462</v>
      </c>
      <c r="E356" s="27" t="s">
        <v>1463</v>
      </c>
      <c r="F356" s="25">
        <v>211021</v>
      </c>
      <c r="G356" t="s">
        <v>1464</v>
      </c>
    </row>
    <row r="357" spans="1:7">
      <c r="A357" s="25">
        <v>1001</v>
      </c>
      <c r="B357" s="25">
        <v>1</v>
      </c>
      <c r="C357" s="25">
        <v>1001</v>
      </c>
      <c r="D357" s="36" t="s">
        <v>1465</v>
      </c>
      <c r="E357" s="27" t="s">
        <v>1463</v>
      </c>
      <c r="F357" s="25">
        <v>212021</v>
      </c>
      <c r="G357" t="s">
        <v>1466</v>
      </c>
    </row>
    <row r="358" spans="1:7">
      <c r="A358" s="25">
        <v>1001</v>
      </c>
      <c r="B358" s="25">
        <v>1</v>
      </c>
      <c r="C358" s="25">
        <v>1001</v>
      </c>
      <c r="D358" s="36" t="s">
        <v>1467</v>
      </c>
      <c r="E358" s="27" t="s">
        <v>1463</v>
      </c>
      <c r="F358" s="25">
        <v>213021</v>
      </c>
      <c r="G358" t="s">
        <v>1468</v>
      </c>
    </row>
    <row r="359" spans="1:7">
      <c r="A359" s="25">
        <v>1001</v>
      </c>
      <c r="B359" s="25">
        <v>1</v>
      </c>
      <c r="C359" s="25">
        <v>1001</v>
      </c>
      <c r="D359" s="36" t="s">
        <v>1469</v>
      </c>
      <c r="E359" s="27" t="s">
        <v>1463</v>
      </c>
      <c r="F359" s="25">
        <v>214021</v>
      </c>
      <c r="G359" t="s">
        <v>1470</v>
      </c>
    </row>
    <row r="360" spans="1:7">
      <c r="A360" s="25">
        <v>1001</v>
      </c>
      <c r="B360" s="25">
        <v>1</v>
      </c>
      <c r="C360" s="25">
        <v>1001</v>
      </c>
      <c r="D360" s="36" t="s">
        <v>1471</v>
      </c>
      <c r="E360" s="27" t="s">
        <v>1463</v>
      </c>
      <c r="F360" s="25">
        <v>215021</v>
      </c>
      <c r="G360" t="s">
        <v>1472</v>
      </c>
    </row>
    <row r="361" spans="1:7">
      <c r="A361" s="25">
        <v>1001</v>
      </c>
      <c r="B361" s="25">
        <v>1</v>
      </c>
      <c r="C361" s="25">
        <v>1001</v>
      </c>
      <c r="D361" s="36" t="s">
        <v>1473</v>
      </c>
      <c r="E361" s="27" t="s">
        <v>1463</v>
      </c>
      <c r="F361" s="25">
        <v>216021</v>
      </c>
      <c r="G361" t="s">
        <v>1474</v>
      </c>
    </row>
    <row r="362" spans="1:7">
      <c r="A362" s="25">
        <v>1001</v>
      </c>
      <c r="B362" s="25">
        <v>1</v>
      </c>
      <c r="C362" s="25">
        <v>1001</v>
      </c>
      <c r="D362" s="36" t="s">
        <v>1475</v>
      </c>
      <c r="E362" s="27" t="s">
        <v>1463</v>
      </c>
      <c r="F362" s="25">
        <v>217021</v>
      </c>
      <c r="G362" t="s">
        <v>1476</v>
      </c>
    </row>
    <row r="363" spans="1:7">
      <c r="A363" s="25">
        <v>1001</v>
      </c>
      <c r="B363" s="25">
        <v>1</v>
      </c>
      <c r="C363" s="25">
        <v>1001</v>
      </c>
      <c r="D363" s="36" t="s">
        <v>1477</v>
      </c>
      <c r="E363" s="27" t="s">
        <v>1463</v>
      </c>
      <c r="F363" s="25">
        <v>218021</v>
      </c>
      <c r="G363" t="s">
        <v>1478</v>
      </c>
    </row>
    <row r="364" s="8" customFormat="1" spans="1:7">
      <c r="A364" s="41">
        <v>1001</v>
      </c>
      <c r="B364" s="41">
        <v>1</v>
      </c>
      <c r="C364" s="41">
        <v>1001</v>
      </c>
      <c r="D364" s="42" t="s">
        <v>1479</v>
      </c>
      <c r="E364" s="27" t="s">
        <v>1463</v>
      </c>
      <c r="F364" s="25">
        <v>219021</v>
      </c>
      <c r="G364" s="8" t="s">
        <v>1480</v>
      </c>
    </row>
    <row r="365" s="8" customFormat="1" spans="1:7">
      <c r="A365" s="41">
        <v>1001</v>
      </c>
      <c r="B365" s="41">
        <v>1</v>
      </c>
      <c r="C365" s="41">
        <v>1001</v>
      </c>
      <c r="D365" s="42" t="s">
        <v>1481</v>
      </c>
      <c r="E365" s="27" t="s">
        <v>1463</v>
      </c>
      <c r="F365" s="25">
        <v>210021</v>
      </c>
      <c r="G365" s="8" t="s">
        <v>1482</v>
      </c>
    </row>
    <row r="366" spans="1:7">
      <c r="A366" s="25">
        <v>1001</v>
      </c>
      <c r="B366" s="25">
        <v>1</v>
      </c>
      <c r="C366" s="25">
        <v>1001</v>
      </c>
      <c r="D366" s="36" t="s">
        <v>679</v>
      </c>
      <c r="E366" s="43" t="s">
        <v>1463</v>
      </c>
      <c r="F366" s="41">
        <v>211121</v>
      </c>
      <c r="G366" t="s">
        <v>1483</v>
      </c>
    </row>
    <row r="367" s="6" customFormat="1" spans="1:7">
      <c r="A367" s="35">
        <v>1001</v>
      </c>
      <c r="B367" s="35">
        <v>1</v>
      </c>
      <c r="C367" s="35">
        <v>1001</v>
      </c>
      <c r="D367" s="44" t="s">
        <v>1463</v>
      </c>
      <c r="E367" s="43" t="s">
        <v>1463</v>
      </c>
      <c r="F367" s="41">
        <v>212121</v>
      </c>
      <c r="G367" s="6" t="s">
        <v>1484</v>
      </c>
    </row>
    <row r="368" spans="1:7">
      <c r="A368" s="25">
        <v>1001</v>
      </c>
      <c r="B368" s="25">
        <v>1</v>
      </c>
      <c r="C368" s="25">
        <v>3</v>
      </c>
      <c r="D368" s="36" t="s">
        <v>871</v>
      </c>
      <c r="E368" s="36" t="s">
        <v>679</v>
      </c>
      <c r="F368" s="25">
        <v>210121</v>
      </c>
      <c r="G368" t="s">
        <v>1485</v>
      </c>
    </row>
    <row r="369" spans="1:7">
      <c r="A369" s="25">
        <v>1001</v>
      </c>
      <c r="B369" s="25">
        <v>1</v>
      </c>
      <c r="C369" s="25">
        <v>3</v>
      </c>
      <c r="D369" s="30" t="s">
        <v>1486</v>
      </c>
      <c r="E369" s="45" t="s">
        <v>1463</v>
      </c>
      <c r="F369" s="35">
        <v>219921</v>
      </c>
      <c r="G369" t="s">
        <v>1487</v>
      </c>
    </row>
    <row r="370" spans="1:7">
      <c r="A370" s="25">
        <v>1001</v>
      </c>
      <c r="B370" s="25">
        <v>1</v>
      </c>
      <c r="C370" s="25">
        <v>3</v>
      </c>
      <c r="D370" s="30" t="s">
        <v>1488</v>
      </c>
      <c r="E370" s="27" t="s">
        <v>871</v>
      </c>
      <c r="F370" s="25">
        <v>221001</v>
      </c>
      <c r="G370" t="s">
        <v>1489</v>
      </c>
    </row>
    <row r="371" spans="1:7">
      <c r="A371" s="25">
        <v>1001</v>
      </c>
      <c r="B371" s="25">
        <v>1</v>
      </c>
      <c r="C371" s="25">
        <v>3</v>
      </c>
      <c r="D371" s="30" t="s">
        <v>1490</v>
      </c>
      <c r="E371" s="27" t="s">
        <v>1486</v>
      </c>
      <c r="F371" s="25">
        <v>240001</v>
      </c>
      <c r="G371" t="s">
        <v>1491</v>
      </c>
    </row>
    <row r="372" spans="1:7">
      <c r="A372" s="25">
        <v>1001</v>
      </c>
      <c r="B372" s="25">
        <v>1</v>
      </c>
      <c r="C372" s="25">
        <v>3</v>
      </c>
      <c r="D372" s="30" t="s">
        <v>1492</v>
      </c>
      <c r="E372" s="27" t="s">
        <v>1488</v>
      </c>
      <c r="F372" s="25">
        <v>240002</v>
      </c>
      <c r="G372" t="s">
        <v>1493</v>
      </c>
    </row>
    <row r="373" spans="1:7">
      <c r="A373" s="25">
        <v>1001</v>
      </c>
      <c r="B373" s="25">
        <v>1</v>
      </c>
      <c r="C373" s="25">
        <v>3</v>
      </c>
      <c r="D373" s="30" t="s">
        <v>1494</v>
      </c>
      <c r="E373" s="27" t="s">
        <v>1490</v>
      </c>
      <c r="F373" s="25">
        <v>240003</v>
      </c>
      <c r="G373" t="s">
        <v>1495</v>
      </c>
    </row>
    <row r="374" spans="1:7">
      <c r="A374" s="25">
        <v>1001</v>
      </c>
      <c r="B374" s="25">
        <v>1</v>
      </c>
      <c r="C374" s="25">
        <v>3</v>
      </c>
      <c r="D374" s="30" t="s">
        <v>1496</v>
      </c>
      <c r="E374" s="27" t="s">
        <v>1492</v>
      </c>
      <c r="F374" s="25">
        <v>240004</v>
      </c>
      <c r="G374" t="s">
        <v>1495</v>
      </c>
    </row>
    <row r="375" spans="1:7">
      <c r="A375" s="25">
        <v>1001</v>
      </c>
      <c r="B375" s="25">
        <v>1</v>
      </c>
      <c r="C375" s="25">
        <v>3</v>
      </c>
      <c r="D375" s="5" t="s">
        <v>1497</v>
      </c>
      <c r="E375" s="27" t="s">
        <v>1494</v>
      </c>
      <c r="F375" s="25">
        <v>240005</v>
      </c>
      <c r="G375" t="s">
        <v>1487</v>
      </c>
    </row>
    <row r="376" spans="1:7">
      <c r="A376" s="25">
        <v>1001</v>
      </c>
      <c r="B376" s="25">
        <v>1</v>
      </c>
      <c r="C376" s="25">
        <v>3</v>
      </c>
      <c r="D376" s="46" t="s">
        <v>1498</v>
      </c>
      <c r="E376" s="27" t="s">
        <v>1494</v>
      </c>
      <c r="F376" s="25">
        <v>240006</v>
      </c>
      <c r="G376" t="s">
        <v>1487</v>
      </c>
    </row>
    <row r="377" spans="1:7">
      <c r="A377" s="25">
        <v>1001</v>
      </c>
      <c r="B377" s="25">
        <v>1</v>
      </c>
      <c r="C377" s="25">
        <v>3</v>
      </c>
      <c r="D377" s="46" t="s">
        <v>1499</v>
      </c>
      <c r="E377" s="27" t="s">
        <v>1486</v>
      </c>
      <c r="F377" s="25">
        <v>240007</v>
      </c>
      <c r="G377" t="s">
        <v>1487</v>
      </c>
    </row>
    <row r="378" spans="1:7">
      <c r="A378" s="25">
        <v>1001</v>
      </c>
      <c r="B378" s="25">
        <v>1</v>
      </c>
      <c r="C378" s="25">
        <v>3</v>
      </c>
      <c r="D378" s="46" t="s">
        <v>1500</v>
      </c>
      <c r="E378" s="27" t="s">
        <v>1486</v>
      </c>
      <c r="F378" s="25">
        <v>240008</v>
      </c>
      <c r="G378" t="s">
        <v>1487</v>
      </c>
    </row>
    <row r="379" spans="1:7">
      <c r="A379" s="25">
        <v>1001</v>
      </c>
      <c r="B379" s="25">
        <v>1</v>
      </c>
      <c r="C379" s="25">
        <v>3</v>
      </c>
      <c r="D379" s="5" t="s">
        <v>1501</v>
      </c>
      <c r="E379" s="27" t="s">
        <v>1486</v>
      </c>
      <c r="F379" s="25">
        <v>240009</v>
      </c>
      <c r="G379" t="s">
        <v>1487</v>
      </c>
    </row>
    <row r="380" spans="1:7">
      <c r="A380" s="25">
        <v>1001</v>
      </c>
      <c r="B380" s="25">
        <v>1</v>
      </c>
      <c r="C380" s="25">
        <v>3</v>
      </c>
      <c r="D380" s="5" t="s">
        <v>1502</v>
      </c>
      <c r="E380" s="27" t="s">
        <v>1486</v>
      </c>
      <c r="F380" s="25">
        <v>240010</v>
      </c>
      <c r="G380" t="s">
        <v>1487</v>
      </c>
    </row>
    <row r="381" spans="1:7">
      <c r="A381" s="25">
        <v>1001</v>
      </c>
      <c r="B381" s="25">
        <v>1</v>
      </c>
      <c r="C381" s="25">
        <v>3</v>
      </c>
      <c r="D381" s="30" t="s">
        <v>1486</v>
      </c>
      <c r="E381" s="27" t="s">
        <v>1486</v>
      </c>
      <c r="F381" s="25">
        <v>240011</v>
      </c>
      <c r="G381" t="s">
        <v>1487</v>
      </c>
    </row>
    <row r="382" spans="1:7">
      <c r="A382" s="25">
        <v>1001</v>
      </c>
      <c r="B382" s="25">
        <v>1</v>
      </c>
      <c r="C382" s="25">
        <v>3</v>
      </c>
      <c r="D382" s="30" t="s">
        <v>1496</v>
      </c>
      <c r="E382" s="27" t="s">
        <v>1486</v>
      </c>
      <c r="F382" s="25">
        <v>240012</v>
      </c>
      <c r="G382" t="s">
        <v>1503</v>
      </c>
    </row>
    <row r="383" spans="1:7">
      <c r="A383" s="25">
        <v>1001</v>
      </c>
      <c r="B383" s="25">
        <v>1</v>
      </c>
      <c r="C383" s="25">
        <v>3</v>
      </c>
      <c r="D383" s="30" t="s">
        <v>1496</v>
      </c>
      <c r="E383" s="27" t="s">
        <v>1486</v>
      </c>
      <c r="F383" s="25">
        <v>240013</v>
      </c>
      <c r="G383" t="s">
        <v>1503</v>
      </c>
    </row>
    <row r="384" spans="1:7">
      <c r="A384" s="25">
        <v>1001</v>
      </c>
      <c r="B384" s="25">
        <v>1</v>
      </c>
      <c r="C384" s="25">
        <v>3</v>
      </c>
      <c r="D384" s="30" t="s">
        <v>1496</v>
      </c>
      <c r="E384" s="27" t="s">
        <v>1496</v>
      </c>
      <c r="F384" s="25">
        <v>240014</v>
      </c>
      <c r="G384" t="s">
        <v>1495</v>
      </c>
    </row>
    <row r="385" spans="1:7">
      <c r="A385" s="25">
        <v>1001</v>
      </c>
      <c r="B385" s="25">
        <v>1</v>
      </c>
      <c r="C385" s="25">
        <v>3</v>
      </c>
      <c r="D385" s="30" t="s">
        <v>1496</v>
      </c>
      <c r="E385" s="27" t="s">
        <v>1496</v>
      </c>
      <c r="F385" s="25">
        <v>240015</v>
      </c>
      <c r="G385" t="s">
        <v>1503</v>
      </c>
    </row>
    <row r="386" spans="1:7">
      <c r="A386" s="25">
        <v>1001</v>
      </c>
      <c r="B386" s="25">
        <v>1</v>
      </c>
      <c r="C386" s="25">
        <v>3</v>
      </c>
      <c r="D386" s="30" t="s">
        <v>1490</v>
      </c>
      <c r="E386" s="27" t="s">
        <v>1494</v>
      </c>
      <c r="F386" s="25">
        <v>240016</v>
      </c>
      <c r="G386" t="s">
        <v>1491</v>
      </c>
    </row>
    <row r="387" spans="1:7">
      <c r="A387" s="25">
        <v>1001</v>
      </c>
      <c r="B387" s="25">
        <v>1</v>
      </c>
      <c r="C387" s="25">
        <v>3</v>
      </c>
      <c r="D387" s="30" t="s">
        <v>1492</v>
      </c>
      <c r="E387" s="27" t="s">
        <v>1496</v>
      </c>
      <c r="F387" s="25">
        <v>240017</v>
      </c>
      <c r="G387" t="s">
        <v>1493</v>
      </c>
    </row>
    <row r="388" spans="1:7">
      <c r="A388" s="25">
        <v>1001</v>
      </c>
      <c r="B388" s="25">
        <v>1</v>
      </c>
      <c r="C388" s="25">
        <v>3</v>
      </c>
      <c r="D388" s="30" t="s">
        <v>1488</v>
      </c>
      <c r="E388" s="27" t="s">
        <v>1490</v>
      </c>
      <c r="F388" s="25">
        <v>240018</v>
      </c>
      <c r="G388" t="s">
        <v>1489</v>
      </c>
    </row>
    <row r="389" spans="1:7">
      <c r="A389" s="25">
        <v>1001</v>
      </c>
      <c r="B389" s="25">
        <v>1</v>
      </c>
      <c r="C389" s="25">
        <v>3</v>
      </c>
      <c r="D389" s="30" t="s">
        <v>1496</v>
      </c>
      <c r="E389" s="27" t="s">
        <v>1492</v>
      </c>
      <c r="F389" s="25">
        <v>240019</v>
      </c>
      <c r="G389" t="s">
        <v>1503</v>
      </c>
    </row>
    <row r="390" spans="1:7">
      <c r="A390" s="25">
        <v>1001</v>
      </c>
      <c r="B390" s="25">
        <v>1</v>
      </c>
      <c r="C390" s="25">
        <v>3</v>
      </c>
      <c r="D390" s="30" t="s">
        <v>1504</v>
      </c>
      <c r="E390" s="27" t="s">
        <v>1488</v>
      </c>
      <c r="F390" s="25">
        <v>240020</v>
      </c>
      <c r="G390" t="s">
        <v>1505</v>
      </c>
    </row>
    <row r="391" spans="1:7">
      <c r="A391" s="25">
        <v>1001</v>
      </c>
      <c r="B391" s="25">
        <v>1</v>
      </c>
      <c r="C391" s="25">
        <v>3</v>
      </c>
      <c r="D391" s="30" t="s">
        <v>1506</v>
      </c>
      <c r="E391" s="27" t="s">
        <v>1496</v>
      </c>
      <c r="F391" s="25">
        <v>240021</v>
      </c>
      <c r="G391" t="s">
        <v>1507</v>
      </c>
    </row>
    <row r="392" spans="1:7">
      <c r="A392" s="25">
        <v>1001</v>
      </c>
      <c r="B392" s="25">
        <v>1</v>
      </c>
      <c r="C392" s="25">
        <v>3</v>
      </c>
      <c r="D392" s="30" t="s">
        <v>1508</v>
      </c>
      <c r="E392" s="27" t="s">
        <v>1504</v>
      </c>
      <c r="F392" s="25">
        <v>240022</v>
      </c>
      <c r="G392" t="s">
        <v>1509</v>
      </c>
    </row>
    <row r="393" spans="1:7">
      <c r="A393" s="25">
        <v>1001</v>
      </c>
      <c r="B393" s="25">
        <v>1</v>
      </c>
      <c r="C393" s="25">
        <v>3</v>
      </c>
      <c r="D393" s="30" t="s">
        <v>1510</v>
      </c>
      <c r="E393" s="27" t="s">
        <v>1506</v>
      </c>
      <c r="F393" s="25">
        <v>240023</v>
      </c>
      <c r="G393" t="s">
        <v>1511</v>
      </c>
    </row>
    <row r="394" spans="1:7">
      <c r="A394" s="25">
        <v>1001</v>
      </c>
      <c r="B394" s="25">
        <v>1</v>
      </c>
      <c r="C394" s="25">
        <v>3</v>
      </c>
      <c r="D394" s="30" t="s">
        <v>1512</v>
      </c>
      <c r="E394" s="27" t="s">
        <v>1508</v>
      </c>
      <c r="F394" s="25">
        <v>240024</v>
      </c>
      <c r="G394" t="s">
        <v>1513</v>
      </c>
    </row>
    <row r="395" spans="1:7">
      <c r="A395" s="25">
        <v>1001</v>
      </c>
      <c r="B395" s="25">
        <v>1</v>
      </c>
      <c r="C395" s="25">
        <v>3</v>
      </c>
      <c r="D395" s="30" t="s">
        <v>1514</v>
      </c>
      <c r="E395" s="27" t="s">
        <v>1510</v>
      </c>
      <c r="F395" s="25">
        <v>240025</v>
      </c>
      <c r="G395" t="s">
        <v>1515</v>
      </c>
    </row>
    <row r="396" spans="1:7">
      <c r="A396" s="25">
        <v>1001</v>
      </c>
      <c r="B396" s="25">
        <v>1</v>
      </c>
      <c r="C396" s="25">
        <v>3</v>
      </c>
      <c r="D396" s="30" t="s">
        <v>1516</v>
      </c>
      <c r="E396" s="27" t="s">
        <v>1512</v>
      </c>
      <c r="F396" s="25">
        <v>240026</v>
      </c>
      <c r="G396" t="s">
        <v>1517</v>
      </c>
    </row>
    <row r="397" spans="1:7">
      <c r="A397" s="25">
        <v>1001</v>
      </c>
      <c r="B397" s="25">
        <v>1</v>
      </c>
      <c r="C397" s="25">
        <v>3</v>
      </c>
      <c r="D397" s="30" t="s">
        <v>1518</v>
      </c>
      <c r="E397" s="27" t="s">
        <v>1514</v>
      </c>
      <c r="F397" s="25">
        <v>240027</v>
      </c>
      <c r="G397" t="s">
        <v>1519</v>
      </c>
    </row>
    <row r="398" spans="1:7">
      <c r="A398" s="25">
        <v>1001</v>
      </c>
      <c r="B398" s="25">
        <v>1</v>
      </c>
      <c r="C398" s="25">
        <v>3</v>
      </c>
      <c r="D398" s="30" t="s">
        <v>1520</v>
      </c>
      <c r="E398" s="27" t="s">
        <v>1516</v>
      </c>
      <c r="F398" s="25">
        <v>240028</v>
      </c>
      <c r="G398" t="s">
        <v>1521</v>
      </c>
    </row>
    <row r="399" spans="1:7">
      <c r="A399" s="25">
        <v>1001</v>
      </c>
      <c r="B399" s="25">
        <v>1</v>
      </c>
      <c r="C399" s="25">
        <v>3</v>
      </c>
      <c r="D399" s="30" t="s">
        <v>1522</v>
      </c>
      <c r="E399" s="27" t="s">
        <v>1518</v>
      </c>
      <c r="F399" s="25">
        <v>240029</v>
      </c>
      <c r="G399" t="s">
        <v>1523</v>
      </c>
    </row>
    <row r="400" spans="1:7">
      <c r="A400" s="25">
        <v>1001</v>
      </c>
      <c r="B400" s="25">
        <v>1</v>
      </c>
      <c r="C400" s="25">
        <v>3</v>
      </c>
      <c r="D400" s="30" t="s">
        <v>1524</v>
      </c>
      <c r="E400" s="27" t="s">
        <v>1520</v>
      </c>
      <c r="F400" s="25">
        <v>240030</v>
      </c>
      <c r="G400" t="s">
        <v>1525</v>
      </c>
    </row>
    <row r="401" spans="1:7">
      <c r="A401" s="25">
        <v>1001</v>
      </c>
      <c r="B401" s="25">
        <v>1</v>
      </c>
      <c r="C401" s="25">
        <v>3</v>
      </c>
      <c r="D401" s="30" t="s">
        <v>1526</v>
      </c>
      <c r="E401" s="27" t="s">
        <v>1522</v>
      </c>
      <c r="F401" s="25">
        <v>240031</v>
      </c>
      <c r="G401" t="s">
        <v>1527</v>
      </c>
    </row>
    <row r="402" spans="1:7">
      <c r="A402" s="25">
        <v>1001</v>
      </c>
      <c r="B402" s="25">
        <v>1</v>
      </c>
      <c r="C402" s="25">
        <v>3</v>
      </c>
      <c r="D402" s="30" t="s">
        <v>1528</v>
      </c>
      <c r="E402" s="27" t="s">
        <v>1524</v>
      </c>
      <c r="F402" s="25">
        <v>240032</v>
      </c>
      <c r="G402" t="s">
        <v>1529</v>
      </c>
    </row>
    <row r="403" spans="1:7">
      <c r="A403" s="25">
        <v>1001</v>
      </c>
      <c r="B403" s="25">
        <v>1</v>
      </c>
      <c r="C403" s="25">
        <v>3</v>
      </c>
      <c r="D403" s="30" t="s">
        <v>1530</v>
      </c>
      <c r="E403" s="27" t="s">
        <v>1526</v>
      </c>
      <c r="F403" s="25">
        <v>240033</v>
      </c>
      <c r="G403" t="s">
        <v>1531</v>
      </c>
    </row>
    <row r="404" spans="1:7">
      <c r="A404" s="25">
        <v>1001</v>
      </c>
      <c r="B404" s="25">
        <v>1</v>
      </c>
      <c r="C404" s="25">
        <v>3</v>
      </c>
      <c r="D404" s="30" t="s">
        <v>1532</v>
      </c>
      <c r="E404" s="27" t="s">
        <v>1528</v>
      </c>
      <c r="F404" s="25">
        <v>240034</v>
      </c>
      <c r="G404" t="s">
        <v>1533</v>
      </c>
    </row>
    <row r="405" spans="1:7">
      <c r="A405" s="25">
        <v>1001</v>
      </c>
      <c r="B405" s="25">
        <v>1</v>
      </c>
      <c r="C405" s="25">
        <v>3</v>
      </c>
      <c r="D405" s="30" t="s">
        <v>1534</v>
      </c>
      <c r="E405" s="27" t="s">
        <v>1530</v>
      </c>
      <c r="F405" s="25">
        <v>240035</v>
      </c>
      <c r="G405" t="s">
        <v>1535</v>
      </c>
    </row>
    <row r="406" spans="1:7">
      <c r="A406" s="25">
        <v>1001</v>
      </c>
      <c r="B406" s="25">
        <v>1</v>
      </c>
      <c r="C406" s="25">
        <v>3</v>
      </c>
      <c r="D406" s="30" t="s">
        <v>1536</v>
      </c>
      <c r="E406" s="27" t="s">
        <v>1532</v>
      </c>
      <c r="F406" s="25">
        <v>240036</v>
      </c>
      <c r="G406" t="s">
        <v>1537</v>
      </c>
    </row>
    <row r="407" spans="1:7">
      <c r="A407" s="25">
        <v>1001</v>
      </c>
      <c r="B407" s="25">
        <v>1</v>
      </c>
      <c r="C407" s="25">
        <v>3</v>
      </c>
      <c r="D407" s="30" t="s">
        <v>1538</v>
      </c>
      <c r="E407" s="27" t="s">
        <v>1534</v>
      </c>
      <c r="F407" s="25">
        <v>240037</v>
      </c>
      <c r="G407" t="s">
        <v>1539</v>
      </c>
    </row>
    <row r="408" spans="1:7">
      <c r="A408" s="25">
        <v>1001</v>
      </c>
      <c r="B408" s="25">
        <v>1</v>
      </c>
      <c r="C408" s="25">
        <v>3</v>
      </c>
      <c r="D408" s="30" t="s">
        <v>1540</v>
      </c>
      <c r="E408" s="27" t="s">
        <v>1536</v>
      </c>
      <c r="F408" s="25">
        <v>240038</v>
      </c>
      <c r="G408" t="s">
        <v>1541</v>
      </c>
    </row>
    <row r="409" spans="1:7">
      <c r="A409" s="25">
        <v>1001</v>
      </c>
      <c r="B409" s="25">
        <v>1</v>
      </c>
      <c r="C409" s="25">
        <v>3</v>
      </c>
      <c r="D409" s="30" t="s">
        <v>1542</v>
      </c>
      <c r="E409" s="27" t="s">
        <v>1538</v>
      </c>
      <c r="F409" s="25">
        <v>240039</v>
      </c>
      <c r="G409" t="s">
        <v>1543</v>
      </c>
    </row>
    <row r="410" spans="1:7">
      <c r="A410" s="25">
        <v>1001</v>
      </c>
      <c r="B410" s="25">
        <v>1</v>
      </c>
      <c r="C410" s="25">
        <v>3</v>
      </c>
      <c r="D410" s="30" t="s">
        <v>1544</v>
      </c>
      <c r="E410" s="27" t="s">
        <v>1541</v>
      </c>
      <c r="F410" s="25">
        <v>240040</v>
      </c>
      <c r="G410" t="s">
        <v>1545</v>
      </c>
    </row>
    <row r="411" spans="1:7">
      <c r="A411" s="25">
        <v>1001</v>
      </c>
      <c r="B411" s="25">
        <v>1</v>
      </c>
      <c r="C411" s="25">
        <v>3</v>
      </c>
      <c r="D411" s="30" t="s">
        <v>1546</v>
      </c>
      <c r="E411" s="27" t="s">
        <v>1542</v>
      </c>
      <c r="F411" s="25">
        <v>240041</v>
      </c>
      <c r="G411" t="s">
        <v>1547</v>
      </c>
    </row>
    <row r="412" spans="1:7">
      <c r="A412" s="25">
        <v>1001</v>
      </c>
      <c r="B412" s="25">
        <v>1</v>
      </c>
      <c r="C412" s="25">
        <v>3</v>
      </c>
      <c r="D412" s="30" t="s">
        <v>1548</v>
      </c>
      <c r="E412" s="27" t="s">
        <v>1544</v>
      </c>
      <c r="F412" s="25">
        <v>240042</v>
      </c>
      <c r="G412" t="s">
        <v>1549</v>
      </c>
    </row>
    <row r="413" spans="1:7">
      <c r="A413" s="25">
        <v>1001</v>
      </c>
      <c r="B413" s="25">
        <v>1</v>
      </c>
      <c r="C413" s="25">
        <v>3</v>
      </c>
      <c r="D413" s="30" t="s">
        <v>1542</v>
      </c>
      <c r="E413" s="27" t="s">
        <v>1546</v>
      </c>
      <c r="F413" s="25">
        <v>240043</v>
      </c>
      <c r="G413" t="s">
        <v>1543</v>
      </c>
    </row>
    <row r="414" spans="1:7">
      <c r="A414" s="25">
        <v>1001</v>
      </c>
      <c r="B414" s="25">
        <v>1</v>
      </c>
      <c r="C414" s="25">
        <v>3</v>
      </c>
      <c r="D414" s="30" t="s">
        <v>1544</v>
      </c>
      <c r="E414" s="27" t="s">
        <v>1548</v>
      </c>
      <c r="F414" s="25">
        <v>240044</v>
      </c>
      <c r="G414" t="s">
        <v>1545</v>
      </c>
    </row>
    <row r="415" spans="1:7">
      <c r="A415" s="25">
        <v>1001</v>
      </c>
      <c r="B415" s="25">
        <v>1</v>
      </c>
      <c r="C415" s="25">
        <v>3</v>
      </c>
      <c r="D415" s="30" t="s">
        <v>1550</v>
      </c>
      <c r="E415" s="27" t="s">
        <v>1542</v>
      </c>
      <c r="F415" s="25">
        <v>240045</v>
      </c>
      <c r="G415" t="s">
        <v>1551</v>
      </c>
    </row>
    <row r="416" spans="1:7">
      <c r="A416" s="25">
        <v>1001</v>
      </c>
      <c r="B416" s="25">
        <v>1</v>
      </c>
      <c r="C416" s="25">
        <v>3</v>
      </c>
      <c r="D416" s="30" t="s">
        <v>1552</v>
      </c>
      <c r="E416" s="27" t="s">
        <v>1544</v>
      </c>
      <c r="F416" s="25">
        <v>240046</v>
      </c>
      <c r="G416" t="s">
        <v>1553</v>
      </c>
    </row>
    <row r="417" spans="1:7">
      <c r="A417" s="25">
        <v>1001</v>
      </c>
      <c r="B417" s="25">
        <v>1</v>
      </c>
      <c r="C417" s="25">
        <v>3</v>
      </c>
      <c r="D417" s="30" t="s">
        <v>1554</v>
      </c>
      <c r="E417" s="27" t="s">
        <v>1550</v>
      </c>
      <c r="F417" s="25">
        <v>240047</v>
      </c>
      <c r="G417" t="s">
        <v>1555</v>
      </c>
    </row>
    <row r="418" spans="1:7">
      <c r="A418" s="25">
        <v>1001</v>
      </c>
      <c r="B418" s="25">
        <v>1</v>
      </c>
      <c r="C418" s="25">
        <v>3</v>
      </c>
      <c r="D418" s="30" t="s">
        <v>1556</v>
      </c>
      <c r="E418" s="27" t="s">
        <v>1552</v>
      </c>
      <c r="F418" s="25">
        <v>240048</v>
      </c>
      <c r="G418" t="s">
        <v>1556</v>
      </c>
    </row>
    <row r="419" spans="1:7">
      <c r="A419" s="25">
        <v>1001</v>
      </c>
      <c r="B419" s="25">
        <v>1</v>
      </c>
      <c r="C419" s="25">
        <v>3</v>
      </c>
      <c r="D419" s="30" t="s">
        <v>1557</v>
      </c>
      <c r="E419" s="27" t="s">
        <v>1554</v>
      </c>
      <c r="F419" s="25">
        <v>240049</v>
      </c>
      <c r="G419" t="s">
        <v>1558</v>
      </c>
    </row>
    <row r="420" spans="1:7">
      <c r="A420" s="25">
        <v>1001</v>
      </c>
      <c r="B420" s="25">
        <v>1</v>
      </c>
      <c r="C420" s="25">
        <v>3</v>
      </c>
      <c r="D420" s="30" t="s">
        <v>1552</v>
      </c>
      <c r="E420" s="27" t="s">
        <v>1556</v>
      </c>
      <c r="F420" s="25">
        <v>240050</v>
      </c>
      <c r="G420" t="s">
        <v>1553</v>
      </c>
    </row>
    <row r="421" spans="1:7">
      <c r="A421" s="25">
        <v>1001</v>
      </c>
      <c r="B421" s="25">
        <v>1</v>
      </c>
      <c r="C421" s="25">
        <v>3</v>
      </c>
      <c r="D421" s="30" t="s">
        <v>1559</v>
      </c>
      <c r="E421" s="27" t="s">
        <v>1557</v>
      </c>
      <c r="F421" s="25">
        <v>240051</v>
      </c>
      <c r="G421" t="s">
        <v>1560</v>
      </c>
    </row>
    <row r="422" spans="1:7">
      <c r="A422" s="25">
        <v>1001</v>
      </c>
      <c r="B422" s="25">
        <v>1</v>
      </c>
      <c r="C422" s="25">
        <v>3</v>
      </c>
      <c r="D422" s="30" t="s">
        <v>1561</v>
      </c>
      <c r="E422" s="27" t="s">
        <v>1552</v>
      </c>
      <c r="F422" s="25">
        <v>240052</v>
      </c>
      <c r="G422" t="s">
        <v>1562</v>
      </c>
    </row>
    <row r="423" spans="1:7">
      <c r="A423" s="25">
        <v>1001</v>
      </c>
      <c r="B423" s="25">
        <v>1</v>
      </c>
      <c r="C423" s="25">
        <v>3</v>
      </c>
      <c r="D423" s="30" t="s">
        <v>1563</v>
      </c>
      <c r="E423" s="27" t="s">
        <v>1559</v>
      </c>
      <c r="F423" s="25">
        <v>240053</v>
      </c>
      <c r="G423" t="s">
        <v>1564</v>
      </c>
    </row>
    <row r="424" spans="1:7">
      <c r="A424" s="25">
        <v>1001</v>
      </c>
      <c r="B424" s="25">
        <v>1</v>
      </c>
      <c r="C424" s="25">
        <v>3</v>
      </c>
      <c r="D424" s="30" t="s">
        <v>1565</v>
      </c>
      <c r="E424" s="27" t="s">
        <v>1561</v>
      </c>
      <c r="F424" s="25">
        <v>240054</v>
      </c>
      <c r="G424" t="s">
        <v>1565</v>
      </c>
    </row>
    <row r="425" spans="1:7">
      <c r="A425" s="25">
        <v>1001</v>
      </c>
      <c r="B425" s="25">
        <v>1</v>
      </c>
      <c r="C425" s="25">
        <v>3</v>
      </c>
      <c r="D425" s="30" t="s">
        <v>1566</v>
      </c>
      <c r="E425" s="27" t="s">
        <v>1554</v>
      </c>
      <c r="F425" s="25">
        <v>240055</v>
      </c>
      <c r="G425" t="s">
        <v>1566</v>
      </c>
    </row>
    <row r="426" spans="1:7">
      <c r="A426" s="25">
        <v>1001</v>
      </c>
      <c r="B426" s="25">
        <v>1</v>
      </c>
      <c r="C426" s="25">
        <v>3</v>
      </c>
      <c r="D426" s="30" t="s">
        <v>1567</v>
      </c>
      <c r="E426" s="27" t="s">
        <v>1565</v>
      </c>
      <c r="F426" s="25">
        <v>240056</v>
      </c>
      <c r="G426" t="s">
        <v>1567</v>
      </c>
    </row>
    <row r="427" spans="1:7">
      <c r="A427" s="25">
        <v>1001</v>
      </c>
      <c r="B427" s="25">
        <v>1</v>
      </c>
      <c r="C427" s="25">
        <v>3</v>
      </c>
      <c r="D427" s="30" t="s">
        <v>1554</v>
      </c>
      <c r="E427" s="27" t="s">
        <v>1566</v>
      </c>
      <c r="F427" s="25">
        <v>240057</v>
      </c>
      <c r="G427" t="s">
        <v>1555</v>
      </c>
    </row>
    <row r="428" spans="1:7">
      <c r="A428" s="25">
        <v>1001</v>
      </c>
      <c r="B428" s="25">
        <v>1</v>
      </c>
      <c r="C428" s="25">
        <v>3</v>
      </c>
      <c r="D428" s="30" t="s">
        <v>1568</v>
      </c>
      <c r="E428" s="27" t="s">
        <v>1569</v>
      </c>
      <c r="F428" s="25">
        <v>240058</v>
      </c>
      <c r="G428" t="s">
        <v>1570</v>
      </c>
    </row>
    <row r="429" spans="1:7">
      <c r="A429" s="25">
        <v>1001</v>
      </c>
      <c r="B429" s="25">
        <v>1</v>
      </c>
      <c r="C429" s="25">
        <v>3</v>
      </c>
      <c r="D429" s="30" t="s">
        <v>1488</v>
      </c>
      <c r="E429" s="27" t="s">
        <v>1554</v>
      </c>
      <c r="F429" s="25">
        <v>240059</v>
      </c>
      <c r="G429" t="s">
        <v>1489</v>
      </c>
    </row>
    <row r="430" spans="1:7">
      <c r="A430" s="25">
        <v>1001</v>
      </c>
      <c r="B430" s="25">
        <v>1</v>
      </c>
      <c r="C430" s="25">
        <v>3</v>
      </c>
      <c r="D430" t="s">
        <v>1571</v>
      </c>
      <c r="E430" s="27" t="s">
        <v>1568</v>
      </c>
      <c r="F430" s="25">
        <v>240060</v>
      </c>
      <c r="G430" t="s">
        <v>1572</v>
      </c>
    </row>
    <row r="431" spans="1:7">
      <c r="A431" s="25">
        <v>1001</v>
      </c>
      <c r="B431" s="25">
        <v>1</v>
      </c>
      <c r="C431" s="25">
        <v>3</v>
      </c>
      <c r="D431" s="30" t="s">
        <v>1573</v>
      </c>
      <c r="E431" s="27" t="s">
        <v>1488</v>
      </c>
      <c r="F431" s="25">
        <v>240061</v>
      </c>
      <c r="G431" t="s">
        <v>1574</v>
      </c>
    </row>
    <row r="432" spans="1:7">
      <c r="A432" s="25">
        <v>1001</v>
      </c>
      <c r="B432" s="25">
        <v>1</v>
      </c>
      <c r="C432" s="25">
        <v>3</v>
      </c>
      <c r="D432" s="30" t="s">
        <v>1552</v>
      </c>
      <c r="E432" s="27" t="s">
        <v>1575</v>
      </c>
      <c r="F432" s="25">
        <v>240062</v>
      </c>
      <c r="G432" t="s">
        <v>1553</v>
      </c>
    </row>
    <row r="433" spans="1:7">
      <c r="A433" s="25">
        <v>1001</v>
      </c>
      <c r="B433" s="25">
        <v>1</v>
      </c>
      <c r="C433" s="25">
        <v>3</v>
      </c>
      <c r="D433" s="30" t="s">
        <v>1488</v>
      </c>
      <c r="E433" s="27" t="s">
        <v>1573</v>
      </c>
      <c r="F433" s="25">
        <v>240063</v>
      </c>
      <c r="G433" t="s">
        <v>1489</v>
      </c>
    </row>
    <row r="434" spans="1:7">
      <c r="A434" s="25">
        <v>1001</v>
      </c>
      <c r="B434" s="25">
        <v>1</v>
      </c>
      <c r="C434" s="25">
        <v>3</v>
      </c>
      <c r="D434" s="30" t="s">
        <v>1492</v>
      </c>
      <c r="E434" s="27" t="s">
        <v>1552</v>
      </c>
      <c r="F434" s="25">
        <v>240064</v>
      </c>
      <c r="G434" t="s">
        <v>1493</v>
      </c>
    </row>
    <row r="435" spans="1:7">
      <c r="A435" s="25">
        <v>1001</v>
      </c>
      <c r="B435" s="25">
        <v>1</v>
      </c>
      <c r="C435" s="25">
        <v>3</v>
      </c>
      <c r="D435" s="30" t="s">
        <v>1488</v>
      </c>
      <c r="E435" s="27" t="s">
        <v>1488</v>
      </c>
      <c r="F435" s="25">
        <v>240065</v>
      </c>
      <c r="G435" t="s">
        <v>1489</v>
      </c>
    </row>
    <row r="436" spans="1:7">
      <c r="A436" s="25">
        <v>1001</v>
      </c>
      <c r="B436" s="25">
        <v>1</v>
      </c>
      <c r="C436" s="25">
        <v>3</v>
      </c>
      <c r="D436" s="30" t="s">
        <v>1488</v>
      </c>
      <c r="E436" s="27" t="s">
        <v>1492</v>
      </c>
      <c r="F436" s="25">
        <v>240066</v>
      </c>
      <c r="G436" t="s">
        <v>1489</v>
      </c>
    </row>
    <row r="437" spans="1:7">
      <c r="A437" s="25">
        <v>1001</v>
      </c>
      <c r="B437" s="25">
        <v>1</v>
      </c>
      <c r="C437" s="25">
        <v>3</v>
      </c>
      <c r="D437" s="30" t="s">
        <v>1492</v>
      </c>
      <c r="E437" s="27" t="s">
        <v>1488</v>
      </c>
      <c r="F437" s="25">
        <v>240067</v>
      </c>
      <c r="G437" t="s">
        <v>1493</v>
      </c>
    </row>
    <row r="438" spans="1:7">
      <c r="A438" s="25">
        <v>1001</v>
      </c>
      <c r="B438" s="25">
        <v>1</v>
      </c>
      <c r="C438" s="25">
        <v>3</v>
      </c>
      <c r="D438" s="30" t="s">
        <v>1492</v>
      </c>
      <c r="E438" s="27" t="s">
        <v>1488</v>
      </c>
      <c r="F438" s="25">
        <v>240068</v>
      </c>
      <c r="G438" t="s">
        <v>1493</v>
      </c>
    </row>
    <row r="439" spans="1:7">
      <c r="A439" s="25">
        <v>1001</v>
      </c>
      <c r="B439" s="25">
        <v>1</v>
      </c>
      <c r="C439" s="25">
        <v>3</v>
      </c>
      <c r="D439" s="30" t="s">
        <v>1492</v>
      </c>
      <c r="E439" s="27" t="s">
        <v>1492</v>
      </c>
      <c r="F439" s="25">
        <v>240069</v>
      </c>
      <c r="G439" t="s">
        <v>1493</v>
      </c>
    </row>
    <row r="440" spans="1:7">
      <c r="A440" s="25">
        <v>1001</v>
      </c>
      <c r="B440" s="25">
        <v>1</v>
      </c>
      <c r="C440" s="25">
        <v>3</v>
      </c>
      <c r="D440" s="30" t="s">
        <v>1492</v>
      </c>
      <c r="E440" s="27" t="s">
        <v>1492</v>
      </c>
      <c r="F440" s="25">
        <v>240070</v>
      </c>
      <c r="G440" t="s">
        <v>1493</v>
      </c>
    </row>
    <row r="441" spans="1:7">
      <c r="A441" s="25">
        <v>1001</v>
      </c>
      <c r="B441" s="25">
        <v>1</v>
      </c>
      <c r="C441" s="25">
        <v>3</v>
      </c>
      <c r="D441" s="30" t="s">
        <v>1576</v>
      </c>
      <c r="E441" s="27" t="s">
        <v>1492</v>
      </c>
      <c r="F441" s="25">
        <v>240071</v>
      </c>
      <c r="G441" t="s">
        <v>1493</v>
      </c>
    </row>
    <row r="442" spans="1:7">
      <c r="A442" s="25">
        <v>1001</v>
      </c>
      <c r="B442" s="25">
        <v>1</v>
      </c>
      <c r="C442" s="25">
        <v>3</v>
      </c>
      <c r="D442" s="30" t="s">
        <v>1577</v>
      </c>
      <c r="E442" s="27" t="s">
        <v>1492</v>
      </c>
      <c r="F442" s="25">
        <v>240072</v>
      </c>
      <c r="G442" t="s">
        <v>1489</v>
      </c>
    </row>
    <row r="443" spans="1:7">
      <c r="A443" s="25">
        <v>1001</v>
      </c>
      <c r="B443" s="25">
        <v>1</v>
      </c>
      <c r="C443" s="25">
        <v>3</v>
      </c>
      <c r="D443" s="30" t="s">
        <v>1576</v>
      </c>
      <c r="E443" s="27" t="s">
        <v>1492</v>
      </c>
      <c r="F443" s="25">
        <v>240073</v>
      </c>
      <c r="G443" t="s">
        <v>1578</v>
      </c>
    </row>
    <row r="444" spans="1:7">
      <c r="A444" s="25">
        <v>1001</v>
      </c>
      <c r="B444" s="25">
        <v>1</v>
      </c>
      <c r="C444" s="25">
        <v>3</v>
      </c>
      <c r="D444" s="30" t="s">
        <v>1579</v>
      </c>
      <c r="E444" s="27" t="s">
        <v>1488</v>
      </c>
      <c r="F444" s="25">
        <v>240074</v>
      </c>
      <c r="G444" t="s">
        <v>1580</v>
      </c>
    </row>
    <row r="445" spans="1:7">
      <c r="A445" s="25">
        <v>1001</v>
      </c>
      <c r="B445" s="25">
        <v>1</v>
      </c>
      <c r="C445" s="25">
        <v>3</v>
      </c>
      <c r="D445" s="30" t="s">
        <v>1581</v>
      </c>
      <c r="E445" s="27" t="s">
        <v>1492</v>
      </c>
      <c r="F445" s="25">
        <v>240075</v>
      </c>
      <c r="G445" t="s">
        <v>1582</v>
      </c>
    </row>
    <row r="446" spans="1:7">
      <c r="A446" s="25">
        <v>1001</v>
      </c>
      <c r="B446" s="25">
        <v>1</v>
      </c>
      <c r="C446" s="25">
        <v>3</v>
      </c>
      <c r="D446" s="30" t="s">
        <v>1583</v>
      </c>
      <c r="E446" s="27" t="s">
        <v>1579</v>
      </c>
      <c r="F446" s="25">
        <v>240076</v>
      </c>
      <c r="G446" t="s">
        <v>1584</v>
      </c>
    </row>
    <row r="447" spans="1:7">
      <c r="A447" s="25">
        <v>1001</v>
      </c>
      <c r="B447" s="25">
        <v>1</v>
      </c>
      <c r="C447" s="25">
        <v>3</v>
      </c>
      <c r="D447" s="30" t="s">
        <v>1564</v>
      </c>
      <c r="E447" s="27" t="s">
        <v>1581</v>
      </c>
      <c r="F447" s="25">
        <v>240077</v>
      </c>
      <c r="G447" t="s">
        <v>1585</v>
      </c>
    </row>
    <row r="448" spans="1:7">
      <c r="A448" s="25">
        <v>1001</v>
      </c>
      <c r="B448" s="25">
        <v>1</v>
      </c>
      <c r="C448" s="25">
        <v>3</v>
      </c>
      <c r="D448" s="30" t="s">
        <v>1586</v>
      </c>
      <c r="E448" s="27" t="s">
        <v>1583</v>
      </c>
      <c r="F448" s="25">
        <v>240078</v>
      </c>
      <c r="G448" t="s">
        <v>1587</v>
      </c>
    </row>
    <row r="449" s="9" customFormat="1" spans="1:7">
      <c r="A449" s="47">
        <v>1001</v>
      </c>
      <c r="B449" s="47">
        <v>1</v>
      </c>
      <c r="C449" s="47">
        <v>3</v>
      </c>
      <c r="D449" s="48" t="s">
        <v>1494</v>
      </c>
      <c r="E449" s="27" t="s">
        <v>1564</v>
      </c>
      <c r="F449" s="25">
        <v>240079</v>
      </c>
      <c r="G449" s="9" t="s">
        <v>1495</v>
      </c>
    </row>
    <row r="450" s="9" customFormat="1" spans="1:7">
      <c r="A450" s="47">
        <v>1001</v>
      </c>
      <c r="B450" s="47">
        <v>1</v>
      </c>
      <c r="C450" s="47">
        <v>3</v>
      </c>
      <c r="D450" s="48" t="s">
        <v>1496</v>
      </c>
      <c r="E450" s="27" t="s">
        <v>1586</v>
      </c>
      <c r="F450" s="25">
        <v>240080</v>
      </c>
      <c r="G450" s="9" t="s">
        <v>1495</v>
      </c>
    </row>
    <row r="451" s="9" customFormat="1" spans="1:7">
      <c r="A451" s="47">
        <v>1001</v>
      </c>
      <c r="B451" s="47">
        <v>1</v>
      </c>
      <c r="C451" s="47">
        <v>3</v>
      </c>
      <c r="D451" s="48" t="s">
        <v>1554</v>
      </c>
      <c r="E451" s="27" t="s">
        <v>1494</v>
      </c>
      <c r="F451" s="47">
        <v>240081</v>
      </c>
      <c r="G451" s="9" t="s">
        <v>1555</v>
      </c>
    </row>
    <row r="452" s="9" customFormat="1" spans="1:7">
      <c r="A452" s="47">
        <v>1001</v>
      </c>
      <c r="B452" s="47">
        <v>1</v>
      </c>
      <c r="C452" s="47">
        <v>3</v>
      </c>
      <c r="D452" s="48" t="s">
        <v>1556</v>
      </c>
      <c r="E452" s="27" t="s">
        <v>1494</v>
      </c>
      <c r="F452" s="47">
        <v>240082</v>
      </c>
      <c r="G452" s="9" t="s">
        <v>1556</v>
      </c>
    </row>
    <row r="453" s="8" customFormat="1" spans="1:7">
      <c r="A453" s="41">
        <v>1001</v>
      </c>
      <c r="B453" s="41">
        <v>1</v>
      </c>
      <c r="C453" s="41">
        <v>3</v>
      </c>
      <c r="D453" s="49" t="s">
        <v>1588</v>
      </c>
      <c r="E453" s="27" t="s">
        <v>1554</v>
      </c>
      <c r="F453" s="47">
        <v>240083</v>
      </c>
      <c r="G453" s="8" t="s">
        <v>1589</v>
      </c>
    </row>
    <row r="454" s="8" customFormat="1" spans="1:7">
      <c r="A454" s="41">
        <v>1001</v>
      </c>
      <c r="B454" s="41">
        <v>1</v>
      </c>
      <c r="C454" s="41">
        <v>3</v>
      </c>
      <c r="D454" s="49" t="s">
        <v>1590</v>
      </c>
      <c r="E454" s="27" t="s">
        <v>1556</v>
      </c>
      <c r="F454" s="47">
        <v>240084</v>
      </c>
      <c r="G454" s="8" t="s">
        <v>1591</v>
      </c>
    </row>
    <row r="455" s="8" customFormat="1" spans="1:7">
      <c r="A455" s="41">
        <v>1001</v>
      </c>
      <c r="B455" s="41">
        <v>1</v>
      </c>
      <c r="C455" s="41">
        <v>3</v>
      </c>
      <c r="D455" s="49" t="s">
        <v>1592</v>
      </c>
      <c r="E455" s="27" t="s">
        <v>1588</v>
      </c>
      <c r="F455" s="41">
        <v>240085</v>
      </c>
      <c r="G455" s="8" t="s">
        <v>1593</v>
      </c>
    </row>
    <row r="456" s="8" customFormat="1" spans="1:7">
      <c r="A456" s="41">
        <v>1001</v>
      </c>
      <c r="B456" s="41">
        <v>1</v>
      </c>
      <c r="C456" s="41">
        <v>3</v>
      </c>
      <c r="D456" s="49" t="s">
        <v>1594</v>
      </c>
      <c r="E456" s="27" t="s">
        <v>1590</v>
      </c>
      <c r="F456" s="41">
        <v>240086</v>
      </c>
      <c r="G456" s="8" t="s">
        <v>1595</v>
      </c>
    </row>
    <row r="457" spans="1:7">
      <c r="A457" s="25">
        <v>1001</v>
      </c>
      <c r="B457" s="25">
        <v>1</v>
      </c>
      <c r="C457" s="25">
        <v>3</v>
      </c>
      <c r="D457" s="30" t="s">
        <v>1488</v>
      </c>
      <c r="E457" s="27" t="s">
        <v>1592</v>
      </c>
      <c r="F457" s="41">
        <v>240087</v>
      </c>
      <c r="G457" t="s">
        <v>1489</v>
      </c>
    </row>
    <row r="458" spans="1:7">
      <c r="A458" s="25">
        <v>1001</v>
      </c>
      <c r="B458" s="25">
        <v>1</v>
      </c>
      <c r="C458" s="25">
        <v>3</v>
      </c>
      <c r="D458" s="30" t="s">
        <v>1492</v>
      </c>
      <c r="E458" s="27" t="s">
        <v>1594</v>
      </c>
      <c r="F458" s="41">
        <v>240088</v>
      </c>
      <c r="G458" t="s">
        <v>1493</v>
      </c>
    </row>
    <row r="459" s="9" customFormat="1" spans="1:7">
      <c r="A459" s="47">
        <v>1001</v>
      </c>
      <c r="B459" s="47">
        <v>1</v>
      </c>
      <c r="C459" s="47">
        <v>3</v>
      </c>
      <c r="D459" s="48" t="s">
        <v>1496</v>
      </c>
      <c r="E459" s="27" t="s">
        <v>1488</v>
      </c>
      <c r="F459" s="25">
        <v>240089</v>
      </c>
      <c r="G459" s="9" t="s">
        <v>1495</v>
      </c>
    </row>
    <row r="460" spans="1:7">
      <c r="A460" s="25">
        <v>1001</v>
      </c>
      <c r="B460" s="25">
        <v>1</v>
      </c>
      <c r="C460" s="25">
        <v>3</v>
      </c>
      <c r="D460" s="30" t="s">
        <v>1586</v>
      </c>
      <c r="E460" s="27" t="s">
        <v>1492</v>
      </c>
      <c r="F460" s="25">
        <v>240090</v>
      </c>
      <c r="G460" t="s">
        <v>1587</v>
      </c>
    </row>
    <row r="461" spans="1:7">
      <c r="A461" s="25">
        <v>1001</v>
      </c>
      <c r="B461" s="25">
        <v>1</v>
      </c>
      <c r="C461" s="25">
        <v>3</v>
      </c>
      <c r="D461" s="30" t="s">
        <v>1596</v>
      </c>
      <c r="E461" s="27" t="s">
        <v>1494</v>
      </c>
      <c r="F461" s="25">
        <v>240091</v>
      </c>
      <c r="G461" t="s">
        <v>1597</v>
      </c>
    </row>
    <row r="462" spans="1:7">
      <c r="A462" s="25">
        <v>1001</v>
      </c>
      <c r="B462" s="25">
        <v>1</v>
      </c>
      <c r="C462" s="25">
        <v>3</v>
      </c>
      <c r="D462" s="30" t="s">
        <v>1598</v>
      </c>
      <c r="E462" s="27" t="s">
        <v>1586</v>
      </c>
      <c r="F462" s="25">
        <v>240092</v>
      </c>
      <c r="G462" t="s">
        <v>1599</v>
      </c>
    </row>
    <row r="463" spans="1:7">
      <c r="A463" s="25">
        <v>1001</v>
      </c>
      <c r="B463" s="25">
        <v>1</v>
      </c>
      <c r="C463" s="25">
        <v>3</v>
      </c>
      <c r="D463" s="30" t="s">
        <v>1600</v>
      </c>
      <c r="E463" s="27" t="s">
        <v>1596</v>
      </c>
      <c r="F463" s="25">
        <v>240093</v>
      </c>
      <c r="G463" t="s">
        <v>1600</v>
      </c>
    </row>
    <row r="464" spans="1:7">
      <c r="A464" s="25">
        <v>1001</v>
      </c>
      <c r="B464" s="25">
        <v>1</v>
      </c>
      <c r="C464" s="25">
        <v>3</v>
      </c>
      <c r="D464" s="30" t="s">
        <v>1586</v>
      </c>
      <c r="E464" s="27" t="s">
        <v>1598</v>
      </c>
      <c r="F464" s="25">
        <v>240094</v>
      </c>
      <c r="G464" t="s">
        <v>1587</v>
      </c>
    </row>
    <row r="465" spans="1:7">
      <c r="A465" s="25">
        <v>1001</v>
      </c>
      <c r="B465" s="25">
        <v>1</v>
      </c>
      <c r="C465" s="25">
        <v>3</v>
      </c>
      <c r="D465" s="30" t="s">
        <v>1564</v>
      </c>
      <c r="E465" s="27" t="s">
        <v>1600</v>
      </c>
      <c r="F465" s="25">
        <v>240095</v>
      </c>
      <c r="G465" t="s">
        <v>1585</v>
      </c>
    </row>
    <row r="466" spans="1:7">
      <c r="A466" s="25">
        <v>1001</v>
      </c>
      <c r="B466" s="25">
        <v>1</v>
      </c>
      <c r="C466" s="25">
        <v>3</v>
      </c>
      <c r="D466" s="30" t="s">
        <v>1552</v>
      </c>
      <c r="E466" s="27" t="s">
        <v>1586</v>
      </c>
      <c r="F466" s="25">
        <v>240096</v>
      </c>
      <c r="G466" t="s">
        <v>1553</v>
      </c>
    </row>
    <row r="467" spans="1:7">
      <c r="A467" s="25">
        <v>1001</v>
      </c>
      <c r="B467" s="25">
        <v>1</v>
      </c>
      <c r="C467" s="25">
        <v>3</v>
      </c>
      <c r="D467" s="30" t="s">
        <v>1601</v>
      </c>
      <c r="E467" s="27" t="s">
        <v>1564</v>
      </c>
      <c r="F467" s="25">
        <v>240097</v>
      </c>
      <c r="G467" t="s">
        <v>1602</v>
      </c>
    </row>
    <row r="468" spans="1:7">
      <c r="A468" s="25">
        <v>1001</v>
      </c>
      <c r="B468" s="25">
        <v>1</v>
      </c>
      <c r="C468" s="25">
        <v>3</v>
      </c>
      <c r="D468" s="30" t="s">
        <v>1603</v>
      </c>
      <c r="E468" s="27" t="s">
        <v>1552</v>
      </c>
      <c r="F468" s="25">
        <v>240098</v>
      </c>
      <c r="G468" t="s">
        <v>1604</v>
      </c>
    </row>
    <row r="469" spans="1:7">
      <c r="A469" s="25">
        <v>1001</v>
      </c>
      <c r="B469" s="25">
        <v>1</v>
      </c>
      <c r="C469" s="25">
        <v>3</v>
      </c>
      <c r="D469" s="30" t="s">
        <v>1605</v>
      </c>
      <c r="E469" s="27" t="s">
        <v>1601</v>
      </c>
      <c r="F469" s="25">
        <v>240099</v>
      </c>
      <c r="G469" t="s">
        <v>1606</v>
      </c>
    </row>
    <row r="470" spans="1:7">
      <c r="A470" s="25">
        <v>1001</v>
      </c>
      <c r="B470" s="25">
        <v>1</v>
      </c>
      <c r="C470" s="25">
        <v>3</v>
      </c>
      <c r="D470" s="30" t="s">
        <v>1492</v>
      </c>
      <c r="E470" s="27" t="s">
        <v>1603</v>
      </c>
      <c r="F470" s="25">
        <v>240100</v>
      </c>
      <c r="G470" t="s">
        <v>1493</v>
      </c>
    </row>
    <row r="471" spans="1:7">
      <c r="A471" s="25">
        <v>1001</v>
      </c>
      <c r="B471" s="25">
        <v>6</v>
      </c>
      <c r="C471" s="25">
        <v>1001</v>
      </c>
      <c r="D471" s="27" t="s">
        <v>1607</v>
      </c>
      <c r="E471" s="27" t="s">
        <v>1608</v>
      </c>
      <c r="F471" s="25">
        <v>240101</v>
      </c>
      <c r="G471" t="s">
        <v>1609</v>
      </c>
    </row>
    <row r="472" spans="1:7">
      <c r="A472" s="25">
        <v>1001</v>
      </c>
      <c r="B472" s="25">
        <v>6</v>
      </c>
      <c r="C472" s="25">
        <v>1001</v>
      </c>
      <c r="D472" s="27" t="s">
        <v>1610</v>
      </c>
      <c r="E472" s="27" t="s">
        <v>1492</v>
      </c>
      <c r="F472" s="25">
        <v>240102</v>
      </c>
      <c r="G472" t="s">
        <v>1611</v>
      </c>
    </row>
    <row r="473" spans="1:7">
      <c r="A473" s="25">
        <v>1001</v>
      </c>
      <c r="B473" s="25">
        <v>1</v>
      </c>
      <c r="C473" s="25">
        <v>3</v>
      </c>
      <c r="D473" s="30" t="s">
        <v>1612</v>
      </c>
      <c r="E473" s="27" t="s">
        <v>1613</v>
      </c>
      <c r="F473" s="25">
        <v>240103</v>
      </c>
      <c r="G473" t="s">
        <v>1614</v>
      </c>
    </row>
    <row r="474" spans="1:7">
      <c r="A474" s="25">
        <v>1001</v>
      </c>
      <c r="B474" s="25">
        <v>1</v>
      </c>
      <c r="C474" s="25">
        <v>3</v>
      </c>
      <c r="D474" s="30" t="s">
        <v>1615</v>
      </c>
      <c r="E474" s="27" t="s">
        <v>1616</v>
      </c>
      <c r="F474" s="25">
        <v>240104</v>
      </c>
      <c r="G474" t="s">
        <v>1553</v>
      </c>
    </row>
    <row r="475" spans="1:7">
      <c r="A475" s="25">
        <v>1001</v>
      </c>
      <c r="B475" s="25">
        <v>1</v>
      </c>
      <c r="C475" s="25">
        <v>3</v>
      </c>
      <c r="D475" s="30" t="s">
        <v>1617</v>
      </c>
      <c r="E475" s="27" t="s">
        <v>1618</v>
      </c>
      <c r="F475" s="25">
        <v>240105</v>
      </c>
      <c r="G475" t="s">
        <v>1493</v>
      </c>
    </row>
    <row r="476" spans="1:7">
      <c r="A476" s="25">
        <v>1001</v>
      </c>
      <c r="B476" s="25">
        <v>1</v>
      </c>
      <c r="C476" s="25">
        <v>3</v>
      </c>
      <c r="D476" s="30" t="s">
        <v>1619</v>
      </c>
      <c r="E476" s="27" t="s">
        <v>1615</v>
      </c>
      <c r="F476" s="25">
        <v>240106</v>
      </c>
      <c r="G476" t="s">
        <v>1493</v>
      </c>
    </row>
    <row r="477" spans="1:7">
      <c r="A477" s="25">
        <v>1001</v>
      </c>
      <c r="B477" s="25">
        <v>1</v>
      </c>
      <c r="C477" s="25">
        <v>3</v>
      </c>
      <c r="D477" s="30" t="s">
        <v>1620</v>
      </c>
      <c r="E477" s="27" t="s">
        <v>1617</v>
      </c>
      <c r="F477" s="25">
        <v>240107</v>
      </c>
      <c r="G477" t="s">
        <v>1493</v>
      </c>
    </row>
    <row r="478" spans="1:7">
      <c r="A478" s="25">
        <v>1001</v>
      </c>
      <c r="B478" s="25">
        <v>1</v>
      </c>
      <c r="C478" s="25">
        <v>3</v>
      </c>
      <c r="D478" s="30" t="s">
        <v>1621</v>
      </c>
      <c r="E478" s="27" t="s">
        <v>1619</v>
      </c>
      <c r="F478" s="25">
        <v>240108</v>
      </c>
      <c r="G478" t="s">
        <v>1493</v>
      </c>
    </row>
    <row r="479" spans="1:7">
      <c r="A479" s="25">
        <v>1001</v>
      </c>
      <c r="B479" s="25">
        <v>1</v>
      </c>
      <c r="C479" s="25">
        <v>3</v>
      </c>
      <c r="D479" s="30" t="s">
        <v>1622</v>
      </c>
      <c r="E479" s="27" t="s">
        <v>1620</v>
      </c>
      <c r="F479" s="25">
        <v>240109</v>
      </c>
      <c r="G479" t="s">
        <v>1493</v>
      </c>
    </row>
    <row r="480" spans="1:7">
      <c r="A480" s="25">
        <v>1001</v>
      </c>
      <c r="B480" s="25">
        <v>1</v>
      </c>
      <c r="C480" s="25">
        <v>3</v>
      </c>
      <c r="D480" s="30" t="s">
        <v>1623</v>
      </c>
      <c r="E480" s="27" t="s">
        <v>1488</v>
      </c>
      <c r="F480" s="25">
        <v>240110</v>
      </c>
      <c r="G480" t="s">
        <v>1493</v>
      </c>
    </row>
    <row r="481" spans="1:7">
      <c r="A481" s="25">
        <v>1001</v>
      </c>
      <c r="B481" s="25">
        <v>1</v>
      </c>
      <c r="C481" s="25">
        <v>3</v>
      </c>
      <c r="D481" s="30" t="s">
        <v>1624</v>
      </c>
      <c r="E481" s="27" t="s">
        <v>1492</v>
      </c>
      <c r="F481" s="25">
        <v>240111</v>
      </c>
      <c r="G481" t="s">
        <v>1493</v>
      </c>
    </row>
    <row r="482" spans="1:7">
      <c r="A482" s="25">
        <v>1001</v>
      </c>
      <c r="B482" s="25">
        <v>6</v>
      </c>
      <c r="C482" s="25">
        <v>1001</v>
      </c>
      <c r="D482" s="27" t="s">
        <v>1625</v>
      </c>
      <c r="E482" s="27" t="s">
        <v>1488</v>
      </c>
      <c r="F482" s="25">
        <v>240112</v>
      </c>
      <c r="G482" t="s">
        <v>1626</v>
      </c>
    </row>
    <row r="483" spans="1:7">
      <c r="A483" s="25">
        <v>1001</v>
      </c>
      <c r="B483" s="25">
        <v>1</v>
      </c>
      <c r="C483" s="25">
        <v>3</v>
      </c>
      <c r="D483" s="30" t="s">
        <v>1627</v>
      </c>
      <c r="E483" s="27" t="s">
        <v>1618</v>
      </c>
      <c r="F483" s="25">
        <v>240113</v>
      </c>
      <c r="G483" t="s">
        <v>1493</v>
      </c>
    </row>
    <row r="484" spans="1:7">
      <c r="A484" s="25">
        <v>1001</v>
      </c>
      <c r="B484" s="25">
        <v>1</v>
      </c>
      <c r="C484" s="25">
        <v>3</v>
      </c>
      <c r="D484" s="30" t="s">
        <v>1628</v>
      </c>
      <c r="E484" s="27" t="s">
        <v>1629</v>
      </c>
      <c r="F484" s="25">
        <v>240114</v>
      </c>
      <c r="G484" t="s">
        <v>1493</v>
      </c>
    </row>
    <row r="485" spans="1:7">
      <c r="A485" s="25">
        <v>1001</v>
      </c>
      <c r="B485" s="25">
        <v>1</v>
      </c>
      <c r="C485" s="25">
        <v>3</v>
      </c>
      <c r="D485" s="30" t="s">
        <v>1630</v>
      </c>
      <c r="E485" s="27" t="s">
        <v>1627</v>
      </c>
      <c r="F485" s="25">
        <v>240115</v>
      </c>
      <c r="G485" t="s">
        <v>1493</v>
      </c>
    </row>
    <row r="486" spans="1:7">
      <c r="A486" s="25">
        <v>1001</v>
      </c>
      <c r="B486" s="25">
        <v>1</v>
      </c>
      <c r="C486" s="25">
        <v>3</v>
      </c>
      <c r="D486" s="30" t="s">
        <v>1631</v>
      </c>
      <c r="E486" s="27" t="s">
        <v>1628</v>
      </c>
      <c r="F486" s="25">
        <v>240116</v>
      </c>
      <c r="G486" t="s">
        <v>1493</v>
      </c>
    </row>
    <row r="487" spans="1:7">
      <c r="A487" s="25">
        <v>1001</v>
      </c>
      <c r="B487" s="25">
        <v>1</v>
      </c>
      <c r="C487" s="25">
        <v>3</v>
      </c>
      <c r="D487" s="30" t="s">
        <v>1632</v>
      </c>
      <c r="E487" s="27" t="s">
        <v>1630</v>
      </c>
      <c r="F487" s="25">
        <v>240117</v>
      </c>
      <c r="G487" t="s">
        <v>1493</v>
      </c>
    </row>
    <row r="488" spans="1:7">
      <c r="A488" s="25">
        <v>1001</v>
      </c>
      <c r="B488" s="25">
        <v>1</v>
      </c>
      <c r="C488" s="25">
        <v>3</v>
      </c>
      <c r="D488" s="30" t="s">
        <v>1633</v>
      </c>
      <c r="E488" s="27" t="s">
        <v>1631</v>
      </c>
      <c r="F488" s="25">
        <v>240118</v>
      </c>
      <c r="G488" t="s">
        <v>1493</v>
      </c>
    </row>
    <row r="489" spans="1:7">
      <c r="A489" s="25">
        <v>1001</v>
      </c>
      <c r="B489" s="25">
        <v>1</v>
      </c>
      <c r="C489" s="25">
        <v>3</v>
      </c>
      <c r="D489" s="30" t="s">
        <v>1634</v>
      </c>
      <c r="E489" s="27" t="s">
        <v>1632</v>
      </c>
      <c r="F489" s="25">
        <v>240119</v>
      </c>
      <c r="G489" t="s">
        <v>1493</v>
      </c>
    </row>
    <row r="490" spans="1:7">
      <c r="A490" s="25">
        <v>1001</v>
      </c>
      <c r="B490" s="25">
        <v>1</v>
      </c>
      <c r="C490" s="25">
        <v>3</v>
      </c>
      <c r="D490" s="30" t="s">
        <v>1635</v>
      </c>
      <c r="E490" s="27" t="s">
        <v>1633</v>
      </c>
      <c r="F490" s="25">
        <v>240120</v>
      </c>
      <c r="G490" t="s">
        <v>1493</v>
      </c>
    </row>
    <row r="491" spans="1:7">
      <c r="A491" s="25">
        <v>1001</v>
      </c>
      <c r="B491" s="25">
        <v>1</v>
      </c>
      <c r="C491" s="25">
        <v>3</v>
      </c>
      <c r="D491" s="30" t="s">
        <v>1636</v>
      </c>
      <c r="E491" s="27" t="s">
        <v>1634</v>
      </c>
      <c r="F491" s="25">
        <v>240121</v>
      </c>
      <c r="G491" t="s">
        <v>1493</v>
      </c>
    </row>
    <row r="492" spans="1:7">
      <c r="A492" s="25">
        <v>1001</v>
      </c>
      <c r="B492" s="25">
        <v>1</v>
      </c>
      <c r="C492" s="25">
        <v>3</v>
      </c>
      <c r="D492" s="30" t="s">
        <v>1637</v>
      </c>
      <c r="E492" s="27" t="s">
        <v>1635</v>
      </c>
      <c r="F492" s="25">
        <v>240122</v>
      </c>
      <c r="G492" t="s">
        <v>1493</v>
      </c>
    </row>
    <row r="493" spans="1:7">
      <c r="A493" s="25">
        <v>1001</v>
      </c>
      <c r="B493" s="25">
        <v>11</v>
      </c>
      <c r="C493" s="25">
        <v>1001</v>
      </c>
      <c r="D493" s="6" t="s">
        <v>1638</v>
      </c>
      <c r="E493" s="27" t="s">
        <v>1636</v>
      </c>
      <c r="F493" s="25">
        <v>240123</v>
      </c>
      <c r="G493" t="s">
        <v>1639</v>
      </c>
    </row>
    <row r="494" spans="1:7">
      <c r="A494" s="25">
        <v>1001</v>
      </c>
      <c r="B494" s="25">
        <v>11</v>
      </c>
      <c r="C494" s="25">
        <v>1001</v>
      </c>
      <c r="D494" s="6" t="s">
        <v>1640</v>
      </c>
      <c r="E494" s="27" t="s">
        <v>1637</v>
      </c>
      <c r="F494" s="25">
        <v>240124</v>
      </c>
      <c r="G494" t="s">
        <v>1639</v>
      </c>
    </row>
    <row r="495" spans="1:7">
      <c r="A495" s="25">
        <v>1001</v>
      </c>
      <c r="B495" s="25">
        <v>11</v>
      </c>
      <c r="C495" s="25">
        <v>1001</v>
      </c>
      <c r="D495" s="6" t="s">
        <v>1641</v>
      </c>
      <c r="E495" s="27" t="s">
        <v>1638</v>
      </c>
      <c r="F495" s="25">
        <v>212009</v>
      </c>
      <c r="G495" t="s">
        <v>1639</v>
      </c>
    </row>
    <row r="496" spans="1:7">
      <c r="A496" s="25">
        <v>1001</v>
      </c>
      <c r="B496" s="25">
        <v>11</v>
      </c>
      <c r="C496" s="25">
        <v>1001</v>
      </c>
      <c r="D496" s="6" t="s">
        <v>1642</v>
      </c>
      <c r="E496" s="27" t="s">
        <v>1640</v>
      </c>
      <c r="F496" s="25">
        <v>212111</v>
      </c>
      <c r="G496" t="s">
        <v>1639</v>
      </c>
    </row>
    <row r="497" spans="1:7">
      <c r="A497" s="25">
        <v>1001</v>
      </c>
      <c r="B497" s="25">
        <v>11</v>
      </c>
      <c r="C497" s="25">
        <v>1001</v>
      </c>
      <c r="D497" s="6" t="s">
        <v>1643</v>
      </c>
      <c r="E497" s="27" t="s">
        <v>1641</v>
      </c>
      <c r="F497" s="25">
        <v>212112</v>
      </c>
      <c r="G497" t="s">
        <v>1639</v>
      </c>
    </row>
    <row r="498" spans="1:7">
      <c r="A498" s="25">
        <v>1001</v>
      </c>
      <c r="B498" s="25">
        <v>11</v>
      </c>
      <c r="C498" s="25">
        <v>1001</v>
      </c>
      <c r="D498" s="6" t="s">
        <v>1644</v>
      </c>
      <c r="E498" s="27" t="s">
        <v>1642</v>
      </c>
      <c r="F498" s="25">
        <v>212113</v>
      </c>
      <c r="G498" t="s">
        <v>1639</v>
      </c>
    </row>
    <row r="499" spans="1:7">
      <c r="A499" s="25">
        <v>1001</v>
      </c>
      <c r="B499" s="25">
        <v>11</v>
      </c>
      <c r="C499" s="25">
        <v>1001</v>
      </c>
      <c r="D499" s="6" t="s">
        <v>1645</v>
      </c>
      <c r="E499" s="27" t="s">
        <v>1643</v>
      </c>
      <c r="F499" s="25">
        <v>212114</v>
      </c>
      <c r="G499" t="s">
        <v>1639</v>
      </c>
    </row>
    <row r="500" spans="1:7">
      <c r="A500" s="25">
        <v>1001</v>
      </c>
      <c r="B500" s="25">
        <v>11</v>
      </c>
      <c r="C500" s="25">
        <v>1001</v>
      </c>
      <c r="D500" s="6" t="s">
        <v>1646</v>
      </c>
      <c r="E500" s="27" t="s">
        <v>1644</v>
      </c>
      <c r="F500" s="25">
        <v>213009</v>
      </c>
      <c r="G500" t="s">
        <v>1639</v>
      </c>
    </row>
    <row r="501" spans="1:7">
      <c r="A501" s="25">
        <v>1001</v>
      </c>
      <c r="B501" s="25">
        <v>11</v>
      </c>
      <c r="C501" s="25">
        <v>1001</v>
      </c>
      <c r="D501" s="6" t="s">
        <v>1647</v>
      </c>
      <c r="E501" s="27" t="s">
        <v>1645</v>
      </c>
      <c r="F501" s="25">
        <v>213111</v>
      </c>
      <c r="G501" t="s">
        <v>1639</v>
      </c>
    </row>
    <row r="502" spans="1:7">
      <c r="A502" s="25">
        <v>1001</v>
      </c>
      <c r="B502" s="25">
        <v>11</v>
      </c>
      <c r="C502" s="25">
        <v>1001</v>
      </c>
      <c r="D502" s="6" t="s">
        <v>1648</v>
      </c>
      <c r="E502" s="27" t="s">
        <v>1646</v>
      </c>
      <c r="F502" s="25">
        <v>213112</v>
      </c>
      <c r="G502" t="s">
        <v>1639</v>
      </c>
    </row>
    <row r="503" spans="1:7">
      <c r="A503" s="25">
        <v>1001</v>
      </c>
      <c r="B503" s="25">
        <v>11</v>
      </c>
      <c r="C503" s="25">
        <v>1001</v>
      </c>
      <c r="D503" s="6" t="s">
        <v>1649</v>
      </c>
      <c r="E503" s="27" t="s">
        <v>1647</v>
      </c>
      <c r="F503" s="25">
        <v>213113</v>
      </c>
      <c r="G503" t="s">
        <v>1639</v>
      </c>
    </row>
    <row r="504" spans="1:7">
      <c r="A504" s="25">
        <v>1001</v>
      </c>
      <c r="B504" s="25">
        <v>11</v>
      </c>
      <c r="C504" s="25">
        <v>1001</v>
      </c>
      <c r="D504" s="6" t="s">
        <v>1650</v>
      </c>
      <c r="E504" s="27" t="s">
        <v>1648</v>
      </c>
      <c r="F504" s="25">
        <v>213114</v>
      </c>
      <c r="G504" t="s">
        <v>1639</v>
      </c>
    </row>
    <row r="505" spans="1:7">
      <c r="A505" s="25">
        <v>1001</v>
      </c>
      <c r="B505" s="25">
        <v>11</v>
      </c>
      <c r="C505" s="25">
        <v>1001</v>
      </c>
      <c r="D505" s="6" t="s">
        <v>1651</v>
      </c>
      <c r="E505" s="27" t="s">
        <v>1649</v>
      </c>
      <c r="F505" s="25">
        <v>214009</v>
      </c>
      <c r="G505" t="s">
        <v>1639</v>
      </c>
    </row>
    <row r="506" spans="1:7">
      <c r="A506" s="25">
        <v>1001</v>
      </c>
      <c r="B506" s="25">
        <v>11</v>
      </c>
      <c r="C506" s="25">
        <v>1001</v>
      </c>
      <c r="D506" s="6" t="s">
        <v>1652</v>
      </c>
      <c r="E506" s="27" t="s">
        <v>1650</v>
      </c>
      <c r="F506" s="25">
        <v>214111</v>
      </c>
      <c r="G506" t="s">
        <v>1639</v>
      </c>
    </row>
    <row r="507" spans="1:7">
      <c r="A507" s="25">
        <v>1001</v>
      </c>
      <c r="B507" s="25">
        <v>11</v>
      </c>
      <c r="C507" s="25">
        <v>1001</v>
      </c>
      <c r="D507" s="6" t="s">
        <v>1653</v>
      </c>
      <c r="E507" s="27" t="s">
        <v>1651</v>
      </c>
      <c r="F507" s="25">
        <v>214112</v>
      </c>
      <c r="G507" t="s">
        <v>1639</v>
      </c>
    </row>
    <row r="508" spans="1:7">
      <c r="A508" s="25">
        <v>1001</v>
      </c>
      <c r="B508" s="25">
        <v>11</v>
      </c>
      <c r="C508" s="25">
        <v>1001</v>
      </c>
      <c r="D508" t="s">
        <v>1654</v>
      </c>
      <c r="E508" s="27" t="s">
        <v>1652</v>
      </c>
      <c r="F508" s="25">
        <v>214113</v>
      </c>
      <c r="G508" t="s">
        <v>1639</v>
      </c>
    </row>
    <row r="509" spans="1:7">
      <c r="A509" s="25">
        <v>1001</v>
      </c>
      <c r="B509" s="25">
        <v>11</v>
      </c>
      <c r="C509" s="25">
        <v>1001</v>
      </c>
      <c r="D509" t="s">
        <v>1655</v>
      </c>
      <c r="E509" s="27" t="s">
        <v>1653</v>
      </c>
      <c r="F509" s="25">
        <v>214114</v>
      </c>
      <c r="G509" t="s">
        <v>1639</v>
      </c>
    </row>
    <row r="510" spans="1:7">
      <c r="A510" s="25">
        <v>1001</v>
      </c>
      <c r="B510" s="25">
        <v>11</v>
      </c>
      <c r="C510" s="25">
        <v>1001</v>
      </c>
      <c r="D510" t="s">
        <v>1656</v>
      </c>
      <c r="E510" s="27" t="s">
        <v>1654</v>
      </c>
      <c r="F510" s="25">
        <v>215009</v>
      </c>
      <c r="G510" t="s">
        <v>1639</v>
      </c>
    </row>
    <row r="511" spans="1:7">
      <c r="A511" s="25">
        <v>1001</v>
      </c>
      <c r="B511" s="25">
        <v>11</v>
      </c>
      <c r="C511" s="25">
        <v>1001</v>
      </c>
      <c r="D511" t="s">
        <v>1657</v>
      </c>
      <c r="E511" s="27" t="s">
        <v>1655</v>
      </c>
      <c r="F511" s="25">
        <v>215111</v>
      </c>
      <c r="G511" t="s">
        <v>1639</v>
      </c>
    </row>
    <row r="512" spans="1:7">
      <c r="A512" s="25">
        <v>1001</v>
      </c>
      <c r="B512" s="25">
        <v>11</v>
      </c>
      <c r="C512" s="25">
        <v>1001</v>
      </c>
      <c r="D512" t="s">
        <v>1658</v>
      </c>
      <c r="E512" s="27" t="s">
        <v>1656</v>
      </c>
      <c r="F512" s="25">
        <v>215112</v>
      </c>
      <c r="G512" t="s">
        <v>1639</v>
      </c>
    </row>
    <row r="513" spans="1:7">
      <c r="A513" s="25">
        <v>1001</v>
      </c>
      <c r="B513" s="25">
        <v>11</v>
      </c>
      <c r="C513" s="25">
        <v>1001</v>
      </c>
      <c r="D513" t="s">
        <v>1659</v>
      </c>
      <c r="E513" s="27" t="s">
        <v>1657</v>
      </c>
      <c r="F513" s="25">
        <v>215113</v>
      </c>
      <c r="G513" t="s">
        <v>1660</v>
      </c>
    </row>
    <row r="514" spans="1:7">
      <c r="A514" s="25">
        <v>1001</v>
      </c>
      <c r="B514" s="25">
        <v>11</v>
      </c>
      <c r="C514" s="25">
        <v>1001</v>
      </c>
      <c r="D514" t="s">
        <v>1661</v>
      </c>
      <c r="E514" s="27" t="s">
        <v>1658</v>
      </c>
      <c r="F514" s="25">
        <v>215114</v>
      </c>
      <c r="G514" t="s">
        <v>1639</v>
      </c>
    </row>
    <row r="515" spans="1:7">
      <c r="A515" s="25">
        <v>1001</v>
      </c>
      <c r="B515" s="25">
        <v>11</v>
      </c>
      <c r="C515" s="25">
        <v>1001</v>
      </c>
      <c r="D515" t="s">
        <v>1662</v>
      </c>
      <c r="E515" s="27" t="s">
        <v>1659</v>
      </c>
      <c r="F515" s="25">
        <v>216111</v>
      </c>
      <c r="G515" t="s">
        <v>1639</v>
      </c>
    </row>
    <row r="516" spans="1:7">
      <c r="A516" s="25">
        <v>1001</v>
      </c>
      <c r="B516" s="25">
        <v>1</v>
      </c>
      <c r="C516" s="25">
        <v>1001</v>
      </c>
      <c r="D516" s="30" t="s">
        <v>1663</v>
      </c>
      <c r="E516" s="27" t="s">
        <v>1661</v>
      </c>
      <c r="F516" s="25">
        <v>216112</v>
      </c>
      <c r="G516" t="s">
        <v>1664</v>
      </c>
    </row>
    <row r="517" spans="1:7">
      <c r="A517" s="25">
        <v>1001</v>
      </c>
      <c r="B517" s="25">
        <v>1</v>
      </c>
      <c r="C517" s="25">
        <v>1001</v>
      </c>
      <c r="D517" s="30" t="s">
        <v>1665</v>
      </c>
      <c r="E517" s="27" t="s">
        <v>1662</v>
      </c>
      <c r="F517" s="25">
        <v>216113</v>
      </c>
      <c r="G517" t="s">
        <v>1666</v>
      </c>
    </row>
    <row r="518" spans="1:7">
      <c r="A518" s="25">
        <v>1001</v>
      </c>
      <c r="B518" s="25">
        <v>1</v>
      </c>
      <c r="C518" s="25">
        <v>1001</v>
      </c>
      <c r="D518" s="30" t="s">
        <v>1667</v>
      </c>
      <c r="E518" s="27" t="s">
        <v>1668</v>
      </c>
      <c r="F518">
        <v>250007</v>
      </c>
      <c r="G518" t="s">
        <v>1669</v>
      </c>
    </row>
    <row r="519" spans="1:7">
      <c r="A519" s="25">
        <v>1001</v>
      </c>
      <c r="B519" s="25">
        <v>1</v>
      </c>
      <c r="C519" s="25">
        <v>1001</v>
      </c>
      <c r="D519" t="s">
        <v>1670</v>
      </c>
      <c r="E519" s="27" t="s">
        <v>1668</v>
      </c>
      <c r="F519">
        <v>250008</v>
      </c>
      <c r="G519" t="s">
        <v>1671</v>
      </c>
    </row>
    <row r="520" spans="1:7">
      <c r="A520" s="25">
        <v>1001</v>
      </c>
      <c r="B520" s="25">
        <v>1</v>
      </c>
      <c r="C520" s="25">
        <v>1001</v>
      </c>
      <c r="D520" t="s">
        <v>1672</v>
      </c>
      <c r="E520" s="27" t="s">
        <v>1668</v>
      </c>
      <c r="F520">
        <v>250009</v>
      </c>
      <c r="G520" t="s">
        <v>1673</v>
      </c>
    </row>
    <row r="521" spans="1:7">
      <c r="A521" s="25">
        <v>1001</v>
      </c>
      <c r="B521" s="25">
        <v>1</v>
      </c>
      <c r="C521" s="25">
        <v>1001</v>
      </c>
      <c r="D521" t="s">
        <v>1674</v>
      </c>
      <c r="E521" s="27" t="s">
        <v>1668</v>
      </c>
      <c r="F521">
        <v>250010</v>
      </c>
      <c r="G521" t="s">
        <v>1675</v>
      </c>
    </row>
    <row r="522" spans="1:7">
      <c r="A522" s="25">
        <v>1001</v>
      </c>
      <c r="B522" s="25">
        <v>1</v>
      </c>
      <c r="C522" s="25">
        <v>1001</v>
      </c>
      <c r="D522" t="s">
        <v>1676</v>
      </c>
      <c r="E522" s="27" t="s">
        <v>1668</v>
      </c>
      <c r="F522">
        <v>250011</v>
      </c>
      <c r="G522" t="s">
        <v>1677</v>
      </c>
    </row>
    <row r="523" spans="1:7">
      <c r="A523" s="25">
        <v>1001</v>
      </c>
      <c r="B523" s="25">
        <v>1</v>
      </c>
      <c r="C523" s="25">
        <v>1001</v>
      </c>
      <c r="D523" t="s">
        <v>1678</v>
      </c>
      <c r="E523" s="27" t="s">
        <v>1674</v>
      </c>
      <c r="F523">
        <v>250016</v>
      </c>
      <c r="G523" t="s">
        <v>1679</v>
      </c>
    </row>
    <row r="524" spans="1:7">
      <c r="A524" s="25">
        <v>1001</v>
      </c>
      <c r="B524" s="25">
        <v>1</v>
      </c>
      <c r="C524" s="25">
        <v>1001</v>
      </c>
      <c r="D524" t="s">
        <v>1680</v>
      </c>
      <c r="E524" s="27" t="s">
        <v>1676</v>
      </c>
      <c r="F524">
        <v>250017</v>
      </c>
      <c r="G524" t="s">
        <v>1681</v>
      </c>
    </row>
    <row r="525" spans="1:7">
      <c r="A525" s="25">
        <v>1001</v>
      </c>
      <c r="B525" s="25">
        <v>1</v>
      </c>
      <c r="C525" s="25">
        <v>1001</v>
      </c>
      <c r="D525" t="s">
        <v>1682</v>
      </c>
      <c r="E525" s="27" t="s">
        <v>1683</v>
      </c>
      <c r="F525">
        <v>250018</v>
      </c>
      <c r="G525" t="s">
        <v>1684</v>
      </c>
    </row>
    <row r="526" spans="1:7">
      <c r="A526" s="25">
        <v>1001</v>
      </c>
      <c r="B526" s="25">
        <v>1</v>
      </c>
      <c r="C526" s="25">
        <v>1001</v>
      </c>
      <c r="D526" t="s">
        <v>1685</v>
      </c>
      <c r="E526" s="27" t="s">
        <v>1686</v>
      </c>
      <c r="F526">
        <v>250019</v>
      </c>
      <c r="G526" t="s">
        <v>1687</v>
      </c>
    </row>
    <row r="527" spans="1:7">
      <c r="A527" s="25">
        <v>1001</v>
      </c>
      <c r="B527" s="25">
        <v>1</v>
      </c>
      <c r="C527" s="25">
        <v>1001</v>
      </c>
      <c r="D527" t="s">
        <v>1688</v>
      </c>
      <c r="E527" s="27" t="s">
        <v>1689</v>
      </c>
      <c r="F527">
        <v>250020</v>
      </c>
      <c r="G527" t="s">
        <v>1690</v>
      </c>
    </row>
    <row r="528" spans="1:7">
      <c r="A528" s="25">
        <v>1001</v>
      </c>
      <c r="B528" s="25">
        <v>1</v>
      </c>
      <c r="C528" s="25">
        <v>1001</v>
      </c>
      <c r="D528" t="s">
        <v>1691</v>
      </c>
      <c r="E528" s="27" t="s">
        <v>1692</v>
      </c>
      <c r="F528">
        <v>250021</v>
      </c>
      <c r="G528" t="s">
        <v>1693</v>
      </c>
    </row>
    <row r="529" spans="1:7">
      <c r="A529" s="25">
        <v>1001</v>
      </c>
      <c r="B529" s="25">
        <v>1</v>
      </c>
      <c r="C529" s="25">
        <v>1001</v>
      </c>
      <c r="D529" t="s">
        <v>1694</v>
      </c>
      <c r="E529" s="27" t="s">
        <v>1695</v>
      </c>
      <c r="F529">
        <v>250022</v>
      </c>
      <c r="G529" t="s">
        <v>1696</v>
      </c>
    </row>
    <row r="530" spans="1:7">
      <c r="A530" s="25">
        <v>1001</v>
      </c>
      <c r="B530" s="25">
        <v>1</v>
      </c>
      <c r="C530" s="25">
        <v>1001</v>
      </c>
      <c r="D530" t="s">
        <v>1697</v>
      </c>
      <c r="E530" s="27" t="s">
        <v>1698</v>
      </c>
      <c r="F530">
        <v>250023</v>
      </c>
      <c r="G530" t="s">
        <v>1699</v>
      </c>
    </row>
    <row r="531" spans="1:7">
      <c r="A531" s="25">
        <v>1001</v>
      </c>
      <c r="B531" s="25">
        <v>6</v>
      </c>
      <c r="C531" s="25">
        <v>1001</v>
      </c>
      <c r="D531" t="s">
        <v>1700</v>
      </c>
      <c r="E531" s="27" t="s">
        <v>1701</v>
      </c>
      <c r="F531">
        <v>250024</v>
      </c>
      <c r="G531" t="s">
        <v>1702</v>
      </c>
    </row>
    <row r="532" spans="1:7">
      <c r="A532" s="25">
        <v>1001</v>
      </c>
      <c r="B532" s="25">
        <v>6</v>
      </c>
      <c r="C532" s="25">
        <v>1001</v>
      </c>
      <c r="D532" t="s">
        <v>1703</v>
      </c>
      <c r="E532" s="27" t="s">
        <v>1704</v>
      </c>
      <c r="F532">
        <v>250025</v>
      </c>
      <c r="G532" t="s">
        <v>1705</v>
      </c>
    </row>
    <row r="533" spans="1:7">
      <c r="A533" s="25">
        <v>1001</v>
      </c>
      <c r="B533" s="25">
        <v>6</v>
      </c>
      <c r="C533" s="25">
        <v>1001</v>
      </c>
      <c r="D533" t="s">
        <v>1706</v>
      </c>
      <c r="E533" s="27" t="s">
        <v>1707</v>
      </c>
      <c r="F533">
        <v>250027</v>
      </c>
      <c r="G533" t="s">
        <v>1708</v>
      </c>
    </row>
    <row r="534" spans="1:7">
      <c r="A534" s="25">
        <v>1001</v>
      </c>
      <c r="B534" s="25">
        <v>6</v>
      </c>
      <c r="C534" s="25">
        <v>1001</v>
      </c>
      <c r="D534" t="s">
        <v>1706</v>
      </c>
      <c r="E534" s="27" t="s">
        <v>1709</v>
      </c>
      <c r="F534">
        <v>250028</v>
      </c>
      <c r="G534" t="s">
        <v>1708</v>
      </c>
    </row>
    <row r="535" spans="1:7">
      <c r="A535" s="25">
        <v>1001</v>
      </c>
      <c r="B535" s="25">
        <v>6</v>
      </c>
      <c r="C535" s="25">
        <v>1001</v>
      </c>
      <c r="D535" t="s">
        <v>1706</v>
      </c>
      <c r="E535" s="27" t="s">
        <v>1710</v>
      </c>
      <c r="F535">
        <v>250029</v>
      </c>
      <c r="G535" t="s">
        <v>1708</v>
      </c>
    </row>
    <row r="536" spans="1:7">
      <c r="A536" s="25">
        <v>1001</v>
      </c>
      <c r="B536" s="25">
        <v>6</v>
      </c>
      <c r="C536" s="25">
        <v>1001</v>
      </c>
      <c r="D536" t="s">
        <v>1706</v>
      </c>
      <c r="E536" s="27" t="s">
        <v>1710</v>
      </c>
      <c r="F536">
        <v>251029</v>
      </c>
      <c r="G536" t="s">
        <v>1708</v>
      </c>
    </row>
    <row r="537" spans="1:7">
      <c r="A537" s="25">
        <v>1001</v>
      </c>
      <c r="B537" s="25">
        <v>6</v>
      </c>
      <c r="C537" s="25">
        <v>1001</v>
      </c>
      <c r="D537" t="s">
        <v>1711</v>
      </c>
      <c r="E537" s="27" t="s">
        <v>1710</v>
      </c>
      <c r="F537">
        <v>252029</v>
      </c>
      <c r="G537" t="s">
        <v>1712</v>
      </c>
    </row>
    <row r="538" spans="1:7">
      <c r="A538" s="25">
        <v>1001</v>
      </c>
      <c r="B538" s="25">
        <v>6</v>
      </c>
      <c r="C538" s="25">
        <v>1001</v>
      </c>
      <c r="D538" t="s">
        <v>1713</v>
      </c>
      <c r="E538" s="27" t="s">
        <v>1710</v>
      </c>
      <c r="F538">
        <v>253029</v>
      </c>
      <c r="G538" t="s">
        <v>1712</v>
      </c>
    </row>
    <row r="539" spans="1:7">
      <c r="A539" s="25">
        <v>1001</v>
      </c>
      <c r="B539" s="25">
        <v>6</v>
      </c>
      <c r="C539" s="25">
        <v>1001</v>
      </c>
      <c r="D539" t="s">
        <v>1714</v>
      </c>
      <c r="E539" s="27" t="s">
        <v>1715</v>
      </c>
      <c r="F539">
        <v>250030</v>
      </c>
      <c r="G539" t="s">
        <v>1712</v>
      </c>
    </row>
    <row r="540" spans="1:7">
      <c r="A540" s="25">
        <v>1001</v>
      </c>
      <c r="B540" s="25">
        <v>6</v>
      </c>
      <c r="C540" s="25">
        <v>1001</v>
      </c>
      <c r="D540" t="s">
        <v>1716</v>
      </c>
      <c r="E540" s="27" t="s">
        <v>1715</v>
      </c>
      <c r="F540">
        <v>250031</v>
      </c>
      <c r="G540" t="s">
        <v>1712</v>
      </c>
    </row>
    <row r="541" spans="1:7">
      <c r="A541" s="25">
        <v>1001</v>
      </c>
      <c r="B541" s="25">
        <v>6</v>
      </c>
      <c r="C541" s="25">
        <v>1001</v>
      </c>
      <c r="D541" t="s">
        <v>1717</v>
      </c>
      <c r="E541" s="27" t="s">
        <v>1715</v>
      </c>
      <c r="F541">
        <v>250032</v>
      </c>
      <c r="G541" t="s">
        <v>1712</v>
      </c>
    </row>
    <row r="542" spans="1:7">
      <c r="A542" s="25">
        <v>1001</v>
      </c>
      <c r="B542" s="25">
        <v>6</v>
      </c>
      <c r="C542" s="25">
        <v>1001</v>
      </c>
      <c r="D542" t="s">
        <v>1717</v>
      </c>
      <c r="E542" s="27" t="s">
        <v>1715</v>
      </c>
      <c r="F542">
        <v>250033</v>
      </c>
      <c r="G542" t="s">
        <v>1712</v>
      </c>
    </row>
    <row r="543" spans="1:7">
      <c r="A543" s="25">
        <v>1001</v>
      </c>
      <c r="B543" s="25">
        <v>6</v>
      </c>
      <c r="C543" s="25">
        <v>1001</v>
      </c>
      <c r="D543" t="s">
        <v>1717</v>
      </c>
      <c r="E543" s="27" t="s">
        <v>1717</v>
      </c>
      <c r="F543">
        <v>250034</v>
      </c>
      <c r="G543" t="s">
        <v>1712</v>
      </c>
    </row>
    <row r="544" spans="1:7">
      <c r="A544" s="25">
        <v>1001</v>
      </c>
      <c r="B544" s="25">
        <v>6</v>
      </c>
      <c r="C544" s="25">
        <v>1001</v>
      </c>
      <c r="D544" t="s">
        <v>1717</v>
      </c>
      <c r="E544" s="27" t="s">
        <v>1717</v>
      </c>
      <c r="F544">
        <v>250035</v>
      </c>
      <c r="G544" t="s">
        <v>1712</v>
      </c>
    </row>
    <row r="545" spans="1:7">
      <c r="A545" s="25">
        <v>1001</v>
      </c>
      <c r="B545" s="25">
        <v>1</v>
      </c>
      <c r="C545" s="25">
        <v>1001</v>
      </c>
      <c r="D545" t="s">
        <v>1718</v>
      </c>
      <c r="E545" s="27" t="s">
        <v>1717</v>
      </c>
      <c r="F545">
        <v>250036</v>
      </c>
      <c r="G545" t="s">
        <v>1719</v>
      </c>
    </row>
    <row r="546" spans="1:7">
      <c r="A546" s="25">
        <v>1001</v>
      </c>
      <c r="B546" s="25">
        <v>1</v>
      </c>
      <c r="C546" s="25">
        <v>1001</v>
      </c>
      <c r="D546" t="s">
        <v>1720</v>
      </c>
      <c r="E546" s="27" t="s">
        <v>1717</v>
      </c>
      <c r="F546">
        <v>250037</v>
      </c>
      <c r="G546" t="s">
        <v>1721</v>
      </c>
    </row>
    <row r="547" spans="1:7">
      <c r="A547" s="25">
        <v>1001</v>
      </c>
      <c r="B547" s="25">
        <v>1</v>
      </c>
      <c r="C547" s="25">
        <v>1001</v>
      </c>
      <c r="D547" t="s">
        <v>1722</v>
      </c>
      <c r="E547" s="27" t="s">
        <v>1723</v>
      </c>
      <c r="F547">
        <v>250038</v>
      </c>
      <c r="G547" t="s">
        <v>1724</v>
      </c>
    </row>
    <row r="548" spans="1:7">
      <c r="A548" s="25">
        <v>1001</v>
      </c>
      <c r="B548" s="25">
        <v>1</v>
      </c>
      <c r="C548" s="25">
        <v>1001</v>
      </c>
      <c r="D548" t="s">
        <v>1725</v>
      </c>
      <c r="E548" s="27" t="s">
        <v>1723</v>
      </c>
      <c r="F548">
        <v>250039</v>
      </c>
      <c r="G548" t="s">
        <v>1726</v>
      </c>
    </row>
    <row r="549" spans="1:7">
      <c r="A549" s="25">
        <v>1001</v>
      </c>
      <c r="B549" s="25">
        <v>1</v>
      </c>
      <c r="C549" s="25">
        <v>1001</v>
      </c>
      <c r="D549" t="s">
        <v>1727</v>
      </c>
      <c r="E549" s="27" t="s">
        <v>1723</v>
      </c>
      <c r="F549">
        <v>250040</v>
      </c>
      <c r="G549" t="s">
        <v>1728</v>
      </c>
    </row>
    <row r="550" spans="1:7">
      <c r="A550" s="25">
        <v>1001</v>
      </c>
      <c r="B550" s="25">
        <v>1</v>
      </c>
      <c r="C550" s="25">
        <v>1001</v>
      </c>
      <c r="D550" t="s">
        <v>1729</v>
      </c>
      <c r="E550" s="27" t="s">
        <v>1668</v>
      </c>
      <c r="F550">
        <v>250041</v>
      </c>
      <c r="G550" t="s">
        <v>1730</v>
      </c>
    </row>
    <row r="551" spans="1:7">
      <c r="A551" s="25">
        <v>1001</v>
      </c>
      <c r="B551" s="25">
        <v>6</v>
      </c>
      <c r="C551" s="25">
        <v>1001</v>
      </c>
      <c r="D551" t="s">
        <v>1731</v>
      </c>
      <c r="E551" s="27" t="s">
        <v>1668</v>
      </c>
      <c r="F551">
        <v>250042</v>
      </c>
      <c r="G551" t="s">
        <v>1732</v>
      </c>
    </row>
    <row r="552" spans="1:7">
      <c r="A552" s="25">
        <v>1001</v>
      </c>
      <c r="B552" s="25">
        <v>6</v>
      </c>
      <c r="C552" s="25">
        <v>1001</v>
      </c>
      <c r="D552" t="s">
        <v>1733</v>
      </c>
      <c r="E552" s="27" t="s">
        <v>1668</v>
      </c>
      <c r="F552">
        <v>250044</v>
      </c>
      <c r="G552" t="s">
        <v>1732</v>
      </c>
    </row>
    <row r="553" spans="1:7">
      <c r="A553" s="25">
        <v>1001</v>
      </c>
      <c r="B553" s="25">
        <v>1</v>
      </c>
      <c r="C553" s="25">
        <v>1001</v>
      </c>
      <c r="D553" t="s">
        <v>1734</v>
      </c>
      <c r="E553" s="27" t="s">
        <v>1735</v>
      </c>
      <c r="F553">
        <v>250045</v>
      </c>
      <c r="G553" t="s">
        <v>1736</v>
      </c>
    </row>
    <row r="554" spans="1:7">
      <c r="A554" s="25">
        <v>1001</v>
      </c>
      <c r="B554" s="25">
        <v>1</v>
      </c>
      <c r="C554" s="25">
        <v>1001</v>
      </c>
      <c r="D554" t="s">
        <v>1737</v>
      </c>
      <c r="E554" s="27" t="s">
        <v>1735</v>
      </c>
      <c r="F554">
        <v>250046</v>
      </c>
      <c r="G554" t="s">
        <v>1738</v>
      </c>
    </row>
    <row r="555" spans="1:7">
      <c r="A555" s="25">
        <v>1001</v>
      </c>
      <c r="B555" s="25">
        <v>1</v>
      </c>
      <c r="C555" s="25">
        <v>1001</v>
      </c>
      <c r="D555" t="s">
        <v>1739</v>
      </c>
      <c r="E555" s="27" t="s">
        <v>1740</v>
      </c>
      <c r="F555">
        <v>250047</v>
      </c>
      <c r="G555" t="s">
        <v>1741</v>
      </c>
    </row>
    <row r="556" spans="1:7">
      <c r="A556" s="25">
        <v>1001</v>
      </c>
      <c r="B556" s="25">
        <v>1</v>
      </c>
      <c r="C556" s="25">
        <v>1001</v>
      </c>
      <c r="D556" t="s">
        <v>1742</v>
      </c>
      <c r="E556" s="27" t="s">
        <v>1743</v>
      </c>
      <c r="F556">
        <v>250048</v>
      </c>
      <c r="G556" t="s">
        <v>1744</v>
      </c>
    </row>
    <row r="557" spans="1:7">
      <c r="A557" s="25">
        <v>1001</v>
      </c>
      <c r="B557" s="25">
        <v>1</v>
      </c>
      <c r="C557" s="25">
        <v>1001</v>
      </c>
      <c r="D557" t="s">
        <v>1745</v>
      </c>
      <c r="E557" s="27" t="s">
        <v>1746</v>
      </c>
      <c r="F557">
        <v>250049</v>
      </c>
      <c r="G557" t="s">
        <v>1747</v>
      </c>
    </row>
    <row r="558" spans="1:7">
      <c r="A558" s="25">
        <v>1001</v>
      </c>
      <c r="B558" s="25">
        <v>1</v>
      </c>
      <c r="C558" s="25">
        <v>1001</v>
      </c>
      <c r="D558" t="s">
        <v>1748</v>
      </c>
      <c r="E558" s="27" t="s">
        <v>1749</v>
      </c>
      <c r="F558">
        <v>250050</v>
      </c>
      <c r="G558" t="s">
        <v>1750</v>
      </c>
    </row>
    <row r="559" spans="1:7">
      <c r="A559" s="25">
        <v>1001</v>
      </c>
      <c r="B559" s="25">
        <v>1</v>
      </c>
      <c r="C559" s="25">
        <v>1001</v>
      </c>
      <c r="D559" t="s">
        <v>1751</v>
      </c>
      <c r="E559" s="27" t="s">
        <v>1740</v>
      </c>
      <c r="F559">
        <v>250051</v>
      </c>
      <c r="G559" t="s">
        <v>1752</v>
      </c>
    </row>
    <row r="560" spans="1:7">
      <c r="A560" s="25">
        <v>1001</v>
      </c>
      <c r="B560" s="25">
        <v>1</v>
      </c>
      <c r="C560" s="25">
        <v>1001</v>
      </c>
      <c r="D560" t="s">
        <v>1753</v>
      </c>
      <c r="E560" s="27" t="s">
        <v>1743</v>
      </c>
      <c r="F560">
        <v>250052</v>
      </c>
      <c r="G560" t="s">
        <v>1754</v>
      </c>
    </row>
    <row r="561" spans="1:7">
      <c r="A561" s="25">
        <v>1001</v>
      </c>
      <c r="B561" s="25">
        <v>1</v>
      </c>
      <c r="C561" s="25">
        <v>1001</v>
      </c>
      <c r="D561" t="s">
        <v>1755</v>
      </c>
      <c r="E561" s="27" t="s">
        <v>1746</v>
      </c>
      <c r="F561">
        <v>250053</v>
      </c>
      <c r="G561" t="s">
        <v>1756</v>
      </c>
    </row>
    <row r="562" spans="1:7">
      <c r="A562" s="25">
        <v>1001</v>
      </c>
      <c r="B562" s="25">
        <v>1</v>
      </c>
      <c r="C562" s="25">
        <v>1001</v>
      </c>
      <c r="D562" t="s">
        <v>1757</v>
      </c>
      <c r="E562" s="27" t="s">
        <v>1749</v>
      </c>
      <c r="F562">
        <v>250054</v>
      </c>
      <c r="G562" t="s">
        <v>1758</v>
      </c>
    </row>
    <row r="563" spans="1:7">
      <c r="A563" s="25">
        <v>1001</v>
      </c>
      <c r="B563" s="25">
        <v>1</v>
      </c>
      <c r="C563" s="25">
        <v>1001</v>
      </c>
      <c r="D563" t="s">
        <v>1759</v>
      </c>
      <c r="E563" s="27" t="s">
        <v>1723</v>
      </c>
      <c r="F563">
        <v>250055</v>
      </c>
      <c r="G563" t="s">
        <v>1760</v>
      </c>
    </row>
    <row r="564" spans="1:7">
      <c r="A564" s="25">
        <v>1001</v>
      </c>
      <c r="B564" s="25">
        <v>1</v>
      </c>
      <c r="C564" s="25">
        <v>1001</v>
      </c>
      <c r="D564" t="s">
        <v>1761</v>
      </c>
      <c r="E564" s="27" t="s">
        <v>1740</v>
      </c>
      <c r="F564">
        <v>250056</v>
      </c>
      <c r="G564" t="s">
        <v>1762</v>
      </c>
    </row>
    <row r="565" spans="1:7">
      <c r="A565" s="25">
        <v>1001</v>
      </c>
      <c r="B565" s="25">
        <v>1</v>
      </c>
      <c r="C565" s="25">
        <v>1001</v>
      </c>
      <c r="D565" t="s">
        <v>1763</v>
      </c>
      <c r="E565" s="27" t="s">
        <v>1743</v>
      </c>
      <c r="F565">
        <v>250057</v>
      </c>
      <c r="G565" t="s">
        <v>1764</v>
      </c>
    </row>
    <row r="566" spans="1:7">
      <c r="A566" s="25">
        <v>1001</v>
      </c>
      <c r="B566" s="25">
        <v>6</v>
      </c>
      <c r="C566" s="25">
        <v>1001</v>
      </c>
      <c r="D566" t="s">
        <v>1765</v>
      </c>
      <c r="E566" s="27" t="s">
        <v>1746</v>
      </c>
      <c r="F566">
        <v>250058</v>
      </c>
      <c r="G566" t="s">
        <v>1732</v>
      </c>
    </row>
    <row r="567" spans="1:7">
      <c r="A567" s="25">
        <v>1001</v>
      </c>
      <c r="B567" s="25">
        <v>6</v>
      </c>
      <c r="C567" s="25">
        <v>1001</v>
      </c>
      <c r="D567" t="s">
        <v>1766</v>
      </c>
      <c r="E567" s="27" t="s">
        <v>1749</v>
      </c>
      <c r="F567">
        <v>250059</v>
      </c>
      <c r="G567" t="s">
        <v>1732</v>
      </c>
    </row>
    <row r="568" spans="1:7">
      <c r="A568" s="25">
        <v>1001</v>
      </c>
      <c r="B568" s="25">
        <v>6</v>
      </c>
      <c r="C568" s="25">
        <v>1001</v>
      </c>
      <c r="D568" t="s">
        <v>1767</v>
      </c>
      <c r="E568" s="27" t="s">
        <v>1735</v>
      </c>
      <c r="F568">
        <v>250060</v>
      </c>
      <c r="G568" t="s">
        <v>1732</v>
      </c>
    </row>
    <row r="569" spans="1:7">
      <c r="A569" s="25">
        <v>1001</v>
      </c>
      <c r="B569" s="25">
        <v>6</v>
      </c>
      <c r="C569" s="25">
        <v>1001</v>
      </c>
      <c r="D569" t="s">
        <v>1768</v>
      </c>
      <c r="E569" s="27" t="s">
        <v>1735</v>
      </c>
      <c r="F569">
        <v>250061</v>
      </c>
      <c r="G569" t="s">
        <v>1732</v>
      </c>
    </row>
    <row r="570" spans="1:7">
      <c r="A570" s="25">
        <v>1001</v>
      </c>
      <c r="B570" s="25">
        <v>6</v>
      </c>
      <c r="C570" s="25">
        <v>1001</v>
      </c>
      <c r="D570" t="s">
        <v>1769</v>
      </c>
      <c r="E570" s="27" t="s">
        <v>1735</v>
      </c>
      <c r="F570">
        <v>250062</v>
      </c>
      <c r="G570" t="s">
        <v>1770</v>
      </c>
    </row>
    <row r="571" spans="1:7">
      <c r="A571" s="25">
        <v>1001</v>
      </c>
      <c r="B571" s="25">
        <v>6</v>
      </c>
      <c r="C571" s="25">
        <v>1001</v>
      </c>
      <c r="D571" t="s">
        <v>1771</v>
      </c>
      <c r="E571" s="27" t="s">
        <v>1735</v>
      </c>
      <c r="F571">
        <v>250063</v>
      </c>
      <c r="G571" t="s">
        <v>1772</v>
      </c>
    </row>
    <row r="572" spans="1:7">
      <c r="A572" s="25">
        <v>1001</v>
      </c>
      <c r="B572" s="25">
        <v>6</v>
      </c>
      <c r="C572" s="25">
        <v>1001</v>
      </c>
      <c r="D572" t="s">
        <v>1773</v>
      </c>
      <c r="E572" s="27" t="s">
        <v>1674</v>
      </c>
      <c r="F572">
        <v>250064</v>
      </c>
      <c r="G572" t="s">
        <v>1774</v>
      </c>
    </row>
    <row r="573" spans="1:7">
      <c r="A573" s="25">
        <v>1001</v>
      </c>
      <c r="B573" s="25">
        <v>6</v>
      </c>
      <c r="C573" s="25">
        <v>1001</v>
      </c>
      <c r="D573" t="s">
        <v>1775</v>
      </c>
      <c r="E573" s="27" t="s">
        <v>1676</v>
      </c>
      <c r="F573">
        <v>250065</v>
      </c>
      <c r="G573" t="s">
        <v>1776</v>
      </c>
    </row>
    <row r="574" spans="1:7">
      <c r="A574" s="25">
        <v>1001</v>
      </c>
      <c r="B574" s="25">
        <v>6</v>
      </c>
      <c r="C574" s="25">
        <v>1001</v>
      </c>
      <c r="D574" t="s">
        <v>1777</v>
      </c>
      <c r="E574" s="27" t="s">
        <v>1778</v>
      </c>
      <c r="F574">
        <v>250066</v>
      </c>
      <c r="G574" t="s">
        <v>1779</v>
      </c>
    </row>
    <row r="575" spans="1:7">
      <c r="A575" s="25">
        <v>1001</v>
      </c>
      <c r="B575" s="25">
        <v>6</v>
      </c>
      <c r="C575" s="25">
        <v>1001</v>
      </c>
      <c r="D575" t="s">
        <v>1780</v>
      </c>
      <c r="E575" s="27" t="s">
        <v>1674</v>
      </c>
      <c r="F575">
        <v>250067</v>
      </c>
      <c r="G575" t="s">
        <v>1781</v>
      </c>
    </row>
    <row r="576" spans="1:7">
      <c r="A576" s="25">
        <v>1001</v>
      </c>
      <c r="B576" s="25">
        <v>6</v>
      </c>
      <c r="C576" s="25">
        <v>1001</v>
      </c>
      <c r="D576" t="s">
        <v>1782</v>
      </c>
      <c r="E576" s="27" t="s">
        <v>1676</v>
      </c>
      <c r="F576">
        <v>250068</v>
      </c>
      <c r="G576" t="s">
        <v>1783</v>
      </c>
    </row>
    <row r="577" spans="1:7">
      <c r="A577" s="25">
        <v>1001</v>
      </c>
      <c r="B577" s="25">
        <v>6</v>
      </c>
      <c r="C577" s="25">
        <v>1001</v>
      </c>
      <c r="D577" t="s">
        <v>1784</v>
      </c>
      <c r="E577" s="27" t="s">
        <v>1778</v>
      </c>
      <c r="F577">
        <v>250069</v>
      </c>
      <c r="G577" t="s">
        <v>1785</v>
      </c>
    </row>
    <row r="578" spans="1:7">
      <c r="A578" s="25">
        <v>1001</v>
      </c>
      <c r="B578" s="25">
        <v>6</v>
      </c>
      <c r="C578" s="25">
        <v>1001</v>
      </c>
      <c r="D578" t="s">
        <v>1786</v>
      </c>
      <c r="E578" s="27" t="s">
        <v>1782</v>
      </c>
      <c r="F578">
        <v>250070</v>
      </c>
      <c r="G578" t="s">
        <v>1787</v>
      </c>
    </row>
    <row r="579" spans="1:7">
      <c r="A579" s="25">
        <v>1001</v>
      </c>
      <c r="B579" s="25">
        <v>6</v>
      </c>
      <c r="C579" s="25">
        <v>1001</v>
      </c>
      <c r="D579" t="s">
        <v>1788</v>
      </c>
      <c r="E579" s="27" t="s">
        <v>1784</v>
      </c>
      <c r="F579">
        <v>250071</v>
      </c>
      <c r="G579" t="s">
        <v>1789</v>
      </c>
    </row>
    <row r="580" spans="1:7">
      <c r="A580" s="25">
        <v>1001</v>
      </c>
      <c r="B580" s="25">
        <v>6</v>
      </c>
      <c r="C580" s="25">
        <v>1001</v>
      </c>
      <c r="D580" t="s">
        <v>1790</v>
      </c>
      <c r="E580" s="27" t="s">
        <v>1676</v>
      </c>
      <c r="F580" s="50">
        <v>250072</v>
      </c>
      <c r="G580" t="s">
        <v>1791</v>
      </c>
    </row>
    <row r="581" spans="1:7">
      <c r="A581" s="25">
        <v>1001</v>
      </c>
      <c r="B581" s="25">
        <v>6</v>
      </c>
      <c r="C581" s="25">
        <v>1001</v>
      </c>
      <c r="D581" t="s">
        <v>1792</v>
      </c>
      <c r="E581" s="27" t="s">
        <v>1740</v>
      </c>
      <c r="F581">
        <v>250073</v>
      </c>
      <c r="G581" t="s">
        <v>1793</v>
      </c>
    </row>
    <row r="582" spans="1:7">
      <c r="A582" s="25">
        <v>1001</v>
      </c>
      <c r="B582" s="25">
        <v>6</v>
      </c>
      <c r="C582" s="25">
        <v>1001</v>
      </c>
      <c r="D582" t="s">
        <v>1794</v>
      </c>
      <c r="E582" s="27" t="s">
        <v>1743</v>
      </c>
      <c r="F582">
        <v>250074</v>
      </c>
      <c r="G582" t="s">
        <v>1795</v>
      </c>
    </row>
    <row r="583" spans="1:7">
      <c r="A583" s="25">
        <v>1001</v>
      </c>
      <c r="B583" s="25">
        <v>6</v>
      </c>
      <c r="C583" s="25">
        <v>1001</v>
      </c>
      <c r="D583" t="s">
        <v>1796</v>
      </c>
      <c r="E583" s="27" t="s">
        <v>1746</v>
      </c>
      <c r="F583">
        <v>250075</v>
      </c>
      <c r="G583" t="s">
        <v>1797</v>
      </c>
    </row>
    <row r="584" spans="1:7">
      <c r="A584" s="25">
        <v>1001</v>
      </c>
      <c r="B584" s="25">
        <v>6</v>
      </c>
      <c r="C584" s="25">
        <v>1001</v>
      </c>
      <c r="D584" t="s">
        <v>1798</v>
      </c>
      <c r="E584" s="27" t="s">
        <v>1749</v>
      </c>
      <c r="F584">
        <v>250076</v>
      </c>
      <c r="G584" t="s">
        <v>1799</v>
      </c>
    </row>
    <row r="585" spans="1:7">
      <c r="A585" s="25">
        <v>1001</v>
      </c>
      <c r="B585" s="25">
        <v>6</v>
      </c>
      <c r="C585" s="25">
        <v>1001</v>
      </c>
      <c r="D585" t="s">
        <v>1800</v>
      </c>
      <c r="E585" s="27" t="s">
        <v>1740</v>
      </c>
      <c r="F585">
        <v>250077</v>
      </c>
      <c r="G585" t="s">
        <v>1801</v>
      </c>
    </row>
    <row r="586" spans="1:7">
      <c r="A586" s="25">
        <v>1001</v>
      </c>
      <c r="B586" s="25">
        <v>6</v>
      </c>
      <c r="C586" s="25">
        <v>1001</v>
      </c>
      <c r="D586" t="s">
        <v>1802</v>
      </c>
      <c r="E586" s="27" t="s">
        <v>1743</v>
      </c>
      <c r="F586">
        <v>250078</v>
      </c>
      <c r="G586" t="s">
        <v>1803</v>
      </c>
    </row>
    <row r="587" spans="1:7">
      <c r="A587" s="25">
        <v>1001</v>
      </c>
      <c r="B587" s="25">
        <v>6</v>
      </c>
      <c r="C587" s="25">
        <v>1001</v>
      </c>
      <c r="D587" t="s">
        <v>1804</v>
      </c>
      <c r="E587" s="27" t="s">
        <v>1746</v>
      </c>
      <c r="F587">
        <v>250079</v>
      </c>
      <c r="G587" t="s">
        <v>1805</v>
      </c>
    </row>
    <row r="588" spans="1:7">
      <c r="A588" s="25">
        <v>1001</v>
      </c>
      <c r="B588" s="25">
        <v>6</v>
      </c>
      <c r="C588" s="25">
        <v>1001</v>
      </c>
      <c r="D588" t="s">
        <v>1806</v>
      </c>
      <c r="E588" s="27" t="s">
        <v>1749</v>
      </c>
      <c r="F588">
        <v>250080</v>
      </c>
      <c r="G588" t="s">
        <v>1807</v>
      </c>
    </row>
    <row r="589" spans="1:7">
      <c r="A589" s="25">
        <v>1001</v>
      </c>
      <c r="B589" s="25">
        <v>6</v>
      </c>
      <c r="C589" s="25">
        <v>1001</v>
      </c>
      <c r="D589" t="s">
        <v>1808</v>
      </c>
      <c r="E589" s="27" t="s">
        <v>1740</v>
      </c>
      <c r="F589">
        <v>250081</v>
      </c>
      <c r="G589" t="s">
        <v>1809</v>
      </c>
    </row>
    <row r="590" spans="1:7">
      <c r="A590" s="25">
        <v>1001</v>
      </c>
      <c r="B590" s="25">
        <v>6</v>
      </c>
      <c r="C590" s="25">
        <v>1001</v>
      </c>
      <c r="D590" t="s">
        <v>1810</v>
      </c>
      <c r="E590" s="27" t="s">
        <v>1743</v>
      </c>
      <c r="F590">
        <v>250082</v>
      </c>
      <c r="G590" t="s">
        <v>1811</v>
      </c>
    </row>
    <row r="591" spans="1:7">
      <c r="A591" s="25">
        <v>1001</v>
      </c>
      <c r="B591" s="25">
        <v>6</v>
      </c>
      <c r="C591" s="25">
        <v>1001</v>
      </c>
      <c r="D591" t="s">
        <v>1812</v>
      </c>
      <c r="E591" s="27" t="s">
        <v>1746</v>
      </c>
      <c r="F591">
        <v>250083</v>
      </c>
      <c r="G591" t="s">
        <v>1813</v>
      </c>
    </row>
    <row r="592" spans="1:7">
      <c r="A592" s="25">
        <v>1001</v>
      </c>
      <c r="B592" s="25">
        <v>6</v>
      </c>
      <c r="C592" s="25">
        <v>1001</v>
      </c>
      <c r="D592" t="s">
        <v>1814</v>
      </c>
      <c r="E592" s="27" t="s">
        <v>1749</v>
      </c>
      <c r="F592">
        <v>250084</v>
      </c>
      <c r="G592" t="s">
        <v>1815</v>
      </c>
    </row>
    <row r="593" spans="1:7">
      <c r="A593" s="25">
        <v>1001</v>
      </c>
      <c r="B593" s="25">
        <v>6</v>
      </c>
      <c r="C593" s="25">
        <v>1001</v>
      </c>
      <c r="D593" t="s">
        <v>1816</v>
      </c>
      <c r="E593" s="27" t="s">
        <v>1740</v>
      </c>
      <c r="F593">
        <v>250085</v>
      </c>
      <c r="G593" t="s">
        <v>1817</v>
      </c>
    </row>
    <row r="594" spans="1:7">
      <c r="A594" s="25">
        <v>1001</v>
      </c>
      <c r="B594" s="25">
        <v>6</v>
      </c>
      <c r="C594" s="25">
        <v>1001</v>
      </c>
      <c r="D594" t="s">
        <v>1818</v>
      </c>
      <c r="E594" s="27" t="s">
        <v>1743</v>
      </c>
      <c r="F594">
        <v>250086</v>
      </c>
      <c r="G594" t="s">
        <v>1819</v>
      </c>
    </row>
    <row r="595" spans="1:7">
      <c r="A595" s="25">
        <v>1001</v>
      </c>
      <c r="B595" s="25">
        <v>6</v>
      </c>
      <c r="C595" s="25">
        <v>1001</v>
      </c>
      <c r="D595" t="s">
        <v>1780</v>
      </c>
      <c r="E595" s="27" t="s">
        <v>1746</v>
      </c>
      <c r="F595">
        <v>250087</v>
      </c>
      <c r="G595" t="s">
        <v>1820</v>
      </c>
    </row>
    <row r="596" spans="1:7">
      <c r="A596" s="25">
        <v>1001</v>
      </c>
      <c r="B596" s="25">
        <v>1</v>
      </c>
      <c r="C596" s="25">
        <v>1001</v>
      </c>
      <c r="D596" t="s">
        <v>1821</v>
      </c>
      <c r="E596" s="27" t="s">
        <v>1749</v>
      </c>
      <c r="F596">
        <v>250088</v>
      </c>
      <c r="G596" t="s">
        <v>1822</v>
      </c>
    </row>
    <row r="597" spans="1:7">
      <c r="A597" s="25">
        <v>1001</v>
      </c>
      <c r="B597" s="25">
        <v>6</v>
      </c>
      <c r="C597" s="25">
        <v>1001</v>
      </c>
      <c r="D597" t="s">
        <v>1823</v>
      </c>
      <c r="E597" s="27" t="s">
        <v>1824</v>
      </c>
      <c r="F597">
        <v>250089</v>
      </c>
      <c r="G597" t="s">
        <v>1825</v>
      </c>
    </row>
    <row r="598" spans="1:7">
      <c r="A598" s="25">
        <v>1001</v>
      </c>
      <c r="B598" s="25">
        <v>6</v>
      </c>
      <c r="C598" s="25">
        <v>1001</v>
      </c>
      <c r="D598" t="s">
        <v>1826</v>
      </c>
      <c r="E598" s="27" t="s">
        <v>1821</v>
      </c>
      <c r="F598">
        <v>250090</v>
      </c>
      <c r="G598" t="s">
        <v>1813</v>
      </c>
    </row>
    <row r="599" spans="1:7">
      <c r="A599" s="25">
        <v>1001</v>
      </c>
      <c r="B599" s="25">
        <v>6</v>
      </c>
      <c r="C599" s="25">
        <v>1001</v>
      </c>
      <c r="D599" t="s">
        <v>1827</v>
      </c>
      <c r="E599" s="27" t="s">
        <v>1828</v>
      </c>
      <c r="F599">
        <v>250091</v>
      </c>
      <c r="G599" t="s">
        <v>1815</v>
      </c>
    </row>
    <row r="600" spans="1:7">
      <c r="A600" s="25">
        <v>1001</v>
      </c>
      <c r="B600" s="25">
        <v>6</v>
      </c>
      <c r="C600" s="25">
        <v>1001</v>
      </c>
      <c r="D600" t="s">
        <v>1829</v>
      </c>
      <c r="E600" s="27" t="s">
        <v>1830</v>
      </c>
      <c r="F600">
        <v>250092</v>
      </c>
      <c r="G600" t="s">
        <v>1817</v>
      </c>
    </row>
    <row r="601" spans="1:7">
      <c r="A601" s="25">
        <v>1001</v>
      </c>
      <c r="B601" s="25">
        <v>6</v>
      </c>
      <c r="C601" s="25">
        <v>1001</v>
      </c>
      <c r="D601" t="s">
        <v>1831</v>
      </c>
      <c r="E601" s="27" t="s">
        <v>1832</v>
      </c>
      <c r="F601">
        <v>250093</v>
      </c>
      <c r="G601" t="s">
        <v>1819</v>
      </c>
    </row>
    <row r="602" spans="1:7">
      <c r="A602" s="25">
        <v>1001</v>
      </c>
      <c r="B602" s="25">
        <v>6</v>
      </c>
      <c r="C602" s="25">
        <v>1001</v>
      </c>
      <c r="D602" t="s">
        <v>1833</v>
      </c>
      <c r="E602" s="27" t="s">
        <v>1834</v>
      </c>
      <c r="F602">
        <v>250094</v>
      </c>
      <c r="G602" t="s">
        <v>1825</v>
      </c>
    </row>
    <row r="603" spans="1:7">
      <c r="A603" s="25">
        <v>1001</v>
      </c>
      <c r="B603" s="25">
        <v>6</v>
      </c>
      <c r="C603" s="25">
        <v>1001</v>
      </c>
      <c r="D603" t="s">
        <v>1835</v>
      </c>
      <c r="E603" s="27" t="s">
        <v>1836</v>
      </c>
      <c r="F603">
        <v>250095</v>
      </c>
      <c r="G603" t="s">
        <v>1837</v>
      </c>
    </row>
    <row r="604" spans="1:7">
      <c r="A604" s="25">
        <v>1001</v>
      </c>
      <c r="B604" s="25">
        <v>6</v>
      </c>
      <c r="C604" s="25">
        <v>1001</v>
      </c>
      <c r="D604" t="s">
        <v>1838</v>
      </c>
      <c r="E604" s="27" t="s">
        <v>1828</v>
      </c>
      <c r="F604">
        <v>250096</v>
      </c>
      <c r="G604" t="s">
        <v>1839</v>
      </c>
    </row>
    <row r="605" spans="1:7">
      <c r="A605" s="25">
        <v>1001</v>
      </c>
      <c r="B605" s="25">
        <v>6</v>
      </c>
      <c r="C605" s="25">
        <v>1001</v>
      </c>
      <c r="D605" t="s">
        <v>1840</v>
      </c>
      <c r="E605" s="27" t="s">
        <v>1740</v>
      </c>
      <c r="F605" s="51">
        <v>250097</v>
      </c>
      <c r="G605" t="s">
        <v>1841</v>
      </c>
    </row>
    <row r="606" spans="1:7">
      <c r="A606" s="25">
        <v>1001</v>
      </c>
      <c r="B606" s="25">
        <v>6</v>
      </c>
      <c r="C606" s="25">
        <v>1001</v>
      </c>
      <c r="D606" t="s">
        <v>1842</v>
      </c>
      <c r="E606" s="27" t="s">
        <v>1743</v>
      </c>
      <c r="F606" s="51">
        <v>250098</v>
      </c>
      <c r="G606" t="s">
        <v>1843</v>
      </c>
    </row>
    <row r="607" spans="1:7">
      <c r="A607" s="25">
        <v>1001</v>
      </c>
      <c r="B607" s="25">
        <v>6</v>
      </c>
      <c r="C607" s="25">
        <v>1001</v>
      </c>
      <c r="D607" t="s">
        <v>1844</v>
      </c>
      <c r="E607" s="27" t="s">
        <v>1746</v>
      </c>
      <c r="F607" s="51">
        <v>250099</v>
      </c>
      <c r="G607" t="s">
        <v>1845</v>
      </c>
    </row>
    <row r="608" spans="1:7">
      <c r="A608" s="25">
        <v>1001</v>
      </c>
      <c r="B608" s="25">
        <v>6</v>
      </c>
      <c r="C608" s="25">
        <v>1001</v>
      </c>
      <c r="D608" t="s">
        <v>1846</v>
      </c>
      <c r="E608" s="27" t="s">
        <v>1749</v>
      </c>
      <c r="F608" s="51">
        <v>250100</v>
      </c>
      <c r="G608" t="s">
        <v>1847</v>
      </c>
    </row>
    <row r="609" spans="1:7">
      <c r="A609" s="25">
        <v>1001</v>
      </c>
      <c r="B609" s="25">
        <v>6</v>
      </c>
      <c r="C609" s="25">
        <v>1001</v>
      </c>
      <c r="D609" t="s">
        <v>1848</v>
      </c>
      <c r="E609" s="27" t="s">
        <v>1740</v>
      </c>
      <c r="F609" s="51">
        <v>250101</v>
      </c>
      <c r="G609" t="s">
        <v>1849</v>
      </c>
    </row>
    <row r="610" spans="1:7">
      <c r="A610" s="25">
        <v>1001</v>
      </c>
      <c r="B610" s="25">
        <v>6</v>
      </c>
      <c r="C610" s="25">
        <v>1001</v>
      </c>
      <c r="D610" t="s">
        <v>1850</v>
      </c>
      <c r="E610" s="27" t="s">
        <v>1743</v>
      </c>
      <c r="F610" s="51">
        <v>250102</v>
      </c>
      <c r="G610" t="s">
        <v>1851</v>
      </c>
    </row>
    <row r="611" spans="1:7">
      <c r="A611" s="25">
        <v>1001</v>
      </c>
      <c r="B611" s="25">
        <v>6</v>
      </c>
      <c r="C611" s="25">
        <v>1001</v>
      </c>
      <c r="D611" t="s">
        <v>1852</v>
      </c>
      <c r="E611" s="27" t="s">
        <v>1746</v>
      </c>
      <c r="F611" s="51">
        <v>250103</v>
      </c>
      <c r="G611" t="s">
        <v>1853</v>
      </c>
    </row>
    <row r="612" spans="1:7">
      <c r="A612" s="25">
        <v>1001</v>
      </c>
      <c r="B612" s="25">
        <v>6</v>
      </c>
      <c r="C612" s="25">
        <v>1001</v>
      </c>
      <c r="D612" t="s">
        <v>1854</v>
      </c>
      <c r="E612" s="27" t="s">
        <v>1749</v>
      </c>
      <c r="F612" s="51">
        <v>250104</v>
      </c>
      <c r="G612" t="s">
        <v>1708</v>
      </c>
    </row>
    <row r="613" spans="1:7">
      <c r="A613" s="25">
        <v>1001</v>
      </c>
      <c r="B613" s="25">
        <v>6</v>
      </c>
      <c r="C613" s="25">
        <v>1001</v>
      </c>
      <c r="D613" t="s">
        <v>1855</v>
      </c>
      <c r="E613" s="27" t="s">
        <v>1856</v>
      </c>
      <c r="F613" s="25">
        <v>250105</v>
      </c>
      <c r="G613" t="s">
        <v>1712</v>
      </c>
    </row>
    <row r="614" spans="1:7">
      <c r="A614" s="25">
        <v>1001</v>
      </c>
      <c r="B614" s="25">
        <v>6</v>
      </c>
      <c r="C614" s="25">
        <v>1001</v>
      </c>
      <c r="D614" t="s">
        <v>1857</v>
      </c>
      <c r="E614" s="27" t="s">
        <v>1710</v>
      </c>
      <c r="F614" s="25">
        <v>250106</v>
      </c>
      <c r="G614" t="s">
        <v>1732</v>
      </c>
    </row>
    <row r="615" spans="1:7">
      <c r="A615" s="25">
        <v>1001</v>
      </c>
      <c r="B615" s="25">
        <v>6</v>
      </c>
      <c r="C615" s="25">
        <v>1001</v>
      </c>
      <c r="D615" t="s">
        <v>1858</v>
      </c>
      <c r="E615" s="27" t="s">
        <v>1715</v>
      </c>
      <c r="F615" s="25">
        <v>250107</v>
      </c>
      <c r="G615" t="s">
        <v>1859</v>
      </c>
    </row>
    <row r="616" s="10" customFormat="1" spans="1:7">
      <c r="A616" s="52">
        <v>1001</v>
      </c>
      <c r="B616" s="52">
        <v>6</v>
      </c>
      <c r="C616" s="52">
        <v>1001</v>
      </c>
      <c r="D616" s="10" t="s">
        <v>1860</v>
      </c>
      <c r="E616" s="27" t="s">
        <v>1735</v>
      </c>
      <c r="F616" s="25">
        <v>250108</v>
      </c>
      <c r="G616" s="10" t="s">
        <v>1861</v>
      </c>
    </row>
    <row r="617" s="10" customFormat="1" spans="1:7">
      <c r="A617" s="52">
        <v>1001</v>
      </c>
      <c r="B617" s="52">
        <v>6</v>
      </c>
      <c r="C617" s="52">
        <v>1001</v>
      </c>
      <c r="D617" s="10" t="s">
        <v>1862</v>
      </c>
      <c r="E617" s="27" t="s">
        <v>1863</v>
      </c>
      <c r="F617" s="25">
        <v>250109</v>
      </c>
      <c r="G617" s="10" t="s">
        <v>1864</v>
      </c>
    </row>
    <row r="618" s="10" customFormat="1" spans="1:7">
      <c r="A618" s="52">
        <v>1001</v>
      </c>
      <c r="B618" s="52">
        <v>6</v>
      </c>
      <c r="C618" s="52">
        <v>1001</v>
      </c>
      <c r="D618" s="10" t="s">
        <v>1865</v>
      </c>
      <c r="E618" s="27" t="s">
        <v>1860</v>
      </c>
      <c r="F618" s="52">
        <v>250110</v>
      </c>
      <c r="G618" s="10" t="s">
        <v>1866</v>
      </c>
    </row>
    <row r="619" spans="1:7">
      <c r="A619" s="25">
        <v>1001</v>
      </c>
      <c r="B619" s="25">
        <v>1</v>
      </c>
      <c r="C619" s="25">
        <v>1001</v>
      </c>
      <c r="D619" t="s">
        <v>1867</v>
      </c>
      <c r="E619" s="27" t="s">
        <v>1862</v>
      </c>
      <c r="F619" s="52">
        <v>250111</v>
      </c>
      <c r="G619" t="s">
        <v>1868</v>
      </c>
    </row>
    <row r="620" spans="1:7">
      <c r="A620" s="25">
        <v>1001</v>
      </c>
      <c r="B620" s="25">
        <v>6</v>
      </c>
      <c r="C620" s="25">
        <v>1001</v>
      </c>
      <c r="D620" t="s">
        <v>1812</v>
      </c>
      <c r="E620" s="27" t="s">
        <v>1865</v>
      </c>
      <c r="F620" s="52">
        <v>250112</v>
      </c>
      <c r="G620" t="s">
        <v>1813</v>
      </c>
    </row>
    <row r="621" spans="1:7">
      <c r="A621" s="25">
        <v>1001</v>
      </c>
      <c r="B621" s="25">
        <v>6</v>
      </c>
      <c r="C621" s="25">
        <v>1001</v>
      </c>
      <c r="D621" t="s">
        <v>1814</v>
      </c>
      <c r="E621" s="27" t="s">
        <v>1867</v>
      </c>
      <c r="F621">
        <v>250113</v>
      </c>
      <c r="G621" t="s">
        <v>1815</v>
      </c>
    </row>
    <row r="622" spans="1:7">
      <c r="A622" s="25">
        <v>1001</v>
      </c>
      <c r="B622" s="25">
        <v>6</v>
      </c>
      <c r="C622" s="25">
        <v>1001</v>
      </c>
      <c r="D622" t="s">
        <v>1816</v>
      </c>
      <c r="E622" s="27" t="s">
        <v>1869</v>
      </c>
      <c r="F622" s="53">
        <v>250114</v>
      </c>
      <c r="G622" t="s">
        <v>1817</v>
      </c>
    </row>
    <row r="623" spans="1:7">
      <c r="A623" s="25">
        <v>1001</v>
      </c>
      <c r="B623" s="25">
        <v>6</v>
      </c>
      <c r="C623" s="25">
        <v>1001</v>
      </c>
      <c r="D623" t="s">
        <v>1818</v>
      </c>
      <c r="E623" s="27" t="s">
        <v>1870</v>
      </c>
      <c r="F623" s="53">
        <v>250115</v>
      </c>
      <c r="G623" t="s">
        <v>1819</v>
      </c>
    </row>
    <row r="624" spans="1:7">
      <c r="A624" s="25">
        <v>1001</v>
      </c>
      <c r="B624" s="25">
        <v>6</v>
      </c>
      <c r="C624" s="25">
        <v>1001</v>
      </c>
      <c r="D624" t="s">
        <v>1835</v>
      </c>
      <c r="E624" s="27" t="s">
        <v>1871</v>
      </c>
      <c r="F624" s="53">
        <v>250116</v>
      </c>
      <c r="G624" t="s">
        <v>1837</v>
      </c>
    </row>
    <row r="625" spans="1:7">
      <c r="A625" s="25">
        <v>1001</v>
      </c>
      <c r="B625" s="25">
        <v>6</v>
      </c>
      <c r="C625" s="25">
        <v>1001</v>
      </c>
      <c r="D625" t="s">
        <v>1838</v>
      </c>
      <c r="E625" s="27" t="s">
        <v>1872</v>
      </c>
      <c r="F625" s="53">
        <v>250117</v>
      </c>
      <c r="G625" t="s">
        <v>1839</v>
      </c>
    </row>
    <row r="626" spans="1:7">
      <c r="A626" s="25">
        <v>1001</v>
      </c>
      <c r="B626" s="25">
        <v>6</v>
      </c>
      <c r="C626" s="25">
        <v>1001</v>
      </c>
      <c r="D626" t="s">
        <v>1840</v>
      </c>
      <c r="E626" s="27" t="s">
        <v>1873</v>
      </c>
      <c r="F626" s="53">
        <v>250118</v>
      </c>
      <c r="G626" t="s">
        <v>1841</v>
      </c>
    </row>
    <row r="627" spans="1:7">
      <c r="A627" s="25">
        <v>1001</v>
      </c>
      <c r="B627" s="25">
        <v>6</v>
      </c>
      <c r="C627" s="25">
        <v>1001</v>
      </c>
      <c r="D627" t="s">
        <v>1842</v>
      </c>
      <c r="E627" s="27" t="s">
        <v>1874</v>
      </c>
      <c r="F627" s="53">
        <v>250119</v>
      </c>
      <c r="G627" t="s">
        <v>1843</v>
      </c>
    </row>
    <row r="628" spans="1:7">
      <c r="A628" s="25">
        <v>1001</v>
      </c>
      <c r="B628" s="25">
        <v>6</v>
      </c>
      <c r="C628" s="25">
        <v>1001</v>
      </c>
      <c r="D628" t="s">
        <v>1875</v>
      </c>
      <c r="E628" s="27" t="s">
        <v>1876</v>
      </c>
      <c r="F628" s="53">
        <v>250120</v>
      </c>
      <c r="G628" t="s">
        <v>1712</v>
      </c>
    </row>
    <row r="629" spans="1:7">
      <c r="A629" s="25">
        <v>1001</v>
      </c>
      <c r="B629" s="25">
        <v>6</v>
      </c>
      <c r="C629" s="25">
        <v>1001</v>
      </c>
      <c r="D629" t="s">
        <v>1877</v>
      </c>
      <c r="E629" s="27" t="s">
        <v>1878</v>
      </c>
      <c r="F629" s="53">
        <v>250121</v>
      </c>
      <c r="G629" t="s">
        <v>1708</v>
      </c>
    </row>
    <row r="630" spans="1:7">
      <c r="A630" s="25">
        <v>1001</v>
      </c>
      <c r="B630" s="25">
        <v>6</v>
      </c>
      <c r="C630" s="25">
        <v>1001</v>
      </c>
      <c r="D630" t="s">
        <v>1879</v>
      </c>
      <c r="E630" s="27" t="s">
        <v>1715</v>
      </c>
      <c r="F630" s="25">
        <v>250122</v>
      </c>
      <c r="G630" t="s">
        <v>1880</v>
      </c>
    </row>
    <row r="631" spans="1:7">
      <c r="A631" s="25">
        <v>1001</v>
      </c>
      <c r="B631" s="25">
        <v>6</v>
      </c>
      <c r="C631" s="25">
        <v>1001</v>
      </c>
      <c r="D631" t="s">
        <v>1881</v>
      </c>
      <c r="E631" s="27" t="s">
        <v>1710</v>
      </c>
      <c r="F631" s="25">
        <v>250123</v>
      </c>
      <c r="G631" t="s">
        <v>1732</v>
      </c>
    </row>
    <row r="632" spans="1:7">
      <c r="A632" s="25">
        <v>1001</v>
      </c>
      <c r="B632" s="25">
        <v>6</v>
      </c>
      <c r="C632" s="25">
        <v>1001</v>
      </c>
      <c r="D632" t="s">
        <v>1867</v>
      </c>
      <c r="E632" s="27" t="s">
        <v>1882</v>
      </c>
      <c r="F632" s="25">
        <v>250124</v>
      </c>
      <c r="G632" t="s">
        <v>1883</v>
      </c>
    </row>
    <row r="633" spans="1:7">
      <c r="A633" s="25">
        <v>1001</v>
      </c>
      <c r="B633" s="25">
        <v>6</v>
      </c>
      <c r="C633" s="25">
        <v>1001</v>
      </c>
      <c r="D633" t="s">
        <v>1884</v>
      </c>
      <c r="E633" s="27" t="s">
        <v>1735</v>
      </c>
      <c r="F633" s="25">
        <v>250125</v>
      </c>
      <c r="G633" t="s">
        <v>1885</v>
      </c>
    </row>
    <row r="634" spans="1:7">
      <c r="A634" s="25">
        <v>1001</v>
      </c>
      <c r="B634" s="25">
        <v>1</v>
      </c>
      <c r="C634" s="25">
        <v>1001</v>
      </c>
      <c r="D634" t="s">
        <v>1886</v>
      </c>
      <c r="E634" s="27" t="s">
        <v>1867</v>
      </c>
      <c r="F634" s="25">
        <v>250126</v>
      </c>
      <c r="G634" t="s">
        <v>1887</v>
      </c>
    </row>
    <row r="635" spans="1:7">
      <c r="A635" s="25">
        <v>1001</v>
      </c>
      <c r="B635" s="25">
        <v>6</v>
      </c>
      <c r="C635" s="25">
        <v>1001</v>
      </c>
      <c r="D635" t="s">
        <v>1888</v>
      </c>
      <c r="E635" s="27" t="s">
        <v>1884</v>
      </c>
      <c r="F635" s="25">
        <v>250127</v>
      </c>
      <c r="G635" t="s">
        <v>1889</v>
      </c>
    </row>
    <row r="636" spans="1:7">
      <c r="A636" s="25">
        <v>1001</v>
      </c>
      <c r="B636" s="25">
        <v>1</v>
      </c>
      <c r="C636" s="25">
        <v>1001</v>
      </c>
      <c r="D636" t="s">
        <v>1890</v>
      </c>
      <c r="E636" s="27" t="s">
        <v>1886</v>
      </c>
      <c r="F636" s="25">
        <v>250128</v>
      </c>
      <c r="G636" t="s">
        <v>1891</v>
      </c>
    </row>
    <row r="637" spans="1:7">
      <c r="A637" s="25">
        <v>1001</v>
      </c>
      <c r="B637" s="25">
        <v>1</v>
      </c>
      <c r="C637" s="25">
        <v>1001</v>
      </c>
      <c r="D637" t="s">
        <v>1892</v>
      </c>
      <c r="E637" s="27" t="s">
        <v>1888</v>
      </c>
      <c r="F637" s="25">
        <v>250129</v>
      </c>
      <c r="G637" t="s">
        <v>1893</v>
      </c>
    </row>
    <row r="638" spans="1:7">
      <c r="A638" s="25">
        <v>1001</v>
      </c>
      <c r="B638" s="25">
        <v>6</v>
      </c>
      <c r="C638" s="25">
        <v>1001</v>
      </c>
      <c r="D638" t="s">
        <v>1894</v>
      </c>
      <c r="E638" s="27" t="s">
        <v>1890</v>
      </c>
      <c r="F638" s="25">
        <v>250130</v>
      </c>
      <c r="G638" t="s">
        <v>1895</v>
      </c>
    </row>
    <row r="639" spans="1:7">
      <c r="A639" s="25">
        <v>1001</v>
      </c>
      <c r="B639" s="25">
        <v>6</v>
      </c>
      <c r="C639" s="25">
        <v>1001</v>
      </c>
      <c r="D639" t="s">
        <v>1896</v>
      </c>
      <c r="E639" s="27" t="s">
        <v>1892</v>
      </c>
      <c r="F639" s="25">
        <v>250131</v>
      </c>
      <c r="G639" t="s">
        <v>1897</v>
      </c>
    </row>
    <row r="640" spans="1:7">
      <c r="A640" s="25">
        <v>1001</v>
      </c>
      <c r="B640" s="25">
        <v>2</v>
      </c>
      <c r="C640" s="25">
        <v>1001</v>
      </c>
      <c r="D640" t="s">
        <v>1898</v>
      </c>
      <c r="E640" s="27" t="s">
        <v>1894</v>
      </c>
      <c r="F640" s="25">
        <v>250132</v>
      </c>
      <c r="G640" t="s">
        <v>1899</v>
      </c>
    </row>
    <row r="641" spans="1:7">
      <c r="A641" s="25">
        <v>1001</v>
      </c>
      <c r="B641" s="25">
        <v>6</v>
      </c>
      <c r="C641" s="25">
        <v>1001</v>
      </c>
      <c r="D641" t="s">
        <v>1856</v>
      </c>
      <c r="E641" s="27" t="s">
        <v>1896</v>
      </c>
      <c r="F641" s="25">
        <v>250133</v>
      </c>
      <c r="G641" t="s">
        <v>1900</v>
      </c>
    </row>
    <row r="642" s="10" customFormat="1" spans="1:7">
      <c r="A642" s="52">
        <v>1001</v>
      </c>
      <c r="B642" s="52">
        <v>6</v>
      </c>
      <c r="C642" s="52">
        <v>1001</v>
      </c>
      <c r="D642" s="10" t="s">
        <v>1901</v>
      </c>
      <c r="E642" s="10" t="s">
        <v>1898</v>
      </c>
      <c r="F642" s="25">
        <v>250134</v>
      </c>
      <c r="G642" s="10" t="s">
        <v>1902</v>
      </c>
    </row>
    <row r="643" s="10" customFormat="1" spans="1:7">
      <c r="A643" s="52">
        <v>1001</v>
      </c>
      <c r="B643" s="52">
        <v>6</v>
      </c>
      <c r="C643" s="52">
        <v>1001</v>
      </c>
      <c r="D643" s="10" t="s">
        <v>1903</v>
      </c>
      <c r="E643" s="10" t="s">
        <v>1856</v>
      </c>
      <c r="F643" s="25">
        <v>250135</v>
      </c>
      <c r="G643" s="10" t="s">
        <v>1904</v>
      </c>
    </row>
    <row r="644" s="10" customFormat="1" spans="1:7">
      <c r="A644" s="52">
        <v>1001</v>
      </c>
      <c r="B644" s="52">
        <v>6</v>
      </c>
      <c r="C644" s="52">
        <v>1001</v>
      </c>
      <c r="D644" s="10" t="s">
        <v>1905</v>
      </c>
      <c r="E644" s="10" t="s">
        <v>1901</v>
      </c>
      <c r="F644" s="25">
        <v>250136</v>
      </c>
      <c r="G644" s="10" t="s">
        <v>1866</v>
      </c>
    </row>
    <row r="645" spans="1:7">
      <c r="A645" s="25">
        <v>1001</v>
      </c>
      <c r="B645" s="25">
        <v>6</v>
      </c>
      <c r="C645" s="25">
        <v>1001</v>
      </c>
      <c r="D645" t="s">
        <v>1906</v>
      </c>
      <c r="E645" s="10" t="s">
        <v>1903</v>
      </c>
      <c r="F645" s="25">
        <v>250137</v>
      </c>
      <c r="G645" t="s">
        <v>1907</v>
      </c>
    </row>
    <row r="646" spans="1:7">
      <c r="A646" s="25">
        <v>1001</v>
      </c>
      <c r="B646" s="25">
        <v>6</v>
      </c>
      <c r="C646" s="25">
        <v>1001</v>
      </c>
      <c r="D646" t="s">
        <v>1908</v>
      </c>
      <c r="E646" s="10" t="s">
        <v>1905</v>
      </c>
      <c r="F646" s="25">
        <v>250138</v>
      </c>
      <c r="G646" t="s">
        <v>1909</v>
      </c>
    </row>
    <row r="647" spans="1:7">
      <c r="A647" s="25">
        <v>1001</v>
      </c>
      <c r="B647" s="25">
        <v>6</v>
      </c>
      <c r="C647" s="25">
        <v>1001</v>
      </c>
      <c r="D647" t="s">
        <v>1910</v>
      </c>
      <c r="E647" s="27" t="s">
        <v>1906</v>
      </c>
      <c r="F647" s="25">
        <v>250139</v>
      </c>
      <c r="G647" t="s">
        <v>1911</v>
      </c>
    </row>
    <row r="648" spans="1:7">
      <c r="A648" s="25">
        <v>1001</v>
      </c>
      <c r="B648" s="25">
        <v>6</v>
      </c>
      <c r="C648" s="25">
        <v>1001</v>
      </c>
      <c r="D648" t="s">
        <v>1912</v>
      </c>
      <c r="E648" s="27" t="s">
        <v>1908</v>
      </c>
      <c r="F648" s="25">
        <v>250140</v>
      </c>
      <c r="G648" t="s">
        <v>1913</v>
      </c>
    </row>
    <row r="649" spans="1:7">
      <c r="A649" s="25">
        <v>1001</v>
      </c>
      <c r="B649" s="25">
        <v>6</v>
      </c>
      <c r="C649" s="25">
        <v>1001</v>
      </c>
      <c r="D649" t="s">
        <v>1914</v>
      </c>
      <c r="E649" t="s">
        <v>1910</v>
      </c>
      <c r="F649" s="25">
        <v>250141</v>
      </c>
      <c r="G649" t="s">
        <v>1915</v>
      </c>
    </row>
    <row r="650" spans="1:7">
      <c r="A650" s="25">
        <v>1001</v>
      </c>
      <c r="B650" s="25">
        <v>6</v>
      </c>
      <c r="C650" s="25">
        <v>1001</v>
      </c>
      <c r="D650" t="s">
        <v>1916</v>
      </c>
      <c r="E650" t="s">
        <v>1912</v>
      </c>
      <c r="F650" s="25">
        <v>250142</v>
      </c>
      <c r="G650" t="s">
        <v>1917</v>
      </c>
    </row>
    <row r="651" spans="1:7">
      <c r="A651" s="25">
        <v>1001</v>
      </c>
      <c r="B651" s="25">
        <v>6</v>
      </c>
      <c r="C651" s="25">
        <v>1001</v>
      </c>
      <c r="D651" t="s">
        <v>1918</v>
      </c>
      <c r="E651" t="s">
        <v>1914</v>
      </c>
      <c r="F651" s="25">
        <v>250143</v>
      </c>
      <c r="G651" t="s">
        <v>1919</v>
      </c>
    </row>
    <row r="652" spans="1:7">
      <c r="A652" s="25">
        <v>1001</v>
      </c>
      <c r="B652" s="25">
        <v>6</v>
      </c>
      <c r="C652" s="25">
        <v>1001</v>
      </c>
      <c r="D652" t="s">
        <v>1920</v>
      </c>
      <c r="E652" t="s">
        <v>1916</v>
      </c>
      <c r="F652" s="25">
        <v>250144</v>
      </c>
      <c r="G652" t="s">
        <v>1921</v>
      </c>
    </row>
    <row r="653" spans="1:7">
      <c r="A653" s="25">
        <v>1001</v>
      </c>
      <c r="B653" s="25">
        <v>6</v>
      </c>
      <c r="C653" s="25">
        <v>1001</v>
      </c>
      <c r="D653" t="s">
        <v>1922</v>
      </c>
      <c r="E653" s="27" t="s">
        <v>1740</v>
      </c>
      <c r="F653" s="54">
        <v>250145</v>
      </c>
      <c r="G653" t="s">
        <v>1923</v>
      </c>
    </row>
    <row r="654" spans="1:7">
      <c r="A654" s="25">
        <v>1001</v>
      </c>
      <c r="B654" s="25">
        <v>6</v>
      </c>
      <c r="C654" s="25">
        <v>1001</v>
      </c>
      <c r="D654" t="s">
        <v>1924</v>
      </c>
      <c r="E654" s="27" t="s">
        <v>1743</v>
      </c>
      <c r="F654" s="54">
        <v>250146</v>
      </c>
      <c r="G654" t="s">
        <v>1925</v>
      </c>
    </row>
    <row r="655" spans="1:7">
      <c r="A655" s="25">
        <v>1001</v>
      </c>
      <c r="B655" s="25">
        <v>6</v>
      </c>
      <c r="C655" s="25">
        <v>1001</v>
      </c>
      <c r="D655" t="s">
        <v>1926</v>
      </c>
      <c r="E655" s="27" t="s">
        <v>1746</v>
      </c>
      <c r="F655" s="54">
        <v>250147</v>
      </c>
      <c r="G655" t="s">
        <v>1927</v>
      </c>
    </row>
    <row r="656" spans="1:7">
      <c r="A656" s="25">
        <v>1001</v>
      </c>
      <c r="B656" s="25">
        <v>6</v>
      </c>
      <c r="C656" s="25">
        <v>1001</v>
      </c>
      <c r="D656" t="s">
        <v>1928</v>
      </c>
      <c r="E656" s="27" t="s">
        <v>1749</v>
      </c>
      <c r="F656" s="54">
        <v>250148</v>
      </c>
      <c r="G656" t="s">
        <v>1929</v>
      </c>
    </row>
    <row r="657" spans="1:7">
      <c r="A657" s="25">
        <v>1001</v>
      </c>
      <c r="B657" s="25">
        <v>6</v>
      </c>
      <c r="C657" s="25">
        <v>1001</v>
      </c>
      <c r="D657" t="s">
        <v>1930</v>
      </c>
      <c r="E657" s="27" t="s">
        <v>1740</v>
      </c>
      <c r="F657" s="54">
        <v>250149</v>
      </c>
      <c r="G657" t="s">
        <v>1931</v>
      </c>
    </row>
    <row r="658" spans="1:7">
      <c r="A658" s="25">
        <v>1001</v>
      </c>
      <c r="B658" s="25">
        <v>6</v>
      </c>
      <c r="C658" s="25">
        <v>1001</v>
      </c>
      <c r="D658" t="s">
        <v>1932</v>
      </c>
      <c r="E658" s="27" t="s">
        <v>1743</v>
      </c>
      <c r="F658" s="54">
        <v>250150</v>
      </c>
      <c r="G658" t="s">
        <v>1933</v>
      </c>
    </row>
    <row r="659" spans="1:7">
      <c r="A659" s="25">
        <v>1001</v>
      </c>
      <c r="B659" s="25">
        <v>6</v>
      </c>
      <c r="C659" s="25">
        <v>1001</v>
      </c>
      <c r="D659" t="s">
        <v>1934</v>
      </c>
      <c r="E659" s="27" t="s">
        <v>1746</v>
      </c>
      <c r="F659" s="54">
        <v>250151</v>
      </c>
      <c r="G659" t="s">
        <v>1712</v>
      </c>
    </row>
    <row r="660" spans="1:7">
      <c r="A660" s="25">
        <v>1001</v>
      </c>
      <c r="B660" s="25">
        <v>6</v>
      </c>
      <c r="C660" s="25">
        <v>1001</v>
      </c>
      <c r="D660" t="s">
        <v>1935</v>
      </c>
      <c r="E660" s="27" t="s">
        <v>1749</v>
      </c>
      <c r="F660" s="54">
        <v>250152</v>
      </c>
      <c r="G660" t="s">
        <v>1708</v>
      </c>
    </row>
    <row r="661" spans="1:7">
      <c r="A661" s="25">
        <v>1001</v>
      </c>
      <c r="B661" s="25">
        <v>6</v>
      </c>
      <c r="C661" s="25">
        <v>1001</v>
      </c>
      <c r="D661" t="s">
        <v>1936</v>
      </c>
      <c r="E661" s="27" t="s">
        <v>1715</v>
      </c>
      <c r="F661" s="25">
        <v>250153</v>
      </c>
      <c r="G661" t="s">
        <v>1732</v>
      </c>
    </row>
    <row r="662" spans="1:7">
      <c r="A662" s="25">
        <v>1001</v>
      </c>
      <c r="B662" s="25">
        <v>6</v>
      </c>
      <c r="C662" s="25">
        <v>1001</v>
      </c>
      <c r="D662" t="s">
        <v>1937</v>
      </c>
      <c r="E662" s="27" t="s">
        <v>1710</v>
      </c>
      <c r="F662" s="25">
        <v>250154</v>
      </c>
      <c r="G662" t="s">
        <v>1938</v>
      </c>
    </row>
    <row r="663" spans="1:7">
      <c r="A663" s="25">
        <v>1001</v>
      </c>
      <c r="B663" s="25">
        <v>6</v>
      </c>
      <c r="C663" s="25">
        <v>1001</v>
      </c>
      <c r="D663" t="s">
        <v>1939</v>
      </c>
      <c r="E663" s="27" t="s">
        <v>1735</v>
      </c>
      <c r="F663" s="25">
        <v>250155</v>
      </c>
      <c r="G663" t="s">
        <v>1940</v>
      </c>
    </row>
    <row r="664" spans="1:7">
      <c r="A664" s="25">
        <v>1001</v>
      </c>
      <c r="B664" s="25">
        <v>6</v>
      </c>
      <c r="C664" s="25">
        <v>1001</v>
      </c>
      <c r="D664" t="s">
        <v>1941</v>
      </c>
      <c r="E664" t="s">
        <v>1942</v>
      </c>
      <c r="F664" s="25">
        <v>251001</v>
      </c>
      <c r="G664" t="s">
        <v>1943</v>
      </c>
    </row>
    <row r="665" spans="1:7">
      <c r="A665" s="25">
        <v>1001</v>
      </c>
      <c r="B665" s="25">
        <v>6</v>
      </c>
      <c r="C665" s="25">
        <v>1001</v>
      </c>
      <c r="D665" t="s">
        <v>1944</v>
      </c>
      <c r="E665" t="s">
        <v>1945</v>
      </c>
      <c r="F665" s="25">
        <v>251002</v>
      </c>
      <c r="G665" t="s">
        <v>1946</v>
      </c>
    </row>
    <row r="666" spans="1:7">
      <c r="A666" s="25">
        <v>1001</v>
      </c>
      <c r="B666" s="25">
        <v>6</v>
      </c>
      <c r="C666" s="25">
        <v>1001</v>
      </c>
      <c r="D666" t="s">
        <v>1947</v>
      </c>
      <c r="E666" t="s">
        <v>1948</v>
      </c>
      <c r="F666" s="25">
        <v>251003</v>
      </c>
      <c r="G666" t="s">
        <v>1949</v>
      </c>
    </row>
    <row r="667" spans="1:7">
      <c r="A667" s="25">
        <v>1001</v>
      </c>
      <c r="B667" s="25">
        <v>6</v>
      </c>
      <c r="C667" s="25">
        <v>1001</v>
      </c>
      <c r="D667" t="s">
        <v>1950</v>
      </c>
      <c r="E667" t="s">
        <v>1951</v>
      </c>
      <c r="F667" s="25">
        <v>251004</v>
      </c>
      <c r="G667" t="s">
        <v>1952</v>
      </c>
    </row>
    <row r="668" spans="1:7">
      <c r="A668" s="25">
        <v>1001</v>
      </c>
      <c r="B668" s="25">
        <v>6</v>
      </c>
      <c r="C668" s="25">
        <v>1001</v>
      </c>
      <c r="D668" t="s">
        <v>1953</v>
      </c>
      <c r="E668" t="s">
        <v>1668</v>
      </c>
      <c r="F668" s="25">
        <v>251005</v>
      </c>
      <c r="G668" t="s">
        <v>1954</v>
      </c>
    </row>
    <row r="669" spans="1:7">
      <c r="A669" s="25">
        <v>1001</v>
      </c>
      <c r="B669" s="25">
        <v>6</v>
      </c>
      <c r="C669" s="25">
        <v>1001</v>
      </c>
      <c r="D669" t="s">
        <v>1955</v>
      </c>
      <c r="E669" t="s">
        <v>1668</v>
      </c>
      <c r="F669" s="25">
        <v>251006</v>
      </c>
      <c r="G669" t="s">
        <v>1954</v>
      </c>
    </row>
    <row r="670" spans="1:7">
      <c r="A670" s="25">
        <v>1001</v>
      </c>
      <c r="B670" s="25">
        <v>6</v>
      </c>
      <c r="C670" s="25">
        <v>1001</v>
      </c>
      <c r="D670" t="s">
        <v>1956</v>
      </c>
      <c r="E670" t="s">
        <v>1668</v>
      </c>
      <c r="F670" s="25">
        <v>251007</v>
      </c>
      <c r="G670" t="s">
        <v>1957</v>
      </c>
    </row>
    <row r="671" spans="1:7">
      <c r="A671" s="25">
        <v>1001</v>
      </c>
      <c r="B671" s="25">
        <v>6</v>
      </c>
      <c r="C671" s="25">
        <v>1001</v>
      </c>
      <c r="D671" t="s">
        <v>1958</v>
      </c>
      <c r="E671" t="s">
        <v>1668</v>
      </c>
      <c r="F671" s="25">
        <v>251008</v>
      </c>
      <c r="G671" t="s">
        <v>1959</v>
      </c>
    </row>
    <row r="672" spans="1:7">
      <c r="A672" s="25">
        <v>1001</v>
      </c>
      <c r="B672" s="25">
        <v>6</v>
      </c>
      <c r="C672" s="25">
        <v>1001</v>
      </c>
      <c r="D672" t="s">
        <v>1960</v>
      </c>
      <c r="E672" t="s">
        <v>1668</v>
      </c>
      <c r="F672" s="25">
        <v>251009</v>
      </c>
      <c r="G672" t="s">
        <v>1961</v>
      </c>
    </row>
    <row r="673" spans="1:7">
      <c r="A673" s="25">
        <v>1001</v>
      </c>
      <c r="B673" s="25">
        <v>6</v>
      </c>
      <c r="C673" s="25">
        <v>1001</v>
      </c>
      <c r="D673" t="s">
        <v>1962</v>
      </c>
      <c r="E673" t="s">
        <v>1963</v>
      </c>
      <c r="F673" s="25">
        <v>251010</v>
      </c>
      <c r="G673" t="s">
        <v>1964</v>
      </c>
    </row>
    <row r="674" spans="1:7">
      <c r="A674" s="25">
        <v>1001</v>
      </c>
      <c r="B674" s="25">
        <v>6</v>
      </c>
      <c r="C674" s="25">
        <v>1001</v>
      </c>
      <c r="D674" t="s">
        <v>1965</v>
      </c>
      <c r="E674" t="s">
        <v>1963</v>
      </c>
      <c r="F674" s="25">
        <v>251011</v>
      </c>
      <c r="G674" t="s">
        <v>1966</v>
      </c>
    </row>
    <row r="675" spans="1:7">
      <c r="A675" s="25">
        <v>1001</v>
      </c>
      <c r="B675" s="25">
        <v>6</v>
      </c>
      <c r="C675" s="25">
        <v>1001</v>
      </c>
      <c r="D675" t="s">
        <v>1967</v>
      </c>
      <c r="E675" t="s">
        <v>1963</v>
      </c>
      <c r="F675" s="25">
        <v>251012</v>
      </c>
      <c r="G675" t="s">
        <v>1968</v>
      </c>
    </row>
    <row r="676" spans="1:7">
      <c r="A676" s="25">
        <v>1001</v>
      </c>
      <c r="B676" s="25">
        <v>6</v>
      </c>
      <c r="C676" s="25">
        <v>1001</v>
      </c>
      <c r="D676" t="s">
        <v>1969</v>
      </c>
      <c r="E676" t="s">
        <v>1963</v>
      </c>
      <c r="F676" s="25">
        <v>251013</v>
      </c>
      <c r="G676" t="s">
        <v>1970</v>
      </c>
    </row>
    <row r="677" spans="1:7">
      <c r="A677" s="25">
        <v>1001</v>
      </c>
      <c r="B677" s="25">
        <v>6</v>
      </c>
      <c r="C677" s="25">
        <v>1001</v>
      </c>
      <c r="D677" t="s">
        <v>1971</v>
      </c>
      <c r="E677" t="s">
        <v>1963</v>
      </c>
      <c r="F677" s="25">
        <v>251014</v>
      </c>
      <c r="G677" t="s">
        <v>1970</v>
      </c>
    </row>
    <row r="678" s="6" customFormat="1" spans="1:7">
      <c r="A678" s="35">
        <v>1001</v>
      </c>
      <c r="B678" s="35">
        <v>6</v>
      </c>
      <c r="C678" s="35">
        <v>1001</v>
      </c>
      <c r="D678" s="6" t="s">
        <v>1972</v>
      </c>
      <c r="E678" s="6" t="s">
        <v>1969</v>
      </c>
      <c r="F678" s="25">
        <v>251015</v>
      </c>
      <c r="G678" s="6" t="s">
        <v>1973</v>
      </c>
    </row>
    <row r="679" s="6" customFormat="1" spans="1:7">
      <c r="A679" s="35">
        <v>1001</v>
      </c>
      <c r="B679" s="35">
        <v>6</v>
      </c>
      <c r="C679" s="35">
        <v>1001</v>
      </c>
      <c r="D679" s="6" t="s">
        <v>1972</v>
      </c>
      <c r="E679" s="6" t="s">
        <v>1971</v>
      </c>
      <c r="F679" s="25">
        <v>251016</v>
      </c>
      <c r="G679" s="6" t="s">
        <v>1974</v>
      </c>
    </row>
    <row r="680" ht="16.5" spans="1:7">
      <c r="A680" s="25">
        <v>1001</v>
      </c>
      <c r="B680" s="25">
        <v>6</v>
      </c>
      <c r="C680" s="25">
        <v>1001</v>
      </c>
      <c r="D680" s="55" t="s">
        <v>1975</v>
      </c>
      <c r="E680" s="6" t="s">
        <v>1972</v>
      </c>
      <c r="F680" s="35">
        <v>251017</v>
      </c>
      <c r="G680" t="s">
        <v>1976</v>
      </c>
    </row>
    <row r="681" ht="16.5" spans="1:7">
      <c r="A681" s="25">
        <v>1001</v>
      </c>
      <c r="B681" s="25">
        <v>6</v>
      </c>
      <c r="C681" s="25">
        <v>1001</v>
      </c>
      <c r="D681" s="55" t="s">
        <v>1977</v>
      </c>
      <c r="E681" s="6" t="s">
        <v>1972</v>
      </c>
      <c r="F681" s="35">
        <v>251018</v>
      </c>
      <c r="G681" t="s">
        <v>1978</v>
      </c>
    </row>
    <row r="682" ht="16.5" spans="1:7">
      <c r="A682" s="25">
        <v>1001</v>
      </c>
      <c r="B682" s="25">
        <v>6</v>
      </c>
      <c r="C682" s="25">
        <v>1001</v>
      </c>
      <c r="D682" s="55" t="s">
        <v>1979</v>
      </c>
      <c r="E682" s="55" t="s">
        <v>1975</v>
      </c>
      <c r="F682" s="25">
        <v>251019</v>
      </c>
      <c r="G682" t="s">
        <v>1980</v>
      </c>
    </row>
    <row r="683" ht="16.5" spans="1:7">
      <c r="A683" s="25">
        <v>1001</v>
      </c>
      <c r="B683" s="25">
        <v>6</v>
      </c>
      <c r="C683" s="25">
        <v>1001</v>
      </c>
      <c r="D683" s="55" t="s">
        <v>1981</v>
      </c>
      <c r="E683" s="55" t="s">
        <v>1977</v>
      </c>
      <c r="F683" s="25">
        <v>251020</v>
      </c>
      <c r="G683" t="s">
        <v>1982</v>
      </c>
    </row>
    <row r="684" ht="16.5" spans="1:7">
      <c r="A684" s="25">
        <v>1001</v>
      </c>
      <c r="B684" s="25">
        <v>6</v>
      </c>
      <c r="C684" s="25">
        <v>1001</v>
      </c>
      <c r="D684" s="55" t="s">
        <v>1983</v>
      </c>
      <c r="E684" s="55" t="s">
        <v>1979</v>
      </c>
      <c r="F684" s="25">
        <v>251021</v>
      </c>
      <c r="G684" t="s">
        <v>1984</v>
      </c>
    </row>
    <row r="685" ht="16.5" spans="1:7">
      <c r="A685" s="25">
        <v>1001</v>
      </c>
      <c r="B685" s="25">
        <v>6</v>
      </c>
      <c r="C685" s="25">
        <v>1001</v>
      </c>
      <c r="D685" s="55" t="s">
        <v>1985</v>
      </c>
      <c r="E685" s="55" t="s">
        <v>1981</v>
      </c>
      <c r="F685" s="25">
        <v>251022</v>
      </c>
      <c r="G685" t="s">
        <v>1986</v>
      </c>
    </row>
    <row r="686" ht="16.5" spans="1:7">
      <c r="A686" s="25">
        <v>1001</v>
      </c>
      <c r="B686" s="25">
        <v>6</v>
      </c>
      <c r="C686" s="25">
        <v>1001</v>
      </c>
      <c r="D686" s="55" t="s">
        <v>1987</v>
      </c>
      <c r="E686" s="55" t="s">
        <v>1983</v>
      </c>
      <c r="F686" s="25">
        <v>251023</v>
      </c>
      <c r="G686" t="s">
        <v>1988</v>
      </c>
    </row>
    <row r="687" ht="16.5" spans="1:7">
      <c r="A687" s="25">
        <v>1001</v>
      </c>
      <c r="B687" s="25">
        <v>6</v>
      </c>
      <c r="C687" s="25">
        <v>1001</v>
      </c>
      <c r="D687" s="55" t="s">
        <v>1989</v>
      </c>
      <c r="E687" s="55" t="s">
        <v>1985</v>
      </c>
      <c r="F687" s="25">
        <v>251024</v>
      </c>
      <c r="G687" t="s">
        <v>1990</v>
      </c>
    </row>
    <row r="688" ht="16.5" spans="1:7">
      <c r="A688" s="25">
        <v>1001</v>
      </c>
      <c r="B688" s="25">
        <v>6</v>
      </c>
      <c r="C688" s="25">
        <v>1001</v>
      </c>
      <c r="D688" s="55" t="s">
        <v>1991</v>
      </c>
      <c r="E688" s="55" t="s">
        <v>1987</v>
      </c>
      <c r="F688" s="25">
        <v>251025</v>
      </c>
      <c r="G688" t="s">
        <v>1992</v>
      </c>
    </row>
    <row r="689" s="11" customFormat="1" ht="16.5" spans="1:7">
      <c r="A689" s="56">
        <v>1001</v>
      </c>
      <c r="B689" s="56">
        <v>2</v>
      </c>
      <c r="C689" s="56">
        <v>1004</v>
      </c>
      <c r="D689" s="11" t="s">
        <v>1575</v>
      </c>
      <c r="E689" s="55" t="s">
        <v>1989</v>
      </c>
      <c r="F689" s="25">
        <v>251026</v>
      </c>
      <c r="G689" s="11" t="s">
        <v>1572</v>
      </c>
    </row>
    <row r="690" s="11" customFormat="1" ht="16.5" spans="1:7">
      <c r="A690" s="56">
        <v>1001</v>
      </c>
      <c r="B690" s="56">
        <v>2</v>
      </c>
      <c r="C690" s="56">
        <v>1004</v>
      </c>
      <c r="D690" s="11" t="s">
        <v>1993</v>
      </c>
      <c r="E690" s="55" t="s">
        <v>1991</v>
      </c>
      <c r="F690" s="25">
        <v>251027</v>
      </c>
      <c r="G690" s="11" t="s">
        <v>1572</v>
      </c>
    </row>
    <row r="691" s="11" customFormat="1" spans="1:7">
      <c r="A691" s="56">
        <v>1001</v>
      </c>
      <c r="B691" s="56">
        <v>2</v>
      </c>
      <c r="C691" s="56">
        <v>1004</v>
      </c>
      <c r="D691" s="11" t="s">
        <v>1994</v>
      </c>
      <c r="E691" s="57" t="s">
        <v>1575</v>
      </c>
      <c r="F691" s="11">
        <v>411001</v>
      </c>
      <c r="G691" s="11" t="s">
        <v>1995</v>
      </c>
    </row>
    <row r="692" s="11" customFormat="1" spans="1:7">
      <c r="A692" s="56">
        <v>1001</v>
      </c>
      <c r="B692" s="56">
        <v>2</v>
      </c>
      <c r="C692" s="56">
        <v>1004</v>
      </c>
      <c r="D692" s="11" t="s">
        <v>1996</v>
      </c>
      <c r="E692" s="57" t="s">
        <v>1993</v>
      </c>
      <c r="F692" s="11">
        <v>411002</v>
      </c>
      <c r="G692" s="11" t="s">
        <v>1995</v>
      </c>
    </row>
    <row r="693" s="11" customFormat="1" spans="1:7">
      <c r="A693" s="56">
        <v>1001</v>
      </c>
      <c r="B693" s="56">
        <v>2</v>
      </c>
      <c r="C693" s="56">
        <v>1004</v>
      </c>
      <c r="D693" s="11" t="s">
        <v>1997</v>
      </c>
      <c r="E693" s="57" t="s">
        <v>1994</v>
      </c>
      <c r="F693" s="11">
        <v>411003</v>
      </c>
      <c r="G693" s="11" t="s">
        <v>1995</v>
      </c>
    </row>
    <row r="694" s="11" customFormat="1" spans="1:7">
      <c r="A694" s="56">
        <v>1001</v>
      </c>
      <c r="B694" s="56">
        <v>2</v>
      </c>
      <c r="C694" s="56">
        <v>1004</v>
      </c>
      <c r="D694" s="11" t="s">
        <v>1998</v>
      </c>
      <c r="E694" s="57" t="s">
        <v>1996</v>
      </c>
      <c r="F694" s="11">
        <v>411004</v>
      </c>
      <c r="G694" s="11" t="s">
        <v>1999</v>
      </c>
    </row>
    <row r="695" s="11" customFormat="1" spans="1:7">
      <c r="A695" s="56">
        <v>1001</v>
      </c>
      <c r="B695" s="56">
        <v>2</v>
      </c>
      <c r="C695" s="56">
        <v>1004</v>
      </c>
      <c r="D695" s="11" t="s">
        <v>2000</v>
      </c>
      <c r="E695" s="57" t="s">
        <v>1997</v>
      </c>
      <c r="F695" s="11">
        <v>411005</v>
      </c>
      <c r="G695" s="11" t="s">
        <v>1999</v>
      </c>
    </row>
    <row r="696" s="11" customFormat="1" spans="1:7">
      <c r="A696" s="56">
        <v>1001</v>
      </c>
      <c r="B696" s="56">
        <v>2</v>
      </c>
      <c r="C696" s="56">
        <v>1004</v>
      </c>
      <c r="D696" s="11" t="s">
        <v>2001</v>
      </c>
      <c r="E696" s="57" t="s">
        <v>1998</v>
      </c>
      <c r="F696" s="11">
        <v>411006</v>
      </c>
      <c r="G696" s="11" t="s">
        <v>2002</v>
      </c>
    </row>
    <row r="697" s="11" customFormat="1" spans="1:7">
      <c r="A697" s="56">
        <v>1001</v>
      </c>
      <c r="B697" s="56">
        <v>2</v>
      </c>
      <c r="C697" s="56">
        <v>1004</v>
      </c>
      <c r="D697" s="11" t="s">
        <v>2003</v>
      </c>
      <c r="E697" s="57" t="s">
        <v>2000</v>
      </c>
      <c r="F697" s="11">
        <v>411007</v>
      </c>
      <c r="G697" s="11" t="s">
        <v>2002</v>
      </c>
    </row>
    <row r="698" s="11" customFormat="1" spans="1:7">
      <c r="A698" s="56">
        <v>1001</v>
      </c>
      <c r="B698" s="56">
        <v>2</v>
      </c>
      <c r="C698" s="56">
        <v>1004</v>
      </c>
      <c r="D698" s="11" t="s">
        <v>2004</v>
      </c>
      <c r="E698" s="57" t="s">
        <v>2001</v>
      </c>
      <c r="F698" s="11">
        <v>411008</v>
      </c>
      <c r="G698" s="11" t="s">
        <v>2002</v>
      </c>
    </row>
    <row r="699" s="11" customFormat="1" spans="1:7">
      <c r="A699" s="56">
        <v>1001</v>
      </c>
      <c r="B699" s="11">
        <v>2</v>
      </c>
      <c r="C699" s="56">
        <v>1004</v>
      </c>
      <c r="D699" s="11" t="s">
        <v>2005</v>
      </c>
      <c r="E699" s="57" t="s">
        <v>2003</v>
      </c>
      <c r="F699" s="11">
        <v>411009</v>
      </c>
      <c r="G699" s="11" t="s">
        <v>2002</v>
      </c>
    </row>
    <row r="700" s="11" customFormat="1" spans="1:7">
      <c r="A700" s="56">
        <v>1001</v>
      </c>
      <c r="B700" s="56">
        <v>2</v>
      </c>
      <c r="C700" s="56">
        <v>1004</v>
      </c>
      <c r="D700" s="11" t="s">
        <v>2006</v>
      </c>
      <c r="E700" s="57" t="s">
        <v>2007</v>
      </c>
      <c r="F700" s="11">
        <v>411010</v>
      </c>
      <c r="G700" s="11" t="s">
        <v>1995</v>
      </c>
    </row>
    <row r="701" s="11" customFormat="1" spans="1:7">
      <c r="A701" s="56">
        <v>1001</v>
      </c>
      <c r="B701" s="56">
        <v>2</v>
      </c>
      <c r="C701" s="56">
        <v>1004</v>
      </c>
      <c r="D701" s="11" t="s">
        <v>2008</v>
      </c>
      <c r="E701" s="57" t="s">
        <v>2009</v>
      </c>
      <c r="F701" s="11">
        <v>411011</v>
      </c>
      <c r="G701" s="11" t="s">
        <v>1995</v>
      </c>
    </row>
    <row r="702" s="11" customFormat="1" spans="1:7">
      <c r="A702" s="56">
        <v>1001</v>
      </c>
      <c r="B702" s="56">
        <v>2</v>
      </c>
      <c r="C702" s="56">
        <v>1004</v>
      </c>
      <c r="D702" s="11" t="s">
        <v>2010</v>
      </c>
      <c r="E702" s="57" t="s">
        <v>2006</v>
      </c>
      <c r="F702" s="11">
        <v>412003</v>
      </c>
      <c r="G702" s="11" t="s">
        <v>1995</v>
      </c>
    </row>
    <row r="703" s="11" customFormat="1" spans="1:7">
      <c r="A703" s="56">
        <v>1001</v>
      </c>
      <c r="B703" s="56">
        <v>2</v>
      </c>
      <c r="C703" s="56">
        <v>1004</v>
      </c>
      <c r="D703" s="11" t="s">
        <v>2011</v>
      </c>
      <c r="E703" s="57" t="s">
        <v>2008</v>
      </c>
      <c r="F703" s="11">
        <v>412004</v>
      </c>
      <c r="G703" s="11" t="s">
        <v>2012</v>
      </c>
    </row>
    <row r="704" s="11" customFormat="1" spans="1:7">
      <c r="A704" s="56">
        <v>1001</v>
      </c>
      <c r="B704" s="56">
        <v>2</v>
      </c>
      <c r="C704" s="56">
        <v>1004</v>
      </c>
      <c r="D704" s="11" t="s">
        <v>2013</v>
      </c>
      <c r="E704" s="57" t="s">
        <v>2010</v>
      </c>
      <c r="F704" s="11">
        <v>412005</v>
      </c>
      <c r="G704" s="11" t="s">
        <v>2012</v>
      </c>
    </row>
    <row r="705" s="11" customFormat="1" spans="1:7">
      <c r="A705" s="56">
        <v>1001</v>
      </c>
      <c r="B705" s="56">
        <v>2</v>
      </c>
      <c r="C705" s="56">
        <v>1004</v>
      </c>
      <c r="D705" s="11" t="s">
        <v>2014</v>
      </c>
      <c r="E705" s="57" t="s">
        <v>2011</v>
      </c>
      <c r="F705" s="11">
        <v>412006</v>
      </c>
      <c r="G705" s="11" t="s">
        <v>1995</v>
      </c>
    </row>
    <row r="706" s="11" customFormat="1" spans="1:7">
      <c r="A706" s="56">
        <v>1001</v>
      </c>
      <c r="B706" s="56">
        <v>2</v>
      </c>
      <c r="C706" s="56">
        <v>1004</v>
      </c>
      <c r="D706" s="11" t="s">
        <v>2015</v>
      </c>
      <c r="E706" s="57" t="s">
        <v>2013</v>
      </c>
      <c r="F706" s="11">
        <v>412007</v>
      </c>
      <c r="G706" s="11" t="s">
        <v>1995</v>
      </c>
    </row>
    <row r="707" s="11" customFormat="1" spans="1:7">
      <c r="A707" s="56">
        <v>1001</v>
      </c>
      <c r="B707" s="56">
        <v>2</v>
      </c>
      <c r="C707" s="56">
        <v>1004</v>
      </c>
      <c r="D707" s="11" t="s">
        <v>2016</v>
      </c>
      <c r="E707" s="57" t="s">
        <v>2014</v>
      </c>
      <c r="F707" s="11">
        <v>413003</v>
      </c>
      <c r="G707" s="11" t="s">
        <v>1995</v>
      </c>
    </row>
    <row r="708" s="11" customFormat="1" spans="1:7">
      <c r="A708" s="56">
        <v>1001</v>
      </c>
      <c r="B708" s="56">
        <v>2</v>
      </c>
      <c r="C708" s="56">
        <v>1004</v>
      </c>
      <c r="D708" s="11" t="s">
        <v>2017</v>
      </c>
      <c r="E708" s="57" t="s">
        <v>2015</v>
      </c>
      <c r="F708" s="11">
        <v>413004</v>
      </c>
      <c r="G708" s="11" t="s">
        <v>2012</v>
      </c>
    </row>
    <row r="709" s="11" customFormat="1" spans="1:7">
      <c r="A709" s="56">
        <v>1001</v>
      </c>
      <c r="B709" s="56">
        <v>2</v>
      </c>
      <c r="C709" s="56">
        <v>1004</v>
      </c>
      <c r="D709" s="11" t="s">
        <v>2018</v>
      </c>
      <c r="E709" s="57" t="s">
        <v>2016</v>
      </c>
      <c r="F709" s="11">
        <v>413005</v>
      </c>
      <c r="G709" s="11" t="s">
        <v>2012</v>
      </c>
    </row>
    <row r="710" s="11" customFormat="1" spans="1:7">
      <c r="A710" s="56">
        <v>1001</v>
      </c>
      <c r="B710" s="56">
        <v>2</v>
      </c>
      <c r="C710" s="56">
        <v>1004</v>
      </c>
      <c r="D710" s="11" t="s">
        <v>2019</v>
      </c>
      <c r="E710" s="57" t="s">
        <v>2017</v>
      </c>
      <c r="F710" s="11">
        <v>413006</v>
      </c>
      <c r="G710" s="11" t="s">
        <v>1995</v>
      </c>
    </row>
    <row r="711" s="11" customFormat="1" spans="1:7">
      <c r="A711" s="56">
        <v>1001</v>
      </c>
      <c r="B711" s="56">
        <v>2</v>
      </c>
      <c r="C711" s="56">
        <v>1004</v>
      </c>
      <c r="D711" s="11" t="s">
        <v>2020</v>
      </c>
      <c r="E711" s="57" t="s">
        <v>2018</v>
      </c>
      <c r="F711" s="11">
        <v>413007</v>
      </c>
      <c r="G711" s="11" t="s">
        <v>1995</v>
      </c>
    </row>
    <row r="712" s="11" customFormat="1" spans="1:7">
      <c r="A712" s="56">
        <v>1001</v>
      </c>
      <c r="B712" s="56">
        <v>2</v>
      </c>
      <c r="C712" s="56">
        <v>1004</v>
      </c>
      <c r="D712" s="11" t="s">
        <v>2021</v>
      </c>
      <c r="E712" s="57" t="s">
        <v>2019</v>
      </c>
      <c r="F712" s="11">
        <v>414003</v>
      </c>
      <c r="G712" s="11" t="s">
        <v>1995</v>
      </c>
    </row>
    <row r="713" s="11" customFormat="1" spans="1:7">
      <c r="A713" s="56">
        <v>1001</v>
      </c>
      <c r="B713" s="56">
        <v>2</v>
      </c>
      <c r="C713" s="56">
        <v>1004</v>
      </c>
      <c r="D713" s="11" t="s">
        <v>2022</v>
      </c>
      <c r="E713" s="57" t="s">
        <v>2020</v>
      </c>
      <c r="F713" s="11">
        <v>414004</v>
      </c>
      <c r="G713" s="11" t="s">
        <v>2012</v>
      </c>
    </row>
    <row r="714" s="11" customFormat="1" spans="1:7">
      <c r="A714" s="56">
        <v>1001</v>
      </c>
      <c r="B714" s="56">
        <v>2</v>
      </c>
      <c r="C714" s="56">
        <v>1004</v>
      </c>
      <c r="D714" s="11" t="s">
        <v>2023</v>
      </c>
      <c r="E714" s="57" t="s">
        <v>2021</v>
      </c>
      <c r="F714" s="11">
        <v>414005</v>
      </c>
      <c r="G714" s="11" t="s">
        <v>2012</v>
      </c>
    </row>
    <row r="715" s="11" customFormat="1" spans="1:7">
      <c r="A715" s="56">
        <v>1001</v>
      </c>
      <c r="B715" s="56">
        <v>2</v>
      </c>
      <c r="C715" s="56">
        <v>1004</v>
      </c>
      <c r="D715" s="11" t="s">
        <v>2024</v>
      </c>
      <c r="E715" s="57" t="s">
        <v>2022</v>
      </c>
      <c r="F715" s="11">
        <v>414006</v>
      </c>
      <c r="G715" s="11" t="s">
        <v>1572</v>
      </c>
    </row>
    <row r="716" s="11" customFormat="1" spans="1:7">
      <c r="A716" s="56">
        <v>1001</v>
      </c>
      <c r="B716" s="56">
        <v>2</v>
      </c>
      <c r="C716" s="56">
        <v>1004</v>
      </c>
      <c r="D716" s="11" t="s">
        <v>2025</v>
      </c>
      <c r="E716" s="57" t="s">
        <v>2023</v>
      </c>
      <c r="F716" s="11">
        <v>414007</v>
      </c>
      <c r="G716" s="11" t="s">
        <v>1572</v>
      </c>
    </row>
    <row r="717" s="11" customFormat="1" spans="1:7">
      <c r="A717" s="56">
        <v>1001</v>
      </c>
      <c r="B717" s="56">
        <v>2</v>
      </c>
      <c r="C717" s="56">
        <v>1004</v>
      </c>
      <c r="D717" s="11" t="s">
        <v>2026</v>
      </c>
      <c r="E717" s="11" t="s">
        <v>2024</v>
      </c>
      <c r="F717" s="11">
        <v>415001</v>
      </c>
      <c r="G717" s="11" t="s">
        <v>1995</v>
      </c>
    </row>
    <row r="718" s="11" customFormat="1" spans="1:7">
      <c r="A718" s="56">
        <v>1001</v>
      </c>
      <c r="B718" s="56">
        <v>2</v>
      </c>
      <c r="C718" s="56">
        <v>1004</v>
      </c>
      <c r="D718" s="11" t="s">
        <v>2027</v>
      </c>
      <c r="E718" s="11" t="s">
        <v>2025</v>
      </c>
      <c r="F718" s="11">
        <v>415002</v>
      </c>
      <c r="G718" s="11" t="s">
        <v>1995</v>
      </c>
    </row>
    <row r="719" s="11" customFormat="1" spans="1:7">
      <c r="A719" s="56">
        <v>1001</v>
      </c>
      <c r="B719" s="56">
        <v>2</v>
      </c>
      <c r="C719" s="56">
        <v>1004</v>
      </c>
      <c r="D719" s="11" t="s">
        <v>2028</v>
      </c>
      <c r="E719" s="57" t="s">
        <v>2026</v>
      </c>
      <c r="F719" s="11">
        <v>415003</v>
      </c>
      <c r="G719" s="11" t="s">
        <v>1995</v>
      </c>
    </row>
    <row r="720" s="11" customFormat="1" spans="1:7">
      <c r="A720" s="56">
        <v>1001</v>
      </c>
      <c r="B720" s="56">
        <v>2</v>
      </c>
      <c r="C720" s="56">
        <v>1004</v>
      </c>
      <c r="D720" s="11" t="s">
        <v>2029</v>
      </c>
      <c r="E720" s="57" t="s">
        <v>2027</v>
      </c>
      <c r="F720" s="11">
        <v>415004</v>
      </c>
      <c r="G720" s="11" t="s">
        <v>1999</v>
      </c>
    </row>
    <row r="721" s="11" customFormat="1" spans="1:7">
      <c r="A721" s="56">
        <v>1001</v>
      </c>
      <c r="B721" s="56">
        <v>2</v>
      </c>
      <c r="C721" s="56">
        <v>1004</v>
      </c>
      <c r="D721" s="11" t="s">
        <v>2030</v>
      </c>
      <c r="E721" s="57" t="s">
        <v>2028</v>
      </c>
      <c r="F721" s="11">
        <v>415005</v>
      </c>
      <c r="G721" s="11" t="s">
        <v>1999</v>
      </c>
    </row>
    <row r="722" s="11" customFormat="1" spans="1:7">
      <c r="A722" s="56">
        <v>1001</v>
      </c>
      <c r="B722" s="56">
        <v>2</v>
      </c>
      <c r="C722" s="56">
        <v>1004</v>
      </c>
      <c r="D722" s="57" t="s">
        <v>2031</v>
      </c>
      <c r="E722" s="57" t="s">
        <v>2029</v>
      </c>
      <c r="F722" s="11">
        <v>415006</v>
      </c>
      <c r="G722" s="11" t="s">
        <v>2032</v>
      </c>
    </row>
    <row r="723" s="11" customFormat="1" spans="1:7">
      <c r="A723" s="56">
        <v>1001</v>
      </c>
      <c r="B723" s="56">
        <v>2</v>
      </c>
      <c r="C723" s="56">
        <v>1004</v>
      </c>
      <c r="D723" s="57" t="s">
        <v>2033</v>
      </c>
      <c r="E723" s="57" t="s">
        <v>2030</v>
      </c>
      <c r="F723" s="11">
        <v>415007</v>
      </c>
      <c r="G723" s="11" t="s">
        <v>2032</v>
      </c>
    </row>
    <row r="724" s="11" customFormat="1" spans="1:7">
      <c r="A724" s="56">
        <v>1001</v>
      </c>
      <c r="B724" s="56">
        <v>2</v>
      </c>
      <c r="C724" s="56">
        <v>1004</v>
      </c>
      <c r="D724" s="57" t="s">
        <v>2034</v>
      </c>
      <c r="E724" s="57" t="s">
        <v>2031</v>
      </c>
      <c r="F724" s="11">
        <v>416001</v>
      </c>
      <c r="G724" s="11" t="s">
        <v>2032</v>
      </c>
    </row>
    <row r="725" s="11" customFormat="1" spans="1:7">
      <c r="A725" s="56">
        <v>1001</v>
      </c>
      <c r="B725" s="56">
        <v>2</v>
      </c>
      <c r="C725" s="56">
        <v>1004</v>
      </c>
      <c r="D725" s="57" t="s">
        <v>2035</v>
      </c>
      <c r="E725" s="57" t="s">
        <v>2033</v>
      </c>
      <c r="F725" s="11">
        <v>416002</v>
      </c>
      <c r="G725" s="11" t="s">
        <v>2032</v>
      </c>
    </row>
    <row r="726" s="11" customFormat="1" spans="1:7">
      <c r="A726" s="56">
        <v>1001</v>
      </c>
      <c r="B726" s="56">
        <v>2</v>
      </c>
      <c r="C726" s="56">
        <v>1004</v>
      </c>
      <c r="D726" s="57" t="s">
        <v>2036</v>
      </c>
      <c r="E726" s="57" t="s">
        <v>2034</v>
      </c>
      <c r="F726" s="11">
        <v>416003</v>
      </c>
      <c r="G726" s="11" t="s">
        <v>2032</v>
      </c>
    </row>
    <row r="727" s="11" customFormat="1" spans="1:7">
      <c r="A727" s="56">
        <v>1001</v>
      </c>
      <c r="B727" s="56">
        <v>2</v>
      </c>
      <c r="C727" s="56">
        <v>1004</v>
      </c>
      <c r="D727" s="57" t="s">
        <v>2037</v>
      </c>
      <c r="E727" s="57" t="s">
        <v>2035</v>
      </c>
      <c r="F727" s="11">
        <v>416004</v>
      </c>
      <c r="G727" s="11" t="s">
        <v>2032</v>
      </c>
    </row>
    <row r="728" s="11" customFormat="1" spans="1:7">
      <c r="A728" s="56">
        <v>1001</v>
      </c>
      <c r="B728" s="56">
        <v>2</v>
      </c>
      <c r="C728" s="56">
        <v>1004</v>
      </c>
      <c r="D728" s="57" t="s">
        <v>2038</v>
      </c>
      <c r="E728" s="57" t="s">
        <v>2036</v>
      </c>
      <c r="F728" s="11">
        <v>416005</v>
      </c>
      <c r="G728" s="11" t="s">
        <v>2039</v>
      </c>
    </row>
    <row r="729" s="11" customFormat="1" spans="1:7">
      <c r="A729" s="56">
        <v>1001</v>
      </c>
      <c r="B729" s="56">
        <v>2</v>
      </c>
      <c r="C729" s="56">
        <v>1004</v>
      </c>
      <c r="D729" s="57" t="s">
        <v>2038</v>
      </c>
      <c r="E729" s="57" t="s">
        <v>2037</v>
      </c>
      <c r="F729" s="11">
        <v>416006</v>
      </c>
      <c r="G729" s="11" t="s">
        <v>2039</v>
      </c>
    </row>
    <row r="730" spans="1:7">
      <c r="A730" s="25">
        <v>1001</v>
      </c>
      <c r="B730" s="25">
        <v>3</v>
      </c>
      <c r="C730" s="25">
        <v>1001</v>
      </c>
      <c r="D730" t="s">
        <v>2040</v>
      </c>
      <c r="E730" s="57" t="s">
        <v>2038</v>
      </c>
      <c r="F730" s="11">
        <v>417001</v>
      </c>
      <c r="G730" t="s">
        <v>2041</v>
      </c>
    </row>
    <row r="731" spans="1:7">
      <c r="A731" s="25">
        <v>1001</v>
      </c>
      <c r="B731" s="25">
        <v>3</v>
      </c>
      <c r="C731" s="25">
        <v>1001</v>
      </c>
      <c r="D731" t="s">
        <v>2042</v>
      </c>
      <c r="E731" s="57" t="s">
        <v>2038</v>
      </c>
      <c r="F731" s="11">
        <v>412002</v>
      </c>
      <c r="G731" t="s">
        <v>2043</v>
      </c>
    </row>
    <row r="732" spans="1:7">
      <c r="A732" s="25">
        <v>1001</v>
      </c>
      <c r="B732" s="25">
        <v>3</v>
      </c>
      <c r="C732" s="25">
        <v>1001</v>
      </c>
      <c r="D732" t="s">
        <v>2044</v>
      </c>
      <c r="E732" s="27" t="s">
        <v>2040</v>
      </c>
      <c r="F732">
        <v>441001</v>
      </c>
      <c r="G732" t="s">
        <v>2045</v>
      </c>
    </row>
    <row r="733" spans="1:7">
      <c r="A733" s="25">
        <v>1001</v>
      </c>
      <c r="B733" s="25">
        <v>3</v>
      </c>
      <c r="C733" s="25">
        <v>1001</v>
      </c>
      <c r="D733" t="s">
        <v>2046</v>
      </c>
      <c r="E733" s="27" t="s">
        <v>2042</v>
      </c>
      <c r="F733">
        <v>441003</v>
      </c>
      <c r="G733" t="s">
        <v>2047</v>
      </c>
    </row>
    <row r="734" spans="1:7">
      <c r="A734" s="25">
        <v>1001</v>
      </c>
      <c r="B734" s="25">
        <v>3</v>
      </c>
      <c r="C734" s="25">
        <v>1001</v>
      </c>
      <c r="D734" t="s">
        <v>2048</v>
      </c>
      <c r="E734" s="27" t="s">
        <v>2044</v>
      </c>
      <c r="F734">
        <v>441004</v>
      </c>
      <c r="G734" t="s">
        <v>2049</v>
      </c>
    </row>
    <row r="735" spans="1:7">
      <c r="A735" s="25">
        <v>1001</v>
      </c>
      <c r="B735" s="25">
        <v>3</v>
      </c>
      <c r="C735" s="25">
        <v>1001</v>
      </c>
      <c r="D735" t="s">
        <v>2050</v>
      </c>
      <c r="E735" s="27" t="s">
        <v>2046</v>
      </c>
      <c r="F735">
        <v>441005</v>
      </c>
      <c r="G735" t="s">
        <v>2051</v>
      </c>
    </row>
    <row r="736" spans="1:7">
      <c r="A736" s="25">
        <v>1001</v>
      </c>
      <c r="B736" s="25">
        <v>3</v>
      </c>
      <c r="C736" s="25">
        <v>1001</v>
      </c>
      <c r="D736" t="s">
        <v>2052</v>
      </c>
      <c r="E736" s="27" t="s">
        <v>2048</v>
      </c>
      <c r="F736">
        <v>491001</v>
      </c>
      <c r="G736" t="s">
        <v>2053</v>
      </c>
    </row>
    <row r="737" spans="1:7">
      <c r="A737" s="25">
        <v>1001</v>
      </c>
      <c r="B737" s="25">
        <v>3</v>
      </c>
      <c r="C737" s="25">
        <v>1001</v>
      </c>
      <c r="D737" t="s">
        <v>2054</v>
      </c>
      <c r="E737" s="27" t="s">
        <v>2050</v>
      </c>
      <c r="F737">
        <v>491002</v>
      </c>
      <c r="G737" t="s">
        <v>2055</v>
      </c>
    </row>
    <row r="738" spans="1:7">
      <c r="A738" s="25">
        <v>1001</v>
      </c>
      <c r="B738" s="25">
        <v>3</v>
      </c>
      <c r="C738" s="25">
        <v>1001</v>
      </c>
      <c r="D738" t="s">
        <v>2056</v>
      </c>
      <c r="E738" s="27" t="s">
        <v>2052</v>
      </c>
      <c r="F738">
        <v>491003</v>
      </c>
      <c r="G738" t="s">
        <v>2057</v>
      </c>
    </row>
    <row r="739" spans="1:7">
      <c r="A739" s="25">
        <v>1001</v>
      </c>
      <c r="B739" s="25">
        <v>3</v>
      </c>
      <c r="C739" s="25">
        <v>1001</v>
      </c>
      <c r="D739" t="s">
        <v>2058</v>
      </c>
      <c r="E739" s="27" t="s">
        <v>2059</v>
      </c>
      <c r="F739">
        <v>491004</v>
      </c>
      <c r="G739" t="s">
        <v>2060</v>
      </c>
    </row>
    <row r="740" spans="1:7">
      <c r="A740" s="25">
        <v>1001</v>
      </c>
      <c r="B740" s="25">
        <v>3</v>
      </c>
      <c r="C740" s="25">
        <v>1001</v>
      </c>
      <c r="D740" t="s">
        <v>2061</v>
      </c>
      <c r="E740" s="27" t="s">
        <v>2056</v>
      </c>
      <c r="F740">
        <v>491005</v>
      </c>
      <c r="G740" t="s">
        <v>2062</v>
      </c>
    </row>
    <row r="741" spans="1:7">
      <c r="A741" s="25">
        <v>1001</v>
      </c>
      <c r="B741" s="25">
        <v>3</v>
      </c>
      <c r="C741" s="25">
        <v>1001</v>
      </c>
      <c r="D741" t="s">
        <v>2063</v>
      </c>
      <c r="E741" s="27" t="s">
        <v>2058</v>
      </c>
      <c r="F741">
        <v>491006</v>
      </c>
      <c r="G741" t="s">
        <v>2064</v>
      </c>
    </row>
    <row r="742" spans="1:7">
      <c r="A742" s="25">
        <v>1001</v>
      </c>
      <c r="B742" s="25">
        <v>3</v>
      </c>
      <c r="C742" s="25">
        <v>1001</v>
      </c>
      <c r="D742" t="s">
        <v>2065</v>
      </c>
      <c r="E742" s="27" t="s">
        <v>2061</v>
      </c>
      <c r="F742">
        <v>491007</v>
      </c>
      <c r="G742" t="s">
        <v>2066</v>
      </c>
    </row>
    <row r="743" spans="1:7">
      <c r="A743" s="25">
        <v>1001</v>
      </c>
      <c r="B743" s="25">
        <v>3</v>
      </c>
      <c r="C743" s="25">
        <v>1001</v>
      </c>
      <c r="D743" t="s">
        <v>2067</v>
      </c>
      <c r="E743" s="27" t="s">
        <v>2063</v>
      </c>
      <c r="F743">
        <v>491008</v>
      </c>
      <c r="G743" t="s">
        <v>2068</v>
      </c>
    </row>
    <row r="744" spans="1:7">
      <c r="A744" s="25">
        <v>1001</v>
      </c>
      <c r="B744" s="25">
        <v>3</v>
      </c>
      <c r="C744" s="25">
        <v>1001</v>
      </c>
      <c r="D744" t="s">
        <v>2069</v>
      </c>
      <c r="E744" s="27" t="s">
        <v>2065</v>
      </c>
      <c r="F744">
        <v>491009</v>
      </c>
      <c r="G744" t="s">
        <v>2070</v>
      </c>
    </row>
    <row r="745" spans="1:7">
      <c r="A745" s="25">
        <v>1001</v>
      </c>
      <c r="B745" s="25">
        <v>3</v>
      </c>
      <c r="C745" s="25">
        <v>1001</v>
      </c>
      <c r="D745" t="s">
        <v>2071</v>
      </c>
      <c r="E745" s="27" t="s">
        <v>2067</v>
      </c>
      <c r="F745">
        <v>491011</v>
      </c>
      <c r="G745" t="s">
        <v>2072</v>
      </c>
    </row>
    <row r="746" spans="1:7">
      <c r="A746" s="25">
        <v>1001</v>
      </c>
      <c r="B746" s="25">
        <v>3</v>
      </c>
      <c r="C746" s="25">
        <v>1001</v>
      </c>
      <c r="D746" t="s">
        <v>2073</v>
      </c>
      <c r="E746" s="27" t="s">
        <v>2069</v>
      </c>
      <c r="F746">
        <v>491012</v>
      </c>
      <c r="G746" t="s">
        <v>2074</v>
      </c>
    </row>
    <row r="747" spans="1:7">
      <c r="A747" s="25">
        <v>1001</v>
      </c>
      <c r="B747" s="25">
        <v>3</v>
      </c>
      <c r="C747" s="25">
        <v>1001</v>
      </c>
      <c r="D747" t="s">
        <v>2075</v>
      </c>
      <c r="E747" s="27" t="s">
        <v>2071</v>
      </c>
      <c r="F747">
        <v>491013</v>
      </c>
      <c r="G747" t="s">
        <v>2076</v>
      </c>
    </row>
    <row r="748" spans="1:7">
      <c r="A748" s="25">
        <v>1001</v>
      </c>
      <c r="B748" s="25">
        <v>3</v>
      </c>
      <c r="C748" s="25">
        <v>1001</v>
      </c>
      <c r="D748" t="s">
        <v>2077</v>
      </c>
      <c r="E748" s="27" t="s">
        <v>2073</v>
      </c>
      <c r="F748">
        <v>491014</v>
      </c>
      <c r="G748" t="s">
        <v>2078</v>
      </c>
    </row>
    <row r="749" spans="1:7">
      <c r="A749" s="25">
        <v>1001</v>
      </c>
      <c r="B749" s="25">
        <v>3</v>
      </c>
      <c r="C749" s="25">
        <v>1001</v>
      </c>
      <c r="D749" t="s">
        <v>2079</v>
      </c>
      <c r="E749" s="27" t="s">
        <v>2075</v>
      </c>
      <c r="F749">
        <v>491015</v>
      </c>
      <c r="G749" t="s">
        <v>2080</v>
      </c>
    </row>
    <row r="750" spans="1:7">
      <c r="A750" s="25">
        <v>1001</v>
      </c>
      <c r="B750" s="25">
        <v>3</v>
      </c>
      <c r="C750" s="25">
        <v>1001</v>
      </c>
      <c r="D750" t="s">
        <v>2081</v>
      </c>
      <c r="E750" s="27" t="s">
        <v>2077</v>
      </c>
      <c r="F750">
        <v>491016</v>
      </c>
      <c r="G750" t="s">
        <v>2082</v>
      </c>
    </row>
    <row r="751" spans="1:7">
      <c r="A751" s="25">
        <v>1001</v>
      </c>
      <c r="B751" s="25">
        <v>3</v>
      </c>
      <c r="C751" s="25">
        <v>1001</v>
      </c>
      <c r="D751" t="s">
        <v>2083</v>
      </c>
      <c r="E751" s="27" t="s">
        <v>2079</v>
      </c>
      <c r="F751">
        <v>491017</v>
      </c>
      <c r="G751" t="s">
        <v>2084</v>
      </c>
    </row>
    <row r="752" spans="1:7">
      <c r="A752" s="25">
        <v>1001</v>
      </c>
      <c r="B752" s="25">
        <v>3</v>
      </c>
      <c r="C752" s="25">
        <v>1001</v>
      </c>
      <c r="D752" t="s">
        <v>2085</v>
      </c>
      <c r="E752" s="27" t="s">
        <v>2081</v>
      </c>
      <c r="F752">
        <v>491018</v>
      </c>
      <c r="G752" t="s">
        <v>2086</v>
      </c>
    </row>
    <row r="753" spans="1:7">
      <c r="A753" s="25">
        <v>1001</v>
      </c>
      <c r="B753" s="25">
        <v>3</v>
      </c>
      <c r="C753" s="25">
        <v>1001</v>
      </c>
      <c r="D753" t="s">
        <v>2087</v>
      </c>
      <c r="E753" s="27" t="s">
        <v>2083</v>
      </c>
      <c r="F753">
        <v>491019</v>
      </c>
      <c r="G753" t="s">
        <v>2088</v>
      </c>
    </row>
    <row r="754" spans="1:7">
      <c r="A754" s="25">
        <v>1001</v>
      </c>
      <c r="B754" s="25">
        <v>3</v>
      </c>
      <c r="C754" s="25">
        <v>1001</v>
      </c>
      <c r="D754" t="s">
        <v>2089</v>
      </c>
      <c r="E754" s="27" t="s">
        <v>2085</v>
      </c>
      <c r="F754">
        <v>491020</v>
      </c>
      <c r="G754" t="s">
        <v>2090</v>
      </c>
    </row>
    <row r="755" spans="1:7">
      <c r="A755" s="25">
        <v>1001</v>
      </c>
      <c r="B755" s="25">
        <v>3</v>
      </c>
      <c r="C755" s="25">
        <v>1001</v>
      </c>
      <c r="D755" t="s">
        <v>2091</v>
      </c>
      <c r="E755" s="27" t="s">
        <v>2087</v>
      </c>
      <c r="F755">
        <v>491021</v>
      </c>
      <c r="G755" t="s">
        <v>2092</v>
      </c>
    </row>
    <row r="756" spans="1:7">
      <c r="A756" s="25">
        <v>1001</v>
      </c>
      <c r="B756" s="25">
        <v>3</v>
      </c>
      <c r="C756" s="25">
        <v>1001</v>
      </c>
      <c r="D756" t="s">
        <v>2093</v>
      </c>
      <c r="E756" s="27" t="s">
        <v>2089</v>
      </c>
      <c r="F756">
        <v>491022</v>
      </c>
      <c r="G756" t="s">
        <v>2094</v>
      </c>
    </row>
    <row r="757" spans="1:7">
      <c r="A757" s="25">
        <v>1001</v>
      </c>
      <c r="B757" s="25">
        <v>3</v>
      </c>
      <c r="C757" s="25">
        <v>1001</v>
      </c>
      <c r="D757" t="s">
        <v>2095</v>
      </c>
      <c r="E757" s="27" t="s">
        <v>2091</v>
      </c>
      <c r="F757">
        <v>491023</v>
      </c>
      <c r="G757" t="s">
        <v>2096</v>
      </c>
    </row>
    <row r="758" spans="1:7">
      <c r="A758" s="25">
        <v>1001</v>
      </c>
      <c r="B758" s="25">
        <v>3</v>
      </c>
      <c r="C758" s="25">
        <v>1001</v>
      </c>
      <c r="D758" t="s">
        <v>2097</v>
      </c>
      <c r="E758" s="27" t="s">
        <v>2093</v>
      </c>
      <c r="F758">
        <v>491024</v>
      </c>
      <c r="G758" t="s">
        <v>2098</v>
      </c>
    </row>
    <row r="759" spans="1:7">
      <c r="A759" s="25">
        <v>1001</v>
      </c>
      <c r="B759" s="25">
        <v>3</v>
      </c>
      <c r="C759" s="25">
        <v>1001</v>
      </c>
      <c r="D759" t="s">
        <v>2099</v>
      </c>
      <c r="E759" s="27" t="s">
        <v>2095</v>
      </c>
      <c r="F759">
        <v>491025</v>
      </c>
      <c r="G759" t="s">
        <v>2100</v>
      </c>
    </row>
    <row r="760" spans="1:7">
      <c r="A760" s="25">
        <v>1001</v>
      </c>
      <c r="B760" s="25">
        <v>3</v>
      </c>
      <c r="C760" s="25">
        <v>1001</v>
      </c>
      <c r="D760" t="s">
        <v>2101</v>
      </c>
      <c r="E760" s="27" t="s">
        <v>2097</v>
      </c>
      <c r="F760">
        <v>491026</v>
      </c>
      <c r="G760" t="s">
        <v>2102</v>
      </c>
    </row>
    <row r="761" spans="1:7">
      <c r="A761" s="25">
        <v>1001</v>
      </c>
      <c r="B761" s="25">
        <v>3</v>
      </c>
      <c r="C761" s="25">
        <v>1001</v>
      </c>
      <c r="D761" t="s">
        <v>2103</v>
      </c>
      <c r="E761" s="27" t="s">
        <v>2099</v>
      </c>
      <c r="F761">
        <v>491027</v>
      </c>
      <c r="G761" t="s">
        <v>2104</v>
      </c>
    </row>
    <row r="762" s="12" customFormat="1" spans="1:7">
      <c r="A762" s="58">
        <v>1001</v>
      </c>
      <c r="B762" s="58">
        <v>3</v>
      </c>
      <c r="C762" s="58">
        <v>1001</v>
      </c>
      <c r="D762" s="12" t="s">
        <v>2105</v>
      </c>
      <c r="E762" s="27" t="s">
        <v>2101</v>
      </c>
      <c r="F762" s="12">
        <v>491028</v>
      </c>
      <c r="G762" s="12" t="s">
        <v>2106</v>
      </c>
    </row>
    <row r="763" s="12" customFormat="1" spans="1:7">
      <c r="A763" s="58">
        <v>1001</v>
      </c>
      <c r="B763" s="58">
        <v>3</v>
      </c>
      <c r="C763" s="58">
        <v>1001</v>
      </c>
      <c r="D763" s="12" t="s">
        <v>2107</v>
      </c>
      <c r="E763" s="27" t="s">
        <v>2103</v>
      </c>
      <c r="F763" s="12">
        <v>491029</v>
      </c>
      <c r="G763" s="12" t="s">
        <v>2108</v>
      </c>
    </row>
    <row r="764" s="12" customFormat="1" spans="1:7">
      <c r="A764" s="58">
        <v>1001</v>
      </c>
      <c r="B764" s="58">
        <v>3</v>
      </c>
      <c r="C764" s="58">
        <v>1001</v>
      </c>
      <c r="D764" s="12" t="s">
        <v>2109</v>
      </c>
      <c r="E764" s="12" t="s">
        <v>2105</v>
      </c>
      <c r="F764" s="12">
        <v>491030</v>
      </c>
      <c r="G764" s="12" t="s">
        <v>2110</v>
      </c>
    </row>
    <row r="765" s="12" customFormat="1" spans="1:7">
      <c r="A765" s="58">
        <v>1001</v>
      </c>
      <c r="B765" s="58">
        <v>3</v>
      </c>
      <c r="C765" s="58">
        <v>1001</v>
      </c>
      <c r="D765" s="12" t="s">
        <v>2111</v>
      </c>
      <c r="E765" s="12" t="s">
        <v>2107</v>
      </c>
      <c r="F765" s="12">
        <v>491031</v>
      </c>
      <c r="G765" s="12" t="s">
        <v>2112</v>
      </c>
    </row>
    <row r="766" s="12" customFormat="1" spans="1:7">
      <c r="A766" s="58">
        <v>1001</v>
      </c>
      <c r="B766" s="58">
        <v>3</v>
      </c>
      <c r="C766" s="58">
        <v>1001</v>
      </c>
      <c r="D766" s="12" t="s">
        <v>2113</v>
      </c>
      <c r="E766" s="12" t="s">
        <v>2109</v>
      </c>
      <c r="F766" s="12">
        <v>491032</v>
      </c>
      <c r="G766" s="12" t="s">
        <v>2114</v>
      </c>
    </row>
    <row r="767" s="12" customFormat="1" spans="1:7">
      <c r="A767" s="58">
        <v>1001</v>
      </c>
      <c r="B767" s="58">
        <v>3</v>
      </c>
      <c r="C767" s="58">
        <v>1001</v>
      </c>
      <c r="D767" s="12" t="s">
        <v>2115</v>
      </c>
      <c r="E767" s="12" t="s">
        <v>2111</v>
      </c>
      <c r="F767" s="12">
        <v>491033</v>
      </c>
      <c r="G767" s="12" t="s">
        <v>2116</v>
      </c>
    </row>
    <row r="768" s="12" customFormat="1" spans="1:7">
      <c r="A768" s="58">
        <v>1001</v>
      </c>
      <c r="B768" s="58">
        <v>3</v>
      </c>
      <c r="C768" s="58">
        <v>1001</v>
      </c>
      <c r="D768" s="12" t="s">
        <v>2117</v>
      </c>
      <c r="E768" s="12" t="s">
        <v>2113</v>
      </c>
      <c r="F768" s="12">
        <v>491034</v>
      </c>
      <c r="G768" s="12" t="s">
        <v>2118</v>
      </c>
    </row>
    <row r="769" s="12" customFormat="1" spans="1:7">
      <c r="A769" s="58">
        <v>1001</v>
      </c>
      <c r="B769" s="58">
        <v>3</v>
      </c>
      <c r="C769" s="58">
        <v>1001</v>
      </c>
      <c r="D769" s="12" t="s">
        <v>2119</v>
      </c>
      <c r="E769" s="12" t="s">
        <v>2115</v>
      </c>
      <c r="F769" s="12">
        <v>491035</v>
      </c>
      <c r="G769" s="12" t="s">
        <v>2120</v>
      </c>
    </row>
    <row r="770" s="12" customFormat="1" spans="1:7">
      <c r="A770" s="58">
        <v>1001</v>
      </c>
      <c r="B770" s="58">
        <v>3</v>
      </c>
      <c r="C770" s="58">
        <v>1001</v>
      </c>
      <c r="D770" s="12" t="s">
        <v>2121</v>
      </c>
      <c r="E770" s="12" t="s">
        <v>2117</v>
      </c>
      <c r="F770" s="12">
        <v>491036</v>
      </c>
      <c r="G770" s="12" t="s">
        <v>2122</v>
      </c>
    </row>
    <row r="771" s="12" customFormat="1" spans="1:7">
      <c r="A771" s="58">
        <v>1001</v>
      </c>
      <c r="B771" s="58">
        <v>3</v>
      </c>
      <c r="C771" s="58">
        <v>1001</v>
      </c>
      <c r="D771" s="12" t="s">
        <v>2123</v>
      </c>
      <c r="E771" s="12" t="s">
        <v>2119</v>
      </c>
      <c r="F771" s="12">
        <v>491037</v>
      </c>
      <c r="G771" s="12" t="s">
        <v>2124</v>
      </c>
    </row>
    <row r="772" s="12" customFormat="1" spans="1:7">
      <c r="A772" s="58">
        <v>1001</v>
      </c>
      <c r="B772" s="58">
        <v>3</v>
      </c>
      <c r="C772" s="58">
        <v>1001</v>
      </c>
      <c r="D772" s="12" t="s">
        <v>2125</v>
      </c>
      <c r="E772" s="12" t="s">
        <v>2121</v>
      </c>
      <c r="F772" s="12">
        <v>491038</v>
      </c>
      <c r="G772" s="12" t="s">
        <v>2126</v>
      </c>
    </row>
    <row r="773" s="12" customFormat="1" spans="1:7">
      <c r="A773" s="58">
        <v>1001</v>
      </c>
      <c r="B773" s="58">
        <v>3</v>
      </c>
      <c r="C773" s="58">
        <v>1001</v>
      </c>
      <c r="D773" s="12" t="s">
        <v>2127</v>
      </c>
      <c r="E773" s="12" t="s">
        <v>2123</v>
      </c>
      <c r="F773" s="12">
        <v>491039</v>
      </c>
      <c r="G773" s="12" t="s">
        <v>2128</v>
      </c>
    </row>
    <row r="774" s="12" customFormat="1" spans="1:6">
      <c r="A774" s="58">
        <v>1001</v>
      </c>
      <c r="B774" s="58">
        <v>3</v>
      </c>
      <c r="C774" s="58">
        <v>1001</v>
      </c>
      <c r="E774" s="12" t="s">
        <v>2125</v>
      </c>
      <c r="F774" s="12">
        <v>491040</v>
      </c>
    </row>
    <row r="775" s="13" customFormat="1" spans="1:7">
      <c r="A775" s="59">
        <v>1001</v>
      </c>
      <c r="B775" s="59">
        <v>3</v>
      </c>
      <c r="C775" s="59">
        <v>1001</v>
      </c>
      <c r="D775" s="13" t="s">
        <v>2129</v>
      </c>
      <c r="E775" s="12" t="s">
        <v>2127</v>
      </c>
      <c r="F775" s="12">
        <v>491041</v>
      </c>
      <c r="G775" s="13" t="s">
        <v>2130</v>
      </c>
    </row>
    <row r="776" s="13" customFormat="1" spans="1:7">
      <c r="A776" s="59">
        <v>1001</v>
      </c>
      <c r="B776" s="59">
        <v>3</v>
      </c>
      <c r="C776" s="59">
        <v>1001</v>
      </c>
      <c r="D776" s="13" t="s">
        <v>2131</v>
      </c>
      <c r="E776" s="12"/>
      <c r="F776" s="12">
        <v>491042</v>
      </c>
      <c r="G776" s="13" t="s">
        <v>2132</v>
      </c>
    </row>
    <row r="777" s="13" customFormat="1" spans="1:7">
      <c r="A777" s="59">
        <v>1001</v>
      </c>
      <c r="B777" s="59">
        <v>3</v>
      </c>
      <c r="C777" s="59">
        <v>1001</v>
      </c>
      <c r="D777" s="13" t="s">
        <v>2133</v>
      </c>
      <c r="E777" s="60" t="s">
        <v>2081</v>
      </c>
      <c r="F777" s="13">
        <v>491043</v>
      </c>
      <c r="G777" s="13" t="s">
        <v>2134</v>
      </c>
    </row>
    <row r="778" spans="1:7">
      <c r="A778" s="25">
        <v>1001</v>
      </c>
      <c r="B778" s="25">
        <v>3</v>
      </c>
      <c r="C778" s="25">
        <v>1001</v>
      </c>
      <c r="D778" s="61" t="s">
        <v>2135</v>
      </c>
      <c r="E778" s="60" t="s">
        <v>2081</v>
      </c>
      <c r="F778" s="13">
        <v>491044</v>
      </c>
      <c r="G778" t="s">
        <v>2136</v>
      </c>
    </row>
    <row r="779" spans="1:7">
      <c r="A779" s="25">
        <v>1001</v>
      </c>
      <c r="B779" s="25">
        <v>3</v>
      </c>
      <c r="C779" s="25">
        <v>1001</v>
      </c>
      <c r="D779" s="61" t="s">
        <v>2137</v>
      </c>
      <c r="E779" s="60" t="s">
        <v>2081</v>
      </c>
      <c r="F779" s="13">
        <v>491045</v>
      </c>
      <c r="G779" t="s">
        <v>2138</v>
      </c>
    </row>
    <row r="780" spans="1:7">
      <c r="A780" s="25">
        <v>1001</v>
      </c>
      <c r="B780" s="25">
        <v>3</v>
      </c>
      <c r="C780" s="25">
        <v>1001</v>
      </c>
      <c r="D780" s="61" t="s">
        <v>2139</v>
      </c>
      <c r="E780" s="27" t="s">
        <v>2140</v>
      </c>
      <c r="F780">
        <v>492001</v>
      </c>
      <c r="G780" t="s">
        <v>2141</v>
      </c>
    </row>
    <row r="781" spans="1:7">
      <c r="A781" s="25">
        <v>1001</v>
      </c>
      <c r="B781" s="25">
        <v>3</v>
      </c>
      <c r="C781" s="25">
        <v>1001</v>
      </c>
      <c r="D781" s="61" t="s">
        <v>2142</v>
      </c>
      <c r="E781" s="27" t="s">
        <v>2143</v>
      </c>
      <c r="F781">
        <v>492002</v>
      </c>
      <c r="G781" t="s">
        <v>2144</v>
      </c>
    </row>
    <row r="782" spans="1:7">
      <c r="A782" s="25">
        <v>1001</v>
      </c>
      <c r="B782" s="25">
        <v>3</v>
      </c>
      <c r="C782" s="25">
        <v>1001</v>
      </c>
      <c r="D782" s="61" t="s">
        <v>2145</v>
      </c>
      <c r="E782" s="27" t="s">
        <v>2139</v>
      </c>
      <c r="F782">
        <v>492003</v>
      </c>
      <c r="G782" t="s">
        <v>2146</v>
      </c>
    </row>
    <row r="783" spans="1:7">
      <c r="A783" s="25">
        <v>1001</v>
      </c>
      <c r="B783" s="25">
        <v>3</v>
      </c>
      <c r="C783" s="25">
        <v>1001</v>
      </c>
      <c r="D783" s="61" t="s">
        <v>2147</v>
      </c>
      <c r="E783" s="27" t="s">
        <v>2142</v>
      </c>
      <c r="F783">
        <v>492004</v>
      </c>
      <c r="G783" t="s">
        <v>2148</v>
      </c>
    </row>
    <row r="784" spans="1:7">
      <c r="A784" s="25">
        <v>1001</v>
      </c>
      <c r="B784" s="25">
        <v>3</v>
      </c>
      <c r="C784" s="25">
        <v>1001</v>
      </c>
      <c r="D784" s="61" t="s">
        <v>2149</v>
      </c>
      <c r="E784" s="27" t="s">
        <v>2145</v>
      </c>
      <c r="F784">
        <v>492005</v>
      </c>
      <c r="G784" t="s">
        <v>2150</v>
      </c>
    </row>
    <row r="785" spans="1:7">
      <c r="A785" s="25">
        <v>1001</v>
      </c>
      <c r="B785" s="25">
        <v>3</v>
      </c>
      <c r="C785" s="25">
        <v>1001</v>
      </c>
      <c r="D785" s="61" t="s">
        <v>2151</v>
      </c>
      <c r="E785" s="27" t="s">
        <v>2147</v>
      </c>
      <c r="F785">
        <v>492006</v>
      </c>
      <c r="G785" t="s">
        <v>2152</v>
      </c>
    </row>
    <row r="786" spans="1:7">
      <c r="A786" s="25">
        <v>1001</v>
      </c>
      <c r="B786" s="25">
        <v>3</v>
      </c>
      <c r="C786" s="25">
        <v>1001</v>
      </c>
      <c r="D786" s="61" t="s">
        <v>2153</v>
      </c>
      <c r="E786" s="27" t="s">
        <v>2149</v>
      </c>
      <c r="F786">
        <v>492007</v>
      </c>
      <c r="G786" t="s">
        <v>2066</v>
      </c>
    </row>
    <row r="787" spans="1:7">
      <c r="A787" s="25">
        <v>1001</v>
      </c>
      <c r="B787" s="25">
        <v>3</v>
      </c>
      <c r="C787" s="25">
        <v>1001</v>
      </c>
      <c r="D787" s="61" t="s">
        <v>2154</v>
      </c>
      <c r="E787" s="27" t="s">
        <v>2151</v>
      </c>
      <c r="F787">
        <v>492008</v>
      </c>
      <c r="G787" t="s">
        <v>2155</v>
      </c>
    </row>
    <row r="788" spans="1:7">
      <c r="A788" s="25">
        <v>1001</v>
      </c>
      <c r="B788" s="25">
        <v>3</v>
      </c>
      <c r="C788" s="25">
        <v>1001</v>
      </c>
      <c r="D788" s="61" t="s">
        <v>2156</v>
      </c>
      <c r="E788" s="27" t="s">
        <v>2153</v>
      </c>
      <c r="F788">
        <v>492009</v>
      </c>
      <c r="G788" t="s">
        <v>2068</v>
      </c>
    </row>
    <row r="789" spans="1:7">
      <c r="A789" s="25">
        <v>1001</v>
      </c>
      <c r="B789" s="25">
        <v>3</v>
      </c>
      <c r="C789" s="25">
        <v>1001</v>
      </c>
      <c r="D789" s="61" t="s">
        <v>2157</v>
      </c>
      <c r="E789" s="27" t="s">
        <v>2154</v>
      </c>
      <c r="F789">
        <v>492010</v>
      </c>
      <c r="G789" t="s">
        <v>2070</v>
      </c>
    </row>
    <row r="790" spans="1:7">
      <c r="A790" s="25">
        <v>1001</v>
      </c>
      <c r="B790" s="25">
        <v>3</v>
      </c>
      <c r="C790" s="25">
        <v>1001</v>
      </c>
      <c r="D790" s="61" t="s">
        <v>2158</v>
      </c>
      <c r="E790" s="27" t="s">
        <v>2156</v>
      </c>
      <c r="F790">
        <v>492011</v>
      </c>
      <c r="G790" t="s">
        <v>2072</v>
      </c>
    </row>
    <row r="791" spans="1:7">
      <c r="A791" s="25">
        <v>1001</v>
      </c>
      <c r="B791" s="25">
        <v>3</v>
      </c>
      <c r="C791" s="25">
        <v>1001</v>
      </c>
      <c r="D791" s="61" t="s">
        <v>2159</v>
      </c>
      <c r="E791" s="27" t="s">
        <v>2157</v>
      </c>
      <c r="F791">
        <v>492012</v>
      </c>
      <c r="G791" t="s">
        <v>2074</v>
      </c>
    </row>
    <row r="792" spans="1:7">
      <c r="A792" s="25">
        <v>1001</v>
      </c>
      <c r="B792" s="25">
        <v>3</v>
      </c>
      <c r="C792" s="25">
        <v>1001</v>
      </c>
      <c r="D792" s="61" t="s">
        <v>2160</v>
      </c>
      <c r="E792" s="27" t="s">
        <v>2158</v>
      </c>
      <c r="F792">
        <v>492013</v>
      </c>
      <c r="G792" t="s">
        <v>2076</v>
      </c>
    </row>
    <row r="793" spans="1:7">
      <c r="A793" s="25">
        <v>1001</v>
      </c>
      <c r="B793" s="25">
        <v>3</v>
      </c>
      <c r="C793" s="25">
        <v>1001</v>
      </c>
      <c r="D793" s="61" t="s">
        <v>2161</v>
      </c>
      <c r="E793" s="27" t="s">
        <v>2159</v>
      </c>
      <c r="F793">
        <v>492014</v>
      </c>
      <c r="G793" t="s">
        <v>2078</v>
      </c>
    </row>
    <row r="794" spans="1:7">
      <c r="A794" s="25">
        <v>1001</v>
      </c>
      <c r="B794" s="25">
        <v>3</v>
      </c>
      <c r="C794" s="25">
        <v>1001</v>
      </c>
      <c r="D794" s="61" t="s">
        <v>2162</v>
      </c>
      <c r="E794" s="27" t="s">
        <v>2160</v>
      </c>
      <c r="F794">
        <v>492015</v>
      </c>
      <c r="G794" t="s">
        <v>2080</v>
      </c>
    </row>
    <row r="795" spans="1:7">
      <c r="A795" s="25">
        <v>1001</v>
      </c>
      <c r="B795" s="25">
        <v>3</v>
      </c>
      <c r="C795" s="25">
        <v>1001</v>
      </c>
      <c r="D795" s="61" t="s">
        <v>2163</v>
      </c>
      <c r="E795" s="27" t="s">
        <v>2161</v>
      </c>
      <c r="F795">
        <v>492016</v>
      </c>
      <c r="G795" t="s">
        <v>2164</v>
      </c>
    </row>
    <row r="796" spans="1:7">
      <c r="A796" s="25">
        <v>1001</v>
      </c>
      <c r="B796" s="25">
        <v>3</v>
      </c>
      <c r="C796" s="25">
        <v>1001</v>
      </c>
      <c r="D796" s="61" t="s">
        <v>2165</v>
      </c>
      <c r="E796" s="27" t="s">
        <v>2162</v>
      </c>
      <c r="F796">
        <v>492017</v>
      </c>
      <c r="G796" t="s">
        <v>2166</v>
      </c>
    </row>
    <row r="797" spans="1:7">
      <c r="A797" s="25">
        <v>1001</v>
      </c>
      <c r="B797" s="25">
        <v>3</v>
      </c>
      <c r="C797" s="25">
        <v>1001</v>
      </c>
      <c r="D797" s="61" t="s">
        <v>2167</v>
      </c>
      <c r="E797" s="27" t="s">
        <v>2163</v>
      </c>
      <c r="F797">
        <v>492018</v>
      </c>
      <c r="G797" t="s">
        <v>2168</v>
      </c>
    </row>
    <row r="798" spans="1:7">
      <c r="A798" s="25">
        <v>1001</v>
      </c>
      <c r="B798" s="25">
        <v>3</v>
      </c>
      <c r="C798" s="25">
        <v>1001</v>
      </c>
      <c r="D798" s="61" t="s">
        <v>2169</v>
      </c>
      <c r="E798" s="27" t="s">
        <v>2165</v>
      </c>
      <c r="F798">
        <v>492019</v>
      </c>
      <c r="G798" t="s">
        <v>2170</v>
      </c>
    </row>
    <row r="799" spans="1:7">
      <c r="A799" s="25">
        <v>1001</v>
      </c>
      <c r="B799" s="25">
        <v>3</v>
      </c>
      <c r="C799" s="25">
        <v>1001</v>
      </c>
      <c r="D799" s="61" t="s">
        <v>2171</v>
      </c>
      <c r="E799" s="27" t="s">
        <v>2167</v>
      </c>
      <c r="F799">
        <v>492020</v>
      </c>
      <c r="G799" t="s">
        <v>2172</v>
      </c>
    </row>
    <row r="800" spans="1:7">
      <c r="A800" s="25">
        <v>1001</v>
      </c>
      <c r="B800" s="25">
        <v>3</v>
      </c>
      <c r="C800" s="25">
        <v>1001</v>
      </c>
      <c r="D800" s="61" t="s">
        <v>2173</v>
      </c>
      <c r="E800" s="27" t="s">
        <v>2169</v>
      </c>
      <c r="F800">
        <v>492021</v>
      </c>
      <c r="G800" t="s">
        <v>2174</v>
      </c>
    </row>
    <row r="801" spans="1:7">
      <c r="A801" s="25">
        <v>1001</v>
      </c>
      <c r="B801" s="25">
        <v>3</v>
      </c>
      <c r="C801" s="25">
        <v>1001</v>
      </c>
      <c r="D801" s="61" t="s">
        <v>2175</v>
      </c>
      <c r="E801" s="27" t="s">
        <v>2171</v>
      </c>
      <c r="F801">
        <v>492022</v>
      </c>
      <c r="G801" t="s">
        <v>2176</v>
      </c>
    </row>
    <row r="802" spans="1:7">
      <c r="A802" s="25">
        <v>1001</v>
      </c>
      <c r="B802" s="25">
        <v>3</v>
      </c>
      <c r="C802" s="25">
        <v>1001</v>
      </c>
      <c r="D802" s="61" t="s">
        <v>2177</v>
      </c>
      <c r="E802" s="27" t="s">
        <v>2173</v>
      </c>
      <c r="F802">
        <v>492023</v>
      </c>
      <c r="G802" t="s">
        <v>2178</v>
      </c>
    </row>
    <row r="803" spans="1:7">
      <c r="A803" s="25">
        <v>1001</v>
      </c>
      <c r="B803" s="25">
        <v>3</v>
      </c>
      <c r="C803" s="25">
        <v>1001</v>
      </c>
      <c r="D803" s="61" t="s">
        <v>2179</v>
      </c>
      <c r="E803" s="27" t="s">
        <v>2175</v>
      </c>
      <c r="F803">
        <v>492024</v>
      </c>
      <c r="G803" t="s">
        <v>2180</v>
      </c>
    </row>
    <row r="804" spans="1:7">
      <c r="A804" s="25">
        <v>1001</v>
      </c>
      <c r="B804" s="25">
        <v>3</v>
      </c>
      <c r="C804" s="25">
        <v>1001</v>
      </c>
      <c r="D804" s="61" t="s">
        <v>2181</v>
      </c>
      <c r="E804" s="27" t="s">
        <v>2177</v>
      </c>
      <c r="F804">
        <v>492025</v>
      </c>
      <c r="G804" t="s">
        <v>2182</v>
      </c>
    </row>
    <row r="805" spans="1:7">
      <c r="A805" s="25">
        <v>1001</v>
      </c>
      <c r="B805" s="25">
        <v>3</v>
      </c>
      <c r="C805" s="25">
        <v>1001</v>
      </c>
      <c r="D805" t="s">
        <v>2183</v>
      </c>
      <c r="E805" s="27" t="s">
        <v>2179</v>
      </c>
      <c r="F805">
        <v>492026</v>
      </c>
      <c r="G805" t="s">
        <v>2184</v>
      </c>
    </row>
    <row r="806" spans="1:7">
      <c r="A806" s="25">
        <v>1001</v>
      </c>
      <c r="B806" s="25">
        <v>3</v>
      </c>
      <c r="C806" s="25">
        <v>1001</v>
      </c>
      <c r="D806" t="s">
        <v>2185</v>
      </c>
      <c r="E806" s="27" t="s">
        <v>2181</v>
      </c>
      <c r="F806">
        <v>492027</v>
      </c>
      <c r="G806" t="s">
        <v>2186</v>
      </c>
    </row>
    <row r="807" spans="1:7">
      <c r="A807" s="25">
        <v>1001</v>
      </c>
      <c r="B807" s="25">
        <v>2</v>
      </c>
      <c r="C807" s="25">
        <v>1004</v>
      </c>
      <c r="D807" t="s">
        <v>2187</v>
      </c>
      <c r="E807" t="s">
        <v>2183</v>
      </c>
      <c r="F807">
        <v>493001</v>
      </c>
      <c r="G807" t="s">
        <v>2187</v>
      </c>
    </row>
    <row r="808" spans="1:7">
      <c r="A808" s="25">
        <v>1001</v>
      </c>
      <c r="B808" s="25">
        <v>2</v>
      </c>
      <c r="C808" s="25">
        <v>1004</v>
      </c>
      <c r="D808" t="s">
        <v>2188</v>
      </c>
      <c r="E808" t="s">
        <v>2185</v>
      </c>
      <c r="F808">
        <v>493002</v>
      </c>
      <c r="G808" t="s">
        <v>2188</v>
      </c>
    </row>
    <row r="809" spans="1:7">
      <c r="A809" s="25">
        <v>1001</v>
      </c>
      <c r="B809" s="25">
        <v>2</v>
      </c>
      <c r="C809" s="25">
        <v>1004</v>
      </c>
      <c r="D809" t="s">
        <v>2189</v>
      </c>
      <c r="E809" s="27" t="s">
        <v>2187</v>
      </c>
      <c r="F809">
        <v>421001</v>
      </c>
      <c r="G809" t="s">
        <v>2189</v>
      </c>
    </row>
    <row r="810" spans="1:7">
      <c r="A810" s="25">
        <v>1001</v>
      </c>
      <c r="B810" s="25">
        <v>2</v>
      </c>
      <c r="C810" s="25">
        <v>1004</v>
      </c>
      <c r="D810" t="s">
        <v>2190</v>
      </c>
      <c r="E810" s="27" t="s">
        <v>2188</v>
      </c>
      <c r="F810">
        <v>421002</v>
      </c>
      <c r="G810" t="s">
        <v>2190</v>
      </c>
    </row>
    <row r="811" spans="1:7">
      <c r="A811" s="25">
        <v>1001</v>
      </c>
      <c r="B811" s="25">
        <v>2</v>
      </c>
      <c r="C811" s="25">
        <v>1004</v>
      </c>
      <c r="D811" t="s">
        <v>2191</v>
      </c>
      <c r="E811" s="27" t="s">
        <v>2189</v>
      </c>
      <c r="F811">
        <v>421003</v>
      </c>
      <c r="G811" t="s">
        <v>2191</v>
      </c>
    </row>
    <row r="812" spans="1:7">
      <c r="A812" s="25">
        <v>1001</v>
      </c>
      <c r="B812" s="25">
        <v>2</v>
      </c>
      <c r="C812" s="25">
        <v>1004</v>
      </c>
      <c r="D812" t="s">
        <v>2192</v>
      </c>
      <c r="E812" s="27" t="s">
        <v>2190</v>
      </c>
      <c r="F812">
        <v>421004</v>
      </c>
      <c r="G812" t="s">
        <v>2192</v>
      </c>
    </row>
    <row r="813" spans="1:7">
      <c r="A813" s="25">
        <v>1001</v>
      </c>
      <c r="B813" s="25">
        <v>2</v>
      </c>
      <c r="C813" s="25">
        <v>1004</v>
      </c>
      <c r="D813" t="s">
        <v>2193</v>
      </c>
      <c r="E813" s="27" t="s">
        <v>2191</v>
      </c>
      <c r="F813">
        <v>421005</v>
      </c>
      <c r="G813" t="s">
        <v>2193</v>
      </c>
    </row>
    <row r="814" spans="1:7">
      <c r="A814" s="25">
        <v>1001</v>
      </c>
      <c r="B814" s="25">
        <v>2</v>
      </c>
      <c r="C814" s="25">
        <v>1004</v>
      </c>
      <c r="D814" s="5" t="s">
        <v>2194</v>
      </c>
      <c r="E814" s="27" t="s">
        <v>2192</v>
      </c>
      <c r="F814">
        <v>421006</v>
      </c>
      <c r="G814" t="s">
        <v>2194</v>
      </c>
    </row>
    <row r="815" spans="1:7">
      <c r="A815" s="25">
        <v>1001</v>
      </c>
      <c r="B815" s="25">
        <v>2</v>
      </c>
      <c r="C815" s="25">
        <v>1004</v>
      </c>
      <c r="D815" s="5" t="s">
        <v>2195</v>
      </c>
      <c r="E815" s="27" t="s">
        <v>2193</v>
      </c>
      <c r="F815">
        <v>421007</v>
      </c>
      <c r="G815" t="s">
        <v>2195</v>
      </c>
    </row>
    <row r="816" spans="1:7">
      <c r="A816" s="25">
        <v>1001</v>
      </c>
      <c r="B816" s="25">
        <v>2</v>
      </c>
      <c r="C816" s="25">
        <v>1004</v>
      </c>
      <c r="D816" s="5" t="s">
        <v>2196</v>
      </c>
      <c r="E816" s="27" t="s">
        <v>2194</v>
      </c>
      <c r="F816">
        <v>422001</v>
      </c>
      <c r="G816" t="s">
        <v>2196</v>
      </c>
    </row>
    <row r="817" spans="1:7">
      <c r="A817" s="25">
        <v>1001</v>
      </c>
      <c r="B817" s="25">
        <v>2</v>
      </c>
      <c r="C817" s="25">
        <v>1004</v>
      </c>
      <c r="D817" s="5" t="s">
        <v>2197</v>
      </c>
      <c r="E817" s="27" t="s">
        <v>2195</v>
      </c>
      <c r="F817">
        <v>422002</v>
      </c>
      <c r="G817" t="s">
        <v>2197</v>
      </c>
    </row>
    <row r="818" spans="1:7">
      <c r="A818" s="25">
        <v>1001</v>
      </c>
      <c r="B818" s="25">
        <v>2</v>
      </c>
      <c r="C818" s="25">
        <v>1004</v>
      </c>
      <c r="D818" s="5" t="s">
        <v>2198</v>
      </c>
      <c r="E818" s="27" t="s">
        <v>2196</v>
      </c>
      <c r="F818">
        <v>422003</v>
      </c>
      <c r="G818" t="s">
        <v>2198</v>
      </c>
    </row>
    <row r="819" spans="1:7">
      <c r="A819" s="25">
        <v>1001</v>
      </c>
      <c r="B819" s="25">
        <v>2</v>
      </c>
      <c r="C819" s="25">
        <v>1004</v>
      </c>
      <c r="D819" s="5" t="s">
        <v>2199</v>
      </c>
      <c r="E819" s="27" t="s">
        <v>2197</v>
      </c>
      <c r="F819">
        <v>422004</v>
      </c>
      <c r="G819" t="s">
        <v>2199</v>
      </c>
    </row>
    <row r="820" spans="1:7">
      <c r="A820" s="25">
        <v>1001</v>
      </c>
      <c r="B820" s="25">
        <v>2</v>
      </c>
      <c r="C820" s="25">
        <v>1004</v>
      </c>
      <c r="D820" s="5" t="s">
        <v>2200</v>
      </c>
      <c r="E820" s="27" t="s">
        <v>2198</v>
      </c>
      <c r="F820">
        <v>422005</v>
      </c>
      <c r="G820" t="s">
        <v>2200</v>
      </c>
    </row>
    <row r="821" spans="1:7">
      <c r="A821" s="25">
        <v>1001</v>
      </c>
      <c r="B821" s="25">
        <v>2</v>
      </c>
      <c r="C821" s="25">
        <v>1004</v>
      </c>
      <c r="D821" s="46" t="s">
        <v>2201</v>
      </c>
      <c r="E821" s="27" t="s">
        <v>2199</v>
      </c>
      <c r="F821">
        <v>422006</v>
      </c>
      <c r="G821" t="s">
        <v>2201</v>
      </c>
    </row>
    <row r="822" spans="1:7">
      <c r="A822" s="25">
        <v>1001</v>
      </c>
      <c r="B822" s="25">
        <v>2</v>
      </c>
      <c r="C822" s="25">
        <v>1004</v>
      </c>
      <c r="D822" s="46" t="s">
        <v>2202</v>
      </c>
      <c r="E822" s="27" t="s">
        <v>2200</v>
      </c>
      <c r="F822">
        <v>422007</v>
      </c>
      <c r="G822" t="s">
        <v>2202</v>
      </c>
    </row>
    <row r="823" spans="1:7">
      <c r="A823" s="25">
        <v>1001</v>
      </c>
      <c r="B823" s="25">
        <v>2</v>
      </c>
      <c r="C823" s="25">
        <v>1004</v>
      </c>
      <c r="D823" s="46" t="s">
        <v>2203</v>
      </c>
      <c r="E823" s="27" t="s">
        <v>2201</v>
      </c>
      <c r="F823">
        <v>423001</v>
      </c>
      <c r="G823" t="s">
        <v>2203</v>
      </c>
    </row>
    <row r="824" spans="1:7">
      <c r="A824" s="25">
        <v>1001</v>
      </c>
      <c r="B824" s="25">
        <v>2</v>
      </c>
      <c r="C824" s="25">
        <v>1004</v>
      </c>
      <c r="D824" s="46" t="s">
        <v>2204</v>
      </c>
      <c r="E824" s="27" t="s">
        <v>2202</v>
      </c>
      <c r="F824">
        <v>423002</v>
      </c>
      <c r="G824" t="s">
        <v>2204</v>
      </c>
    </row>
    <row r="825" spans="1:7">
      <c r="A825" s="25">
        <v>1001</v>
      </c>
      <c r="B825" s="25">
        <v>2</v>
      </c>
      <c r="C825" s="25">
        <v>1004</v>
      </c>
      <c r="D825" s="46" t="s">
        <v>2205</v>
      </c>
      <c r="E825" s="27" t="s">
        <v>2203</v>
      </c>
      <c r="F825">
        <v>423003</v>
      </c>
      <c r="G825" t="s">
        <v>2205</v>
      </c>
    </row>
    <row r="826" spans="1:7">
      <c r="A826" s="25">
        <v>1001</v>
      </c>
      <c r="B826" s="25">
        <v>2</v>
      </c>
      <c r="C826" s="25">
        <v>1004</v>
      </c>
      <c r="D826" s="46" t="s">
        <v>2206</v>
      </c>
      <c r="E826" s="27" t="s">
        <v>2204</v>
      </c>
      <c r="F826">
        <v>423004</v>
      </c>
      <c r="G826" t="s">
        <v>2206</v>
      </c>
    </row>
    <row r="827" spans="1:7">
      <c r="A827" s="25">
        <v>1001</v>
      </c>
      <c r="B827" s="25">
        <v>2</v>
      </c>
      <c r="C827" s="25">
        <v>1004</v>
      </c>
      <c r="D827" s="46" t="s">
        <v>2207</v>
      </c>
      <c r="E827" s="27" t="s">
        <v>2205</v>
      </c>
      <c r="F827">
        <v>423005</v>
      </c>
      <c r="G827" t="s">
        <v>2207</v>
      </c>
    </row>
    <row r="828" spans="1:7">
      <c r="A828" s="25">
        <v>1001</v>
      </c>
      <c r="B828" s="25">
        <v>2</v>
      </c>
      <c r="C828" s="25">
        <v>1004</v>
      </c>
      <c r="D828" s="62" t="s">
        <v>2208</v>
      </c>
      <c r="E828" s="27" t="s">
        <v>2206</v>
      </c>
      <c r="F828">
        <v>423006</v>
      </c>
      <c r="G828" t="s">
        <v>2208</v>
      </c>
    </row>
    <row r="829" spans="1:7">
      <c r="A829" s="25">
        <v>1001</v>
      </c>
      <c r="B829" s="25">
        <v>2</v>
      </c>
      <c r="C829" s="25">
        <v>1004</v>
      </c>
      <c r="D829" s="62" t="s">
        <v>2209</v>
      </c>
      <c r="E829" s="27" t="s">
        <v>2207</v>
      </c>
      <c r="F829">
        <v>423007</v>
      </c>
      <c r="G829" t="s">
        <v>2209</v>
      </c>
    </row>
    <row r="830" spans="1:7">
      <c r="A830" s="25">
        <v>1001</v>
      </c>
      <c r="B830" s="25">
        <v>2</v>
      </c>
      <c r="C830" s="25">
        <v>1004</v>
      </c>
      <c r="D830" s="62" t="s">
        <v>2210</v>
      </c>
      <c r="E830" s="27" t="s">
        <v>2208</v>
      </c>
      <c r="F830">
        <v>424001</v>
      </c>
      <c r="G830" t="s">
        <v>2210</v>
      </c>
    </row>
    <row r="831" spans="1:7">
      <c r="A831" s="25">
        <v>1001</v>
      </c>
      <c r="B831" s="25">
        <v>2</v>
      </c>
      <c r="C831" s="25">
        <v>1004</v>
      </c>
      <c r="D831" s="62" t="s">
        <v>2211</v>
      </c>
      <c r="E831" s="27" t="s">
        <v>2209</v>
      </c>
      <c r="F831">
        <v>424002</v>
      </c>
      <c r="G831" t="s">
        <v>2211</v>
      </c>
    </row>
    <row r="832" spans="1:7">
      <c r="A832" s="25">
        <v>1001</v>
      </c>
      <c r="B832" s="25">
        <v>2</v>
      </c>
      <c r="C832" s="25">
        <v>1004</v>
      </c>
      <c r="D832" s="62" t="s">
        <v>2212</v>
      </c>
      <c r="E832" s="27" t="s">
        <v>2210</v>
      </c>
      <c r="F832">
        <v>424003</v>
      </c>
      <c r="G832" t="s">
        <v>2212</v>
      </c>
    </row>
    <row r="833" spans="1:7">
      <c r="A833" s="25">
        <v>1001</v>
      </c>
      <c r="B833" s="25">
        <v>2</v>
      </c>
      <c r="C833" s="25">
        <v>1004</v>
      </c>
      <c r="D833" s="62" t="s">
        <v>2213</v>
      </c>
      <c r="E833" s="27" t="s">
        <v>2211</v>
      </c>
      <c r="F833">
        <v>424004</v>
      </c>
      <c r="G833" t="s">
        <v>2213</v>
      </c>
    </row>
    <row r="834" spans="1:7">
      <c r="A834" s="25">
        <v>1001</v>
      </c>
      <c r="B834" s="25">
        <v>2</v>
      </c>
      <c r="C834" s="25">
        <v>1004</v>
      </c>
      <c r="D834" s="62" t="s">
        <v>2214</v>
      </c>
      <c r="E834" s="27" t="s">
        <v>2212</v>
      </c>
      <c r="F834">
        <v>424005</v>
      </c>
      <c r="G834" t="s">
        <v>2214</v>
      </c>
    </row>
    <row r="835" spans="1:7">
      <c r="A835" s="25">
        <v>1001</v>
      </c>
      <c r="B835" s="25">
        <v>2</v>
      </c>
      <c r="C835" s="25">
        <v>1004</v>
      </c>
      <c r="D835" s="23" t="s">
        <v>2215</v>
      </c>
      <c r="E835" s="27" t="s">
        <v>2213</v>
      </c>
      <c r="F835">
        <v>424006</v>
      </c>
      <c r="G835" t="s">
        <v>2215</v>
      </c>
    </row>
    <row r="836" spans="1:7">
      <c r="A836" s="25">
        <v>1001</v>
      </c>
      <c r="B836" s="25">
        <v>2</v>
      </c>
      <c r="C836" s="25">
        <v>1004</v>
      </c>
      <c r="D836" s="23" t="s">
        <v>2216</v>
      </c>
      <c r="E836" s="27" t="s">
        <v>2214</v>
      </c>
      <c r="F836">
        <v>424007</v>
      </c>
      <c r="G836" t="s">
        <v>2216</v>
      </c>
    </row>
    <row r="837" spans="1:7">
      <c r="A837" s="25">
        <v>1001</v>
      </c>
      <c r="B837" s="25">
        <v>2</v>
      </c>
      <c r="C837" s="25">
        <v>1004</v>
      </c>
      <c r="D837" s="23" t="s">
        <v>2217</v>
      </c>
      <c r="E837" s="27" t="s">
        <v>2215</v>
      </c>
      <c r="F837">
        <v>425001</v>
      </c>
      <c r="G837" t="s">
        <v>2217</v>
      </c>
    </row>
    <row r="838" spans="1:7">
      <c r="A838" s="25">
        <v>1001</v>
      </c>
      <c r="B838" s="25">
        <v>2</v>
      </c>
      <c r="C838" s="25">
        <v>1004</v>
      </c>
      <c r="D838" s="23" t="s">
        <v>2218</v>
      </c>
      <c r="E838" s="27" t="s">
        <v>2216</v>
      </c>
      <c r="F838">
        <v>425002</v>
      </c>
      <c r="G838" t="s">
        <v>2218</v>
      </c>
    </row>
    <row r="839" spans="1:7">
      <c r="A839" s="25">
        <v>1001</v>
      </c>
      <c r="B839" s="25">
        <v>2</v>
      </c>
      <c r="C839" s="25">
        <v>1004</v>
      </c>
      <c r="D839" s="23" t="s">
        <v>2219</v>
      </c>
      <c r="E839" s="27" t="s">
        <v>2217</v>
      </c>
      <c r="F839">
        <v>425003</v>
      </c>
      <c r="G839" t="s">
        <v>2219</v>
      </c>
    </row>
    <row r="840" spans="1:7">
      <c r="A840" s="25">
        <v>1001</v>
      </c>
      <c r="B840" s="25">
        <v>2</v>
      </c>
      <c r="C840" s="25">
        <v>1004</v>
      </c>
      <c r="D840" s="23" t="s">
        <v>2220</v>
      </c>
      <c r="E840" s="27" t="s">
        <v>2218</v>
      </c>
      <c r="F840">
        <v>425004</v>
      </c>
      <c r="G840" t="s">
        <v>2220</v>
      </c>
    </row>
    <row r="841" spans="1:7">
      <c r="A841" s="25">
        <v>1001</v>
      </c>
      <c r="B841" s="25">
        <v>2</v>
      </c>
      <c r="C841" s="25">
        <v>1004</v>
      </c>
      <c r="D841" s="23" t="s">
        <v>2221</v>
      </c>
      <c r="E841" s="27" t="s">
        <v>2219</v>
      </c>
      <c r="F841">
        <v>425005</v>
      </c>
      <c r="G841" t="s">
        <v>2221</v>
      </c>
    </row>
    <row r="842" spans="1:7">
      <c r="A842" s="25">
        <v>1001</v>
      </c>
      <c r="B842" s="25">
        <v>3</v>
      </c>
      <c r="C842" s="25">
        <v>1001</v>
      </c>
      <c r="D842" t="s">
        <v>2222</v>
      </c>
      <c r="E842" s="27" t="s">
        <v>2220</v>
      </c>
      <c r="F842">
        <v>425006</v>
      </c>
      <c r="G842" t="s">
        <v>2223</v>
      </c>
    </row>
    <row r="843" spans="1:7">
      <c r="A843" s="25">
        <v>1001</v>
      </c>
      <c r="B843" s="25">
        <v>3</v>
      </c>
      <c r="C843" s="25">
        <v>1001</v>
      </c>
      <c r="D843" t="s">
        <v>2224</v>
      </c>
      <c r="E843" s="27" t="s">
        <v>2221</v>
      </c>
      <c r="F843">
        <v>425007</v>
      </c>
      <c r="G843" t="s">
        <v>2225</v>
      </c>
    </row>
    <row r="844" spans="1:7">
      <c r="A844" s="25">
        <v>1001</v>
      </c>
      <c r="B844" s="25">
        <v>3</v>
      </c>
      <c r="C844" s="25">
        <v>1001</v>
      </c>
      <c r="D844" s="5" t="s">
        <v>2226</v>
      </c>
      <c r="E844" s="27" t="s">
        <v>2227</v>
      </c>
      <c r="F844" s="16">
        <v>451001</v>
      </c>
      <c r="G844" t="s">
        <v>2228</v>
      </c>
    </row>
    <row r="845" spans="1:7">
      <c r="A845" s="25">
        <v>1001</v>
      </c>
      <c r="B845" s="25">
        <v>3</v>
      </c>
      <c r="C845" s="25">
        <v>1001</v>
      </c>
      <c r="D845" s="5" t="s">
        <v>2229</v>
      </c>
      <c r="E845" s="27" t="s">
        <v>2230</v>
      </c>
      <c r="F845" s="16">
        <v>451007</v>
      </c>
      <c r="G845" t="s">
        <v>2231</v>
      </c>
    </row>
    <row r="846" spans="1:7">
      <c r="A846" s="25">
        <v>1001</v>
      </c>
      <c r="B846" s="25">
        <v>3</v>
      </c>
      <c r="C846" s="25">
        <v>1001</v>
      </c>
      <c r="D846" s="46" t="s">
        <v>2232</v>
      </c>
      <c r="E846" s="27" t="s">
        <v>2233</v>
      </c>
      <c r="F846" s="16">
        <v>452001</v>
      </c>
      <c r="G846" t="s">
        <v>2234</v>
      </c>
    </row>
    <row r="847" spans="1:7">
      <c r="A847" s="25">
        <v>1001</v>
      </c>
      <c r="B847" s="25">
        <v>3</v>
      </c>
      <c r="C847" s="25">
        <v>1001</v>
      </c>
      <c r="D847" s="46" t="s">
        <v>2235</v>
      </c>
      <c r="E847" s="27" t="s">
        <v>2236</v>
      </c>
      <c r="F847" s="16">
        <v>452004</v>
      </c>
      <c r="G847" t="s">
        <v>2237</v>
      </c>
    </row>
    <row r="848" spans="1:7">
      <c r="A848" s="25">
        <v>1001</v>
      </c>
      <c r="B848" s="25">
        <v>2</v>
      </c>
      <c r="C848" s="25">
        <v>1004</v>
      </c>
      <c r="D848" t="s">
        <v>2238</v>
      </c>
      <c r="E848" s="27" t="s">
        <v>2239</v>
      </c>
      <c r="F848" s="16">
        <v>453001</v>
      </c>
      <c r="G848" t="s">
        <v>2240</v>
      </c>
    </row>
    <row r="849" spans="1:7">
      <c r="A849" s="25">
        <v>1001</v>
      </c>
      <c r="B849" s="25">
        <v>2</v>
      </c>
      <c r="C849" s="25">
        <v>1004</v>
      </c>
      <c r="D849" t="s">
        <v>2241</v>
      </c>
      <c r="E849" s="27" t="s">
        <v>2242</v>
      </c>
      <c r="F849" s="16">
        <v>453004</v>
      </c>
      <c r="G849" t="s">
        <v>2240</v>
      </c>
    </row>
    <row r="850" spans="1:7">
      <c r="A850" s="25">
        <v>1001</v>
      </c>
      <c r="B850" s="25">
        <v>2</v>
      </c>
      <c r="C850" s="25">
        <v>1004</v>
      </c>
      <c r="D850" t="s">
        <v>2243</v>
      </c>
      <c r="E850" s="27" t="s">
        <v>2238</v>
      </c>
      <c r="F850">
        <v>460001</v>
      </c>
      <c r="G850" t="s">
        <v>2240</v>
      </c>
    </row>
    <row r="851" spans="1:7">
      <c r="A851" s="25">
        <v>1001</v>
      </c>
      <c r="B851" s="25">
        <v>2</v>
      </c>
      <c r="C851" s="25">
        <v>1004</v>
      </c>
      <c r="D851" t="s">
        <v>2244</v>
      </c>
      <c r="E851" s="27" t="s">
        <v>2241</v>
      </c>
      <c r="F851">
        <v>460002</v>
      </c>
      <c r="G851" t="s">
        <v>2240</v>
      </c>
    </row>
    <row r="852" spans="1:7">
      <c r="A852" s="25">
        <v>1001</v>
      </c>
      <c r="B852" s="25">
        <v>2</v>
      </c>
      <c r="C852" s="25">
        <v>1004</v>
      </c>
      <c r="D852" t="s">
        <v>2245</v>
      </c>
      <c r="E852" s="27" t="s">
        <v>2243</v>
      </c>
      <c r="F852">
        <v>460003</v>
      </c>
      <c r="G852" t="s">
        <v>2240</v>
      </c>
    </row>
    <row r="853" spans="1:7">
      <c r="A853" s="25">
        <v>1001</v>
      </c>
      <c r="B853" s="25">
        <v>2</v>
      </c>
      <c r="C853" s="25">
        <v>1004</v>
      </c>
      <c r="D853" t="s">
        <v>2246</v>
      </c>
      <c r="E853" s="27" t="s">
        <v>2244</v>
      </c>
      <c r="F853">
        <v>460004</v>
      </c>
      <c r="G853" t="s">
        <v>2240</v>
      </c>
    </row>
    <row r="854" spans="1:7">
      <c r="A854" s="25">
        <v>1001</v>
      </c>
      <c r="B854" s="25">
        <v>2</v>
      </c>
      <c r="C854" s="25">
        <v>1004</v>
      </c>
      <c r="D854" t="s">
        <v>2247</v>
      </c>
      <c r="E854" s="27" t="s">
        <v>2245</v>
      </c>
      <c r="F854">
        <v>460005</v>
      </c>
      <c r="G854" t="s">
        <v>2240</v>
      </c>
    </row>
    <row r="855" spans="1:7">
      <c r="A855" s="25">
        <v>1001</v>
      </c>
      <c r="B855" s="25">
        <v>2</v>
      </c>
      <c r="C855" s="25">
        <v>1004</v>
      </c>
      <c r="D855" t="s">
        <v>2248</v>
      </c>
      <c r="E855" s="27" t="s">
        <v>2246</v>
      </c>
      <c r="F855">
        <v>460006</v>
      </c>
      <c r="G855" t="s">
        <v>2240</v>
      </c>
    </row>
    <row r="856" spans="1:7">
      <c r="A856" s="25">
        <v>1001</v>
      </c>
      <c r="B856" s="25">
        <v>2</v>
      </c>
      <c r="C856" s="25">
        <v>1004</v>
      </c>
      <c r="D856" t="s">
        <v>2249</v>
      </c>
      <c r="E856" s="27" t="s">
        <v>2247</v>
      </c>
      <c r="F856">
        <v>460007</v>
      </c>
      <c r="G856" t="s">
        <v>2240</v>
      </c>
    </row>
    <row r="857" spans="1:7">
      <c r="A857" s="25">
        <v>1001</v>
      </c>
      <c r="B857" s="25">
        <v>2</v>
      </c>
      <c r="C857" s="25">
        <v>1004</v>
      </c>
      <c r="D857" t="s">
        <v>2250</v>
      </c>
      <c r="E857" s="27" t="s">
        <v>2248</v>
      </c>
      <c r="F857">
        <v>460008</v>
      </c>
      <c r="G857" t="s">
        <v>2240</v>
      </c>
    </row>
    <row r="858" spans="1:7">
      <c r="A858" s="25">
        <v>1001</v>
      </c>
      <c r="B858" s="25">
        <v>2</v>
      </c>
      <c r="C858" s="25">
        <v>1004</v>
      </c>
      <c r="D858" t="s">
        <v>2251</v>
      </c>
      <c r="E858" s="27" t="s">
        <v>2249</v>
      </c>
      <c r="F858">
        <v>460009</v>
      </c>
      <c r="G858" t="s">
        <v>2240</v>
      </c>
    </row>
    <row r="859" spans="1:7">
      <c r="A859" s="25">
        <v>1001</v>
      </c>
      <c r="B859" s="25">
        <v>2</v>
      </c>
      <c r="C859" s="25">
        <v>1004</v>
      </c>
      <c r="D859" t="s">
        <v>2252</v>
      </c>
      <c r="E859" s="27" t="s">
        <v>2250</v>
      </c>
      <c r="F859">
        <v>460010</v>
      </c>
      <c r="G859" t="s">
        <v>2240</v>
      </c>
    </row>
    <row r="860" spans="1:7">
      <c r="A860" s="25">
        <v>1001</v>
      </c>
      <c r="B860" s="25">
        <v>2</v>
      </c>
      <c r="C860" s="25">
        <v>1004</v>
      </c>
      <c r="D860" t="s">
        <v>2253</v>
      </c>
      <c r="E860" s="27" t="s">
        <v>2251</v>
      </c>
      <c r="F860">
        <v>460011</v>
      </c>
      <c r="G860" t="s">
        <v>2240</v>
      </c>
    </row>
    <row r="861" spans="1:7">
      <c r="A861" s="25">
        <v>1001</v>
      </c>
      <c r="B861" s="25">
        <v>2</v>
      </c>
      <c r="C861" s="25">
        <v>1004</v>
      </c>
      <c r="D861" t="s">
        <v>2254</v>
      </c>
      <c r="E861" s="27" t="s">
        <v>2252</v>
      </c>
      <c r="F861">
        <v>460012</v>
      </c>
      <c r="G861" t="s">
        <v>2240</v>
      </c>
    </row>
    <row r="862" spans="1:7">
      <c r="A862" s="25">
        <v>1001</v>
      </c>
      <c r="B862" s="25">
        <v>2</v>
      </c>
      <c r="C862" s="25">
        <v>1004</v>
      </c>
      <c r="D862" t="s">
        <v>2255</v>
      </c>
      <c r="E862" s="27" t="s">
        <v>2253</v>
      </c>
      <c r="F862">
        <v>460013</v>
      </c>
      <c r="G862" t="s">
        <v>2240</v>
      </c>
    </row>
    <row r="863" spans="1:7">
      <c r="A863" s="25">
        <v>1001</v>
      </c>
      <c r="B863" s="25">
        <v>2</v>
      </c>
      <c r="C863" s="25">
        <v>1004</v>
      </c>
      <c r="D863" t="s">
        <v>2256</v>
      </c>
      <c r="E863" s="27" t="s">
        <v>2254</v>
      </c>
      <c r="F863">
        <v>460014</v>
      </c>
      <c r="G863" t="s">
        <v>2240</v>
      </c>
    </row>
    <row r="864" spans="1:7">
      <c r="A864" s="25">
        <v>1001</v>
      </c>
      <c r="B864" s="25">
        <v>2</v>
      </c>
      <c r="C864" s="25">
        <v>1004</v>
      </c>
      <c r="D864" t="s">
        <v>2257</v>
      </c>
      <c r="E864" s="27" t="s">
        <v>2255</v>
      </c>
      <c r="F864">
        <v>460015</v>
      </c>
      <c r="G864" t="s">
        <v>2240</v>
      </c>
    </row>
    <row r="865" spans="1:7">
      <c r="A865" s="25">
        <v>1001</v>
      </c>
      <c r="B865" s="25">
        <v>2</v>
      </c>
      <c r="C865" s="25">
        <v>1004</v>
      </c>
      <c r="D865" t="s">
        <v>2258</v>
      </c>
      <c r="E865" s="27" t="s">
        <v>2256</v>
      </c>
      <c r="F865">
        <v>460016</v>
      </c>
      <c r="G865" t="s">
        <v>2240</v>
      </c>
    </row>
    <row r="866" spans="1:7">
      <c r="A866" s="25">
        <v>1001</v>
      </c>
      <c r="B866" s="25">
        <v>2</v>
      </c>
      <c r="C866" s="25">
        <v>1004</v>
      </c>
      <c r="D866" t="s">
        <v>2259</v>
      </c>
      <c r="E866" s="27" t="s">
        <v>2257</v>
      </c>
      <c r="F866">
        <v>460017</v>
      </c>
      <c r="G866" t="s">
        <v>2240</v>
      </c>
    </row>
    <row r="867" spans="1:7">
      <c r="A867" s="25">
        <v>1001</v>
      </c>
      <c r="B867" s="25">
        <v>2</v>
      </c>
      <c r="C867" s="25">
        <v>1004</v>
      </c>
      <c r="D867" t="s">
        <v>2260</v>
      </c>
      <c r="E867" s="27" t="s">
        <v>2258</v>
      </c>
      <c r="F867">
        <v>460018</v>
      </c>
      <c r="G867" t="s">
        <v>2240</v>
      </c>
    </row>
    <row r="868" spans="1:7">
      <c r="A868" s="25">
        <v>1001</v>
      </c>
      <c r="B868" s="25">
        <v>2</v>
      </c>
      <c r="C868" s="25">
        <v>1004</v>
      </c>
      <c r="D868" t="s">
        <v>2261</v>
      </c>
      <c r="E868" s="27" t="s">
        <v>2259</v>
      </c>
      <c r="F868">
        <v>460019</v>
      </c>
      <c r="G868" t="s">
        <v>2240</v>
      </c>
    </row>
    <row r="869" spans="1:7">
      <c r="A869" s="25">
        <v>1001</v>
      </c>
      <c r="B869" s="25">
        <v>2</v>
      </c>
      <c r="C869" s="25">
        <v>1004</v>
      </c>
      <c r="D869" t="s">
        <v>2262</v>
      </c>
      <c r="E869" s="27" t="s">
        <v>2260</v>
      </c>
      <c r="F869">
        <v>460020</v>
      </c>
      <c r="G869" t="s">
        <v>2240</v>
      </c>
    </row>
    <row r="870" spans="1:7">
      <c r="A870" s="25">
        <v>1001</v>
      </c>
      <c r="B870" s="25">
        <v>2</v>
      </c>
      <c r="C870" s="25">
        <v>1004</v>
      </c>
      <c r="D870" t="s">
        <v>2263</v>
      </c>
      <c r="E870" s="27" t="s">
        <v>2261</v>
      </c>
      <c r="F870">
        <v>460021</v>
      </c>
      <c r="G870" t="s">
        <v>2240</v>
      </c>
    </row>
    <row r="871" spans="1:7">
      <c r="A871" s="25">
        <v>1001</v>
      </c>
      <c r="B871" s="25">
        <v>2</v>
      </c>
      <c r="C871" s="25">
        <v>1004</v>
      </c>
      <c r="D871" t="s">
        <v>2264</v>
      </c>
      <c r="E871" s="27" t="s">
        <v>2262</v>
      </c>
      <c r="F871">
        <v>460022</v>
      </c>
      <c r="G871" t="s">
        <v>2240</v>
      </c>
    </row>
    <row r="872" spans="1:7">
      <c r="A872" s="25">
        <v>1001</v>
      </c>
      <c r="B872" s="25">
        <v>2</v>
      </c>
      <c r="C872" s="25">
        <v>1004</v>
      </c>
      <c r="D872" t="s">
        <v>2265</v>
      </c>
      <c r="E872" s="27" t="s">
        <v>2263</v>
      </c>
      <c r="F872">
        <v>460023</v>
      </c>
      <c r="G872" t="s">
        <v>2240</v>
      </c>
    </row>
    <row r="873" spans="1:7">
      <c r="A873" s="25">
        <v>1001</v>
      </c>
      <c r="B873" s="25">
        <v>2</v>
      </c>
      <c r="C873" s="25">
        <v>1004</v>
      </c>
      <c r="D873" s="63" t="s">
        <v>2266</v>
      </c>
      <c r="E873" s="27" t="s">
        <v>2267</v>
      </c>
      <c r="F873">
        <v>460024</v>
      </c>
      <c r="G873" t="s">
        <v>2240</v>
      </c>
    </row>
    <row r="874" spans="1:7">
      <c r="A874" s="25">
        <v>1001</v>
      </c>
      <c r="B874" s="25">
        <v>2</v>
      </c>
      <c r="C874" s="25">
        <v>1004</v>
      </c>
      <c r="D874" s="63" t="s">
        <v>2268</v>
      </c>
      <c r="E874" s="27" t="s">
        <v>2265</v>
      </c>
      <c r="F874">
        <v>460025</v>
      </c>
      <c r="G874" t="s">
        <v>2240</v>
      </c>
    </row>
    <row r="875" spans="1:7">
      <c r="A875" s="25">
        <v>1001</v>
      </c>
      <c r="B875" s="25">
        <v>2</v>
      </c>
      <c r="C875" s="25">
        <v>1004</v>
      </c>
      <c r="D875" s="63" t="s">
        <v>2269</v>
      </c>
      <c r="E875" s="27" t="s">
        <v>2266</v>
      </c>
      <c r="F875">
        <v>461001</v>
      </c>
      <c r="G875" t="s">
        <v>2240</v>
      </c>
    </row>
    <row r="876" spans="1:7">
      <c r="A876" s="25">
        <v>1001</v>
      </c>
      <c r="B876" s="25">
        <v>2</v>
      </c>
      <c r="C876" s="25">
        <v>1004</v>
      </c>
      <c r="D876" s="63" t="s">
        <v>2270</v>
      </c>
      <c r="E876" s="27" t="s">
        <v>2268</v>
      </c>
      <c r="F876">
        <v>461002</v>
      </c>
      <c r="G876" t="s">
        <v>2240</v>
      </c>
    </row>
    <row r="877" spans="1:7">
      <c r="A877" s="25">
        <v>1001</v>
      </c>
      <c r="B877" s="25">
        <v>2</v>
      </c>
      <c r="C877" s="25">
        <v>1004</v>
      </c>
      <c r="D877" s="63" t="s">
        <v>2271</v>
      </c>
      <c r="E877" s="27" t="s">
        <v>2269</v>
      </c>
      <c r="F877">
        <v>461003</v>
      </c>
      <c r="G877" t="s">
        <v>2240</v>
      </c>
    </row>
    <row r="878" spans="1:7">
      <c r="A878" s="25">
        <v>1001</v>
      </c>
      <c r="B878" s="25">
        <v>2</v>
      </c>
      <c r="C878" s="25">
        <v>1004</v>
      </c>
      <c r="D878" s="63" t="s">
        <v>2272</v>
      </c>
      <c r="E878" s="27" t="s">
        <v>2270</v>
      </c>
      <c r="F878">
        <v>461004</v>
      </c>
      <c r="G878" t="s">
        <v>2240</v>
      </c>
    </row>
    <row r="879" spans="1:7">
      <c r="A879" s="25">
        <v>1001</v>
      </c>
      <c r="B879" s="25">
        <v>2</v>
      </c>
      <c r="C879" s="25">
        <v>1004</v>
      </c>
      <c r="D879" s="63" t="s">
        <v>2273</v>
      </c>
      <c r="E879" s="27" t="s">
        <v>2271</v>
      </c>
      <c r="F879">
        <v>461005</v>
      </c>
      <c r="G879" t="s">
        <v>2240</v>
      </c>
    </row>
    <row r="880" spans="1:7">
      <c r="A880" s="25">
        <v>1001</v>
      </c>
      <c r="B880" s="25">
        <v>2</v>
      </c>
      <c r="C880" s="25">
        <v>1004</v>
      </c>
      <c r="D880" s="63" t="s">
        <v>2274</v>
      </c>
      <c r="E880" s="27" t="s">
        <v>2272</v>
      </c>
      <c r="F880">
        <v>461006</v>
      </c>
      <c r="G880" t="s">
        <v>2240</v>
      </c>
    </row>
    <row r="881" spans="1:7">
      <c r="A881" s="25">
        <v>1001</v>
      </c>
      <c r="B881" s="25">
        <v>2</v>
      </c>
      <c r="C881" s="25">
        <v>1004</v>
      </c>
      <c r="D881" s="63" t="s">
        <v>2275</v>
      </c>
      <c r="E881" s="27" t="s">
        <v>2273</v>
      </c>
      <c r="F881">
        <v>461007</v>
      </c>
      <c r="G881" t="s">
        <v>2240</v>
      </c>
    </row>
    <row r="882" spans="1:7">
      <c r="A882" s="25">
        <v>1001</v>
      </c>
      <c r="B882" s="25">
        <v>2</v>
      </c>
      <c r="C882" s="25">
        <v>1004</v>
      </c>
      <c r="D882" s="63" t="s">
        <v>2276</v>
      </c>
      <c r="E882" s="27" t="s">
        <v>2274</v>
      </c>
      <c r="F882">
        <v>461008</v>
      </c>
      <c r="G882" t="s">
        <v>2240</v>
      </c>
    </row>
    <row r="883" spans="1:7">
      <c r="A883" s="25">
        <v>1001</v>
      </c>
      <c r="B883" s="25">
        <v>2</v>
      </c>
      <c r="C883" s="25">
        <v>1004</v>
      </c>
      <c r="D883" s="63" t="s">
        <v>2277</v>
      </c>
      <c r="E883" s="27" t="s">
        <v>2275</v>
      </c>
      <c r="F883">
        <v>461009</v>
      </c>
      <c r="G883" t="s">
        <v>2240</v>
      </c>
    </row>
    <row r="884" spans="1:7">
      <c r="A884" s="25">
        <v>1001</v>
      </c>
      <c r="B884" s="25">
        <v>2</v>
      </c>
      <c r="C884" s="25">
        <v>1004</v>
      </c>
      <c r="D884" s="63" t="s">
        <v>2278</v>
      </c>
      <c r="E884" s="27" t="s">
        <v>2276</v>
      </c>
      <c r="F884">
        <v>461010</v>
      </c>
      <c r="G884" t="s">
        <v>2240</v>
      </c>
    </row>
    <row r="885" spans="1:7">
      <c r="A885" s="25">
        <v>1001</v>
      </c>
      <c r="B885" s="25">
        <v>2</v>
      </c>
      <c r="C885" s="25">
        <v>1004</v>
      </c>
      <c r="D885" s="63" t="s">
        <v>2279</v>
      </c>
      <c r="E885" s="27" t="s">
        <v>2277</v>
      </c>
      <c r="F885">
        <v>461011</v>
      </c>
      <c r="G885" t="s">
        <v>2240</v>
      </c>
    </row>
    <row r="886" spans="1:7">
      <c r="A886" s="25">
        <v>1001</v>
      </c>
      <c r="B886" s="25">
        <v>2</v>
      </c>
      <c r="C886" s="25">
        <v>1004</v>
      </c>
      <c r="D886" s="63" t="s">
        <v>2280</v>
      </c>
      <c r="E886" s="27" t="s">
        <v>2278</v>
      </c>
      <c r="F886">
        <v>461012</v>
      </c>
      <c r="G886" t="s">
        <v>2240</v>
      </c>
    </row>
    <row r="887" spans="1:7">
      <c r="A887" s="25">
        <v>1001</v>
      </c>
      <c r="B887" s="25">
        <v>2</v>
      </c>
      <c r="C887" s="25">
        <v>1004</v>
      </c>
      <c r="D887" s="63" t="s">
        <v>2281</v>
      </c>
      <c r="E887" s="27" t="s">
        <v>2279</v>
      </c>
      <c r="F887">
        <v>461013</v>
      </c>
      <c r="G887" t="s">
        <v>2240</v>
      </c>
    </row>
    <row r="888" spans="1:7">
      <c r="A888" s="25">
        <v>1001</v>
      </c>
      <c r="B888" s="25">
        <v>2</v>
      </c>
      <c r="C888" s="25">
        <v>1004</v>
      </c>
      <c r="D888" s="63" t="s">
        <v>2282</v>
      </c>
      <c r="E888" s="27" t="s">
        <v>2280</v>
      </c>
      <c r="F888">
        <v>461014</v>
      </c>
      <c r="G888" t="s">
        <v>2240</v>
      </c>
    </row>
    <row r="889" spans="1:7">
      <c r="A889" s="25">
        <v>1001</v>
      </c>
      <c r="B889" s="25">
        <v>2</v>
      </c>
      <c r="C889" s="25">
        <v>1004</v>
      </c>
      <c r="D889" s="63" t="s">
        <v>2283</v>
      </c>
      <c r="E889" s="27" t="s">
        <v>2281</v>
      </c>
      <c r="F889">
        <v>461015</v>
      </c>
      <c r="G889" t="s">
        <v>2240</v>
      </c>
    </row>
    <row r="890" spans="1:7">
      <c r="A890" s="25">
        <v>1001</v>
      </c>
      <c r="B890" s="25">
        <v>2</v>
      </c>
      <c r="C890" s="25">
        <v>1004</v>
      </c>
      <c r="D890" s="63" t="s">
        <v>2284</v>
      </c>
      <c r="E890" s="27" t="s">
        <v>2282</v>
      </c>
      <c r="F890">
        <v>461016</v>
      </c>
      <c r="G890" t="s">
        <v>2240</v>
      </c>
    </row>
    <row r="891" spans="1:7">
      <c r="A891" s="25">
        <v>1001</v>
      </c>
      <c r="B891" s="25">
        <v>2</v>
      </c>
      <c r="C891" s="25">
        <v>1004</v>
      </c>
      <c r="D891" s="63" t="s">
        <v>2285</v>
      </c>
      <c r="E891" s="27" t="s">
        <v>2283</v>
      </c>
      <c r="F891">
        <v>461017</v>
      </c>
      <c r="G891" t="s">
        <v>2240</v>
      </c>
    </row>
    <row r="892" spans="1:7">
      <c r="A892" s="25">
        <v>1001</v>
      </c>
      <c r="B892" s="25">
        <v>2</v>
      </c>
      <c r="C892" s="25">
        <v>1004</v>
      </c>
      <c r="D892" s="63" t="s">
        <v>2286</v>
      </c>
      <c r="E892" s="27" t="s">
        <v>2284</v>
      </c>
      <c r="F892">
        <v>461018</v>
      </c>
      <c r="G892" t="s">
        <v>2240</v>
      </c>
    </row>
    <row r="893" spans="1:7">
      <c r="A893" s="25">
        <v>1001</v>
      </c>
      <c r="B893" s="25">
        <v>2</v>
      </c>
      <c r="C893" s="25">
        <v>1004</v>
      </c>
      <c r="D893" s="63" t="s">
        <v>2287</v>
      </c>
      <c r="E893" s="27" t="s">
        <v>2285</v>
      </c>
      <c r="F893">
        <v>461019</v>
      </c>
      <c r="G893" t="s">
        <v>2240</v>
      </c>
    </row>
    <row r="894" spans="1:7">
      <c r="A894" s="25">
        <v>1001</v>
      </c>
      <c r="B894" s="25">
        <v>2</v>
      </c>
      <c r="C894" s="25">
        <v>1004</v>
      </c>
      <c r="D894" s="63" t="s">
        <v>2288</v>
      </c>
      <c r="E894" s="27" t="s">
        <v>2286</v>
      </c>
      <c r="F894">
        <v>461020</v>
      </c>
      <c r="G894" t="s">
        <v>2240</v>
      </c>
    </row>
    <row r="895" spans="1:7">
      <c r="A895" s="25">
        <v>1001</v>
      </c>
      <c r="B895" s="25">
        <v>2</v>
      </c>
      <c r="C895" s="25">
        <v>1004</v>
      </c>
      <c r="D895" s="63" t="s">
        <v>2289</v>
      </c>
      <c r="E895" s="27" t="s">
        <v>2287</v>
      </c>
      <c r="F895">
        <v>461021</v>
      </c>
      <c r="G895" t="s">
        <v>2240</v>
      </c>
    </row>
    <row r="896" spans="1:7">
      <c r="A896" s="25">
        <v>1001</v>
      </c>
      <c r="B896" s="25">
        <v>2</v>
      </c>
      <c r="C896" s="25">
        <v>1004</v>
      </c>
      <c r="D896" s="63" t="s">
        <v>2290</v>
      </c>
      <c r="E896" s="27" t="s">
        <v>2288</v>
      </c>
      <c r="F896">
        <v>461022</v>
      </c>
      <c r="G896" t="s">
        <v>2240</v>
      </c>
    </row>
    <row r="897" spans="1:7">
      <c r="A897" s="25">
        <v>1001</v>
      </c>
      <c r="B897" s="25">
        <v>2</v>
      </c>
      <c r="C897" s="25">
        <v>1004</v>
      </c>
      <c r="D897" s="63" t="s">
        <v>2291</v>
      </c>
      <c r="E897" s="27" t="s">
        <v>2289</v>
      </c>
      <c r="F897">
        <v>461023</v>
      </c>
      <c r="G897" t="s">
        <v>2240</v>
      </c>
    </row>
    <row r="898" spans="1:7">
      <c r="A898" s="25">
        <v>1001</v>
      </c>
      <c r="B898" s="25">
        <v>2</v>
      </c>
      <c r="C898" s="25">
        <v>1004</v>
      </c>
      <c r="D898" s="64" t="s">
        <v>2292</v>
      </c>
      <c r="E898" s="27" t="s">
        <v>2293</v>
      </c>
      <c r="F898">
        <v>461024</v>
      </c>
      <c r="G898" t="s">
        <v>2240</v>
      </c>
    </row>
    <row r="899" spans="1:7">
      <c r="A899" s="25">
        <v>1001</v>
      </c>
      <c r="B899" s="25">
        <v>2</v>
      </c>
      <c r="C899" s="25">
        <v>1004</v>
      </c>
      <c r="D899" s="64" t="s">
        <v>2294</v>
      </c>
      <c r="E899" s="27" t="s">
        <v>2291</v>
      </c>
      <c r="F899">
        <v>461025</v>
      </c>
      <c r="G899" t="s">
        <v>2240</v>
      </c>
    </row>
    <row r="900" spans="1:7">
      <c r="A900" s="25">
        <v>1001</v>
      </c>
      <c r="B900" s="25">
        <v>2</v>
      </c>
      <c r="C900" s="25">
        <v>1004</v>
      </c>
      <c r="D900" s="64" t="s">
        <v>2295</v>
      </c>
      <c r="E900" s="27" t="s">
        <v>2292</v>
      </c>
      <c r="F900">
        <v>462001</v>
      </c>
      <c r="G900" t="s">
        <v>2240</v>
      </c>
    </row>
    <row r="901" spans="1:7">
      <c r="A901" s="25">
        <v>1001</v>
      </c>
      <c r="B901" s="25">
        <v>2</v>
      </c>
      <c r="C901" s="25">
        <v>1004</v>
      </c>
      <c r="D901" s="64" t="s">
        <v>2296</v>
      </c>
      <c r="E901" s="27" t="s">
        <v>2294</v>
      </c>
      <c r="F901">
        <v>462002</v>
      </c>
      <c r="G901" t="s">
        <v>2240</v>
      </c>
    </row>
    <row r="902" spans="1:7">
      <c r="A902" s="25">
        <v>1001</v>
      </c>
      <c r="B902" s="25">
        <v>2</v>
      </c>
      <c r="C902" s="25">
        <v>1004</v>
      </c>
      <c r="D902" s="64" t="s">
        <v>2297</v>
      </c>
      <c r="E902" s="27" t="s">
        <v>2295</v>
      </c>
      <c r="F902">
        <v>462003</v>
      </c>
      <c r="G902" t="s">
        <v>2240</v>
      </c>
    </row>
    <row r="903" spans="1:7">
      <c r="A903" s="25">
        <v>1001</v>
      </c>
      <c r="B903" s="25">
        <v>2</v>
      </c>
      <c r="C903" s="25">
        <v>1004</v>
      </c>
      <c r="D903" s="64" t="s">
        <v>2298</v>
      </c>
      <c r="E903" s="27" t="s">
        <v>2296</v>
      </c>
      <c r="F903">
        <v>462004</v>
      </c>
      <c r="G903" t="s">
        <v>2240</v>
      </c>
    </row>
    <row r="904" spans="1:7">
      <c r="A904" s="25">
        <v>1001</v>
      </c>
      <c r="B904" s="25">
        <v>2</v>
      </c>
      <c r="C904" s="25">
        <v>1004</v>
      </c>
      <c r="D904" s="64" t="s">
        <v>2299</v>
      </c>
      <c r="E904" s="27" t="s">
        <v>2297</v>
      </c>
      <c r="F904">
        <v>462005</v>
      </c>
      <c r="G904" t="s">
        <v>2240</v>
      </c>
    </row>
    <row r="905" spans="1:7">
      <c r="A905" s="25">
        <v>1001</v>
      </c>
      <c r="B905" s="25">
        <v>2</v>
      </c>
      <c r="C905" s="25">
        <v>1004</v>
      </c>
      <c r="D905" s="64" t="s">
        <v>2300</v>
      </c>
      <c r="E905" s="27" t="s">
        <v>2298</v>
      </c>
      <c r="F905">
        <v>462006</v>
      </c>
      <c r="G905" t="s">
        <v>2240</v>
      </c>
    </row>
    <row r="906" spans="1:7">
      <c r="A906" s="25">
        <v>1001</v>
      </c>
      <c r="B906" s="25">
        <v>2</v>
      </c>
      <c r="C906" s="25">
        <v>1004</v>
      </c>
      <c r="D906" s="64" t="s">
        <v>2301</v>
      </c>
      <c r="E906" s="27" t="s">
        <v>2299</v>
      </c>
      <c r="F906">
        <v>462007</v>
      </c>
      <c r="G906" t="s">
        <v>2240</v>
      </c>
    </row>
    <row r="907" spans="1:7">
      <c r="A907" s="25">
        <v>1001</v>
      </c>
      <c r="B907" s="25">
        <v>2</v>
      </c>
      <c r="C907" s="25">
        <v>1004</v>
      </c>
      <c r="D907" s="64" t="s">
        <v>2302</v>
      </c>
      <c r="E907" s="27" t="s">
        <v>2300</v>
      </c>
      <c r="F907">
        <v>462008</v>
      </c>
      <c r="G907" t="s">
        <v>2240</v>
      </c>
    </row>
    <row r="908" spans="1:7">
      <c r="A908" s="25">
        <v>1001</v>
      </c>
      <c r="B908" s="25">
        <v>2</v>
      </c>
      <c r="C908" s="25">
        <v>1004</v>
      </c>
      <c r="D908" s="64" t="s">
        <v>2303</v>
      </c>
      <c r="E908" s="27" t="s">
        <v>2301</v>
      </c>
      <c r="F908">
        <v>462009</v>
      </c>
      <c r="G908" t="s">
        <v>2240</v>
      </c>
    </row>
    <row r="909" spans="1:7">
      <c r="A909" s="25">
        <v>1001</v>
      </c>
      <c r="B909" s="25">
        <v>2</v>
      </c>
      <c r="C909" s="25">
        <v>1004</v>
      </c>
      <c r="D909" s="64" t="s">
        <v>2304</v>
      </c>
      <c r="E909" s="27" t="s">
        <v>2302</v>
      </c>
      <c r="F909">
        <v>462010</v>
      </c>
      <c r="G909" t="s">
        <v>2240</v>
      </c>
    </row>
    <row r="910" spans="1:7">
      <c r="A910" s="25">
        <v>1001</v>
      </c>
      <c r="B910" s="25">
        <v>2</v>
      </c>
      <c r="C910" s="25">
        <v>1004</v>
      </c>
      <c r="D910" s="64" t="s">
        <v>2305</v>
      </c>
      <c r="E910" s="27" t="s">
        <v>2303</v>
      </c>
      <c r="F910">
        <v>462011</v>
      </c>
      <c r="G910" t="s">
        <v>2240</v>
      </c>
    </row>
    <row r="911" spans="1:7">
      <c r="A911" s="25">
        <v>1001</v>
      </c>
      <c r="B911" s="25">
        <v>2</v>
      </c>
      <c r="C911" s="25">
        <v>1004</v>
      </c>
      <c r="D911" s="64" t="s">
        <v>2306</v>
      </c>
      <c r="E911" s="27" t="s">
        <v>2304</v>
      </c>
      <c r="F911">
        <v>462012</v>
      </c>
      <c r="G911" t="s">
        <v>2240</v>
      </c>
    </row>
    <row r="912" spans="1:7">
      <c r="A912" s="25">
        <v>1001</v>
      </c>
      <c r="B912" s="25">
        <v>2</v>
      </c>
      <c r="C912" s="25">
        <v>1004</v>
      </c>
      <c r="D912" s="64" t="s">
        <v>2307</v>
      </c>
      <c r="E912" s="27" t="s">
        <v>2305</v>
      </c>
      <c r="F912">
        <v>462013</v>
      </c>
      <c r="G912" t="s">
        <v>2240</v>
      </c>
    </row>
    <row r="913" spans="1:7">
      <c r="A913" s="25">
        <v>1001</v>
      </c>
      <c r="B913" s="25">
        <v>2</v>
      </c>
      <c r="C913" s="25">
        <v>1004</v>
      </c>
      <c r="D913" s="64" t="s">
        <v>2308</v>
      </c>
      <c r="E913" s="27" t="s">
        <v>2306</v>
      </c>
      <c r="F913">
        <v>462014</v>
      </c>
      <c r="G913" t="s">
        <v>2240</v>
      </c>
    </row>
    <row r="914" spans="1:7">
      <c r="A914" s="25">
        <v>1001</v>
      </c>
      <c r="B914" s="25">
        <v>2</v>
      </c>
      <c r="C914" s="25">
        <v>1004</v>
      </c>
      <c r="D914" s="64" t="s">
        <v>2309</v>
      </c>
      <c r="E914" s="27" t="s">
        <v>2307</v>
      </c>
      <c r="F914">
        <v>462015</v>
      </c>
      <c r="G914" t="s">
        <v>2240</v>
      </c>
    </row>
    <row r="915" spans="1:7">
      <c r="A915" s="25">
        <v>1001</v>
      </c>
      <c r="B915" s="25">
        <v>2</v>
      </c>
      <c r="C915" s="25">
        <v>1004</v>
      </c>
      <c r="D915" s="64" t="s">
        <v>2310</v>
      </c>
      <c r="E915" s="27" t="s">
        <v>2308</v>
      </c>
      <c r="F915">
        <v>462016</v>
      </c>
      <c r="G915" t="s">
        <v>2240</v>
      </c>
    </row>
    <row r="916" spans="1:7">
      <c r="A916" s="25">
        <v>1001</v>
      </c>
      <c r="B916" s="25">
        <v>2</v>
      </c>
      <c r="C916" s="25">
        <v>1004</v>
      </c>
      <c r="D916" s="64" t="s">
        <v>2311</v>
      </c>
      <c r="E916" s="27" t="s">
        <v>2309</v>
      </c>
      <c r="F916">
        <v>462017</v>
      </c>
      <c r="G916" t="s">
        <v>2240</v>
      </c>
    </row>
    <row r="917" spans="1:7">
      <c r="A917" s="25">
        <v>1001</v>
      </c>
      <c r="B917" s="25">
        <v>2</v>
      </c>
      <c r="C917" s="25">
        <v>1004</v>
      </c>
      <c r="D917" s="64" t="s">
        <v>2312</v>
      </c>
      <c r="E917" s="27" t="s">
        <v>2310</v>
      </c>
      <c r="F917">
        <v>462018</v>
      </c>
      <c r="G917" t="s">
        <v>2240</v>
      </c>
    </row>
    <row r="918" spans="1:7">
      <c r="A918" s="25">
        <v>1001</v>
      </c>
      <c r="B918" s="25">
        <v>2</v>
      </c>
      <c r="C918" s="25">
        <v>1004</v>
      </c>
      <c r="D918" s="64" t="s">
        <v>2313</v>
      </c>
      <c r="E918" s="27" t="s">
        <v>2311</v>
      </c>
      <c r="F918">
        <v>462019</v>
      </c>
      <c r="G918" t="s">
        <v>2240</v>
      </c>
    </row>
    <row r="919" spans="1:7">
      <c r="A919" s="25">
        <v>1001</v>
      </c>
      <c r="B919" s="25">
        <v>2</v>
      </c>
      <c r="C919" s="25">
        <v>1004</v>
      </c>
      <c r="D919" s="64" t="s">
        <v>2314</v>
      </c>
      <c r="E919" s="27" t="s">
        <v>2312</v>
      </c>
      <c r="F919">
        <v>462020</v>
      </c>
      <c r="G919" t="s">
        <v>2240</v>
      </c>
    </row>
    <row r="920" spans="1:7">
      <c r="A920" s="25">
        <v>1001</v>
      </c>
      <c r="B920" s="25">
        <v>2</v>
      </c>
      <c r="C920" s="25">
        <v>1004</v>
      </c>
      <c r="D920" s="64" t="s">
        <v>2315</v>
      </c>
      <c r="E920" s="27" t="s">
        <v>2313</v>
      </c>
      <c r="F920">
        <v>462021</v>
      </c>
      <c r="G920" t="s">
        <v>2240</v>
      </c>
    </row>
    <row r="921" spans="1:7">
      <c r="A921" s="25">
        <v>1001</v>
      </c>
      <c r="B921" s="25">
        <v>2</v>
      </c>
      <c r="C921" s="25">
        <v>1004</v>
      </c>
      <c r="D921" s="64" t="s">
        <v>2316</v>
      </c>
      <c r="E921" s="27" t="s">
        <v>2314</v>
      </c>
      <c r="F921">
        <v>462022</v>
      </c>
      <c r="G921" t="s">
        <v>2240</v>
      </c>
    </row>
    <row r="922" spans="1:7">
      <c r="A922" s="25">
        <v>1001</v>
      </c>
      <c r="B922" s="25">
        <v>2</v>
      </c>
      <c r="C922" s="25">
        <v>1004</v>
      </c>
      <c r="D922" s="64" t="s">
        <v>2317</v>
      </c>
      <c r="E922" s="27" t="s">
        <v>2315</v>
      </c>
      <c r="F922">
        <v>462023</v>
      </c>
      <c r="G922" t="s">
        <v>2240</v>
      </c>
    </row>
    <row r="923" spans="1:7">
      <c r="A923" s="25">
        <v>1001</v>
      </c>
      <c r="B923" s="25">
        <v>2</v>
      </c>
      <c r="C923" s="25">
        <v>1004</v>
      </c>
      <c r="D923" s="65" t="s">
        <v>2318</v>
      </c>
      <c r="E923" s="27" t="s">
        <v>2319</v>
      </c>
      <c r="F923">
        <v>462024</v>
      </c>
      <c r="G923" t="s">
        <v>2240</v>
      </c>
    </row>
    <row r="924" spans="1:7">
      <c r="A924" s="25">
        <v>1001</v>
      </c>
      <c r="B924" s="25">
        <v>2</v>
      </c>
      <c r="C924" s="25">
        <v>1004</v>
      </c>
      <c r="D924" s="65" t="s">
        <v>2320</v>
      </c>
      <c r="E924" s="27" t="s">
        <v>2317</v>
      </c>
      <c r="F924">
        <v>462025</v>
      </c>
      <c r="G924" t="s">
        <v>2240</v>
      </c>
    </row>
    <row r="925" spans="1:7">
      <c r="A925" s="25">
        <v>1001</v>
      </c>
      <c r="B925" s="25">
        <v>2</v>
      </c>
      <c r="C925" s="25">
        <v>1004</v>
      </c>
      <c r="D925" s="65" t="s">
        <v>2321</v>
      </c>
      <c r="E925" s="27" t="s">
        <v>2318</v>
      </c>
      <c r="F925">
        <v>463001</v>
      </c>
      <c r="G925" t="s">
        <v>2240</v>
      </c>
    </row>
    <row r="926" spans="1:7">
      <c r="A926" s="25">
        <v>1001</v>
      </c>
      <c r="B926" s="25">
        <v>2</v>
      </c>
      <c r="C926" s="25">
        <v>1004</v>
      </c>
      <c r="D926" s="65" t="s">
        <v>2322</v>
      </c>
      <c r="E926" s="27" t="s">
        <v>2320</v>
      </c>
      <c r="F926">
        <v>463002</v>
      </c>
      <c r="G926" t="s">
        <v>2240</v>
      </c>
    </row>
    <row r="927" spans="1:7">
      <c r="A927" s="25">
        <v>1001</v>
      </c>
      <c r="B927" s="25">
        <v>2</v>
      </c>
      <c r="C927" s="25">
        <v>1004</v>
      </c>
      <c r="D927" s="65" t="s">
        <v>2323</v>
      </c>
      <c r="E927" s="27" t="s">
        <v>2321</v>
      </c>
      <c r="F927">
        <v>463003</v>
      </c>
      <c r="G927" t="s">
        <v>2240</v>
      </c>
    </row>
    <row r="928" spans="1:7">
      <c r="A928" s="25">
        <v>1001</v>
      </c>
      <c r="B928" s="25">
        <v>2</v>
      </c>
      <c r="C928" s="25">
        <v>1004</v>
      </c>
      <c r="D928" s="65" t="s">
        <v>2324</v>
      </c>
      <c r="E928" s="27" t="s">
        <v>2322</v>
      </c>
      <c r="F928">
        <v>463004</v>
      </c>
      <c r="G928" t="s">
        <v>2240</v>
      </c>
    </row>
    <row r="929" spans="1:7">
      <c r="A929" s="25">
        <v>1001</v>
      </c>
      <c r="B929" s="25">
        <v>2</v>
      </c>
      <c r="C929" s="25">
        <v>1004</v>
      </c>
      <c r="D929" s="65" t="s">
        <v>2325</v>
      </c>
      <c r="E929" s="27" t="s">
        <v>2323</v>
      </c>
      <c r="F929">
        <v>463005</v>
      </c>
      <c r="G929" t="s">
        <v>2240</v>
      </c>
    </row>
    <row r="930" spans="1:7">
      <c r="A930" s="25">
        <v>1001</v>
      </c>
      <c r="B930" s="25">
        <v>2</v>
      </c>
      <c r="C930" s="25">
        <v>1004</v>
      </c>
      <c r="D930" s="65" t="s">
        <v>2326</v>
      </c>
      <c r="E930" s="27" t="s">
        <v>2324</v>
      </c>
      <c r="F930">
        <v>463006</v>
      </c>
      <c r="G930" t="s">
        <v>2240</v>
      </c>
    </row>
    <row r="931" spans="1:7">
      <c r="A931" s="25">
        <v>1001</v>
      </c>
      <c r="B931" s="25">
        <v>2</v>
      </c>
      <c r="C931" s="25">
        <v>1004</v>
      </c>
      <c r="D931" s="65" t="s">
        <v>2327</v>
      </c>
      <c r="E931" s="27" t="s">
        <v>2325</v>
      </c>
      <c r="F931">
        <v>463007</v>
      </c>
      <c r="G931" t="s">
        <v>2240</v>
      </c>
    </row>
    <row r="932" spans="1:7">
      <c r="A932" s="25">
        <v>1001</v>
      </c>
      <c r="B932" s="25">
        <v>2</v>
      </c>
      <c r="C932" s="25">
        <v>1004</v>
      </c>
      <c r="D932" s="65" t="s">
        <v>2328</v>
      </c>
      <c r="E932" s="27" t="s">
        <v>2326</v>
      </c>
      <c r="F932">
        <v>463008</v>
      </c>
      <c r="G932" t="s">
        <v>2240</v>
      </c>
    </row>
    <row r="933" spans="1:7">
      <c r="A933" s="25">
        <v>1001</v>
      </c>
      <c r="B933" s="25">
        <v>2</v>
      </c>
      <c r="C933" s="25">
        <v>1004</v>
      </c>
      <c r="D933" s="65" t="s">
        <v>2329</v>
      </c>
      <c r="E933" s="27" t="s">
        <v>2327</v>
      </c>
      <c r="F933">
        <v>463009</v>
      </c>
      <c r="G933" t="s">
        <v>2240</v>
      </c>
    </row>
    <row r="934" spans="1:7">
      <c r="A934" s="25">
        <v>1001</v>
      </c>
      <c r="B934" s="25">
        <v>2</v>
      </c>
      <c r="C934" s="25">
        <v>1004</v>
      </c>
      <c r="D934" s="65" t="s">
        <v>2330</v>
      </c>
      <c r="E934" s="27" t="s">
        <v>2328</v>
      </c>
      <c r="F934">
        <v>463010</v>
      </c>
      <c r="G934" t="s">
        <v>2240</v>
      </c>
    </row>
    <row r="935" spans="1:7">
      <c r="A935" s="25">
        <v>1001</v>
      </c>
      <c r="B935" s="25">
        <v>2</v>
      </c>
      <c r="C935" s="25">
        <v>1004</v>
      </c>
      <c r="D935" s="65" t="s">
        <v>2331</v>
      </c>
      <c r="E935" s="27" t="s">
        <v>2329</v>
      </c>
      <c r="F935">
        <v>463011</v>
      </c>
      <c r="G935" t="s">
        <v>2240</v>
      </c>
    </row>
    <row r="936" spans="1:7">
      <c r="A936" s="25">
        <v>1001</v>
      </c>
      <c r="B936" s="25">
        <v>2</v>
      </c>
      <c r="C936" s="25">
        <v>1004</v>
      </c>
      <c r="D936" s="65" t="s">
        <v>2332</v>
      </c>
      <c r="E936" s="27" t="s">
        <v>2330</v>
      </c>
      <c r="F936">
        <v>463012</v>
      </c>
      <c r="G936" t="s">
        <v>2240</v>
      </c>
    </row>
    <row r="937" spans="1:7">
      <c r="A937" s="25">
        <v>1001</v>
      </c>
      <c r="B937" s="25">
        <v>2</v>
      </c>
      <c r="C937" s="25">
        <v>1004</v>
      </c>
      <c r="D937" s="65" t="s">
        <v>2333</v>
      </c>
      <c r="E937" s="27" t="s">
        <v>2331</v>
      </c>
      <c r="F937">
        <v>463013</v>
      </c>
      <c r="G937" t="s">
        <v>2240</v>
      </c>
    </row>
    <row r="938" spans="1:7">
      <c r="A938" s="25">
        <v>1001</v>
      </c>
      <c r="B938" s="25">
        <v>2</v>
      </c>
      <c r="C938" s="25">
        <v>1004</v>
      </c>
      <c r="D938" s="65" t="s">
        <v>2334</v>
      </c>
      <c r="E938" s="27" t="s">
        <v>2332</v>
      </c>
      <c r="F938">
        <v>463014</v>
      </c>
      <c r="G938" t="s">
        <v>2240</v>
      </c>
    </row>
    <row r="939" spans="1:7">
      <c r="A939" s="25">
        <v>1001</v>
      </c>
      <c r="B939" s="25">
        <v>2</v>
      </c>
      <c r="C939" s="25">
        <v>1004</v>
      </c>
      <c r="D939" s="65" t="s">
        <v>2335</v>
      </c>
      <c r="E939" s="27" t="s">
        <v>2333</v>
      </c>
      <c r="F939">
        <v>463015</v>
      </c>
      <c r="G939" t="s">
        <v>2240</v>
      </c>
    </row>
    <row r="940" spans="1:7">
      <c r="A940" s="25">
        <v>1001</v>
      </c>
      <c r="B940" s="25">
        <v>2</v>
      </c>
      <c r="C940" s="25">
        <v>1004</v>
      </c>
      <c r="D940" s="65" t="s">
        <v>2336</v>
      </c>
      <c r="E940" s="27" t="s">
        <v>2334</v>
      </c>
      <c r="F940">
        <v>463016</v>
      </c>
      <c r="G940" t="s">
        <v>2240</v>
      </c>
    </row>
    <row r="941" spans="1:7">
      <c r="A941" s="25">
        <v>1001</v>
      </c>
      <c r="B941" s="25">
        <v>2</v>
      </c>
      <c r="C941" s="25">
        <v>1004</v>
      </c>
      <c r="D941" s="65" t="s">
        <v>2337</v>
      </c>
      <c r="E941" s="27" t="s">
        <v>2335</v>
      </c>
      <c r="F941">
        <v>463017</v>
      </c>
      <c r="G941" t="s">
        <v>2240</v>
      </c>
    </row>
    <row r="942" spans="1:7">
      <c r="A942" s="25">
        <v>1001</v>
      </c>
      <c r="B942" s="25">
        <v>2</v>
      </c>
      <c r="C942" s="25">
        <v>1004</v>
      </c>
      <c r="D942" s="65" t="s">
        <v>2338</v>
      </c>
      <c r="E942" s="27" t="s">
        <v>2336</v>
      </c>
      <c r="F942">
        <v>463018</v>
      </c>
      <c r="G942" t="s">
        <v>2240</v>
      </c>
    </row>
    <row r="943" spans="1:7">
      <c r="A943" s="25">
        <v>1001</v>
      </c>
      <c r="B943" s="25">
        <v>2</v>
      </c>
      <c r="C943" s="25">
        <v>1004</v>
      </c>
      <c r="D943" s="65" t="s">
        <v>2339</v>
      </c>
      <c r="E943" s="27" t="s">
        <v>2337</v>
      </c>
      <c r="F943">
        <v>463019</v>
      </c>
      <c r="G943" t="s">
        <v>2240</v>
      </c>
    </row>
    <row r="944" spans="1:7">
      <c r="A944" s="25">
        <v>1001</v>
      </c>
      <c r="B944" s="25">
        <v>2</v>
      </c>
      <c r="C944" s="25">
        <v>1004</v>
      </c>
      <c r="D944" s="65" t="s">
        <v>2340</v>
      </c>
      <c r="E944" s="27" t="s">
        <v>2338</v>
      </c>
      <c r="F944">
        <v>463020</v>
      </c>
      <c r="G944" t="s">
        <v>2240</v>
      </c>
    </row>
    <row r="945" spans="1:7">
      <c r="A945" s="25">
        <v>1001</v>
      </c>
      <c r="B945" s="25">
        <v>2</v>
      </c>
      <c r="C945" s="25">
        <v>1004</v>
      </c>
      <c r="D945" s="65" t="s">
        <v>2341</v>
      </c>
      <c r="E945" s="27" t="s">
        <v>2339</v>
      </c>
      <c r="F945">
        <v>463021</v>
      </c>
      <c r="G945" t="s">
        <v>2240</v>
      </c>
    </row>
    <row r="946" spans="1:7">
      <c r="A946" s="25">
        <v>1001</v>
      </c>
      <c r="B946" s="25">
        <v>2</v>
      </c>
      <c r="C946" s="25">
        <v>1004</v>
      </c>
      <c r="D946" s="65" t="s">
        <v>2342</v>
      </c>
      <c r="E946" s="27" t="s">
        <v>2340</v>
      </c>
      <c r="F946">
        <v>463022</v>
      </c>
      <c r="G946" t="s">
        <v>2240</v>
      </c>
    </row>
    <row r="947" spans="1:7">
      <c r="A947" s="25">
        <v>1001</v>
      </c>
      <c r="B947" s="25">
        <v>2</v>
      </c>
      <c r="C947" s="25">
        <v>1004</v>
      </c>
      <c r="D947" s="65" t="s">
        <v>2343</v>
      </c>
      <c r="E947" s="27" t="s">
        <v>2341</v>
      </c>
      <c r="F947">
        <v>463023</v>
      </c>
      <c r="G947" t="s">
        <v>2240</v>
      </c>
    </row>
    <row r="948" spans="1:7">
      <c r="A948" s="25">
        <v>1001</v>
      </c>
      <c r="B948" s="25">
        <v>2</v>
      </c>
      <c r="C948" s="25">
        <v>1004</v>
      </c>
      <c r="D948" s="6" t="s">
        <v>2344</v>
      </c>
      <c r="E948" s="27" t="s">
        <v>2345</v>
      </c>
      <c r="F948">
        <v>463024</v>
      </c>
      <c r="G948" t="s">
        <v>2240</v>
      </c>
    </row>
    <row r="949" spans="1:7">
      <c r="A949" s="25">
        <v>1001</v>
      </c>
      <c r="B949" s="25">
        <v>2</v>
      </c>
      <c r="C949" s="25">
        <v>1004</v>
      </c>
      <c r="D949" s="6" t="s">
        <v>2346</v>
      </c>
      <c r="E949" s="27" t="s">
        <v>2343</v>
      </c>
      <c r="F949">
        <v>463025</v>
      </c>
      <c r="G949" t="s">
        <v>2240</v>
      </c>
    </row>
    <row r="950" spans="1:7">
      <c r="A950" s="25">
        <v>1001</v>
      </c>
      <c r="B950" s="25">
        <v>2</v>
      </c>
      <c r="C950" s="25">
        <v>1004</v>
      </c>
      <c r="D950" s="6" t="s">
        <v>2347</v>
      </c>
      <c r="E950" s="27" t="s">
        <v>2344</v>
      </c>
      <c r="F950">
        <v>464001</v>
      </c>
      <c r="G950" t="s">
        <v>2240</v>
      </c>
    </row>
    <row r="951" spans="1:7">
      <c r="A951" s="25">
        <v>1001</v>
      </c>
      <c r="B951" s="25">
        <v>2</v>
      </c>
      <c r="C951" s="25">
        <v>1004</v>
      </c>
      <c r="D951" s="6" t="s">
        <v>2348</v>
      </c>
      <c r="E951" s="27" t="s">
        <v>2346</v>
      </c>
      <c r="F951">
        <v>464002</v>
      </c>
      <c r="G951" t="s">
        <v>2240</v>
      </c>
    </row>
    <row r="952" spans="1:7">
      <c r="A952" s="25">
        <v>1001</v>
      </c>
      <c r="B952" s="25">
        <v>2</v>
      </c>
      <c r="C952" s="25">
        <v>1004</v>
      </c>
      <c r="D952" s="6" t="s">
        <v>2349</v>
      </c>
      <c r="E952" s="27" t="s">
        <v>2347</v>
      </c>
      <c r="F952">
        <v>464003</v>
      </c>
      <c r="G952" t="s">
        <v>2240</v>
      </c>
    </row>
    <row r="953" spans="1:7">
      <c r="A953" s="25">
        <v>1001</v>
      </c>
      <c r="B953" s="25">
        <v>2</v>
      </c>
      <c r="C953" s="25">
        <v>1004</v>
      </c>
      <c r="D953" s="6" t="s">
        <v>2350</v>
      </c>
      <c r="E953" s="27" t="s">
        <v>2348</v>
      </c>
      <c r="F953">
        <v>464004</v>
      </c>
      <c r="G953" t="s">
        <v>2240</v>
      </c>
    </row>
    <row r="954" spans="1:7">
      <c r="A954" s="25">
        <v>1001</v>
      </c>
      <c r="B954" s="25">
        <v>2</v>
      </c>
      <c r="C954" s="25">
        <v>1004</v>
      </c>
      <c r="D954" s="6" t="s">
        <v>2351</v>
      </c>
      <c r="E954" s="27" t="s">
        <v>2349</v>
      </c>
      <c r="F954">
        <v>464005</v>
      </c>
      <c r="G954" t="s">
        <v>2240</v>
      </c>
    </row>
    <row r="955" spans="1:7">
      <c r="A955" s="25">
        <v>1001</v>
      </c>
      <c r="B955" s="25">
        <v>2</v>
      </c>
      <c r="C955" s="25">
        <v>1004</v>
      </c>
      <c r="D955" s="6" t="s">
        <v>2352</v>
      </c>
      <c r="E955" s="27" t="s">
        <v>2350</v>
      </c>
      <c r="F955">
        <v>464006</v>
      </c>
      <c r="G955" t="s">
        <v>2240</v>
      </c>
    </row>
    <row r="956" spans="1:7">
      <c r="A956" s="25">
        <v>1001</v>
      </c>
      <c r="B956" s="25">
        <v>2</v>
      </c>
      <c r="C956" s="25">
        <v>1004</v>
      </c>
      <c r="D956" s="6" t="s">
        <v>2353</v>
      </c>
      <c r="E956" s="27" t="s">
        <v>2351</v>
      </c>
      <c r="F956">
        <v>464007</v>
      </c>
      <c r="G956" t="s">
        <v>2240</v>
      </c>
    </row>
    <row r="957" spans="1:7">
      <c r="A957" s="25">
        <v>1001</v>
      </c>
      <c r="B957" s="25">
        <v>2</v>
      </c>
      <c r="C957" s="25">
        <v>1004</v>
      </c>
      <c r="D957" s="6" t="s">
        <v>2354</v>
      </c>
      <c r="E957" s="27" t="s">
        <v>2352</v>
      </c>
      <c r="F957">
        <v>464008</v>
      </c>
      <c r="G957" t="s">
        <v>2240</v>
      </c>
    </row>
    <row r="958" spans="1:7">
      <c r="A958" s="25">
        <v>1001</v>
      </c>
      <c r="B958" s="25">
        <v>2</v>
      </c>
      <c r="C958" s="25">
        <v>1004</v>
      </c>
      <c r="D958" s="6" t="s">
        <v>2355</v>
      </c>
      <c r="E958" s="27" t="s">
        <v>2353</v>
      </c>
      <c r="F958">
        <v>464009</v>
      </c>
      <c r="G958" t="s">
        <v>2240</v>
      </c>
    </row>
    <row r="959" spans="1:7">
      <c r="A959" s="25">
        <v>1001</v>
      </c>
      <c r="B959" s="25">
        <v>2</v>
      </c>
      <c r="C959" s="25">
        <v>1004</v>
      </c>
      <c r="D959" s="6" t="s">
        <v>2356</v>
      </c>
      <c r="E959" s="27" t="s">
        <v>2354</v>
      </c>
      <c r="F959">
        <v>464010</v>
      </c>
      <c r="G959" t="s">
        <v>2240</v>
      </c>
    </row>
    <row r="960" spans="1:7">
      <c r="A960" s="25">
        <v>1001</v>
      </c>
      <c r="B960" s="25">
        <v>2</v>
      </c>
      <c r="C960" s="25">
        <v>1004</v>
      </c>
      <c r="D960" s="6" t="s">
        <v>2357</v>
      </c>
      <c r="E960" s="27" t="s">
        <v>2355</v>
      </c>
      <c r="F960">
        <v>464011</v>
      </c>
      <c r="G960" t="s">
        <v>2240</v>
      </c>
    </row>
    <row r="961" spans="1:7">
      <c r="A961" s="25">
        <v>1001</v>
      </c>
      <c r="B961" s="25">
        <v>2</v>
      </c>
      <c r="C961" s="25">
        <v>1004</v>
      </c>
      <c r="D961" s="6" t="s">
        <v>2358</v>
      </c>
      <c r="E961" s="27" t="s">
        <v>2356</v>
      </c>
      <c r="F961">
        <v>464012</v>
      </c>
      <c r="G961" t="s">
        <v>2240</v>
      </c>
    </row>
    <row r="962" spans="1:7">
      <c r="A962" s="25">
        <v>1001</v>
      </c>
      <c r="B962" s="25">
        <v>2</v>
      </c>
      <c r="C962" s="25">
        <v>1004</v>
      </c>
      <c r="D962" s="6" t="s">
        <v>2359</v>
      </c>
      <c r="E962" s="27" t="s">
        <v>2357</v>
      </c>
      <c r="F962">
        <v>464013</v>
      </c>
      <c r="G962" t="s">
        <v>2240</v>
      </c>
    </row>
    <row r="963" spans="1:7">
      <c r="A963" s="25">
        <v>1001</v>
      </c>
      <c r="B963" s="25">
        <v>2</v>
      </c>
      <c r="C963" s="25">
        <v>1004</v>
      </c>
      <c r="D963" s="6" t="s">
        <v>2360</v>
      </c>
      <c r="E963" s="27" t="s">
        <v>2358</v>
      </c>
      <c r="F963">
        <v>464014</v>
      </c>
      <c r="G963" t="s">
        <v>2240</v>
      </c>
    </row>
    <row r="964" spans="1:7">
      <c r="A964" s="25">
        <v>1001</v>
      </c>
      <c r="B964" s="25">
        <v>2</v>
      </c>
      <c r="C964" s="25">
        <v>1004</v>
      </c>
      <c r="D964" s="6" t="s">
        <v>2361</v>
      </c>
      <c r="E964" s="27" t="s">
        <v>2359</v>
      </c>
      <c r="F964">
        <v>464015</v>
      </c>
      <c r="G964" t="s">
        <v>2240</v>
      </c>
    </row>
    <row r="965" spans="1:7">
      <c r="A965" s="25">
        <v>1001</v>
      </c>
      <c r="B965" s="25">
        <v>2</v>
      </c>
      <c r="C965" s="25">
        <v>1004</v>
      </c>
      <c r="D965" s="6" t="s">
        <v>2362</v>
      </c>
      <c r="E965" s="27" t="s">
        <v>2360</v>
      </c>
      <c r="F965">
        <v>464016</v>
      </c>
      <c r="G965" t="s">
        <v>2240</v>
      </c>
    </row>
    <row r="966" spans="1:7">
      <c r="A966" s="25">
        <v>1001</v>
      </c>
      <c r="B966" s="25">
        <v>2</v>
      </c>
      <c r="C966" s="25">
        <v>1004</v>
      </c>
      <c r="D966" s="6" t="s">
        <v>2363</v>
      </c>
      <c r="E966" s="27" t="s">
        <v>2361</v>
      </c>
      <c r="F966">
        <v>464017</v>
      </c>
      <c r="G966" t="s">
        <v>2240</v>
      </c>
    </row>
    <row r="967" spans="1:7">
      <c r="A967" s="25">
        <v>1001</v>
      </c>
      <c r="B967" s="25">
        <v>2</v>
      </c>
      <c r="C967" s="25">
        <v>1004</v>
      </c>
      <c r="D967" s="6" t="s">
        <v>2364</v>
      </c>
      <c r="E967" s="27" t="s">
        <v>2362</v>
      </c>
      <c r="F967">
        <v>464018</v>
      </c>
      <c r="G967" t="s">
        <v>2240</v>
      </c>
    </row>
    <row r="968" spans="1:7">
      <c r="A968" s="25">
        <v>1001</v>
      </c>
      <c r="B968" s="25">
        <v>2</v>
      </c>
      <c r="C968" s="25">
        <v>1004</v>
      </c>
      <c r="D968" s="6" t="s">
        <v>2365</v>
      </c>
      <c r="E968" s="27" t="s">
        <v>2363</v>
      </c>
      <c r="F968">
        <v>464019</v>
      </c>
      <c r="G968" t="s">
        <v>2240</v>
      </c>
    </row>
    <row r="969" spans="1:7">
      <c r="A969" s="25">
        <v>1001</v>
      </c>
      <c r="B969" s="25">
        <v>2</v>
      </c>
      <c r="C969" s="25">
        <v>1004</v>
      </c>
      <c r="D969" s="6" t="s">
        <v>2366</v>
      </c>
      <c r="E969" s="27" t="s">
        <v>2364</v>
      </c>
      <c r="F969">
        <v>464020</v>
      </c>
      <c r="G969" t="s">
        <v>2240</v>
      </c>
    </row>
    <row r="970" spans="1:7">
      <c r="A970" s="25">
        <v>1001</v>
      </c>
      <c r="B970" s="25">
        <v>2</v>
      </c>
      <c r="C970" s="25">
        <v>1004</v>
      </c>
      <c r="D970" s="6" t="s">
        <v>2367</v>
      </c>
      <c r="E970" s="27" t="s">
        <v>2365</v>
      </c>
      <c r="F970">
        <v>464021</v>
      </c>
      <c r="G970" t="s">
        <v>2240</v>
      </c>
    </row>
    <row r="971" spans="1:7">
      <c r="A971" s="25">
        <v>1001</v>
      </c>
      <c r="B971" s="25">
        <v>2</v>
      </c>
      <c r="C971" s="25">
        <v>1004</v>
      </c>
      <c r="D971" s="6" t="s">
        <v>2368</v>
      </c>
      <c r="E971" s="27" t="s">
        <v>2366</v>
      </c>
      <c r="F971">
        <v>464022</v>
      </c>
      <c r="G971" t="s">
        <v>2240</v>
      </c>
    </row>
    <row r="972" spans="1:7">
      <c r="A972" s="25">
        <v>1001</v>
      </c>
      <c r="B972" s="25">
        <v>2</v>
      </c>
      <c r="C972" s="25">
        <v>1004</v>
      </c>
      <c r="D972" s="6" t="s">
        <v>2369</v>
      </c>
      <c r="E972" s="27" t="s">
        <v>2367</v>
      </c>
      <c r="F972">
        <v>464023</v>
      </c>
      <c r="G972" t="s">
        <v>2240</v>
      </c>
    </row>
    <row r="973" spans="1:7">
      <c r="A973" s="25">
        <v>1001</v>
      </c>
      <c r="B973" s="25">
        <v>2</v>
      </c>
      <c r="C973" s="25">
        <v>1004</v>
      </c>
      <c r="D973" t="s">
        <v>2370</v>
      </c>
      <c r="E973" s="27" t="s">
        <v>2371</v>
      </c>
      <c r="F973">
        <v>464024</v>
      </c>
      <c r="G973" t="s">
        <v>2240</v>
      </c>
    </row>
    <row r="974" spans="1:7">
      <c r="A974" s="25">
        <v>1001</v>
      </c>
      <c r="B974" s="25">
        <v>2</v>
      </c>
      <c r="C974" s="25">
        <v>1004</v>
      </c>
      <c r="D974" t="s">
        <v>2372</v>
      </c>
      <c r="E974" s="27" t="s">
        <v>2369</v>
      </c>
      <c r="F974">
        <v>464025</v>
      </c>
      <c r="G974" t="s">
        <v>2240</v>
      </c>
    </row>
    <row r="975" spans="1:7">
      <c r="A975" s="25">
        <v>1001</v>
      </c>
      <c r="B975" s="25">
        <v>2</v>
      </c>
      <c r="C975" s="25">
        <v>1004</v>
      </c>
      <c r="D975" t="s">
        <v>2373</v>
      </c>
      <c r="E975" s="27" t="s">
        <v>2370</v>
      </c>
      <c r="F975">
        <v>465001</v>
      </c>
      <c r="G975" t="s">
        <v>2240</v>
      </c>
    </row>
    <row r="976" spans="1:7">
      <c r="A976" s="25">
        <v>1001</v>
      </c>
      <c r="B976" s="25">
        <v>2</v>
      </c>
      <c r="C976" s="25">
        <v>1004</v>
      </c>
      <c r="D976" t="s">
        <v>2374</v>
      </c>
      <c r="E976" s="27" t="s">
        <v>2372</v>
      </c>
      <c r="F976">
        <v>465002</v>
      </c>
      <c r="G976" t="s">
        <v>2240</v>
      </c>
    </row>
    <row r="977" spans="1:7">
      <c r="A977" s="25">
        <v>1001</v>
      </c>
      <c r="B977" s="25">
        <v>2</v>
      </c>
      <c r="C977" s="25">
        <v>1004</v>
      </c>
      <c r="D977" t="s">
        <v>2375</v>
      </c>
      <c r="E977" s="27" t="s">
        <v>2373</v>
      </c>
      <c r="F977">
        <v>465003</v>
      </c>
      <c r="G977" t="s">
        <v>2240</v>
      </c>
    </row>
    <row r="978" spans="1:7">
      <c r="A978" s="25">
        <v>1001</v>
      </c>
      <c r="B978" s="25">
        <v>2</v>
      </c>
      <c r="C978" s="25">
        <v>1004</v>
      </c>
      <c r="D978" t="s">
        <v>2376</v>
      </c>
      <c r="E978" s="27" t="s">
        <v>2374</v>
      </c>
      <c r="F978">
        <v>465005</v>
      </c>
      <c r="G978" t="s">
        <v>2240</v>
      </c>
    </row>
    <row r="979" spans="1:7">
      <c r="A979" s="25">
        <v>1001</v>
      </c>
      <c r="B979" s="25">
        <v>2</v>
      </c>
      <c r="C979" s="25">
        <v>1004</v>
      </c>
      <c r="D979" t="s">
        <v>2377</v>
      </c>
      <c r="E979" s="27" t="s">
        <v>2375</v>
      </c>
      <c r="F979">
        <v>465006</v>
      </c>
      <c r="G979" t="s">
        <v>2240</v>
      </c>
    </row>
    <row r="980" spans="1:7">
      <c r="A980" s="25">
        <v>1001</v>
      </c>
      <c r="B980" s="25">
        <v>2</v>
      </c>
      <c r="C980" s="25">
        <v>1004</v>
      </c>
      <c r="D980" t="s">
        <v>2378</v>
      </c>
      <c r="E980" s="27" t="s">
        <v>2376</v>
      </c>
      <c r="F980">
        <v>465007</v>
      </c>
      <c r="G980" t="s">
        <v>2240</v>
      </c>
    </row>
    <row r="981" spans="1:7">
      <c r="A981" s="25">
        <v>1001</v>
      </c>
      <c r="B981" s="25">
        <v>2</v>
      </c>
      <c r="C981" s="25">
        <v>1004</v>
      </c>
      <c r="D981" t="s">
        <v>2379</v>
      </c>
      <c r="E981" s="27" t="s">
        <v>2377</v>
      </c>
      <c r="F981">
        <v>465008</v>
      </c>
      <c r="G981" t="s">
        <v>2240</v>
      </c>
    </row>
    <row r="982" spans="1:7">
      <c r="A982" s="25">
        <v>1001</v>
      </c>
      <c r="B982" s="25">
        <v>2</v>
      </c>
      <c r="C982" s="25">
        <v>1004</v>
      </c>
      <c r="D982" t="s">
        <v>2380</v>
      </c>
      <c r="E982" s="27" t="s">
        <v>2378</v>
      </c>
      <c r="F982">
        <v>465009</v>
      </c>
      <c r="G982" t="s">
        <v>2240</v>
      </c>
    </row>
    <row r="983" spans="1:7">
      <c r="A983" s="25">
        <v>1001</v>
      </c>
      <c r="B983" s="25">
        <v>2</v>
      </c>
      <c r="C983" s="25">
        <v>1004</v>
      </c>
      <c r="D983" t="s">
        <v>2381</v>
      </c>
      <c r="E983" s="27" t="s">
        <v>2379</v>
      </c>
      <c r="F983">
        <v>465010</v>
      </c>
      <c r="G983" t="s">
        <v>2240</v>
      </c>
    </row>
    <row r="984" spans="1:6">
      <c r="A984" s="25">
        <v>1001</v>
      </c>
      <c r="B984" s="25">
        <v>2</v>
      </c>
      <c r="C984" s="25">
        <v>1004</v>
      </c>
      <c r="D984" t="s">
        <v>2382</v>
      </c>
      <c r="E984" s="27" t="s">
        <v>2380</v>
      </c>
      <c r="F984">
        <v>465011</v>
      </c>
    </row>
    <row r="985" spans="1:7">
      <c r="A985" s="25">
        <v>1001</v>
      </c>
      <c r="B985" s="25">
        <v>3</v>
      </c>
      <c r="C985" s="25">
        <v>1001</v>
      </c>
      <c r="D985" t="s">
        <v>2383</v>
      </c>
      <c r="E985" s="27" t="s">
        <v>2381</v>
      </c>
      <c r="F985">
        <v>465012</v>
      </c>
      <c r="G985" t="s">
        <v>2384</v>
      </c>
    </row>
    <row r="986" spans="1:7">
      <c r="A986" s="25">
        <v>1001</v>
      </c>
      <c r="B986" s="25">
        <v>6</v>
      </c>
      <c r="C986" s="25">
        <v>1001</v>
      </c>
      <c r="D986" t="s">
        <v>2385</v>
      </c>
      <c r="E986" s="27" t="s">
        <v>2382</v>
      </c>
      <c r="F986">
        <v>465013</v>
      </c>
      <c r="G986" t="s">
        <v>2386</v>
      </c>
    </row>
    <row r="987" spans="1:7">
      <c r="A987" s="25">
        <v>1001</v>
      </c>
      <c r="B987" s="25">
        <v>6</v>
      </c>
      <c r="C987" s="25">
        <v>1001</v>
      </c>
      <c r="D987" t="s">
        <v>2387</v>
      </c>
      <c r="E987" s="27" t="s">
        <v>2383</v>
      </c>
      <c r="F987">
        <v>800001</v>
      </c>
      <c r="G987" t="s">
        <v>2386</v>
      </c>
    </row>
    <row r="988" spans="1:7">
      <c r="A988" s="25">
        <v>1001</v>
      </c>
      <c r="B988" s="25">
        <v>6</v>
      </c>
      <c r="C988" s="25">
        <v>1001</v>
      </c>
      <c r="D988" t="s">
        <v>2388</v>
      </c>
      <c r="E988" s="27" t="s">
        <v>2389</v>
      </c>
      <c r="F988">
        <v>260001</v>
      </c>
      <c r="G988" t="s">
        <v>1664</v>
      </c>
    </row>
    <row r="989" spans="1:7">
      <c r="A989" s="25">
        <v>1001</v>
      </c>
      <c r="B989" s="25">
        <v>6</v>
      </c>
      <c r="C989" s="25">
        <v>1001</v>
      </c>
      <c r="D989" t="s">
        <v>2390</v>
      </c>
      <c r="E989" s="27" t="s">
        <v>2391</v>
      </c>
      <c r="F989">
        <v>260002</v>
      </c>
      <c r="G989" t="s">
        <v>1664</v>
      </c>
    </row>
    <row r="990" spans="1:7">
      <c r="A990" s="25">
        <v>1001</v>
      </c>
      <c r="B990" s="25">
        <v>6</v>
      </c>
      <c r="C990" s="25">
        <v>1001</v>
      </c>
      <c r="D990" t="s">
        <v>2392</v>
      </c>
      <c r="E990" s="27" t="s">
        <v>2389</v>
      </c>
      <c r="F990">
        <v>260003</v>
      </c>
      <c r="G990" t="s">
        <v>1666</v>
      </c>
    </row>
    <row r="991" spans="1:7">
      <c r="A991" s="25">
        <v>1001</v>
      </c>
      <c r="B991" s="25">
        <v>6</v>
      </c>
      <c r="C991" s="25">
        <v>1001</v>
      </c>
      <c r="D991" t="s">
        <v>2393</v>
      </c>
      <c r="E991" s="27" t="s">
        <v>2391</v>
      </c>
      <c r="F991">
        <v>260004</v>
      </c>
      <c r="G991" t="s">
        <v>1666</v>
      </c>
    </row>
    <row r="992" spans="1:7">
      <c r="A992" s="25">
        <v>1001</v>
      </c>
      <c r="B992" s="25">
        <v>6</v>
      </c>
      <c r="C992" s="25">
        <v>1001</v>
      </c>
      <c r="D992" t="s">
        <v>2394</v>
      </c>
      <c r="E992" s="27" t="s">
        <v>2389</v>
      </c>
      <c r="F992">
        <v>260005</v>
      </c>
      <c r="G992" t="s">
        <v>2395</v>
      </c>
    </row>
    <row r="993" spans="1:7">
      <c r="A993" s="25">
        <v>1001</v>
      </c>
      <c r="B993" s="25">
        <v>6</v>
      </c>
      <c r="C993" s="25">
        <v>1001</v>
      </c>
      <c r="D993" t="s">
        <v>2396</v>
      </c>
      <c r="E993" s="27" t="s">
        <v>2391</v>
      </c>
      <c r="F993">
        <v>260006</v>
      </c>
      <c r="G993" t="s">
        <v>2397</v>
      </c>
    </row>
    <row r="994" spans="1:7">
      <c r="A994" s="25">
        <v>1001</v>
      </c>
      <c r="B994" s="25">
        <v>6</v>
      </c>
      <c r="C994" s="25">
        <v>1001</v>
      </c>
      <c r="D994" t="s">
        <v>2398</v>
      </c>
      <c r="E994" s="27" t="s">
        <v>2394</v>
      </c>
      <c r="F994">
        <v>260007</v>
      </c>
      <c r="G994" t="s">
        <v>2399</v>
      </c>
    </row>
    <row r="995" spans="1:7">
      <c r="A995" s="25">
        <v>1001</v>
      </c>
      <c r="B995" s="25">
        <v>6</v>
      </c>
      <c r="C995" s="25">
        <v>1001</v>
      </c>
      <c r="D995" t="s">
        <v>2400</v>
      </c>
      <c r="E995" s="27" t="s">
        <v>2396</v>
      </c>
      <c r="F995">
        <v>260008</v>
      </c>
      <c r="G995" t="s">
        <v>2401</v>
      </c>
    </row>
    <row r="996" spans="1:7">
      <c r="A996" s="25">
        <v>1001</v>
      </c>
      <c r="B996" s="25">
        <v>1</v>
      </c>
      <c r="C996" s="25">
        <v>3</v>
      </c>
      <c r="D996" t="s">
        <v>2402</v>
      </c>
      <c r="E996" s="27" t="s">
        <v>2398</v>
      </c>
      <c r="F996">
        <v>260009</v>
      </c>
      <c r="G996" t="s">
        <v>2403</v>
      </c>
    </row>
    <row r="997" spans="1:7">
      <c r="A997" s="25">
        <v>1001</v>
      </c>
      <c r="B997" s="25">
        <v>1</v>
      </c>
      <c r="C997" s="25">
        <v>3</v>
      </c>
      <c r="D997" t="s">
        <v>2404</v>
      </c>
      <c r="E997" s="27" t="s">
        <v>2400</v>
      </c>
      <c r="F997">
        <v>260010</v>
      </c>
      <c r="G997" t="s">
        <v>2405</v>
      </c>
    </row>
    <row r="998" spans="1:7">
      <c r="A998" s="25">
        <v>1001</v>
      </c>
      <c r="B998" s="25">
        <v>1</v>
      </c>
      <c r="C998" s="25">
        <v>3</v>
      </c>
      <c r="D998" t="s">
        <v>2406</v>
      </c>
      <c r="E998" s="27" t="s">
        <v>2407</v>
      </c>
      <c r="F998">
        <v>261001</v>
      </c>
      <c r="G998" t="s">
        <v>2408</v>
      </c>
    </row>
    <row r="999" spans="1:7">
      <c r="A999" s="25">
        <v>1001</v>
      </c>
      <c r="B999" s="25">
        <v>1</v>
      </c>
      <c r="C999" s="25">
        <v>3</v>
      </c>
      <c r="D999" t="s">
        <v>2409</v>
      </c>
      <c r="E999" s="27" t="s">
        <v>2410</v>
      </c>
      <c r="F999">
        <v>261002</v>
      </c>
      <c r="G999" t="s">
        <v>2411</v>
      </c>
    </row>
    <row r="1000" spans="1:7">
      <c r="A1000" s="25">
        <v>1001</v>
      </c>
      <c r="B1000" s="25">
        <v>1</v>
      </c>
      <c r="C1000" s="25">
        <v>3</v>
      </c>
      <c r="D1000" t="s">
        <v>2412</v>
      </c>
      <c r="E1000" s="27" t="s">
        <v>2413</v>
      </c>
      <c r="F1000">
        <v>261003</v>
      </c>
      <c r="G1000" t="s">
        <v>2414</v>
      </c>
    </row>
    <row r="1001" spans="1:7">
      <c r="A1001" s="25">
        <v>1001</v>
      </c>
      <c r="B1001" s="25">
        <v>1</v>
      </c>
      <c r="C1001" s="25">
        <v>3</v>
      </c>
      <c r="D1001" t="s">
        <v>2415</v>
      </c>
      <c r="E1001" s="27" t="s">
        <v>2416</v>
      </c>
      <c r="F1001">
        <v>261004</v>
      </c>
      <c r="G1001" t="s">
        <v>2417</v>
      </c>
    </row>
    <row r="1002" spans="1:7">
      <c r="A1002" s="25">
        <v>1001</v>
      </c>
      <c r="B1002" s="25">
        <v>1</v>
      </c>
      <c r="C1002" s="25">
        <v>3</v>
      </c>
      <c r="D1002" t="s">
        <v>2418</v>
      </c>
      <c r="E1002" s="27" t="s">
        <v>2419</v>
      </c>
      <c r="F1002">
        <v>261005</v>
      </c>
      <c r="G1002" t="s">
        <v>2420</v>
      </c>
    </row>
    <row r="1003" spans="1:7">
      <c r="A1003" s="25">
        <v>1001</v>
      </c>
      <c r="B1003" s="25">
        <v>1</v>
      </c>
      <c r="C1003" s="25">
        <v>3</v>
      </c>
      <c r="D1003" t="s">
        <v>2421</v>
      </c>
      <c r="E1003" s="27" t="s">
        <v>2422</v>
      </c>
      <c r="F1003">
        <v>261006</v>
      </c>
      <c r="G1003" t="s">
        <v>2423</v>
      </c>
    </row>
    <row r="1004" spans="1:7">
      <c r="A1004" s="25">
        <v>1001</v>
      </c>
      <c r="B1004" s="25">
        <v>1</v>
      </c>
      <c r="C1004" s="25">
        <v>3</v>
      </c>
      <c r="D1004" t="s">
        <v>2424</v>
      </c>
      <c r="E1004" s="27" t="s">
        <v>2425</v>
      </c>
      <c r="F1004">
        <v>261007</v>
      </c>
      <c r="G1004" t="s">
        <v>2426</v>
      </c>
    </row>
    <row r="1005" spans="1:7">
      <c r="A1005" s="25">
        <v>1001</v>
      </c>
      <c r="B1005" s="25">
        <v>1</v>
      </c>
      <c r="C1005" s="25">
        <v>3</v>
      </c>
      <c r="D1005" t="s">
        <v>2427</v>
      </c>
      <c r="E1005" s="27" t="s">
        <v>2428</v>
      </c>
      <c r="F1005">
        <v>261008</v>
      </c>
      <c r="G1005" t="s">
        <v>2429</v>
      </c>
    </row>
    <row r="1006" spans="1:7">
      <c r="A1006" s="25">
        <v>1001</v>
      </c>
      <c r="B1006" s="25">
        <v>1</v>
      </c>
      <c r="C1006" s="25">
        <v>3</v>
      </c>
      <c r="D1006" t="s">
        <v>2430</v>
      </c>
      <c r="E1006" s="27" t="s">
        <v>2431</v>
      </c>
      <c r="F1006">
        <v>261009</v>
      </c>
      <c r="G1006" t="s">
        <v>2432</v>
      </c>
    </row>
    <row r="1007" spans="1:7">
      <c r="A1007" s="25">
        <v>1001</v>
      </c>
      <c r="B1007" s="25">
        <v>1</v>
      </c>
      <c r="C1007" s="25">
        <v>3</v>
      </c>
      <c r="D1007" t="s">
        <v>2433</v>
      </c>
      <c r="E1007" s="27" t="s">
        <v>2434</v>
      </c>
      <c r="F1007">
        <v>261010</v>
      </c>
      <c r="G1007" t="s">
        <v>2435</v>
      </c>
    </row>
    <row r="1008" spans="1:7">
      <c r="A1008" s="25">
        <v>1001</v>
      </c>
      <c r="B1008" s="25">
        <v>1</v>
      </c>
      <c r="C1008" s="25">
        <v>3</v>
      </c>
      <c r="D1008" t="s">
        <v>2436</v>
      </c>
      <c r="E1008" s="27" t="s">
        <v>2437</v>
      </c>
      <c r="F1008">
        <v>261011</v>
      </c>
      <c r="G1008" t="s">
        <v>2438</v>
      </c>
    </row>
    <row r="1009" spans="1:7">
      <c r="A1009" s="25">
        <v>1001</v>
      </c>
      <c r="B1009" s="25">
        <v>1</v>
      </c>
      <c r="C1009" s="25">
        <v>3</v>
      </c>
      <c r="D1009" t="s">
        <v>2439</v>
      </c>
      <c r="E1009" s="27" t="s">
        <v>2440</v>
      </c>
      <c r="F1009">
        <v>261012</v>
      </c>
      <c r="G1009" t="s">
        <v>2441</v>
      </c>
    </row>
    <row r="1010" spans="1:7">
      <c r="A1010" s="25">
        <v>1001</v>
      </c>
      <c r="B1010" s="25">
        <v>1</v>
      </c>
      <c r="C1010" s="25">
        <v>3</v>
      </c>
      <c r="D1010" t="s">
        <v>2442</v>
      </c>
      <c r="E1010" s="27" t="s">
        <v>2443</v>
      </c>
      <c r="F1010">
        <v>261013</v>
      </c>
      <c r="G1010" t="s">
        <v>2444</v>
      </c>
    </row>
    <row r="1011" spans="1:7">
      <c r="A1011" s="25">
        <v>1001</v>
      </c>
      <c r="B1011" s="25">
        <v>1</v>
      </c>
      <c r="C1011" s="25">
        <v>3</v>
      </c>
      <c r="D1011" t="s">
        <v>2445</v>
      </c>
      <c r="E1011" s="27" t="s">
        <v>2446</v>
      </c>
      <c r="F1011">
        <v>261014</v>
      </c>
      <c r="G1011" t="s">
        <v>2447</v>
      </c>
    </row>
    <row r="1012" spans="1:7">
      <c r="A1012" s="25">
        <v>1001</v>
      </c>
      <c r="B1012" s="25">
        <v>1</v>
      </c>
      <c r="C1012" s="25">
        <v>3</v>
      </c>
      <c r="D1012" t="s">
        <v>2448</v>
      </c>
      <c r="E1012" s="27" t="s">
        <v>2449</v>
      </c>
      <c r="F1012">
        <v>261015</v>
      </c>
      <c r="G1012" t="s">
        <v>2450</v>
      </c>
    </row>
    <row r="1013" spans="1:7">
      <c r="A1013" s="25">
        <v>1001</v>
      </c>
      <c r="B1013" s="25">
        <v>1</v>
      </c>
      <c r="C1013" s="25">
        <v>3</v>
      </c>
      <c r="D1013" t="s">
        <v>2451</v>
      </c>
      <c r="E1013" s="27" t="s">
        <v>2452</v>
      </c>
      <c r="F1013">
        <v>261016</v>
      </c>
      <c r="G1013" t="s">
        <v>2453</v>
      </c>
    </row>
    <row r="1014" spans="1:7">
      <c r="A1014" s="25">
        <v>1001</v>
      </c>
      <c r="B1014" s="25">
        <v>1</v>
      </c>
      <c r="C1014" s="25">
        <v>3</v>
      </c>
      <c r="D1014" t="s">
        <v>2454</v>
      </c>
      <c r="E1014" s="27" t="s">
        <v>2455</v>
      </c>
      <c r="F1014">
        <v>261017</v>
      </c>
      <c r="G1014" t="s">
        <v>2456</v>
      </c>
    </row>
    <row r="1015" spans="1:7">
      <c r="A1015" s="25">
        <v>1001</v>
      </c>
      <c r="B1015" s="25">
        <v>1</v>
      </c>
      <c r="C1015" s="25">
        <v>3</v>
      </c>
      <c r="D1015" t="s">
        <v>2457</v>
      </c>
      <c r="E1015" s="27" t="s">
        <v>2458</v>
      </c>
      <c r="F1015">
        <v>261018</v>
      </c>
      <c r="G1015" t="s">
        <v>2459</v>
      </c>
    </row>
    <row r="1016" spans="1:7">
      <c r="A1016" s="25">
        <v>1001</v>
      </c>
      <c r="B1016" s="25">
        <v>1</v>
      </c>
      <c r="C1016" s="25">
        <v>3</v>
      </c>
      <c r="D1016" t="s">
        <v>2460</v>
      </c>
      <c r="E1016" s="27" t="s">
        <v>2461</v>
      </c>
      <c r="F1016">
        <v>261019</v>
      </c>
      <c r="G1016" t="s">
        <v>2462</v>
      </c>
    </row>
    <row r="1017" spans="1:7">
      <c r="A1017" s="25">
        <v>1001</v>
      </c>
      <c r="B1017" s="25">
        <v>1</v>
      </c>
      <c r="C1017" s="25">
        <v>3</v>
      </c>
      <c r="D1017" t="s">
        <v>2463</v>
      </c>
      <c r="E1017" s="27" t="s">
        <v>2464</v>
      </c>
      <c r="F1017">
        <v>261020</v>
      </c>
      <c r="G1017" t="s">
        <v>2465</v>
      </c>
    </row>
    <row r="1018" spans="1:7">
      <c r="A1018" s="25">
        <v>1001</v>
      </c>
      <c r="B1018" s="25">
        <v>1</v>
      </c>
      <c r="C1018" s="25">
        <v>3</v>
      </c>
      <c r="D1018" t="s">
        <v>2466</v>
      </c>
      <c r="E1018" s="27" t="s">
        <v>2467</v>
      </c>
      <c r="F1018">
        <v>261021</v>
      </c>
      <c r="G1018" t="s">
        <v>2468</v>
      </c>
    </row>
    <row r="1019" spans="1:7">
      <c r="A1019" s="25">
        <v>1001</v>
      </c>
      <c r="B1019" s="25">
        <v>1</v>
      </c>
      <c r="C1019" s="25">
        <v>3</v>
      </c>
      <c r="D1019" t="s">
        <v>2469</v>
      </c>
      <c r="E1019" s="27" t="s">
        <v>2470</v>
      </c>
      <c r="F1019">
        <v>261022</v>
      </c>
      <c r="G1019" t="s">
        <v>2471</v>
      </c>
    </row>
    <row r="1020" spans="1:7">
      <c r="A1020" s="25">
        <v>1001</v>
      </c>
      <c r="B1020" s="25">
        <v>1</v>
      </c>
      <c r="C1020" s="25">
        <v>3</v>
      </c>
      <c r="D1020" t="s">
        <v>2472</v>
      </c>
      <c r="E1020" s="27" t="s">
        <v>2473</v>
      </c>
      <c r="F1020">
        <v>261023</v>
      </c>
      <c r="G1020" t="s">
        <v>2474</v>
      </c>
    </row>
    <row r="1021" spans="1:7">
      <c r="A1021" s="25">
        <v>1001</v>
      </c>
      <c r="B1021" s="25">
        <v>1</v>
      </c>
      <c r="C1021" s="25">
        <v>3</v>
      </c>
      <c r="D1021" t="s">
        <v>2475</v>
      </c>
      <c r="E1021" s="27" t="s">
        <v>2476</v>
      </c>
      <c r="F1021">
        <v>261024</v>
      </c>
      <c r="G1021" t="s">
        <v>2477</v>
      </c>
    </row>
    <row r="1022" spans="1:7">
      <c r="A1022" s="25">
        <v>1001</v>
      </c>
      <c r="B1022" s="25">
        <v>1</v>
      </c>
      <c r="C1022" s="25">
        <v>3</v>
      </c>
      <c r="D1022" t="s">
        <v>2478</v>
      </c>
      <c r="E1022" s="27" t="s">
        <v>2479</v>
      </c>
      <c r="F1022">
        <v>261025</v>
      </c>
      <c r="G1022" t="s">
        <v>2480</v>
      </c>
    </row>
    <row r="1023" spans="1:7">
      <c r="A1023" s="25">
        <v>1001</v>
      </c>
      <c r="B1023" s="25">
        <v>1</v>
      </c>
      <c r="C1023" s="25">
        <v>3</v>
      </c>
      <c r="D1023" t="s">
        <v>2481</v>
      </c>
      <c r="E1023" s="27" t="s">
        <v>2482</v>
      </c>
      <c r="F1023">
        <v>261026</v>
      </c>
      <c r="G1023" t="s">
        <v>2483</v>
      </c>
    </row>
    <row r="1024" spans="1:7">
      <c r="A1024" s="25">
        <v>1001</v>
      </c>
      <c r="B1024" s="25">
        <v>1</v>
      </c>
      <c r="C1024" s="25">
        <v>3</v>
      </c>
      <c r="D1024" t="s">
        <v>2484</v>
      </c>
      <c r="E1024" s="27" t="s">
        <v>2485</v>
      </c>
      <c r="F1024">
        <v>261027</v>
      </c>
      <c r="G1024" t="s">
        <v>2486</v>
      </c>
    </row>
    <row r="1025" spans="1:7">
      <c r="A1025" s="25">
        <v>1001</v>
      </c>
      <c r="B1025" s="25">
        <v>1</v>
      </c>
      <c r="C1025" s="25">
        <v>3</v>
      </c>
      <c r="D1025" t="s">
        <v>2487</v>
      </c>
      <c r="E1025" s="27" t="s">
        <v>2488</v>
      </c>
      <c r="F1025">
        <v>261028</v>
      </c>
      <c r="G1025" t="s">
        <v>2489</v>
      </c>
    </row>
    <row r="1026" spans="1:7">
      <c r="A1026" s="25">
        <v>1001</v>
      </c>
      <c r="B1026" s="25">
        <v>1</v>
      </c>
      <c r="C1026" s="25">
        <v>3</v>
      </c>
      <c r="D1026" t="s">
        <v>2490</v>
      </c>
      <c r="E1026" s="27" t="s">
        <v>2491</v>
      </c>
      <c r="F1026">
        <v>261029</v>
      </c>
      <c r="G1026" t="s">
        <v>2492</v>
      </c>
    </row>
    <row r="1027" spans="1:7">
      <c r="A1027" s="25">
        <v>1001</v>
      </c>
      <c r="B1027" s="25">
        <v>1</v>
      </c>
      <c r="C1027" s="25">
        <v>3</v>
      </c>
      <c r="D1027" t="s">
        <v>2493</v>
      </c>
      <c r="E1027" s="27" t="s">
        <v>2494</v>
      </c>
      <c r="F1027">
        <v>261030</v>
      </c>
      <c r="G1027" t="s">
        <v>2495</v>
      </c>
    </row>
    <row r="1028" spans="1:7">
      <c r="A1028" s="25">
        <v>1001</v>
      </c>
      <c r="B1028" s="25">
        <v>1</v>
      </c>
      <c r="C1028" s="25">
        <v>3</v>
      </c>
      <c r="D1028" t="s">
        <v>2496</v>
      </c>
      <c r="E1028" s="27" t="s">
        <v>2497</v>
      </c>
      <c r="F1028">
        <v>261031</v>
      </c>
      <c r="G1028" t="s">
        <v>2498</v>
      </c>
    </row>
    <row r="1029" spans="1:7">
      <c r="A1029" s="25">
        <v>1001</v>
      </c>
      <c r="B1029" s="25">
        <v>1</v>
      </c>
      <c r="C1029" s="25">
        <v>3</v>
      </c>
      <c r="D1029" t="s">
        <v>2499</v>
      </c>
      <c r="E1029" s="27" t="s">
        <v>2500</v>
      </c>
      <c r="F1029">
        <v>261032</v>
      </c>
      <c r="G1029" t="s">
        <v>2501</v>
      </c>
    </row>
    <row r="1030" spans="1:7">
      <c r="A1030" s="25">
        <v>1001</v>
      </c>
      <c r="B1030" s="25">
        <v>1</v>
      </c>
      <c r="C1030" s="25">
        <v>3</v>
      </c>
      <c r="D1030" t="s">
        <v>2502</v>
      </c>
      <c r="E1030" s="27" t="s">
        <v>2503</v>
      </c>
      <c r="F1030">
        <v>261033</v>
      </c>
      <c r="G1030" t="s">
        <v>2504</v>
      </c>
    </row>
    <row r="1031" spans="1:7">
      <c r="A1031" s="25">
        <v>1001</v>
      </c>
      <c r="B1031" s="25">
        <v>1</v>
      </c>
      <c r="C1031" s="25">
        <v>3</v>
      </c>
      <c r="D1031" t="s">
        <v>2505</v>
      </c>
      <c r="E1031" s="27" t="s">
        <v>2506</v>
      </c>
      <c r="F1031">
        <v>261034</v>
      </c>
      <c r="G1031" t="s">
        <v>2507</v>
      </c>
    </row>
    <row r="1032" spans="1:7">
      <c r="A1032" s="25">
        <v>1001</v>
      </c>
      <c r="B1032" s="25">
        <v>1</v>
      </c>
      <c r="C1032" s="25">
        <v>3</v>
      </c>
      <c r="D1032" t="s">
        <v>2508</v>
      </c>
      <c r="E1032" s="27" t="s">
        <v>2509</v>
      </c>
      <c r="F1032">
        <v>261035</v>
      </c>
      <c r="G1032" t="s">
        <v>2510</v>
      </c>
    </row>
    <row r="1033" spans="1:7">
      <c r="A1033" s="25">
        <v>1001</v>
      </c>
      <c r="B1033" s="25">
        <v>1</v>
      </c>
      <c r="C1033" s="25">
        <v>3</v>
      </c>
      <c r="D1033" t="s">
        <v>2511</v>
      </c>
      <c r="E1033" s="27" t="s">
        <v>2512</v>
      </c>
      <c r="F1033">
        <v>261036</v>
      </c>
      <c r="G1033" t="s">
        <v>2513</v>
      </c>
    </row>
    <row r="1034" spans="1:7">
      <c r="A1034" s="25">
        <v>1001</v>
      </c>
      <c r="B1034" s="25">
        <v>1</v>
      </c>
      <c r="C1034" s="25">
        <v>3</v>
      </c>
      <c r="D1034" t="s">
        <v>2514</v>
      </c>
      <c r="E1034" s="27" t="s">
        <v>2515</v>
      </c>
      <c r="F1034">
        <v>261037</v>
      </c>
      <c r="G1034" t="s">
        <v>2516</v>
      </c>
    </row>
    <row r="1035" spans="1:7">
      <c r="A1035" s="25">
        <v>1001</v>
      </c>
      <c r="B1035" s="25">
        <v>1</v>
      </c>
      <c r="C1035" s="25">
        <v>3</v>
      </c>
      <c r="D1035" t="s">
        <v>2517</v>
      </c>
      <c r="E1035" s="27" t="s">
        <v>2518</v>
      </c>
      <c r="F1035">
        <v>261038</v>
      </c>
      <c r="G1035" t="s">
        <v>2519</v>
      </c>
    </row>
    <row r="1036" spans="1:7">
      <c r="A1036" s="25">
        <v>1001</v>
      </c>
      <c r="B1036" s="25">
        <v>1</v>
      </c>
      <c r="C1036" s="25">
        <v>3</v>
      </c>
      <c r="D1036" t="s">
        <v>2520</v>
      </c>
      <c r="E1036" s="27" t="s">
        <v>2521</v>
      </c>
      <c r="F1036">
        <v>261039</v>
      </c>
      <c r="G1036" t="s">
        <v>2522</v>
      </c>
    </row>
    <row r="1037" spans="1:7">
      <c r="A1037" s="25">
        <v>1001</v>
      </c>
      <c r="B1037" s="25">
        <v>1</v>
      </c>
      <c r="C1037" s="25">
        <v>3</v>
      </c>
      <c r="D1037" t="s">
        <v>2523</v>
      </c>
      <c r="E1037" s="27" t="s">
        <v>2524</v>
      </c>
      <c r="F1037">
        <v>261040</v>
      </c>
      <c r="G1037" t="s">
        <v>2525</v>
      </c>
    </row>
    <row r="1038" spans="1:7">
      <c r="A1038" s="25">
        <v>1001</v>
      </c>
      <c r="B1038" s="25">
        <v>1</v>
      </c>
      <c r="C1038" s="25">
        <v>3</v>
      </c>
      <c r="D1038" t="s">
        <v>2526</v>
      </c>
      <c r="E1038" s="27" t="s">
        <v>2443</v>
      </c>
      <c r="F1038">
        <v>261041</v>
      </c>
      <c r="G1038" t="s">
        <v>2527</v>
      </c>
    </row>
    <row r="1039" spans="1:7">
      <c r="A1039" s="25">
        <v>1001</v>
      </c>
      <c r="B1039" s="25">
        <v>1</v>
      </c>
      <c r="C1039" s="25">
        <v>3</v>
      </c>
      <c r="D1039" t="s">
        <v>2528</v>
      </c>
      <c r="E1039" s="27" t="s">
        <v>2529</v>
      </c>
      <c r="F1039">
        <v>261042</v>
      </c>
      <c r="G1039" t="s">
        <v>2530</v>
      </c>
    </row>
    <row r="1040" spans="1:7">
      <c r="A1040" s="25">
        <v>1001</v>
      </c>
      <c r="B1040" s="25">
        <v>1</v>
      </c>
      <c r="C1040" s="25">
        <v>3</v>
      </c>
      <c r="D1040" t="s">
        <v>2531</v>
      </c>
      <c r="E1040" s="27" t="s">
        <v>2532</v>
      </c>
      <c r="F1040">
        <v>261043</v>
      </c>
      <c r="G1040" t="s">
        <v>2533</v>
      </c>
    </row>
    <row r="1041" spans="1:7">
      <c r="A1041" s="25">
        <v>1001</v>
      </c>
      <c r="B1041" s="25">
        <v>1</v>
      </c>
      <c r="C1041" s="25">
        <v>3</v>
      </c>
      <c r="D1041" t="s">
        <v>2534</v>
      </c>
      <c r="E1041" s="27" t="s">
        <v>2535</v>
      </c>
      <c r="F1041">
        <v>261044</v>
      </c>
      <c r="G1041" t="s">
        <v>2536</v>
      </c>
    </row>
    <row r="1042" spans="1:7">
      <c r="A1042" s="25">
        <v>1001</v>
      </c>
      <c r="B1042" s="25">
        <v>1</v>
      </c>
      <c r="C1042" s="25">
        <v>3</v>
      </c>
      <c r="D1042" t="s">
        <v>2537</v>
      </c>
      <c r="E1042" s="27" t="s">
        <v>2538</v>
      </c>
      <c r="F1042">
        <v>261045</v>
      </c>
      <c r="G1042" t="s">
        <v>2539</v>
      </c>
    </row>
    <row r="1043" spans="1:7">
      <c r="A1043" s="25">
        <v>1001</v>
      </c>
      <c r="B1043" s="25">
        <v>1</v>
      </c>
      <c r="C1043" s="25">
        <v>3</v>
      </c>
      <c r="D1043" t="s">
        <v>2540</v>
      </c>
      <c r="E1043" s="27" t="s">
        <v>2541</v>
      </c>
      <c r="F1043">
        <v>261046</v>
      </c>
      <c r="G1043" t="s">
        <v>2542</v>
      </c>
    </row>
    <row r="1044" spans="1:7">
      <c r="A1044" s="25">
        <v>1001</v>
      </c>
      <c r="B1044" s="25">
        <v>1</v>
      </c>
      <c r="C1044" s="25">
        <v>3</v>
      </c>
      <c r="D1044" t="s">
        <v>2543</v>
      </c>
      <c r="E1044" s="27" t="s">
        <v>2544</v>
      </c>
      <c r="F1044">
        <v>261047</v>
      </c>
      <c r="G1044" t="s">
        <v>2545</v>
      </c>
    </row>
    <row r="1045" spans="1:7">
      <c r="A1045" s="25">
        <v>1001</v>
      </c>
      <c r="B1045" s="25">
        <v>1</v>
      </c>
      <c r="C1045" s="25">
        <v>3</v>
      </c>
      <c r="D1045" t="s">
        <v>2546</v>
      </c>
      <c r="E1045" s="27" t="s">
        <v>2547</v>
      </c>
      <c r="F1045">
        <v>261048</v>
      </c>
      <c r="G1045" t="s">
        <v>2548</v>
      </c>
    </row>
    <row r="1046" spans="1:7">
      <c r="A1046" s="25">
        <v>1001</v>
      </c>
      <c r="B1046" s="25">
        <v>1</v>
      </c>
      <c r="C1046" s="25">
        <v>3</v>
      </c>
      <c r="D1046" t="s">
        <v>2549</v>
      </c>
      <c r="E1046" s="27" t="s">
        <v>2550</v>
      </c>
      <c r="F1046">
        <v>261049</v>
      </c>
      <c r="G1046" t="s">
        <v>2551</v>
      </c>
    </row>
    <row r="1047" spans="1:7">
      <c r="A1047" s="25">
        <v>1001</v>
      </c>
      <c r="B1047" s="25">
        <v>1</v>
      </c>
      <c r="C1047" s="25">
        <v>3</v>
      </c>
      <c r="D1047" t="s">
        <v>2552</v>
      </c>
      <c r="E1047" s="27" t="s">
        <v>2553</v>
      </c>
      <c r="F1047">
        <v>261050</v>
      </c>
      <c r="G1047" t="s">
        <v>2554</v>
      </c>
    </row>
    <row r="1048" spans="1:7">
      <c r="A1048" s="25">
        <v>1001</v>
      </c>
      <c r="B1048" s="25">
        <v>1</v>
      </c>
      <c r="C1048" s="25">
        <v>3</v>
      </c>
      <c r="D1048" t="s">
        <v>2555</v>
      </c>
      <c r="E1048" s="27" t="s">
        <v>2556</v>
      </c>
      <c r="F1048">
        <v>261051</v>
      </c>
      <c r="G1048" t="s">
        <v>2557</v>
      </c>
    </row>
    <row r="1049" spans="1:7">
      <c r="A1049" s="25">
        <v>1001</v>
      </c>
      <c r="B1049" s="25">
        <v>1</v>
      </c>
      <c r="C1049" s="25">
        <v>3</v>
      </c>
      <c r="D1049" t="s">
        <v>2558</v>
      </c>
      <c r="E1049" s="27" t="s">
        <v>2559</v>
      </c>
      <c r="F1049">
        <v>261052</v>
      </c>
      <c r="G1049" t="s">
        <v>2560</v>
      </c>
    </row>
    <row r="1050" spans="1:7">
      <c r="A1050" s="25">
        <v>1001</v>
      </c>
      <c r="B1050" s="25">
        <v>1</v>
      </c>
      <c r="C1050" s="25">
        <v>3</v>
      </c>
      <c r="D1050" t="s">
        <v>2561</v>
      </c>
      <c r="E1050" s="27" t="s">
        <v>2562</v>
      </c>
      <c r="F1050">
        <v>261053</v>
      </c>
      <c r="G1050" t="s">
        <v>2563</v>
      </c>
    </row>
    <row r="1051" spans="1:7">
      <c r="A1051" s="25">
        <v>1001</v>
      </c>
      <c r="B1051" s="25">
        <v>1</v>
      </c>
      <c r="C1051" s="25">
        <v>3</v>
      </c>
      <c r="D1051" t="s">
        <v>2564</v>
      </c>
      <c r="E1051" s="27" t="s">
        <v>2565</v>
      </c>
      <c r="F1051">
        <v>261054</v>
      </c>
      <c r="G1051" t="s">
        <v>2566</v>
      </c>
    </row>
    <row r="1052" spans="1:7">
      <c r="A1052" s="25">
        <v>1001</v>
      </c>
      <c r="B1052" s="25">
        <v>1</v>
      </c>
      <c r="C1052" s="25">
        <v>3</v>
      </c>
      <c r="D1052" t="s">
        <v>2567</v>
      </c>
      <c r="E1052" s="27" t="s">
        <v>2568</v>
      </c>
      <c r="F1052">
        <v>261055</v>
      </c>
      <c r="G1052" t="s">
        <v>2569</v>
      </c>
    </row>
    <row r="1053" spans="1:7">
      <c r="A1053" s="25">
        <v>1001</v>
      </c>
      <c r="B1053" s="25">
        <v>1</v>
      </c>
      <c r="C1053" s="25">
        <v>3</v>
      </c>
      <c r="D1053" t="s">
        <v>2570</v>
      </c>
      <c r="E1053" s="27" t="s">
        <v>2571</v>
      </c>
      <c r="F1053">
        <v>261056</v>
      </c>
      <c r="G1053" t="s">
        <v>2572</v>
      </c>
    </row>
    <row r="1054" spans="1:7">
      <c r="A1054" s="25">
        <v>1001</v>
      </c>
      <c r="B1054" s="25">
        <v>1</v>
      </c>
      <c r="C1054" s="25">
        <v>3</v>
      </c>
      <c r="D1054" t="s">
        <v>2573</v>
      </c>
      <c r="E1054" s="27" t="s">
        <v>2574</v>
      </c>
      <c r="F1054">
        <v>261057</v>
      </c>
      <c r="G1054" t="s">
        <v>2575</v>
      </c>
    </row>
    <row r="1055" spans="1:7">
      <c r="A1055" s="25">
        <v>1001</v>
      </c>
      <c r="B1055" s="25">
        <v>1</v>
      </c>
      <c r="C1055" s="25">
        <v>3</v>
      </c>
      <c r="D1055" t="s">
        <v>2576</v>
      </c>
      <c r="E1055" s="27" t="s">
        <v>2577</v>
      </c>
      <c r="F1055">
        <v>261058</v>
      </c>
      <c r="G1055" t="s">
        <v>2578</v>
      </c>
    </row>
    <row r="1056" spans="1:7">
      <c r="A1056" s="25">
        <v>1001</v>
      </c>
      <c r="B1056" s="25">
        <v>1</v>
      </c>
      <c r="C1056" s="25">
        <v>3</v>
      </c>
      <c r="D1056" t="s">
        <v>2579</v>
      </c>
      <c r="E1056" s="27" t="s">
        <v>2580</v>
      </c>
      <c r="F1056">
        <v>261059</v>
      </c>
      <c r="G1056" t="s">
        <v>2581</v>
      </c>
    </row>
    <row r="1057" spans="1:7">
      <c r="A1057" s="25">
        <v>1001</v>
      </c>
      <c r="B1057" s="25">
        <v>1</v>
      </c>
      <c r="C1057" s="25">
        <v>3</v>
      </c>
      <c r="D1057" t="s">
        <v>2582</v>
      </c>
      <c r="E1057" s="27" t="s">
        <v>2583</v>
      </c>
      <c r="F1057">
        <v>261060</v>
      </c>
      <c r="G1057" t="s">
        <v>2584</v>
      </c>
    </row>
    <row r="1058" spans="1:7">
      <c r="A1058" s="25">
        <v>1001</v>
      </c>
      <c r="B1058" s="25">
        <v>1</v>
      </c>
      <c r="C1058" s="25">
        <v>3</v>
      </c>
      <c r="D1058" t="s">
        <v>2585</v>
      </c>
      <c r="E1058" s="27" t="s">
        <v>2443</v>
      </c>
      <c r="F1058">
        <v>261061</v>
      </c>
      <c r="G1058" t="s">
        <v>2586</v>
      </c>
    </row>
    <row r="1059" spans="1:7">
      <c r="A1059" s="25">
        <v>1001</v>
      </c>
      <c r="B1059" s="25">
        <v>1</v>
      </c>
      <c r="C1059" s="25">
        <v>3</v>
      </c>
      <c r="D1059" t="s">
        <v>2587</v>
      </c>
      <c r="E1059" s="27" t="s">
        <v>2446</v>
      </c>
      <c r="F1059">
        <v>261062</v>
      </c>
      <c r="G1059" t="s">
        <v>2588</v>
      </c>
    </row>
    <row r="1060" spans="1:7">
      <c r="A1060" s="25">
        <v>1001</v>
      </c>
      <c r="B1060" s="25">
        <v>1</v>
      </c>
      <c r="C1060" s="25">
        <v>3</v>
      </c>
      <c r="D1060" t="s">
        <v>1869</v>
      </c>
      <c r="E1060" s="27" t="s">
        <v>2449</v>
      </c>
      <c r="F1060">
        <v>261063</v>
      </c>
      <c r="G1060" t="s">
        <v>2589</v>
      </c>
    </row>
    <row r="1061" spans="1:7">
      <c r="A1061" s="25">
        <v>1001</v>
      </c>
      <c r="B1061" s="25">
        <v>1</v>
      </c>
      <c r="C1061" s="25">
        <v>3</v>
      </c>
      <c r="D1061" t="s">
        <v>1870</v>
      </c>
      <c r="E1061" s="27" t="s">
        <v>2452</v>
      </c>
      <c r="F1061">
        <v>261064</v>
      </c>
      <c r="G1061" t="s">
        <v>2590</v>
      </c>
    </row>
    <row r="1062" spans="1:7">
      <c r="A1062" s="25">
        <v>1001</v>
      </c>
      <c r="B1062" s="25">
        <v>1</v>
      </c>
      <c r="C1062" s="25">
        <v>3</v>
      </c>
      <c r="D1062" t="s">
        <v>1871</v>
      </c>
      <c r="E1062" s="27" t="s">
        <v>2455</v>
      </c>
      <c r="F1062">
        <v>261065</v>
      </c>
      <c r="G1062" t="s">
        <v>2591</v>
      </c>
    </row>
    <row r="1063" spans="1:7">
      <c r="A1063" s="25">
        <v>1001</v>
      </c>
      <c r="B1063" s="25">
        <v>1</v>
      </c>
      <c r="C1063" s="25">
        <v>3</v>
      </c>
      <c r="D1063" t="s">
        <v>1872</v>
      </c>
      <c r="E1063" s="27" t="s">
        <v>2458</v>
      </c>
      <c r="F1063">
        <v>261066</v>
      </c>
      <c r="G1063" t="s">
        <v>2592</v>
      </c>
    </row>
    <row r="1064" spans="1:7">
      <c r="A1064" s="25">
        <v>1001</v>
      </c>
      <c r="B1064" s="25">
        <v>1</v>
      </c>
      <c r="C1064" s="25">
        <v>3</v>
      </c>
      <c r="D1064" t="s">
        <v>2593</v>
      </c>
      <c r="E1064" s="27" t="s">
        <v>2461</v>
      </c>
      <c r="F1064">
        <v>261067</v>
      </c>
      <c r="G1064" t="s">
        <v>2594</v>
      </c>
    </row>
    <row r="1065" spans="1:7">
      <c r="A1065" s="25">
        <v>1001</v>
      </c>
      <c r="B1065" s="25">
        <v>1</v>
      </c>
      <c r="C1065" s="25">
        <v>3</v>
      </c>
      <c r="D1065" t="s">
        <v>2595</v>
      </c>
      <c r="E1065" s="27" t="s">
        <v>2464</v>
      </c>
      <c r="F1065">
        <v>261068</v>
      </c>
      <c r="G1065" t="s">
        <v>2596</v>
      </c>
    </row>
    <row r="1066" spans="1:7">
      <c r="A1066" s="25">
        <v>1001</v>
      </c>
      <c r="B1066" s="25">
        <v>1</v>
      </c>
      <c r="C1066" s="25">
        <v>3</v>
      </c>
      <c r="D1066" t="s">
        <v>2597</v>
      </c>
      <c r="E1066" s="27" t="s">
        <v>2598</v>
      </c>
      <c r="F1066">
        <v>261069</v>
      </c>
      <c r="G1066" t="s">
        <v>2599</v>
      </c>
    </row>
    <row r="1067" spans="1:7">
      <c r="A1067" s="25">
        <v>1001</v>
      </c>
      <c r="B1067" s="25">
        <v>1</v>
      </c>
      <c r="C1067" s="25">
        <v>3</v>
      </c>
      <c r="D1067" t="s">
        <v>2600</v>
      </c>
      <c r="E1067" s="27" t="s">
        <v>2601</v>
      </c>
      <c r="F1067">
        <v>261070</v>
      </c>
      <c r="G1067" t="s">
        <v>2602</v>
      </c>
    </row>
    <row r="1068" spans="1:7">
      <c r="A1068" s="25">
        <v>1001</v>
      </c>
      <c r="B1068" s="25">
        <v>1</v>
      </c>
      <c r="C1068" s="25">
        <v>3</v>
      </c>
      <c r="D1068" t="s">
        <v>2603</v>
      </c>
      <c r="E1068" s="27" t="s">
        <v>2604</v>
      </c>
      <c r="F1068">
        <v>261071</v>
      </c>
      <c r="G1068" t="s">
        <v>2605</v>
      </c>
    </row>
    <row r="1069" spans="1:7">
      <c r="A1069" s="25">
        <v>1001</v>
      </c>
      <c r="B1069" s="25">
        <v>1</v>
      </c>
      <c r="C1069" s="25">
        <v>3</v>
      </c>
      <c r="D1069" t="s">
        <v>2606</v>
      </c>
      <c r="E1069" s="27" t="s">
        <v>2607</v>
      </c>
      <c r="F1069">
        <v>261072</v>
      </c>
      <c r="G1069" t="s">
        <v>2608</v>
      </c>
    </row>
    <row r="1070" spans="1:7">
      <c r="A1070" s="25">
        <v>1001</v>
      </c>
      <c r="B1070" s="25">
        <v>1</v>
      </c>
      <c r="C1070" s="25">
        <v>3</v>
      </c>
      <c r="D1070" t="s">
        <v>2609</v>
      </c>
      <c r="E1070" s="27" t="s">
        <v>2610</v>
      </c>
      <c r="F1070">
        <v>261073</v>
      </c>
      <c r="G1070" t="s">
        <v>2611</v>
      </c>
    </row>
    <row r="1071" spans="1:7">
      <c r="A1071" s="25">
        <v>1001</v>
      </c>
      <c r="B1071" s="25">
        <v>1</v>
      </c>
      <c r="C1071" s="25">
        <v>3</v>
      </c>
      <c r="D1071" t="s">
        <v>2612</v>
      </c>
      <c r="E1071" s="27" t="s">
        <v>2613</v>
      </c>
      <c r="F1071">
        <v>261074</v>
      </c>
      <c r="G1071" t="s">
        <v>2614</v>
      </c>
    </row>
    <row r="1072" spans="1:7">
      <c r="A1072" s="25">
        <v>1001</v>
      </c>
      <c r="B1072" s="25">
        <v>1</v>
      </c>
      <c r="C1072" s="25">
        <v>3</v>
      </c>
      <c r="D1072" t="s">
        <v>2615</v>
      </c>
      <c r="E1072" s="27" t="s">
        <v>2616</v>
      </c>
      <c r="F1072">
        <v>261075</v>
      </c>
      <c r="G1072" t="s">
        <v>2617</v>
      </c>
    </row>
    <row r="1073" spans="1:7">
      <c r="A1073" s="25">
        <v>1001</v>
      </c>
      <c r="B1073" s="25">
        <v>1</v>
      </c>
      <c r="C1073" s="25">
        <v>3</v>
      </c>
      <c r="D1073" t="s">
        <v>2618</v>
      </c>
      <c r="E1073" s="27" t="s">
        <v>2619</v>
      </c>
      <c r="F1073">
        <v>261076</v>
      </c>
      <c r="G1073" t="s">
        <v>2620</v>
      </c>
    </row>
    <row r="1074" spans="1:7">
      <c r="A1074" s="25">
        <v>1001</v>
      </c>
      <c r="B1074" s="25">
        <v>1</v>
      </c>
      <c r="C1074" s="25">
        <v>3</v>
      </c>
      <c r="D1074" t="s">
        <v>2621</v>
      </c>
      <c r="E1074" s="27" t="s">
        <v>2622</v>
      </c>
      <c r="F1074">
        <v>261077</v>
      </c>
      <c r="G1074" t="s">
        <v>2623</v>
      </c>
    </row>
    <row r="1075" spans="1:7">
      <c r="A1075" s="25">
        <v>1001</v>
      </c>
      <c r="B1075" s="25">
        <v>1</v>
      </c>
      <c r="C1075" s="25">
        <v>3</v>
      </c>
      <c r="D1075" t="s">
        <v>2624</v>
      </c>
      <c r="E1075" s="27" t="s">
        <v>2625</v>
      </c>
      <c r="F1075">
        <v>261078</v>
      </c>
      <c r="G1075" t="s">
        <v>2626</v>
      </c>
    </row>
    <row r="1076" spans="1:7">
      <c r="A1076" s="25">
        <v>1001</v>
      </c>
      <c r="B1076" s="25">
        <v>1</v>
      </c>
      <c r="C1076" s="25">
        <v>3</v>
      </c>
      <c r="D1076" t="s">
        <v>2627</v>
      </c>
      <c r="E1076" s="27" t="s">
        <v>2628</v>
      </c>
      <c r="F1076">
        <v>261079</v>
      </c>
      <c r="G1076" t="s">
        <v>2629</v>
      </c>
    </row>
    <row r="1077" spans="1:7">
      <c r="A1077" s="25">
        <v>1001</v>
      </c>
      <c r="B1077" s="25">
        <v>1</v>
      </c>
      <c r="C1077" s="25">
        <v>3</v>
      </c>
      <c r="D1077" t="s">
        <v>2630</v>
      </c>
      <c r="E1077" s="27" t="s">
        <v>2631</v>
      </c>
      <c r="F1077">
        <v>261080</v>
      </c>
      <c r="G1077" t="s">
        <v>2632</v>
      </c>
    </row>
    <row r="1078" spans="1:7">
      <c r="A1078" s="25">
        <v>1001</v>
      </c>
      <c r="B1078" s="25">
        <v>1</v>
      </c>
      <c r="C1078" s="25">
        <v>3</v>
      </c>
      <c r="D1078" t="s">
        <v>2633</v>
      </c>
      <c r="E1078" s="27" t="s">
        <v>2634</v>
      </c>
      <c r="F1078">
        <v>261081</v>
      </c>
      <c r="G1078" t="s">
        <v>2635</v>
      </c>
    </row>
    <row r="1079" spans="1:7">
      <c r="A1079" s="25">
        <v>1001</v>
      </c>
      <c r="B1079" s="25">
        <v>1</v>
      </c>
      <c r="C1079" s="25">
        <v>3</v>
      </c>
      <c r="D1079" t="s">
        <v>2636</v>
      </c>
      <c r="E1079" s="27" t="s">
        <v>2637</v>
      </c>
      <c r="F1079">
        <v>261082</v>
      </c>
      <c r="G1079" t="s">
        <v>2638</v>
      </c>
    </row>
    <row r="1080" spans="1:7">
      <c r="A1080" s="25">
        <v>1001</v>
      </c>
      <c r="B1080" s="25">
        <v>1</v>
      </c>
      <c r="C1080" s="25">
        <v>3</v>
      </c>
      <c r="D1080" s="27" t="s">
        <v>2639</v>
      </c>
      <c r="E1080" s="27" t="s">
        <v>2640</v>
      </c>
      <c r="F1080">
        <v>261083</v>
      </c>
      <c r="G1080" t="s">
        <v>2641</v>
      </c>
    </row>
    <row r="1081" spans="1:7">
      <c r="A1081" s="25">
        <v>1001</v>
      </c>
      <c r="B1081" s="25">
        <v>1</v>
      </c>
      <c r="C1081" s="25">
        <v>3</v>
      </c>
      <c r="D1081" s="27" t="s">
        <v>2642</v>
      </c>
      <c r="E1081" s="27" t="s">
        <v>2643</v>
      </c>
      <c r="F1081">
        <v>261084</v>
      </c>
      <c r="G1081" t="s">
        <v>2644</v>
      </c>
    </row>
    <row r="1082" spans="1:7">
      <c r="A1082" s="25">
        <v>1001</v>
      </c>
      <c r="B1082" s="25">
        <v>1</v>
      </c>
      <c r="C1082" s="25">
        <v>3</v>
      </c>
      <c r="D1082" s="27" t="s">
        <v>2645</v>
      </c>
      <c r="E1082" s="27" t="s">
        <v>2646</v>
      </c>
      <c r="F1082">
        <v>261085</v>
      </c>
      <c r="G1082" t="s">
        <v>2647</v>
      </c>
    </row>
    <row r="1083" spans="1:7">
      <c r="A1083" s="25">
        <v>1001</v>
      </c>
      <c r="B1083" s="25">
        <v>1</v>
      </c>
      <c r="C1083" s="25">
        <v>3</v>
      </c>
      <c r="D1083" s="27" t="s">
        <v>2648</v>
      </c>
      <c r="E1083" s="27" t="s">
        <v>2649</v>
      </c>
      <c r="F1083">
        <v>261086</v>
      </c>
      <c r="G1083" t="s">
        <v>2650</v>
      </c>
    </row>
    <row r="1084" spans="1:7">
      <c r="A1084" s="25">
        <v>1001</v>
      </c>
      <c r="B1084" s="25">
        <v>1</v>
      </c>
      <c r="C1084" s="25">
        <v>3</v>
      </c>
      <c r="D1084" s="27" t="s">
        <v>2651</v>
      </c>
      <c r="E1084" s="27" t="s">
        <v>2652</v>
      </c>
      <c r="F1084">
        <v>261087</v>
      </c>
      <c r="G1084" t="s">
        <v>2653</v>
      </c>
    </row>
    <row r="1085" spans="1:7">
      <c r="A1085" s="25">
        <v>1001</v>
      </c>
      <c r="B1085" s="25">
        <v>1</v>
      </c>
      <c r="C1085" s="25">
        <v>3</v>
      </c>
      <c r="D1085" s="27" t="s">
        <v>2654</v>
      </c>
      <c r="E1085" s="27" t="s">
        <v>2655</v>
      </c>
      <c r="F1085">
        <v>261088</v>
      </c>
      <c r="G1085" t="s">
        <v>2656</v>
      </c>
    </row>
    <row r="1086" spans="1:7">
      <c r="A1086" s="25">
        <v>1001</v>
      </c>
      <c r="B1086" s="25">
        <v>1</v>
      </c>
      <c r="C1086" s="25">
        <v>3</v>
      </c>
      <c r="D1086" s="27" t="s">
        <v>2657</v>
      </c>
      <c r="E1086" s="27" t="s">
        <v>2658</v>
      </c>
      <c r="F1086">
        <v>261089</v>
      </c>
      <c r="G1086" t="s">
        <v>2659</v>
      </c>
    </row>
    <row r="1087" spans="1:7">
      <c r="A1087" s="25">
        <v>1001</v>
      </c>
      <c r="B1087" s="25">
        <v>1</v>
      </c>
      <c r="C1087" s="25">
        <v>3</v>
      </c>
      <c r="D1087" s="27" t="s">
        <v>2660</v>
      </c>
      <c r="E1087" s="27" t="s">
        <v>2661</v>
      </c>
      <c r="F1087">
        <v>261090</v>
      </c>
      <c r="G1087" t="s">
        <v>2662</v>
      </c>
    </row>
    <row r="1088" spans="1:7">
      <c r="A1088" s="25">
        <v>1001</v>
      </c>
      <c r="B1088" s="25">
        <v>1</v>
      </c>
      <c r="C1088" s="25">
        <v>3</v>
      </c>
      <c r="D1088" s="27" t="s">
        <v>2663</v>
      </c>
      <c r="E1088" s="27" t="s">
        <v>2664</v>
      </c>
      <c r="F1088">
        <v>261091</v>
      </c>
      <c r="G1088" t="s">
        <v>2665</v>
      </c>
    </row>
    <row r="1089" spans="1:7">
      <c r="A1089" s="25">
        <v>1001</v>
      </c>
      <c r="B1089" s="25">
        <v>1</v>
      </c>
      <c r="C1089" s="25">
        <v>3</v>
      </c>
      <c r="D1089" s="27" t="s">
        <v>2666</v>
      </c>
      <c r="E1089" s="27" t="s">
        <v>2667</v>
      </c>
      <c r="F1089">
        <v>261092</v>
      </c>
      <c r="G1089" t="s">
        <v>2668</v>
      </c>
    </row>
    <row r="1090" spans="1:7">
      <c r="A1090" s="25">
        <v>1001</v>
      </c>
      <c r="B1090" s="25">
        <v>1</v>
      </c>
      <c r="C1090" s="25">
        <v>3</v>
      </c>
      <c r="D1090" s="27" t="s">
        <v>2669</v>
      </c>
      <c r="E1090" s="27" t="s">
        <v>2670</v>
      </c>
      <c r="F1090">
        <v>261093</v>
      </c>
      <c r="G1090" t="s">
        <v>2671</v>
      </c>
    </row>
    <row r="1091" spans="1:7">
      <c r="A1091" s="25">
        <v>1001</v>
      </c>
      <c r="B1091" s="25">
        <v>1</v>
      </c>
      <c r="C1091" s="25">
        <v>3</v>
      </c>
      <c r="D1091" s="27" t="s">
        <v>2672</v>
      </c>
      <c r="E1091" s="27" t="s">
        <v>2673</v>
      </c>
      <c r="F1091">
        <v>261094</v>
      </c>
      <c r="G1091" t="s">
        <v>2674</v>
      </c>
    </row>
    <row r="1092" spans="1:7">
      <c r="A1092" s="25">
        <v>1001</v>
      </c>
      <c r="B1092" s="25">
        <v>1</v>
      </c>
      <c r="C1092" s="25">
        <v>1001</v>
      </c>
      <c r="D1092" t="s">
        <v>2675</v>
      </c>
      <c r="E1092" s="27" t="s">
        <v>2676</v>
      </c>
      <c r="F1092">
        <v>261095</v>
      </c>
      <c r="G1092" t="s">
        <v>2677</v>
      </c>
    </row>
    <row r="1093" spans="1:7">
      <c r="A1093" s="25">
        <v>1001</v>
      </c>
      <c r="B1093" s="25">
        <v>1</v>
      </c>
      <c r="C1093" s="25">
        <v>1001</v>
      </c>
      <c r="D1093" t="s">
        <v>2675</v>
      </c>
      <c r="E1093" s="27" t="s">
        <v>2678</v>
      </c>
      <c r="F1093">
        <v>261096</v>
      </c>
      <c r="G1093" t="s">
        <v>2677</v>
      </c>
    </row>
    <row r="1094" spans="1:6">
      <c r="A1094" s="25">
        <v>1001</v>
      </c>
      <c r="B1094" s="25">
        <v>1</v>
      </c>
      <c r="C1094" s="25">
        <v>1001</v>
      </c>
      <c r="D1094" t="s">
        <v>2679</v>
      </c>
      <c r="E1094" s="27" t="s">
        <v>2675</v>
      </c>
      <c r="F1094">
        <v>261100</v>
      </c>
    </row>
    <row r="1095" spans="1:6">
      <c r="A1095" s="25">
        <v>1001</v>
      </c>
      <c r="B1095" s="25">
        <v>1</v>
      </c>
      <c r="C1095" s="25">
        <v>1001</v>
      </c>
      <c r="D1095" t="s">
        <v>2680</v>
      </c>
      <c r="E1095" s="27" t="s">
        <v>2675</v>
      </c>
      <c r="F1095">
        <v>261101</v>
      </c>
    </row>
    <row r="1096" spans="1:6">
      <c r="A1096" s="25">
        <v>1001</v>
      </c>
      <c r="B1096" s="25">
        <v>1</v>
      </c>
      <c r="C1096" s="25">
        <v>1001</v>
      </c>
      <c r="D1096" t="s">
        <v>2681</v>
      </c>
      <c r="E1096" s="27" t="s">
        <v>2682</v>
      </c>
      <c r="F1096">
        <v>262001</v>
      </c>
    </row>
    <row r="1097" spans="1:6">
      <c r="A1097" s="25">
        <v>1001</v>
      </c>
      <c r="B1097" s="25">
        <v>1</v>
      </c>
      <c r="C1097" s="25">
        <v>1001</v>
      </c>
      <c r="D1097" t="s">
        <v>2683</v>
      </c>
      <c r="E1097" s="27" t="s">
        <v>2684</v>
      </c>
      <c r="F1097">
        <v>262002</v>
      </c>
    </row>
    <row r="1098" spans="1:6">
      <c r="A1098" s="25">
        <v>1001</v>
      </c>
      <c r="B1098" s="25">
        <v>1</v>
      </c>
      <c r="C1098" s="25">
        <v>1001</v>
      </c>
      <c r="D1098" t="s">
        <v>2472</v>
      </c>
      <c r="E1098" s="27" t="s">
        <v>2685</v>
      </c>
      <c r="F1098">
        <v>262003</v>
      </c>
    </row>
    <row r="1099" spans="1:6">
      <c r="A1099" s="25">
        <v>1001</v>
      </c>
      <c r="B1099" s="25">
        <v>1</v>
      </c>
      <c r="C1099" s="25">
        <v>1001</v>
      </c>
      <c r="D1099" t="s">
        <v>2475</v>
      </c>
      <c r="E1099" s="27" t="s">
        <v>2686</v>
      </c>
      <c r="F1099">
        <v>262004</v>
      </c>
    </row>
    <row r="1100" spans="1:6">
      <c r="A1100" s="25">
        <v>1001</v>
      </c>
      <c r="B1100" s="25">
        <v>1</v>
      </c>
      <c r="C1100" s="25">
        <v>1001</v>
      </c>
      <c r="D1100" t="s">
        <v>2478</v>
      </c>
      <c r="E1100" s="27" t="s">
        <v>2687</v>
      </c>
      <c r="F1100">
        <v>262005</v>
      </c>
    </row>
    <row r="1101" spans="1:6">
      <c r="A1101" s="25">
        <v>1001</v>
      </c>
      <c r="B1101" s="25">
        <v>1</v>
      </c>
      <c r="C1101" s="25">
        <v>1001</v>
      </c>
      <c r="D1101" t="s">
        <v>2481</v>
      </c>
      <c r="E1101" s="27" t="s">
        <v>2688</v>
      </c>
      <c r="F1101">
        <v>262006</v>
      </c>
    </row>
    <row r="1102" spans="1:6">
      <c r="A1102" s="25">
        <v>1001</v>
      </c>
      <c r="B1102" s="25">
        <v>1</v>
      </c>
      <c r="C1102" s="25">
        <v>1001</v>
      </c>
      <c r="D1102" t="s">
        <v>2689</v>
      </c>
      <c r="E1102" s="27" t="s">
        <v>2690</v>
      </c>
      <c r="F1102">
        <v>262007</v>
      </c>
    </row>
    <row r="1103" spans="1:6">
      <c r="A1103" s="25">
        <v>1001</v>
      </c>
      <c r="B1103" s="25">
        <v>1</v>
      </c>
      <c r="C1103" s="25">
        <v>1001</v>
      </c>
      <c r="D1103" t="s">
        <v>2691</v>
      </c>
      <c r="E1103" s="27" t="s">
        <v>2692</v>
      </c>
      <c r="F1103">
        <v>262008</v>
      </c>
    </row>
    <row r="1104" spans="1:6">
      <c r="A1104" s="25">
        <v>1001</v>
      </c>
      <c r="B1104" s="25">
        <v>1</v>
      </c>
      <c r="C1104" s="25">
        <v>1001</v>
      </c>
      <c r="D1104" t="s">
        <v>2693</v>
      </c>
      <c r="E1104" s="27" t="s">
        <v>2694</v>
      </c>
      <c r="F1104">
        <v>262009</v>
      </c>
    </row>
    <row r="1105" spans="1:6">
      <c r="A1105" s="25">
        <v>1001</v>
      </c>
      <c r="B1105" s="25">
        <v>1</v>
      </c>
      <c r="C1105" s="25">
        <v>1001</v>
      </c>
      <c r="D1105" t="s">
        <v>2695</v>
      </c>
      <c r="E1105" s="27" t="s">
        <v>2696</v>
      </c>
      <c r="F1105">
        <v>262010</v>
      </c>
    </row>
    <row r="1106" spans="1:7">
      <c r="A1106" s="25">
        <v>1001</v>
      </c>
      <c r="B1106" s="25">
        <v>1</v>
      </c>
      <c r="C1106" s="25">
        <v>1001</v>
      </c>
      <c r="D1106" t="s">
        <v>2697</v>
      </c>
      <c r="E1106" s="27" t="s">
        <v>2698</v>
      </c>
      <c r="F1106">
        <v>262011</v>
      </c>
      <c r="G1106" t="s">
        <v>2533</v>
      </c>
    </row>
    <row r="1107" spans="1:7">
      <c r="A1107" s="25">
        <v>1001</v>
      </c>
      <c r="B1107" s="25">
        <v>1</v>
      </c>
      <c r="C1107" s="25">
        <v>1001</v>
      </c>
      <c r="D1107" t="s">
        <v>2699</v>
      </c>
      <c r="E1107" s="27" t="s">
        <v>2700</v>
      </c>
      <c r="F1107">
        <v>262012</v>
      </c>
      <c r="G1107" t="s">
        <v>2536</v>
      </c>
    </row>
    <row r="1108" spans="1:7">
      <c r="A1108" s="25">
        <v>1001</v>
      </c>
      <c r="B1108" s="25">
        <v>1</v>
      </c>
      <c r="C1108" s="25">
        <v>1001</v>
      </c>
      <c r="D1108" t="s">
        <v>2701</v>
      </c>
      <c r="E1108" s="27" t="s">
        <v>2538</v>
      </c>
      <c r="F1108">
        <v>262013</v>
      </c>
      <c r="G1108" t="s">
        <v>2539</v>
      </c>
    </row>
    <row r="1109" spans="1:7">
      <c r="A1109" s="25">
        <v>1001</v>
      </c>
      <c r="B1109" s="25">
        <v>1</v>
      </c>
      <c r="C1109" s="25">
        <v>1001</v>
      </c>
      <c r="D1109" t="s">
        <v>2702</v>
      </c>
      <c r="E1109" s="27" t="s">
        <v>2541</v>
      </c>
      <c r="F1109">
        <v>262014</v>
      </c>
      <c r="G1109" t="s">
        <v>2542</v>
      </c>
    </row>
    <row r="1110" spans="1:7">
      <c r="A1110" s="25">
        <v>1001</v>
      </c>
      <c r="B1110" s="25">
        <v>1</v>
      </c>
      <c r="C1110" s="25">
        <v>1001</v>
      </c>
      <c r="D1110" t="s">
        <v>2703</v>
      </c>
      <c r="E1110" s="27" t="s">
        <v>2544</v>
      </c>
      <c r="F1110">
        <v>262015</v>
      </c>
      <c r="G1110" t="s">
        <v>2704</v>
      </c>
    </row>
    <row r="1111" spans="1:7">
      <c r="A1111" s="25">
        <v>1001</v>
      </c>
      <c r="B1111" s="25">
        <v>1</v>
      </c>
      <c r="C1111" s="25">
        <v>1001</v>
      </c>
      <c r="D1111" t="s">
        <v>2705</v>
      </c>
      <c r="E1111" s="27" t="s">
        <v>2547</v>
      </c>
      <c r="F1111">
        <v>262016</v>
      </c>
      <c r="G1111" t="s">
        <v>2706</v>
      </c>
    </row>
    <row r="1112" spans="1:7">
      <c r="A1112" s="25">
        <v>1001</v>
      </c>
      <c r="B1112" s="25">
        <v>1</v>
      </c>
      <c r="C1112" s="25">
        <v>1001</v>
      </c>
      <c r="D1112" t="s">
        <v>2707</v>
      </c>
      <c r="E1112" t="s">
        <v>2708</v>
      </c>
      <c r="F1112">
        <v>262017</v>
      </c>
      <c r="G1112" t="s">
        <v>2709</v>
      </c>
    </row>
    <row r="1113" spans="1:7">
      <c r="A1113" s="25">
        <v>1001</v>
      </c>
      <c r="B1113" s="25">
        <v>1</v>
      </c>
      <c r="C1113" s="25">
        <v>1001</v>
      </c>
      <c r="D1113" t="s">
        <v>2710</v>
      </c>
      <c r="E1113" t="s">
        <v>2711</v>
      </c>
      <c r="F1113">
        <v>262018</v>
      </c>
      <c r="G1113" t="s">
        <v>2712</v>
      </c>
    </row>
    <row r="1114" spans="1:7">
      <c r="A1114" s="25">
        <v>1001</v>
      </c>
      <c r="B1114" s="25">
        <v>1</v>
      </c>
      <c r="C1114" s="25">
        <v>1001</v>
      </c>
      <c r="D1114" t="s">
        <v>2713</v>
      </c>
      <c r="E1114" t="s">
        <v>2714</v>
      </c>
      <c r="F1114">
        <v>262019</v>
      </c>
      <c r="G1114" t="s">
        <v>2715</v>
      </c>
    </row>
    <row r="1115" spans="1:7">
      <c r="A1115" s="25">
        <v>1001</v>
      </c>
      <c r="B1115" s="25">
        <v>1</v>
      </c>
      <c r="C1115" s="25">
        <v>1001</v>
      </c>
      <c r="D1115" t="s">
        <v>2716</v>
      </c>
      <c r="E1115" t="s">
        <v>2717</v>
      </c>
      <c r="F1115">
        <v>262020</v>
      </c>
      <c r="G1115" t="s">
        <v>2718</v>
      </c>
    </row>
    <row r="1116" spans="1:7">
      <c r="A1116" s="25">
        <v>1001</v>
      </c>
      <c r="B1116" s="25">
        <v>1</v>
      </c>
      <c r="C1116" s="25">
        <v>1001</v>
      </c>
      <c r="D1116" t="s">
        <v>2719</v>
      </c>
      <c r="E1116" s="27" t="s">
        <v>2713</v>
      </c>
      <c r="F1116">
        <v>261102</v>
      </c>
      <c r="G1116" t="s">
        <v>2720</v>
      </c>
    </row>
    <row r="1117" spans="1:7">
      <c r="A1117" s="25">
        <v>1001</v>
      </c>
      <c r="B1117" s="25">
        <v>1</v>
      </c>
      <c r="C1117" s="25">
        <v>1001</v>
      </c>
      <c r="D1117" t="s">
        <v>2721</v>
      </c>
      <c r="E1117" s="27" t="s">
        <v>2716</v>
      </c>
      <c r="F1117">
        <v>261103</v>
      </c>
      <c r="G1117" t="s">
        <v>2722</v>
      </c>
    </row>
    <row r="1118" spans="1:7">
      <c r="A1118" s="25">
        <v>1001</v>
      </c>
      <c r="B1118" s="25">
        <v>1</v>
      </c>
      <c r="C1118" s="25">
        <v>1001</v>
      </c>
      <c r="D1118" t="s">
        <v>2723</v>
      </c>
      <c r="E1118" s="27" t="s">
        <v>2724</v>
      </c>
      <c r="F1118">
        <v>261104</v>
      </c>
      <c r="G1118" t="s">
        <v>2725</v>
      </c>
    </row>
    <row r="1119" spans="1:7">
      <c r="A1119" s="25">
        <v>1001</v>
      </c>
      <c r="B1119" s="25">
        <v>1</v>
      </c>
      <c r="C1119" s="25">
        <v>1001</v>
      </c>
      <c r="D1119" t="s">
        <v>2713</v>
      </c>
      <c r="E1119" s="27" t="s">
        <v>2726</v>
      </c>
      <c r="F1119">
        <v>261105</v>
      </c>
      <c r="G1119" t="s">
        <v>2715</v>
      </c>
    </row>
    <row r="1120" spans="1:7">
      <c r="A1120" s="25">
        <v>1001</v>
      </c>
      <c r="B1120" s="25">
        <v>1</v>
      </c>
      <c r="C1120" s="25">
        <v>1001</v>
      </c>
      <c r="D1120" t="s">
        <v>2727</v>
      </c>
      <c r="E1120" s="27" t="s">
        <v>2728</v>
      </c>
      <c r="F1120">
        <v>261106</v>
      </c>
      <c r="G1120" t="s">
        <v>2718</v>
      </c>
    </row>
    <row r="1121" s="14" customFormat="1" spans="1:7">
      <c r="A1121" s="66">
        <v>1001</v>
      </c>
      <c r="B1121" s="66">
        <v>1</v>
      </c>
      <c r="C1121" s="66">
        <v>1001</v>
      </c>
      <c r="D1121" s="14" t="s">
        <v>2729</v>
      </c>
      <c r="E1121" s="27" t="s">
        <v>2713</v>
      </c>
      <c r="F1121" s="14">
        <v>261107</v>
      </c>
      <c r="G1121" s="14" t="s">
        <v>2730</v>
      </c>
    </row>
    <row r="1122" s="14" customFormat="1" spans="1:7">
      <c r="A1122" s="66">
        <v>1001</v>
      </c>
      <c r="B1122" s="66">
        <v>1</v>
      </c>
      <c r="C1122" s="66">
        <v>1001</v>
      </c>
      <c r="D1122" s="14" t="s">
        <v>2731</v>
      </c>
      <c r="E1122" s="27" t="s">
        <v>2716</v>
      </c>
      <c r="F1122" s="14">
        <v>261108</v>
      </c>
      <c r="G1122" s="14" t="s">
        <v>2732</v>
      </c>
    </row>
    <row r="1123" s="14" customFormat="1" spans="1:7">
      <c r="A1123" s="66">
        <v>1001</v>
      </c>
      <c r="B1123" s="66">
        <v>1</v>
      </c>
      <c r="C1123" s="66">
        <v>1001</v>
      </c>
      <c r="D1123" s="14" t="s">
        <v>2733</v>
      </c>
      <c r="E1123" s="67" t="s">
        <v>2713</v>
      </c>
      <c r="F1123" s="14">
        <v>261109</v>
      </c>
      <c r="G1123" s="14" t="s">
        <v>2734</v>
      </c>
    </row>
    <row r="1124" s="14" customFormat="1" spans="1:7">
      <c r="A1124" s="66">
        <v>1001</v>
      </c>
      <c r="B1124" s="66">
        <v>1</v>
      </c>
      <c r="C1124" s="66">
        <v>1001</v>
      </c>
      <c r="D1124" s="14" t="s">
        <v>2735</v>
      </c>
      <c r="E1124" s="67" t="s">
        <v>2713</v>
      </c>
      <c r="F1124" s="14">
        <v>261110</v>
      </c>
      <c r="G1124" s="14" t="s">
        <v>2736</v>
      </c>
    </row>
    <row r="1125" s="14" customFormat="1" spans="1:7">
      <c r="A1125" s="66">
        <v>1001</v>
      </c>
      <c r="B1125" s="66">
        <v>1</v>
      </c>
      <c r="C1125" s="66">
        <v>1001</v>
      </c>
      <c r="D1125" s="14" t="s">
        <v>2737</v>
      </c>
      <c r="E1125" s="67" t="s">
        <v>2713</v>
      </c>
      <c r="F1125" s="14">
        <v>261111</v>
      </c>
      <c r="G1125" s="14" t="s">
        <v>2738</v>
      </c>
    </row>
    <row r="1126" s="14" customFormat="1" spans="1:7">
      <c r="A1126" s="66">
        <v>1001</v>
      </c>
      <c r="B1126" s="66">
        <v>1</v>
      </c>
      <c r="C1126" s="66">
        <v>1001</v>
      </c>
      <c r="D1126" s="14" t="s">
        <v>2739</v>
      </c>
      <c r="E1126" s="67" t="s">
        <v>2713</v>
      </c>
      <c r="F1126" s="14">
        <v>261112</v>
      </c>
      <c r="G1126" s="14" t="s">
        <v>2740</v>
      </c>
    </row>
    <row r="1127" s="14" customFormat="1" spans="1:7">
      <c r="A1127" s="66">
        <v>1001</v>
      </c>
      <c r="B1127" s="66">
        <v>1</v>
      </c>
      <c r="C1127" s="66">
        <v>1001</v>
      </c>
      <c r="D1127" s="14" t="s">
        <v>2741</v>
      </c>
      <c r="E1127" s="67" t="s">
        <v>2713</v>
      </c>
      <c r="F1127" s="14">
        <v>261113</v>
      </c>
      <c r="G1127" s="14" t="s">
        <v>2742</v>
      </c>
    </row>
    <row r="1128" spans="1:7">
      <c r="A1128" s="25">
        <v>1001</v>
      </c>
      <c r="B1128" s="25">
        <v>1</v>
      </c>
      <c r="C1128" s="25">
        <v>3</v>
      </c>
      <c r="D1128" t="s">
        <v>2743</v>
      </c>
      <c r="E1128" s="67" t="s">
        <v>2713</v>
      </c>
      <c r="F1128" s="14">
        <v>261114</v>
      </c>
      <c r="G1128" t="s">
        <v>2744</v>
      </c>
    </row>
    <row r="1129" spans="1:7">
      <c r="A1129" s="25">
        <v>1001</v>
      </c>
      <c r="B1129" s="25">
        <v>1</v>
      </c>
      <c r="C1129" s="25">
        <v>3</v>
      </c>
      <c r="D1129" t="s">
        <v>2745</v>
      </c>
      <c r="E1129" s="67" t="s">
        <v>2713</v>
      </c>
      <c r="F1129" s="14">
        <v>261115</v>
      </c>
      <c r="G1129" t="s">
        <v>2746</v>
      </c>
    </row>
    <row r="1130" spans="1:7">
      <c r="A1130" s="25">
        <v>1001</v>
      </c>
      <c r="B1130" s="25">
        <v>1</v>
      </c>
      <c r="C1130" s="25">
        <v>3</v>
      </c>
      <c r="D1130" t="s">
        <v>2747</v>
      </c>
      <c r="E1130" s="27" t="s">
        <v>2743</v>
      </c>
      <c r="F1130">
        <v>261116</v>
      </c>
      <c r="G1130" t="s">
        <v>2748</v>
      </c>
    </row>
    <row r="1131" spans="1:7">
      <c r="A1131" s="25">
        <v>1001</v>
      </c>
      <c r="B1131" s="25">
        <v>1</v>
      </c>
      <c r="C1131" s="25">
        <v>3</v>
      </c>
      <c r="D1131" t="s">
        <v>2749</v>
      </c>
      <c r="E1131" s="27" t="s">
        <v>2745</v>
      </c>
      <c r="F1131">
        <v>261117</v>
      </c>
      <c r="G1131" t="s">
        <v>2750</v>
      </c>
    </row>
    <row r="1132" spans="1:7">
      <c r="A1132" s="25">
        <v>1001</v>
      </c>
      <c r="B1132" s="25">
        <v>1</v>
      </c>
      <c r="C1132" s="25">
        <v>3</v>
      </c>
      <c r="D1132" t="s">
        <v>2751</v>
      </c>
      <c r="E1132" s="27" t="s">
        <v>2747</v>
      </c>
      <c r="F1132">
        <v>261118</v>
      </c>
      <c r="G1132" t="s">
        <v>2752</v>
      </c>
    </row>
    <row r="1133" spans="1:7">
      <c r="A1133" s="25">
        <v>1001</v>
      </c>
      <c r="B1133" s="25">
        <v>1</v>
      </c>
      <c r="C1133" s="25">
        <v>3</v>
      </c>
      <c r="D1133" t="s">
        <v>2753</v>
      </c>
      <c r="E1133" s="27" t="s">
        <v>2749</v>
      </c>
      <c r="F1133">
        <v>261119</v>
      </c>
      <c r="G1133" t="s">
        <v>2754</v>
      </c>
    </row>
    <row r="1134" spans="1:7">
      <c r="A1134" s="25">
        <v>1001</v>
      </c>
      <c r="B1134" s="25">
        <v>1</v>
      </c>
      <c r="C1134" s="25">
        <v>3</v>
      </c>
      <c r="D1134" t="s">
        <v>2755</v>
      </c>
      <c r="E1134" s="27" t="s">
        <v>2751</v>
      </c>
      <c r="F1134">
        <v>261120</v>
      </c>
      <c r="G1134" t="s">
        <v>2756</v>
      </c>
    </row>
    <row r="1135" spans="1:7">
      <c r="A1135" s="25">
        <v>1001</v>
      </c>
      <c r="B1135" s="25">
        <v>1</v>
      </c>
      <c r="C1135" s="25">
        <v>3</v>
      </c>
      <c r="D1135" t="s">
        <v>2757</v>
      </c>
      <c r="E1135" s="27" t="s">
        <v>2753</v>
      </c>
      <c r="F1135">
        <v>261121</v>
      </c>
      <c r="G1135" t="s">
        <v>2758</v>
      </c>
    </row>
    <row r="1136" spans="1:7">
      <c r="A1136" s="25">
        <v>1001</v>
      </c>
      <c r="B1136" s="25">
        <v>1</v>
      </c>
      <c r="C1136" s="25">
        <v>3</v>
      </c>
      <c r="D1136" t="s">
        <v>2759</v>
      </c>
      <c r="E1136" s="27" t="s">
        <v>2755</v>
      </c>
      <c r="F1136">
        <v>261122</v>
      </c>
      <c r="G1136" t="s">
        <v>2760</v>
      </c>
    </row>
    <row r="1137" spans="1:7">
      <c r="A1137" s="25">
        <v>1001</v>
      </c>
      <c r="B1137" s="25">
        <v>1</v>
      </c>
      <c r="C1137" s="25">
        <v>3</v>
      </c>
      <c r="D1137" t="s">
        <v>2761</v>
      </c>
      <c r="E1137" s="27" t="s">
        <v>2757</v>
      </c>
      <c r="F1137">
        <v>261123</v>
      </c>
      <c r="G1137" t="s">
        <v>2762</v>
      </c>
    </row>
    <row r="1138" spans="1:7">
      <c r="A1138" s="25">
        <v>1001</v>
      </c>
      <c r="B1138" s="25">
        <v>1</v>
      </c>
      <c r="C1138" s="25">
        <v>3</v>
      </c>
      <c r="D1138" t="s">
        <v>2763</v>
      </c>
      <c r="E1138" s="27" t="s">
        <v>2759</v>
      </c>
      <c r="F1138">
        <v>261124</v>
      </c>
      <c r="G1138" t="s">
        <v>2764</v>
      </c>
    </row>
    <row r="1139" spans="1:7">
      <c r="A1139" s="25">
        <v>1001</v>
      </c>
      <c r="B1139" s="25">
        <v>1</v>
      </c>
      <c r="C1139" s="25">
        <v>3</v>
      </c>
      <c r="D1139" t="s">
        <v>2765</v>
      </c>
      <c r="E1139" s="27" t="s">
        <v>2761</v>
      </c>
      <c r="F1139">
        <v>261125</v>
      </c>
      <c r="G1139" t="s">
        <v>2766</v>
      </c>
    </row>
    <row r="1140" spans="1:7">
      <c r="A1140" s="25">
        <v>1001</v>
      </c>
      <c r="B1140" s="25">
        <v>1</v>
      </c>
      <c r="C1140" s="25">
        <v>3</v>
      </c>
      <c r="D1140" t="s">
        <v>2767</v>
      </c>
      <c r="E1140" s="27" t="s">
        <v>2763</v>
      </c>
      <c r="F1140">
        <v>261126</v>
      </c>
      <c r="G1140" t="s">
        <v>2768</v>
      </c>
    </row>
    <row r="1141" spans="1:7">
      <c r="A1141" s="25">
        <v>1001</v>
      </c>
      <c r="B1141" s="25">
        <v>1</v>
      </c>
      <c r="C1141" s="25">
        <v>3</v>
      </c>
      <c r="D1141" t="s">
        <v>2769</v>
      </c>
      <c r="E1141" s="27" t="s">
        <v>2765</v>
      </c>
      <c r="F1141">
        <v>261127</v>
      </c>
      <c r="G1141" t="s">
        <v>2770</v>
      </c>
    </row>
    <row r="1142" spans="1:7">
      <c r="A1142" s="25">
        <v>1001</v>
      </c>
      <c r="B1142" s="25">
        <v>1</v>
      </c>
      <c r="C1142" s="25">
        <v>3</v>
      </c>
      <c r="D1142" t="s">
        <v>2771</v>
      </c>
      <c r="E1142" s="27" t="s">
        <v>2772</v>
      </c>
      <c r="F1142">
        <v>261128</v>
      </c>
      <c r="G1142" t="s">
        <v>2773</v>
      </c>
    </row>
    <row r="1143" spans="1:7">
      <c r="A1143" s="25">
        <v>1001</v>
      </c>
      <c r="B1143" s="25">
        <v>1</v>
      </c>
      <c r="C1143" s="25">
        <v>3</v>
      </c>
      <c r="D1143" t="s">
        <v>2774</v>
      </c>
      <c r="E1143" s="27" t="s">
        <v>2775</v>
      </c>
      <c r="F1143">
        <v>261129</v>
      </c>
      <c r="G1143" t="s">
        <v>2776</v>
      </c>
    </row>
    <row r="1144" spans="1:7">
      <c r="A1144" s="25">
        <v>1001</v>
      </c>
      <c r="B1144" s="25">
        <v>1</v>
      </c>
      <c r="C1144" s="25">
        <v>3</v>
      </c>
      <c r="D1144" t="s">
        <v>2777</v>
      </c>
      <c r="E1144" s="27" t="s">
        <v>2778</v>
      </c>
      <c r="F1144">
        <v>261130</v>
      </c>
      <c r="G1144" t="s">
        <v>2779</v>
      </c>
    </row>
    <row r="1145" spans="1:7">
      <c r="A1145" s="25">
        <v>1001</v>
      </c>
      <c r="B1145" s="25">
        <v>1</v>
      </c>
      <c r="C1145" s="25">
        <v>3</v>
      </c>
      <c r="D1145" t="s">
        <v>2780</v>
      </c>
      <c r="E1145" s="27" t="s">
        <v>2781</v>
      </c>
      <c r="F1145">
        <v>261131</v>
      </c>
      <c r="G1145" t="s">
        <v>2782</v>
      </c>
    </row>
    <row r="1146" spans="1:7">
      <c r="A1146" s="25">
        <v>1001</v>
      </c>
      <c r="B1146" s="25">
        <v>1</v>
      </c>
      <c r="C1146" s="25">
        <v>3</v>
      </c>
      <c r="D1146" t="s">
        <v>2783</v>
      </c>
      <c r="E1146" s="27" t="s">
        <v>2784</v>
      </c>
      <c r="F1146">
        <v>261132</v>
      </c>
      <c r="G1146" t="s">
        <v>2785</v>
      </c>
    </row>
    <row r="1147" spans="1:7">
      <c r="A1147" s="25">
        <v>1001</v>
      </c>
      <c r="B1147" s="25">
        <v>1</v>
      </c>
      <c r="C1147" s="25">
        <v>3</v>
      </c>
      <c r="D1147" t="s">
        <v>2786</v>
      </c>
      <c r="E1147" s="27" t="s">
        <v>2787</v>
      </c>
      <c r="F1147">
        <v>261133</v>
      </c>
      <c r="G1147" t="s">
        <v>2788</v>
      </c>
    </row>
    <row r="1148" spans="1:7">
      <c r="A1148" s="25">
        <v>1001</v>
      </c>
      <c r="B1148" s="25">
        <v>1</v>
      </c>
      <c r="C1148" s="25">
        <v>3</v>
      </c>
      <c r="D1148" t="s">
        <v>2789</v>
      </c>
      <c r="E1148" s="27" t="s">
        <v>2790</v>
      </c>
      <c r="F1148">
        <v>261134</v>
      </c>
      <c r="G1148" t="s">
        <v>2791</v>
      </c>
    </row>
    <row r="1149" spans="1:7">
      <c r="A1149" s="25">
        <v>1001</v>
      </c>
      <c r="B1149" s="25">
        <v>1</v>
      </c>
      <c r="C1149" s="25">
        <v>3</v>
      </c>
      <c r="D1149" t="s">
        <v>2792</v>
      </c>
      <c r="E1149" s="27" t="s">
        <v>2793</v>
      </c>
      <c r="F1149">
        <v>261135</v>
      </c>
      <c r="G1149" t="s">
        <v>2794</v>
      </c>
    </row>
    <row r="1150" spans="1:7">
      <c r="A1150" s="25">
        <v>1001</v>
      </c>
      <c r="B1150" s="25">
        <v>1</v>
      </c>
      <c r="C1150" s="25">
        <v>3</v>
      </c>
      <c r="D1150" t="s">
        <v>2795</v>
      </c>
      <c r="E1150" s="27" t="s">
        <v>2796</v>
      </c>
      <c r="F1150">
        <v>261136</v>
      </c>
      <c r="G1150" t="s">
        <v>2797</v>
      </c>
    </row>
    <row r="1151" spans="1:7">
      <c r="A1151" s="25">
        <v>1001</v>
      </c>
      <c r="B1151" s="25">
        <v>1</v>
      </c>
      <c r="C1151" s="25">
        <v>3</v>
      </c>
      <c r="D1151" t="s">
        <v>2798</v>
      </c>
      <c r="E1151" s="27" t="s">
        <v>2799</v>
      </c>
      <c r="F1151">
        <v>261137</v>
      </c>
      <c r="G1151" t="s">
        <v>2800</v>
      </c>
    </row>
    <row r="1152" spans="1:7">
      <c r="A1152" s="25">
        <v>1001</v>
      </c>
      <c r="B1152" s="25">
        <v>1</v>
      </c>
      <c r="C1152" s="25">
        <v>3</v>
      </c>
      <c r="D1152" t="s">
        <v>2801</v>
      </c>
      <c r="E1152" s="27" t="s">
        <v>2802</v>
      </c>
      <c r="F1152">
        <v>261138</v>
      </c>
      <c r="G1152" t="s">
        <v>2803</v>
      </c>
    </row>
    <row r="1153" spans="1:7">
      <c r="A1153" s="25">
        <v>1001</v>
      </c>
      <c r="B1153" s="25">
        <v>1</v>
      </c>
      <c r="C1153" s="25">
        <v>3</v>
      </c>
      <c r="D1153" t="s">
        <v>2804</v>
      </c>
      <c r="E1153" s="27" t="s">
        <v>2805</v>
      </c>
      <c r="F1153">
        <v>261139</v>
      </c>
      <c r="G1153" t="s">
        <v>2806</v>
      </c>
    </row>
    <row r="1154" spans="1:7">
      <c r="A1154" s="25">
        <v>1001</v>
      </c>
      <c r="B1154" s="25">
        <v>1</v>
      </c>
      <c r="C1154" s="25">
        <v>3</v>
      </c>
      <c r="D1154" t="s">
        <v>2807</v>
      </c>
      <c r="E1154" s="27" t="s">
        <v>2808</v>
      </c>
      <c r="F1154">
        <v>261140</v>
      </c>
      <c r="G1154" t="s">
        <v>2809</v>
      </c>
    </row>
    <row r="1155" spans="1:7">
      <c r="A1155" s="25">
        <v>1001</v>
      </c>
      <c r="B1155" s="25">
        <v>1</v>
      </c>
      <c r="C1155" s="25">
        <v>3</v>
      </c>
      <c r="D1155" t="s">
        <v>2810</v>
      </c>
      <c r="E1155" s="27" t="s">
        <v>2811</v>
      </c>
      <c r="F1155">
        <v>261141</v>
      </c>
      <c r="G1155" t="s">
        <v>2812</v>
      </c>
    </row>
    <row r="1156" spans="1:7">
      <c r="A1156" s="25">
        <v>1001</v>
      </c>
      <c r="B1156" s="25">
        <v>1</v>
      </c>
      <c r="C1156" s="25">
        <v>3</v>
      </c>
      <c r="D1156" t="s">
        <v>2813</v>
      </c>
      <c r="E1156" s="27" t="s">
        <v>2814</v>
      </c>
      <c r="F1156">
        <v>261142</v>
      </c>
      <c r="G1156" t="s">
        <v>2815</v>
      </c>
    </row>
    <row r="1157" spans="1:7">
      <c r="A1157" s="25">
        <v>1001</v>
      </c>
      <c r="B1157" s="25">
        <v>1</v>
      </c>
      <c r="C1157" s="25">
        <v>3</v>
      </c>
      <c r="D1157" t="s">
        <v>2816</v>
      </c>
      <c r="E1157" s="27" t="s">
        <v>2817</v>
      </c>
      <c r="F1157">
        <v>261143</v>
      </c>
      <c r="G1157" t="s">
        <v>2818</v>
      </c>
    </row>
    <row r="1158" spans="1:7">
      <c r="A1158" s="25">
        <v>1001</v>
      </c>
      <c r="B1158" s="25">
        <v>1</v>
      </c>
      <c r="C1158" s="25">
        <v>3</v>
      </c>
      <c r="D1158" t="s">
        <v>2819</v>
      </c>
      <c r="E1158" s="27" t="s">
        <v>2820</v>
      </c>
      <c r="F1158">
        <v>261144</v>
      </c>
      <c r="G1158" t="s">
        <v>2821</v>
      </c>
    </row>
    <row r="1159" spans="1:7">
      <c r="A1159" s="25">
        <v>1001</v>
      </c>
      <c r="B1159" s="25">
        <v>1</v>
      </c>
      <c r="C1159" s="25">
        <v>3</v>
      </c>
      <c r="D1159" t="s">
        <v>2822</v>
      </c>
      <c r="E1159" s="27" t="s">
        <v>2823</v>
      </c>
      <c r="F1159">
        <v>261145</v>
      </c>
      <c r="G1159" t="s">
        <v>2824</v>
      </c>
    </row>
    <row r="1160" spans="1:7">
      <c r="A1160" s="25">
        <v>1001</v>
      </c>
      <c r="B1160" s="25">
        <v>1</v>
      </c>
      <c r="C1160" s="25">
        <v>3</v>
      </c>
      <c r="D1160" t="s">
        <v>2825</v>
      </c>
      <c r="E1160" s="27" t="s">
        <v>2826</v>
      </c>
      <c r="F1160">
        <v>261146</v>
      </c>
      <c r="G1160" t="s">
        <v>2827</v>
      </c>
    </row>
    <row r="1161" spans="1:7">
      <c r="A1161" s="25">
        <v>1001</v>
      </c>
      <c r="B1161" s="25">
        <v>1</v>
      </c>
      <c r="C1161" s="25">
        <v>3</v>
      </c>
      <c r="D1161" t="s">
        <v>2828</v>
      </c>
      <c r="E1161" s="27" t="s">
        <v>2829</v>
      </c>
      <c r="F1161">
        <v>261147</v>
      </c>
      <c r="G1161" t="s">
        <v>2830</v>
      </c>
    </row>
    <row r="1162" spans="1:7">
      <c r="A1162" s="25">
        <v>1001</v>
      </c>
      <c r="B1162" s="25">
        <v>1</v>
      </c>
      <c r="C1162" s="25">
        <v>3</v>
      </c>
      <c r="D1162" t="s">
        <v>2831</v>
      </c>
      <c r="E1162" s="27" t="s">
        <v>2832</v>
      </c>
      <c r="F1162">
        <v>261148</v>
      </c>
      <c r="G1162" t="s">
        <v>2833</v>
      </c>
    </row>
    <row r="1163" spans="1:7">
      <c r="A1163" s="25">
        <v>1001</v>
      </c>
      <c r="B1163" s="25">
        <v>1</v>
      </c>
      <c r="C1163" s="25">
        <v>3</v>
      </c>
      <c r="D1163" t="s">
        <v>2834</v>
      </c>
      <c r="E1163" s="27" t="s">
        <v>2835</v>
      </c>
      <c r="F1163">
        <v>261149</v>
      </c>
      <c r="G1163" t="s">
        <v>2836</v>
      </c>
    </row>
    <row r="1164" spans="1:7">
      <c r="A1164" s="25">
        <v>1001</v>
      </c>
      <c r="B1164" s="25">
        <v>1</v>
      </c>
      <c r="C1164" s="25">
        <v>3</v>
      </c>
      <c r="D1164" t="s">
        <v>2837</v>
      </c>
      <c r="E1164" s="27" t="s">
        <v>2838</v>
      </c>
      <c r="F1164">
        <v>261150</v>
      </c>
      <c r="G1164" t="s">
        <v>2839</v>
      </c>
    </row>
    <row r="1165" spans="1:7">
      <c r="A1165" s="25">
        <v>1001</v>
      </c>
      <c r="B1165" s="25">
        <v>1</v>
      </c>
      <c r="C1165" s="25">
        <v>3</v>
      </c>
      <c r="D1165" t="s">
        <v>2840</v>
      </c>
      <c r="E1165" s="27" t="s">
        <v>2841</v>
      </c>
      <c r="F1165">
        <v>261151</v>
      </c>
      <c r="G1165" t="s">
        <v>2842</v>
      </c>
    </row>
    <row r="1166" spans="1:7">
      <c r="A1166" s="25">
        <v>1001</v>
      </c>
      <c r="B1166" s="25">
        <v>1</v>
      </c>
      <c r="C1166" s="25">
        <v>3</v>
      </c>
      <c r="D1166" t="s">
        <v>2843</v>
      </c>
      <c r="E1166" s="27" t="s">
        <v>2844</v>
      </c>
      <c r="F1166">
        <v>261152</v>
      </c>
      <c r="G1166" t="s">
        <v>2845</v>
      </c>
    </row>
    <row r="1167" spans="1:7">
      <c r="A1167" s="25">
        <v>1001</v>
      </c>
      <c r="B1167" s="25">
        <v>1</v>
      </c>
      <c r="C1167" s="25">
        <v>3</v>
      </c>
      <c r="D1167" t="s">
        <v>2846</v>
      </c>
      <c r="E1167" s="27" t="s">
        <v>2847</v>
      </c>
      <c r="F1167">
        <v>261153</v>
      </c>
      <c r="G1167" t="s">
        <v>2848</v>
      </c>
    </row>
    <row r="1168" spans="1:7">
      <c r="A1168" s="25">
        <v>1001</v>
      </c>
      <c r="B1168" s="25">
        <v>1</v>
      </c>
      <c r="C1168" s="25">
        <v>3</v>
      </c>
      <c r="D1168" t="s">
        <v>2849</v>
      </c>
      <c r="E1168" s="27" t="s">
        <v>2850</v>
      </c>
      <c r="F1168">
        <v>261154</v>
      </c>
      <c r="G1168" t="s">
        <v>2851</v>
      </c>
    </row>
    <row r="1169" spans="1:7">
      <c r="A1169" s="25">
        <v>1001</v>
      </c>
      <c r="B1169" s="25">
        <v>1</v>
      </c>
      <c r="C1169" s="25">
        <v>3</v>
      </c>
      <c r="D1169" t="s">
        <v>2852</v>
      </c>
      <c r="E1169" s="27" t="s">
        <v>2853</v>
      </c>
      <c r="F1169">
        <v>261155</v>
      </c>
      <c r="G1169" t="s">
        <v>2854</v>
      </c>
    </row>
    <row r="1170" spans="1:7">
      <c r="A1170" s="25">
        <v>1001</v>
      </c>
      <c r="B1170" s="25">
        <v>1</v>
      </c>
      <c r="C1170" s="25">
        <v>3</v>
      </c>
      <c r="D1170" t="s">
        <v>2855</v>
      </c>
      <c r="E1170" s="27" t="s">
        <v>2856</v>
      </c>
      <c r="F1170">
        <v>261156</v>
      </c>
      <c r="G1170" t="s">
        <v>2857</v>
      </c>
    </row>
    <row r="1171" spans="1:7">
      <c r="A1171" s="25">
        <v>1001</v>
      </c>
      <c r="B1171" s="25">
        <v>1</v>
      </c>
      <c r="C1171" s="25">
        <v>3</v>
      </c>
      <c r="D1171" t="s">
        <v>2858</v>
      </c>
      <c r="E1171" s="27" t="s">
        <v>2859</v>
      </c>
      <c r="F1171">
        <v>261157</v>
      </c>
      <c r="G1171" t="s">
        <v>2860</v>
      </c>
    </row>
    <row r="1172" spans="1:7">
      <c r="A1172" s="25">
        <v>1001</v>
      </c>
      <c r="B1172" s="25">
        <v>1</v>
      </c>
      <c r="C1172" s="25">
        <v>3</v>
      </c>
      <c r="D1172" t="s">
        <v>2861</v>
      </c>
      <c r="E1172" s="27" t="s">
        <v>2862</v>
      </c>
      <c r="F1172">
        <v>261158</v>
      </c>
      <c r="G1172" t="s">
        <v>2863</v>
      </c>
    </row>
    <row r="1173" spans="1:7">
      <c r="A1173" s="25">
        <v>1001</v>
      </c>
      <c r="B1173" s="25">
        <v>1</v>
      </c>
      <c r="C1173" s="25">
        <v>3</v>
      </c>
      <c r="D1173" t="s">
        <v>2864</v>
      </c>
      <c r="E1173" s="27" t="s">
        <v>2865</v>
      </c>
      <c r="F1173">
        <v>261159</v>
      </c>
      <c r="G1173" t="s">
        <v>2866</v>
      </c>
    </row>
    <row r="1174" spans="1:7">
      <c r="A1174" s="25">
        <v>1001</v>
      </c>
      <c r="B1174" s="25">
        <v>1</v>
      </c>
      <c r="C1174" s="25">
        <v>3</v>
      </c>
      <c r="D1174" t="s">
        <v>2867</v>
      </c>
      <c r="E1174" s="27" t="s">
        <v>2868</v>
      </c>
      <c r="F1174">
        <v>261160</v>
      </c>
      <c r="G1174" t="s">
        <v>2869</v>
      </c>
    </row>
    <row r="1175" spans="1:7">
      <c r="A1175" s="25">
        <v>1001</v>
      </c>
      <c r="B1175" s="25">
        <v>1</v>
      </c>
      <c r="C1175" s="25">
        <v>3</v>
      </c>
      <c r="D1175" t="s">
        <v>2870</v>
      </c>
      <c r="E1175" s="27" t="s">
        <v>2871</v>
      </c>
      <c r="F1175">
        <v>261161</v>
      </c>
      <c r="G1175" t="s">
        <v>2872</v>
      </c>
    </row>
    <row r="1176" spans="1:7">
      <c r="A1176" s="25">
        <v>1001</v>
      </c>
      <c r="B1176" s="25">
        <v>1</v>
      </c>
      <c r="C1176" s="25">
        <v>3</v>
      </c>
      <c r="D1176" t="s">
        <v>2873</v>
      </c>
      <c r="E1176" s="27" t="s">
        <v>2874</v>
      </c>
      <c r="F1176">
        <v>261162</v>
      </c>
      <c r="G1176" t="s">
        <v>2875</v>
      </c>
    </row>
    <row r="1177" spans="1:7">
      <c r="A1177" s="25">
        <v>1001</v>
      </c>
      <c r="B1177" s="25">
        <v>1</v>
      </c>
      <c r="C1177" s="25">
        <v>3</v>
      </c>
      <c r="D1177" t="s">
        <v>2876</v>
      </c>
      <c r="E1177" s="27" t="s">
        <v>2877</v>
      </c>
      <c r="F1177">
        <v>261163</v>
      </c>
      <c r="G1177" t="s">
        <v>2878</v>
      </c>
    </row>
    <row r="1178" spans="1:7">
      <c r="A1178" s="25">
        <v>1001</v>
      </c>
      <c r="B1178" s="25">
        <v>1</v>
      </c>
      <c r="C1178" s="25">
        <v>3</v>
      </c>
      <c r="D1178" t="s">
        <v>2879</v>
      </c>
      <c r="E1178" s="27" t="s">
        <v>2880</v>
      </c>
      <c r="F1178">
        <v>261164</v>
      </c>
      <c r="G1178" t="s">
        <v>2881</v>
      </c>
    </row>
    <row r="1179" spans="1:7">
      <c r="A1179" s="25">
        <v>1001</v>
      </c>
      <c r="B1179" s="25">
        <v>1</v>
      </c>
      <c r="C1179" s="25">
        <v>3</v>
      </c>
      <c r="D1179" t="s">
        <v>2882</v>
      </c>
      <c r="E1179" s="27" t="s">
        <v>2883</v>
      </c>
      <c r="F1179">
        <v>261165</v>
      </c>
      <c r="G1179" t="s">
        <v>2884</v>
      </c>
    </row>
    <row r="1180" spans="1:7">
      <c r="A1180" s="25">
        <v>1001</v>
      </c>
      <c r="B1180" s="25">
        <v>1</v>
      </c>
      <c r="C1180" s="25">
        <v>3</v>
      </c>
      <c r="D1180" t="s">
        <v>2885</v>
      </c>
      <c r="E1180" s="27" t="s">
        <v>2886</v>
      </c>
      <c r="F1180">
        <v>261166</v>
      </c>
      <c r="G1180" t="s">
        <v>2887</v>
      </c>
    </row>
    <row r="1181" spans="1:7">
      <c r="A1181" s="25">
        <v>1001</v>
      </c>
      <c r="B1181" s="25">
        <v>1</v>
      </c>
      <c r="C1181" s="25">
        <v>3</v>
      </c>
      <c r="D1181" t="s">
        <v>2888</v>
      </c>
      <c r="E1181" s="27" t="s">
        <v>2889</v>
      </c>
      <c r="F1181">
        <v>261167</v>
      </c>
      <c r="G1181" t="s">
        <v>2890</v>
      </c>
    </row>
    <row r="1182" spans="1:7">
      <c r="A1182" s="25">
        <v>1001</v>
      </c>
      <c r="B1182" s="25">
        <v>1</v>
      </c>
      <c r="C1182" s="25">
        <v>3</v>
      </c>
      <c r="D1182" t="s">
        <v>2891</v>
      </c>
      <c r="E1182" s="27" t="s">
        <v>2892</v>
      </c>
      <c r="F1182">
        <v>261168</v>
      </c>
      <c r="G1182" t="s">
        <v>2893</v>
      </c>
    </row>
    <row r="1183" spans="1:7">
      <c r="A1183" s="25">
        <v>1001</v>
      </c>
      <c r="B1183" s="25">
        <v>1</v>
      </c>
      <c r="C1183" s="25">
        <v>3</v>
      </c>
      <c r="D1183" t="s">
        <v>2894</v>
      </c>
      <c r="E1183" s="27" t="s">
        <v>2895</v>
      </c>
      <c r="F1183">
        <v>261169</v>
      </c>
      <c r="G1183" t="s">
        <v>2896</v>
      </c>
    </row>
    <row r="1184" spans="1:7">
      <c r="A1184" s="25">
        <v>1001</v>
      </c>
      <c r="B1184" s="25">
        <v>1</v>
      </c>
      <c r="C1184" s="25">
        <v>3</v>
      </c>
      <c r="D1184" t="s">
        <v>2897</v>
      </c>
      <c r="E1184" s="27" t="s">
        <v>2898</v>
      </c>
      <c r="F1184">
        <v>261170</v>
      </c>
      <c r="G1184" t="s">
        <v>2899</v>
      </c>
    </row>
    <row r="1185" spans="1:7">
      <c r="A1185" s="25">
        <v>1001</v>
      </c>
      <c r="B1185" s="25">
        <v>1</v>
      </c>
      <c r="C1185" s="25">
        <v>3</v>
      </c>
      <c r="D1185" t="s">
        <v>2900</v>
      </c>
      <c r="E1185" s="27" t="s">
        <v>2901</v>
      </c>
      <c r="F1185">
        <v>261171</v>
      </c>
      <c r="G1185" t="s">
        <v>2899</v>
      </c>
    </row>
    <row r="1186" spans="1:7">
      <c r="A1186" s="25">
        <v>1001</v>
      </c>
      <c r="B1186" s="25">
        <v>1</v>
      </c>
      <c r="C1186" s="25">
        <v>3</v>
      </c>
      <c r="D1186" t="s">
        <v>2902</v>
      </c>
      <c r="E1186" s="27" t="s">
        <v>2903</v>
      </c>
      <c r="F1186">
        <v>261172</v>
      </c>
      <c r="G1186" t="s">
        <v>2899</v>
      </c>
    </row>
    <row r="1187" spans="1:7">
      <c r="A1187" s="25">
        <v>1001</v>
      </c>
      <c r="B1187" s="25">
        <v>1</v>
      </c>
      <c r="C1187" s="25">
        <v>3</v>
      </c>
      <c r="D1187" t="s">
        <v>2904</v>
      </c>
      <c r="E1187" s="27" t="s">
        <v>2903</v>
      </c>
      <c r="F1187">
        <v>261173</v>
      </c>
      <c r="G1187" t="s">
        <v>2899</v>
      </c>
    </row>
    <row r="1188" spans="1:7">
      <c r="A1188" s="25">
        <v>1001</v>
      </c>
      <c r="B1188" s="25">
        <v>1</v>
      </c>
      <c r="C1188" s="25">
        <v>3</v>
      </c>
      <c r="D1188" t="s">
        <v>2905</v>
      </c>
      <c r="E1188" s="27" t="s">
        <v>2903</v>
      </c>
      <c r="F1188">
        <v>261174</v>
      </c>
      <c r="G1188" t="s">
        <v>2906</v>
      </c>
    </row>
    <row r="1189" spans="1:7">
      <c r="A1189" s="25">
        <v>1001</v>
      </c>
      <c r="B1189" s="25">
        <v>1</v>
      </c>
      <c r="C1189" s="25">
        <v>3</v>
      </c>
      <c r="D1189" t="s">
        <v>2907</v>
      </c>
      <c r="E1189" s="27" t="s">
        <v>2903</v>
      </c>
      <c r="F1189">
        <v>261175</v>
      </c>
      <c r="G1189" t="s">
        <v>2908</v>
      </c>
    </row>
    <row r="1190" spans="1:7">
      <c r="A1190" s="25">
        <v>1001</v>
      </c>
      <c r="B1190" s="25">
        <v>1</v>
      </c>
      <c r="C1190" s="25">
        <v>3</v>
      </c>
      <c r="D1190" t="s">
        <v>2909</v>
      </c>
      <c r="E1190" s="27" t="s">
        <v>2903</v>
      </c>
      <c r="F1190">
        <v>261176</v>
      </c>
      <c r="G1190" t="s">
        <v>2910</v>
      </c>
    </row>
    <row r="1191" spans="1:7">
      <c r="A1191" s="25">
        <v>1001</v>
      </c>
      <c r="B1191" s="25">
        <v>1</v>
      </c>
      <c r="C1191" s="25">
        <v>3</v>
      </c>
      <c r="D1191" t="s">
        <v>2911</v>
      </c>
      <c r="E1191" s="27" t="s">
        <v>2903</v>
      </c>
      <c r="F1191">
        <v>261177</v>
      </c>
      <c r="G1191" t="s">
        <v>2912</v>
      </c>
    </row>
    <row r="1192" spans="1:7">
      <c r="A1192" s="25">
        <v>1001</v>
      </c>
      <c r="B1192" s="25">
        <v>1</v>
      </c>
      <c r="C1192" s="25">
        <v>3</v>
      </c>
      <c r="D1192" t="s">
        <v>2913</v>
      </c>
      <c r="E1192" s="27" t="s">
        <v>2903</v>
      </c>
      <c r="F1192">
        <v>261178</v>
      </c>
      <c r="G1192" t="s">
        <v>2906</v>
      </c>
    </row>
    <row r="1193" spans="1:7">
      <c r="A1193" s="25">
        <v>1001</v>
      </c>
      <c r="B1193" s="25">
        <v>1</v>
      </c>
      <c r="C1193" s="25">
        <v>3</v>
      </c>
      <c r="D1193" t="s">
        <v>2914</v>
      </c>
      <c r="E1193" s="27" t="s">
        <v>2903</v>
      </c>
      <c r="F1193">
        <v>261179</v>
      </c>
      <c r="G1193" t="s">
        <v>2915</v>
      </c>
    </row>
    <row r="1194" spans="1:7">
      <c r="A1194" s="25">
        <v>1001</v>
      </c>
      <c r="B1194" s="25">
        <v>1</v>
      </c>
      <c r="C1194" s="25">
        <v>3</v>
      </c>
      <c r="D1194" t="s">
        <v>2916</v>
      </c>
      <c r="E1194" s="27" t="s">
        <v>2903</v>
      </c>
      <c r="F1194">
        <v>261180</v>
      </c>
      <c r="G1194" t="s">
        <v>2917</v>
      </c>
    </row>
    <row r="1195" spans="1:7">
      <c r="A1195" s="25">
        <v>1001</v>
      </c>
      <c r="B1195" s="25">
        <v>1</v>
      </c>
      <c r="C1195" s="25">
        <v>3</v>
      </c>
      <c r="D1195" t="s">
        <v>2918</v>
      </c>
      <c r="E1195" s="27" t="s">
        <v>2903</v>
      </c>
      <c r="F1195">
        <v>261181</v>
      </c>
      <c r="G1195" t="s">
        <v>2919</v>
      </c>
    </row>
    <row r="1196" spans="1:7">
      <c r="A1196" s="25">
        <v>1001</v>
      </c>
      <c r="B1196" s="25">
        <v>1</v>
      </c>
      <c r="C1196" s="25">
        <v>3</v>
      </c>
      <c r="D1196" t="s">
        <v>2920</v>
      </c>
      <c r="E1196" s="27" t="s">
        <v>2903</v>
      </c>
      <c r="F1196">
        <v>261182</v>
      </c>
      <c r="G1196" t="s">
        <v>2906</v>
      </c>
    </row>
    <row r="1197" spans="1:7">
      <c r="A1197" s="25">
        <v>1001</v>
      </c>
      <c r="B1197" s="25">
        <v>1</v>
      </c>
      <c r="C1197" s="25">
        <v>3</v>
      </c>
      <c r="D1197" t="s">
        <v>2921</v>
      </c>
      <c r="E1197" s="27" t="s">
        <v>2903</v>
      </c>
      <c r="F1197">
        <v>261183</v>
      </c>
      <c r="G1197" t="s">
        <v>2915</v>
      </c>
    </row>
    <row r="1198" spans="1:7">
      <c r="A1198" s="25">
        <v>1001</v>
      </c>
      <c r="B1198" s="25">
        <v>1</v>
      </c>
      <c r="C1198" s="25">
        <v>3</v>
      </c>
      <c r="D1198" t="s">
        <v>2922</v>
      </c>
      <c r="E1198" s="27" t="s">
        <v>2903</v>
      </c>
      <c r="F1198">
        <v>261184</v>
      </c>
      <c r="G1198" t="s">
        <v>2917</v>
      </c>
    </row>
    <row r="1199" spans="1:7">
      <c r="A1199" s="25">
        <v>1001</v>
      </c>
      <c r="B1199" s="25">
        <v>1</v>
      </c>
      <c r="C1199" s="25">
        <v>3</v>
      </c>
      <c r="D1199" t="s">
        <v>2923</v>
      </c>
      <c r="E1199" s="27" t="s">
        <v>2903</v>
      </c>
      <c r="F1199">
        <v>261185</v>
      </c>
      <c r="G1199" t="s">
        <v>2919</v>
      </c>
    </row>
    <row r="1200" spans="1:7">
      <c r="A1200" s="25">
        <v>1001</v>
      </c>
      <c r="B1200" s="25">
        <v>1</v>
      </c>
      <c r="C1200" s="25">
        <v>3</v>
      </c>
      <c r="D1200" t="s">
        <v>2924</v>
      </c>
      <c r="E1200" s="27" t="s">
        <v>2903</v>
      </c>
      <c r="F1200">
        <v>261186</v>
      </c>
      <c r="G1200" t="s">
        <v>2906</v>
      </c>
    </row>
    <row r="1201" spans="1:7">
      <c r="A1201" s="25">
        <v>1001</v>
      </c>
      <c r="B1201" s="25">
        <v>1</v>
      </c>
      <c r="C1201" s="25">
        <v>3</v>
      </c>
      <c r="D1201" t="s">
        <v>2925</v>
      </c>
      <c r="E1201" s="27" t="s">
        <v>2903</v>
      </c>
      <c r="F1201">
        <v>261187</v>
      </c>
      <c r="G1201" t="s">
        <v>2926</v>
      </c>
    </row>
    <row r="1202" spans="1:7">
      <c r="A1202" s="25">
        <v>1001</v>
      </c>
      <c r="B1202" s="25">
        <v>1</v>
      </c>
      <c r="C1202" s="25">
        <v>3</v>
      </c>
      <c r="D1202" t="s">
        <v>2927</v>
      </c>
      <c r="E1202" s="27" t="s">
        <v>2903</v>
      </c>
      <c r="F1202">
        <v>261188</v>
      </c>
      <c r="G1202" t="s">
        <v>2928</v>
      </c>
    </row>
    <row r="1203" spans="1:7">
      <c r="A1203" s="25">
        <v>1001</v>
      </c>
      <c r="B1203" s="25">
        <v>1</v>
      </c>
      <c r="C1203" s="25">
        <v>3</v>
      </c>
      <c r="D1203" t="s">
        <v>2929</v>
      </c>
      <c r="E1203" s="27" t="s">
        <v>2903</v>
      </c>
      <c r="F1203">
        <v>261189</v>
      </c>
      <c r="G1203" t="s">
        <v>2930</v>
      </c>
    </row>
    <row r="1204" spans="1:7">
      <c r="A1204" s="25">
        <v>1001</v>
      </c>
      <c r="B1204" s="25">
        <v>1</v>
      </c>
      <c r="C1204" s="25">
        <v>3</v>
      </c>
      <c r="D1204" t="s">
        <v>2931</v>
      </c>
      <c r="E1204" s="27" t="s">
        <v>2903</v>
      </c>
      <c r="F1204">
        <v>261190</v>
      </c>
      <c r="G1204" t="s">
        <v>2932</v>
      </c>
    </row>
    <row r="1205" spans="1:7">
      <c r="A1205" s="25">
        <v>1001</v>
      </c>
      <c r="B1205" s="25">
        <v>1</v>
      </c>
      <c r="C1205" s="25">
        <v>3</v>
      </c>
      <c r="D1205" t="s">
        <v>2933</v>
      </c>
      <c r="E1205" s="27" t="s">
        <v>2903</v>
      </c>
      <c r="F1205">
        <v>261191</v>
      </c>
      <c r="G1205" t="s">
        <v>2934</v>
      </c>
    </row>
    <row r="1206" spans="1:7">
      <c r="A1206" s="25">
        <v>1001</v>
      </c>
      <c r="B1206" s="25">
        <v>1</v>
      </c>
      <c r="C1206" s="25">
        <v>3</v>
      </c>
      <c r="D1206" t="s">
        <v>2935</v>
      </c>
      <c r="E1206" t="s">
        <v>2931</v>
      </c>
      <c r="F1206">
        <v>261192</v>
      </c>
      <c r="G1206" t="s">
        <v>2936</v>
      </c>
    </row>
    <row r="1207" spans="1:7">
      <c r="A1207" s="25">
        <v>1001</v>
      </c>
      <c r="B1207" s="25">
        <v>1</v>
      </c>
      <c r="C1207" s="25">
        <v>3</v>
      </c>
      <c r="D1207" t="s">
        <v>2937</v>
      </c>
      <c r="E1207" t="s">
        <v>2933</v>
      </c>
      <c r="F1207">
        <v>261193</v>
      </c>
      <c r="G1207" t="s">
        <v>2938</v>
      </c>
    </row>
    <row r="1208" spans="1:7">
      <c r="A1208" s="25">
        <v>1001</v>
      </c>
      <c r="B1208" s="25">
        <v>1</v>
      </c>
      <c r="C1208" s="25">
        <v>3</v>
      </c>
      <c r="D1208" t="s">
        <v>2939</v>
      </c>
      <c r="E1208" t="s">
        <v>2935</v>
      </c>
      <c r="F1208">
        <v>261194</v>
      </c>
      <c r="G1208" t="s">
        <v>2940</v>
      </c>
    </row>
    <row r="1209" spans="1:7">
      <c r="A1209" s="25">
        <v>1001</v>
      </c>
      <c r="B1209" s="25">
        <v>1</v>
      </c>
      <c r="C1209" s="25">
        <v>3</v>
      </c>
      <c r="D1209" t="s">
        <v>2941</v>
      </c>
      <c r="E1209" t="s">
        <v>2937</v>
      </c>
      <c r="F1209">
        <v>261195</v>
      </c>
      <c r="G1209" t="s">
        <v>2942</v>
      </c>
    </row>
    <row r="1210" spans="1:7">
      <c r="A1210" s="25">
        <v>1001</v>
      </c>
      <c r="B1210" s="25">
        <v>1</v>
      </c>
      <c r="C1210" s="25">
        <v>3</v>
      </c>
      <c r="D1210" t="s">
        <v>2943</v>
      </c>
      <c r="E1210" t="s">
        <v>2939</v>
      </c>
      <c r="F1210">
        <v>261196</v>
      </c>
      <c r="G1210" t="s">
        <v>2944</v>
      </c>
    </row>
    <row r="1211" spans="1:7">
      <c r="A1211" s="25">
        <v>1001</v>
      </c>
      <c r="B1211" s="25">
        <v>1</v>
      </c>
      <c r="C1211" s="25">
        <v>3</v>
      </c>
      <c r="D1211" t="s">
        <v>2945</v>
      </c>
      <c r="E1211" t="s">
        <v>2941</v>
      </c>
      <c r="F1211">
        <v>261197</v>
      </c>
      <c r="G1211" t="s">
        <v>2946</v>
      </c>
    </row>
    <row r="1212" spans="1:7">
      <c r="A1212" s="25">
        <v>1001</v>
      </c>
      <c r="B1212" s="25">
        <v>1</v>
      </c>
      <c r="C1212" s="25">
        <v>3</v>
      </c>
      <c r="D1212" t="s">
        <v>2947</v>
      </c>
      <c r="E1212" t="s">
        <v>2943</v>
      </c>
      <c r="F1212">
        <v>261198</v>
      </c>
      <c r="G1212" t="s">
        <v>2948</v>
      </c>
    </row>
    <row r="1213" spans="1:7">
      <c r="A1213" s="25">
        <v>1001</v>
      </c>
      <c r="B1213" s="25">
        <v>1</v>
      </c>
      <c r="C1213" s="25">
        <v>3</v>
      </c>
      <c r="D1213" t="s">
        <v>2949</v>
      </c>
      <c r="E1213" t="s">
        <v>2945</v>
      </c>
      <c r="F1213">
        <v>261199</v>
      </c>
      <c r="G1213" t="s">
        <v>2950</v>
      </c>
    </row>
    <row r="1214" spans="1:7">
      <c r="A1214" s="25">
        <v>1001</v>
      </c>
      <c r="B1214" s="25">
        <v>1</v>
      </c>
      <c r="C1214" s="25">
        <v>3</v>
      </c>
      <c r="D1214" t="s">
        <v>2951</v>
      </c>
      <c r="E1214" t="s">
        <v>2947</v>
      </c>
      <c r="F1214">
        <v>261200</v>
      </c>
      <c r="G1214" t="s">
        <v>2952</v>
      </c>
    </row>
    <row r="1215" spans="1:7">
      <c r="A1215" s="25">
        <v>1001</v>
      </c>
      <c r="B1215" s="25">
        <v>1</v>
      </c>
      <c r="C1215" s="25">
        <v>3</v>
      </c>
      <c r="D1215" t="s">
        <v>2953</v>
      </c>
      <c r="E1215" t="s">
        <v>2949</v>
      </c>
      <c r="F1215">
        <v>261201</v>
      </c>
      <c r="G1215" t="s">
        <v>2954</v>
      </c>
    </row>
    <row r="1216" spans="1:7">
      <c r="A1216" s="25">
        <v>1001</v>
      </c>
      <c r="B1216" s="25">
        <v>1</v>
      </c>
      <c r="C1216" s="25">
        <v>3</v>
      </c>
      <c r="D1216" t="s">
        <v>2955</v>
      </c>
      <c r="E1216" t="s">
        <v>2951</v>
      </c>
      <c r="F1216">
        <v>261202</v>
      </c>
      <c r="G1216" t="s">
        <v>2956</v>
      </c>
    </row>
    <row r="1217" spans="1:7">
      <c r="A1217" s="25">
        <v>1001</v>
      </c>
      <c r="B1217" s="25">
        <v>1</v>
      </c>
      <c r="C1217" s="25">
        <v>3</v>
      </c>
      <c r="D1217" t="s">
        <v>2957</v>
      </c>
      <c r="E1217" t="s">
        <v>2953</v>
      </c>
      <c r="F1217">
        <v>261203</v>
      </c>
      <c r="G1217" t="s">
        <v>2958</v>
      </c>
    </row>
    <row r="1218" spans="1:7">
      <c r="A1218" s="25">
        <v>1001</v>
      </c>
      <c r="B1218" s="25">
        <v>1</v>
      </c>
      <c r="C1218" s="25">
        <v>3</v>
      </c>
      <c r="D1218" t="s">
        <v>2959</v>
      </c>
      <c r="E1218" t="s">
        <v>2955</v>
      </c>
      <c r="F1218">
        <v>261204</v>
      </c>
      <c r="G1218" t="s">
        <v>2960</v>
      </c>
    </row>
    <row r="1219" spans="1:7">
      <c r="A1219" s="25">
        <v>1001</v>
      </c>
      <c r="B1219" s="25">
        <v>1</v>
      </c>
      <c r="C1219" s="25">
        <v>3</v>
      </c>
      <c r="D1219" t="s">
        <v>2961</v>
      </c>
      <c r="E1219" t="s">
        <v>2957</v>
      </c>
      <c r="F1219">
        <v>261205</v>
      </c>
      <c r="G1219" t="s">
        <v>2962</v>
      </c>
    </row>
    <row r="1220" spans="1:7">
      <c r="A1220" s="25">
        <v>1001</v>
      </c>
      <c r="B1220" s="25">
        <v>1</v>
      </c>
      <c r="C1220" s="25">
        <v>3</v>
      </c>
      <c r="D1220" t="s">
        <v>2963</v>
      </c>
      <c r="E1220" t="s">
        <v>2959</v>
      </c>
      <c r="F1220">
        <v>261206</v>
      </c>
      <c r="G1220" t="s">
        <v>2964</v>
      </c>
    </row>
    <row r="1221" spans="1:7">
      <c r="A1221" s="25">
        <v>1001</v>
      </c>
      <c r="B1221" s="25">
        <v>1</v>
      </c>
      <c r="C1221" s="25">
        <v>3</v>
      </c>
      <c r="D1221" t="s">
        <v>2965</v>
      </c>
      <c r="E1221" t="s">
        <v>2961</v>
      </c>
      <c r="F1221">
        <v>261207</v>
      </c>
      <c r="G1221" t="s">
        <v>2966</v>
      </c>
    </row>
    <row r="1222" spans="1:7">
      <c r="A1222" s="25">
        <v>1001</v>
      </c>
      <c r="B1222" s="25">
        <v>1</v>
      </c>
      <c r="C1222" s="25">
        <v>3</v>
      </c>
      <c r="D1222" t="s">
        <v>2967</v>
      </c>
      <c r="E1222" t="s">
        <v>2963</v>
      </c>
      <c r="F1222">
        <v>261208</v>
      </c>
      <c r="G1222" t="s">
        <v>2968</v>
      </c>
    </row>
    <row r="1223" spans="1:7">
      <c r="A1223" s="25">
        <v>1001</v>
      </c>
      <c r="B1223" s="25">
        <v>1</v>
      </c>
      <c r="C1223" s="25">
        <v>3</v>
      </c>
      <c r="D1223" t="s">
        <v>2969</v>
      </c>
      <c r="E1223" t="s">
        <v>2965</v>
      </c>
      <c r="F1223">
        <v>261209</v>
      </c>
      <c r="G1223" t="s">
        <v>2970</v>
      </c>
    </row>
    <row r="1224" spans="1:7">
      <c r="A1224" s="25">
        <v>1001</v>
      </c>
      <c r="B1224" s="25">
        <v>1</v>
      </c>
      <c r="C1224" s="25">
        <v>3</v>
      </c>
      <c r="D1224" t="s">
        <v>2971</v>
      </c>
      <c r="E1224" t="s">
        <v>2967</v>
      </c>
      <c r="F1224">
        <v>261210</v>
      </c>
      <c r="G1224" t="s">
        <v>2972</v>
      </c>
    </row>
    <row r="1225" spans="1:7">
      <c r="A1225" s="25">
        <v>1001</v>
      </c>
      <c r="B1225" s="25">
        <v>1</v>
      </c>
      <c r="C1225" s="25">
        <v>3</v>
      </c>
      <c r="D1225" t="s">
        <v>2973</v>
      </c>
      <c r="E1225" t="s">
        <v>2969</v>
      </c>
      <c r="F1225">
        <v>261211</v>
      </c>
      <c r="G1225" t="s">
        <v>2974</v>
      </c>
    </row>
    <row r="1226" spans="1:7">
      <c r="A1226" s="25">
        <v>1001</v>
      </c>
      <c r="B1226" s="25">
        <v>1</v>
      </c>
      <c r="C1226" s="25">
        <v>3</v>
      </c>
      <c r="D1226" t="s">
        <v>2975</v>
      </c>
      <c r="E1226" t="s">
        <v>2971</v>
      </c>
      <c r="F1226">
        <v>261212</v>
      </c>
      <c r="G1226" t="s">
        <v>2976</v>
      </c>
    </row>
    <row r="1227" spans="1:7">
      <c r="A1227" s="25">
        <v>1001</v>
      </c>
      <c r="B1227" s="25">
        <v>1</v>
      </c>
      <c r="C1227" s="25">
        <v>3</v>
      </c>
      <c r="D1227" t="s">
        <v>2977</v>
      </c>
      <c r="E1227" t="s">
        <v>2973</v>
      </c>
      <c r="F1227">
        <v>261213</v>
      </c>
      <c r="G1227" t="s">
        <v>2978</v>
      </c>
    </row>
    <row r="1228" spans="1:7">
      <c r="A1228" s="25">
        <v>1001</v>
      </c>
      <c r="B1228" s="25">
        <v>1</v>
      </c>
      <c r="C1228" s="25">
        <v>3</v>
      </c>
      <c r="D1228" t="s">
        <v>2979</v>
      </c>
      <c r="E1228" t="s">
        <v>2975</v>
      </c>
      <c r="F1228">
        <v>261214</v>
      </c>
      <c r="G1228" t="s">
        <v>2980</v>
      </c>
    </row>
    <row r="1229" spans="1:7">
      <c r="A1229" s="25">
        <v>1001</v>
      </c>
      <c r="B1229" s="25">
        <v>1</v>
      </c>
      <c r="C1229" s="25">
        <v>3</v>
      </c>
      <c r="D1229" t="s">
        <v>2981</v>
      </c>
      <c r="E1229" t="s">
        <v>2977</v>
      </c>
      <c r="F1229">
        <v>261215</v>
      </c>
      <c r="G1229" t="s">
        <v>2982</v>
      </c>
    </row>
    <row r="1230" spans="1:7">
      <c r="A1230" s="25">
        <v>1001</v>
      </c>
      <c r="B1230" s="25">
        <v>1</v>
      </c>
      <c r="C1230" s="25">
        <v>3</v>
      </c>
      <c r="D1230" t="s">
        <v>2983</v>
      </c>
      <c r="E1230" t="s">
        <v>2979</v>
      </c>
      <c r="F1230">
        <v>261216</v>
      </c>
      <c r="G1230" t="s">
        <v>2984</v>
      </c>
    </row>
    <row r="1231" spans="1:7">
      <c r="A1231" s="25">
        <v>1001</v>
      </c>
      <c r="B1231" s="25">
        <v>1</v>
      </c>
      <c r="C1231" s="25">
        <v>3</v>
      </c>
      <c r="D1231" t="s">
        <v>2985</v>
      </c>
      <c r="E1231" t="s">
        <v>2981</v>
      </c>
      <c r="F1231">
        <v>261217</v>
      </c>
      <c r="G1231" t="s">
        <v>2986</v>
      </c>
    </row>
    <row r="1232" spans="1:7">
      <c r="A1232" s="25">
        <v>1001</v>
      </c>
      <c r="B1232" s="25">
        <v>1</v>
      </c>
      <c r="C1232" s="25">
        <v>3</v>
      </c>
      <c r="D1232" t="s">
        <v>2987</v>
      </c>
      <c r="E1232" t="s">
        <v>2983</v>
      </c>
      <c r="F1232">
        <v>261218</v>
      </c>
      <c r="G1232" t="s">
        <v>2988</v>
      </c>
    </row>
    <row r="1233" spans="1:7">
      <c r="A1233" s="25">
        <v>1001</v>
      </c>
      <c r="B1233" s="25">
        <v>1</v>
      </c>
      <c r="C1233" s="25">
        <v>3</v>
      </c>
      <c r="D1233" t="s">
        <v>2989</v>
      </c>
      <c r="E1233" t="s">
        <v>2985</v>
      </c>
      <c r="F1233">
        <v>261219</v>
      </c>
      <c r="G1233" t="s">
        <v>2990</v>
      </c>
    </row>
    <row r="1234" spans="1:7">
      <c r="A1234" s="25">
        <v>1001</v>
      </c>
      <c r="B1234" s="25">
        <v>1</v>
      </c>
      <c r="C1234" s="25">
        <v>3</v>
      </c>
      <c r="D1234" t="s">
        <v>2991</v>
      </c>
      <c r="E1234" t="s">
        <v>2987</v>
      </c>
      <c r="F1234">
        <v>261220</v>
      </c>
      <c r="G1234" t="s">
        <v>2992</v>
      </c>
    </row>
    <row r="1235" spans="1:7">
      <c r="A1235" s="25">
        <v>1001</v>
      </c>
      <c r="B1235" s="25">
        <v>1</v>
      </c>
      <c r="C1235" s="25">
        <v>3</v>
      </c>
      <c r="D1235" t="s">
        <v>2993</v>
      </c>
      <c r="E1235" t="s">
        <v>2989</v>
      </c>
      <c r="F1235">
        <v>261221</v>
      </c>
      <c r="G1235" t="s">
        <v>2994</v>
      </c>
    </row>
    <row r="1236" spans="1:7">
      <c r="A1236" s="25">
        <v>1001</v>
      </c>
      <c r="B1236" s="25">
        <v>1</v>
      </c>
      <c r="C1236" s="25">
        <v>3</v>
      </c>
      <c r="D1236" t="s">
        <v>2995</v>
      </c>
      <c r="E1236" t="s">
        <v>2991</v>
      </c>
      <c r="F1236">
        <v>261222</v>
      </c>
      <c r="G1236" t="s">
        <v>2996</v>
      </c>
    </row>
    <row r="1237" spans="1:7">
      <c r="A1237" s="25">
        <v>1001</v>
      </c>
      <c r="B1237" s="25">
        <v>1</v>
      </c>
      <c r="C1237" s="25">
        <v>3</v>
      </c>
      <c r="D1237" t="s">
        <v>2997</v>
      </c>
      <c r="E1237" t="s">
        <v>2993</v>
      </c>
      <c r="F1237">
        <v>261223</v>
      </c>
      <c r="G1237" t="s">
        <v>2998</v>
      </c>
    </row>
    <row r="1238" spans="1:7">
      <c r="A1238" s="25">
        <v>1001</v>
      </c>
      <c r="B1238" s="25">
        <v>1</v>
      </c>
      <c r="C1238" s="25">
        <v>3</v>
      </c>
      <c r="D1238" t="s">
        <v>2999</v>
      </c>
      <c r="E1238" t="s">
        <v>2995</v>
      </c>
      <c r="F1238">
        <v>261224</v>
      </c>
      <c r="G1238" t="s">
        <v>3000</v>
      </c>
    </row>
    <row r="1239" spans="1:7">
      <c r="A1239" s="25">
        <v>1001</v>
      </c>
      <c r="B1239" s="25">
        <v>1</v>
      </c>
      <c r="C1239" s="25">
        <v>3</v>
      </c>
      <c r="D1239" t="s">
        <v>3001</v>
      </c>
      <c r="E1239" t="s">
        <v>2997</v>
      </c>
      <c r="F1239">
        <v>261225</v>
      </c>
      <c r="G1239" t="s">
        <v>3002</v>
      </c>
    </row>
    <row r="1240" spans="1:7">
      <c r="A1240" s="25">
        <v>1001</v>
      </c>
      <c r="B1240" s="25">
        <v>1</v>
      </c>
      <c r="C1240" s="25">
        <v>3</v>
      </c>
      <c r="D1240" t="s">
        <v>3003</v>
      </c>
      <c r="E1240" t="s">
        <v>2999</v>
      </c>
      <c r="F1240">
        <v>261226</v>
      </c>
      <c r="G1240" t="s">
        <v>3004</v>
      </c>
    </row>
    <row r="1241" spans="1:7">
      <c r="A1241" s="25">
        <v>1001</v>
      </c>
      <c r="B1241" s="25">
        <v>1</v>
      </c>
      <c r="C1241" s="25">
        <v>3</v>
      </c>
      <c r="D1241" t="s">
        <v>3005</v>
      </c>
      <c r="E1241" t="s">
        <v>3001</v>
      </c>
      <c r="F1241">
        <v>261227</v>
      </c>
      <c r="G1241" t="s">
        <v>3006</v>
      </c>
    </row>
    <row r="1242" spans="1:7">
      <c r="A1242" s="25">
        <v>1001</v>
      </c>
      <c r="B1242" s="25">
        <v>1</v>
      </c>
      <c r="C1242" s="25">
        <v>3</v>
      </c>
      <c r="D1242" t="s">
        <v>3007</v>
      </c>
      <c r="E1242" t="s">
        <v>3003</v>
      </c>
      <c r="F1242">
        <v>261228</v>
      </c>
      <c r="G1242" t="s">
        <v>3008</v>
      </c>
    </row>
    <row r="1243" spans="1:7">
      <c r="A1243" s="25">
        <v>1001</v>
      </c>
      <c r="B1243" s="25">
        <v>1</v>
      </c>
      <c r="C1243" s="25">
        <v>3</v>
      </c>
      <c r="D1243" t="s">
        <v>3009</v>
      </c>
      <c r="E1243" t="s">
        <v>3005</v>
      </c>
      <c r="F1243">
        <v>261229</v>
      </c>
      <c r="G1243" t="s">
        <v>3010</v>
      </c>
    </row>
    <row r="1244" spans="1:7">
      <c r="A1244" s="25">
        <v>1001</v>
      </c>
      <c r="B1244" s="25">
        <v>1</v>
      </c>
      <c r="C1244" s="25">
        <v>3</v>
      </c>
      <c r="D1244" t="s">
        <v>3011</v>
      </c>
      <c r="E1244" t="s">
        <v>3007</v>
      </c>
      <c r="F1244">
        <v>261230</v>
      </c>
      <c r="G1244" t="s">
        <v>3012</v>
      </c>
    </row>
    <row r="1245" spans="1:7">
      <c r="A1245" s="25">
        <v>1001</v>
      </c>
      <c r="B1245" s="25">
        <v>1</v>
      </c>
      <c r="C1245" s="25">
        <v>3</v>
      </c>
      <c r="D1245" t="s">
        <v>3013</v>
      </c>
      <c r="E1245" t="s">
        <v>3009</v>
      </c>
      <c r="F1245">
        <v>261231</v>
      </c>
      <c r="G1245" t="s">
        <v>3014</v>
      </c>
    </row>
    <row r="1246" spans="1:7">
      <c r="A1246" s="25">
        <v>1001</v>
      </c>
      <c r="B1246" s="25">
        <v>1</v>
      </c>
      <c r="C1246" s="25">
        <v>3</v>
      </c>
      <c r="D1246" t="s">
        <v>3015</v>
      </c>
      <c r="E1246" t="s">
        <v>3011</v>
      </c>
      <c r="F1246">
        <v>261232</v>
      </c>
      <c r="G1246" t="s">
        <v>3016</v>
      </c>
    </row>
    <row r="1247" spans="1:7">
      <c r="A1247" s="25">
        <v>1001</v>
      </c>
      <c r="B1247" s="25">
        <v>1</v>
      </c>
      <c r="C1247" s="25">
        <v>3</v>
      </c>
      <c r="D1247" t="s">
        <v>3017</v>
      </c>
      <c r="E1247" t="s">
        <v>3013</v>
      </c>
      <c r="F1247">
        <v>261233</v>
      </c>
      <c r="G1247" t="s">
        <v>3018</v>
      </c>
    </row>
    <row r="1248" spans="1:7">
      <c r="A1248" s="25">
        <v>1001</v>
      </c>
      <c r="B1248" s="25">
        <v>5</v>
      </c>
      <c r="C1248" s="25">
        <v>1003</v>
      </c>
      <c r="D1248" t="s">
        <v>3019</v>
      </c>
      <c r="E1248" t="s">
        <v>3015</v>
      </c>
      <c r="F1248">
        <v>261234</v>
      </c>
      <c r="G1248" t="s">
        <v>3020</v>
      </c>
    </row>
    <row r="1249" spans="1:7">
      <c r="A1249" s="25">
        <v>1001</v>
      </c>
      <c r="B1249" s="25">
        <v>5</v>
      </c>
      <c r="C1249" s="25">
        <v>1003</v>
      </c>
      <c r="D1249" t="s">
        <v>3021</v>
      </c>
      <c r="E1249" t="s">
        <v>3017</v>
      </c>
      <c r="F1249">
        <v>261235</v>
      </c>
      <c r="G1249" t="s">
        <v>3020</v>
      </c>
    </row>
    <row r="1250" spans="1:7">
      <c r="A1250" s="25">
        <v>1001</v>
      </c>
      <c r="B1250" s="25">
        <v>5</v>
      </c>
      <c r="C1250" s="25">
        <v>1003</v>
      </c>
      <c r="D1250" t="s">
        <v>3022</v>
      </c>
      <c r="E1250" t="s">
        <v>3023</v>
      </c>
      <c r="F1250">
        <v>1010101</v>
      </c>
      <c r="G1250" t="s">
        <v>3020</v>
      </c>
    </row>
    <row r="1251" spans="1:7">
      <c r="A1251" s="25">
        <v>1001</v>
      </c>
      <c r="B1251" s="25">
        <v>5</v>
      </c>
      <c r="C1251" s="25">
        <v>1003</v>
      </c>
      <c r="D1251" t="s">
        <v>3024</v>
      </c>
      <c r="E1251" t="s">
        <v>3023</v>
      </c>
      <c r="F1251">
        <v>1010102</v>
      </c>
      <c r="G1251" t="s">
        <v>3020</v>
      </c>
    </row>
    <row r="1252" spans="1:7">
      <c r="A1252" s="25">
        <v>1001</v>
      </c>
      <c r="B1252" s="25">
        <v>5</v>
      </c>
      <c r="C1252" s="25">
        <v>1003</v>
      </c>
      <c r="D1252" t="s">
        <v>3025</v>
      </c>
      <c r="E1252" t="s">
        <v>3023</v>
      </c>
      <c r="F1252">
        <v>1010103</v>
      </c>
      <c r="G1252" t="s">
        <v>3026</v>
      </c>
    </row>
    <row r="1253" spans="1:7">
      <c r="A1253" s="25">
        <v>1001</v>
      </c>
      <c r="B1253" s="25">
        <v>5</v>
      </c>
      <c r="C1253" s="25">
        <v>1003</v>
      </c>
      <c r="D1253" t="s">
        <v>3027</v>
      </c>
      <c r="E1253" t="s">
        <v>3023</v>
      </c>
      <c r="F1253">
        <v>1010104</v>
      </c>
      <c r="G1253" t="s">
        <v>3028</v>
      </c>
    </row>
    <row r="1254" spans="1:7">
      <c r="A1254" s="25">
        <v>1001</v>
      </c>
      <c r="B1254" s="25">
        <v>5</v>
      </c>
      <c r="C1254" s="25">
        <v>1003</v>
      </c>
      <c r="D1254" t="s">
        <v>3029</v>
      </c>
      <c r="E1254" t="s">
        <v>3023</v>
      </c>
      <c r="F1254">
        <v>1010105</v>
      </c>
      <c r="G1254" t="s">
        <v>3030</v>
      </c>
    </row>
    <row r="1255" spans="1:7">
      <c r="A1255" s="25">
        <v>1001</v>
      </c>
      <c r="B1255" s="25">
        <v>5</v>
      </c>
      <c r="C1255" s="25">
        <v>1003</v>
      </c>
      <c r="D1255" t="s">
        <v>3031</v>
      </c>
      <c r="E1255" t="s">
        <v>3023</v>
      </c>
      <c r="F1255">
        <v>1010106</v>
      </c>
      <c r="G1255" t="s">
        <v>3032</v>
      </c>
    </row>
    <row r="1256" spans="1:7">
      <c r="A1256" s="25">
        <v>1001</v>
      </c>
      <c r="B1256" s="25">
        <v>5</v>
      </c>
      <c r="C1256" s="25">
        <v>1003</v>
      </c>
      <c r="D1256" t="s">
        <v>3033</v>
      </c>
      <c r="E1256" t="s">
        <v>3023</v>
      </c>
      <c r="F1256">
        <v>1010107</v>
      </c>
      <c r="G1256" t="s">
        <v>3034</v>
      </c>
    </row>
    <row r="1257" spans="1:7">
      <c r="A1257" s="25">
        <v>1001</v>
      </c>
      <c r="B1257" s="25">
        <v>5</v>
      </c>
      <c r="C1257" s="25">
        <v>1003</v>
      </c>
      <c r="D1257" t="s">
        <v>3035</v>
      </c>
      <c r="E1257" t="s">
        <v>3023</v>
      </c>
      <c r="F1257">
        <v>1010108</v>
      </c>
      <c r="G1257" t="s">
        <v>3036</v>
      </c>
    </row>
    <row r="1258" s="6" customFormat="1" spans="1:7">
      <c r="A1258" s="6">
        <v>1001</v>
      </c>
      <c r="B1258" s="6">
        <v>5</v>
      </c>
      <c r="C1258" s="6">
        <v>1003</v>
      </c>
      <c r="D1258" s="6" t="s">
        <v>3037</v>
      </c>
      <c r="E1258" s="6" t="s">
        <v>3023</v>
      </c>
      <c r="F1258" s="6">
        <v>1010109</v>
      </c>
      <c r="G1258" s="6" t="s">
        <v>3038</v>
      </c>
    </row>
    <row r="1259" spans="1:7">
      <c r="A1259" s="25">
        <v>1001</v>
      </c>
      <c r="B1259" s="25">
        <v>5</v>
      </c>
      <c r="C1259" s="25">
        <v>1003</v>
      </c>
      <c r="D1259" t="s">
        <v>3039</v>
      </c>
      <c r="E1259" t="s">
        <v>3023</v>
      </c>
      <c r="F1259">
        <v>1010110</v>
      </c>
      <c r="G1259" t="s">
        <v>3020</v>
      </c>
    </row>
    <row r="1260" spans="1:7">
      <c r="A1260" s="25">
        <v>1001</v>
      </c>
      <c r="B1260" s="25">
        <v>5</v>
      </c>
      <c r="C1260" s="25">
        <v>1003</v>
      </c>
      <c r="D1260" t="s">
        <v>3040</v>
      </c>
      <c r="E1260" s="6" t="s">
        <v>3023</v>
      </c>
      <c r="F1260" s="6">
        <v>1010111</v>
      </c>
      <c r="G1260" t="s">
        <v>3020</v>
      </c>
    </row>
    <row r="1261" spans="1:7">
      <c r="A1261" s="25">
        <v>1001</v>
      </c>
      <c r="B1261" s="25">
        <v>5</v>
      </c>
      <c r="C1261" s="25">
        <v>1003</v>
      </c>
      <c r="D1261" t="s">
        <v>3041</v>
      </c>
      <c r="E1261" s="27" t="s">
        <v>3042</v>
      </c>
      <c r="F1261">
        <v>1010201</v>
      </c>
      <c r="G1261" t="s">
        <v>3020</v>
      </c>
    </row>
    <row r="1262" spans="1:7">
      <c r="A1262" s="25">
        <v>1001</v>
      </c>
      <c r="B1262" s="25">
        <v>5</v>
      </c>
      <c r="C1262" s="25">
        <v>1003</v>
      </c>
      <c r="D1262" t="s">
        <v>3043</v>
      </c>
      <c r="E1262" s="27" t="s">
        <v>3042</v>
      </c>
      <c r="F1262">
        <v>1010202</v>
      </c>
      <c r="G1262" t="s">
        <v>3020</v>
      </c>
    </row>
    <row r="1263" spans="1:7">
      <c r="A1263" s="25">
        <v>1001</v>
      </c>
      <c r="B1263" s="25">
        <v>5</v>
      </c>
      <c r="C1263" s="25">
        <v>1003</v>
      </c>
      <c r="D1263" t="s">
        <v>3044</v>
      </c>
      <c r="E1263" s="27" t="s">
        <v>3042</v>
      </c>
      <c r="F1263">
        <v>1010203</v>
      </c>
      <c r="G1263" t="s">
        <v>3045</v>
      </c>
    </row>
    <row r="1264" spans="1:7">
      <c r="A1264" s="25">
        <v>1001</v>
      </c>
      <c r="B1264" s="25">
        <v>5</v>
      </c>
      <c r="C1264" s="25">
        <v>1003</v>
      </c>
      <c r="D1264" t="s">
        <v>3046</v>
      </c>
      <c r="E1264" s="27" t="s">
        <v>3042</v>
      </c>
      <c r="F1264">
        <v>1010204</v>
      </c>
      <c r="G1264" t="s">
        <v>3047</v>
      </c>
    </row>
    <row r="1265" spans="1:7">
      <c r="A1265" s="25">
        <v>1001</v>
      </c>
      <c r="B1265" s="25">
        <v>5</v>
      </c>
      <c r="C1265" s="25">
        <v>1003</v>
      </c>
      <c r="D1265" t="s">
        <v>3048</v>
      </c>
      <c r="E1265" s="27" t="s">
        <v>3042</v>
      </c>
      <c r="F1265">
        <v>1010205</v>
      </c>
      <c r="G1265" t="s">
        <v>3049</v>
      </c>
    </row>
    <row r="1266" spans="1:7">
      <c r="A1266" s="25">
        <v>1001</v>
      </c>
      <c r="B1266" s="25">
        <v>5</v>
      </c>
      <c r="C1266" s="25">
        <v>1003</v>
      </c>
      <c r="D1266" t="s">
        <v>3050</v>
      </c>
      <c r="E1266" s="27" t="s">
        <v>3042</v>
      </c>
      <c r="F1266">
        <v>1010206</v>
      </c>
      <c r="G1266" t="s">
        <v>3051</v>
      </c>
    </row>
    <row r="1267" spans="1:7">
      <c r="A1267" s="25">
        <v>1001</v>
      </c>
      <c r="B1267" s="25">
        <v>5</v>
      </c>
      <c r="C1267" s="25">
        <v>1003</v>
      </c>
      <c r="D1267" t="s">
        <v>3052</v>
      </c>
      <c r="E1267" s="27" t="s">
        <v>3042</v>
      </c>
      <c r="F1267">
        <v>1010207</v>
      </c>
      <c r="G1267" t="s">
        <v>3053</v>
      </c>
    </row>
    <row r="1268" spans="1:7">
      <c r="A1268" s="25">
        <v>1001</v>
      </c>
      <c r="B1268" s="25">
        <v>5</v>
      </c>
      <c r="C1268" s="25">
        <v>1003</v>
      </c>
      <c r="D1268" t="s">
        <v>3054</v>
      </c>
      <c r="E1268" s="27" t="s">
        <v>3042</v>
      </c>
      <c r="F1268">
        <v>1010208</v>
      </c>
      <c r="G1268" t="s">
        <v>3055</v>
      </c>
    </row>
    <row r="1269" s="6" customFormat="1" spans="1:7">
      <c r="A1269" s="6">
        <v>1001</v>
      </c>
      <c r="B1269" s="6">
        <v>5</v>
      </c>
      <c r="C1269" s="6">
        <v>1003</v>
      </c>
      <c r="D1269" s="6" t="s">
        <v>3056</v>
      </c>
      <c r="E1269" s="27" t="s">
        <v>3042</v>
      </c>
      <c r="F1269" s="6">
        <v>1010209</v>
      </c>
      <c r="G1269" s="6" t="s">
        <v>3057</v>
      </c>
    </row>
    <row r="1270" spans="1:7">
      <c r="A1270" s="25">
        <v>1001</v>
      </c>
      <c r="B1270" s="25">
        <v>5</v>
      </c>
      <c r="C1270" s="25">
        <v>1003</v>
      </c>
      <c r="D1270" t="s">
        <v>3058</v>
      </c>
      <c r="E1270" s="27" t="s">
        <v>3042</v>
      </c>
      <c r="F1270">
        <v>1010210</v>
      </c>
      <c r="G1270" t="s">
        <v>3020</v>
      </c>
    </row>
    <row r="1271" spans="1:7">
      <c r="A1271" s="25">
        <v>1001</v>
      </c>
      <c r="B1271" s="25">
        <v>5</v>
      </c>
      <c r="C1271" s="25">
        <v>1003</v>
      </c>
      <c r="D1271" t="s">
        <v>3059</v>
      </c>
      <c r="E1271" s="6" t="s">
        <v>3042</v>
      </c>
      <c r="F1271" s="6">
        <v>1010211</v>
      </c>
      <c r="G1271" t="s">
        <v>3020</v>
      </c>
    </row>
    <row r="1272" spans="1:7">
      <c r="A1272" s="25">
        <v>1001</v>
      </c>
      <c r="B1272" s="25">
        <v>5</v>
      </c>
      <c r="C1272" s="25">
        <v>1003</v>
      </c>
      <c r="D1272" t="s">
        <v>3060</v>
      </c>
      <c r="E1272" s="27" t="s">
        <v>3061</v>
      </c>
      <c r="F1272">
        <v>1010301</v>
      </c>
      <c r="G1272" t="s">
        <v>3020</v>
      </c>
    </row>
    <row r="1273" spans="1:7">
      <c r="A1273" s="25">
        <v>1001</v>
      </c>
      <c r="B1273" s="25">
        <v>5</v>
      </c>
      <c r="C1273" s="25">
        <v>1003</v>
      </c>
      <c r="D1273" t="s">
        <v>3062</v>
      </c>
      <c r="E1273" s="27" t="s">
        <v>3061</v>
      </c>
      <c r="F1273">
        <v>1010302</v>
      </c>
      <c r="G1273" t="s">
        <v>3020</v>
      </c>
    </row>
    <row r="1274" spans="1:7">
      <c r="A1274" s="25">
        <v>1001</v>
      </c>
      <c r="B1274" s="25">
        <v>5</v>
      </c>
      <c r="C1274" s="25">
        <v>1003</v>
      </c>
      <c r="D1274" t="s">
        <v>3063</v>
      </c>
      <c r="E1274" s="27" t="s">
        <v>3061</v>
      </c>
      <c r="F1274">
        <v>1010303</v>
      </c>
      <c r="G1274" t="s">
        <v>3064</v>
      </c>
    </row>
    <row r="1275" spans="1:7">
      <c r="A1275" s="25">
        <v>1001</v>
      </c>
      <c r="B1275" s="25">
        <v>5</v>
      </c>
      <c r="C1275" s="25">
        <v>1003</v>
      </c>
      <c r="D1275" t="s">
        <v>3065</v>
      </c>
      <c r="E1275" s="27" t="s">
        <v>3061</v>
      </c>
      <c r="F1275">
        <v>1010304</v>
      </c>
      <c r="G1275" t="s">
        <v>3066</v>
      </c>
    </row>
    <row r="1276" spans="1:7">
      <c r="A1276" s="25">
        <v>1001</v>
      </c>
      <c r="B1276" s="25">
        <v>5</v>
      </c>
      <c r="C1276" s="25">
        <v>1003</v>
      </c>
      <c r="D1276" t="s">
        <v>3067</v>
      </c>
      <c r="E1276" s="27" t="s">
        <v>3061</v>
      </c>
      <c r="F1276">
        <v>1010305</v>
      </c>
      <c r="G1276" t="s">
        <v>3068</v>
      </c>
    </row>
    <row r="1277" spans="1:7">
      <c r="A1277" s="25">
        <v>1001</v>
      </c>
      <c r="B1277" s="25">
        <v>5</v>
      </c>
      <c r="C1277" s="25">
        <v>1003</v>
      </c>
      <c r="D1277" t="s">
        <v>3069</v>
      </c>
      <c r="E1277" s="27" t="s">
        <v>3061</v>
      </c>
      <c r="F1277">
        <v>1010306</v>
      </c>
      <c r="G1277" t="s">
        <v>3070</v>
      </c>
    </row>
    <row r="1278" spans="1:7">
      <c r="A1278" s="25">
        <v>1001</v>
      </c>
      <c r="B1278" s="25">
        <v>5</v>
      </c>
      <c r="C1278" s="25">
        <v>1003</v>
      </c>
      <c r="D1278" t="s">
        <v>3071</v>
      </c>
      <c r="E1278" s="27" t="s">
        <v>3061</v>
      </c>
      <c r="F1278">
        <v>1010307</v>
      </c>
      <c r="G1278" t="s">
        <v>3072</v>
      </c>
    </row>
    <row r="1279" spans="1:7">
      <c r="A1279" s="25">
        <v>1001</v>
      </c>
      <c r="B1279" s="25">
        <v>5</v>
      </c>
      <c r="C1279" s="25">
        <v>1003</v>
      </c>
      <c r="D1279" t="s">
        <v>3073</v>
      </c>
      <c r="E1279" s="27" t="s">
        <v>3061</v>
      </c>
      <c r="F1279">
        <v>1010308</v>
      </c>
      <c r="G1279" t="s">
        <v>3074</v>
      </c>
    </row>
    <row r="1280" s="6" customFormat="1" spans="1:7">
      <c r="A1280" s="6">
        <v>1001</v>
      </c>
      <c r="B1280" s="6">
        <v>5</v>
      </c>
      <c r="C1280" s="6">
        <v>1003</v>
      </c>
      <c r="D1280" s="6" t="s">
        <v>3075</v>
      </c>
      <c r="E1280" s="27" t="s">
        <v>3061</v>
      </c>
      <c r="F1280" s="6">
        <v>1010309</v>
      </c>
      <c r="G1280" s="6" t="s">
        <v>3076</v>
      </c>
    </row>
    <row r="1281" spans="1:7">
      <c r="A1281" s="25">
        <v>1001</v>
      </c>
      <c r="B1281" s="25">
        <v>5</v>
      </c>
      <c r="C1281" s="25">
        <v>1003</v>
      </c>
      <c r="D1281" t="s">
        <v>3077</v>
      </c>
      <c r="E1281" s="27" t="s">
        <v>3061</v>
      </c>
      <c r="F1281">
        <v>1010310</v>
      </c>
      <c r="G1281" t="s">
        <v>3020</v>
      </c>
    </row>
    <row r="1282" spans="1:7">
      <c r="A1282" s="25">
        <v>1001</v>
      </c>
      <c r="B1282" s="25">
        <v>5</v>
      </c>
      <c r="C1282" s="25">
        <v>1003</v>
      </c>
      <c r="D1282" t="s">
        <v>3078</v>
      </c>
      <c r="E1282" s="6" t="s">
        <v>3061</v>
      </c>
      <c r="F1282" s="6">
        <v>1010311</v>
      </c>
      <c r="G1282" t="s">
        <v>3020</v>
      </c>
    </row>
    <row r="1283" spans="1:7">
      <c r="A1283" s="25">
        <v>1001</v>
      </c>
      <c r="B1283" s="25">
        <v>5</v>
      </c>
      <c r="C1283" s="25">
        <v>1003</v>
      </c>
      <c r="D1283" t="s">
        <v>3079</v>
      </c>
      <c r="E1283" s="27" t="s">
        <v>3080</v>
      </c>
      <c r="F1283">
        <v>1010401</v>
      </c>
      <c r="G1283" t="s">
        <v>3020</v>
      </c>
    </row>
    <row r="1284" spans="1:7">
      <c r="A1284" s="25">
        <v>1001</v>
      </c>
      <c r="B1284" s="25">
        <v>5</v>
      </c>
      <c r="C1284" s="25">
        <v>1003</v>
      </c>
      <c r="D1284" t="s">
        <v>3081</v>
      </c>
      <c r="E1284" s="27" t="s">
        <v>3080</v>
      </c>
      <c r="F1284">
        <v>1010402</v>
      </c>
      <c r="G1284" t="s">
        <v>3020</v>
      </c>
    </row>
    <row r="1285" spans="1:7">
      <c r="A1285" s="25">
        <v>1001</v>
      </c>
      <c r="B1285" s="25">
        <v>5</v>
      </c>
      <c r="C1285" s="25">
        <v>1003</v>
      </c>
      <c r="D1285" t="s">
        <v>3082</v>
      </c>
      <c r="E1285" s="27" t="s">
        <v>3080</v>
      </c>
      <c r="F1285">
        <v>1010403</v>
      </c>
      <c r="G1285" t="s">
        <v>3083</v>
      </c>
    </row>
    <row r="1286" spans="1:7">
      <c r="A1286" s="25">
        <v>1001</v>
      </c>
      <c r="B1286" s="25">
        <v>5</v>
      </c>
      <c r="C1286" s="25">
        <v>1003</v>
      </c>
      <c r="D1286" t="s">
        <v>3084</v>
      </c>
      <c r="E1286" s="27" t="s">
        <v>3080</v>
      </c>
      <c r="F1286">
        <v>1010404</v>
      </c>
      <c r="G1286" t="s">
        <v>3085</v>
      </c>
    </row>
    <row r="1287" spans="1:7">
      <c r="A1287" s="25">
        <v>1001</v>
      </c>
      <c r="B1287" s="25">
        <v>5</v>
      </c>
      <c r="C1287" s="25">
        <v>1003</v>
      </c>
      <c r="D1287" t="s">
        <v>3086</v>
      </c>
      <c r="E1287" s="27" t="s">
        <v>3080</v>
      </c>
      <c r="F1287">
        <v>1010405</v>
      </c>
      <c r="G1287" t="s">
        <v>3087</v>
      </c>
    </row>
    <row r="1288" spans="1:7">
      <c r="A1288" s="25">
        <v>1001</v>
      </c>
      <c r="B1288" s="25">
        <v>5</v>
      </c>
      <c r="C1288" s="25">
        <v>1003</v>
      </c>
      <c r="D1288" t="s">
        <v>3088</v>
      </c>
      <c r="E1288" s="27" t="s">
        <v>3080</v>
      </c>
      <c r="F1288">
        <v>1010406</v>
      </c>
      <c r="G1288" t="s">
        <v>3089</v>
      </c>
    </row>
    <row r="1289" spans="1:7">
      <c r="A1289" s="25">
        <v>1001</v>
      </c>
      <c r="B1289" s="25">
        <v>5</v>
      </c>
      <c r="C1289" s="25">
        <v>1003</v>
      </c>
      <c r="D1289" t="s">
        <v>3090</v>
      </c>
      <c r="E1289" s="27" t="s">
        <v>3080</v>
      </c>
      <c r="F1289">
        <v>1010407</v>
      </c>
      <c r="G1289" t="s">
        <v>3091</v>
      </c>
    </row>
    <row r="1290" spans="1:7">
      <c r="A1290" s="25">
        <v>1001</v>
      </c>
      <c r="B1290" s="25">
        <v>5</v>
      </c>
      <c r="C1290" s="25">
        <v>1003</v>
      </c>
      <c r="D1290" t="s">
        <v>3092</v>
      </c>
      <c r="E1290" s="27" t="s">
        <v>3080</v>
      </c>
      <c r="F1290">
        <v>1010408</v>
      </c>
      <c r="G1290" t="s">
        <v>3093</v>
      </c>
    </row>
    <row r="1291" s="6" customFormat="1" spans="1:7">
      <c r="A1291" s="6">
        <v>1001</v>
      </c>
      <c r="B1291" s="6">
        <v>5</v>
      </c>
      <c r="C1291" s="6">
        <v>1003</v>
      </c>
      <c r="D1291" s="6" t="s">
        <v>3094</v>
      </c>
      <c r="E1291" s="27" t="s">
        <v>3080</v>
      </c>
      <c r="F1291" s="6">
        <v>1010409</v>
      </c>
      <c r="G1291" s="6" t="s">
        <v>3095</v>
      </c>
    </row>
    <row r="1292" spans="1:7">
      <c r="A1292" s="25">
        <v>1001</v>
      </c>
      <c r="B1292" s="25">
        <v>5</v>
      </c>
      <c r="C1292" s="25">
        <v>1003</v>
      </c>
      <c r="D1292" s="27" t="s">
        <v>3096</v>
      </c>
      <c r="E1292" s="27" t="s">
        <v>3080</v>
      </c>
      <c r="F1292">
        <v>1010410</v>
      </c>
      <c r="G1292" t="s">
        <v>3020</v>
      </c>
    </row>
    <row r="1293" spans="1:7">
      <c r="A1293" s="25">
        <v>1001</v>
      </c>
      <c r="B1293" s="25">
        <v>5</v>
      </c>
      <c r="C1293" s="25">
        <v>1003</v>
      </c>
      <c r="D1293" s="27" t="s">
        <v>3097</v>
      </c>
      <c r="E1293" s="6" t="s">
        <v>3080</v>
      </c>
      <c r="F1293" s="6">
        <v>1010411</v>
      </c>
      <c r="G1293" t="s">
        <v>3020</v>
      </c>
    </row>
    <row r="1294" spans="1:7">
      <c r="A1294" s="25">
        <v>1001</v>
      </c>
      <c r="B1294" s="25">
        <v>5</v>
      </c>
      <c r="C1294" s="25">
        <v>1003</v>
      </c>
      <c r="D1294" s="27" t="s">
        <v>3098</v>
      </c>
      <c r="E1294" s="27" t="s">
        <v>3099</v>
      </c>
      <c r="F1294">
        <v>1010501</v>
      </c>
      <c r="G1294" t="s">
        <v>3020</v>
      </c>
    </row>
    <row r="1295" spans="1:7">
      <c r="A1295" s="25">
        <v>1001</v>
      </c>
      <c r="B1295" s="25">
        <v>5</v>
      </c>
      <c r="C1295" s="25">
        <v>1003</v>
      </c>
      <c r="D1295" s="27" t="s">
        <v>3100</v>
      </c>
      <c r="E1295" s="27" t="s">
        <v>3099</v>
      </c>
      <c r="F1295">
        <v>1010502</v>
      </c>
      <c r="G1295" t="s">
        <v>3020</v>
      </c>
    </row>
    <row r="1296" spans="1:7">
      <c r="A1296" s="25">
        <v>1001</v>
      </c>
      <c r="B1296" s="25">
        <v>5</v>
      </c>
      <c r="C1296" s="25">
        <v>1003</v>
      </c>
      <c r="D1296" s="27" t="s">
        <v>3101</v>
      </c>
      <c r="E1296" s="27" t="s">
        <v>3099</v>
      </c>
      <c r="F1296">
        <v>1010503</v>
      </c>
      <c r="G1296" t="s">
        <v>3102</v>
      </c>
    </row>
    <row r="1297" spans="1:7">
      <c r="A1297" s="25">
        <v>1001</v>
      </c>
      <c r="B1297" s="25">
        <v>5</v>
      </c>
      <c r="C1297" s="25">
        <v>1003</v>
      </c>
      <c r="D1297" s="27" t="s">
        <v>3103</v>
      </c>
      <c r="E1297" s="27" t="s">
        <v>3099</v>
      </c>
      <c r="F1297">
        <v>1010504</v>
      </c>
      <c r="G1297" t="s">
        <v>3104</v>
      </c>
    </row>
    <row r="1298" spans="1:7">
      <c r="A1298" s="25">
        <v>1001</v>
      </c>
      <c r="B1298" s="25">
        <v>5</v>
      </c>
      <c r="C1298" s="25">
        <v>1003</v>
      </c>
      <c r="D1298" s="27" t="s">
        <v>3105</v>
      </c>
      <c r="E1298" s="27" t="s">
        <v>3099</v>
      </c>
      <c r="F1298">
        <v>1010505</v>
      </c>
      <c r="G1298" t="s">
        <v>3106</v>
      </c>
    </row>
    <row r="1299" spans="1:7">
      <c r="A1299" s="25">
        <v>1001</v>
      </c>
      <c r="B1299" s="25">
        <v>5</v>
      </c>
      <c r="C1299" s="25">
        <v>1003</v>
      </c>
      <c r="D1299" s="27" t="s">
        <v>3107</v>
      </c>
      <c r="E1299" s="27" t="s">
        <v>3099</v>
      </c>
      <c r="F1299">
        <v>1010506</v>
      </c>
      <c r="G1299" t="s">
        <v>3108</v>
      </c>
    </row>
    <row r="1300" spans="1:7">
      <c r="A1300" s="25">
        <v>1001</v>
      </c>
      <c r="B1300" s="25">
        <v>5</v>
      </c>
      <c r="C1300" s="25">
        <v>1003</v>
      </c>
      <c r="D1300" s="27" t="s">
        <v>3109</v>
      </c>
      <c r="E1300" s="27" t="s">
        <v>3099</v>
      </c>
      <c r="F1300">
        <v>1010507</v>
      </c>
      <c r="G1300" t="s">
        <v>3110</v>
      </c>
    </row>
    <row r="1301" spans="1:7">
      <c r="A1301" s="25">
        <v>1001</v>
      </c>
      <c r="B1301" s="25">
        <v>5</v>
      </c>
      <c r="C1301" s="25">
        <v>1003</v>
      </c>
      <c r="D1301" s="27" t="s">
        <v>3111</v>
      </c>
      <c r="E1301" s="27" t="s">
        <v>3099</v>
      </c>
      <c r="F1301">
        <v>1010508</v>
      </c>
      <c r="G1301" t="s">
        <v>3112</v>
      </c>
    </row>
    <row r="1302" s="6" customFormat="1" spans="1:7">
      <c r="A1302" s="6">
        <v>1001</v>
      </c>
      <c r="B1302" s="6">
        <v>5</v>
      </c>
      <c r="C1302" s="6">
        <v>1003</v>
      </c>
      <c r="D1302" s="6" t="s">
        <v>3113</v>
      </c>
      <c r="E1302" s="27" t="s">
        <v>3099</v>
      </c>
      <c r="F1302" s="6">
        <v>1010509</v>
      </c>
      <c r="G1302" s="6" t="s">
        <v>3114</v>
      </c>
    </row>
    <row r="1303" spans="1:7">
      <c r="A1303" s="25">
        <v>1001</v>
      </c>
      <c r="B1303" s="25">
        <v>5</v>
      </c>
      <c r="C1303" s="25">
        <v>1003</v>
      </c>
      <c r="D1303" s="27" t="s">
        <v>3115</v>
      </c>
      <c r="E1303" s="27" t="s">
        <v>3099</v>
      </c>
      <c r="F1303">
        <v>1010510</v>
      </c>
      <c r="G1303" t="s">
        <v>3020</v>
      </c>
    </row>
    <row r="1304" spans="1:7">
      <c r="A1304" s="25">
        <v>1001</v>
      </c>
      <c r="B1304" s="25">
        <v>5</v>
      </c>
      <c r="C1304" s="25">
        <v>1003</v>
      </c>
      <c r="D1304" s="27" t="s">
        <v>3116</v>
      </c>
      <c r="E1304" s="6" t="s">
        <v>3099</v>
      </c>
      <c r="F1304" s="6">
        <v>1010511</v>
      </c>
      <c r="G1304" t="s">
        <v>3020</v>
      </c>
    </row>
    <row r="1305" spans="1:7">
      <c r="A1305" s="25">
        <v>1001</v>
      </c>
      <c r="B1305" s="25">
        <v>5</v>
      </c>
      <c r="C1305" s="25">
        <v>1003</v>
      </c>
      <c r="D1305" s="27" t="s">
        <v>3117</v>
      </c>
      <c r="E1305" s="27" t="s">
        <v>3118</v>
      </c>
      <c r="F1305">
        <v>1010601</v>
      </c>
      <c r="G1305" t="s">
        <v>3020</v>
      </c>
    </row>
    <row r="1306" spans="1:7">
      <c r="A1306" s="25">
        <v>1001</v>
      </c>
      <c r="B1306" s="25">
        <v>5</v>
      </c>
      <c r="C1306" s="25">
        <v>1003</v>
      </c>
      <c r="D1306" s="27" t="s">
        <v>3119</v>
      </c>
      <c r="E1306" s="27" t="s">
        <v>3118</v>
      </c>
      <c r="F1306">
        <v>1010602</v>
      </c>
      <c r="G1306" t="s">
        <v>3020</v>
      </c>
    </row>
    <row r="1307" spans="1:7">
      <c r="A1307" s="25">
        <v>1001</v>
      </c>
      <c r="B1307" s="25">
        <v>5</v>
      </c>
      <c r="C1307" s="25">
        <v>1003</v>
      </c>
      <c r="D1307" s="27" t="s">
        <v>3120</v>
      </c>
      <c r="E1307" s="27" t="s">
        <v>3118</v>
      </c>
      <c r="F1307">
        <v>1010603</v>
      </c>
      <c r="G1307" t="s">
        <v>3121</v>
      </c>
    </row>
    <row r="1308" spans="1:7">
      <c r="A1308" s="25">
        <v>1001</v>
      </c>
      <c r="B1308" s="25">
        <v>5</v>
      </c>
      <c r="C1308" s="25">
        <v>1003</v>
      </c>
      <c r="D1308" s="27" t="s">
        <v>3122</v>
      </c>
      <c r="E1308" s="27" t="s">
        <v>3118</v>
      </c>
      <c r="F1308">
        <v>1010604</v>
      </c>
      <c r="G1308" t="s">
        <v>3123</v>
      </c>
    </row>
    <row r="1309" spans="1:7">
      <c r="A1309" s="25">
        <v>1001</v>
      </c>
      <c r="B1309" s="25">
        <v>5</v>
      </c>
      <c r="C1309" s="25">
        <v>1003</v>
      </c>
      <c r="D1309" s="27" t="s">
        <v>3124</v>
      </c>
      <c r="E1309" s="27" t="s">
        <v>3118</v>
      </c>
      <c r="F1309">
        <v>1010605</v>
      </c>
      <c r="G1309" t="s">
        <v>3125</v>
      </c>
    </row>
    <row r="1310" spans="1:7">
      <c r="A1310" s="25">
        <v>1001</v>
      </c>
      <c r="B1310" s="25">
        <v>5</v>
      </c>
      <c r="C1310" s="25">
        <v>1003</v>
      </c>
      <c r="D1310" s="27" t="s">
        <v>3126</v>
      </c>
      <c r="E1310" s="27" t="s">
        <v>3118</v>
      </c>
      <c r="F1310">
        <v>1010606</v>
      </c>
      <c r="G1310" t="s">
        <v>3127</v>
      </c>
    </row>
    <row r="1311" spans="1:7">
      <c r="A1311" s="25">
        <v>1001</v>
      </c>
      <c r="B1311" s="25">
        <v>5</v>
      </c>
      <c r="C1311" s="25">
        <v>1003</v>
      </c>
      <c r="D1311" s="27" t="s">
        <v>3128</v>
      </c>
      <c r="E1311" s="27" t="s">
        <v>3118</v>
      </c>
      <c r="F1311">
        <v>1010607</v>
      </c>
      <c r="G1311" t="s">
        <v>3129</v>
      </c>
    </row>
    <row r="1312" spans="1:7">
      <c r="A1312" s="25">
        <v>1001</v>
      </c>
      <c r="B1312" s="25">
        <v>5</v>
      </c>
      <c r="C1312" s="25">
        <v>1003</v>
      </c>
      <c r="D1312" s="27" t="s">
        <v>3130</v>
      </c>
      <c r="E1312" s="27" t="s">
        <v>3118</v>
      </c>
      <c r="F1312">
        <v>1010608</v>
      </c>
      <c r="G1312" t="s">
        <v>3131</v>
      </c>
    </row>
    <row r="1313" s="6" customFormat="1" spans="1:7">
      <c r="A1313" s="6">
        <v>1001</v>
      </c>
      <c r="B1313" s="6">
        <v>5</v>
      </c>
      <c r="C1313" s="6">
        <v>1003</v>
      </c>
      <c r="D1313" s="6" t="s">
        <v>3132</v>
      </c>
      <c r="E1313" s="27" t="s">
        <v>3118</v>
      </c>
      <c r="F1313" s="6">
        <v>1010609</v>
      </c>
      <c r="G1313" s="6" t="s">
        <v>3133</v>
      </c>
    </row>
    <row r="1314" spans="1:7">
      <c r="A1314" s="25">
        <v>1001</v>
      </c>
      <c r="B1314" s="25">
        <v>5</v>
      </c>
      <c r="C1314" s="25">
        <v>1003</v>
      </c>
      <c r="D1314" t="s">
        <v>3134</v>
      </c>
      <c r="E1314" s="27" t="s">
        <v>3118</v>
      </c>
      <c r="F1314">
        <v>1010610</v>
      </c>
      <c r="G1314" t="s">
        <v>3135</v>
      </c>
    </row>
    <row r="1315" spans="1:7">
      <c r="A1315" s="25">
        <v>1001</v>
      </c>
      <c r="B1315" s="25">
        <v>5</v>
      </c>
      <c r="C1315" s="25">
        <v>1003</v>
      </c>
      <c r="D1315" t="s">
        <v>3136</v>
      </c>
      <c r="E1315" s="6" t="s">
        <v>3118</v>
      </c>
      <c r="F1315" s="6">
        <v>1010611</v>
      </c>
      <c r="G1315" t="s">
        <v>3137</v>
      </c>
    </row>
    <row r="1316" spans="1:7">
      <c r="A1316" s="25">
        <v>1001</v>
      </c>
      <c r="B1316" s="25">
        <v>5</v>
      </c>
      <c r="C1316" s="25">
        <v>1003</v>
      </c>
      <c r="D1316" t="s">
        <v>3138</v>
      </c>
      <c r="E1316" s="27" t="s">
        <v>3139</v>
      </c>
      <c r="F1316">
        <v>1100101</v>
      </c>
      <c r="G1316" t="s">
        <v>3140</v>
      </c>
    </row>
    <row r="1317" spans="1:7">
      <c r="A1317" s="25">
        <v>1001</v>
      </c>
      <c r="B1317" s="25">
        <v>5</v>
      </c>
      <c r="C1317" s="25">
        <v>1003</v>
      </c>
      <c r="D1317" t="s">
        <v>3141</v>
      </c>
      <c r="E1317" s="27" t="s">
        <v>3139</v>
      </c>
      <c r="F1317">
        <v>1100102</v>
      </c>
      <c r="G1317" t="s">
        <v>3142</v>
      </c>
    </row>
    <row r="1318" spans="1:7">
      <c r="A1318" s="25">
        <v>1001</v>
      </c>
      <c r="B1318" s="25">
        <v>5</v>
      </c>
      <c r="C1318" s="25">
        <v>1003</v>
      </c>
      <c r="D1318" t="s">
        <v>3143</v>
      </c>
      <c r="E1318" s="27" t="s">
        <v>3139</v>
      </c>
      <c r="F1318">
        <v>1100103</v>
      </c>
      <c r="G1318" t="s">
        <v>3144</v>
      </c>
    </row>
    <row r="1319" spans="1:7">
      <c r="A1319" s="25">
        <v>1001</v>
      </c>
      <c r="B1319" s="25">
        <v>5</v>
      </c>
      <c r="C1319" s="25">
        <v>1003</v>
      </c>
      <c r="D1319" t="s">
        <v>3145</v>
      </c>
      <c r="E1319" s="27" t="s">
        <v>3139</v>
      </c>
      <c r="F1319">
        <v>1100104</v>
      </c>
      <c r="G1319" t="s">
        <v>3146</v>
      </c>
    </row>
    <row r="1320" spans="1:7">
      <c r="A1320" s="25">
        <v>1001</v>
      </c>
      <c r="B1320" s="25">
        <v>5</v>
      </c>
      <c r="C1320" s="25">
        <v>1003</v>
      </c>
      <c r="D1320" t="s">
        <v>3147</v>
      </c>
      <c r="E1320" s="27" t="s">
        <v>3139</v>
      </c>
      <c r="F1320">
        <v>1100105</v>
      </c>
      <c r="G1320" t="s">
        <v>3148</v>
      </c>
    </row>
    <row r="1321" spans="1:7">
      <c r="A1321" s="25">
        <v>1001</v>
      </c>
      <c r="B1321" s="25">
        <v>5</v>
      </c>
      <c r="C1321" s="25">
        <v>1003</v>
      </c>
      <c r="D1321" t="s">
        <v>3149</v>
      </c>
      <c r="E1321" s="27" t="s">
        <v>3139</v>
      </c>
      <c r="F1321">
        <v>1100106</v>
      </c>
      <c r="G1321" t="s">
        <v>3150</v>
      </c>
    </row>
    <row r="1322" spans="1:7">
      <c r="A1322" s="25">
        <v>1001</v>
      </c>
      <c r="B1322" s="25">
        <v>5</v>
      </c>
      <c r="C1322" s="25">
        <v>1003</v>
      </c>
      <c r="D1322" t="s">
        <v>3151</v>
      </c>
      <c r="E1322" s="27" t="s">
        <v>3139</v>
      </c>
      <c r="F1322">
        <v>1100107</v>
      </c>
      <c r="G1322" t="s">
        <v>3152</v>
      </c>
    </row>
    <row r="1323" spans="1:7">
      <c r="A1323" s="25">
        <v>1001</v>
      </c>
      <c r="B1323" s="25">
        <v>5</v>
      </c>
      <c r="C1323" s="25">
        <v>1003</v>
      </c>
      <c r="D1323" t="s">
        <v>3153</v>
      </c>
      <c r="E1323" s="27" t="s">
        <v>3139</v>
      </c>
      <c r="F1323">
        <v>1100108</v>
      </c>
      <c r="G1323" t="s">
        <v>3154</v>
      </c>
    </row>
    <row r="1324" spans="1:7">
      <c r="A1324" s="25">
        <v>1001</v>
      </c>
      <c r="B1324" s="25">
        <v>5</v>
      </c>
      <c r="C1324" s="25">
        <v>1003</v>
      </c>
      <c r="D1324" t="s">
        <v>3155</v>
      </c>
      <c r="E1324" s="27" t="s">
        <v>3139</v>
      </c>
      <c r="F1324">
        <v>1100109</v>
      </c>
      <c r="G1324" t="s">
        <v>3156</v>
      </c>
    </row>
    <row r="1325" spans="1:7">
      <c r="A1325" s="25">
        <v>1001</v>
      </c>
      <c r="B1325" s="25">
        <v>5</v>
      </c>
      <c r="C1325" s="25">
        <v>1003</v>
      </c>
      <c r="D1325" t="s">
        <v>3157</v>
      </c>
      <c r="E1325" s="27" t="s">
        <v>3139</v>
      </c>
      <c r="F1325">
        <v>1100110</v>
      </c>
      <c r="G1325" t="s">
        <v>3158</v>
      </c>
    </row>
    <row r="1326" spans="1:7">
      <c r="A1326" s="25">
        <v>1001</v>
      </c>
      <c r="B1326" s="25">
        <v>5</v>
      </c>
      <c r="C1326" s="25">
        <v>1003</v>
      </c>
      <c r="D1326" t="s">
        <v>3159</v>
      </c>
      <c r="E1326" s="27" t="s">
        <v>3139</v>
      </c>
      <c r="F1326">
        <v>1100111</v>
      </c>
      <c r="G1326" t="s">
        <v>3160</v>
      </c>
    </row>
    <row r="1327" spans="1:7">
      <c r="A1327" s="25">
        <v>1001</v>
      </c>
      <c r="B1327" s="25">
        <v>5</v>
      </c>
      <c r="C1327" s="25">
        <v>1003</v>
      </c>
      <c r="D1327" t="s">
        <v>3161</v>
      </c>
      <c r="E1327" s="27" t="s">
        <v>3162</v>
      </c>
      <c r="F1327">
        <v>1100201</v>
      </c>
      <c r="G1327" t="s">
        <v>3163</v>
      </c>
    </row>
    <row r="1328" spans="1:7">
      <c r="A1328" s="25">
        <v>1001</v>
      </c>
      <c r="B1328" s="25">
        <v>5</v>
      </c>
      <c r="C1328" s="25">
        <v>1003</v>
      </c>
      <c r="D1328" t="s">
        <v>3164</v>
      </c>
      <c r="E1328" s="27" t="s">
        <v>3162</v>
      </c>
      <c r="F1328">
        <v>1100202</v>
      </c>
      <c r="G1328" t="s">
        <v>3165</v>
      </c>
    </row>
    <row r="1329" spans="1:7">
      <c r="A1329" s="25">
        <v>1001</v>
      </c>
      <c r="B1329" s="25">
        <v>5</v>
      </c>
      <c r="C1329" s="25">
        <v>1003</v>
      </c>
      <c r="D1329" t="s">
        <v>3166</v>
      </c>
      <c r="E1329" s="27" t="s">
        <v>3162</v>
      </c>
      <c r="F1329">
        <v>1100203</v>
      </c>
      <c r="G1329" t="s">
        <v>3167</v>
      </c>
    </row>
    <row r="1330" spans="1:7">
      <c r="A1330" s="25">
        <v>1001</v>
      </c>
      <c r="B1330" s="25">
        <v>5</v>
      </c>
      <c r="C1330" s="25">
        <v>1003</v>
      </c>
      <c r="D1330" t="s">
        <v>3168</v>
      </c>
      <c r="E1330" s="27" t="s">
        <v>3162</v>
      </c>
      <c r="F1330">
        <v>1100204</v>
      </c>
      <c r="G1330" t="s">
        <v>3169</v>
      </c>
    </row>
    <row r="1331" spans="1:7">
      <c r="A1331" s="25">
        <v>1001</v>
      </c>
      <c r="B1331" s="25">
        <v>5</v>
      </c>
      <c r="C1331" s="25">
        <v>1003</v>
      </c>
      <c r="D1331" t="s">
        <v>3170</v>
      </c>
      <c r="E1331" s="27" t="s">
        <v>3162</v>
      </c>
      <c r="F1331">
        <v>1100205</v>
      </c>
      <c r="G1331" t="s">
        <v>3171</v>
      </c>
    </row>
    <row r="1332" spans="1:7">
      <c r="A1332" s="25">
        <v>1001</v>
      </c>
      <c r="B1332" s="25">
        <v>5</v>
      </c>
      <c r="C1332" s="25">
        <v>1003</v>
      </c>
      <c r="D1332" t="s">
        <v>3172</v>
      </c>
      <c r="E1332" s="27" t="s">
        <v>3162</v>
      </c>
      <c r="F1332">
        <v>1100206</v>
      </c>
      <c r="G1332" t="s">
        <v>3173</v>
      </c>
    </row>
    <row r="1333" spans="1:7">
      <c r="A1333" s="25">
        <v>1001</v>
      </c>
      <c r="B1333" s="25">
        <v>5</v>
      </c>
      <c r="C1333" s="25">
        <v>1003</v>
      </c>
      <c r="D1333" t="s">
        <v>3174</v>
      </c>
      <c r="E1333" s="27" t="s">
        <v>3162</v>
      </c>
      <c r="F1333">
        <v>1100207</v>
      </c>
      <c r="G1333" t="s">
        <v>3175</v>
      </c>
    </row>
    <row r="1334" spans="1:7">
      <c r="A1334" s="25">
        <v>1001</v>
      </c>
      <c r="B1334" s="25">
        <v>5</v>
      </c>
      <c r="C1334" s="25">
        <v>1003</v>
      </c>
      <c r="D1334" t="s">
        <v>3176</v>
      </c>
      <c r="E1334" s="27" t="s">
        <v>3162</v>
      </c>
      <c r="F1334">
        <v>1100208</v>
      </c>
      <c r="G1334" t="s">
        <v>3177</v>
      </c>
    </row>
    <row r="1335" spans="1:7">
      <c r="A1335" s="25">
        <v>1001</v>
      </c>
      <c r="B1335" s="25">
        <v>5</v>
      </c>
      <c r="C1335" s="25">
        <v>1003</v>
      </c>
      <c r="D1335" t="s">
        <v>3178</v>
      </c>
      <c r="E1335" s="27" t="s">
        <v>3162</v>
      </c>
      <c r="F1335">
        <v>1100209</v>
      </c>
      <c r="G1335" t="s">
        <v>3179</v>
      </c>
    </row>
    <row r="1336" spans="1:7">
      <c r="A1336" s="25">
        <v>1001</v>
      </c>
      <c r="B1336" s="25">
        <v>5</v>
      </c>
      <c r="C1336" s="25">
        <v>1003</v>
      </c>
      <c r="D1336" t="s">
        <v>3180</v>
      </c>
      <c r="E1336" s="27" t="s">
        <v>3162</v>
      </c>
      <c r="F1336">
        <v>1100210</v>
      </c>
      <c r="G1336" t="s">
        <v>3181</v>
      </c>
    </row>
    <row r="1337" spans="1:7">
      <c r="A1337" s="25">
        <v>1001</v>
      </c>
      <c r="B1337" s="25">
        <v>5</v>
      </c>
      <c r="C1337" s="25">
        <v>1003</v>
      </c>
      <c r="D1337" t="s">
        <v>3182</v>
      </c>
      <c r="E1337" s="27" t="s">
        <v>3162</v>
      </c>
      <c r="F1337">
        <v>1100211</v>
      </c>
      <c r="G1337" t="s">
        <v>3183</v>
      </c>
    </row>
    <row r="1338" spans="1:7">
      <c r="A1338" s="25">
        <v>1001</v>
      </c>
      <c r="B1338" s="25">
        <v>5</v>
      </c>
      <c r="C1338" s="25">
        <v>1003</v>
      </c>
      <c r="D1338" t="s">
        <v>3184</v>
      </c>
      <c r="E1338" s="27" t="s">
        <v>3185</v>
      </c>
      <c r="F1338">
        <v>1100301</v>
      </c>
      <c r="G1338" t="s">
        <v>3186</v>
      </c>
    </row>
    <row r="1339" spans="1:7">
      <c r="A1339" s="25">
        <v>1001</v>
      </c>
      <c r="B1339" s="25">
        <v>5</v>
      </c>
      <c r="C1339" s="25">
        <v>1003</v>
      </c>
      <c r="D1339" t="s">
        <v>3187</v>
      </c>
      <c r="E1339" s="27" t="s">
        <v>3185</v>
      </c>
      <c r="F1339">
        <v>1100302</v>
      </c>
      <c r="G1339" t="s">
        <v>3188</v>
      </c>
    </row>
    <row r="1340" spans="1:7">
      <c r="A1340" s="25">
        <v>1001</v>
      </c>
      <c r="B1340" s="25">
        <v>5</v>
      </c>
      <c r="C1340" s="25">
        <v>1003</v>
      </c>
      <c r="D1340" t="s">
        <v>3189</v>
      </c>
      <c r="E1340" s="27" t="s">
        <v>3185</v>
      </c>
      <c r="F1340">
        <v>1100303</v>
      </c>
      <c r="G1340" t="s">
        <v>3190</v>
      </c>
    </row>
    <row r="1341" spans="1:7">
      <c r="A1341" s="25">
        <v>1001</v>
      </c>
      <c r="B1341" s="25">
        <v>5</v>
      </c>
      <c r="C1341" s="25">
        <v>1003</v>
      </c>
      <c r="D1341" t="s">
        <v>3191</v>
      </c>
      <c r="E1341" s="27" t="s">
        <v>3185</v>
      </c>
      <c r="F1341">
        <v>1100304</v>
      </c>
      <c r="G1341" t="s">
        <v>3192</v>
      </c>
    </row>
    <row r="1342" spans="1:7">
      <c r="A1342" s="25">
        <v>1001</v>
      </c>
      <c r="B1342" s="25">
        <v>5</v>
      </c>
      <c r="C1342" s="25">
        <v>1003</v>
      </c>
      <c r="D1342" t="s">
        <v>3193</v>
      </c>
      <c r="E1342" s="27" t="s">
        <v>3185</v>
      </c>
      <c r="F1342">
        <v>1100305</v>
      </c>
      <c r="G1342" t="s">
        <v>3194</v>
      </c>
    </row>
    <row r="1343" spans="1:7">
      <c r="A1343" s="25">
        <v>1001</v>
      </c>
      <c r="B1343" s="25">
        <v>5</v>
      </c>
      <c r="C1343" s="25">
        <v>1003</v>
      </c>
      <c r="D1343" t="s">
        <v>3195</v>
      </c>
      <c r="E1343" s="27" t="s">
        <v>3185</v>
      </c>
      <c r="F1343">
        <v>1100306</v>
      </c>
      <c r="G1343" t="s">
        <v>3196</v>
      </c>
    </row>
    <row r="1344" spans="1:7">
      <c r="A1344" s="25">
        <v>1001</v>
      </c>
      <c r="B1344" s="25">
        <v>5</v>
      </c>
      <c r="C1344" s="25">
        <v>1003</v>
      </c>
      <c r="D1344" t="s">
        <v>3197</v>
      </c>
      <c r="E1344" s="27" t="s">
        <v>3185</v>
      </c>
      <c r="F1344">
        <v>1100307</v>
      </c>
      <c r="G1344" t="s">
        <v>3198</v>
      </c>
    </row>
    <row r="1345" spans="1:7">
      <c r="A1345" s="25">
        <v>1001</v>
      </c>
      <c r="B1345" s="25">
        <v>5</v>
      </c>
      <c r="C1345" s="25">
        <v>1003</v>
      </c>
      <c r="D1345" t="s">
        <v>3199</v>
      </c>
      <c r="E1345" s="27" t="s">
        <v>3185</v>
      </c>
      <c r="F1345">
        <v>1100308</v>
      </c>
      <c r="G1345" t="s">
        <v>3200</v>
      </c>
    </row>
    <row r="1346" spans="1:7">
      <c r="A1346" s="25">
        <v>1001</v>
      </c>
      <c r="B1346" s="25">
        <v>5</v>
      </c>
      <c r="C1346" s="25">
        <v>1003</v>
      </c>
      <c r="D1346" t="s">
        <v>3201</v>
      </c>
      <c r="E1346" s="27" t="s">
        <v>3185</v>
      </c>
      <c r="F1346">
        <v>1100309</v>
      </c>
      <c r="G1346" t="s">
        <v>3202</v>
      </c>
    </row>
    <row r="1347" spans="1:7">
      <c r="A1347" s="25">
        <v>1001</v>
      </c>
      <c r="B1347" s="25">
        <v>5</v>
      </c>
      <c r="C1347" s="25">
        <v>1003</v>
      </c>
      <c r="D1347" t="s">
        <v>3203</v>
      </c>
      <c r="E1347" s="27" t="s">
        <v>3185</v>
      </c>
      <c r="F1347">
        <v>1100310</v>
      </c>
      <c r="G1347" t="s">
        <v>3204</v>
      </c>
    </row>
    <row r="1348" spans="1:7">
      <c r="A1348" s="25">
        <v>1001</v>
      </c>
      <c r="B1348" s="25">
        <v>5</v>
      </c>
      <c r="C1348" s="25">
        <v>1003</v>
      </c>
      <c r="D1348" t="s">
        <v>3205</v>
      </c>
      <c r="E1348" s="27" t="s">
        <v>3185</v>
      </c>
      <c r="F1348">
        <v>1100311</v>
      </c>
      <c r="G1348" t="s">
        <v>3206</v>
      </c>
    </row>
    <row r="1349" spans="1:7">
      <c r="A1349" s="25">
        <v>1001</v>
      </c>
      <c r="B1349" s="25">
        <v>5</v>
      </c>
      <c r="C1349" s="25">
        <v>1003</v>
      </c>
      <c r="D1349" t="s">
        <v>3207</v>
      </c>
      <c r="E1349" s="27" t="s">
        <v>3208</v>
      </c>
      <c r="F1349">
        <v>1100401</v>
      </c>
      <c r="G1349" t="s">
        <v>3209</v>
      </c>
    </row>
    <row r="1350" spans="1:7">
      <c r="A1350" s="25">
        <v>1001</v>
      </c>
      <c r="B1350" s="25">
        <v>5</v>
      </c>
      <c r="C1350" s="25">
        <v>1003</v>
      </c>
      <c r="D1350" t="s">
        <v>3210</v>
      </c>
      <c r="E1350" s="27" t="s">
        <v>3208</v>
      </c>
      <c r="F1350">
        <v>1100402</v>
      </c>
      <c r="G1350" t="s">
        <v>3211</v>
      </c>
    </row>
    <row r="1351" spans="1:7">
      <c r="A1351" s="25">
        <v>1001</v>
      </c>
      <c r="B1351" s="25">
        <v>5</v>
      </c>
      <c r="C1351" s="25">
        <v>1003</v>
      </c>
      <c r="D1351" t="s">
        <v>3212</v>
      </c>
      <c r="E1351" s="27" t="s">
        <v>3208</v>
      </c>
      <c r="F1351">
        <v>1100403</v>
      </c>
      <c r="G1351" t="s">
        <v>3213</v>
      </c>
    </row>
    <row r="1352" spans="1:7">
      <c r="A1352" s="25">
        <v>1001</v>
      </c>
      <c r="B1352" s="25">
        <v>5</v>
      </c>
      <c r="C1352" s="25">
        <v>1003</v>
      </c>
      <c r="D1352" t="s">
        <v>3214</v>
      </c>
      <c r="E1352" s="27" t="s">
        <v>3208</v>
      </c>
      <c r="F1352">
        <v>1100404</v>
      </c>
      <c r="G1352" t="s">
        <v>3215</v>
      </c>
    </row>
    <row r="1353" spans="1:7">
      <c r="A1353" s="25">
        <v>1001</v>
      </c>
      <c r="B1353" s="25">
        <v>5</v>
      </c>
      <c r="C1353" s="25">
        <v>1003</v>
      </c>
      <c r="D1353" t="s">
        <v>3216</v>
      </c>
      <c r="E1353" s="27" t="s">
        <v>3208</v>
      </c>
      <c r="F1353">
        <v>1100405</v>
      </c>
      <c r="G1353" t="s">
        <v>3217</v>
      </c>
    </row>
    <row r="1354" spans="1:7">
      <c r="A1354" s="25">
        <v>1001</v>
      </c>
      <c r="B1354" s="25">
        <v>5</v>
      </c>
      <c r="C1354" s="25">
        <v>1003</v>
      </c>
      <c r="D1354" t="s">
        <v>3218</v>
      </c>
      <c r="E1354" s="27" t="s">
        <v>3208</v>
      </c>
      <c r="F1354">
        <v>1100406</v>
      </c>
      <c r="G1354" t="s">
        <v>3219</v>
      </c>
    </row>
    <row r="1355" spans="1:7">
      <c r="A1355" s="25">
        <v>1001</v>
      </c>
      <c r="B1355" s="25">
        <v>5</v>
      </c>
      <c r="C1355" s="25">
        <v>1003</v>
      </c>
      <c r="D1355" t="s">
        <v>3220</v>
      </c>
      <c r="E1355" s="27" t="s">
        <v>3208</v>
      </c>
      <c r="F1355">
        <v>1100407</v>
      </c>
      <c r="G1355" t="s">
        <v>3221</v>
      </c>
    </row>
    <row r="1356" spans="1:7">
      <c r="A1356" s="25">
        <v>1001</v>
      </c>
      <c r="B1356" s="25">
        <v>5</v>
      </c>
      <c r="C1356" s="25">
        <v>1003</v>
      </c>
      <c r="D1356" t="s">
        <v>3222</v>
      </c>
      <c r="E1356" s="27" t="s">
        <v>3208</v>
      </c>
      <c r="F1356">
        <v>1100408</v>
      </c>
      <c r="G1356" t="s">
        <v>3223</v>
      </c>
    </row>
    <row r="1357" spans="1:7">
      <c r="A1357" s="25">
        <v>1001</v>
      </c>
      <c r="B1357" s="25">
        <v>5</v>
      </c>
      <c r="C1357" s="25">
        <v>1003</v>
      </c>
      <c r="D1357" t="s">
        <v>3224</v>
      </c>
      <c r="E1357" s="27" t="s">
        <v>3208</v>
      </c>
      <c r="F1357">
        <v>1100409</v>
      </c>
      <c r="G1357" t="s">
        <v>3225</v>
      </c>
    </row>
    <row r="1358" spans="1:7">
      <c r="A1358" s="25">
        <v>1001</v>
      </c>
      <c r="B1358" s="25">
        <v>5</v>
      </c>
      <c r="C1358" s="25">
        <v>1003</v>
      </c>
      <c r="D1358" t="s">
        <v>3226</v>
      </c>
      <c r="E1358" s="27" t="s">
        <v>3208</v>
      </c>
      <c r="F1358">
        <v>1100410</v>
      </c>
      <c r="G1358" t="s">
        <v>3227</v>
      </c>
    </row>
    <row r="1359" spans="1:7">
      <c r="A1359" s="25">
        <v>1001</v>
      </c>
      <c r="B1359" s="25">
        <v>5</v>
      </c>
      <c r="C1359" s="25">
        <v>1003</v>
      </c>
      <c r="D1359" t="s">
        <v>3228</v>
      </c>
      <c r="E1359" s="27" t="s">
        <v>3208</v>
      </c>
      <c r="F1359">
        <v>1100411</v>
      </c>
      <c r="G1359" t="s">
        <v>3229</v>
      </c>
    </row>
    <row r="1360" spans="1:7">
      <c r="A1360" s="25">
        <v>1001</v>
      </c>
      <c r="B1360" s="25">
        <v>5</v>
      </c>
      <c r="C1360" s="25">
        <v>1003</v>
      </c>
      <c r="D1360" t="s">
        <v>3230</v>
      </c>
      <c r="E1360" s="27" t="s">
        <v>3231</v>
      </c>
      <c r="F1360">
        <v>1100501</v>
      </c>
      <c r="G1360" t="s">
        <v>3232</v>
      </c>
    </row>
    <row r="1361" spans="1:7">
      <c r="A1361" s="25">
        <v>1001</v>
      </c>
      <c r="B1361" s="25">
        <v>5</v>
      </c>
      <c r="C1361" s="25">
        <v>1003</v>
      </c>
      <c r="D1361" t="s">
        <v>3233</v>
      </c>
      <c r="E1361" s="27" t="s">
        <v>3231</v>
      </c>
      <c r="F1361">
        <v>1100502</v>
      </c>
      <c r="G1361" t="s">
        <v>3234</v>
      </c>
    </row>
    <row r="1362" spans="1:7">
      <c r="A1362" s="25">
        <v>1001</v>
      </c>
      <c r="B1362" s="25">
        <v>5</v>
      </c>
      <c r="C1362" s="25">
        <v>1003</v>
      </c>
      <c r="D1362" t="s">
        <v>3235</v>
      </c>
      <c r="E1362" s="27" t="s">
        <v>3231</v>
      </c>
      <c r="F1362">
        <v>1100503</v>
      </c>
      <c r="G1362" t="s">
        <v>3236</v>
      </c>
    </row>
    <row r="1363" spans="1:7">
      <c r="A1363" s="25">
        <v>1001</v>
      </c>
      <c r="B1363" s="25">
        <v>5</v>
      </c>
      <c r="C1363" s="25">
        <v>1003</v>
      </c>
      <c r="D1363" t="s">
        <v>3237</v>
      </c>
      <c r="E1363" s="27" t="s">
        <v>3231</v>
      </c>
      <c r="F1363">
        <v>1100504</v>
      </c>
      <c r="G1363" t="s">
        <v>3238</v>
      </c>
    </row>
    <row r="1364" spans="1:7">
      <c r="A1364" s="25">
        <v>1001</v>
      </c>
      <c r="B1364" s="25">
        <v>5</v>
      </c>
      <c r="C1364" s="25">
        <v>1003</v>
      </c>
      <c r="D1364" t="s">
        <v>3239</v>
      </c>
      <c r="E1364" s="27" t="s">
        <v>3231</v>
      </c>
      <c r="F1364">
        <v>1100505</v>
      </c>
      <c r="G1364" t="s">
        <v>3240</v>
      </c>
    </row>
    <row r="1365" spans="1:7">
      <c r="A1365" s="25">
        <v>1001</v>
      </c>
      <c r="B1365" s="25">
        <v>5</v>
      </c>
      <c r="C1365" s="25">
        <v>1003</v>
      </c>
      <c r="D1365" t="s">
        <v>3241</v>
      </c>
      <c r="E1365" s="27" t="s">
        <v>3231</v>
      </c>
      <c r="F1365">
        <v>1100506</v>
      </c>
      <c r="G1365" t="s">
        <v>3242</v>
      </c>
    </row>
    <row r="1366" spans="1:7">
      <c r="A1366" s="25">
        <v>1001</v>
      </c>
      <c r="B1366" s="25">
        <v>5</v>
      </c>
      <c r="C1366" s="25">
        <v>1003</v>
      </c>
      <c r="D1366" t="s">
        <v>3243</v>
      </c>
      <c r="E1366" s="27" t="s">
        <v>3231</v>
      </c>
      <c r="F1366">
        <v>1100507</v>
      </c>
      <c r="G1366" t="s">
        <v>3244</v>
      </c>
    </row>
    <row r="1367" spans="1:7">
      <c r="A1367" s="25">
        <v>1001</v>
      </c>
      <c r="B1367" s="25">
        <v>5</v>
      </c>
      <c r="C1367" s="25">
        <v>1003</v>
      </c>
      <c r="D1367" t="s">
        <v>3245</v>
      </c>
      <c r="E1367" s="27" t="s">
        <v>3231</v>
      </c>
      <c r="F1367">
        <v>1100508</v>
      </c>
      <c r="G1367" t="s">
        <v>3246</v>
      </c>
    </row>
    <row r="1368" spans="1:7">
      <c r="A1368" s="25">
        <v>1001</v>
      </c>
      <c r="B1368" s="25">
        <v>5</v>
      </c>
      <c r="C1368" s="25">
        <v>1003</v>
      </c>
      <c r="D1368" t="s">
        <v>3247</v>
      </c>
      <c r="E1368" s="27" t="s">
        <v>3231</v>
      </c>
      <c r="F1368">
        <v>1100509</v>
      </c>
      <c r="G1368" t="s">
        <v>3248</v>
      </c>
    </row>
    <row r="1369" spans="1:7">
      <c r="A1369" s="25">
        <v>1001</v>
      </c>
      <c r="B1369" s="25">
        <v>5</v>
      </c>
      <c r="C1369" s="25">
        <v>1003</v>
      </c>
      <c r="D1369" t="s">
        <v>3249</v>
      </c>
      <c r="E1369" s="27" t="s">
        <v>3231</v>
      </c>
      <c r="F1369">
        <v>1100510</v>
      </c>
      <c r="G1369" t="s">
        <v>3250</v>
      </c>
    </row>
    <row r="1370" spans="1:7">
      <c r="A1370" s="25">
        <v>1001</v>
      </c>
      <c r="B1370" s="25">
        <v>5</v>
      </c>
      <c r="C1370" s="25">
        <v>1003</v>
      </c>
      <c r="D1370" t="s">
        <v>3251</v>
      </c>
      <c r="E1370" s="27" t="s">
        <v>3231</v>
      </c>
      <c r="F1370">
        <v>1100511</v>
      </c>
      <c r="G1370" t="s">
        <v>3252</v>
      </c>
    </row>
    <row r="1371" spans="1:7">
      <c r="A1371" s="25">
        <v>1001</v>
      </c>
      <c r="B1371" s="25">
        <v>5</v>
      </c>
      <c r="C1371" s="25">
        <v>1003</v>
      </c>
      <c r="D1371" t="s">
        <v>3253</v>
      </c>
      <c r="E1371" s="27" t="s">
        <v>3254</v>
      </c>
      <c r="F1371">
        <v>1100601</v>
      </c>
      <c r="G1371" t="s">
        <v>3255</v>
      </c>
    </row>
    <row r="1372" spans="1:7">
      <c r="A1372" s="25">
        <v>1001</v>
      </c>
      <c r="B1372" s="25">
        <v>5</v>
      </c>
      <c r="C1372" s="25">
        <v>1003</v>
      </c>
      <c r="D1372" t="s">
        <v>3256</v>
      </c>
      <c r="E1372" s="27" t="s">
        <v>3254</v>
      </c>
      <c r="F1372">
        <v>1100602</v>
      </c>
      <c r="G1372" t="s">
        <v>3257</v>
      </c>
    </row>
    <row r="1373" spans="1:7">
      <c r="A1373" s="25">
        <v>1001</v>
      </c>
      <c r="B1373" s="25">
        <v>5</v>
      </c>
      <c r="C1373" s="25">
        <v>1003</v>
      </c>
      <c r="D1373" t="s">
        <v>3258</v>
      </c>
      <c r="E1373" s="27" t="s">
        <v>3254</v>
      </c>
      <c r="F1373">
        <v>1100603</v>
      </c>
      <c r="G1373" t="s">
        <v>3259</v>
      </c>
    </row>
    <row r="1374" spans="1:7">
      <c r="A1374" s="25">
        <v>1001</v>
      </c>
      <c r="B1374" s="25">
        <v>5</v>
      </c>
      <c r="C1374" s="25">
        <v>1003</v>
      </c>
      <c r="D1374" t="s">
        <v>3260</v>
      </c>
      <c r="E1374" s="27" t="s">
        <v>3254</v>
      </c>
      <c r="F1374">
        <v>1100604</v>
      </c>
      <c r="G1374" t="s">
        <v>3261</v>
      </c>
    </row>
    <row r="1375" spans="1:7">
      <c r="A1375" s="25">
        <v>1001</v>
      </c>
      <c r="B1375" s="25">
        <v>5</v>
      </c>
      <c r="C1375" s="25">
        <v>1003</v>
      </c>
      <c r="D1375" t="s">
        <v>3262</v>
      </c>
      <c r="E1375" s="27" t="s">
        <v>3254</v>
      </c>
      <c r="F1375">
        <v>1100605</v>
      </c>
      <c r="G1375" t="s">
        <v>3263</v>
      </c>
    </row>
    <row r="1376" spans="1:7">
      <c r="A1376" s="25">
        <v>1001</v>
      </c>
      <c r="B1376" s="25">
        <v>5</v>
      </c>
      <c r="C1376" s="25">
        <v>1003</v>
      </c>
      <c r="D1376" t="s">
        <v>3264</v>
      </c>
      <c r="E1376" s="27" t="s">
        <v>3254</v>
      </c>
      <c r="F1376">
        <v>1100606</v>
      </c>
      <c r="G1376" t="s">
        <v>3265</v>
      </c>
    </row>
    <row r="1377" spans="1:7">
      <c r="A1377" s="25">
        <v>1001</v>
      </c>
      <c r="B1377" s="25">
        <v>5</v>
      </c>
      <c r="C1377" s="25">
        <v>1003</v>
      </c>
      <c r="D1377" t="s">
        <v>3266</v>
      </c>
      <c r="E1377" s="27" t="s">
        <v>3254</v>
      </c>
      <c r="F1377">
        <v>1100607</v>
      </c>
      <c r="G1377" t="s">
        <v>3267</v>
      </c>
    </row>
    <row r="1378" spans="1:7">
      <c r="A1378" s="25">
        <v>1001</v>
      </c>
      <c r="B1378" s="25">
        <v>5</v>
      </c>
      <c r="C1378" s="25">
        <v>1003</v>
      </c>
      <c r="D1378" t="s">
        <v>3268</v>
      </c>
      <c r="E1378" s="27" t="s">
        <v>3254</v>
      </c>
      <c r="F1378">
        <v>1100608</v>
      </c>
      <c r="G1378" t="s">
        <v>3269</v>
      </c>
    </row>
    <row r="1379" spans="1:7">
      <c r="A1379" s="25">
        <v>1001</v>
      </c>
      <c r="B1379" s="25">
        <v>5</v>
      </c>
      <c r="C1379" s="25">
        <v>1003</v>
      </c>
      <c r="D1379" t="s">
        <v>3270</v>
      </c>
      <c r="E1379" s="27" t="s">
        <v>3254</v>
      </c>
      <c r="F1379">
        <v>1100609</v>
      </c>
      <c r="G1379" t="s">
        <v>3271</v>
      </c>
    </row>
    <row r="1380" spans="1:7">
      <c r="A1380" s="25">
        <v>1001</v>
      </c>
      <c r="B1380" s="25">
        <v>5</v>
      </c>
      <c r="C1380" s="25">
        <v>1003</v>
      </c>
      <c r="D1380" t="s">
        <v>3272</v>
      </c>
      <c r="E1380" s="27" t="s">
        <v>3254</v>
      </c>
      <c r="F1380">
        <v>1100610</v>
      </c>
      <c r="G1380" t="s">
        <v>3273</v>
      </c>
    </row>
    <row r="1381" spans="1:7">
      <c r="A1381" s="25">
        <v>1001</v>
      </c>
      <c r="B1381" s="25">
        <v>5</v>
      </c>
      <c r="C1381" s="25">
        <v>1003</v>
      </c>
      <c r="D1381" t="s">
        <v>3274</v>
      </c>
      <c r="E1381" s="27" t="s">
        <v>3254</v>
      </c>
      <c r="F1381">
        <v>1100611</v>
      </c>
      <c r="G1381" t="s">
        <v>3275</v>
      </c>
    </row>
    <row r="1382" spans="1:7">
      <c r="A1382" s="25">
        <v>1001</v>
      </c>
      <c r="B1382" s="25">
        <v>5</v>
      </c>
      <c r="C1382" s="25">
        <v>1003</v>
      </c>
      <c r="D1382" t="s">
        <v>3276</v>
      </c>
      <c r="E1382" s="27" t="s">
        <v>3277</v>
      </c>
      <c r="F1382">
        <v>1100701</v>
      </c>
      <c r="G1382" t="s">
        <v>3278</v>
      </c>
    </row>
    <row r="1383" spans="1:7">
      <c r="A1383" s="25">
        <v>1001</v>
      </c>
      <c r="B1383" s="25">
        <v>5</v>
      </c>
      <c r="C1383" s="25">
        <v>1003</v>
      </c>
      <c r="D1383" t="s">
        <v>3279</v>
      </c>
      <c r="E1383" s="27" t="s">
        <v>3277</v>
      </c>
      <c r="F1383">
        <v>1100702</v>
      </c>
      <c r="G1383" t="s">
        <v>3280</v>
      </c>
    </row>
    <row r="1384" spans="1:7">
      <c r="A1384" s="25">
        <v>1001</v>
      </c>
      <c r="B1384" s="25">
        <v>5</v>
      </c>
      <c r="C1384" s="25">
        <v>1003</v>
      </c>
      <c r="D1384" t="s">
        <v>3281</v>
      </c>
      <c r="E1384" s="27" t="s">
        <v>3277</v>
      </c>
      <c r="F1384">
        <v>1100703</v>
      </c>
      <c r="G1384" t="s">
        <v>3282</v>
      </c>
    </row>
    <row r="1385" spans="1:7">
      <c r="A1385" s="25">
        <v>1001</v>
      </c>
      <c r="B1385" s="25">
        <v>5</v>
      </c>
      <c r="C1385" s="25">
        <v>1003</v>
      </c>
      <c r="D1385" t="s">
        <v>3283</v>
      </c>
      <c r="E1385" s="27" t="s">
        <v>3277</v>
      </c>
      <c r="F1385">
        <v>1100704</v>
      </c>
      <c r="G1385" t="s">
        <v>3284</v>
      </c>
    </row>
    <row r="1386" spans="1:7">
      <c r="A1386" s="25">
        <v>1001</v>
      </c>
      <c r="B1386" s="25">
        <v>5</v>
      </c>
      <c r="C1386" s="25">
        <v>1003</v>
      </c>
      <c r="D1386" t="s">
        <v>3285</v>
      </c>
      <c r="E1386" s="27" t="s">
        <v>3277</v>
      </c>
      <c r="F1386">
        <v>1100705</v>
      </c>
      <c r="G1386" t="s">
        <v>3286</v>
      </c>
    </row>
    <row r="1387" spans="1:7">
      <c r="A1387" s="25">
        <v>1001</v>
      </c>
      <c r="B1387" s="25">
        <v>5</v>
      </c>
      <c r="C1387" s="25">
        <v>1003</v>
      </c>
      <c r="D1387" t="s">
        <v>3287</v>
      </c>
      <c r="E1387" s="27" t="s">
        <v>3277</v>
      </c>
      <c r="F1387">
        <v>1100706</v>
      </c>
      <c r="G1387" t="s">
        <v>3288</v>
      </c>
    </row>
    <row r="1388" spans="1:7">
      <c r="A1388" s="25">
        <v>1001</v>
      </c>
      <c r="B1388" s="25">
        <v>5</v>
      </c>
      <c r="C1388" s="25">
        <v>1003</v>
      </c>
      <c r="D1388" t="s">
        <v>3289</v>
      </c>
      <c r="E1388" s="27" t="s">
        <v>3277</v>
      </c>
      <c r="F1388">
        <v>1100707</v>
      </c>
      <c r="G1388" t="s">
        <v>3290</v>
      </c>
    </row>
    <row r="1389" spans="1:7">
      <c r="A1389" s="25">
        <v>1001</v>
      </c>
      <c r="B1389" s="25">
        <v>5</v>
      </c>
      <c r="C1389" s="25">
        <v>1003</v>
      </c>
      <c r="D1389" t="s">
        <v>3291</v>
      </c>
      <c r="E1389" s="27" t="s">
        <v>3277</v>
      </c>
      <c r="F1389">
        <v>1100708</v>
      </c>
      <c r="G1389" t="s">
        <v>3292</v>
      </c>
    </row>
    <row r="1390" spans="1:7">
      <c r="A1390" s="25">
        <v>1001</v>
      </c>
      <c r="B1390" s="25">
        <v>5</v>
      </c>
      <c r="C1390" s="25">
        <v>1003</v>
      </c>
      <c r="D1390" t="s">
        <v>3293</v>
      </c>
      <c r="E1390" s="27" t="s">
        <v>3277</v>
      </c>
      <c r="F1390">
        <v>1100709</v>
      </c>
      <c r="G1390" t="s">
        <v>3294</v>
      </c>
    </row>
    <row r="1391" spans="1:7">
      <c r="A1391" s="25">
        <v>1001</v>
      </c>
      <c r="B1391" s="25">
        <v>5</v>
      </c>
      <c r="C1391" s="25">
        <v>1003</v>
      </c>
      <c r="D1391" t="s">
        <v>3295</v>
      </c>
      <c r="E1391" s="27" t="s">
        <v>3277</v>
      </c>
      <c r="F1391">
        <v>1100710</v>
      </c>
      <c r="G1391" t="s">
        <v>3296</v>
      </c>
    </row>
    <row r="1392" spans="1:7">
      <c r="A1392" s="25">
        <v>1001</v>
      </c>
      <c r="B1392" s="25">
        <v>5</v>
      </c>
      <c r="C1392" s="25">
        <v>1003</v>
      </c>
      <c r="D1392" t="s">
        <v>3297</v>
      </c>
      <c r="E1392" s="27" t="s">
        <v>3277</v>
      </c>
      <c r="F1392">
        <v>1100711</v>
      </c>
      <c r="G1392" t="s">
        <v>3298</v>
      </c>
    </row>
    <row r="1393" spans="1:7">
      <c r="A1393" s="25">
        <v>1001</v>
      </c>
      <c r="B1393" s="25">
        <v>5</v>
      </c>
      <c r="C1393" s="25">
        <v>1003</v>
      </c>
      <c r="D1393" t="s">
        <v>3299</v>
      </c>
      <c r="E1393" s="27" t="s">
        <v>3300</v>
      </c>
      <c r="F1393">
        <v>1100801</v>
      </c>
      <c r="G1393" t="s">
        <v>3301</v>
      </c>
    </row>
    <row r="1394" spans="1:7">
      <c r="A1394" s="25">
        <v>1001</v>
      </c>
      <c r="B1394" s="25">
        <v>5</v>
      </c>
      <c r="C1394" s="25">
        <v>1003</v>
      </c>
      <c r="D1394" t="s">
        <v>3302</v>
      </c>
      <c r="E1394" s="27" t="s">
        <v>3300</v>
      </c>
      <c r="F1394">
        <v>1100802</v>
      </c>
      <c r="G1394" t="s">
        <v>3303</v>
      </c>
    </row>
    <row r="1395" spans="1:7">
      <c r="A1395" s="25">
        <v>1001</v>
      </c>
      <c r="B1395" s="25">
        <v>5</v>
      </c>
      <c r="C1395" s="25">
        <v>1003</v>
      </c>
      <c r="D1395" t="s">
        <v>3304</v>
      </c>
      <c r="E1395" s="27" t="s">
        <v>3300</v>
      </c>
      <c r="F1395">
        <v>1100803</v>
      </c>
      <c r="G1395" t="s">
        <v>3305</v>
      </c>
    </row>
    <row r="1396" spans="1:7">
      <c r="A1396" s="25">
        <v>1001</v>
      </c>
      <c r="B1396" s="25">
        <v>5</v>
      </c>
      <c r="C1396" s="25">
        <v>1003</v>
      </c>
      <c r="D1396" t="s">
        <v>3306</v>
      </c>
      <c r="E1396" s="27" t="s">
        <v>3300</v>
      </c>
      <c r="F1396">
        <v>1100804</v>
      </c>
      <c r="G1396" t="s">
        <v>3307</v>
      </c>
    </row>
    <row r="1397" spans="1:7">
      <c r="A1397" s="25">
        <v>1001</v>
      </c>
      <c r="B1397" s="25">
        <v>5</v>
      </c>
      <c r="C1397" s="25">
        <v>1003</v>
      </c>
      <c r="D1397" t="s">
        <v>3308</v>
      </c>
      <c r="E1397" s="27" t="s">
        <v>3300</v>
      </c>
      <c r="F1397">
        <v>1100805</v>
      </c>
      <c r="G1397" t="s">
        <v>3309</v>
      </c>
    </row>
    <row r="1398" spans="1:7">
      <c r="A1398" s="25">
        <v>1001</v>
      </c>
      <c r="B1398" s="25">
        <v>5</v>
      </c>
      <c r="C1398" s="25">
        <v>1003</v>
      </c>
      <c r="D1398" t="s">
        <v>3310</v>
      </c>
      <c r="E1398" s="27" t="s">
        <v>3300</v>
      </c>
      <c r="F1398">
        <v>1100806</v>
      </c>
      <c r="G1398" t="s">
        <v>3311</v>
      </c>
    </row>
    <row r="1399" spans="1:7">
      <c r="A1399" s="25">
        <v>1001</v>
      </c>
      <c r="B1399" s="25">
        <v>5</v>
      </c>
      <c r="C1399" s="25">
        <v>1003</v>
      </c>
      <c r="D1399" t="s">
        <v>3312</v>
      </c>
      <c r="E1399" s="27" t="s">
        <v>3300</v>
      </c>
      <c r="F1399">
        <v>1100807</v>
      </c>
      <c r="G1399" t="s">
        <v>3313</v>
      </c>
    </row>
    <row r="1400" spans="1:7">
      <c r="A1400" s="25">
        <v>1001</v>
      </c>
      <c r="B1400" s="25">
        <v>5</v>
      </c>
      <c r="C1400" s="25">
        <v>1003</v>
      </c>
      <c r="D1400" t="s">
        <v>3314</v>
      </c>
      <c r="E1400" s="27" t="s">
        <v>3300</v>
      </c>
      <c r="F1400">
        <v>1100808</v>
      </c>
      <c r="G1400" t="s">
        <v>3315</v>
      </c>
    </row>
    <row r="1401" spans="1:7">
      <c r="A1401" s="25">
        <v>1001</v>
      </c>
      <c r="B1401" s="25">
        <v>5</v>
      </c>
      <c r="C1401" s="25">
        <v>1003</v>
      </c>
      <c r="D1401" t="s">
        <v>3316</v>
      </c>
      <c r="E1401" s="27" t="s">
        <v>3300</v>
      </c>
      <c r="F1401">
        <v>1100809</v>
      </c>
      <c r="G1401" t="s">
        <v>3317</v>
      </c>
    </row>
    <row r="1402" spans="1:7">
      <c r="A1402" s="25">
        <v>1001</v>
      </c>
      <c r="B1402" s="25">
        <v>5</v>
      </c>
      <c r="C1402" s="25">
        <v>1003</v>
      </c>
      <c r="D1402" t="s">
        <v>3318</v>
      </c>
      <c r="E1402" s="27" t="s">
        <v>3300</v>
      </c>
      <c r="F1402">
        <v>1100810</v>
      </c>
      <c r="G1402" t="s">
        <v>3319</v>
      </c>
    </row>
    <row r="1403" spans="1:7">
      <c r="A1403" s="25">
        <v>1001</v>
      </c>
      <c r="B1403" s="25">
        <v>5</v>
      </c>
      <c r="C1403" s="25">
        <v>1003</v>
      </c>
      <c r="D1403" t="s">
        <v>3320</v>
      </c>
      <c r="E1403" s="27" t="s">
        <v>3300</v>
      </c>
      <c r="F1403">
        <v>1100811</v>
      </c>
      <c r="G1403" t="s">
        <v>3321</v>
      </c>
    </row>
    <row r="1404" spans="1:7">
      <c r="A1404" s="25">
        <v>1001</v>
      </c>
      <c r="B1404" s="25">
        <v>5</v>
      </c>
      <c r="C1404" s="25">
        <v>1003</v>
      </c>
      <c r="D1404" t="s">
        <v>3322</v>
      </c>
      <c r="E1404" s="27" t="s">
        <v>3323</v>
      </c>
      <c r="F1404">
        <v>1100901</v>
      </c>
      <c r="G1404" t="s">
        <v>3324</v>
      </c>
    </row>
    <row r="1405" spans="1:7">
      <c r="A1405" s="25">
        <v>1001</v>
      </c>
      <c r="B1405" s="25">
        <v>5</v>
      </c>
      <c r="C1405" s="25">
        <v>1003</v>
      </c>
      <c r="D1405" t="s">
        <v>3325</v>
      </c>
      <c r="E1405" s="27" t="s">
        <v>3323</v>
      </c>
      <c r="F1405">
        <v>1100902</v>
      </c>
      <c r="G1405" t="s">
        <v>3326</v>
      </c>
    </row>
    <row r="1406" spans="1:7">
      <c r="A1406" s="25">
        <v>1001</v>
      </c>
      <c r="B1406" s="25">
        <v>5</v>
      </c>
      <c r="C1406" s="25">
        <v>1003</v>
      </c>
      <c r="D1406" t="s">
        <v>3327</v>
      </c>
      <c r="E1406" s="27" t="s">
        <v>3323</v>
      </c>
      <c r="F1406">
        <v>1100903</v>
      </c>
      <c r="G1406" t="s">
        <v>3328</v>
      </c>
    </row>
    <row r="1407" spans="1:7">
      <c r="A1407" s="25">
        <v>1001</v>
      </c>
      <c r="B1407" s="25">
        <v>5</v>
      </c>
      <c r="C1407" s="25">
        <v>1003</v>
      </c>
      <c r="D1407" t="s">
        <v>3329</v>
      </c>
      <c r="E1407" s="27" t="s">
        <v>3323</v>
      </c>
      <c r="F1407">
        <v>1100904</v>
      </c>
      <c r="G1407" t="s">
        <v>3330</v>
      </c>
    </row>
    <row r="1408" spans="1:7">
      <c r="A1408" s="25">
        <v>1001</v>
      </c>
      <c r="B1408" s="25">
        <v>5</v>
      </c>
      <c r="C1408" s="25">
        <v>1003</v>
      </c>
      <c r="D1408" t="s">
        <v>3331</v>
      </c>
      <c r="E1408" s="27" t="s">
        <v>3323</v>
      </c>
      <c r="F1408">
        <v>1100905</v>
      </c>
      <c r="G1408" t="s">
        <v>3332</v>
      </c>
    </row>
    <row r="1409" spans="1:7">
      <c r="A1409" s="25">
        <v>1001</v>
      </c>
      <c r="B1409" s="25">
        <v>5</v>
      </c>
      <c r="C1409" s="25">
        <v>1003</v>
      </c>
      <c r="D1409" t="s">
        <v>3333</v>
      </c>
      <c r="E1409" s="27" t="s">
        <v>3323</v>
      </c>
      <c r="F1409">
        <v>1100906</v>
      </c>
      <c r="G1409" t="s">
        <v>3334</v>
      </c>
    </row>
    <row r="1410" spans="1:7">
      <c r="A1410" s="25">
        <v>1001</v>
      </c>
      <c r="B1410" s="25">
        <v>5</v>
      </c>
      <c r="C1410" s="25">
        <v>1003</v>
      </c>
      <c r="D1410" t="s">
        <v>3335</v>
      </c>
      <c r="E1410" s="27" t="s">
        <v>3323</v>
      </c>
      <c r="F1410">
        <v>1100907</v>
      </c>
      <c r="G1410" t="s">
        <v>3336</v>
      </c>
    </row>
    <row r="1411" spans="1:7">
      <c r="A1411" s="25">
        <v>1001</v>
      </c>
      <c r="B1411" s="25">
        <v>5</v>
      </c>
      <c r="C1411" s="25">
        <v>1003</v>
      </c>
      <c r="D1411" t="s">
        <v>3337</v>
      </c>
      <c r="E1411" s="27" t="s">
        <v>3323</v>
      </c>
      <c r="F1411">
        <v>1100908</v>
      </c>
      <c r="G1411" t="s">
        <v>3338</v>
      </c>
    </row>
    <row r="1412" spans="1:7">
      <c r="A1412" s="25">
        <v>1001</v>
      </c>
      <c r="B1412" s="25">
        <v>5</v>
      </c>
      <c r="C1412" s="25">
        <v>1003</v>
      </c>
      <c r="D1412" t="s">
        <v>3339</v>
      </c>
      <c r="E1412" s="27" t="s">
        <v>3323</v>
      </c>
      <c r="F1412">
        <v>1100909</v>
      </c>
      <c r="G1412" t="s">
        <v>3340</v>
      </c>
    </row>
    <row r="1413" spans="1:7">
      <c r="A1413" s="25">
        <v>1001</v>
      </c>
      <c r="B1413" s="25">
        <v>5</v>
      </c>
      <c r="C1413" s="25">
        <v>1003</v>
      </c>
      <c r="D1413" t="s">
        <v>3341</v>
      </c>
      <c r="E1413" s="27" t="s">
        <v>3323</v>
      </c>
      <c r="F1413">
        <v>1100910</v>
      </c>
      <c r="G1413" t="s">
        <v>3342</v>
      </c>
    </row>
    <row r="1414" spans="1:7">
      <c r="A1414" s="25">
        <v>1001</v>
      </c>
      <c r="B1414" s="25">
        <v>5</v>
      </c>
      <c r="C1414" s="25">
        <v>1003</v>
      </c>
      <c r="D1414" t="s">
        <v>3343</v>
      </c>
      <c r="E1414" s="27" t="s">
        <v>3323</v>
      </c>
      <c r="F1414">
        <v>1100911</v>
      </c>
      <c r="G1414" t="s">
        <v>3344</v>
      </c>
    </row>
    <row r="1415" spans="1:7">
      <c r="A1415" s="25">
        <v>1001</v>
      </c>
      <c r="B1415" s="25">
        <v>5</v>
      </c>
      <c r="C1415" s="25">
        <v>1003</v>
      </c>
      <c r="D1415" t="s">
        <v>3345</v>
      </c>
      <c r="E1415" s="27" t="s">
        <v>3346</v>
      </c>
      <c r="F1415">
        <v>1101001</v>
      </c>
      <c r="G1415" t="s">
        <v>3347</v>
      </c>
    </row>
    <row r="1416" spans="1:7">
      <c r="A1416" s="25">
        <v>1001</v>
      </c>
      <c r="B1416" s="25">
        <v>5</v>
      </c>
      <c r="C1416" s="25">
        <v>1003</v>
      </c>
      <c r="D1416" t="s">
        <v>3348</v>
      </c>
      <c r="E1416" s="27" t="s">
        <v>3346</v>
      </c>
      <c r="F1416">
        <v>1101002</v>
      </c>
      <c r="G1416" t="s">
        <v>3349</v>
      </c>
    </row>
    <row r="1417" spans="1:7">
      <c r="A1417" s="25">
        <v>1001</v>
      </c>
      <c r="B1417" s="25">
        <v>5</v>
      </c>
      <c r="C1417" s="25">
        <v>1003</v>
      </c>
      <c r="D1417" t="s">
        <v>3350</v>
      </c>
      <c r="E1417" s="27" t="s">
        <v>3346</v>
      </c>
      <c r="F1417">
        <v>1101003</v>
      </c>
      <c r="G1417" t="s">
        <v>3351</v>
      </c>
    </row>
    <row r="1418" spans="1:7">
      <c r="A1418" s="25">
        <v>1001</v>
      </c>
      <c r="B1418" s="25">
        <v>5</v>
      </c>
      <c r="C1418" s="25">
        <v>1003</v>
      </c>
      <c r="D1418" t="s">
        <v>3352</v>
      </c>
      <c r="E1418" s="27" t="s">
        <v>3346</v>
      </c>
      <c r="F1418">
        <v>1101004</v>
      </c>
      <c r="G1418" t="s">
        <v>3353</v>
      </c>
    </row>
    <row r="1419" spans="1:7">
      <c r="A1419" s="25">
        <v>1001</v>
      </c>
      <c r="B1419" s="25">
        <v>5</v>
      </c>
      <c r="C1419" s="25">
        <v>1003</v>
      </c>
      <c r="D1419" t="s">
        <v>3354</v>
      </c>
      <c r="E1419" s="27" t="s">
        <v>3346</v>
      </c>
      <c r="F1419">
        <v>1101005</v>
      </c>
      <c r="G1419" t="s">
        <v>3355</v>
      </c>
    </row>
    <row r="1420" spans="1:7">
      <c r="A1420" s="25">
        <v>1001</v>
      </c>
      <c r="B1420" s="25">
        <v>5</v>
      </c>
      <c r="C1420" s="25">
        <v>1003</v>
      </c>
      <c r="D1420" t="s">
        <v>3356</v>
      </c>
      <c r="E1420" s="27" t="s">
        <v>3346</v>
      </c>
      <c r="F1420">
        <v>1101006</v>
      </c>
      <c r="G1420" t="s">
        <v>3357</v>
      </c>
    </row>
    <row r="1421" spans="1:7">
      <c r="A1421" s="25">
        <v>1001</v>
      </c>
      <c r="B1421" s="25">
        <v>5</v>
      </c>
      <c r="C1421" s="25">
        <v>1003</v>
      </c>
      <c r="D1421" t="s">
        <v>3358</v>
      </c>
      <c r="E1421" s="27" t="s">
        <v>3346</v>
      </c>
      <c r="F1421">
        <v>1101007</v>
      </c>
      <c r="G1421" t="s">
        <v>3359</v>
      </c>
    </row>
    <row r="1422" spans="1:7">
      <c r="A1422" s="25">
        <v>1001</v>
      </c>
      <c r="B1422" s="25">
        <v>5</v>
      </c>
      <c r="C1422" s="25">
        <v>1003</v>
      </c>
      <c r="D1422" t="s">
        <v>3360</v>
      </c>
      <c r="E1422" s="27" t="s">
        <v>3346</v>
      </c>
      <c r="F1422">
        <v>1101008</v>
      </c>
      <c r="G1422" t="s">
        <v>3361</v>
      </c>
    </row>
    <row r="1423" spans="1:7">
      <c r="A1423" s="25">
        <v>1001</v>
      </c>
      <c r="B1423" s="25">
        <v>5</v>
      </c>
      <c r="C1423" s="25">
        <v>1003</v>
      </c>
      <c r="D1423" t="s">
        <v>3362</v>
      </c>
      <c r="E1423" s="27" t="s">
        <v>3346</v>
      </c>
      <c r="F1423">
        <v>1101009</v>
      </c>
      <c r="G1423" t="s">
        <v>3363</v>
      </c>
    </row>
    <row r="1424" spans="1:7">
      <c r="A1424" s="25">
        <v>1001</v>
      </c>
      <c r="B1424" s="25">
        <v>5</v>
      </c>
      <c r="C1424" s="25">
        <v>1003</v>
      </c>
      <c r="D1424" t="s">
        <v>3364</v>
      </c>
      <c r="E1424" s="27" t="s">
        <v>3346</v>
      </c>
      <c r="F1424">
        <v>1101010</v>
      </c>
      <c r="G1424" t="s">
        <v>3365</v>
      </c>
    </row>
    <row r="1425" spans="1:7">
      <c r="A1425" s="25">
        <v>1001</v>
      </c>
      <c r="B1425" s="25">
        <v>5</v>
      </c>
      <c r="C1425" s="25">
        <v>1003</v>
      </c>
      <c r="D1425" t="s">
        <v>3366</v>
      </c>
      <c r="E1425" s="27" t="s">
        <v>3367</v>
      </c>
      <c r="F1425">
        <v>1101101</v>
      </c>
      <c r="G1425" t="s">
        <v>3368</v>
      </c>
    </row>
    <row r="1426" spans="1:7">
      <c r="A1426" s="25">
        <v>1001</v>
      </c>
      <c r="B1426" s="25">
        <v>5</v>
      </c>
      <c r="C1426" s="25">
        <v>1003</v>
      </c>
      <c r="D1426" t="s">
        <v>3369</v>
      </c>
      <c r="E1426" s="27" t="s">
        <v>3367</v>
      </c>
      <c r="F1426">
        <v>1101102</v>
      </c>
      <c r="G1426" t="s">
        <v>3370</v>
      </c>
    </row>
    <row r="1427" spans="1:7">
      <c r="A1427" s="25">
        <v>1001</v>
      </c>
      <c r="B1427" s="25">
        <v>5</v>
      </c>
      <c r="C1427" s="25">
        <v>1003</v>
      </c>
      <c r="D1427" t="s">
        <v>3371</v>
      </c>
      <c r="E1427" s="27" t="s">
        <v>3367</v>
      </c>
      <c r="F1427">
        <v>1101103</v>
      </c>
      <c r="G1427" t="s">
        <v>3372</v>
      </c>
    </row>
    <row r="1428" spans="1:7">
      <c r="A1428" s="25">
        <v>1001</v>
      </c>
      <c r="B1428" s="25">
        <v>5</v>
      </c>
      <c r="C1428" s="25">
        <v>1003</v>
      </c>
      <c r="D1428" t="s">
        <v>3373</v>
      </c>
      <c r="E1428" s="27" t="s">
        <v>3367</v>
      </c>
      <c r="F1428">
        <v>1101104</v>
      </c>
      <c r="G1428" t="s">
        <v>3374</v>
      </c>
    </row>
    <row r="1429" spans="1:7">
      <c r="A1429" s="25">
        <v>1001</v>
      </c>
      <c r="B1429" s="25">
        <v>5</v>
      </c>
      <c r="C1429" s="25">
        <v>1003</v>
      </c>
      <c r="D1429" t="s">
        <v>3375</v>
      </c>
      <c r="E1429" s="27" t="s">
        <v>3367</v>
      </c>
      <c r="F1429">
        <v>1101105</v>
      </c>
      <c r="G1429" t="s">
        <v>3376</v>
      </c>
    </row>
    <row r="1430" spans="1:7">
      <c r="A1430" s="25">
        <v>1001</v>
      </c>
      <c r="B1430" s="25">
        <v>5</v>
      </c>
      <c r="C1430" s="25">
        <v>1003</v>
      </c>
      <c r="D1430" t="s">
        <v>3377</v>
      </c>
      <c r="E1430" s="27" t="s">
        <v>3367</v>
      </c>
      <c r="F1430">
        <v>1101106</v>
      </c>
      <c r="G1430" t="s">
        <v>3378</v>
      </c>
    </row>
    <row r="1431" spans="1:7">
      <c r="A1431" s="25">
        <v>1001</v>
      </c>
      <c r="B1431" s="25">
        <v>5</v>
      </c>
      <c r="C1431" s="25">
        <v>1003</v>
      </c>
      <c r="D1431" t="s">
        <v>3379</v>
      </c>
      <c r="E1431" s="27" t="s">
        <v>3367</v>
      </c>
      <c r="F1431">
        <v>1101107</v>
      </c>
      <c r="G1431" t="s">
        <v>3380</v>
      </c>
    </row>
    <row r="1432" spans="1:7">
      <c r="A1432" s="25">
        <v>1001</v>
      </c>
      <c r="B1432" s="25">
        <v>5</v>
      </c>
      <c r="C1432" s="25">
        <v>1003</v>
      </c>
      <c r="D1432" t="s">
        <v>3381</v>
      </c>
      <c r="E1432" s="27" t="s">
        <v>3367</v>
      </c>
      <c r="F1432">
        <v>1101108</v>
      </c>
      <c r="G1432" t="s">
        <v>3382</v>
      </c>
    </row>
    <row r="1433" spans="1:7">
      <c r="A1433" s="25">
        <v>1001</v>
      </c>
      <c r="B1433" s="25">
        <v>5</v>
      </c>
      <c r="C1433" s="25">
        <v>1003</v>
      </c>
      <c r="D1433" t="s">
        <v>3383</v>
      </c>
      <c r="E1433" s="27" t="s">
        <v>3367</v>
      </c>
      <c r="F1433">
        <v>1101109</v>
      </c>
      <c r="G1433" t="s">
        <v>3384</v>
      </c>
    </row>
    <row r="1434" spans="1:7">
      <c r="A1434" s="25">
        <v>1001</v>
      </c>
      <c r="B1434" s="25">
        <v>5</v>
      </c>
      <c r="C1434" s="25">
        <v>1003</v>
      </c>
      <c r="D1434" t="s">
        <v>3385</v>
      </c>
      <c r="E1434" s="27" t="s">
        <v>3367</v>
      </c>
      <c r="F1434">
        <v>1101110</v>
      </c>
      <c r="G1434" t="s">
        <v>3386</v>
      </c>
    </row>
    <row r="1435" spans="1:7">
      <c r="A1435" s="25">
        <v>1001</v>
      </c>
      <c r="B1435" s="25">
        <v>5</v>
      </c>
      <c r="C1435" s="25">
        <v>1003</v>
      </c>
      <c r="D1435" t="s">
        <v>3387</v>
      </c>
      <c r="E1435" s="27" t="s">
        <v>3388</v>
      </c>
      <c r="F1435">
        <v>1101201</v>
      </c>
      <c r="G1435" t="s">
        <v>3389</v>
      </c>
    </row>
    <row r="1436" spans="1:7">
      <c r="A1436" s="25">
        <v>1001</v>
      </c>
      <c r="B1436" s="25">
        <v>5</v>
      </c>
      <c r="C1436" s="25">
        <v>1003</v>
      </c>
      <c r="D1436" t="s">
        <v>3390</v>
      </c>
      <c r="E1436" s="27" t="s">
        <v>3388</v>
      </c>
      <c r="F1436">
        <v>1101202</v>
      </c>
      <c r="G1436" t="s">
        <v>3391</v>
      </c>
    </row>
    <row r="1437" spans="1:7">
      <c r="A1437" s="25">
        <v>1001</v>
      </c>
      <c r="B1437" s="25">
        <v>5</v>
      </c>
      <c r="C1437" s="25">
        <v>1003</v>
      </c>
      <c r="D1437" t="s">
        <v>3392</v>
      </c>
      <c r="E1437" s="27" t="s">
        <v>3388</v>
      </c>
      <c r="F1437">
        <v>1101203</v>
      </c>
      <c r="G1437" t="s">
        <v>3393</v>
      </c>
    </row>
    <row r="1438" spans="1:7">
      <c r="A1438" s="25">
        <v>1001</v>
      </c>
      <c r="B1438" s="25">
        <v>5</v>
      </c>
      <c r="C1438" s="25">
        <v>1003</v>
      </c>
      <c r="D1438" t="s">
        <v>3394</v>
      </c>
      <c r="E1438" s="27" t="s">
        <v>3388</v>
      </c>
      <c r="F1438">
        <v>1101204</v>
      </c>
      <c r="G1438" t="s">
        <v>3395</v>
      </c>
    </row>
    <row r="1439" spans="1:7">
      <c r="A1439" s="25">
        <v>1001</v>
      </c>
      <c r="B1439" s="25">
        <v>5</v>
      </c>
      <c r="C1439" s="25">
        <v>1003</v>
      </c>
      <c r="D1439" t="s">
        <v>3396</v>
      </c>
      <c r="E1439" s="27" t="s">
        <v>3388</v>
      </c>
      <c r="F1439">
        <v>1101205</v>
      </c>
      <c r="G1439" t="s">
        <v>3397</v>
      </c>
    </row>
    <row r="1440" spans="1:7">
      <c r="A1440" s="25">
        <v>1001</v>
      </c>
      <c r="B1440" s="25">
        <v>5</v>
      </c>
      <c r="C1440" s="25">
        <v>1003</v>
      </c>
      <c r="D1440" t="s">
        <v>3398</v>
      </c>
      <c r="E1440" s="27" t="s">
        <v>3388</v>
      </c>
      <c r="F1440">
        <v>1101206</v>
      </c>
      <c r="G1440" t="s">
        <v>3399</v>
      </c>
    </row>
    <row r="1441" spans="1:7">
      <c r="A1441" s="25">
        <v>1001</v>
      </c>
      <c r="B1441" s="25">
        <v>5</v>
      </c>
      <c r="C1441" s="25">
        <v>1003</v>
      </c>
      <c r="D1441" t="s">
        <v>3400</v>
      </c>
      <c r="E1441" s="27" t="s">
        <v>3388</v>
      </c>
      <c r="F1441">
        <v>1101207</v>
      </c>
      <c r="G1441" t="s">
        <v>3401</v>
      </c>
    </row>
    <row r="1442" spans="1:7">
      <c r="A1442" s="25">
        <v>1001</v>
      </c>
      <c r="B1442" s="25">
        <v>5</v>
      </c>
      <c r="C1442" s="25">
        <v>1003</v>
      </c>
      <c r="D1442" t="s">
        <v>3402</v>
      </c>
      <c r="E1442" s="27" t="s">
        <v>3388</v>
      </c>
      <c r="F1442">
        <v>1101208</v>
      </c>
      <c r="G1442" t="s">
        <v>3403</v>
      </c>
    </row>
    <row r="1443" spans="1:7">
      <c r="A1443" s="25">
        <v>1001</v>
      </c>
      <c r="B1443" s="25">
        <v>5</v>
      </c>
      <c r="C1443" s="25">
        <v>1003</v>
      </c>
      <c r="D1443" t="s">
        <v>3404</v>
      </c>
      <c r="E1443" s="27" t="s">
        <v>3388</v>
      </c>
      <c r="F1443">
        <v>1101209</v>
      </c>
      <c r="G1443" t="s">
        <v>3405</v>
      </c>
    </row>
    <row r="1444" spans="1:7">
      <c r="A1444" s="25">
        <v>1001</v>
      </c>
      <c r="B1444" s="25">
        <v>5</v>
      </c>
      <c r="C1444" s="25">
        <v>1003</v>
      </c>
      <c r="D1444" t="s">
        <v>3406</v>
      </c>
      <c r="E1444" s="27" t="s">
        <v>3388</v>
      </c>
      <c r="F1444">
        <v>1101210</v>
      </c>
      <c r="G1444" t="s">
        <v>3407</v>
      </c>
    </row>
    <row r="1445" spans="1:7">
      <c r="A1445" s="25">
        <v>1001</v>
      </c>
      <c r="B1445" s="25">
        <v>5</v>
      </c>
      <c r="C1445" s="25">
        <v>1003</v>
      </c>
      <c r="D1445" t="s">
        <v>3408</v>
      </c>
      <c r="E1445" s="27" t="s">
        <v>3409</v>
      </c>
      <c r="F1445">
        <v>1101301</v>
      </c>
      <c r="G1445" t="s">
        <v>3410</v>
      </c>
    </row>
    <row r="1446" spans="1:7">
      <c r="A1446" s="25">
        <v>1001</v>
      </c>
      <c r="B1446" s="25">
        <v>5</v>
      </c>
      <c r="C1446" s="25">
        <v>1003</v>
      </c>
      <c r="D1446" t="s">
        <v>3411</v>
      </c>
      <c r="E1446" s="27" t="s">
        <v>3409</v>
      </c>
      <c r="F1446">
        <v>1101302</v>
      </c>
      <c r="G1446" t="s">
        <v>3412</v>
      </c>
    </row>
    <row r="1447" spans="1:7">
      <c r="A1447" s="25">
        <v>1001</v>
      </c>
      <c r="B1447" s="25">
        <v>5</v>
      </c>
      <c r="C1447" s="25">
        <v>1003</v>
      </c>
      <c r="D1447" t="s">
        <v>3413</v>
      </c>
      <c r="E1447" s="27" t="s">
        <v>3409</v>
      </c>
      <c r="F1447">
        <v>1101303</v>
      </c>
      <c r="G1447" t="s">
        <v>3414</v>
      </c>
    </row>
    <row r="1448" spans="1:7">
      <c r="A1448" s="25">
        <v>1001</v>
      </c>
      <c r="B1448" s="25">
        <v>5</v>
      </c>
      <c r="C1448" s="25">
        <v>1003</v>
      </c>
      <c r="D1448" t="s">
        <v>3415</v>
      </c>
      <c r="E1448" s="27" t="s">
        <v>3409</v>
      </c>
      <c r="F1448">
        <v>1101304</v>
      </c>
      <c r="G1448" t="s">
        <v>3416</v>
      </c>
    </row>
    <row r="1449" spans="1:7">
      <c r="A1449" s="25">
        <v>1001</v>
      </c>
      <c r="B1449" s="25">
        <v>5</v>
      </c>
      <c r="C1449" s="25">
        <v>1003</v>
      </c>
      <c r="D1449" t="s">
        <v>3417</v>
      </c>
      <c r="E1449" s="27" t="s">
        <v>3409</v>
      </c>
      <c r="F1449">
        <v>1101305</v>
      </c>
      <c r="G1449" t="s">
        <v>3418</v>
      </c>
    </row>
    <row r="1450" spans="1:7">
      <c r="A1450" s="25">
        <v>1001</v>
      </c>
      <c r="B1450" s="25">
        <v>5</v>
      </c>
      <c r="C1450" s="25">
        <v>1003</v>
      </c>
      <c r="D1450" t="s">
        <v>3419</v>
      </c>
      <c r="E1450" s="27" t="s">
        <v>3409</v>
      </c>
      <c r="F1450">
        <v>1101306</v>
      </c>
      <c r="G1450" t="s">
        <v>3420</v>
      </c>
    </row>
    <row r="1451" spans="1:7">
      <c r="A1451" s="25">
        <v>1001</v>
      </c>
      <c r="B1451" s="25">
        <v>5</v>
      </c>
      <c r="C1451" s="25">
        <v>1003</v>
      </c>
      <c r="D1451" t="s">
        <v>3421</v>
      </c>
      <c r="E1451" s="27" t="s">
        <v>3409</v>
      </c>
      <c r="F1451">
        <v>1101307</v>
      </c>
      <c r="G1451" t="s">
        <v>3422</v>
      </c>
    </row>
    <row r="1452" spans="1:7">
      <c r="A1452" s="25">
        <v>1001</v>
      </c>
      <c r="B1452" s="25">
        <v>5</v>
      </c>
      <c r="C1452" s="25">
        <v>1003</v>
      </c>
      <c r="D1452" t="s">
        <v>3423</v>
      </c>
      <c r="E1452" s="27" t="s">
        <v>3409</v>
      </c>
      <c r="F1452">
        <v>1101308</v>
      </c>
      <c r="G1452" t="s">
        <v>3424</v>
      </c>
    </row>
    <row r="1453" spans="1:7">
      <c r="A1453" s="25">
        <v>1001</v>
      </c>
      <c r="B1453" s="25">
        <v>5</v>
      </c>
      <c r="C1453" s="25">
        <v>1003</v>
      </c>
      <c r="D1453" t="s">
        <v>3425</v>
      </c>
      <c r="E1453" s="27" t="s">
        <v>3409</v>
      </c>
      <c r="F1453">
        <v>1101309</v>
      </c>
      <c r="G1453" t="s">
        <v>3426</v>
      </c>
    </row>
    <row r="1454" spans="1:7">
      <c r="A1454" s="25">
        <v>1001</v>
      </c>
      <c r="B1454" s="25">
        <v>5</v>
      </c>
      <c r="C1454" s="25">
        <v>1003</v>
      </c>
      <c r="D1454" t="s">
        <v>3427</v>
      </c>
      <c r="E1454" s="27" t="s">
        <v>3409</v>
      </c>
      <c r="F1454">
        <v>1101310</v>
      </c>
      <c r="G1454" t="s">
        <v>3428</v>
      </c>
    </row>
    <row r="1455" spans="1:7">
      <c r="A1455" s="25">
        <v>1001</v>
      </c>
      <c r="B1455" s="25">
        <v>5</v>
      </c>
      <c r="C1455" s="25">
        <v>1003</v>
      </c>
      <c r="D1455" t="s">
        <v>3429</v>
      </c>
      <c r="E1455" s="27" t="s">
        <v>3430</v>
      </c>
      <c r="F1455">
        <v>1101401</v>
      </c>
      <c r="G1455" t="s">
        <v>3431</v>
      </c>
    </row>
    <row r="1456" spans="1:7">
      <c r="A1456" s="25">
        <v>1001</v>
      </c>
      <c r="B1456" s="25">
        <v>5</v>
      </c>
      <c r="C1456" s="25">
        <v>1003</v>
      </c>
      <c r="D1456" t="s">
        <v>3432</v>
      </c>
      <c r="E1456" s="27" t="s">
        <v>3430</v>
      </c>
      <c r="F1456">
        <v>1101402</v>
      </c>
      <c r="G1456" t="s">
        <v>3433</v>
      </c>
    </row>
    <row r="1457" spans="1:7">
      <c r="A1457" s="25">
        <v>1001</v>
      </c>
      <c r="B1457" s="25">
        <v>5</v>
      </c>
      <c r="C1457" s="25">
        <v>1003</v>
      </c>
      <c r="D1457" t="s">
        <v>3434</v>
      </c>
      <c r="E1457" s="27" t="s">
        <v>3430</v>
      </c>
      <c r="F1457">
        <v>1101403</v>
      </c>
      <c r="G1457" t="s">
        <v>3435</v>
      </c>
    </row>
    <row r="1458" spans="1:7">
      <c r="A1458" s="25">
        <v>1001</v>
      </c>
      <c r="B1458" s="25">
        <v>5</v>
      </c>
      <c r="C1458" s="25">
        <v>1003</v>
      </c>
      <c r="D1458" t="s">
        <v>3436</v>
      </c>
      <c r="E1458" s="27" t="s">
        <v>3430</v>
      </c>
      <c r="F1458">
        <v>1101404</v>
      </c>
      <c r="G1458" t="s">
        <v>3437</v>
      </c>
    </row>
    <row r="1459" spans="1:7">
      <c r="A1459" s="25">
        <v>1001</v>
      </c>
      <c r="B1459" s="25">
        <v>5</v>
      </c>
      <c r="C1459" s="25">
        <v>1003</v>
      </c>
      <c r="D1459" t="s">
        <v>3438</v>
      </c>
      <c r="E1459" s="27" t="s">
        <v>3430</v>
      </c>
      <c r="F1459">
        <v>1101405</v>
      </c>
      <c r="G1459" t="s">
        <v>3439</v>
      </c>
    </row>
    <row r="1460" spans="1:7">
      <c r="A1460" s="25">
        <v>1001</v>
      </c>
      <c r="B1460" s="25">
        <v>5</v>
      </c>
      <c r="C1460" s="25">
        <v>1003</v>
      </c>
      <c r="D1460" t="s">
        <v>3440</v>
      </c>
      <c r="E1460" s="27" t="s">
        <v>3430</v>
      </c>
      <c r="F1460">
        <v>1101406</v>
      </c>
      <c r="G1460" t="s">
        <v>3441</v>
      </c>
    </row>
    <row r="1461" spans="1:7">
      <c r="A1461" s="25">
        <v>1001</v>
      </c>
      <c r="B1461" s="25">
        <v>5</v>
      </c>
      <c r="C1461" s="25">
        <v>1003</v>
      </c>
      <c r="D1461" t="s">
        <v>3442</v>
      </c>
      <c r="E1461" s="27" t="s">
        <v>3430</v>
      </c>
      <c r="F1461">
        <v>1101407</v>
      </c>
      <c r="G1461" t="s">
        <v>3443</v>
      </c>
    </row>
    <row r="1462" spans="1:7">
      <c r="A1462" s="25">
        <v>1001</v>
      </c>
      <c r="B1462" s="25">
        <v>5</v>
      </c>
      <c r="C1462" s="25">
        <v>1003</v>
      </c>
      <c r="D1462" t="s">
        <v>3444</v>
      </c>
      <c r="E1462" s="27" t="s">
        <v>3430</v>
      </c>
      <c r="F1462">
        <v>1101408</v>
      </c>
      <c r="G1462" t="s">
        <v>3445</v>
      </c>
    </row>
    <row r="1463" spans="1:7">
      <c r="A1463" s="25">
        <v>1001</v>
      </c>
      <c r="B1463" s="25">
        <v>5</v>
      </c>
      <c r="C1463" s="25">
        <v>1003</v>
      </c>
      <c r="D1463" t="s">
        <v>3446</v>
      </c>
      <c r="E1463" s="27" t="s">
        <v>3430</v>
      </c>
      <c r="F1463">
        <v>1101409</v>
      </c>
      <c r="G1463" t="s">
        <v>3447</v>
      </c>
    </row>
    <row r="1464" spans="1:7">
      <c r="A1464" s="25">
        <v>1001</v>
      </c>
      <c r="B1464" s="25">
        <v>5</v>
      </c>
      <c r="C1464" s="25">
        <v>1003</v>
      </c>
      <c r="D1464" t="s">
        <v>3448</v>
      </c>
      <c r="E1464" s="27" t="s">
        <v>3430</v>
      </c>
      <c r="F1464">
        <v>1101410</v>
      </c>
      <c r="G1464" t="s">
        <v>3449</v>
      </c>
    </row>
    <row r="1465" spans="1:7">
      <c r="A1465" s="25">
        <v>1001</v>
      </c>
      <c r="B1465" s="25">
        <v>5</v>
      </c>
      <c r="C1465" s="25">
        <v>1003</v>
      </c>
      <c r="D1465" t="s">
        <v>3450</v>
      </c>
      <c r="E1465" s="27" t="s">
        <v>3451</v>
      </c>
      <c r="F1465">
        <v>1101501</v>
      </c>
      <c r="G1465" t="s">
        <v>3452</v>
      </c>
    </row>
    <row r="1466" spans="1:7">
      <c r="A1466" s="25">
        <v>1001</v>
      </c>
      <c r="B1466" s="25">
        <v>5</v>
      </c>
      <c r="C1466" s="25">
        <v>1003</v>
      </c>
      <c r="D1466" t="s">
        <v>3453</v>
      </c>
      <c r="E1466" s="27" t="s">
        <v>3451</v>
      </c>
      <c r="F1466">
        <v>1101502</v>
      </c>
      <c r="G1466" t="s">
        <v>3454</v>
      </c>
    </row>
    <row r="1467" spans="1:7">
      <c r="A1467" s="25">
        <v>1001</v>
      </c>
      <c r="B1467" s="25">
        <v>5</v>
      </c>
      <c r="C1467" s="25">
        <v>1003</v>
      </c>
      <c r="D1467" t="s">
        <v>3455</v>
      </c>
      <c r="E1467" s="27" t="s">
        <v>3451</v>
      </c>
      <c r="F1467">
        <v>1101503</v>
      </c>
      <c r="G1467" t="s">
        <v>3456</v>
      </c>
    </row>
    <row r="1468" spans="1:7">
      <c r="A1468" s="25">
        <v>1001</v>
      </c>
      <c r="B1468" s="25">
        <v>5</v>
      </c>
      <c r="C1468" s="25">
        <v>1003</v>
      </c>
      <c r="D1468" t="s">
        <v>3457</v>
      </c>
      <c r="E1468" s="27" t="s">
        <v>3451</v>
      </c>
      <c r="F1468">
        <v>1101504</v>
      </c>
      <c r="G1468" t="s">
        <v>3458</v>
      </c>
    </row>
    <row r="1469" spans="1:7">
      <c r="A1469" s="25">
        <v>1001</v>
      </c>
      <c r="B1469" s="25">
        <v>5</v>
      </c>
      <c r="C1469" s="25">
        <v>1003</v>
      </c>
      <c r="D1469" t="s">
        <v>3459</v>
      </c>
      <c r="E1469" s="27" t="s">
        <v>3451</v>
      </c>
      <c r="F1469">
        <v>1101505</v>
      </c>
      <c r="G1469" t="s">
        <v>3460</v>
      </c>
    </row>
    <row r="1470" spans="1:7">
      <c r="A1470" s="25">
        <v>1001</v>
      </c>
      <c r="B1470" s="25">
        <v>5</v>
      </c>
      <c r="C1470" s="25">
        <v>1003</v>
      </c>
      <c r="D1470" t="s">
        <v>3461</v>
      </c>
      <c r="E1470" s="27" t="s">
        <v>3451</v>
      </c>
      <c r="F1470">
        <v>1101506</v>
      </c>
      <c r="G1470" t="s">
        <v>3462</v>
      </c>
    </row>
    <row r="1471" spans="1:7">
      <c r="A1471" s="25">
        <v>1001</v>
      </c>
      <c r="B1471" s="25">
        <v>5</v>
      </c>
      <c r="C1471" s="25">
        <v>1003</v>
      </c>
      <c r="D1471" t="s">
        <v>3463</v>
      </c>
      <c r="E1471" s="27" t="s">
        <v>3451</v>
      </c>
      <c r="F1471">
        <v>1101507</v>
      </c>
      <c r="G1471" t="s">
        <v>3464</v>
      </c>
    </row>
    <row r="1472" spans="1:7">
      <c r="A1472" s="25">
        <v>1001</v>
      </c>
      <c r="B1472" s="25">
        <v>5</v>
      </c>
      <c r="C1472" s="25">
        <v>1003</v>
      </c>
      <c r="D1472" t="s">
        <v>3465</v>
      </c>
      <c r="E1472" s="27" t="s">
        <v>3451</v>
      </c>
      <c r="F1472">
        <v>1101508</v>
      </c>
      <c r="G1472" t="s">
        <v>3466</v>
      </c>
    </row>
    <row r="1473" spans="1:7">
      <c r="A1473" s="25">
        <v>1001</v>
      </c>
      <c r="B1473" s="25">
        <v>5</v>
      </c>
      <c r="C1473" s="25">
        <v>1003</v>
      </c>
      <c r="D1473" t="s">
        <v>3467</v>
      </c>
      <c r="E1473" s="27" t="s">
        <v>3451</v>
      </c>
      <c r="F1473">
        <v>1101509</v>
      </c>
      <c r="G1473" t="s">
        <v>3468</v>
      </c>
    </row>
    <row r="1474" spans="1:7">
      <c r="A1474" s="25">
        <v>1001</v>
      </c>
      <c r="B1474" s="25">
        <v>5</v>
      </c>
      <c r="C1474" s="25">
        <v>1003</v>
      </c>
      <c r="D1474" t="s">
        <v>3469</v>
      </c>
      <c r="E1474" s="27" t="s">
        <v>3451</v>
      </c>
      <c r="F1474">
        <v>1101510</v>
      </c>
      <c r="G1474" t="s">
        <v>3470</v>
      </c>
    </row>
    <row r="1475" spans="1:7">
      <c r="A1475" s="25">
        <v>1001</v>
      </c>
      <c r="B1475" s="25">
        <v>5</v>
      </c>
      <c r="C1475" s="25">
        <v>1003</v>
      </c>
      <c r="D1475" t="s">
        <v>3471</v>
      </c>
      <c r="E1475" s="27" t="s">
        <v>3472</v>
      </c>
      <c r="F1475">
        <v>1101601</v>
      </c>
      <c r="G1475" t="s">
        <v>3473</v>
      </c>
    </row>
    <row r="1476" spans="1:7">
      <c r="A1476" s="25">
        <v>1001</v>
      </c>
      <c r="B1476" s="25">
        <v>5</v>
      </c>
      <c r="C1476" s="25">
        <v>1003</v>
      </c>
      <c r="D1476" t="s">
        <v>3474</v>
      </c>
      <c r="E1476" s="27" t="s">
        <v>3472</v>
      </c>
      <c r="F1476">
        <v>1101602</v>
      </c>
      <c r="G1476" t="s">
        <v>3475</v>
      </c>
    </row>
    <row r="1477" spans="1:7">
      <c r="A1477" s="25">
        <v>1001</v>
      </c>
      <c r="B1477" s="25">
        <v>5</v>
      </c>
      <c r="C1477" s="25">
        <v>1003</v>
      </c>
      <c r="D1477" t="s">
        <v>3476</v>
      </c>
      <c r="E1477" s="27" t="s">
        <v>3472</v>
      </c>
      <c r="F1477">
        <v>1101603</v>
      </c>
      <c r="G1477" t="s">
        <v>3477</v>
      </c>
    </row>
    <row r="1478" spans="1:7">
      <c r="A1478" s="25">
        <v>1001</v>
      </c>
      <c r="B1478" s="25">
        <v>5</v>
      </c>
      <c r="C1478" s="25">
        <v>1003</v>
      </c>
      <c r="D1478" t="s">
        <v>3478</v>
      </c>
      <c r="E1478" s="27" t="s">
        <v>3472</v>
      </c>
      <c r="F1478">
        <v>1101604</v>
      </c>
      <c r="G1478" t="s">
        <v>3479</v>
      </c>
    </row>
    <row r="1479" spans="1:7">
      <c r="A1479" s="25">
        <v>1001</v>
      </c>
      <c r="B1479" s="25">
        <v>5</v>
      </c>
      <c r="C1479" s="25">
        <v>1003</v>
      </c>
      <c r="D1479" t="s">
        <v>3480</v>
      </c>
      <c r="E1479" s="27" t="s">
        <v>3472</v>
      </c>
      <c r="F1479">
        <v>1101605</v>
      </c>
      <c r="G1479" t="s">
        <v>3481</v>
      </c>
    </row>
    <row r="1480" spans="1:7">
      <c r="A1480" s="25">
        <v>1001</v>
      </c>
      <c r="B1480" s="25">
        <v>5</v>
      </c>
      <c r="C1480" s="25">
        <v>1003</v>
      </c>
      <c r="D1480" t="s">
        <v>3482</v>
      </c>
      <c r="E1480" s="27" t="s">
        <v>3472</v>
      </c>
      <c r="F1480">
        <v>1101606</v>
      </c>
      <c r="G1480" t="s">
        <v>3483</v>
      </c>
    </row>
    <row r="1481" spans="1:7">
      <c r="A1481" s="25">
        <v>1001</v>
      </c>
      <c r="B1481" s="25">
        <v>5</v>
      </c>
      <c r="C1481" s="25">
        <v>1003</v>
      </c>
      <c r="D1481" t="s">
        <v>3484</v>
      </c>
      <c r="E1481" s="27" t="s">
        <v>3472</v>
      </c>
      <c r="F1481">
        <v>1101607</v>
      </c>
      <c r="G1481" t="s">
        <v>3485</v>
      </c>
    </row>
    <row r="1482" spans="1:7">
      <c r="A1482" s="25">
        <v>1001</v>
      </c>
      <c r="B1482" s="25">
        <v>5</v>
      </c>
      <c r="C1482" s="25">
        <v>1003</v>
      </c>
      <c r="D1482" t="s">
        <v>3486</v>
      </c>
      <c r="E1482" s="27" t="s">
        <v>3472</v>
      </c>
      <c r="F1482">
        <v>1101608</v>
      </c>
      <c r="G1482" t="s">
        <v>3487</v>
      </c>
    </row>
    <row r="1483" spans="1:7">
      <c r="A1483" s="25">
        <v>1001</v>
      </c>
      <c r="B1483" s="25">
        <v>5</v>
      </c>
      <c r="C1483" s="25">
        <v>1003</v>
      </c>
      <c r="D1483" t="s">
        <v>3488</v>
      </c>
      <c r="E1483" s="27" t="s">
        <v>3472</v>
      </c>
      <c r="F1483">
        <v>1101609</v>
      </c>
      <c r="G1483" t="s">
        <v>3489</v>
      </c>
    </row>
    <row r="1484" spans="1:7">
      <c r="A1484" s="25">
        <v>1001</v>
      </c>
      <c r="B1484" s="25">
        <v>5</v>
      </c>
      <c r="C1484" s="25">
        <v>1003</v>
      </c>
      <c r="D1484" t="s">
        <v>3490</v>
      </c>
      <c r="E1484" s="27" t="s">
        <v>3472</v>
      </c>
      <c r="F1484">
        <v>1101610</v>
      </c>
      <c r="G1484" t="s">
        <v>3491</v>
      </c>
    </row>
    <row r="1485" spans="1:7">
      <c r="A1485" s="25">
        <v>1001</v>
      </c>
      <c r="B1485" s="25">
        <v>5</v>
      </c>
      <c r="C1485" s="25">
        <v>1003</v>
      </c>
      <c r="D1485" t="s">
        <v>3492</v>
      </c>
      <c r="E1485" s="27" t="s">
        <v>3493</v>
      </c>
      <c r="F1485">
        <v>1101701</v>
      </c>
      <c r="G1485" t="s">
        <v>3494</v>
      </c>
    </row>
    <row r="1486" spans="1:7">
      <c r="A1486" s="25">
        <v>1001</v>
      </c>
      <c r="B1486" s="25">
        <v>5</v>
      </c>
      <c r="C1486" s="25">
        <v>1003</v>
      </c>
      <c r="D1486" t="s">
        <v>3495</v>
      </c>
      <c r="E1486" s="27" t="s">
        <v>3493</v>
      </c>
      <c r="F1486">
        <v>1101702</v>
      </c>
      <c r="G1486" t="s">
        <v>3496</v>
      </c>
    </row>
    <row r="1487" spans="1:7">
      <c r="A1487" s="25">
        <v>1001</v>
      </c>
      <c r="B1487" s="25">
        <v>5</v>
      </c>
      <c r="C1487" s="25">
        <v>1003</v>
      </c>
      <c r="D1487" t="s">
        <v>3497</v>
      </c>
      <c r="E1487" s="27" t="s">
        <v>3493</v>
      </c>
      <c r="F1487">
        <v>1101703</v>
      </c>
      <c r="G1487" t="s">
        <v>3498</v>
      </c>
    </row>
    <row r="1488" spans="1:7">
      <c r="A1488" s="25">
        <v>1001</v>
      </c>
      <c r="B1488" s="25">
        <v>5</v>
      </c>
      <c r="C1488" s="25">
        <v>1003</v>
      </c>
      <c r="D1488" t="s">
        <v>3499</v>
      </c>
      <c r="E1488" s="27" t="s">
        <v>3493</v>
      </c>
      <c r="F1488">
        <v>1101704</v>
      </c>
      <c r="G1488" t="s">
        <v>3500</v>
      </c>
    </row>
    <row r="1489" spans="1:7">
      <c r="A1489" s="25">
        <v>1001</v>
      </c>
      <c r="B1489" s="25">
        <v>5</v>
      </c>
      <c r="C1489" s="25">
        <v>1003</v>
      </c>
      <c r="D1489" t="s">
        <v>3501</v>
      </c>
      <c r="E1489" s="27" t="s">
        <v>3493</v>
      </c>
      <c r="F1489">
        <v>1101705</v>
      </c>
      <c r="G1489" t="s">
        <v>3502</v>
      </c>
    </row>
    <row r="1490" spans="1:7">
      <c r="A1490" s="25">
        <v>1001</v>
      </c>
      <c r="B1490" s="25">
        <v>5</v>
      </c>
      <c r="C1490" s="25">
        <v>1003</v>
      </c>
      <c r="D1490" t="s">
        <v>3503</v>
      </c>
      <c r="E1490" s="27" t="s">
        <v>3493</v>
      </c>
      <c r="F1490">
        <v>1101706</v>
      </c>
      <c r="G1490" t="s">
        <v>3504</v>
      </c>
    </row>
    <row r="1491" spans="1:7">
      <c r="A1491" s="25">
        <v>1001</v>
      </c>
      <c r="B1491" s="25">
        <v>5</v>
      </c>
      <c r="C1491" s="25">
        <v>1003</v>
      </c>
      <c r="D1491" t="s">
        <v>3505</v>
      </c>
      <c r="E1491" s="27" t="s">
        <v>3493</v>
      </c>
      <c r="F1491">
        <v>1101707</v>
      </c>
      <c r="G1491" t="s">
        <v>3506</v>
      </c>
    </row>
    <row r="1492" spans="1:7">
      <c r="A1492" s="25">
        <v>1001</v>
      </c>
      <c r="B1492" s="25">
        <v>5</v>
      </c>
      <c r="C1492" s="25">
        <v>1003</v>
      </c>
      <c r="D1492" t="s">
        <v>3507</v>
      </c>
      <c r="E1492" s="27" t="s">
        <v>3493</v>
      </c>
      <c r="F1492">
        <v>1101708</v>
      </c>
      <c r="G1492" t="s">
        <v>3508</v>
      </c>
    </row>
    <row r="1493" spans="1:7">
      <c r="A1493" s="25">
        <v>1001</v>
      </c>
      <c r="B1493" s="25">
        <v>5</v>
      </c>
      <c r="C1493" s="25">
        <v>1003</v>
      </c>
      <c r="D1493" t="s">
        <v>3509</v>
      </c>
      <c r="E1493" s="27" t="s">
        <v>3493</v>
      </c>
      <c r="F1493">
        <v>1101709</v>
      </c>
      <c r="G1493" t="s">
        <v>3510</v>
      </c>
    </row>
    <row r="1494" spans="1:7">
      <c r="A1494" s="25">
        <v>1001</v>
      </c>
      <c r="B1494" s="25">
        <v>5</v>
      </c>
      <c r="C1494" s="25">
        <v>1003</v>
      </c>
      <c r="D1494" t="s">
        <v>3511</v>
      </c>
      <c r="E1494" s="27" t="s">
        <v>3493</v>
      </c>
      <c r="F1494">
        <v>1101710</v>
      </c>
      <c r="G1494" t="s">
        <v>3512</v>
      </c>
    </row>
    <row r="1495" spans="1:7">
      <c r="A1495" s="25">
        <v>1001</v>
      </c>
      <c r="B1495" s="25">
        <v>5</v>
      </c>
      <c r="C1495" s="25">
        <v>1003</v>
      </c>
      <c r="D1495" t="s">
        <v>3513</v>
      </c>
      <c r="E1495" s="27" t="s">
        <v>3514</v>
      </c>
      <c r="F1495">
        <v>1101801</v>
      </c>
      <c r="G1495" t="s">
        <v>3515</v>
      </c>
    </row>
    <row r="1496" spans="1:7">
      <c r="A1496" s="25">
        <v>1001</v>
      </c>
      <c r="B1496" s="25">
        <v>5</v>
      </c>
      <c r="C1496" s="25">
        <v>1003</v>
      </c>
      <c r="D1496" t="s">
        <v>3516</v>
      </c>
      <c r="E1496" s="27" t="s">
        <v>3514</v>
      </c>
      <c r="F1496">
        <v>1101802</v>
      </c>
      <c r="G1496" t="s">
        <v>3517</v>
      </c>
    </row>
    <row r="1497" spans="1:7">
      <c r="A1497" s="25">
        <v>1001</v>
      </c>
      <c r="B1497" s="25">
        <v>5</v>
      </c>
      <c r="C1497" s="25">
        <v>1003</v>
      </c>
      <c r="D1497" t="s">
        <v>3518</v>
      </c>
      <c r="E1497" s="27" t="s">
        <v>3514</v>
      </c>
      <c r="F1497">
        <v>1101803</v>
      </c>
      <c r="G1497" t="s">
        <v>3519</v>
      </c>
    </row>
    <row r="1498" spans="1:7">
      <c r="A1498" s="25">
        <v>1001</v>
      </c>
      <c r="B1498" s="25">
        <v>5</v>
      </c>
      <c r="C1498" s="25">
        <v>1003</v>
      </c>
      <c r="D1498" t="s">
        <v>3520</v>
      </c>
      <c r="E1498" s="27" t="s">
        <v>3514</v>
      </c>
      <c r="F1498">
        <v>1101804</v>
      </c>
      <c r="G1498" t="s">
        <v>3521</v>
      </c>
    </row>
    <row r="1499" spans="1:7">
      <c r="A1499" s="25">
        <v>1001</v>
      </c>
      <c r="B1499" s="25">
        <v>5</v>
      </c>
      <c r="C1499" s="25">
        <v>1003</v>
      </c>
      <c r="D1499" t="s">
        <v>3522</v>
      </c>
      <c r="E1499" s="27" t="s">
        <v>3514</v>
      </c>
      <c r="F1499">
        <v>1101805</v>
      </c>
      <c r="G1499" t="s">
        <v>3523</v>
      </c>
    </row>
    <row r="1500" spans="1:7">
      <c r="A1500" s="25">
        <v>1001</v>
      </c>
      <c r="B1500" s="25">
        <v>5</v>
      </c>
      <c r="C1500" s="25">
        <v>1003</v>
      </c>
      <c r="D1500" t="s">
        <v>3524</v>
      </c>
      <c r="E1500" s="27" t="s">
        <v>3514</v>
      </c>
      <c r="F1500">
        <v>1101806</v>
      </c>
      <c r="G1500" t="s">
        <v>3525</v>
      </c>
    </row>
    <row r="1501" spans="1:7">
      <c r="A1501" s="25">
        <v>1001</v>
      </c>
      <c r="B1501" s="25">
        <v>5</v>
      </c>
      <c r="C1501" s="25">
        <v>1003</v>
      </c>
      <c r="D1501" t="s">
        <v>3526</v>
      </c>
      <c r="E1501" s="27" t="s">
        <v>3514</v>
      </c>
      <c r="F1501">
        <v>1101807</v>
      </c>
      <c r="G1501" t="s">
        <v>3527</v>
      </c>
    </row>
    <row r="1502" spans="1:7">
      <c r="A1502" s="25">
        <v>1001</v>
      </c>
      <c r="B1502" s="25">
        <v>5</v>
      </c>
      <c r="C1502" s="25">
        <v>1003</v>
      </c>
      <c r="D1502" t="s">
        <v>3528</v>
      </c>
      <c r="E1502" s="27" t="s">
        <v>3514</v>
      </c>
      <c r="F1502">
        <v>1101808</v>
      </c>
      <c r="G1502" t="s">
        <v>3529</v>
      </c>
    </row>
    <row r="1503" spans="1:7">
      <c r="A1503" s="25">
        <v>1001</v>
      </c>
      <c r="B1503" s="25">
        <v>5</v>
      </c>
      <c r="C1503" s="25">
        <v>1003</v>
      </c>
      <c r="D1503" t="s">
        <v>3530</v>
      </c>
      <c r="E1503" s="27" t="s">
        <v>3514</v>
      </c>
      <c r="F1503">
        <v>1101809</v>
      </c>
      <c r="G1503" t="s">
        <v>3531</v>
      </c>
    </row>
    <row r="1504" spans="1:7">
      <c r="A1504" s="25">
        <v>1001</v>
      </c>
      <c r="B1504" s="25">
        <v>5</v>
      </c>
      <c r="C1504" s="25">
        <v>1003</v>
      </c>
      <c r="D1504" t="s">
        <v>3532</v>
      </c>
      <c r="E1504" s="27" t="s">
        <v>3514</v>
      </c>
      <c r="F1504">
        <v>1101810</v>
      </c>
      <c r="G1504" t="s">
        <v>3533</v>
      </c>
    </row>
    <row r="1505" spans="1:7">
      <c r="A1505" s="25">
        <v>1001</v>
      </c>
      <c r="B1505" s="25">
        <v>5</v>
      </c>
      <c r="C1505" s="25">
        <v>1003</v>
      </c>
      <c r="D1505" t="s">
        <v>3534</v>
      </c>
      <c r="E1505" s="27" t="s">
        <v>3514</v>
      </c>
      <c r="F1505">
        <v>1101811</v>
      </c>
      <c r="G1505" t="s">
        <v>3535</v>
      </c>
    </row>
    <row r="1506" spans="1:7">
      <c r="A1506" s="25">
        <v>1001</v>
      </c>
      <c r="B1506" s="25">
        <v>5</v>
      </c>
      <c r="C1506" s="25">
        <v>1003</v>
      </c>
      <c r="D1506" t="s">
        <v>3536</v>
      </c>
      <c r="E1506" s="27" t="s">
        <v>3537</v>
      </c>
      <c r="F1506">
        <v>1101901</v>
      </c>
      <c r="G1506" t="s">
        <v>3538</v>
      </c>
    </row>
    <row r="1507" spans="1:7">
      <c r="A1507" s="25">
        <v>1001</v>
      </c>
      <c r="B1507" s="25">
        <v>5</v>
      </c>
      <c r="C1507" s="25">
        <v>1003</v>
      </c>
      <c r="D1507" t="s">
        <v>3539</v>
      </c>
      <c r="E1507" s="27" t="s">
        <v>3537</v>
      </c>
      <c r="F1507">
        <v>1101902</v>
      </c>
      <c r="G1507" t="s">
        <v>3540</v>
      </c>
    </row>
    <row r="1508" spans="1:7">
      <c r="A1508" s="25">
        <v>1001</v>
      </c>
      <c r="B1508" s="25">
        <v>5</v>
      </c>
      <c r="C1508" s="25">
        <v>1003</v>
      </c>
      <c r="D1508" t="s">
        <v>3541</v>
      </c>
      <c r="E1508" s="27" t="s">
        <v>3537</v>
      </c>
      <c r="F1508">
        <v>1101903</v>
      </c>
      <c r="G1508" t="s">
        <v>3542</v>
      </c>
    </row>
    <row r="1509" spans="1:7">
      <c r="A1509" s="25">
        <v>1001</v>
      </c>
      <c r="B1509" s="25">
        <v>5</v>
      </c>
      <c r="C1509" s="25">
        <v>1003</v>
      </c>
      <c r="D1509" t="s">
        <v>3543</v>
      </c>
      <c r="E1509" s="27" t="s">
        <v>3537</v>
      </c>
      <c r="F1509">
        <v>1101904</v>
      </c>
      <c r="G1509" t="s">
        <v>3544</v>
      </c>
    </row>
    <row r="1510" spans="1:7">
      <c r="A1510" s="25">
        <v>1001</v>
      </c>
      <c r="B1510" s="25">
        <v>5</v>
      </c>
      <c r="C1510" s="25">
        <v>1003</v>
      </c>
      <c r="D1510" t="s">
        <v>3545</v>
      </c>
      <c r="E1510" s="27" t="s">
        <v>3537</v>
      </c>
      <c r="F1510">
        <v>1101905</v>
      </c>
      <c r="G1510" t="s">
        <v>3546</v>
      </c>
    </row>
    <row r="1511" spans="1:7">
      <c r="A1511" s="25">
        <v>1001</v>
      </c>
      <c r="B1511" s="25">
        <v>5</v>
      </c>
      <c r="C1511" s="25">
        <v>1003</v>
      </c>
      <c r="D1511" t="s">
        <v>3547</v>
      </c>
      <c r="E1511" s="27" t="s">
        <v>3537</v>
      </c>
      <c r="F1511">
        <v>1101906</v>
      </c>
      <c r="G1511" t="s">
        <v>3548</v>
      </c>
    </row>
    <row r="1512" spans="1:7">
      <c r="A1512" s="25">
        <v>1001</v>
      </c>
      <c r="B1512" s="25">
        <v>5</v>
      </c>
      <c r="C1512" s="25">
        <v>1003</v>
      </c>
      <c r="D1512" t="s">
        <v>3549</v>
      </c>
      <c r="E1512" s="27" t="s">
        <v>3537</v>
      </c>
      <c r="F1512">
        <v>1101907</v>
      </c>
      <c r="G1512" t="s">
        <v>3550</v>
      </c>
    </row>
    <row r="1513" spans="1:7">
      <c r="A1513" s="25">
        <v>1001</v>
      </c>
      <c r="B1513" s="25">
        <v>5</v>
      </c>
      <c r="C1513" s="25">
        <v>1003</v>
      </c>
      <c r="D1513" t="s">
        <v>3551</v>
      </c>
      <c r="E1513" s="27" t="s">
        <v>3537</v>
      </c>
      <c r="F1513">
        <v>1101908</v>
      </c>
      <c r="G1513" t="s">
        <v>3552</v>
      </c>
    </row>
    <row r="1514" spans="1:7">
      <c r="A1514" s="25">
        <v>1001</v>
      </c>
      <c r="B1514" s="25">
        <v>5</v>
      </c>
      <c r="C1514" s="25">
        <v>1003</v>
      </c>
      <c r="D1514" t="s">
        <v>3553</v>
      </c>
      <c r="E1514" s="27" t="s">
        <v>3537</v>
      </c>
      <c r="F1514">
        <v>1101909</v>
      </c>
      <c r="G1514" t="s">
        <v>3554</v>
      </c>
    </row>
    <row r="1515" spans="1:7">
      <c r="A1515" s="25">
        <v>1001</v>
      </c>
      <c r="B1515" s="25">
        <v>5</v>
      </c>
      <c r="C1515" s="25">
        <v>1003</v>
      </c>
      <c r="D1515" t="s">
        <v>3555</v>
      </c>
      <c r="E1515" s="27" t="s">
        <v>3537</v>
      </c>
      <c r="F1515">
        <v>1101910</v>
      </c>
      <c r="G1515" t="s">
        <v>3556</v>
      </c>
    </row>
    <row r="1516" spans="1:7">
      <c r="A1516" s="25">
        <v>1001</v>
      </c>
      <c r="B1516" s="25">
        <v>5</v>
      </c>
      <c r="C1516" s="25">
        <v>1003</v>
      </c>
      <c r="D1516" t="s">
        <v>3557</v>
      </c>
      <c r="E1516" s="27" t="s">
        <v>3537</v>
      </c>
      <c r="F1516">
        <v>1101911</v>
      </c>
      <c r="G1516" t="s">
        <v>3558</v>
      </c>
    </row>
    <row r="1517" spans="1:7">
      <c r="A1517" s="25">
        <v>1001</v>
      </c>
      <c r="B1517" s="25">
        <v>5</v>
      </c>
      <c r="C1517" s="25">
        <v>1003</v>
      </c>
      <c r="D1517" t="s">
        <v>3559</v>
      </c>
      <c r="E1517" s="27" t="s">
        <v>3560</v>
      </c>
      <c r="F1517">
        <v>1102001</v>
      </c>
      <c r="G1517" t="s">
        <v>3561</v>
      </c>
    </row>
    <row r="1518" spans="1:7">
      <c r="A1518" s="25">
        <v>1001</v>
      </c>
      <c r="B1518" s="25">
        <v>5</v>
      </c>
      <c r="C1518" s="25">
        <v>1003</v>
      </c>
      <c r="D1518" t="s">
        <v>3562</v>
      </c>
      <c r="E1518" s="27" t="s">
        <v>3560</v>
      </c>
      <c r="F1518">
        <v>1102002</v>
      </c>
      <c r="G1518" t="s">
        <v>3563</v>
      </c>
    </row>
    <row r="1519" spans="1:7">
      <c r="A1519" s="25">
        <v>1001</v>
      </c>
      <c r="B1519" s="25">
        <v>5</v>
      </c>
      <c r="C1519" s="25">
        <v>1003</v>
      </c>
      <c r="D1519" t="s">
        <v>3564</v>
      </c>
      <c r="E1519" s="27" t="s">
        <v>3560</v>
      </c>
      <c r="F1519">
        <v>1102003</v>
      </c>
      <c r="G1519" t="s">
        <v>3565</v>
      </c>
    </row>
    <row r="1520" spans="1:7">
      <c r="A1520" s="25">
        <v>1001</v>
      </c>
      <c r="B1520" s="25">
        <v>5</v>
      </c>
      <c r="C1520" s="25">
        <v>1003</v>
      </c>
      <c r="D1520" t="s">
        <v>3566</v>
      </c>
      <c r="E1520" s="27" t="s">
        <v>3560</v>
      </c>
      <c r="F1520">
        <v>1102004</v>
      </c>
      <c r="G1520" t="s">
        <v>3567</v>
      </c>
    </row>
    <row r="1521" spans="1:7">
      <c r="A1521" s="25">
        <v>1001</v>
      </c>
      <c r="B1521" s="25">
        <v>5</v>
      </c>
      <c r="C1521" s="25">
        <v>1003</v>
      </c>
      <c r="D1521" t="s">
        <v>3568</v>
      </c>
      <c r="E1521" s="27" t="s">
        <v>3560</v>
      </c>
      <c r="F1521">
        <v>1102005</v>
      </c>
      <c r="G1521" t="s">
        <v>3569</v>
      </c>
    </row>
    <row r="1522" spans="1:7">
      <c r="A1522" s="25">
        <v>1001</v>
      </c>
      <c r="B1522" s="25">
        <v>5</v>
      </c>
      <c r="C1522" s="25">
        <v>1003</v>
      </c>
      <c r="D1522" t="s">
        <v>3570</v>
      </c>
      <c r="E1522" s="27" t="s">
        <v>3560</v>
      </c>
      <c r="F1522">
        <v>1102006</v>
      </c>
      <c r="G1522" t="s">
        <v>3571</v>
      </c>
    </row>
    <row r="1523" spans="1:7">
      <c r="A1523" s="25">
        <v>1001</v>
      </c>
      <c r="B1523" s="25">
        <v>5</v>
      </c>
      <c r="C1523" s="25">
        <v>1003</v>
      </c>
      <c r="D1523" t="s">
        <v>3572</v>
      </c>
      <c r="E1523" s="27" t="s">
        <v>3560</v>
      </c>
      <c r="F1523">
        <v>1102007</v>
      </c>
      <c r="G1523" t="s">
        <v>3573</v>
      </c>
    </row>
    <row r="1524" spans="1:7">
      <c r="A1524" s="25">
        <v>1001</v>
      </c>
      <c r="B1524" s="25">
        <v>5</v>
      </c>
      <c r="C1524" s="25">
        <v>1003</v>
      </c>
      <c r="D1524" t="s">
        <v>3574</v>
      </c>
      <c r="E1524" s="27" t="s">
        <v>3560</v>
      </c>
      <c r="F1524">
        <v>1102008</v>
      </c>
      <c r="G1524" t="s">
        <v>3575</v>
      </c>
    </row>
    <row r="1525" spans="1:7">
      <c r="A1525" s="25">
        <v>1001</v>
      </c>
      <c r="B1525" s="25">
        <v>5</v>
      </c>
      <c r="C1525" s="25">
        <v>1003</v>
      </c>
      <c r="D1525" t="s">
        <v>3576</v>
      </c>
      <c r="E1525" s="27" t="s">
        <v>3560</v>
      </c>
      <c r="F1525">
        <v>1102009</v>
      </c>
      <c r="G1525" t="s">
        <v>3577</v>
      </c>
    </row>
    <row r="1526" spans="1:7">
      <c r="A1526" s="25">
        <v>1001</v>
      </c>
      <c r="B1526" s="25">
        <v>5</v>
      </c>
      <c r="C1526" s="25">
        <v>1003</v>
      </c>
      <c r="D1526" t="s">
        <v>3578</v>
      </c>
      <c r="E1526" s="27" t="s">
        <v>3560</v>
      </c>
      <c r="F1526">
        <v>1102010</v>
      </c>
      <c r="G1526" t="s">
        <v>3579</v>
      </c>
    </row>
    <row r="1527" spans="1:7">
      <c r="A1527" s="25">
        <v>1001</v>
      </c>
      <c r="B1527" s="25">
        <v>5</v>
      </c>
      <c r="C1527" s="25">
        <v>1003</v>
      </c>
      <c r="D1527" t="s">
        <v>3580</v>
      </c>
      <c r="E1527" s="27" t="s">
        <v>3581</v>
      </c>
      <c r="F1527">
        <v>1102101</v>
      </c>
      <c r="G1527" t="s">
        <v>3582</v>
      </c>
    </row>
    <row r="1528" spans="1:7">
      <c r="A1528" s="25">
        <v>1001</v>
      </c>
      <c r="B1528" s="25">
        <v>5</v>
      </c>
      <c r="C1528" s="25">
        <v>1003</v>
      </c>
      <c r="D1528" t="s">
        <v>3583</v>
      </c>
      <c r="E1528" s="27" t="s">
        <v>3581</v>
      </c>
      <c r="F1528">
        <v>1102102</v>
      </c>
      <c r="G1528" t="s">
        <v>3584</v>
      </c>
    </row>
    <row r="1529" spans="1:7">
      <c r="A1529" s="25">
        <v>1001</v>
      </c>
      <c r="B1529" s="25">
        <v>5</v>
      </c>
      <c r="C1529" s="25">
        <v>1003</v>
      </c>
      <c r="D1529" t="s">
        <v>3585</v>
      </c>
      <c r="E1529" s="27" t="s">
        <v>3581</v>
      </c>
      <c r="F1529">
        <v>1102103</v>
      </c>
      <c r="G1529" t="s">
        <v>3586</v>
      </c>
    </row>
    <row r="1530" spans="1:7">
      <c r="A1530" s="25">
        <v>1001</v>
      </c>
      <c r="B1530" s="25">
        <v>5</v>
      </c>
      <c r="C1530" s="25">
        <v>1003</v>
      </c>
      <c r="D1530" t="s">
        <v>3587</v>
      </c>
      <c r="E1530" s="27" t="s">
        <v>3581</v>
      </c>
      <c r="F1530">
        <v>1102104</v>
      </c>
      <c r="G1530" t="s">
        <v>3588</v>
      </c>
    </row>
    <row r="1531" spans="1:7">
      <c r="A1531" s="25">
        <v>1001</v>
      </c>
      <c r="B1531" s="25">
        <v>5</v>
      </c>
      <c r="C1531" s="25">
        <v>1003</v>
      </c>
      <c r="D1531" t="s">
        <v>3589</v>
      </c>
      <c r="E1531" s="27" t="s">
        <v>3581</v>
      </c>
      <c r="F1531">
        <v>1102105</v>
      </c>
      <c r="G1531" t="s">
        <v>3590</v>
      </c>
    </row>
    <row r="1532" spans="1:7">
      <c r="A1532" s="25">
        <v>1001</v>
      </c>
      <c r="B1532" s="25">
        <v>5</v>
      </c>
      <c r="C1532" s="25">
        <v>1003</v>
      </c>
      <c r="D1532" t="s">
        <v>3591</v>
      </c>
      <c r="E1532" s="27" t="s">
        <v>3581</v>
      </c>
      <c r="F1532">
        <v>1102106</v>
      </c>
      <c r="G1532" t="s">
        <v>3592</v>
      </c>
    </row>
    <row r="1533" spans="1:7">
      <c r="A1533" s="25">
        <v>1001</v>
      </c>
      <c r="B1533" s="25">
        <v>5</v>
      </c>
      <c r="C1533" s="25">
        <v>1003</v>
      </c>
      <c r="D1533" t="s">
        <v>3593</v>
      </c>
      <c r="E1533" s="27" t="s">
        <v>3581</v>
      </c>
      <c r="F1533">
        <v>1102107</v>
      </c>
      <c r="G1533" t="s">
        <v>3594</v>
      </c>
    </row>
    <row r="1534" spans="1:7">
      <c r="A1534" s="25">
        <v>1001</v>
      </c>
      <c r="B1534" s="25">
        <v>5</v>
      </c>
      <c r="C1534" s="25">
        <v>1003</v>
      </c>
      <c r="D1534" t="s">
        <v>3595</v>
      </c>
      <c r="E1534" s="27" t="s">
        <v>3581</v>
      </c>
      <c r="F1534">
        <v>1102108</v>
      </c>
      <c r="G1534" t="s">
        <v>3596</v>
      </c>
    </row>
    <row r="1535" spans="1:7">
      <c r="A1535" s="25">
        <v>1001</v>
      </c>
      <c r="B1535" s="25">
        <v>5</v>
      </c>
      <c r="C1535" s="25">
        <v>1003</v>
      </c>
      <c r="D1535" t="s">
        <v>3597</v>
      </c>
      <c r="E1535" s="27" t="s">
        <v>3581</v>
      </c>
      <c r="F1535">
        <v>1102109</v>
      </c>
      <c r="G1535" t="s">
        <v>3598</v>
      </c>
    </row>
    <row r="1536" spans="1:7">
      <c r="A1536" s="25">
        <v>1001</v>
      </c>
      <c r="B1536" s="25">
        <v>5</v>
      </c>
      <c r="C1536" s="25">
        <v>1003</v>
      </c>
      <c r="D1536" t="s">
        <v>3599</v>
      </c>
      <c r="E1536" s="27" t="s">
        <v>3581</v>
      </c>
      <c r="F1536">
        <v>1102110</v>
      </c>
      <c r="G1536" t="s">
        <v>3600</v>
      </c>
    </row>
    <row r="1537" spans="1:7">
      <c r="A1537" s="25">
        <v>1001</v>
      </c>
      <c r="B1537" s="25">
        <v>5</v>
      </c>
      <c r="C1537" s="25">
        <v>1003</v>
      </c>
      <c r="D1537" t="s">
        <v>3601</v>
      </c>
      <c r="E1537" s="27" t="s">
        <v>3602</v>
      </c>
      <c r="F1537">
        <v>1102201</v>
      </c>
      <c r="G1537" t="s">
        <v>3603</v>
      </c>
    </row>
    <row r="1538" spans="1:7">
      <c r="A1538" s="25">
        <v>1001</v>
      </c>
      <c r="B1538" s="25">
        <v>5</v>
      </c>
      <c r="C1538" s="25">
        <v>1003</v>
      </c>
      <c r="D1538" t="s">
        <v>3604</v>
      </c>
      <c r="E1538" s="27" t="s">
        <v>3602</v>
      </c>
      <c r="F1538">
        <v>1102202</v>
      </c>
      <c r="G1538" t="s">
        <v>3605</v>
      </c>
    </row>
    <row r="1539" spans="1:7">
      <c r="A1539" s="25">
        <v>1001</v>
      </c>
      <c r="B1539" s="25">
        <v>5</v>
      </c>
      <c r="C1539" s="25">
        <v>1003</v>
      </c>
      <c r="D1539" t="s">
        <v>3606</v>
      </c>
      <c r="E1539" s="27" t="s">
        <v>3602</v>
      </c>
      <c r="F1539">
        <v>1102203</v>
      </c>
      <c r="G1539" t="s">
        <v>3607</v>
      </c>
    </row>
    <row r="1540" spans="1:7">
      <c r="A1540" s="25">
        <v>1001</v>
      </c>
      <c r="B1540" s="25">
        <v>5</v>
      </c>
      <c r="C1540" s="25">
        <v>1003</v>
      </c>
      <c r="D1540" t="s">
        <v>3608</v>
      </c>
      <c r="E1540" s="27" t="s">
        <v>3602</v>
      </c>
      <c r="F1540">
        <v>1102204</v>
      </c>
      <c r="G1540" t="s">
        <v>3609</v>
      </c>
    </row>
    <row r="1541" spans="1:7">
      <c r="A1541" s="25">
        <v>1001</v>
      </c>
      <c r="B1541" s="25">
        <v>5</v>
      </c>
      <c r="C1541" s="25">
        <v>1003</v>
      </c>
      <c r="D1541" t="s">
        <v>3610</v>
      </c>
      <c r="E1541" s="27" t="s">
        <v>3602</v>
      </c>
      <c r="F1541">
        <v>1102205</v>
      </c>
      <c r="G1541" t="s">
        <v>3611</v>
      </c>
    </row>
    <row r="1542" spans="1:7">
      <c r="A1542" s="25">
        <v>1001</v>
      </c>
      <c r="B1542" s="25">
        <v>5</v>
      </c>
      <c r="C1542" s="25">
        <v>1003</v>
      </c>
      <c r="D1542" t="s">
        <v>3612</v>
      </c>
      <c r="E1542" s="27" t="s">
        <v>3602</v>
      </c>
      <c r="F1542">
        <v>1102206</v>
      </c>
      <c r="G1542" t="s">
        <v>3613</v>
      </c>
    </row>
    <row r="1543" spans="1:7">
      <c r="A1543" s="25">
        <v>1001</v>
      </c>
      <c r="B1543" s="25">
        <v>5</v>
      </c>
      <c r="C1543" s="25">
        <v>1003</v>
      </c>
      <c r="D1543" t="s">
        <v>3614</v>
      </c>
      <c r="E1543" s="27" t="s">
        <v>3602</v>
      </c>
      <c r="F1543">
        <v>1102207</v>
      </c>
      <c r="G1543" t="s">
        <v>3615</v>
      </c>
    </row>
    <row r="1544" spans="1:7">
      <c r="A1544" s="25">
        <v>1001</v>
      </c>
      <c r="B1544" s="25">
        <v>5</v>
      </c>
      <c r="C1544" s="25">
        <v>1003</v>
      </c>
      <c r="D1544" t="s">
        <v>3616</v>
      </c>
      <c r="E1544" s="27" t="s">
        <v>3602</v>
      </c>
      <c r="F1544">
        <v>1102208</v>
      </c>
      <c r="G1544" t="s">
        <v>3617</v>
      </c>
    </row>
    <row r="1545" spans="1:7">
      <c r="A1545" s="25">
        <v>1001</v>
      </c>
      <c r="B1545" s="25">
        <v>5</v>
      </c>
      <c r="C1545" s="25">
        <v>1003</v>
      </c>
      <c r="D1545" t="s">
        <v>3618</v>
      </c>
      <c r="E1545" s="27" t="s">
        <v>3602</v>
      </c>
      <c r="F1545">
        <v>1102209</v>
      </c>
      <c r="G1545" t="s">
        <v>3619</v>
      </c>
    </row>
    <row r="1546" spans="1:7">
      <c r="A1546" s="25">
        <v>1001</v>
      </c>
      <c r="B1546" s="25">
        <v>5</v>
      </c>
      <c r="C1546" s="25">
        <v>1003</v>
      </c>
      <c r="D1546" t="s">
        <v>3620</v>
      </c>
      <c r="E1546" s="27" t="s">
        <v>3602</v>
      </c>
      <c r="F1546">
        <v>1102210</v>
      </c>
      <c r="G1546" t="s">
        <v>3621</v>
      </c>
    </row>
    <row r="1547" spans="1:7">
      <c r="A1547" s="25">
        <v>1001</v>
      </c>
      <c r="B1547" s="25">
        <v>5</v>
      </c>
      <c r="C1547" s="25">
        <v>1003</v>
      </c>
      <c r="D1547" t="s">
        <v>3622</v>
      </c>
      <c r="E1547" s="27" t="s">
        <v>3602</v>
      </c>
      <c r="F1547">
        <v>1102211</v>
      </c>
      <c r="G1547" t="s">
        <v>3623</v>
      </c>
    </row>
    <row r="1548" spans="1:7">
      <c r="A1548" s="25">
        <v>1001</v>
      </c>
      <c r="B1548" s="25">
        <v>5</v>
      </c>
      <c r="C1548" s="25">
        <v>1003</v>
      </c>
      <c r="D1548" t="s">
        <v>3624</v>
      </c>
      <c r="E1548" s="27" t="s">
        <v>3625</v>
      </c>
      <c r="F1548">
        <v>1102301</v>
      </c>
      <c r="G1548" t="s">
        <v>3626</v>
      </c>
    </row>
    <row r="1549" spans="1:7">
      <c r="A1549" s="25">
        <v>1001</v>
      </c>
      <c r="B1549" s="25">
        <v>5</v>
      </c>
      <c r="C1549" s="25">
        <v>1003</v>
      </c>
      <c r="D1549" t="s">
        <v>3627</v>
      </c>
      <c r="E1549" s="27" t="s">
        <v>3625</v>
      </c>
      <c r="F1549">
        <v>1102302</v>
      </c>
      <c r="G1549" t="s">
        <v>3628</v>
      </c>
    </row>
    <row r="1550" spans="1:7">
      <c r="A1550" s="25">
        <v>1001</v>
      </c>
      <c r="B1550" s="25">
        <v>5</v>
      </c>
      <c r="C1550" s="25">
        <v>1003</v>
      </c>
      <c r="D1550" t="s">
        <v>3629</v>
      </c>
      <c r="E1550" s="27" t="s">
        <v>3625</v>
      </c>
      <c r="F1550">
        <v>1102303</v>
      </c>
      <c r="G1550" t="s">
        <v>3630</v>
      </c>
    </row>
    <row r="1551" spans="1:7">
      <c r="A1551" s="25">
        <v>1001</v>
      </c>
      <c r="B1551" s="25">
        <v>5</v>
      </c>
      <c r="C1551" s="25">
        <v>1003</v>
      </c>
      <c r="D1551" t="s">
        <v>3631</v>
      </c>
      <c r="E1551" s="27" t="s">
        <v>3625</v>
      </c>
      <c r="F1551">
        <v>1102304</v>
      </c>
      <c r="G1551" t="s">
        <v>3632</v>
      </c>
    </row>
    <row r="1552" spans="1:7">
      <c r="A1552" s="25">
        <v>1001</v>
      </c>
      <c r="B1552" s="25">
        <v>5</v>
      </c>
      <c r="C1552" s="25">
        <v>1003</v>
      </c>
      <c r="D1552" t="s">
        <v>3633</v>
      </c>
      <c r="E1552" s="27" t="s">
        <v>3625</v>
      </c>
      <c r="F1552">
        <v>1102305</v>
      </c>
      <c r="G1552" t="s">
        <v>3634</v>
      </c>
    </row>
    <row r="1553" spans="1:7">
      <c r="A1553" s="25">
        <v>1001</v>
      </c>
      <c r="B1553" s="25">
        <v>5</v>
      </c>
      <c r="C1553" s="25">
        <v>1003</v>
      </c>
      <c r="D1553" t="s">
        <v>3635</v>
      </c>
      <c r="E1553" s="27" t="s">
        <v>3625</v>
      </c>
      <c r="F1553">
        <v>1102306</v>
      </c>
      <c r="G1553" t="s">
        <v>3636</v>
      </c>
    </row>
    <row r="1554" spans="1:7">
      <c r="A1554" s="25">
        <v>1001</v>
      </c>
      <c r="B1554" s="25">
        <v>5</v>
      </c>
      <c r="C1554" s="25">
        <v>1003</v>
      </c>
      <c r="D1554" t="s">
        <v>3637</v>
      </c>
      <c r="E1554" s="27" t="s">
        <v>3625</v>
      </c>
      <c r="F1554">
        <v>1102307</v>
      </c>
      <c r="G1554" t="s">
        <v>3638</v>
      </c>
    </row>
    <row r="1555" spans="1:7">
      <c r="A1555" s="25">
        <v>1001</v>
      </c>
      <c r="B1555" s="25">
        <v>5</v>
      </c>
      <c r="C1555" s="25">
        <v>1003</v>
      </c>
      <c r="D1555" t="s">
        <v>3639</v>
      </c>
      <c r="E1555" s="27" t="s">
        <v>3625</v>
      </c>
      <c r="F1555">
        <v>1102308</v>
      </c>
      <c r="G1555" t="s">
        <v>3640</v>
      </c>
    </row>
    <row r="1556" spans="1:7">
      <c r="A1556" s="25">
        <v>1001</v>
      </c>
      <c r="B1556" s="25">
        <v>5</v>
      </c>
      <c r="C1556" s="25">
        <v>1003</v>
      </c>
      <c r="D1556" t="s">
        <v>3641</v>
      </c>
      <c r="E1556" s="27" t="s">
        <v>3625</v>
      </c>
      <c r="F1556">
        <v>1102309</v>
      </c>
      <c r="G1556" t="s">
        <v>3642</v>
      </c>
    </row>
    <row r="1557" spans="1:7">
      <c r="A1557" s="25">
        <v>1001</v>
      </c>
      <c r="B1557" s="25">
        <v>5</v>
      </c>
      <c r="C1557" s="25">
        <v>1003</v>
      </c>
      <c r="D1557" t="s">
        <v>3643</v>
      </c>
      <c r="E1557" s="27" t="s">
        <v>3625</v>
      </c>
      <c r="F1557">
        <v>1102310</v>
      </c>
      <c r="G1557" t="s">
        <v>3644</v>
      </c>
    </row>
    <row r="1558" spans="1:7">
      <c r="A1558" s="25">
        <v>1001</v>
      </c>
      <c r="B1558" s="25">
        <v>5</v>
      </c>
      <c r="C1558" s="25">
        <v>1003</v>
      </c>
      <c r="D1558" t="s">
        <v>3645</v>
      </c>
      <c r="E1558" s="27" t="s">
        <v>3625</v>
      </c>
      <c r="F1558">
        <v>1102311</v>
      </c>
      <c r="G1558" t="s">
        <v>3646</v>
      </c>
    </row>
    <row r="1559" spans="1:7">
      <c r="A1559" s="25">
        <v>1001</v>
      </c>
      <c r="B1559" s="25">
        <v>5</v>
      </c>
      <c r="C1559" s="25">
        <v>1003</v>
      </c>
      <c r="D1559" t="s">
        <v>3647</v>
      </c>
      <c r="E1559" s="27" t="s">
        <v>3648</v>
      </c>
      <c r="F1559">
        <v>1102401</v>
      </c>
      <c r="G1559" t="s">
        <v>3649</v>
      </c>
    </row>
    <row r="1560" spans="1:7">
      <c r="A1560" s="25">
        <v>1001</v>
      </c>
      <c r="B1560" s="25">
        <v>5</v>
      </c>
      <c r="C1560" s="25">
        <v>1003</v>
      </c>
      <c r="D1560" t="s">
        <v>3650</v>
      </c>
      <c r="E1560" s="27" t="s">
        <v>3648</v>
      </c>
      <c r="F1560">
        <v>1102402</v>
      </c>
      <c r="G1560" t="s">
        <v>3651</v>
      </c>
    </row>
    <row r="1561" spans="1:7">
      <c r="A1561" s="25">
        <v>1001</v>
      </c>
      <c r="B1561" s="25">
        <v>5</v>
      </c>
      <c r="C1561" s="25">
        <v>1003</v>
      </c>
      <c r="D1561" t="s">
        <v>3652</v>
      </c>
      <c r="E1561" s="27" t="s">
        <v>3648</v>
      </c>
      <c r="F1561">
        <v>1102403</v>
      </c>
      <c r="G1561" t="s">
        <v>3653</v>
      </c>
    </row>
    <row r="1562" spans="1:7">
      <c r="A1562" s="25">
        <v>1001</v>
      </c>
      <c r="B1562" s="25">
        <v>5</v>
      </c>
      <c r="C1562" s="25">
        <v>1003</v>
      </c>
      <c r="D1562" t="s">
        <v>3654</v>
      </c>
      <c r="E1562" s="27" t="s">
        <v>3648</v>
      </c>
      <c r="F1562">
        <v>1102404</v>
      </c>
      <c r="G1562" t="s">
        <v>3655</v>
      </c>
    </row>
    <row r="1563" spans="1:7">
      <c r="A1563" s="25">
        <v>1001</v>
      </c>
      <c r="B1563" s="25">
        <v>5</v>
      </c>
      <c r="C1563" s="25">
        <v>1003</v>
      </c>
      <c r="D1563" t="s">
        <v>3656</v>
      </c>
      <c r="E1563" s="27" t="s">
        <v>3648</v>
      </c>
      <c r="F1563">
        <v>1102405</v>
      </c>
      <c r="G1563" t="s">
        <v>3657</v>
      </c>
    </row>
    <row r="1564" spans="1:7">
      <c r="A1564" s="25">
        <v>1001</v>
      </c>
      <c r="B1564" s="25">
        <v>5</v>
      </c>
      <c r="C1564" s="25">
        <v>1003</v>
      </c>
      <c r="D1564" t="s">
        <v>3658</v>
      </c>
      <c r="E1564" s="27" t="s">
        <v>3648</v>
      </c>
      <c r="F1564">
        <v>1102406</v>
      </c>
      <c r="G1564" t="s">
        <v>3659</v>
      </c>
    </row>
    <row r="1565" spans="1:7">
      <c r="A1565" s="25">
        <v>1001</v>
      </c>
      <c r="B1565" s="25">
        <v>5</v>
      </c>
      <c r="C1565" s="25">
        <v>1003</v>
      </c>
      <c r="D1565" t="s">
        <v>3660</v>
      </c>
      <c r="E1565" s="27" t="s">
        <v>3648</v>
      </c>
      <c r="F1565">
        <v>1102407</v>
      </c>
      <c r="G1565" t="s">
        <v>3661</v>
      </c>
    </row>
    <row r="1566" spans="1:7">
      <c r="A1566" s="25">
        <v>1001</v>
      </c>
      <c r="B1566" s="25">
        <v>5</v>
      </c>
      <c r="C1566" s="25">
        <v>1003</v>
      </c>
      <c r="D1566" t="s">
        <v>3662</v>
      </c>
      <c r="E1566" s="27" t="s">
        <v>3648</v>
      </c>
      <c r="F1566">
        <v>1102408</v>
      </c>
      <c r="G1566" t="s">
        <v>3663</v>
      </c>
    </row>
    <row r="1567" spans="1:6">
      <c r="A1567" s="25">
        <v>1001</v>
      </c>
      <c r="B1567" s="25">
        <v>5</v>
      </c>
      <c r="C1567" s="25">
        <v>1003</v>
      </c>
      <c r="D1567" t="s">
        <v>3664</v>
      </c>
      <c r="E1567" s="27" t="s">
        <v>3648</v>
      </c>
      <c r="F1567">
        <v>1102409</v>
      </c>
    </row>
    <row r="1568" spans="1:6">
      <c r="A1568" s="25">
        <v>1001</v>
      </c>
      <c r="B1568" s="25">
        <v>5</v>
      </c>
      <c r="C1568" s="25">
        <v>1003</v>
      </c>
      <c r="D1568" t="s">
        <v>3664</v>
      </c>
      <c r="E1568" s="27" t="s">
        <v>3648</v>
      </c>
      <c r="F1568">
        <v>1102410</v>
      </c>
    </row>
    <row r="1569" spans="1:6">
      <c r="A1569" s="25">
        <v>1001</v>
      </c>
      <c r="B1569" s="25">
        <v>5</v>
      </c>
      <c r="C1569" s="25">
        <v>1003</v>
      </c>
      <c r="D1569" t="s">
        <v>3664</v>
      </c>
      <c r="E1569" t="s">
        <v>3664</v>
      </c>
      <c r="F1569">
        <v>1110101</v>
      </c>
    </row>
    <row r="1570" spans="1:6">
      <c r="A1570" s="25">
        <v>1001</v>
      </c>
      <c r="B1570" s="25">
        <v>5</v>
      </c>
      <c r="C1570" s="25">
        <v>1003</v>
      </c>
      <c r="D1570" t="s">
        <v>3664</v>
      </c>
      <c r="E1570" t="s">
        <v>3664</v>
      </c>
      <c r="F1570">
        <v>1110102</v>
      </c>
    </row>
    <row r="1571" spans="1:6">
      <c r="A1571" s="25">
        <v>1001</v>
      </c>
      <c r="B1571" s="25">
        <v>5</v>
      </c>
      <c r="C1571" s="25">
        <v>1003</v>
      </c>
      <c r="D1571" t="s">
        <v>3664</v>
      </c>
      <c r="E1571" t="s">
        <v>3664</v>
      </c>
      <c r="F1571">
        <v>1110103</v>
      </c>
    </row>
    <row r="1572" spans="1:6">
      <c r="A1572" s="25">
        <v>1001</v>
      </c>
      <c r="B1572" s="25">
        <v>5</v>
      </c>
      <c r="C1572" s="25">
        <v>1003</v>
      </c>
      <c r="D1572" t="s">
        <v>3664</v>
      </c>
      <c r="E1572" t="s">
        <v>3664</v>
      </c>
      <c r="F1572">
        <v>1110104</v>
      </c>
    </row>
    <row r="1573" spans="1:6">
      <c r="A1573" s="25">
        <v>1001</v>
      </c>
      <c r="B1573" s="25">
        <v>5</v>
      </c>
      <c r="C1573" s="25">
        <v>1003</v>
      </c>
      <c r="D1573" t="s">
        <v>3664</v>
      </c>
      <c r="E1573" t="s">
        <v>3664</v>
      </c>
      <c r="F1573">
        <v>1110105</v>
      </c>
    </row>
    <row r="1574" spans="1:6">
      <c r="A1574" s="25">
        <v>1001</v>
      </c>
      <c r="B1574" s="25">
        <v>5</v>
      </c>
      <c r="C1574" s="25">
        <v>1003</v>
      </c>
      <c r="D1574" t="s">
        <v>3664</v>
      </c>
      <c r="E1574" t="s">
        <v>3664</v>
      </c>
      <c r="F1574">
        <v>1110106</v>
      </c>
    </row>
    <row r="1575" spans="1:6">
      <c r="A1575" s="25">
        <v>1001</v>
      </c>
      <c r="B1575" s="25">
        <v>5</v>
      </c>
      <c r="C1575" s="25">
        <v>1003</v>
      </c>
      <c r="D1575" t="s">
        <v>3664</v>
      </c>
      <c r="E1575" t="s">
        <v>3664</v>
      </c>
      <c r="F1575">
        <v>1110107</v>
      </c>
    </row>
    <row r="1576" spans="1:6">
      <c r="A1576" s="25">
        <v>1001</v>
      </c>
      <c r="B1576" s="25">
        <v>5</v>
      </c>
      <c r="C1576" s="25">
        <v>1003</v>
      </c>
      <c r="D1576" t="s">
        <v>3664</v>
      </c>
      <c r="E1576" t="s">
        <v>3664</v>
      </c>
      <c r="F1576">
        <v>1110108</v>
      </c>
    </row>
    <row r="1577" spans="1:6">
      <c r="A1577" s="25">
        <v>1001</v>
      </c>
      <c r="B1577" s="25">
        <v>5</v>
      </c>
      <c r="C1577" s="25">
        <v>1003</v>
      </c>
      <c r="E1577" t="s">
        <v>3664</v>
      </c>
      <c r="F1577">
        <v>1110109</v>
      </c>
    </row>
    <row r="1578" spans="1:6">
      <c r="A1578" s="25">
        <v>1001</v>
      </c>
      <c r="B1578" s="25">
        <v>5</v>
      </c>
      <c r="C1578" s="25">
        <v>1003</v>
      </c>
      <c r="E1578" t="s">
        <v>3664</v>
      </c>
      <c r="F1578">
        <v>1110110</v>
      </c>
    </row>
    <row r="1579" spans="1:6">
      <c r="A1579" s="25">
        <v>1001</v>
      </c>
      <c r="B1579" s="25">
        <v>5</v>
      </c>
      <c r="C1579" s="25">
        <v>1003</v>
      </c>
      <c r="E1579" s="27" t="s">
        <v>3042</v>
      </c>
      <c r="F1579">
        <v>1110201</v>
      </c>
    </row>
    <row r="1580" spans="1:6">
      <c r="A1580" s="25">
        <v>1001</v>
      </c>
      <c r="B1580" s="25">
        <v>5</v>
      </c>
      <c r="C1580" s="25">
        <v>1003</v>
      </c>
      <c r="E1580" s="27" t="s">
        <v>3042</v>
      </c>
      <c r="F1580">
        <v>1110202</v>
      </c>
    </row>
    <row r="1581" spans="1:6">
      <c r="A1581" s="25">
        <v>1001</v>
      </c>
      <c r="B1581" s="25">
        <v>5</v>
      </c>
      <c r="C1581" s="25">
        <v>1003</v>
      </c>
      <c r="E1581" s="27" t="s">
        <v>3042</v>
      </c>
      <c r="F1581">
        <v>1110203</v>
      </c>
    </row>
    <row r="1582" spans="1:6">
      <c r="A1582" s="25">
        <v>1001</v>
      </c>
      <c r="B1582" s="25">
        <v>5</v>
      </c>
      <c r="C1582" s="25">
        <v>1003</v>
      </c>
      <c r="E1582" s="27" t="s">
        <v>3042</v>
      </c>
      <c r="F1582">
        <v>1110204</v>
      </c>
    </row>
    <row r="1583" spans="1:6">
      <c r="A1583" s="25">
        <v>1001</v>
      </c>
      <c r="B1583" s="25">
        <v>5</v>
      </c>
      <c r="C1583" s="25">
        <v>1003</v>
      </c>
      <c r="E1583" s="27" t="s">
        <v>3042</v>
      </c>
      <c r="F1583">
        <v>1110205</v>
      </c>
    </row>
    <row r="1584" spans="1:6">
      <c r="A1584" s="25">
        <v>1001</v>
      </c>
      <c r="B1584" s="25">
        <v>5</v>
      </c>
      <c r="C1584" s="25">
        <v>1003</v>
      </c>
      <c r="E1584" s="27" t="s">
        <v>3042</v>
      </c>
      <c r="F1584">
        <v>1110206</v>
      </c>
    </row>
    <row r="1585" spans="1:6">
      <c r="A1585" s="25">
        <v>1001</v>
      </c>
      <c r="B1585" s="25">
        <v>5</v>
      </c>
      <c r="C1585" s="25">
        <v>1003</v>
      </c>
      <c r="E1585" s="27" t="s">
        <v>3042</v>
      </c>
      <c r="F1585">
        <v>1110207</v>
      </c>
    </row>
    <row r="1586" spans="1:6">
      <c r="A1586" s="25">
        <v>1001</v>
      </c>
      <c r="B1586" s="25">
        <v>5</v>
      </c>
      <c r="C1586" s="25">
        <v>1003</v>
      </c>
      <c r="E1586" s="27" t="s">
        <v>3042</v>
      </c>
      <c r="F1586">
        <v>1110208</v>
      </c>
    </row>
    <row r="1587" spans="1:6">
      <c r="A1587" s="25">
        <v>1001</v>
      </c>
      <c r="B1587" s="25">
        <v>5</v>
      </c>
      <c r="C1587" s="25">
        <v>1003</v>
      </c>
      <c r="E1587" s="27" t="s">
        <v>3042</v>
      </c>
      <c r="F1587">
        <v>1110209</v>
      </c>
    </row>
    <row r="1588" spans="1:6">
      <c r="A1588" s="25">
        <v>1001</v>
      </c>
      <c r="B1588" s="25">
        <v>5</v>
      </c>
      <c r="C1588" s="25">
        <v>1003</v>
      </c>
      <c r="E1588" s="27" t="s">
        <v>3042</v>
      </c>
      <c r="F1588">
        <v>1110210</v>
      </c>
    </row>
    <row r="1589" spans="1:6">
      <c r="A1589" s="25">
        <v>1001</v>
      </c>
      <c r="B1589" s="25">
        <v>5</v>
      </c>
      <c r="C1589" s="25">
        <v>1003</v>
      </c>
      <c r="E1589" s="27" t="s">
        <v>3061</v>
      </c>
      <c r="F1589">
        <v>1110301</v>
      </c>
    </row>
    <row r="1590" spans="1:6">
      <c r="A1590" s="25">
        <v>1001</v>
      </c>
      <c r="B1590" s="25">
        <v>5</v>
      </c>
      <c r="C1590" s="25">
        <v>1003</v>
      </c>
      <c r="E1590" s="27" t="s">
        <v>3061</v>
      </c>
      <c r="F1590">
        <v>1110302</v>
      </c>
    </row>
    <row r="1591" spans="1:6">
      <c r="A1591" s="25">
        <v>1001</v>
      </c>
      <c r="B1591" s="25">
        <v>5</v>
      </c>
      <c r="C1591" s="25">
        <v>1003</v>
      </c>
      <c r="E1591" s="27" t="s">
        <v>3061</v>
      </c>
      <c r="F1591">
        <v>1110303</v>
      </c>
    </row>
    <row r="1592" spans="1:6">
      <c r="A1592" s="25">
        <v>1001</v>
      </c>
      <c r="B1592" s="25">
        <v>5</v>
      </c>
      <c r="C1592" s="25">
        <v>1003</v>
      </c>
      <c r="E1592" s="27" t="s">
        <v>3061</v>
      </c>
      <c r="F1592">
        <v>1110304</v>
      </c>
    </row>
    <row r="1593" spans="1:6">
      <c r="A1593" s="25">
        <v>1001</v>
      </c>
      <c r="B1593" s="25">
        <v>5</v>
      </c>
      <c r="C1593" s="25">
        <v>1003</v>
      </c>
      <c r="E1593" s="27" t="s">
        <v>3061</v>
      </c>
      <c r="F1593">
        <v>1110305</v>
      </c>
    </row>
    <row r="1594" spans="1:6">
      <c r="A1594" s="25">
        <v>1001</v>
      </c>
      <c r="B1594" s="25">
        <v>5</v>
      </c>
      <c r="C1594" s="25">
        <v>1003</v>
      </c>
      <c r="E1594" s="27" t="s">
        <v>3061</v>
      </c>
      <c r="F1594">
        <v>1110306</v>
      </c>
    </row>
    <row r="1595" spans="1:6">
      <c r="A1595" s="25">
        <v>1001</v>
      </c>
      <c r="B1595" s="25">
        <v>5</v>
      </c>
      <c r="C1595" s="25">
        <v>1003</v>
      </c>
      <c r="E1595" s="27" t="s">
        <v>3061</v>
      </c>
      <c r="F1595">
        <v>1110307</v>
      </c>
    </row>
    <row r="1596" spans="1:6">
      <c r="A1596" s="25">
        <v>1001</v>
      </c>
      <c r="B1596" s="25">
        <v>5</v>
      </c>
      <c r="C1596" s="25">
        <v>1003</v>
      </c>
      <c r="E1596" s="27" t="s">
        <v>3061</v>
      </c>
      <c r="F1596">
        <v>1110308</v>
      </c>
    </row>
    <row r="1597" spans="1:6">
      <c r="A1597" s="25">
        <v>1001</v>
      </c>
      <c r="B1597" s="25">
        <v>5</v>
      </c>
      <c r="C1597" s="25">
        <v>1003</v>
      </c>
      <c r="E1597" s="27" t="s">
        <v>3061</v>
      </c>
      <c r="F1597">
        <v>1110309</v>
      </c>
    </row>
    <row r="1598" spans="1:6">
      <c r="A1598" s="25">
        <v>1001</v>
      </c>
      <c r="B1598" s="25">
        <v>5</v>
      </c>
      <c r="C1598" s="25">
        <v>1003</v>
      </c>
      <c r="E1598" s="27" t="s">
        <v>3061</v>
      </c>
      <c r="F1598">
        <v>1110310</v>
      </c>
    </row>
    <row r="1599" spans="1:6">
      <c r="A1599" s="25">
        <v>1001</v>
      </c>
      <c r="B1599" s="25">
        <v>5</v>
      </c>
      <c r="C1599" s="25">
        <v>1003</v>
      </c>
      <c r="E1599" s="27" t="s">
        <v>3080</v>
      </c>
      <c r="F1599">
        <v>1110401</v>
      </c>
    </row>
    <row r="1600" spans="1:6">
      <c r="A1600" s="25">
        <v>1001</v>
      </c>
      <c r="B1600" s="25">
        <v>5</v>
      </c>
      <c r="C1600" s="25">
        <v>1003</v>
      </c>
      <c r="E1600" s="27" t="s">
        <v>3080</v>
      </c>
      <c r="F1600">
        <v>1110402</v>
      </c>
    </row>
    <row r="1601" spans="1:6">
      <c r="A1601" s="25">
        <v>1001</v>
      </c>
      <c r="B1601" s="25">
        <v>5</v>
      </c>
      <c r="C1601" s="25">
        <v>1003</v>
      </c>
      <c r="E1601" s="27" t="s">
        <v>3080</v>
      </c>
      <c r="F1601">
        <v>1110403</v>
      </c>
    </row>
    <row r="1602" spans="1:6">
      <c r="A1602" s="25">
        <v>1001</v>
      </c>
      <c r="B1602" s="25">
        <v>5</v>
      </c>
      <c r="C1602" s="25">
        <v>1003</v>
      </c>
      <c r="E1602" s="27" t="s">
        <v>3080</v>
      </c>
      <c r="F1602">
        <v>1110404</v>
      </c>
    </row>
    <row r="1603" spans="1:6">
      <c r="A1603" s="25">
        <v>1001</v>
      </c>
      <c r="B1603" s="25">
        <v>5</v>
      </c>
      <c r="C1603" s="25">
        <v>1003</v>
      </c>
      <c r="E1603" s="27" t="s">
        <v>3080</v>
      </c>
      <c r="F1603">
        <v>1110405</v>
      </c>
    </row>
    <row r="1604" spans="1:6">
      <c r="A1604" s="25">
        <v>1001</v>
      </c>
      <c r="B1604" s="25">
        <v>5</v>
      </c>
      <c r="C1604" s="25">
        <v>1003</v>
      </c>
      <c r="E1604" s="27" t="s">
        <v>3080</v>
      </c>
      <c r="F1604">
        <v>1110406</v>
      </c>
    </row>
    <row r="1605" spans="1:6">
      <c r="A1605" s="25">
        <v>1001</v>
      </c>
      <c r="B1605" s="25">
        <v>5</v>
      </c>
      <c r="C1605" s="25">
        <v>1003</v>
      </c>
      <c r="E1605" s="27" t="s">
        <v>3080</v>
      </c>
      <c r="F1605">
        <v>1110407</v>
      </c>
    </row>
    <row r="1606" spans="1:6">
      <c r="A1606" s="25">
        <v>1001</v>
      </c>
      <c r="B1606" s="25">
        <v>5</v>
      </c>
      <c r="C1606" s="25">
        <v>1003</v>
      </c>
      <c r="E1606" s="27" t="s">
        <v>3080</v>
      </c>
      <c r="F1606">
        <v>1110408</v>
      </c>
    </row>
    <row r="1607" spans="1:7">
      <c r="A1607" s="25">
        <v>1001</v>
      </c>
      <c r="B1607" s="25">
        <v>6</v>
      </c>
      <c r="C1607" s="25">
        <v>1001</v>
      </c>
      <c r="D1607" s="27" t="s">
        <v>689</v>
      </c>
      <c r="E1607" s="27" t="s">
        <v>3080</v>
      </c>
      <c r="F1607">
        <v>1110409</v>
      </c>
      <c r="G1607" t="s">
        <v>3665</v>
      </c>
    </row>
    <row r="1608" spans="1:7">
      <c r="A1608" s="25">
        <v>1001</v>
      </c>
      <c r="B1608" s="25">
        <v>6</v>
      </c>
      <c r="C1608" s="25">
        <v>1001</v>
      </c>
      <c r="D1608" s="27" t="s">
        <v>3666</v>
      </c>
      <c r="E1608" s="27" t="s">
        <v>3080</v>
      </c>
      <c r="F1608">
        <v>1110410</v>
      </c>
      <c r="G1608" t="s">
        <v>3665</v>
      </c>
    </row>
    <row r="1609" spans="1:7">
      <c r="A1609" s="25">
        <v>1001</v>
      </c>
      <c r="B1609" s="25">
        <v>6</v>
      </c>
      <c r="C1609" s="25">
        <v>1001</v>
      </c>
      <c r="D1609" t="s">
        <v>3667</v>
      </c>
      <c r="E1609" s="27" t="s">
        <v>689</v>
      </c>
      <c r="F1609">
        <v>800002</v>
      </c>
      <c r="G1609" t="s">
        <v>3668</v>
      </c>
    </row>
    <row r="1610" spans="1:7">
      <c r="A1610" s="25">
        <v>1001</v>
      </c>
      <c r="B1610" s="25">
        <v>6</v>
      </c>
      <c r="C1610" s="25">
        <v>1001</v>
      </c>
      <c r="D1610" t="s">
        <v>3669</v>
      </c>
      <c r="E1610" s="27" t="s">
        <v>3666</v>
      </c>
      <c r="F1610">
        <v>800003</v>
      </c>
      <c r="G1610" t="s">
        <v>3670</v>
      </c>
    </row>
    <row r="1611" spans="1:7">
      <c r="A1611" s="25">
        <v>1001</v>
      </c>
      <c r="B1611" s="25">
        <v>6</v>
      </c>
      <c r="C1611" s="25">
        <v>1001</v>
      </c>
      <c r="D1611" t="s">
        <v>3671</v>
      </c>
      <c r="E1611" s="27" t="s">
        <v>3672</v>
      </c>
      <c r="F1611">
        <v>800004</v>
      </c>
      <c r="G1611" t="s">
        <v>3673</v>
      </c>
    </row>
    <row r="1612" spans="1:7">
      <c r="A1612" s="25">
        <v>1001</v>
      </c>
      <c r="B1612" s="25">
        <v>6</v>
      </c>
      <c r="C1612" s="25">
        <v>1001</v>
      </c>
      <c r="D1612" t="s">
        <v>3674</v>
      </c>
      <c r="E1612" s="27" t="s">
        <v>680</v>
      </c>
      <c r="F1612">
        <v>800005</v>
      </c>
      <c r="G1612" t="s">
        <v>3675</v>
      </c>
    </row>
    <row r="1613" spans="1:7">
      <c r="A1613" s="25">
        <v>1001</v>
      </c>
      <c r="B1613" s="25">
        <v>6</v>
      </c>
      <c r="C1613" s="25">
        <v>1001</v>
      </c>
      <c r="D1613" s="27" t="s">
        <v>3666</v>
      </c>
      <c r="E1613" s="27" t="s">
        <v>3676</v>
      </c>
      <c r="F1613">
        <v>800006</v>
      </c>
      <c r="G1613" t="s">
        <v>3677</v>
      </c>
    </row>
    <row r="1614" spans="1:7">
      <c r="A1614" s="25">
        <v>1001</v>
      </c>
      <c r="B1614" s="25">
        <v>6</v>
      </c>
      <c r="C1614" s="25">
        <v>1001</v>
      </c>
      <c r="D1614" s="27" t="s">
        <v>3678</v>
      </c>
      <c r="E1614" s="27" t="s">
        <v>3679</v>
      </c>
      <c r="F1614">
        <v>800007</v>
      </c>
      <c r="G1614" t="s">
        <v>3680</v>
      </c>
    </row>
    <row r="1615" spans="1:7">
      <c r="A1615" s="25">
        <v>1001</v>
      </c>
      <c r="B1615" s="25">
        <v>6</v>
      </c>
      <c r="C1615" s="25">
        <v>1001</v>
      </c>
      <c r="D1615" t="s">
        <v>3681</v>
      </c>
      <c r="E1615" s="27" t="s">
        <v>3666</v>
      </c>
      <c r="F1615">
        <v>800008</v>
      </c>
      <c r="G1615" t="s">
        <v>3682</v>
      </c>
    </row>
    <row r="1616" spans="1:7">
      <c r="A1616" s="25">
        <v>1001</v>
      </c>
      <c r="B1616" s="25">
        <v>6</v>
      </c>
      <c r="C1616" s="25">
        <v>1001</v>
      </c>
      <c r="D1616" t="s">
        <v>3681</v>
      </c>
      <c r="E1616" s="27" t="s">
        <v>3678</v>
      </c>
      <c r="F1616">
        <v>800009</v>
      </c>
      <c r="G1616" t="s">
        <v>3683</v>
      </c>
    </row>
    <row r="1617" spans="1:7">
      <c r="A1617" s="25">
        <v>1001</v>
      </c>
      <c r="B1617" s="25">
        <v>6</v>
      </c>
      <c r="C1617" s="25">
        <v>1001</v>
      </c>
      <c r="D1617" t="s">
        <v>3681</v>
      </c>
      <c r="E1617" s="27" t="s">
        <v>3681</v>
      </c>
      <c r="F1617" s="25">
        <v>270001</v>
      </c>
      <c r="G1617" t="s">
        <v>3683</v>
      </c>
    </row>
    <row r="1618" spans="1:7">
      <c r="A1618" s="25">
        <v>1001</v>
      </c>
      <c r="B1618" s="25">
        <v>1</v>
      </c>
      <c r="C1618" s="25">
        <v>1001</v>
      </c>
      <c r="D1618" t="s">
        <v>3684</v>
      </c>
      <c r="E1618" s="27" t="s">
        <v>3681</v>
      </c>
      <c r="F1618" s="25">
        <v>270002</v>
      </c>
      <c r="G1618" t="s">
        <v>3685</v>
      </c>
    </row>
    <row r="1619" spans="1:7">
      <c r="A1619" s="25">
        <v>1001</v>
      </c>
      <c r="B1619" s="25">
        <v>1</v>
      </c>
      <c r="C1619" s="25">
        <v>1001</v>
      </c>
      <c r="D1619" t="s">
        <v>3686</v>
      </c>
      <c r="E1619" s="27" t="s">
        <v>3681</v>
      </c>
      <c r="F1619" s="25">
        <v>270003</v>
      </c>
      <c r="G1619" t="s">
        <v>3687</v>
      </c>
    </row>
    <row r="1620" spans="1:7">
      <c r="A1620" s="25">
        <v>1001</v>
      </c>
      <c r="B1620" s="25">
        <v>1</v>
      </c>
      <c r="C1620" s="25">
        <v>1001</v>
      </c>
      <c r="D1620" t="s">
        <v>3688</v>
      </c>
      <c r="E1620" s="27" t="s">
        <v>3684</v>
      </c>
      <c r="F1620" s="25">
        <v>284001</v>
      </c>
      <c r="G1620" t="s">
        <v>3689</v>
      </c>
    </row>
    <row r="1621" spans="1:7">
      <c r="A1621" s="25">
        <v>1001</v>
      </c>
      <c r="B1621" s="25">
        <v>1</v>
      </c>
      <c r="C1621" s="25">
        <v>1001</v>
      </c>
      <c r="D1621" t="s">
        <v>3690</v>
      </c>
      <c r="E1621" s="27" t="s">
        <v>3686</v>
      </c>
      <c r="F1621" s="25">
        <v>284002</v>
      </c>
      <c r="G1621" t="s">
        <v>3691</v>
      </c>
    </row>
    <row r="1622" spans="1:7">
      <c r="A1622" s="25">
        <v>1001</v>
      </c>
      <c r="B1622" s="25">
        <v>1</v>
      </c>
      <c r="C1622" s="25">
        <v>1001</v>
      </c>
      <c r="D1622" t="s">
        <v>3692</v>
      </c>
      <c r="E1622" s="27" t="s">
        <v>3688</v>
      </c>
      <c r="F1622" s="25">
        <v>284003</v>
      </c>
      <c r="G1622" t="s">
        <v>3691</v>
      </c>
    </row>
    <row r="1623" spans="1:7">
      <c r="A1623" s="25">
        <v>1001</v>
      </c>
      <c r="B1623" s="25">
        <v>6</v>
      </c>
      <c r="C1623" s="25">
        <v>1001</v>
      </c>
      <c r="D1623" s="27" t="s">
        <v>3693</v>
      </c>
      <c r="E1623" s="27" t="s">
        <v>3690</v>
      </c>
      <c r="F1623" s="25">
        <v>284004</v>
      </c>
      <c r="G1623" t="s">
        <v>3694</v>
      </c>
    </row>
    <row r="1624" spans="1:7">
      <c r="A1624" s="25">
        <v>1001</v>
      </c>
      <c r="B1624" s="25">
        <v>6</v>
      </c>
      <c r="C1624" s="25">
        <v>1001</v>
      </c>
      <c r="D1624" s="27" t="s">
        <v>3695</v>
      </c>
      <c r="E1624" s="27" t="s">
        <v>3692</v>
      </c>
      <c r="F1624" s="25">
        <v>284005</v>
      </c>
      <c r="G1624" t="s">
        <v>3696</v>
      </c>
    </row>
    <row r="1625" spans="1:7">
      <c r="A1625" s="25">
        <v>1001</v>
      </c>
      <c r="B1625" s="25">
        <v>6</v>
      </c>
      <c r="C1625" s="25">
        <v>1001</v>
      </c>
      <c r="D1625" s="27" t="s">
        <v>3697</v>
      </c>
      <c r="E1625" s="27" t="s">
        <v>2413</v>
      </c>
      <c r="F1625" s="25">
        <v>76000013</v>
      </c>
      <c r="G1625" t="s">
        <v>3698</v>
      </c>
    </row>
    <row r="1626" spans="1:7">
      <c r="A1626" s="25">
        <v>1001</v>
      </c>
      <c r="B1626" s="25">
        <v>6</v>
      </c>
      <c r="C1626" s="25">
        <v>1001</v>
      </c>
      <c r="D1626" s="27" t="s">
        <v>3699</v>
      </c>
      <c r="E1626" s="27" t="s">
        <v>2416</v>
      </c>
      <c r="F1626">
        <v>76000014</v>
      </c>
      <c r="G1626" t="s">
        <v>3700</v>
      </c>
    </row>
    <row r="1627" spans="1:7">
      <c r="A1627" s="25">
        <v>1001</v>
      </c>
      <c r="B1627" s="25">
        <v>1</v>
      </c>
      <c r="C1627" s="25">
        <v>1001</v>
      </c>
      <c r="D1627" s="27" t="s">
        <v>3701</v>
      </c>
      <c r="E1627" s="27" t="s">
        <v>2410</v>
      </c>
      <c r="F1627" s="25">
        <v>76000015</v>
      </c>
      <c r="G1627" t="s">
        <v>3702</v>
      </c>
    </row>
    <row r="1628" spans="1:7">
      <c r="A1628" s="25">
        <v>1001</v>
      </c>
      <c r="B1628" s="25">
        <v>1</v>
      </c>
      <c r="C1628" s="25">
        <v>1001</v>
      </c>
      <c r="D1628" s="27" t="s">
        <v>3701</v>
      </c>
      <c r="E1628" s="27" t="s">
        <v>2407</v>
      </c>
      <c r="F1628">
        <v>76000016</v>
      </c>
      <c r="G1628" t="s">
        <v>3702</v>
      </c>
    </row>
    <row r="1629" spans="1:7">
      <c r="A1629" s="25">
        <v>1001</v>
      </c>
      <c r="B1629" s="25">
        <v>1</v>
      </c>
      <c r="C1629" s="25">
        <v>1001</v>
      </c>
      <c r="D1629" s="27" t="s">
        <v>3703</v>
      </c>
      <c r="E1629" s="27" t="s">
        <v>3701</v>
      </c>
      <c r="F1629">
        <v>700003</v>
      </c>
      <c r="G1629" t="s">
        <v>3702</v>
      </c>
    </row>
    <row r="1630" spans="1:7">
      <c r="A1630" s="25">
        <v>1001</v>
      </c>
      <c r="B1630" s="25">
        <v>1</v>
      </c>
      <c r="C1630" s="25">
        <v>1001</v>
      </c>
      <c r="D1630" s="27" t="s">
        <v>3704</v>
      </c>
      <c r="E1630" s="27" t="s">
        <v>3701</v>
      </c>
      <c r="F1630">
        <v>700004</v>
      </c>
      <c r="G1630" t="s">
        <v>3702</v>
      </c>
    </row>
    <row r="1631" spans="1:7">
      <c r="A1631" s="25">
        <v>1001</v>
      </c>
      <c r="B1631" s="25">
        <v>1</v>
      </c>
      <c r="C1631" s="25">
        <v>1001</v>
      </c>
      <c r="D1631" s="27" t="s">
        <v>3705</v>
      </c>
      <c r="E1631" s="27" t="s">
        <v>3703</v>
      </c>
      <c r="F1631">
        <v>700005</v>
      </c>
      <c r="G1631" t="s">
        <v>3706</v>
      </c>
    </row>
    <row r="1632" spans="1:7">
      <c r="A1632" s="25">
        <v>1001</v>
      </c>
      <c r="B1632" s="25">
        <v>1</v>
      </c>
      <c r="C1632" s="25">
        <v>1001</v>
      </c>
      <c r="D1632" s="27" t="s">
        <v>3707</v>
      </c>
      <c r="E1632" s="27" t="s">
        <v>3704</v>
      </c>
      <c r="F1632">
        <v>700006</v>
      </c>
      <c r="G1632" t="s">
        <v>3708</v>
      </c>
    </row>
    <row r="1633" spans="1:7">
      <c r="A1633" s="25">
        <v>1001</v>
      </c>
      <c r="B1633" s="25">
        <v>1</v>
      </c>
      <c r="C1633" s="25">
        <v>1001</v>
      </c>
      <c r="D1633" s="27" t="s">
        <v>3709</v>
      </c>
      <c r="E1633" s="27" t="s">
        <v>1723</v>
      </c>
      <c r="F1633">
        <v>700007</v>
      </c>
      <c r="G1633" t="s">
        <v>3710</v>
      </c>
    </row>
    <row r="1634" spans="1:7">
      <c r="A1634" s="25">
        <v>1001</v>
      </c>
      <c r="B1634" s="25">
        <v>1</v>
      </c>
      <c r="C1634" s="25">
        <v>1001</v>
      </c>
      <c r="D1634" s="27" t="s">
        <v>3711</v>
      </c>
      <c r="E1634" s="27" t="s">
        <v>1723</v>
      </c>
      <c r="F1634">
        <v>700008</v>
      </c>
      <c r="G1634" t="s">
        <v>3712</v>
      </c>
    </row>
    <row r="1635" spans="1:7">
      <c r="A1635" s="25">
        <v>1001</v>
      </c>
      <c r="B1635" s="25">
        <v>1</v>
      </c>
      <c r="C1635" s="25">
        <v>1001</v>
      </c>
      <c r="D1635" s="27" t="s">
        <v>3713</v>
      </c>
      <c r="E1635" s="27" t="s">
        <v>3709</v>
      </c>
      <c r="F1635">
        <v>700009</v>
      </c>
      <c r="G1635" t="s">
        <v>3714</v>
      </c>
    </row>
    <row r="1636" spans="1:7">
      <c r="A1636" s="25">
        <v>1001</v>
      </c>
      <c r="B1636" s="25">
        <v>1</v>
      </c>
      <c r="C1636" s="25">
        <v>1001</v>
      </c>
      <c r="D1636" s="27" t="s">
        <v>3715</v>
      </c>
      <c r="E1636" s="27" t="s">
        <v>3711</v>
      </c>
      <c r="F1636">
        <v>700010</v>
      </c>
      <c r="G1636" t="s">
        <v>3716</v>
      </c>
    </row>
    <row r="1637" spans="1:7">
      <c r="A1637" s="25">
        <v>1001</v>
      </c>
      <c r="B1637" s="25">
        <v>1</v>
      </c>
      <c r="C1637" s="25">
        <v>1001</v>
      </c>
      <c r="D1637" s="27" t="s">
        <v>3717</v>
      </c>
      <c r="E1637" s="27" t="s">
        <v>3713</v>
      </c>
      <c r="F1637">
        <v>700011</v>
      </c>
      <c r="G1637" t="s">
        <v>3718</v>
      </c>
    </row>
    <row r="1638" spans="1:7">
      <c r="A1638" s="25">
        <v>1001</v>
      </c>
      <c r="B1638" s="25">
        <v>1</v>
      </c>
      <c r="C1638" s="25">
        <v>1001</v>
      </c>
      <c r="D1638" s="27" t="s">
        <v>3719</v>
      </c>
      <c r="E1638" s="27" t="s">
        <v>3715</v>
      </c>
      <c r="F1638">
        <v>700012</v>
      </c>
      <c r="G1638" t="s">
        <v>3720</v>
      </c>
    </row>
    <row r="1639" spans="1:7">
      <c r="A1639" s="25">
        <v>1001</v>
      </c>
      <c r="B1639" s="25">
        <v>1</v>
      </c>
      <c r="C1639" s="25">
        <v>1001</v>
      </c>
      <c r="D1639" s="27" t="s">
        <v>3721</v>
      </c>
      <c r="E1639" s="27" t="s">
        <v>3717</v>
      </c>
      <c r="F1639">
        <v>712001</v>
      </c>
      <c r="G1639" t="s">
        <v>3722</v>
      </c>
    </row>
    <row r="1640" spans="1:7">
      <c r="A1640" s="25">
        <v>1001</v>
      </c>
      <c r="B1640" s="25">
        <v>1</v>
      </c>
      <c r="C1640" s="25">
        <v>1001</v>
      </c>
      <c r="D1640" s="27" t="s">
        <v>3723</v>
      </c>
      <c r="E1640" s="27" t="s">
        <v>3719</v>
      </c>
      <c r="F1640">
        <v>712002</v>
      </c>
      <c r="G1640" t="s">
        <v>3724</v>
      </c>
    </row>
    <row r="1641" spans="1:7">
      <c r="A1641" s="25">
        <v>1001</v>
      </c>
      <c r="B1641" s="25">
        <v>1</v>
      </c>
      <c r="C1641" s="25">
        <v>1001</v>
      </c>
      <c r="D1641" s="27" t="s">
        <v>3725</v>
      </c>
      <c r="E1641" s="27" t="s">
        <v>3721</v>
      </c>
      <c r="F1641">
        <v>712003</v>
      </c>
      <c r="G1641" t="s">
        <v>3726</v>
      </c>
    </row>
    <row r="1642" spans="1:7">
      <c r="A1642" s="25">
        <v>1001</v>
      </c>
      <c r="B1642" s="25">
        <v>1</v>
      </c>
      <c r="C1642" s="25">
        <v>1001</v>
      </c>
      <c r="D1642" s="27" t="s">
        <v>3727</v>
      </c>
      <c r="E1642" s="27" t="s">
        <v>3723</v>
      </c>
      <c r="F1642">
        <v>712004</v>
      </c>
      <c r="G1642" t="s">
        <v>3728</v>
      </c>
    </row>
    <row r="1643" spans="1:7">
      <c r="A1643" s="25">
        <v>1001</v>
      </c>
      <c r="B1643" s="25">
        <v>1</v>
      </c>
      <c r="C1643" s="25">
        <v>1001</v>
      </c>
      <c r="D1643" s="27" t="s">
        <v>3729</v>
      </c>
      <c r="E1643" s="27" t="s">
        <v>3725</v>
      </c>
      <c r="F1643">
        <v>712005</v>
      </c>
      <c r="G1643" t="s">
        <v>3730</v>
      </c>
    </row>
    <row r="1644" spans="1:7">
      <c r="A1644" s="25">
        <v>1001</v>
      </c>
      <c r="B1644" s="25">
        <v>1</v>
      </c>
      <c r="C1644" s="25">
        <v>1001</v>
      </c>
      <c r="D1644" s="27" t="s">
        <v>3731</v>
      </c>
      <c r="E1644" s="27" t="s">
        <v>3732</v>
      </c>
      <c r="F1644">
        <v>712017</v>
      </c>
      <c r="G1644" t="s">
        <v>3730</v>
      </c>
    </row>
    <row r="1645" spans="1:7">
      <c r="A1645" s="25">
        <v>1001</v>
      </c>
      <c r="B1645" s="25">
        <v>1</v>
      </c>
      <c r="C1645" s="25">
        <v>1001</v>
      </c>
      <c r="D1645" s="27" t="s">
        <v>3733</v>
      </c>
      <c r="E1645" s="27" t="s">
        <v>3734</v>
      </c>
      <c r="F1645">
        <v>712018</v>
      </c>
      <c r="G1645" t="s">
        <v>3735</v>
      </c>
    </row>
    <row r="1646" spans="1:7">
      <c r="A1646" s="25">
        <v>1001</v>
      </c>
      <c r="B1646" s="25">
        <v>1</v>
      </c>
      <c r="C1646" s="25">
        <v>1001</v>
      </c>
      <c r="D1646" s="27" t="s">
        <v>3736</v>
      </c>
      <c r="E1646" s="27" t="s">
        <v>3737</v>
      </c>
      <c r="F1646">
        <v>712019</v>
      </c>
      <c r="G1646" t="s">
        <v>3738</v>
      </c>
    </row>
    <row r="1647" spans="1:7">
      <c r="A1647" s="25">
        <v>1001</v>
      </c>
      <c r="B1647" s="25">
        <v>1</v>
      </c>
      <c r="C1647" s="25">
        <v>1001</v>
      </c>
      <c r="D1647" s="27" t="s">
        <v>3739</v>
      </c>
      <c r="E1647" s="27" t="s">
        <v>3740</v>
      </c>
      <c r="F1647">
        <v>713001</v>
      </c>
      <c r="G1647" t="s">
        <v>3741</v>
      </c>
    </row>
    <row r="1648" spans="1:7">
      <c r="A1648" s="25">
        <v>1001</v>
      </c>
      <c r="B1648" s="25">
        <v>1</v>
      </c>
      <c r="C1648" s="25">
        <v>1001</v>
      </c>
      <c r="D1648" s="27" t="s">
        <v>3742</v>
      </c>
      <c r="E1648" s="27" t="s">
        <v>3743</v>
      </c>
      <c r="F1648">
        <v>713002</v>
      </c>
      <c r="G1648" t="s">
        <v>3744</v>
      </c>
    </row>
    <row r="1649" spans="1:7">
      <c r="A1649" s="25">
        <v>1001</v>
      </c>
      <c r="B1649" s="25">
        <v>1</v>
      </c>
      <c r="C1649" s="25">
        <v>1001</v>
      </c>
      <c r="D1649" s="27" t="s">
        <v>3745</v>
      </c>
      <c r="E1649" s="27" t="s">
        <v>3746</v>
      </c>
      <c r="F1649">
        <v>713003</v>
      </c>
      <c r="G1649" t="s">
        <v>3747</v>
      </c>
    </row>
    <row r="1650" spans="1:7">
      <c r="A1650" s="25">
        <v>1001</v>
      </c>
      <c r="B1650" s="25">
        <v>1</v>
      </c>
      <c r="C1650" s="25">
        <v>1001</v>
      </c>
      <c r="D1650" s="27" t="s">
        <v>3748</v>
      </c>
      <c r="E1650" s="27" t="s">
        <v>3749</v>
      </c>
      <c r="F1650">
        <v>713004</v>
      </c>
      <c r="G1650" t="s">
        <v>3750</v>
      </c>
    </row>
    <row r="1651" spans="1:7">
      <c r="A1651" s="25">
        <v>1001</v>
      </c>
      <c r="B1651" s="25">
        <v>1</v>
      </c>
      <c r="C1651" s="25">
        <v>1001</v>
      </c>
      <c r="D1651" s="27" t="s">
        <v>3751</v>
      </c>
      <c r="E1651" s="27" t="s">
        <v>3752</v>
      </c>
      <c r="F1651">
        <v>713005</v>
      </c>
      <c r="G1651" t="s">
        <v>3753</v>
      </c>
    </row>
    <row r="1652" spans="1:7">
      <c r="A1652" s="25">
        <v>1001</v>
      </c>
      <c r="B1652" s="25">
        <v>1</v>
      </c>
      <c r="C1652" s="25">
        <v>1001</v>
      </c>
      <c r="D1652" s="27" t="s">
        <v>3754</v>
      </c>
      <c r="E1652" s="27" t="s">
        <v>3755</v>
      </c>
      <c r="F1652">
        <v>713006</v>
      </c>
      <c r="G1652" t="s">
        <v>3756</v>
      </c>
    </row>
    <row r="1653" spans="1:7">
      <c r="A1653" s="25">
        <v>1001</v>
      </c>
      <c r="B1653" s="25">
        <v>1</v>
      </c>
      <c r="C1653" s="25">
        <v>1001</v>
      </c>
      <c r="D1653" s="27" t="s">
        <v>3757</v>
      </c>
      <c r="E1653" s="27" t="s">
        <v>3758</v>
      </c>
      <c r="F1653">
        <v>713007</v>
      </c>
      <c r="G1653" t="s">
        <v>3759</v>
      </c>
    </row>
    <row r="1654" spans="1:7">
      <c r="A1654" s="25">
        <v>1001</v>
      </c>
      <c r="B1654" s="25">
        <v>1</v>
      </c>
      <c r="C1654" s="25">
        <v>1001</v>
      </c>
      <c r="D1654" s="27" t="s">
        <v>3760</v>
      </c>
      <c r="E1654" s="27" t="s">
        <v>3761</v>
      </c>
      <c r="F1654">
        <v>713008</v>
      </c>
      <c r="G1654" t="s">
        <v>3762</v>
      </c>
    </row>
    <row r="1655" spans="1:7">
      <c r="A1655" s="25">
        <v>1001</v>
      </c>
      <c r="B1655" s="25">
        <v>1</v>
      </c>
      <c r="C1655" s="25">
        <v>1001</v>
      </c>
      <c r="D1655" s="27" t="s">
        <v>3763</v>
      </c>
      <c r="E1655" s="27" t="s">
        <v>3764</v>
      </c>
      <c r="F1655">
        <v>713009</v>
      </c>
      <c r="G1655" t="s">
        <v>3765</v>
      </c>
    </row>
    <row r="1656" spans="1:7">
      <c r="A1656" s="25">
        <v>1001</v>
      </c>
      <c r="B1656" s="25">
        <v>1</v>
      </c>
      <c r="C1656" s="25">
        <v>1001</v>
      </c>
      <c r="D1656" s="27" t="s">
        <v>3766</v>
      </c>
      <c r="E1656" s="27" t="s">
        <v>3767</v>
      </c>
      <c r="F1656">
        <v>713010</v>
      </c>
      <c r="G1656" t="s">
        <v>3768</v>
      </c>
    </row>
    <row r="1657" spans="1:7">
      <c r="A1657" s="25">
        <v>1001</v>
      </c>
      <c r="B1657" s="25">
        <v>1</v>
      </c>
      <c r="C1657" s="25">
        <v>1001</v>
      </c>
      <c r="D1657" s="30" t="s">
        <v>3769</v>
      </c>
      <c r="E1657" s="27" t="s">
        <v>3770</v>
      </c>
      <c r="F1657">
        <v>713011</v>
      </c>
      <c r="G1657" t="s">
        <v>3771</v>
      </c>
    </row>
    <row r="1658" spans="1:7">
      <c r="A1658" s="25">
        <v>1001</v>
      </c>
      <c r="B1658" s="25">
        <v>1</v>
      </c>
      <c r="C1658" s="25">
        <v>1001</v>
      </c>
      <c r="D1658" s="30" t="s">
        <v>3772</v>
      </c>
      <c r="E1658" s="27" t="s">
        <v>3773</v>
      </c>
      <c r="F1658">
        <v>713012</v>
      </c>
      <c r="G1658" t="s">
        <v>3774</v>
      </c>
    </row>
    <row r="1659" spans="1:7">
      <c r="A1659" s="25">
        <v>1001</v>
      </c>
      <c r="B1659" s="25">
        <v>1</v>
      </c>
      <c r="C1659" s="25">
        <v>1001</v>
      </c>
      <c r="D1659" s="30" t="s">
        <v>3775</v>
      </c>
      <c r="E1659" s="30" t="s">
        <v>3776</v>
      </c>
      <c r="F1659">
        <v>713013</v>
      </c>
      <c r="G1659" t="s">
        <v>3777</v>
      </c>
    </row>
    <row r="1660" spans="1:7">
      <c r="A1660" s="25">
        <v>1001</v>
      </c>
      <c r="B1660" s="25">
        <v>1</v>
      </c>
      <c r="C1660" s="25">
        <v>1001</v>
      </c>
      <c r="D1660" s="30" t="s">
        <v>3778</v>
      </c>
      <c r="E1660" s="30" t="s">
        <v>3779</v>
      </c>
      <c r="F1660">
        <v>713014</v>
      </c>
      <c r="G1660" t="s">
        <v>3780</v>
      </c>
    </row>
    <row r="1661" spans="1:7">
      <c r="A1661" s="25">
        <v>1001</v>
      </c>
      <c r="B1661" s="25">
        <v>1</v>
      </c>
      <c r="C1661" s="25">
        <v>1001</v>
      </c>
      <c r="D1661" s="30" t="s">
        <v>3781</v>
      </c>
      <c r="E1661" s="30" t="s">
        <v>3782</v>
      </c>
      <c r="F1661">
        <v>713015</v>
      </c>
      <c r="G1661" t="s">
        <v>3783</v>
      </c>
    </row>
    <row r="1662" spans="1:7">
      <c r="A1662" s="25">
        <v>1001</v>
      </c>
      <c r="B1662" s="25">
        <v>1</v>
      </c>
      <c r="C1662" s="25">
        <v>1001</v>
      </c>
      <c r="D1662" s="30" t="s">
        <v>3784</v>
      </c>
      <c r="E1662" s="30" t="s">
        <v>3785</v>
      </c>
      <c r="F1662">
        <v>713016</v>
      </c>
      <c r="G1662" t="s">
        <v>3786</v>
      </c>
    </row>
    <row r="1663" spans="1:7">
      <c r="A1663" s="25">
        <v>1001</v>
      </c>
      <c r="B1663" s="25">
        <v>1</v>
      </c>
      <c r="C1663" s="25">
        <v>1001</v>
      </c>
      <c r="D1663" s="30" t="s">
        <v>3787</v>
      </c>
      <c r="E1663" s="30" t="s">
        <v>3788</v>
      </c>
      <c r="F1663">
        <v>713017</v>
      </c>
      <c r="G1663" t="s">
        <v>3789</v>
      </c>
    </row>
    <row r="1664" spans="1:7">
      <c r="A1664" s="25">
        <v>1001</v>
      </c>
      <c r="B1664" s="25">
        <v>1</v>
      </c>
      <c r="C1664" s="25">
        <v>1001</v>
      </c>
      <c r="D1664" s="30" t="s">
        <v>3790</v>
      </c>
      <c r="E1664" s="30" t="s">
        <v>3791</v>
      </c>
      <c r="F1664">
        <v>713018</v>
      </c>
      <c r="G1664" t="s">
        <v>3792</v>
      </c>
    </row>
    <row r="1665" spans="1:7">
      <c r="A1665" s="25">
        <v>1001</v>
      </c>
      <c r="B1665" s="25">
        <v>1</v>
      </c>
      <c r="C1665" s="25">
        <v>1001</v>
      </c>
      <c r="D1665" s="30" t="s">
        <v>3793</v>
      </c>
      <c r="E1665" s="30" t="s">
        <v>3794</v>
      </c>
      <c r="F1665">
        <v>713019</v>
      </c>
      <c r="G1665" t="s">
        <v>3795</v>
      </c>
    </row>
    <row r="1666" spans="1:7">
      <c r="A1666" s="25">
        <v>1001</v>
      </c>
      <c r="B1666" s="25">
        <v>1</v>
      </c>
      <c r="C1666" s="25">
        <v>1001</v>
      </c>
      <c r="D1666" s="30" t="s">
        <v>3796</v>
      </c>
      <c r="E1666" s="30" t="s">
        <v>3797</v>
      </c>
      <c r="F1666">
        <v>713020</v>
      </c>
      <c r="G1666" t="s">
        <v>3798</v>
      </c>
    </row>
    <row r="1667" spans="1:7">
      <c r="A1667" s="25">
        <v>1001</v>
      </c>
      <c r="B1667" s="25">
        <v>1</v>
      </c>
      <c r="C1667" s="25">
        <v>1001</v>
      </c>
      <c r="D1667" s="30" t="s">
        <v>3799</v>
      </c>
      <c r="E1667" s="30" t="s">
        <v>3800</v>
      </c>
      <c r="F1667">
        <v>713021</v>
      </c>
      <c r="G1667" t="s">
        <v>3801</v>
      </c>
    </row>
    <row r="1668" spans="1:7">
      <c r="A1668" s="25">
        <v>1001</v>
      </c>
      <c r="B1668" s="25">
        <v>1</v>
      </c>
      <c r="C1668" s="25">
        <v>1001</v>
      </c>
      <c r="D1668" s="30" t="s">
        <v>3802</v>
      </c>
      <c r="E1668" s="30" t="s">
        <v>3803</v>
      </c>
      <c r="F1668">
        <v>713022</v>
      </c>
      <c r="G1668" t="s">
        <v>3804</v>
      </c>
    </row>
    <row r="1669" spans="1:7">
      <c r="A1669" s="25">
        <v>1001</v>
      </c>
      <c r="B1669" s="25">
        <v>1</v>
      </c>
      <c r="C1669" s="25">
        <v>1001</v>
      </c>
      <c r="D1669" s="30" t="s">
        <v>3805</v>
      </c>
      <c r="E1669" s="30" t="s">
        <v>3806</v>
      </c>
      <c r="F1669">
        <v>713023</v>
      </c>
      <c r="G1669" t="s">
        <v>3807</v>
      </c>
    </row>
    <row r="1670" spans="1:7">
      <c r="A1670" s="25">
        <v>1001</v>
      </c>
      <c r="B1670" s="25">
        <v>1</v>
      </c>
      <c r="C1670" s="25">
        <v>1001</v>
      </c>
      <c r="D1670" s="30" t="s">
        <v>3808</v>
      </c>
      <c r="E1670" s="30" t="s">
        <v>3809</v>
      </c>
      <c r="F1670">
        <v>713024</v>
      </c>
      <c r="G1670" t="s">
        <v>3810</v>
      </c>
    </row>
    <row r="1671" spans="1:7">
      <c r="A1671" s="25">
        <v>1001</v>
      </c>
      <c r="B1671" s="25">
        <v>1</v>
      </c>
      <c r="C1671" s="25">
        <v>1001</v>
      </c>
      <c r="D1671" s="30" t="s">
        <v>3811</v>
      </c>
      <c r="E1671" s="30" t="s">
        <v>3812</v>
      </c>
      <c r="F1671">
        <v>713025</v>
      </c>
      <c r="G1671" t="s">
        <v>3813</v>
      </c>
    </row>
    <row r="1672" spans="1:7">
      <c r="A1672" s="25">
        <v>1001</v>
      </c>
      <c r="B1672" s="25">
        <v>1</v>
      </c>
      <c r="C1672" s="25">
        <v>1001</v>
      </c>
      <c r="D1672" s="30" t="s">
        <v>3814</v>
      </c>
      <c r="E1672" s="30" t="s">
        <v>3815</v>
      </c>
      <c r="F1672">
        <v>713026</v>
      </c>
      <c r="G1672" t="s">
        <v>3816</v>
      </c>
    </row>
    <row r="1673" spans="1:7">
      <c r="A1673" s="25">
        <v>1001</v>
      </c>
      <c r="B1673" s="25">
        <v>1</v>
      </c>
      <c r="C1673" s="25">
        <v>1001</v>
      </c>
      <c r="D1673" s="30" t="s">
        <v>3817</v>
      </c>
      <c r="E1673" s="30" t="s">
        <v>3818</v>
      </c>
      <c r="F1673">
        <v>713027</v>
      </c>
      <c r="G1673" t="s">
        <v>3819</v>
      </c>
    </row>
    <row r="1674" spans="1:7">
      <c r="A1674" s="25">
        <v>1001</v>
      </c>
      <c r="B1674" s="25">
        <v>1</v>
      </c>
      <c r="C1674" s="25">
        <v>1001</v>
      </c>
      <c r="D1674" s="30" t="s">
        <v>3820</v>
      </c>
      <c r="E1674" s="30" t="s">
        <v>3821</v>
      </c>
      <c r="F1674">
        <v>713028</v>
      </c>
      <c r="G1674" t="s">
        <v>3822</v>
      </c>
    </row>
    <row r="1675" spans="1:7">
      <c r="A1675" s="25">
        <v>1001</v>
      </c>
      <c r="B1675" s="25">
        <v>1</v>
      </c>
      <c r="C1675" s="25">
        <v>1001</v>
      </c>
      <c r="D1675" s="30" t="s">
        <v>3823</v>
      </c>
      <c r="E1675" s="30" t="s">
        <v>3824</v>
      </c>
      <c r="F1675">
        <v>713029</v>
      </c>
      <c r="G1675" t="s">
        <v>3825</v>
      </c>
    </row>
    <row r="1676" spans="1:7">
      <c r="A1676" s="25">
        <v>1001</v>
      </c>
      <c r="B1676" s="25">
        <v>1</v>
      </c>
      <c r="C1676" s="25">
        <v>1001</v>
      </c>
      <c r="D1676" s="30" t="s">
        <v>3826</v>
      </c>
      <c r="E1676" s="30" t="s">
        <v>3827</v>
      </c>
      <c r="F1676">
        <v>713030</v>
      </c>
      <c r="G1676" t="s">
        <v>3828</v>
      </c>
    </row>
    <row r="1677" spans="1:7">
      <c r="A1677" s="25">
        <v>1001</v>
      </c>
      <c r="B1677" s="25">
        <v>1</v>
      </c>
      <c r="C1677" s="25">
        <v>1001</v>
      </c>
      <c r="D1677" s="30" t="s">
        <v>3829</v>
      </c>
      <c r="E1677" s="30" t="s">
        <v>3830</v>
      </c>
      <c r="F1677">
        <v>713031</v>
      </c>
      <c r="G1677" t="s">
        <v>3831</v>
      </c>
    </row>
    <row r="1678" spans="1:7">
      <c r="A1678" s="25">
        <v>1001</v>
      </c>
      <c r="B1678" s="25">
        <v>1</v>
      </c>
      <c r="C1678" s="25">
        <v>1001</v>
      </c>
      <c r="D1678" s="30" t="s">
        <v>3832</v>
      </c>
      <c r="E1678" s="30" t="s">
        <v>3833</v>
      </c>
      <c r="F1678">
        <v>713032</v>
      </c>
      <c r="G1678" t="s">
        <v>3834</v>
      </c>
    </row>
    <row r="1679" spans="1:7">
      <c r="A1679" s="25">
        <v>1001</v>
      </c>
      <c r="B1679" s="25">
        <v>1</v>
      </c>
      <c r="C1679" s="25">
        <v>1001</v>
      </c>
      <c r="D1679" s="30" t="s">
        <v>3835</v>
      </c>
      <c r="E1679" s="30" t="s">
        <v>3836</v>
      </c>
      <c r="F1679">
        <v>713033</v>
      </c>
      <c r="G1679" t="s">
        <v>3837</v>
      </c>
    </row>
    <row r="1680" spans="1:7">
      <c r="A1680" s="25">
        <v>1001</v>
      </c>
      <c r="B1680" s="25">
        <v>1</v>
      </c>
      <c r="C1680" s="25">
        <v>1001</v>
      </c>
      <c r="D1680" s="30" t="s">
        <v>3838</v>
      </c>
      <c r="E1680" s="30" t="s">
        <v>3839</v>
      </c>
      <c r="F1680">
        <v>713034</v>
      </c>
      <c r="G1680" t="s">
        <v>3840</v>
      </c>
    </row>
    <row r="1681" spans="1:7">
      <c r="A1681" s="25">
        <v>1001</v>
      </c>
      <c r="B1681" s="25">
        <v>1</v>
      </c>
      <c r="C1681" s="25">
        <v>1001</v>
      </c>
      <c r="D1681" s="30" t="s">
        <v>3841</v>
      </c>
      <c r="E1681" s="30" t="s">
        <v>3842</v>
      </c>
      <c r="F1681">
        <v>713035</v>
      </c>
      <c r="G1681" t="s">
        <v>3843</v>
      </c>
    </row>
    <row r="1682" spans="1:7">
      <c r="A1682" s="25">
        <v>1001</v>
      </c>
      <c r="B1682" s="25">
        <v>1</v>
      </c>
      <c r="C1682" s="25">
        <v>1001</v>
      </c>
      <c r="D1682" s="30" t="s">
        <v>3844</v>
      </c>
      <c r="E1682" s="30" t="s">
        <v>3845</v>
      </c>
      <c r="F1682">
        <v>713036</v>
      </c>
      <c r="G1682" t="s">
        <v>3846</v>
      </c>
    </row>
    <row r="1683" spans="1:7">
      <c r="A1683" s="25">
        <v>1001</v>
      </c>
      <c r="B1683" s="25">
        <v>1</v>
      </c>
      <c r="C1683" s="25">
        <v>1001</v>
      </c>
      <c r="D1683" s="30" t="s">
        <v>3847</v>
      </c>
      <c r="E1683" s="30" t="s">
        <v>3848</v>
      </c>
      <c r="F1683">
        <v>713037</v>
      </c>
      <c r="G1683" t="s">
        <v>3849</v>
      </c>
    </row>
    <row r="1684" spans="1:7">
      <c r="A1684" s="25">
        <v>1001</v>
      </c>
      <c r="B1684" s="25">
        <v>1</v>
      </c>
      <c r="C1684" s="25">
        <v>1001</v>
      </c>
      <c r="D1684" s="30" t="s">
        <v>3850</v>
      </c>
      <c r="E1684" s="30" t="s">
        <v>3851</v>
      </c>
      <c r="F1684">
        <v>713038</v>
      </c>
      <c r="G1684" t="s">
        <v>3852</v>
      </c>
    </row>
    <row r="1685" spans="1:7">
      <c r="A1685" s="25">
        <v>1001</v>
      </c>
      <c r="B1685" s="25">
        <v>1</v>
      </c>
      <c r="C1685" s="25">
        <v>1001</v>
      </c>
      <c r="D1685" s="30" t="s">
        <v>3853</v>
      </c>
      <c r="E1685" s="30" t="s">
        <v>3854</v>
      </c>
      <c r="F1685">
        <v>713039</v>
      </c>
      <c r="G1685" t="s">
        <v>3855</v>
      </c>
    </row>
    <row r="1686" spans="1:7">
      <c r="A1686" s="25">
        <v>1001</v>
      </c>
      <c r="B1686" s="25">
        <v>1</v>
      </c>
      <c r="C1686" s="25">
        <v>1001</v>
      </c>
      <c r="D1686" s="30" t="s">
        <v>3856</v>
      </c>
      <c r="E1686" s="30" t="s">
        <v>3857</v>
      </c>
      <c r="F1686">
        <v>713040</v>
      </c>
      <c r="G1686" t="s">
        <v>3858</v>
      </c>
    </row>
    <row r="1687" spans="1:7">
      <c r="A1687" s="25">
        <v>1001</v>
      </c>
      <c r="B1687" s="25">
        <v>1</v>
      </c>
      <c r="C1687" s="25">
        <v>1001</v>
      </c>
      <c r="D1687" s="30" t="s">
        <v>3859</v>
      </c>
      <c r="E1687" s="30" t="s">
        <v>3860</v>
      </c>
      <c r="F1687">
        <v>713041</v>
      </c>
      <c r="G1687" t="s">
        <v>3861</v>
      </c>
    </row>
    <row r="1688" spans="1:7">
      <c r="A1688" s="25">
        <v>1001</v>
      </c>
      <c r="B1688" s="25">
        <v>1</v>
      </c>
      <c r="C1688" s="25">
        <v>1001</v>
      </c>
      <c r="D1688" s="30" t="s">
        <v>3862</v>
      </c>
      <c r="E1688" s="30" t="s">
        <v>3863</v>
      </c>
      <c r="F1688">
        <v>713042</v>
      </c>
      <c r="G1688" t="s">
        <v>3864</v>
      </c>
    </row>
    <row r="1689" spans="1:7">
      <c r="A1689" s="25">
        <v>1001</v>
      </c>
      <c r="B1689" s="25">
        <v>1</v>
      </c>
      <c r="C1689" s="25">
        <v>1001</v>
      </c>
      <c r="D1689" s="30" t="s">
        <v>3865</v>
      </c>
      <c r="E1689" s="30" t="s">
        <v>3866</v>
      </c>
      <c r="F1689">
        <v>713043</v>
      </c>
      <c r="G1689" t="s">
        <v>3867</v>
      </c>
    </row>
    <row r="1690" spans="1:7">
      <c r="A1690" s="25">
        <v>1001</v>
      </c>
      <c r="B1690" s="25">
        <v>1</v>
      </c>
      <c r="C1690" s="25">
        <v>1001</v>
      </c>
      <c r="D1690" s="30" t="s">
        <v>3868</v>
      </c>
      <c r="E1690" s="30" t="s">
        <v>3869</v>
      </c>
      <c r="F1690">
        <v>713044</v>
      </c>
      <c r="G1690" t="s">
        <v>3870</v>
      </c>
    </row>
    <row r="1691" spans="1:7">
      <c r="A1691" s="25">
        <v>1001</v>
      </c>
      <c r="B1691" s="25">
        <v>1</v>
      </c>
      <c r="C1691" s="25">
        <v>1001</v>
      </c>
      <c r="D1691" s="30" t="s">
        <v>3871</v>
      </c>
      <c r="E1691" s="30" t="s">
        <v>3872</v>
      </c>
      <c r="F1691">
        <v>713045</v>
      </c>
      <c r="G1691" t="s">
        <v>3873</v>
      </c>
    </row>
    <row r="1692" spans="1:7">
      <c r="A1692" s="25">
        <v>1001</v>
      </c>
      <c r="B1692" s="25">
        <v>1</v>
      </c>
      <c r="C1692" s="25">
        <v>1001</v>
      </c>
      <c r="D1692" s="30" t="s">
        <v>3874</v>
      </c>
      <c r="E1692" s="30" t="s">
        <v>3875</v>
      </c>
      <c r="F1692">
        <v>713046</v>
      </c>
      <c r="G1692" t="s">
        <v>3876</v>
      </c>
    </row>
    <row r="1693" spans="1:7">
      <c r="A1693" s="25">
        <v>1001</v>
      </c>
      <c r="B1693" s="25">
        <v>1</v>
      </c>
      <c r="C1693" s="25">
        <v>1001</v>
      </c>
      <c r="D1693" s="30" t="s">
        <v>3877</v>
      </c>
      <c r="E1693" s="30" t="s">
        <v>3878</v>
      </c>
      <c r="F1693">
        <v>713047</v>
      </c>
      <c r="G1693" t="s">
        <v>3879</v>
      </c>
    </row>
    <row r="1694" spans="1:7">
      <c r="A1694" s="25">
        <v>1001</v>
      </c>
      <c r="B1694" s="25">
        <v>1</v>
      </c>
      <c r="C1694" s="25">
        <v>1001</v>
      </c>
      <c r="D1694" s="30" t="s">
        <v>3880</v>
      </c>
      <c r="E1694" s="30" t="s">
        <v>3881</v>
      </c>
      <c r="F1694">
        <v>713048</v>
      </c>
      <c r="G1694" t="s">
        <v>3882</v>
      </c>
    </row>
    <row r="1695" spans="1:7">
      <c r="A1695" s="25">
        <v>1001</v>
      </c>
      <c r="B1695" s="25">
        <v>1</v>
      </c>
      <c r="C1695" s="25">
        <v>1001</v>
      </c>
      <c r="D1695" s="30" t="s">
        <v>3883</v>
      </c>
      <c r="E1695" s="30" t="s">
        <v>3884</v>
      </c>
      <c r="F1695">
        <v>713049</v>
      </c>
      <c r="G1695" t="s">
        <v>3885</v>
      </c>
    </row>
    <row r="1696" spans="1:7">
      <c r="A1696" s="25">
        <v>1001</v>
      </c>
      <c r="B1696" s="25">
        <v>1</v>
      </c>
      <c r="C1696" s="25">
        <v>1001</v>
      </c>
      <c r="D1696" s="30" t="s">
        <v>3886</v>
      </c>
      <c r="E1696" s="30" t="s">
        <v>3887</v>
      </c>
      <c r="F1696">
        <v>713050</v>
      </c>
      <c r="G1696" t="s">
        <v>3888</v>
      </c>
    </row>
    <row r="1697" spans="1:7">
      <c r="A1697" s="25">
        <v>1001</v>
      </c>
      <c r="B1697" s="25">
        <v>1</v>
      </c>
      <c r="C1697" s="25">
        <v>1001</v>
      </c>
      <c r="D1697" s="30" t="s">
        <v>3889</v>
      </c>
      <c r="E1697" s="30" t="s">
        <v>3890</v>
      </c>
      <c r="F1697">
        <v>713051</v>
      </c>
      <c r="G1697" t="s">
        <v>3891</v>
      </c>
    </row>
    <row r="1698" spans="1:7">
      <c r="A1698" s="25">
        <v>1001</v>
      </c>
      <c r="B1698" s="25">
        <v>1</v>
      </c>
      <c r="C1698" s="25">
        <v>1001</v>
      </c>
      <c r="D1698" s="30" t="s">
        <v>3892</v>
      </c>
      <c r="E1698" s="30" t="s">
        <v>3893</v>
      </c>
      <c r="F1698">
        <v>713052</v>
      </c>
      <c r="G1698" t="s">
        <v>3894</v>
      </c>
    </row>
    <row r="1699" spans="1:7">
      <c r="A1699" s="25">
        <v>1001</v>
      </c>
      <c r="B1699" s="25">
        <v>1</v>
      </c>
      <c r="C1699" s="25">
        <v>1001</v>
      </c>
      <c r="D1699" s="30" t="s">
        <v>3895</v>
      </c>
      <c r="E1699" s="30" t="s">
        <v>3896</v>
      </c>
      <c r="F1699">
        <v>713053</v>
      </c>
      <c r="G1699" t="s">
        <v>3897</v>
      </c>
    </row>
    <row r="1700" spans="1:7">
      <c r="A1700" s="25">
        <v>1001</v>
      </c>
      <c r="B1700" s="25">
        <v>1</v>
      </c>
      <c r="C1700" s="25">
        <v>1001</v>
      </c>
      <c r="D1700" s="30" t="s">
        <v>3898</v>
      </c>
      <c r="E1700" s="30" t="s">
        <v>3899</v>
      </c>
      <c r="F1700">
        <v>713054</v>
      </c>
      <c r="G1700" t="s">
        <v>3900</v>
      </c>
    </row>
    <row r="1701" spans="1:7">
      <c r="A1701" s="25">
        <v>1001</v>
      </c>
      <c r="B1701" s="25">
        <v>1</v>
      </c>
      <c r="C1701" s="25">
        <v>1001</v>
      </c>
      <c r="D1701" s="30" t="s">
        <v>3901</v>
      </c>
      <c r="E1701" s="30" t="s">
        <v>3902</v>
      </c>
      <c r="F1701">
        <v>713055</v>
      </c>
      <c r="G1701" t="s">
        <v>3903</v>
      </c>
    </row>
    <row r="1702" spans="1:7">
      <c r="A1702" s="25">
        <v>1001</v>
      </c>
      <c r="B1702" s="25">
        <v>1</v>
      </c>
      <c r="C1702" s="25">
        <v>1001</v>
      </c>
      <c r="D1702" s="30" t="s">
        <v>3904</v>
      </c>
      <c r="E1702" s="30" t="s">
        <v>3905</v>
      </c>
      <c r="F1702">
        <v>713056</v>
      </c>
      <c r="G1702" t="s">
        <v>3906</v>
      </c>
    </row>
    <row r="1703" spans="1:7">
      <c r="A1703" s="25">
        <v>1001</v>
      </c>
      <c r="B1703" s="25">
        <v>1</v>
      </c>
      <c r="C1703" s="25">
        <v>1001</v>
      </c>
      <c r="D1703" s="30" t="s">
        <v>3907</v>
      </c>
      <c r="E1703" s="30" t="s">
        <v>3908</v>
      </c>
      <c r="F1703">
        <v>713057</v>
      </c>
      <c r="G1703" t="s">
        <v>3909</v>
      </c>
    </row>
    <row r="1704" spans="1:7">
      <c r="A1704" s="25">
        <v>1001</v>
      </c>
      <c r="B1704" s="25">
        <v>1</v>
      </c>
      <c r="C1704" s="25">
        <v>1001</v>
      </c>
      <c r="D1704" s="30" t="s">
        <v>3910</v>
      </c>
      <c r="E1704" s="30" t="s">
        <v>3911</v>
      </c>
      <c r="F1704">
        <v>713058</v>
      </c>
      <c r="G1704" t="s">
        <v>3912</v>
      </c>
    </row>
    <row r="1705" spans="1:7">
      <c r="A1705" s="25">
        <v>1001</v>
      </c>
      <c r="B1705" s="25">
        <v>1</v>
      </c>
      <c r="C1705" s="25">
        <v>1001</v>
      </c>
      <c r="D1705" s="30" t="s">
        <v>3913</v>
      </c>
      <c r="E1705" s="30" t="s">
        <v>3914</v>
      </c>
      <c r="F1705">
        <v>713059</v>
      </c>
      <c r="G1705" t="s">
        <v>3915</v>
      </c>
    </row>
    <row r="1706" spans="1:7">
      <c r="A1706" s="25">
        <v>1001</v>
      </c>
      <c r="B1706" s="25">
        <v>1</v>
      </c>
      <c r="C1706" s="25">
        <v>1001</v>
      </c>
      <c r="D1706" s="30" t="s">
        <v>3916</v>
      </c>
      <c r="E1706" s="30" t="s">
        <v>3917</v>
      </c>
      <c r="F1706">
        <v>713060</v>
      </c>
      <c r="G1706" t="s">
        <v>3918</v>
      </c>
    </row>
    <row r="1707" spans="1:7">
      <c r="A1707" s="25">
        <v>1001</v>
      </c>
      <c r="B1707" s="25">
        <v>1</v>
      </c>
      <c r="C1707" s="25">
        <v>1001</v>
      </c>
      <c r="D1707" s="30" t="s">
        <v>3919</v>
      </c>
      <c r="E1707" s="30" t="s">
        <v>3920</v>
      </c>
      <c r="F1707">
        <v>713061</v>
      </c>
      <c r="G1707" t="s">
        <v>3921</v>
      </c>
    </row>
    <row r="1708" spans="1:7">
      <c r="A1708" s="25">
        <v>1001</v>
      </c>
      <c r="B1708" s="25">
        <v>1</v>
      </c>
      <c r="C1708" s="25">
        <v>1001</v>
      </c>
      <c r="D1708" s="30" t="s">
        <v>3922</v>
      </c>
      <c r="E1708" s="30" t="s">
        <v>3923</v>
      </c>
      <c r="F1708">
        <v>713062</v>
      </c>
      <c r="G1708" t="s">
        <v>3924</v>
      </c>
    </row>
    <row r="1709" spans="1:7">
      <c r="A1709" s="25">
        <v>1001</v>
      </c>
      <c r="B1709" s="25">
        <v>1</v>
      </c>
      <c r="C1709" s="25">
        <v>1001</v>
      </c>
      <c r="D1709" s="30" t="s">
        <v>3925</v>
      </c>
      <c r="E1709" s="30" t="s">
        <v>3926</v>
      </c>
      <c r="F1709">
        <v>713063</v>
      </c>
      <c r="G1709" t="s">
        <v>3927</v>
      </c>
    </row>
    <row r="1710" spans="1:7">
      <c r="A1710" s="25">
        <v>1001</v>
      </c>
      <c r="B1710" s="25">
        <v>1</v>
      </c>
      <c r="C1710" s="25">
        <v>1001</v>
      </c>
      <c r="D1710" s="30" t="s">
        <v>3928</v>
      </c>
      <c r="E1710" s="30" t="s">
        <v>3929</v>
      </c>
      <c r="F1710">
        <v>713064</v>
      </c>
      <c r="G1710" t="s">
        <v>3930</v>
      </c>
    </row>
    <row r="1711" spans="1:7">
      <c r="A1711" s="25">
        <v>1001</v>
      </c>
      <c r="B1711" s="25">
        <v>1</v>
      </c>
      <c r="C1711" s="25">
        <v>1001</v>
      </c>
      <c r="D1711" s="30" t="s">
        <v>3931</v>
      </c>
      <c r="E1711" s="30" t="s">
        <v>3932</v>
      </c>
      <c r="F1711">
        <v>713065</v>
      </c>
      <c r="G1711" t="s">
        <v>3933</v>
      </c>
    </row>
    <row r="1712" spans="1:7">
      <c r="A1712" s="25">
        <v>1001</v>
      </c>
      <c r="B1712" s="25">
        <v>1</v>
      </c>
      <c r="C1712" s="25">
        <v>1001</v>
      </c>
      <c r="D1712" s="30" t="s">
        <v>3934</v>
      </c>
      <c r="E1712" s="30" t="s">
        <v>3935</v>
      </c>
      <c r="F1712">
        <v>713066</v>
      </c>
      <c r="G1712" t="s">
        <v>3936</v>
      </c>
    </row>
    <row r="1713" spans="1:7">
      <c r="A1713" s="25">
        <v>1001</v>
      </c>
      <c r="B1713" s="25">
        <v>1</v>
      </c>
      <c r="C1713" s="25">
        <v>1001</v>
      </c>
      <c r="D1713" s="30" t="s">
        <v>3937</v>
      </c>
      <c r="E1713" s="30" t="s">
        <v>3938</v>
      </c>
      <c r="F1713">
        <v>713067</v>
      </c>
      <c r="G1713" t="s">
        <v>3939</v>
      </c>
    </row>
    <row r="1714" spans="1:7">
      <c r="A1714" s="25">
        <v>1001</v>
      </c>
      <c r="B1714" s="25">
        <v>1</v>
      </c>
      <c r="C1714" s="25">
        <v>1001</v>
      </c>
      <c r="D1714" s="30" t="s">
        <v>3940</v>
      </c>
      <c r="E1714" s="30" t="s">
        <v>3941</v>
      </c>
      <c r="F1714">
        <v>713068</v>
      </c>
      <c r="G1714" t="s">
        <v>3942</v>
      </c>
    </row>
    <row r="1715" spans="1:7">
      <c r="A1715" s="25">
        <v>1001</v>
      </c>
      <c r="B1715" s="25">
        <v>1</v>
      </c>
      <c r="C1715" s="25">
        <v>1001</v>
      </c>
      <c r="D1715" s="30" t="s">
        <v>3943</v>
      </c>
      <c r="E1715" s="30" t="s">
        <v>3944</v>
      </c>
      <c r="F1715">
        <v>713069</v>
      </c>
      <c r="G1715" t="s">
        <v>3945</v>
      </c>
    </row>
    <row r="1716" spans="1:7">
      <c r="A1716" s="25">
        <v>1001</v>
      </c>
      <c r="B1716" s="25">
        <v>1</v>
      </c>
      <c r="C1716" s="25">
        <v>1001</v>
      </c>
      <c r="D1716" s="30" t="s">
        <v>3946</v>
      </c>
      <c r="E1716" s="30" t="s">
        <v>3947</v>
      </c>
      <c r="F1716">
        <v>713070</v>
      </c>
      <c r="G1716" t="s">
        <v>3948</v>
      </c>
    </row>
    <row r="1717" spans="1:7">
      <c r="A1717" s="25">
        <v>1001</v>
      </c>
      <c r="B1717" s="25">
        <v>1</v>
      </c>
      <c r="C1717" s="25">
        <v>1001</v>
      </c>
      <c r="D1717" s="30" t="s">
        <v>3949</v>
      </c>
      <c r="E1717" s="30" t="s">
        <v>3950</v>
      </c>
      <c r="F1717">
        <v>713071</v>
      </c>
      <c r="G1717" t="s">
        <v>3951</v>
      </c>
    </row>
    <row r="1718" spans="1:7">
      <c r="A1718" s="25">
        <v>1001</v>
      </c>
      <c r="B1718" s="25">
        <v>1</v>
      </c>
      <c r="C1718" s="25">
        <v>1001</v>
      </c>
      <c r="D1718" s="30" t="s">
        <v>3952</v>
      </c>
      <c r="E1718" s="30" t="s">
        <v>3953</v>
      </c>
      <c r="F1718">
        <v>713072</v>
      </c>
      <c r="G1718" t="s">
        <v>3954</v>
      </c>
    </row>
    <row r="1719" spans="1:7">
      <c r="A1719" s="25">
        <v>1001</v>
      </c>
      <c r="B1719" s="25">
        <v>1</v>
      </c>
      <c r="C1719" s="25">
        <v>1001</v>
      </c>
      <c r="D1719" s="30" t="s">
        <v>3955</v>
      </c>
      <c r="E1719" s="30" t="s">
        <v>3956</v>
      </c>
      <c r="F1719">
        <v>713073</v>
      </c>
      <c r="G1719" t="s">
        <v>3957</v>
      </c>
    </row>
    <row r="1720" spans="1:7">
      <c r="A1720" s="25">
        <v>1001</v>
      </c>
      <c r="B1720" s="25">
        <v>1</v>
      </c>
      <c r="C1720" s="25">
        <v>1001</v>
      </c>
      <c r="D1720" s="30" t="s">
        <v>3958</v>
      </c>
      <c r="E1720" s="30" t="s">
        <v>3959</v>
      </c>
      <c r="F1720">
        <v>713074</v>
      </c>
      <c r="G1720" t="s">
        <v>3960</v>
      </c>
    </row>
    <row r="1721" spans="1:7">
      <c r="A1721" s="25">
        <v>1001</v>
      </c>
      <c r="B1721" s="25">
        <v>1</v>
      </c>
      <c r="C1721" s="25">
        <v>1001</v>
      </c>
      <c r="D1721" s="30" t="s">
        <v>3961</v>
      </c>
      <c r="E1721" s="30" t="s">
        <v>3962</v>
      </c>
      <c r="F1721">
        <v>713075</v>
      </c>
      <c r="G1721" t="s">
        <v>3963</v>
      </c>
    </row>
    <row r="1722" spans="1:7">
      <c r="A1722" s="25">
        <v>1001</v>
      </c>
      <c r="B1722" s="25">
        <v>1</v>
      </c>
      <c r="C1722" s="25">
        <v>1001</v>
      </c>
      <c r="D1722" s="30" t="s">
        <v>3964</v>
      </c>
      <c r="E1722" s="30" t="s">
        <v>3965</v>
      </c>
      <c r="F1722">
        <v>713076</v>
      </c>
      <c r="G1722" t="s">
        <v>3966</v>
      </c>
    </row>
    <row r="1723" s="6" customFormat="1" spans="1:7">
      <c r="A1723" s="25">
        <v>1001</v>
      </c>
      <c r="B1723" s="25">
        <v>1</v>
      </c>
      <c r="C1723" s="25">
        <v>1001</v>
      </c>
      <c r="D1723" s="30" t="s">
        <v>3967</v>
      </c>
      <c r="E1723" s="30" t="s">
        <v>3968</v>
      </c>
      <c r="F1723" s="6">
        <v>713077</v>
      </c>
      <c r="G1723" s="6" t="s">
        <v>3969</v>
      </c>
    </row>
    <row r="1724" s="15" customFormat="1" spans="1:7">
      <c r="A1724" s="68">
        <v>1001</v>
      </c>
      <c r="B1724" s="68">
        <v>1</v>
      </c>
      <c r="C1724" s="68">
        <v>1001</v>
      </c>
      <c r="D1724" s="69" t="s">
        <v>3970</v>
      </c>
      <c r="E1724" s="30" t="s">
        <v>3964</v>
      </c>
      <c r="F1724" s="15">
        <v>713078</v>
      </c>
      <c r="G1724" s="15" t="s">
        <v>3971</v>
      </c>
    </row>
    <row r="1725" s="15" customFormat="1" spans="1:7">
      <c r="A1725" s="68">
        <v>1001</v>
      </c>
      <c r="B1725" s="68">
        <v>1</v>
      </c>
      <c r="C1725" s="68">
        <v>1001</v>
      </c>
      <c r="D1725" s="69" t="s">
        <v>3972</v>
      </c>
      <c r="E1725" s="30" t="s">
        <v>3973</v>
      </c>
      <c r="F1725" s="6">
        <v>713079</v>
      </c>
      <c r="G1725" s="15" t="s">
        <v>3974</v>
      </c>
    </row>
    <row r="1726" s="15" customFormat="1" spans="1:7">
      <c r="A1726" s="68">
        <v>1001</v>
      </c>
      <c r="B1726" s="68">
        <v>1</v>
      </c>
      <c r="C1726" s="68">
        <v>1001</v>
      </c>
      <c r="D1726" s="69" t="s">
        <v>3975</v>
      </c>
      <c r="E1726" s="69" t="s">
        <v>3970</v>
      </c>
      <c r="F1726" s="15">
        <v>713080</v>
      </c>
      <c r="G1726" s="15" t="s">
        <v>3976</v>
      </c>
    </row>
    <row r="1727" s="15" customFormat="1" spans="1:7">
      <c r="A1727" s="68">
        <v>1001</v>
      </c>
      <c r="B1727" s="68">
        <v>1</v>
      </c>
      <c r="C1727" s="68">
        <v>1001</v>
      </c>
      <c r="D1727" s="69" t="s">
        <v>3977</v>
      </c>
      <c r="E1727" s="69" t="s">
        <v>3978</v>
      </c>
      <c r="F1727" s="15">
        <v>713081</v>
      </c>
      <c r="G1727" s="15" t="s">
        <v>3979</v>
      </c>
    </row>
    <row r="1728" s="15" customFormat="1" spans="1:7">
      <c r="A1728" s="68">
        <v>1001</v>
      </c>
      <c r="B1728" s="68">
        <v>1</v>
      </c>
      <c r="C1728" s="68">
        <v>1001</v>
      </c>
      <c r="D1728" s="69" t="s">
        <v>3980</v>
      </c>
      <c r="E1728" s="69" t="s">
        <v>3981</v>
      </c>
      <c r="F1728" s="15">
        <v>713082</v>
      </c>
      <c r="G1728" s="15" t="s">
        <v>3982</v>
      </c>
    </row>
    <row r="1729" s="15" customFormat="1" spans="1:7">
      <c r="A1729" s="68">
        <v>1001</v>
      </c>
      <c r="B1729" s="68">
        <v>1</v>
      </c>
      <c r="C1729" s="68">
        <v>1001</v>
      </c>
      <c r="D1729" s="69" t="s">
        <v>3983</v>
      </c>
      <c r="E1729" s="69" t="s">
        <v>3984</v>
      </c>
      <c r="F1729" s="15">
        <v>713083</v>
      </c>
      <c r="G1729" s="15" t="s">
        <v>3985</v>
      </c>
    </row>
    <row r="1730" s="15" customFormat="1" spans="1:7">
      <c r="A1730" s="68">
        <v>1001</v>
      </c>
      <c r="B1730" s="68">
        <v>1</v>
      </c>
      <c r="C1730" s="68">
        <v>1001</v>
      </c>
      <c r="D1730" s="69" t="s">
        <v>3986</v>
      </c>
      <c r="E1730" s="69" t="s">
        <v>3987</v>
      </c>
      <c r="F1730" s="15">
        <v>713084</v>
      </c>
      <c r="G1730" s="15" t="s">
        <v>3988</v>
      </c>
    </row>
    <row r="1731" s="15" customFormat="1" spans="1:7">
      <c r="A1731" s="68">
        <v>1001</v>
      </c>
      <c r="B1731" s="68">
        <v>1</v>
      </c>
      <c r="C1731" s="68">
        <v>1001</v>
      </c>
      <c r="D1731" s="69" t="s">
        <v>3989</v>
      </c>
      <c r="E1731" s="69" t="s">
        <v>3990</v>
      </c>
      <c r="F1731" s="15">
        <v>713085</v>
      </c>
      <c r="G1731" s="15" t="s">
        <v>3991</v>
      </c>
    </row>
    <row r="1732" s="15" customFormat="1" spans="1:7">
      <c r="A1732" s="68">
        <v>1001</v>
      </c>
      <c r="B1732" s="68">
        <v>1</v>
      </c>
      <c r="C1732" s="68">
        <v>1001</v>
      </c>
      <c r="D1732" s="69" t="s">
        <v>3992</v>
      </c>
      <c r="E1732" s="69" t="s">
        <v>3993</v>
      </c>
      <c r="F1732" s="15">
        <v>713086</v>
      </c>
      <c r="G1732" s="15" t="s">
        <v>3994</v>
      </c>
    </row>
    <row r="1733" s="15" customFormat="1" spans="1:7">
      <c r="A1733" s="68">
        <v>1001</v>
      </c>
      <c r="B1733" s="68">
        <v>1</v>
      </c>
      <c r="C1733" s="68">
        <v>1001</v>
      </c>
      <c r="D1733" s="69" t="s">
        <v>3995</v>
      </c>
      <c r="E1733" s="69" t="s">
        <v>3996</v>
      </c>
      <c r="F1733" s="15">
        <v>713087</v>
      </c>
      <c r="G1733" s="15" t="s">
        <v>3997</v>
      </c>
    </row>
    <row r="1734" s="15" customFormat="1" spans="1:7">
      <c r="A1734" s="68">
        <v>1001</v>
      </c>
      <c r="B1734" s="68">
        <v>1</v>
      </c>
      <c r="C1734" s="68">
        <v>1001</v>
      </c>
      <c r="D1734" s="69" t="s">
        <v>3998</v>
      </c>
      <c r="E1734" s="69" t="s">
        <v>3992</v>
      </c>
      <c r="F1734" s="15">
        <v>713088</v>
      </c>
      <c r="G1734" s="15" t="s">
        <v>3999</v>
      </c>
    </row>
    <row r="1735" s="15" customFormat="1" spans="1:7">
      <c r="A1735" s="68">
        <v>1001</v>
      </c>
      <c r="B1735" s="68">
        <v>1</v>
      </c>
      <c r="C1735" s="68">
        <v>1001</v>
      </c>
      <c r="D1735" s="69" t="s">
        <v>4000</v>
      </c>
      <c r="E1735" s="69" t="s">
        <v>3995</v>
      </c>
      <c r="F1735" s="15">
        <v>713089</v>
      </c>
      <c r="G1735" s="15" t="s">
        <v>4001</v>
      </c>
    </row>
    <row r="1736" s="15" customFormat="1" spans="1:7">
      <c r="A1736" s="68">
        <v>1001</v>
      </c>
      <c r="B1736" s="68">
        <v>1</v>
      </c>
      <c r="C1736" s="68">
        <v>1001</v>
      </c>
      <c r="D1736" s="69" t="s">
        <v>4002</v>
      </c>
      <c r="E1736" s="69" t="s">
        <v>3998</v>
      </c>
      <c r="F1736" s="15">
        <v>713090</v>
      </c>
      <c r="G1736" s="15" t="s">
        <v>4003</v>
      </c>
    </row>
    <row r="1737" s="15" customFormat="1" ht="17" spans="1:7">
      <c r="A1737" s="68">
        <v>1001</v>
      </c>
      <c r="B1737" s="68">
        <v>1</v>
      </c>
      <c r="C1737" s="68">
        <v>1001</v>
      </c>
      <c r="D1737" s="70" t="s">
        <v>4004</v>
      </c>
      <c r="E1737" s="69" t="s">
        <v>4000</v>
      </c>
      <c r="F1737" s="15">
        <v>713091</v>
      </c>
      <c r="G1737" s="15" t="s">
        <v>4005</v>
      </c>
    </row>
    <row r="1738" s="15" customFormat="1" spans="1:7">
      <c r="A1738" s="68">
        <v>1001</v>
      </c>
      <c r="B1738" s="68">
        <v>1</v>
      </c>
      <c r="C1738" s="68">
        <v>1001</v>
      </c>
      <c r="D1738" s="71" t="s">
        <v>4006</v>
      </c>
      <c r="E1738" s="69" t="s">
        <v>4002</v>
      </c>
      <c r="F1738" s="15">
        <v>713092</v>
      </c>
      <c r="G1738" s="15" t="s">
        <v>4007</v>
      </c>
    </row>
    <row r="1739" s="15" customFormat="1" spans="1:7">
      <c r="A1739" s="68">
        <v>1001</v>
      </c>
      <c r="B1739" s="68">
        <v>1</v>
      </c>
      <c r="C1739" s="68">
        <v>1001</v>
      </c>
      <c r="D1739" s="71" t="s">
        <v>4008</v>
      </c>
      <c r="E1739" s="71" t="s">
        <v>4004</v>
      </c>
      <c r="F1739" s="15">
        <v>713093</v>
      </c>
      <c r="G1739" s="15" t="s">
        <v>4009</v>
      </c>
    </row>
    <row r="1740" s="15" customFormat="1" spans="1:7">
      <c r="A1740" s="68">
        <v>1001</v>
      </c>
      <c r="B1740" s="68">
        <v>1</v>
      </c>
      <c r="C1740" s="68">
        <v>1001</v>
      </c>
      <c r="D1740" s="71" t="s">
        <v>4010</v>
      </c>
      <c r="E1740" s="71" t="s">
        <v>4006</v>
      </c>
      <c r="F1740" s="15">
        <v>713094</v>
      </c>
      <c r="G1740" s="15" t="s">
        <v>4011</v>
      </c>
    </row>
    <row r="1741" s="15" customFormat="1" spans="1:7">
      <c r="A1741" s="68">
        <v>1001</v>
      </c>
      <c r="B1741" s="68">
        <v>1</v>
      </c>
      <c r="C1741" s="68">
        <v>1001</v>
      </c>
      <c r="D1741" s="71" t="s">
        <v>4012</v>
      </c>
      <c r="E1741" s="71" t="s">
        <v>4008</v>
      </c>
      <c r="F1741" s="15">
        <v>713095</v>
      </c>
      <c r="G1741" s="15" t="s">
        <v>4013</v>
      </c>
    </row>
    <row r="1742" s="15" customFormat="1" spans="1:7">
      <c r="A1742" s="68">
        <v>1001</v>
      </c>
      <c r="B1742" s="68">
        <v>1</v>
      </c>
      <c r="C1742" s="68">
        <v>1001</v>
      </c>
      <c r="D1742" s="71" t="s">
        <v>4014</v>
      </c>
      <c r="E1742" s="71" t="s">
        <v>4010</v>
      </c>
      <c r="F1742" s="15">
        <v>713096</v>
      </c>
      <c r="G1742" s="15" t="s">
        <v>4015</v>
      </c>
    </row>
    <row r="1743" s="15" customFormat="1" spans="1:7">
      <c r="A1743" s="68">
        <v>1001</v>
      </c>
      <c r="B1743" s="68">
        <v>1</v>
      </c>
      <c r="C1743" s="68">
        <v>1001</v>
      </c>
      <c r="D1743" s="71" t="s">
        <v>4016</v>
      </c>
      <c r="E1743" s="71" t="s">
        <v>4017</v>
      </c>
      <c r="F1743" s="15">
        <v>713097</v>
      </c>
      <c r="G1743" s="15" t="s">
        <v>4018</v>
      </c>
    </row>
    <row r="1744" s="15" customFormat="1" spans="1:7">
      <c r="A1744" s="68">
        <v>1001</v>
      </c>
      <c r="B1744" s="68">
        <v>1</v>
      </c>
      <c r="C1744" s="68">
        <v>1001</v>
      </c>
      <c r="D1744" s="71" t="s">
        <v>4019</v>
      </c>
      <c r="E1744" s="71" t="s">
        <v>4020</v>
      </c>
      <c r="F1744" s="15">
        <v>713098</v>
      </c>
      <c r="G1744" s="15" t="s">
        <v>4021</v>
      </c>
    </row>
    <row r="1745" s="15" customFormat="1" spans="1:7">
      <c r="A1745" s="68">
        <v>1001</v>
      </c>
      <c r="B1745" s="68">
        <v>1</v>
      </c>
      <c r="C1745" s="68">
        <v>1001</v>
      </c>
      <c r="D1745" s="71" t="s">
        <v>4022</v>
      </c>
      <c r="E1745" s="71" t="s">
        <v>4023</v>
      </c>
      <c r="F1745" s="15">
        <v>713101</v>
      </c>
      <c r="G1745" s="15" t="s">
        <v>4024</v>
      </c>
    </row>
    <row r="1746" s="15" customFormat="1" spans="1:7">
      <c r="A1746" s="68">
        <v>1001</v>
      </c>
      <c r="B1746" s="68">
        <v>1</v>
      </c>
      <c r="C1746" s="68">
        <v>1001</v>
      </c>
      <c r="D1746" s="71" t="s">
        <v>4025</v>
      </c>
      <c r="E1746" s="71" t="s">
        <v>4026</v>
      </c>
      <c r="F1746" s="15">
        <v>713102</v>
      </c>
      <c r="G1746" s="15" t="s">
        <v>4027</v>
      </c>
    </row>
    <row r="1747" s="15" customFormat="1" spans="1:7">
      <c r="A1747" s="68">
        <v>1001</v>
      </c>
      <c r="B1747" s="68">
        <v>1</v>
      </c>
      <c r="C1747" s="68">
        <v>1001</v>
      </c>
      <c r="D1747" s="71" t="s">
        <v>4028</v>
      </c>
      <c r="E1747" s="71" t="s">
        <v>4022</v>
      </c>
      <c r="F1747" s="15">
        <v>713103</v>
      </c>
      <c r="G1747" s="15" t="s">
        <v>4029</v>
      </c>
    </row>
    <row r="1748" s="15" customFormat="1" spans="1:7">
      <c r="A1748" s="68">
        <v>1001</v>
      </c>
      <c r="B1748" s="68">
        <v>1</v>
      </c>
      <c r="C1748" s="68">
        <v>1001</v>
      </c>
      <c r="D1748" s="71" t="s">
        <v>4030</v>
      </c>
      <c r="E1748" s="71" t="s">
        <v>4025</v>
      </c>
      <c r="F1748" s="15">
        <v>713104</v>
      </c>
      <c r="G1748" s="15" t="s">
        <v>4031</v>
      </c>
    </row>
    <row r="1749" s="15" customFormat="1" spans="1:7">
      <c r="A1749" s="68">
        <v>1001</v>
      </c>
      <c r="B1749" s="68">
        <v>1</v>
      </c>
      <c r="C1749" s="68">
        <v>1001</v>
      </c>
      <c r="D1749" s="71" t="s">
        <v>4032</v>
      </c>
      <c r="E1749" s="71" t="s">
        <v>4028</v>
      </c>
      <c r="F1749" s="15">
        <v>713105</v>
      </c>
      <c r="G1749" s="15" t="s">
        <v>4033</v>
      </c>
    </row>
    <row r="1750" spans="1:7">
      <c r="A1750" s="68">
        <v>1001</v>
      </c>
      <c r="B1750" s="68">
        <v>1</v>
      </c>
      <c r="C1750" s="68">
        <v>1001</v>
      </c>
      <c r="D1750" s="71" t="s">
        <v>4034</v>
      </c>
      <c r="E1750" s="71" t="s">
        <v>4030</v>
      </c>
      <c r="F1750" s="15">
        <v>713106</v>
      </c>
      <c r="G1750" s="15" t="s">
        <v>4035</v>
      </c>
    </row>
    <row r="1751" spans="1:7">
      <c r="A1751" s="68">
        <v>1001</v>
      </c>
      <c r="B1751" s="68">
        <v>1</v>
      </c>
      <c r="C1751" s="68">
        <v>1001</v>
      </c>
      <c r="D1751" s="71" t="s">
        <v>4036</v>
      </c>
      <c r="E1751" s="71" t="s">
        <v>4032</v>
      </c>
      <c r="F1751" s="15">
        <v>713107</v>
      </c>
      <c r="G1751" s="15" t="s">
        <v>4037</v>
      </c>
    </row>
    <row r="1752" spans="1:7">
      <c r="A1752" s="68">
        <v>1001</v>
      </c>
      <c r="B1752" s="68">
        <v>1</v>
      </c>
      <c r="C1752" s="68">
        <v>1001</v>
      </c>
      <c r="D1752" s="71" t="s">
        <v>4038</v>
      </c>
      <c r="E1752" s="71" t="s">
        <v>4034</v>
      </c>
      <c r="F1752" s="15">
        <v>713108</v>
      </c>
      <c r="G1752" s="15" t="s">
        <v>4039</v>
      </c>
    </row>
    <row r="1753" spans="1:7">
      <c r="A1753" s="68">
        <v>1001</v>
      </c>
      <c r="B1753" s="68">
        <v>1</v>
      </c>
      <c r="C1753" s="68">
        <v>1001</v>
      </c>
      <c r="D1753" s="71" t="s">
        <v>4040</v>
      </c>
      <c r="E1753" s="71" t="s">
        <v>4036</v>
      </c>
      <c r="F1753" s="15">
        <v>713109</v>
      </c>
      <c r="G1753" s="15" t="s">
        <v>4041</v>
      </c>
    </row>
    <row r="1754" spans="1:7">
      <c r="A1754" s="68">
        <v>1001</v>
      </c>
      <c r="B1754" s="68">
        <v>1</v>
      </c>
      <c r="C1754" s="68">
        <v>1001</v>
      </c>
      <c r="D1754" s="71" t="s">
        <v>4042</v>
      </c>
      <c r="E1754" s="71" t="s">
        <v>4038</v>
      </c>
      <c r="F1754" s="15">
        <v>713110</v>
      </c>
      <c r="G1754" s="15" t="s">
        <v>4043</v>
      </c>
    </row>
    <row r="1755" spans="1:7">
      <c r="A1755" s="68">
        <v>1001</v>
      </c>
      <c r="B1755" s="68">
        <v>1</v>
      </c>
      <c r="C1755" s="68">
        <v>1001</v>
      </c>
      <c r="D1755" s="71" t="s">
        <v>4044</v>
      </c>
      <c r="E1755" s="71" t="s">
        <v>4040</v>
      </c>
      <c r="F1755" s="15">
        <v>713111</v>
      </c>
      <c r="G1755" s="15" t="s">
        <v>4045</v>
      </c>
    </row>
    <row r="1756" spans="1:7">
      <c r="A1756" s="68">
        <v>1001</v>
      </c>
      <c r="B1756" s="68">
        <v>1</v>
      </c>
      <c r="C1756" s="68">
        <v>1001</v>
      </c>
      <c r="D1756" s="71" t="s">
        <v>4046</v>
      </c>
      <c r="E1756" s="71" t="s">
        <v>4042</v>
      </c>
      <c r="F1756" s="15">
        <v>713112</v>
      </c>
      <c r="G1756" s="15" t="s">
        <v>4047</v>
      </c>
    </row>
    <row r="1757" spans="1:7">
      <c r="A1757" s="68">
        <v>1001</v>
      </c>
      <c r="B1757" s="68">
        <v>1</v>
      </c>
      <c r="C1757" s="68">
        <v>1001</v>
      </c>
      <c r="D1757" s="71" t="s">
        <v>4048</v>
      </c>
      <c r="E1757" s="71" t="s">
        <v>4044</v>
      </c>
      <c r="F1757" s="15">
        <v>713113</v>
      </c>
      <c r="G1757" s="15" t="s">
        <v>4049</v>
      </c>
    </row>
    <row r="1758" spans="1:7">
      <c r="A1758" s="68">
        <v>1001</v>
      </c>
      <c r="B1758" s="68">
        <v>1</v>
      </c>
      <c r="C1758" s="68">
        <v>1001</v>
      </c>
      <c r="D1758" s="71" t="s">
        <v>4050</v>
      </c>
      <c r="E1758" s="71" t="s">
        <v>4046</v>
      </c>
      <c r="F1758" s="15">
        <v>713114</v>
      </c>
      <c r="G1758" s="15" t="s">
        <v>4051</v>
      </c>
    </row>
    <row r="1759" spans="1:7">
      <c r="A1759" s="68">
        <v>1001</v>
      </c>
      <c r="B1759" s="68">
        <v>1</v>
      </c>
      <c r="C1759" s="68">
        <v>1001</v>
      </c>
      <c r="D1759" s="71" t="s">
        <v>4052</v>
      </c>
      <c r="E1759" s="71" t="s">
        <v>4048</v>
      </c>
      <c r="F1759" s="15">
        <v>713115</v>
      </c>
      <c r="G1759" s="15" t="s">
        <v>4053</v>
      </c>
    </row>
    <row r="1760" spans="1:7">
      <c r="A1760" s="25">
        <v>1001</v>
      </c>
      <c r="B1760" s="25">
        <v>1</v>
      </c>
      <c r="C1760" s="25">
        <v>1001</v>
      </c>
      <c r="D1760" s="27" t="s">
        <v>4054</v>
      </c>
      <c r="E1760" s="71" t="s">
        <v>4050</v>
      </c>
      <c r="F1760" s="15">
        <v>713116</v>
      </c>
      <c r="G1760" t="s">
        <v>4055</v>
      </c>
    </row>
    <row r="1761" spans="1:7">
      <c r="A1761" s="25">
        <v>1001</v>
      </c>
      <c r="B1761" s="25">
        <v>1</v>
      </c>
      <c r="C1761" s="25">
        <v>1004</v>
      </c>
      <c r="D1761" t="s">
        <v>4056</v>
      </c>
      <c r="E1761" s="71" t="s">
        <v>4052</v>
      </c>
      <c r="F1761" s="15">
        <v>713117</v>
      </c>
      <c r="G1761">
        <v>0</v>
      </c>
    </row>
    <row r="1762" spans="1:7">
      <c r="A1762" s="25">
        <v>1001</v>
      </c>
      <c r="B1762" s="25">
        <v>1</v>
      </c>
      <c r="C1762" s="25">
        <v>1004</v>
      </c>
      <c r="D1762" t="s">
        <v>4057</v>
      </c>
      <c r="E1762" s="72" t="s">
        <v>4058</v>
      </c>
      <c r="F1762" s="15">
        <v>713118</v>
      </c>
      <c r="G1762" t="s">
        <v>4059</v>
      </c>
    </row>
    <row r="1763" spans="1:7">
      <c r="A1763" s="25">
        <v>1001</v>
      </c>
      <c r="B1763" s="25">
        <v>1</v>
      </c>
      <c r="C1763" s="25">
        <v>1004</v>
      </c>
      <c r="D1763" t="s">
        <v>4060</v>
      </c>
      <c r="E1763" s="27" t="s">
        <v>684</v>
      </c>
      <c r="F1763">
        <v>720001</v>
      </c>
      <c r="G1763">
        <v>0</v>
      </c>
    </row>
    <row r="1764" spans="1:7">
      <c r="A1764" s="25">
        <v>1001</v>
      </c>
      <c r="B1764" s="25">
        <v>1</v>
      </c>
      <c r="C1764" s="25">
        <v>1004</v>
      </c>
      <c r="D1764" t="s">
        <v>4061</v>
      </c>
      <c r="E1764" s="27" t="s">
        <v>4062</v>
      </c>
      <c r="F1764">
        <v>451201</v>
      </c>
      <c r="G1764" t="s">
        <v>4063</v>
      </c>
    </row>
    <row r="1765" spans="1:7">
      <c r="A1765" s="25">
        <v>1001</v>
      </c>
      <c r="B1765" s="25">
        <v>1</v>
      </c>
      <c r="C1765" s="25">
        <v>1004</v>
      </c>
      <c r="D1765" t="s">
        <v>4064</v>
      </c>
      <c r="E1765" s="27" t="s">
        <v>4065</v>
      </c>
      <c r="F1765">
        <v>451202</v>
      </c>
      <c r="G1765" t="s">
        <v>4066</v>
      </c>
    </row>
    <row r="1766" spans="1:7">
      <c r="A1766" s="25">
        <v>1001</v>
      </c>
      <c r="B1766" s="25">
        <v>1</v>
      </c>
      <c r="C1766" s="25">
        <v>1004</v>
      </c>
      <c r="D1766" t="s">
        <v>4067</v>
      </c>
      <c r="E1766" s="27" t="s">
        <v>4068</v>
      </c>
      <c r="F1766">
        <v>451203</v>
      </c>
      <c r="G1766" t="s">
        <v>4069</v>
      </c>
    </row>
    <row r="1767" spans="1:7">
      <c r="A1767">
        <v>1001</v>
      </c>
      <c r="B1767">
        <v>1</v>
      </c>
      <c r="C1767" s="25">
        <v>1001</v>
      </c>
      <c r="D1767" t="s">
        <v>4070</v>
      </c>
      <c r="E1767" s="27" t="s">
        <v>4071</v>
      </c>
      <c r="F1767">
        <v>451204</v>
      </c>
      <c r="G1767" t="s">
        <v>4072</v>
      </c>
    </row>
    <row r="1768" spans="1:7">
      <c r="A1768">
        <v>1001</v>
      </c>
      <c r="B1768">
        <v>1</v>
      </c>
      <c r="C1768" s="25">
        <v>1001</v>
      </c>
      <c r="D1768" t="s">
        <v>4073</v>
      </c>
      <c r="E1768" s="27" t="s">
        <v>4074</v>
      </c>
      <c r="F1768">
        <v>451205</v>
      </c>
      <c r="G1768" t="s">
        <v>4075</v>
      </c>
    </row>
    <row r="1769" spans="1:7">
      <c r="A1769">
        <v>1001</v>
      </c>
      <c r="B1769">
        <v>1</v>
      </c>
      <c r="C1769" s="25">
        <v>1001</v>
      </c>
      <c r="D1769" s="30" t="s">
        <v>4076</v>
      </c>
      <c r="E1769" s="27" t="s">
        <v>4077</v>
      </c>
      <c r="F1769">
        <v>451206</v>
      </c>
      <c r="G1769" t="s">
        <v>4078</v>
      </c>
    </row>
    <row r="1770" spans="1:7">
      <c r="A1770">
        <v>1001</v>
      </c>
      <c r="B1770">
        <v>1</v>
      </c>
      <c r="C1770" s="25">
        <v>1001</v>
      </c>
      <c r="D1770" t="s">
        <v>4079</v>
      </c>
      <c r="E1770" s="27" t="s">
        <v>4070</v>
      </c>
      <c r="F1770">
        <v>452201</v>
      </c>
      <c r="G1770" t="s">
        <v>4080</v>
      </c>
    </row>
    <row r="1771" spans="1:7">
      <c r="A1771">
        <v>1001</v>
      </c>
      <c r="B1771">
        <v>1</v>
      </c>
      <c r="C1771" s="25">
        <v>1001</v>
      </c>
      <c r="D1771" t="s">
        <v>4081</v>
      </c>
      <c r="E1771" s="27" t="s">
        <v>4082</v>
      </c>
      <c r="F1771">
        <v>452203</v>
      </c>
      <c r="G1771" t="s">
        <v>4080</v>
      </c>
    </row>
    <row r="1772" spans="1:7">
      <c r="A1772">
        <v>1001</v>
      </c>
      <c r="B1772">
        <v>1</v>
      </c>
      <c r="C1772" s="25">
        <v>1001</v>
      </c>
      <c r="D1772" t="s">
        <v>4083</v>
      </c>
      <c r="E1772" s="27" t="s">
        <v>4076</v>
      </c>
      <c r="F1772">
        <v>465110</v>
      </c>
      <c r="G1772" t="s">
        <v>4080</v>
      </c>
    </row>
    <row r="1773" spans="1:7">
      <c r="A1773">
        <v>1001</v>
      </c>
      <c r="B1773">
        <v>4</v>
      </c>
      <c r="C1773" s="25">
        <v>1001</v>
      </c>
      <c r="D1773" t="s">
        <v>4084</v>
      </c>
      <c r="E1773" s="27" t="s">
        <v>4085</v>
      </c>
      <c r="F1773">
        <v>465111</v>
      </c>
      <c r="G1773" t="s">
        <v>4086</v>
      </c>
    </row>
    <row r="1774" spans="1:7">
      <c r="A1774">
        <v>1001</v>
      </c>
      <c r="B1774">
        <v>4</v>
      </c>
      <c r="C1774" s="25">
        <v>1001</v>
      </c>
      <c r="D1774" t="s">
        <v>4087</v>
      </c>
      <c r="E1774" s="27" t="s">
        <v>4085</v>
      </c>
      <c r="F1774">
        <v>465121</v>
      </c>
      <c r="G1774" t="s">
        <v>4088</v>
      </c>
    </row>
    <row r="1775" spans="1:7">
      <c r="A1775">
        <v>1001</v>
      </c>
      <c r="B1775">
        <v>4</v>
      </c>
      <c r="C1775" s="25">
        <v>1001</v>
      </c>
      <c r="D1775" t="s">
        <v>4089</v>
      </c>
      <c r="E1775" s="27" t="s">
        <v>4090</v>
      </c>
      <c r="F1775">
        <v>465112</v>
      </c>
      <c r="G1775" t="s">
        <v>4091</v>
      </c>
    </row>
    <row r="1776" spans="1:7">
      <c r="A1776">
        <v>1001</v>
      </c>
      <c r="B1776">
        <v>4</v>
      </c>
      <c r="C1776" s="25">
        <v>1001</v>
      </c>
      <c r="D1776" t="s">
        <v>4092</v>
      </c>
      <c r="E1776" s="27" t="s">
        <v>4084</v>
      </c>
      <c r="F1776">
        <v>466001</v>
      </c>
      <c r="G1776" t="s">
        <v>4093</v>
      </c>
    </row>
    <row r="1777" spans="1:7">
      <c r="A1777">
        <v>1001</v>
      </c>
      <c r="B1777">
        <v>4</v>
      </c>
      <c r="C1777" s="25">
        <v>1001</v>
      </c>
      <c r="D1777" t="s">
        <v>4094</v>
      </c>
      <c r="E1777" s="27" t="s">
        <v>4087</v>
      </c>
      <c r="F1777">
        <v>466002</v>
      </c>
      <c r="G1777" t="s">
        <v>4095</v>
      </c>
    </row>
    <row r="1778" spans="1:7">
      <c r="A1778">
        <v>1001</v>
      </c>
      <c r="B1778">
        <v>4</v>
      </c>
      <c r="C1778" s="25">
        <v>1001</v>
      </c>
      <c r="D1778" t="s">
        <v>4096</v>
      </c>
      <c r="E1778" s="27" t="s">
        <v>4089</v>
      </c>
      <c r="F1778">
        <v>466003</v>
      </c>
      <c r="G1778" t="s">
        <v>4097</v>
      </c>
    </row>
    <row r="1779" spans="1:7">
      <c r="A1779">
        <v>1001</v>
      </c>
      <c r="B1779">
        <v>4</v>
      </c>
      <c r="C1779" s="25">
        <v>1001</v>
      </c>
      <c r="D1779" t="s">
        <v>4098</v>
      </c>
      <c r="E1779" s="27" t="s">
        <v>4092</v>
      </c>
      <c r="F1779">
        <v>466004</v>
      </c>
      <c r="G1779" t="s">
        <v>4099</v>
      </c>
    </row>
    <row r="1780" spans="1:7">
      <c r="A1780">
        <v>1001</v>
      </c>
      <c r="B1780">
        <v>4</v>
      </c>
      <c r="C1780" s="25">
        <v>1001</v>
      </c>
      <c r="D1780" t="s">
        <v>4100</v>
      </c>
      <c r="E1780" s="27" t="s">
        <v>4094</v>
      </c>
      <c r="F1780">
        <v>466005</v>
      </c>
      <c r="G1780" t="s">
        <v>4101</v>
      </c>
    </row>
    <row r="1781" spans="1:7">
      <c r="A1781">
        <v>1001</v>
      </c>
      <c r="B1781">
        <v>4</v>
      </c>
      <c r="C1781" s="25">
        <v>1001</v>
      </c>
      <c r="D1781" t="s">
        <v>4102</v>
      </c>
      <c r="E1781" s="27" t="s">
        <v>4096</v>
      </c>
      <c r="F1781">
        <v>466006</v>
      </c>
      <c r="G1781" t="s">
        <v>4103</v>
      </c>
    </row>
    <row r="1782" spans="1:7">
      <c r="A1782">
        <v>1001</v>
      </c>
      <c r="B1782">
        <v>4</v>
      </c>
      <c r="C1782" s="25">
        <v>1001</v>
      </c>
      <c r="D1782" t="s">
        <v>4104</v>
      </c>
      <c r="E1782" s="27" t="s">
        <v>4098</v>
      </c>
      <c r="F1782">
        <v>466007</v>
      </c>
      <c r="G1782" t="s">
        <v>4105</v>
      </c>
    </row>
    <row r="1783" spans="1:7">
      <c r="A1783">
        <v>1001</v>
      </c>
      <c r="B1783">
        <v>4</v>
      </c>
      <c r="C1783" s="25">
        <v>1001</v>
      </c>
      <c r="D1783" t="s">
        <v>4106</v>
      </c>
      <c r="E1783" s="27" t="s">
        <v>4100</v>
      </c>
      <c r="F1783">
        <v>466008</v>
      </c>
      <c r="G1783" t="s">
        <v>4107</v>
      </c>
    </row>
    <row r="1784" spans="1:7">
      <c r="A1784">
        <v>1001</v>
      </c>
      <c r="B1784">
        <v>4</v>
      </c>
      <c r="C1784" s="25">
        <v>1001</v>
      </c>
      <c r="D1784" t="s">
        <v>4108</v>
      </c>
      <c r="E1784" s="27" t="s">
        <v>4102</v>
      </c>
      <c r="F1784">
        <v>466009</v>
      </c>
      <c r="G1784" t="s">
        <v>4109</v>
      </c>
    </row>
    <row r="1785" spans="1:7">
      <c r="A1785">
        <v>1001</v>
      </c>
      <c r="B1785">
        <v>4</v>
      </c>
      <c r="C1785" s="25">
        <v>1001</v>
      </c>
      <c r="D1785" t="s">
        <v>4110</v>
      </c>
      <c r="E1785" s="27" t="s">
        <v>4104</v>
      </c>
      <c r="F1785">
        <v>466010</v>
      </c>
      <c r="G1785" t="s">
        <v>4111</v>
      </c>
    </row>
    <row r="1786" spans="1:7">
      <c r="A1786">
        <v>1001</v>
      </c>
      <c r="B1786">
        <v>4</v>
      </c>
      <c r="C1786" s="25">
        <v>1001</v>
      </c>
      <c r="D1786" t="s">
        <v>4112</v>
      </c>
      <c r="E1786" s="27" t="s">
        <v>4106</v>
      </c>
      <c r="F1786">
        <v>466011</v>
      </c>
      <c r="G1786" t="s">
        <v>4113</v>
      </c>
    </row>
    <row r="1787" spans="1:7">
      <c r="A1787">
        <v>1001</v>
      </c>
      <c r="B1787">
        <v>4</v>
      </c>
      <c r="C1787" s="25">
        <v>1001</v>
      </c>
      <c r="D1787" s="73" t="s">
        <v>4114</v>
      </c>
      <c r="E1787" s="27" t="s">
        <v>4108</v>
      </c>
      <c r="F1787">
        <v>466012</v>
      </c>
      <c r="G1787" t="s">
        <v>4115</v>
      </c>
    </row>
    <row r="1788" spans="1:7">
      <c r="A1788">
        <v>1001</v>
      </c>
      <c r="B1788">
        <v>4</v>
      </c>
      <c r="C1788" s="25">
        <v>1001</v>
      </c>
      <c r="D1788" s="73" t="s">
        <v>4116</v>
      </c>
      <c r="E1788" s="27" t="s">
        <v>4110</v>
      </c>
      <c r="F1788">
        <v>466013</v>
      </c>
      <c r="G1788" t="s">
        <v>4117</v>
      </c>
    </row>
    <row r="1789" spans="1:7">
      <c r="A1789">
        <v>1001</v>
      </c>
      <c r="B1789">
        <v>4</v>
      </c>
      <c r="C1789" s="25">
        <v>1001</v>
      </c>
      <c r="D1789" s="73" t="s">
        <v>4118</v>
      </c>
      <c r="E1789" s="27" t="s">
        <v>4112</v>
      </c>
      <c r="F1789">
        <v>466014</v>
      </c>
      <c r="G1789" t="s">
        <v>4119</v>
      </c>
    </row>
    <row r="1790" spans="1:7">
      <c r="A1790">
        <v>1001</v>
      </c>
      <c r="B1790">
        <v>4</v>
      </c>
      <c r="C1790" s="25">
        <v>1001</v>
      </c>
      <c r="D1790" s="73" t="s">
        <v>4120</v>
      </c>
      <c r="E1790" s="27" t="s">
        <v>4114</v>
      </c>
      <c r="F1790">
        <v>467001</v>
      </c>
      <c r="G1790" t="s">
        <v>4121</v>
      </c>
    </row>
    <row r="1791" spans="1:7">
      <c r="A1791">
        <v>1001</v>
      </c>
      <c r="B1791">
        <v>4</v>
      </c>
      <c r="C1791" s="25">
        <v>1001</v>
      </c>
      <c r="D1791" s="73" t="s">
        <v>4122</v>
      </c>
      <c r="E1791" s="27" t="s">
        <v>4116</v>
      </c>
      <c r="F1791">
        <v>467002</v>
      </c>
      <c r="G1791" t="s">
        <v>4123</v>
      </c>
    </row>
    <row r="1792" spans="1:7">
      <c r="A1792">
        <v>1001</v>
      </c>
      <c r="B1792">
        <v>4</v>
      </c>
      <c r="C1792" s="25">
        <v>1001</v>
      </c>
      <c r="D1792" s="73" t="s">
        <v>4124</v>
      </c>
      <c r="E1792" s="27" t="s">
        <v>4118</v>
      </c>
      <c r="F1792">
        <v>467003</v>
      </c>
      <c r="G1792" t="s">
        <v>4125</v>
      </c>
    </row>
    <row r="1793" spans="1:7">
      <c r="A1793">
        <v>1001</v>
      </c>
      <c r="B1793">
        <v>4</v>
      </c>
      <c r="C1793" s="25">
        <v>1001</v>
      </c>
      <c r="D1793" s="73" t="s">
        <v>4126</v>
      </c>
      <c r="E1793" s="27" t="s">
        <v>4120</v>
      </c>
      <c r="F1793">
        <v>467004</v>
      </c>
      <c r="G1793" t="s">
        <v>4127</v>
      </c>
    </row>
    <row r="1794" spans="1:7">
      <c r="A1794">
        <v>1001</v>
      </c>
      <c r="B1794">
        <v>4</v>
      </c>
      <c r="C1794" s="25">
        <v>1001</v>
      </c>
      <c r="D1794" s="73" t="s">
        <v>4128</v>
      </c>
      <c r="E1794" s="27" t="s">
        <v>4122</v>
      </c>
      <c r="F1794">
        <v>467005</v>
      </c>
      <c r="G1794" t="s">
        <v>4129</v>
      </c>
    </row>
    <row r="1795" spans="1:7">
      <c r="A1795">
        <v>1001</v>
      </c>
      <c r="B1795">
        <v>4</v>
      </c>
      <c r="C1795" s="25">
        <v>1001</v>
      </c>
      <c r="D1795" s="73" t="s">
        <v>4130</v>
      </c>
      <c r="E1795" s="27" t="s">
        <v>4124</v>
      </c>
      <c r="F1795">
        <v>467006</v>
      </c>
      <c r="G1795" t="s">
        <v>4131</v>
      </c>
    </row>
    <row r="1796" spans="1:7">
      <c r="A1796">
        <v>1001</v>
      </c>
      <c r="B1796">
        <v>4</v>
      </c>
      <c r="C1796" s="25">
        <v>1001</v>
      </c>
      <c r="D1796" s="73" t="s">
        <v>4132</v>
      </c>
      <c r="E1796" s="27" t="s">
        <v>4126</v>
      </c>
      <c r="F1796">
        <v>467007</v>
      </c>
      <c r="G1796" t="s">
        <v>4133</v>
      </c>
    </row>
    <row r="1797" spans="1:7">
      <c r="A1797">
        <v>1001</v>
      </c>
      <c r="B1797">
        <v>4</v>
      </c>
      <c r="C1797" s="25">
        <v>1001</v>
      </c>
      <c r="D1797" s="73" t="s">
        <v>4134</v>
      </c>
      <c r="E1797" s="27" t="s">
        <v>4128</v>
      </c>
      <c r="F1797">
        <v>467008</v>
      </c>
      <c r="G1797" t="s">
        <v>4135</v>
      </c>
    </row>
    <row r="1798" spans="1:7">
      <c r="A1798">
        <v>1001</v>
      </c>
      <c r="B1798">
        <v>4</v>
      </c>
      <c r="C1798" s="25">
        <v>1001</v>
      </c>
      <c r="D1798" s="73" t="s">
        <v>4136</v>
      </c>
      <c r="E1798" s="27" t="s">
        <v>4130</v>
      </c>
      <c r="F1798">
        <v>467009</v>
      </c>
      <c r="G1798" t="s">
        <v>4137</v>
      </c>
    </row>
    <row r="1799" spans="1:7">
      <c r="A1799">
        <v>1001</v>
      </c>
      <c r="B1799">
        <v>4</v>
      </c>
      <c r="C1799" s="25">
        <v>1001</v>
      </c>
      <c r="D1799" s="73" t="s">
        <v>4138</v>
      </c>
      <c r="E1799" s="27" t="s">
        <v>4132</v>
      </c>
      <c r="F1799">
        <v>467010</v>
      </c>
      <c r="G1799" t="s">
        <v>4139</v>
      </c>
    </row>
    <row r="1800" spans="1:7">
      <c r="A1800">
        <v>1001</v>
      </c>
      <c r="B1800">
        <v>4</v>
      </c>
      <c r="C1800" s="25">
        <v>1001</v>
      </c>
      <c r="D1800" s="73" t="s">
        <v>4140</v>
      </c>
      <c r="E1800" s="27" t="s">
        <v>4134</v>
      </c>
      <c r="F1800">
        <v>467011</v>
      </c>
      <c r="G1800" t="s">
        <v>4141</v>
      </c>
    </row>
    <row r="1801" spans="1:7">
      <c r="A1801">
        <v>1001</v>
      </c>
      <c r="B1801">
        <v>4</v>
      </c>
      <c r="C1801" s="25">
        <v>1001</v>
      </c>
      <c r="D1801" s="15" t="s">
        <v>4142</v>
      </c>
      <c r="E1801" s="27" t="s">
        <v>4136</v>
      </c>
      <c r="F1801">
        <v>467012</v>
      </c>
      <c r="G1801" t="s">
        <v>4143</v>
      </c>
    </row>
    <row r="1802" spans="1:7">
      <c r="A1802">
        <v>1001</v>
      </c>
      <c r="B1802">
        <v>4</v>
      </c>
      <c r="C1802" s="25">
        <v>1001</v>
      </c>
      <c r="D1802" s="15" t="s">
        <v>4144</v>
      </c>
      <c r="E1802" s="27" t="s">
        <v>4138</v>
      </c>
      <c r="F1802">
        <v>467013</v>
      </c>
      <c r="G1802" t="s">
        <v>4145</v>
      </c>
    </row>
    <row r="1803" spans="1:7">
      <c r="A1803">
        <v>1001</v>
      </c>
      <c r="B1803">
        <v>4</v>
      </c>
      <c r="C1803" s="25">
        <v>1001</v>
      </c>
      <c r="D1803" s="15" t="s">
        <v>4146</v>
      </c>
      <c r="E1803" s="27" t="s">
        <v>4140</v>
      </c>
      <c r="F1803">
        <v>467014</v>
      </c>
      <c r="G1803" t="s">
        <v>4147</v>
      </c>
    </row>
    <row r="1804" spans="1:7">
      <c r="A1804">
        <v>1001</v>
      </c>
      <c r="B1804">
        <v>4</v>
      </c>
      <c r="C1804" s="25">
        <v>1001</v>
      </c>
      <c r="D1804" s="15" t="s">
        <v>4148</v>
      </c>
      <c r="E1804" s="27" t="s">
        <v>4142</v>
      </c>
      <c r="F1804">
        <v>468001</v>
      </c>
      <c r="G1804" t="s">
        <v>4149</v>
      </c>
    </row>
    <row r="1805" spans="1:7">
      <c r="A1805">
        <v>1001</v>
      </c>
      <c r="B1805">
        <v>4</v>
      </c>
      <c r="C1805" s="25">
        <v>1001</v>
      </c>
      <c r="D1805" s="15" t="s">
        <v>4150</v>
      </c>
      <c r="E1805" s="27" t="s">
        <v>4144</v>
      </c>
      <c r="F1805">
        <v>468002</v>
      </c>
      <c r="G1805" t="s">
        <v>4151</v>
      </c>
    </row>
    <row r="1806" spans="1:7">
      <c r="A1806">
        <v>1001</v>
      </c>
      <c r="B1806">
        <v>4</v>
      </c>
      <c r="C1806" s="25">
        <v>1001</v>
      </c>
      <c r="D1806" s="15" t="s">
        <v>4152</v>
      </c>
      <c r="E1806" s="27" t="s">
        <v>4146</v>
      </c>
      <c r="F1806">
        <v>468003</v>
      </c>
      <c r="G1806" t="s">
        <v>4125</v>
      </c>
    </row>
    <row r="1807" spans="1:7">
      <c r="A1807">
        <v>1001</v>
      </c>
      <c r="B1807">
        <v>4</v>
      </c>
      <c r="C1807" s="25">
        <v>1001</v>
      </c>
      <c r="D1807" s="15" t="s">
        <v>4153</v>
      </c>
      <c r="E1807" s="27" t="s">
        <v>4148</v>
      </c>
      <c r="F1807">
        <v>468004</v>
      </c>
      <c r="G1807" t="s">
        <v>4127</v>
      </c>
    </row>
    <row r="1808" spans="1:7">
      <c r="A1808">
        <v>1001</v>
      </c>
      <c r="B1808">
        <v>4</v>
      </c>
      <c r="C1808" s="25">
        <v>1001</v>
      </c>
      <c r="D1808" s="15" t="s">
        <v>4154</v>
      </c>
      <c r="E1808" s="27" t="s">
        <v>4150</v>
      </c>
      <c r="F1808">
        <v>468005</v>
      </c>
      <c r="G1808" t="s">
        <v>4129</v>
      </c>
    </row>
    <row r="1809" spans="1:7">
      <c r="A1809">
        <v>1001</v>
      </c>
      <c r="B1809">
        <v>4</v>
      </c>
      <c r="C1809" s="25">
        <v>1001</v>
      </c>
      <c r="D1809" s="15" t="s">
        <v>4155</v>
      </c>
      <c r="E1809" s="27" t="s">
        <v>4152</v>
      </c>
      <c r="F1809">
        <v>468006</v>
      </c>
      <c r="G1809" t="s">
        <v>4131</v>
      </c>
    </row>
    <row r="1810" spans="1:7">
      <c r="A1810">
        <v>1001</v>
      </c>
      <c r="B1810">
        <v>4</v>
      </c>
      <c r="C1810" s="25">
        <v>1001</v>
      </c>
      <c r="D1810" s="15" t="s">
        <v>4156</v>
      </c>
      <c r="E1810" s="27" t="s">
        <v>4153</v>
      </c>
      <c r="F1810">
        <v>468007</v>
      </c>
      <c r="G1810" t="s">
        <v>4133</v>
      </c>
    </row>
    <row r="1811" spans="1:7">
      <c r="A1811">
        <v>1001</v>
      </c>
      <c r="B1811">
        <v>4</v>
      </c>
      <c r="C1811" s="25">
        <v>1001</v>
      </c>
      <c r="D1811" s="15" t="s">
        <v>4157</v>
      </c>
      <c r="E1811" s="27" t="s">
        <v>4154</v>
      </c>
      <c r="F1811">
        <v>468008</v>
      </c>
      <c r="G1811" t="s">
        <v>4135</v>
      </c>
    </row>
    <row r="1812" spans="1:7">
      <c r="A1812">
        <v>1001</v>
      </c>
      <c r="B1812">
        <v>4</v>
      </c>
      <c r="C1812" s="25">
        <v>1001</v>
      </c>
      <c r="D1812" s="15" t="s">
        <v>4158</v>
      </c>
      <c r="E1812" s="27" t="s">
        <v>4155</v>
      </c>
      <c r="F1812">
        <v>468009</v>
      </c>
      <c r="G1812" t="s">
        <v>4137</v>
      </c>
    </row>
    <row r="1813" spans="1:7">
      <c r="A1813">
        <v>1001</v>
      </c>
      <c r="B1813">
        <v>4</v>
      </c>
      <c r="C1813" s="25">
        <v>1001</v>
      </c>
      <c r="D1813" s="15" t="s">
        <v>4159</v>
      </c>
      <c r="E1813" s="27" t="s">
        <v>4156</v>
      </c>
      <c r="F1813">
        <v>468010</v>
      </c>
      <c r="G1813" t="s">
        <v>4139</v>
      </c>
    </row>
    <row r="1814" spans="1:7">
      <c r="A1814">
        <v>1001</v>
      </c>
      <c r="B1814">
        <v>4</v>
      </c>
      <c r="C1814" s="25">
        <v>1001</v>
      </c>
      <c r="D1814" s="15" t="s">
        <v>4160</v>
      </c>
      <c r="E1814" s="27" t="s">
        <v>4157</v>
      </c>
      <c r="F1814">
        <v>468011</v>
      </c>
      <c r="G1814" t="s">
        <v>4141</v>
      </c>
    </row>
    <row r="1815" spans="1:7">
      <c r="A1815">
        <v>1001</v>
      </c>
      <c r="B1815">
        <v>4</v>
      </c>
      <c r="C1815" s="25">
        <v>1001</v>
      </c>
      <c r="D1815" s="62" t="s">
        <v>4161</v>
      </c>
      <c r="E1815" s="27" t="s">
        <v>4158</v>
      </c>
      <c r="F1815">
        <v>468012</v>
      </c>
      <c r="G1815" t="s">
        <v>4162</v>
      </c>
    </row>
    <row r="1816" spans="1:7">
      <c r="A1816">
        <v>1001</v>
      </c>
      <c r="B1816">
        <v>4</v>
      </c>
      <c r="C1816" s="25">
        <v>1001</v>
      </c>
      <c r="D1816" s="62" t="s">
        <v>4163</v>
      </c>
      <c r="E1816" s="27" t="s">
        <v>4159</v>
      </c>
      <c r="F1816">
        <v>468013</v>
      </c>
      <c r="G1816" t="s">
        <v>4164</v>
      </c>
    </row>
    <row r="1817" spans="1:7">
      <c r="A1817">
        <v>1001</v>
      </c>
      <c r="B1817">
        <v>4</v>
      </c>
      <c r="C1817" s="25">
        <v>1001</v>
      </c>
      <c r="D1817" s="62" t="s">
        <v>4165</v>
      </c>
      <c r="E1817" s="27" t="s">
        <v>4160</v>
      </c>
      <c r="F1817">
        <v>468014</v>
      </c>
      <c r="G1817" t="s">
        <v>4166</v>
      </c>
    </row>
    <row r="1818" spans="1:7">
      <c r="A1818">
        <v>1001</v>
      </c>
      <c r="B1818">
        <v>4</v>
      </c>
      <c r="C1818" s="25">
        <v>1001</v>
      </c>
      <c r="D1818" s="62" t="s">
        <v>4167</v>
      </c>
      <c r="E1818" s="27" t="s">
        <v>4161</v>
      </c>
      <c r="F1818">
        <v>469001</v>
      </c>
      <c r="G1818" t="s">
        <v>4168</v>
      </c>
    </row>
    <row r="1819" spans="1:7">
      <c r="A1819">
        <v>1001</v>
      </c>
      <c r="B1819">
        <v>4</v>
      </c>
      <c r="C1819" s="25">
        <v>1001</v>
      </c>
      <c r="D1819" s="62" t="s">
        <v>4169</v>
      </c>
      <c r="E1819" s="27" t="s">
        <v>4163</v>
      </c>
      <c r="F1819">
        <v>469002</v>
      </c>
      <c r="G1819" t="s">
        <v>4170</v>
      </c>
    </row>
    <row r="1820" spans="1:7">
      <c r="A1820">
        <v>1001</v>
      </c>
      <c r="B1820">
        <v>4</v>
      </c>
      <c r="C1820" s="25">
        <v>1001</v>
      </c>
      <c r="D1820" s="62" t="s">
        <v>4171</v>
      </c>
      <c r="E1820" s="27" t="s">
        <v>4165</v>
      </c>
      <c r="F1820">
        <v>469003</v>
      </c>
      <c r="G1820" t="s">
        <v>4125</v>
      </c>
    </row>
    <row r="1821" spans="1:7">
      <c r="A1821">
        <v>1001</v>
      </c>
      <c r="B1821">
        <v>4</v>
      </c>
      <c r="C1821" s="25">
        <v>1001</v>
      </c>
      <c r="D1821" s="62" t="s">
        <v>4172</v>
      </c>
      <c r="E1821" s="27" t="s">
        <v>4167</v>
      </c>
      <c r="F1821">
        <v>469004</v>
      </c>
      <c r="G1821" t="s">
        <v>4127</v>
      </c>
    </row>
    <row r="1822" spans="1:7">
      <c r="A1822">
        <v>1001</v>
      </c>
      <c r="B1822">
        <v>4</v>
      </c>
      <c r="C1822" s="25">
        <v>1001</v>
      </c>
      <c r="D1822" s="62" t="s">
        <v>4173</v>
      </c>
      <c r="E1822" s="27" t="s">
        <v>4169</v>
      </c>
      <c r="F1822">
        <v>469005</v>
      </c>
      <c r="G1822" t="s">
        <v>4129</v>
      </c>
    </row>
    <row r="1823" spans="1:7">
      <c r="A1823">
        <v>1001</v>
      </c>
      <c r="B1823">
        <v>4</v>
      </c>
      <c r="C1823" s="25">
        <v>1001</v>
      </c>
      <c r="D1823" s="62" t="s">
        <v>4174</v>
      </c>
      <c r="E1823" s="27" t="s">
        <v>4171</v>
      </c>
      <c r="F1823">
        <v>469006</v>
      </c>
      <c r="G1823" t="s">
        <v>4131</v>
      </c>
    </row>
    <row r="1824" spans="1:7">
      <c r="A1824">
        <v>1001</v>
      </c>
      <c r="B1824">
        <v>4</v>
      </c>
      <c r="C1824" s="25">
        <v>1001</v>
      </c>
      <c r="D1824" s="62" t="s">
        <v>4175</v>
      </c>
      <c r="E1824" s="27" t="s">
        <v>4172</v>
      </c>
      <c r="F1824">
        <v>469007</v>
      </c>
      <c r="G1824" t="s">
        <v>4133</v>
      </c>
    </row>
    <row r="1825" spans="1:7">
      <c r="A1825">
        <v>1001</v>
      </c>
      <c r="B1825">
        <v>4</v>
      </c>
      <c r="C1825" s="25">
        <v>1001</v>
      </c>
      <c r="D1825" s="62" t="s">
        <v>4176</v>
      </c>
      <c r="E1825" s="27" t="s">
        <v>4173</v>
      </c>
      <c r="F1825">
        <v>469008</v>
      </c>
      <c r="G1825" t="s">
        <v>4135</v>
      </c>
    </row>
    <row r="1826" spans="1:7">
      <c r="A1826">
        <v>1001</v>
      </c>
      <c r="B1826">
        <v>4</v>
      </c>
      <c r="C1826" s="25">
        <v>1001</v>
      </c>
      <c r="D1826" s="62" t="s">
        <v>4177</v>
      </c>
      <c r="E1826" s="27" t="s">
        <v>4174</v>
      </c>
      <c r="F1826">
        <v>469009</v>
      </c>
      <c r="G1826" t="s">
        <v>4137</v>
      </c>
    </row>
    <row r="1827" spans="1:7">
      <c r="A1827">
        <v>1001</v>
      </c>
      <c r="B1827">
        <v>4</v>
      </c>
      <c r="C1827" s="25">
        <v>1001</v>
      </c>
      <c r="D1827" s="62" t="s">
        <v>4178</v>
      </c>
      <c r="E1827" s="27" t="s">
        <v>4175</v>
      </c>
      <c r="F1827">
        <v>469010</v>
      </c>
      <c r="G1827" t="s">
        <v>4139</v>
      </c>
    </row>
    <row r="1828" spans="1:7">
      <c r="A1828">
        <v>1001</v>
      </c>
      <c r="B1828">
        <v>4</v>
      </c>
      <c r="C1828" s="25">
        <v>1001</v>
      </c>
      <c r="D1828" s="62" t="s">
        <v>4179</v>
      </c>
      <c r="E1828" s="27" t="s">
        <v>4176</v>
      </c>
      <c r="F1828">
        <v>469011</v>
      </c>
      <c r="G1828" t="s">
        <v>4141</v>
      </c>
    </row>
    <row r="1829" spans="1:7">
      <c r="A1829">
        <v>1001</v>
      </c>
      <c r="B1829">
        <v>4</v>
      </c>
      <c r="C1829" s="25">
        <v>1001</v>
      </c>
      <c r="D1829" s="6" t="s">
        <v>4180</v>
      </c>
      <c r="E1829" s="27" t="s">
        <v>4177</v>
      </c>
      <c r="F1829">
        <v>469012</v>
      </c>
      <c r="G1829" t="s">
        <v>4181</v>
      </c>
    </row>
    <row r="1830" spans="1:7">
      <c r="A1830">
        <v>1001</v>
      </c>
      <c r="B1830">
        <v>4</v>
      </c>
      <c r="C1830" s="25">
        <v>1001</v>
      </c>
      <c r="D1830" s="6" t="s">
        <v>4182</v>
      </c>
      <c r="E1830" s="27" t="s">
        <v>4178</v>
      </c>
      <c r="F1830">
        <v>469013</v>
      </c>
      <c r="G1830" t="s">
        <v>4183</v>
      </c>
    </row>
    <row r="1831" spans="1:7">
      <c r="A1831">
        <v>1001</v>
      </c>
      <c r="B1831">
        <v>4</v>
      </c>
      <c r="C1831" s="25">
        <v>1001</v>
      </c>
      <c r="D1831" s="6" t="s">
        <v>4184</v>
      </c>
      <c r="E1831" s="27" t="s">
        <v>4179</v>
      </c>
      <c r="F1831">
        <v>469014</v>
      </c>
      <c r="G1831" t="s">
        <v>4185</v>
      </c>
    </row>
    <row r="1832" spans="1:7">
      <c r="A1832">
        <v>1001</v>
      </c>
      <c r="B1832">
        <v>4</v>
      </c>
      <c r="C1832" s="25">
        <v>1001</v>
      </c>
      <c r="D1832" s="6" t="s">
        <v>4186</v>
      </c>
      <c r="E1832" s="27" t="s">
        <v>4180</v>
      </c>
      <c r="F1832">
        <v>470001</v>
      </c>
      <c r="G1832" t="s">
        <v>4187</v>
      </c>
    </row>
    <row r="1833" spans="1:7">
      <c r="A1833">
        <v>1001</v>
      </c>
      <c r="B1833">
        <v>4</v>
      </c>
      <c r="C1833" s="25">
        <v>1001</v>
      </c>
      <c r="D1833" s="6" t="s">
        <v>4188</v>
      </c>
      <c r="E1833" s="27" t="s">
        <v>4182</v>
      </c>
      <c r="F1833">
        <v>470002</v>
      </c>
      <c r="G1833" t="s">
        <v>4189</v>
      </c>
    </row>
    <row r="1834" spans="1:7">
      <c r="A1834">
        <v>1001</v>
      </c>
      <c r="B1834">
        <v>4</v>
      </c>
      <c r="C1834" s="25">
        <v>1001</v>
      </c>
      <c r="D1834" s="6" t="s">
        <v>4190</v>
      </c>
      <c r="E1834" s="27" t="s">
        <v>4184</v>
      </c>
      <c r="F1834">
        <v>470003</v>
      </c>
      <c r="G1834" t="s">
        <v>4125</v>
      </c>
    </row>
    <row r="1835" spans="1:7">
      <c r="A1835">
        <v>1001</v>
      </c>
      <c r="B1835">
        <v>4</v>
      </c>
      <c r="C1835" s="25">
        <v>1001</v>
      </c>
      <c r="D1835" s="6" t="s">
        <v>4191</v>
      </c>
      <c r="E1835" s="27" t="s">
        <v>4186</v>
      </c>
      <c r="F1835">
        <v>470004</v>
      </c>
      <c r="G1835" t="s">
        <v>4127</v>
      </c>
    </row>
    <row r="1836" spans="1:7">
      <c r="A1836">
        <v>1001</v>
      </c>
      <c r="B1836">
        <v>4</v>
      </c>
      <c r="C1836" s="25">
        <v>1001</v>
      </c>
      <c r="D1836" s="6" t="s">
        <v>4192</v>
      </c>
      <c r="E1836" s="27" t="s">
        <v>4188</v>
      </c>
      <c r="F1836">
        <v>470005</v>
      </c>
      <c r="G1836" t="s">
        <v>4129</v>
      </c>
    </row>
    <row r="1837" spans="1:7">
      <c r="A1837">
        <v>1001</v>
      </c>
      <c r="B1837">
        <v>4</v>
      </c>
      <c r="C1837" s="25">
        <v>1001</v>
      </c>
      <c r="D1837" s="6" t="s">
        <v>4193</v>
      </c>
      <c r="E1837" s="27" t="s">
        <v>4190</v>
      </c>
      <c r="F1837">
        <v>470006</v>
      </c>
      <c r="G1837" t="s">
        <v>4131</v>
      </c>
    </row>
    <row r="1838" spans="1:7">
      <c r="A1838">
        <v>1001</v>
      </c>
      <c r="B1838">
        <v>4</v>
      </c>
      <c r="C1838" s="25">
        <v>1001</v>
      </c>
      <c r="D1838" s="6" t="s">
        <v>4194</v>
      </c>
      <c r="E1838" s="27" t="s">
        <v>4191</v>
      </c>
      <c r="F1838">
        <v>470007</v>
      </c>
      <c r="G1838" t="s">
        <v>4133</v>
      </c>
    </row>
    <row r="1839" spans="1:7">
      <c r="A1839">
        <v>1001</v>
      </c>
      <c r="B1839">
        <v>4</v>
      </c>
      <c r="C1839" s="25">
        <v>1001</v>
      </c>
      <c r="D1839" s="6" t="s">
        <v>4195</v>
      </c>
      <c r="E1839" s="27" t="s">
        <v>4192</v>
      </c>
      <c r="F1839">
        <v>470008</v>
      </c>
      <c r="G1839" t="s">
        <v>4135</v>
      </c>
    </row>
    <row r="1840" spans="1:7">
      <c r="A1840">
        <v>1001</v>
      </c>
      <c r="B1840">
        <v>4</v>
      </c>
      <c r="C1840" s="25">
        <v>1001</v>
      </c>
      <c r="D1840" s="6" t="s">
        <v>4196</v>
      </c>
      <c r="E1840" s="27" t="s">
        <v>4193</v>
      </c>
      <c r="F1840">
        <v>470009</v>
      </c>
      <c r="G1840" t="s">
        <v>4137</v>
      </c>
    </row>
    <row r="1841" spans="1:7">
      <c r="A1841">
        <v>1001</v>
      </c>
      <c r="B1841">
        <v>4</v>
      </c>
      <c r="C1841" s="25">
        <v>1001</v>
      </c>
      <c r="D1841" s="6" t="s">
        <v>4197</v>
      </c>
      <c r="E1841" s="27" t="s">
        <v>4194</v>
      </c>
      <c r="F1841">
        <v>470010</v>
      </c>
      <c r="G1841" t="s">
        <v>4139</v>
      </c>
    </row>
    <row r="1842" spans="1:7">
      <c r="A1842">
        <v>1001</v>
      </c>
      <c r="B1842">
        <v>4</v>
      </c>
      <c r="C1842" s="25">
        <v>1001</v>
      </c>
      <c r="D1842" s="6" t="s">
        <v>4198</v>
      </c>
      <c r="E1842" s="27" t="s">
        <v>4195</v>
      </c>
      <c r="F1842">
        <v>470011</v>
      </c>
      <c r="G1842" t="s">
        <v>4141</v>
      </c>
    </row>
    <row r="1843" spans="1:7">
      <c r="A1843">
        <v>1001</v>
      </c>
      <c r="B1843">
        <v>2</v>
      </c>
      <c r="C1843" s="25">
        <v>1001</v>
      </c>
      <c r="D1843" s="6" t="s">
        <v>4199</v>
      </c>
      <c r="E1843" s="27" t="s">
        <v>4196</v>
      </c>
      <c r="F1843">
        <v>470012</v>
      </c>
      <c r="G1843" t="s">
        <v>4200</v>
      </c>
    </row>
    <row r="1844" spans="1:7">
      <c r="A1844">
        <v>1001</v>
      </c>
      <c r="B1844">
        <v>2</v>
      </c>
      <c r="C1844" s="25">
        <v>1001</v>
      </c>
      <c r="D1844" s="6" t="s">
        <v>4201</v>
      </c>
      <c r="E1844" s="27" t="s">
        <v>4197</v>
      </c>
      <c r="F1844">
        <v>470013</v>
      </c>
      <c r="G1844" t="s">
        <v>4202</v>
      </c>
    </row>
    <row r="1845" spans="1:7">
      <c r="A1845">
        <v>1001</v>
      </c>
      <c r="B1845">
        <v>2</v>
      </c>
      <c r="C1845" s="25">
        <v>1001</v>
      </c>
      <c r="D1845" s="6" t="s">
        <v>4203</v>
      </c>
      <c r="E1845" s="27" t="s">
        <v>4198</v>
      </c>
      <c r="F1845">
        <v>470014</v>
      </c>
      <c r="G1845" t="s">
        <v>4204</v>
      </c>
    </row>
    <row r="1846" spans="1:7">
      <c r="A1846">
        <v>1001</v>
      </c>
      <c r="B1846">
        <v>6</v>
      </c>
      <c r="C1846" s="25">
        <v>1001</v>
      </c>
      <c r="D1846" t="s">
        <v>4205</v>
      </c>
      <c r="E1846" s="27" t="s">
        <v>4199</v>
      </c>
      <c r="F1846">
        <v>470015</v>
      </c>
      <c r="G1846" t="s">
        <v>4206</v>
      </c>
    </row>
    <row r="1847" spans="1:7">
      <c r="A1847">
        <v>1001</v>
      </c>
      <c r="B1847">
        <v>2</v>
      </c>
      <c r="C1847">
        <v>1004</v>
      </c>
      <c r="D1847" t="s">
        <v>4207</v>
      </c>
      <c r="E1847" s="27" t="s">
        <v>4201</v>
      </c>
      <c r="F1847">
        <v>470016</v>
      </c>
      <c r="G1847" t="s">
        <v>4208</v>
      </c>
    </row>
    <row r="1848" spans="1:7">
      <c r="A1848">
        <v>1001</v>
      </c>
      <c r="B1848">
        <v>2</v>
      </c>
      <c r="C1848">
        <v>1004</v>
      </c>
      <c r="D1848" t="s">
        <v>4209</v>
      </c>
      <c r="E1848" s="27" t="s">
        <v>4203</v>
      </c>
      <c r="F1848">
        <v>470017</v>
      </c>
      <c r="G1848" t="s">
        <v>4208</v>
      </c>
    </row>
    <row r="1849" spans="1:7">
      <c r="A1849">
        <v>1001</v>
      </c>
      <c r="B1849">
        <v>2</v>
      </c>
      <c r="C1849">
        <v>1004</v>
      </c>
      <c r="D1849" t="s">
        <v>4210</v>
      </c>
      <c r="E1849" s="27" t="s">
        <v>4205</v>
      </c>
      <c r="F1849">
        <v>452202</v>
      </c>
      <c r="G1849" t="s">
        <v>4208</v>
      </c>
    </row>
    <row r="1850" spans="1:7">
      <c r="A1850">
        <v>1001</v>
      </c>
      <c r="B1850">
        <v>2</v>
      </c>
      <c r="C1850">
        <v>1004</v>
      </c>
      <c r="D1850" t="s">
        <v>4211</v>
      </c>
      <c r="E1850" s="27" t="s">
        <v>4207</v>
      </c>
      <c r="F1850">
        <v>400001</v>
      </c>
      <c r="G1850" t="s">
        <v>4208</v>
      </c>
    </row>
    <row r="1851" spans="1:7">
      <c r="A1851">
        <v>1001</v>
      </c>
      <c r="B1851">
        <v>2</v>
      </c>
      <c r="C1851">
        <v>1004</v>
      </c>
      <c r="D1851" t="s">
        <v>4212</v>
      </c>
      <c r="E1851" s="27" t="s">
        <v>4209</v>
      </c>
      <c r="F1851">
        <v>400002</v>
      </c>
      <c r="G1851" t="s">
        <v>4208</v>
      </c>
    </row>
    <row r="1852" spans="1:7">
      <c r="A1852">
        <v>1001</v>
      </c>
      <c r="B1852">
        <v>2</v>
      </c>
      <c r="C1852">
        <v>1004</v>
      </c>
      <c r="D1852" t="s">
        <v>4213</v>
      </c>
      <c r="E1852" s="27" t="s">
        <v>4210</v>
      </c>
      <c r="F1852">
        <v>400003</v>
      </c>
      <c r="G1852" t="s">
        <v>4208</v>
      </c>
    </row>
    <row r="1853" spans="1:7">
      <c r="A1853">
        <v>1001</v>
      </c>
      <c r="B1853">
        <v>1</v>
      </c>
      <c r="C1853">
        <v>1001</v>
      </c>
      <c r="D1853" t="s">
        <v>4214</v>
      </c>
      <c r="E1853" s="27" t="s">
        <v>4211</v>
      </c>
      <c r="F1853">
        <v>400004</v>
      </c>
      <c r="G1853" t="s">
        <v>4215</v>
      </c>
    </row>
    <row r="1854" spans="1:7">
      <c r="A1854">
        <v>1001</v>
      </c>
      <c r="B1854">
        <v>2</v>
      </c>
      <c r="C1854">
        <v>1004</v>
      </c>
      <c r="D1854" t="s">
        <v>4216</v>
      </c>
      <c r="E1854" s="27" t="s">
        <v>4212</v>
      </c>
      <c r="F1854">
        <v>400005</v>
      </c>
      <c r="G1854" t="s">
        <v>4217</v>
      </c>
    </row>
    <row r="1855" spans="1:7">
      <c r="A1855">
        <v>1001</v>
      </c>
      <c r="B1855">
        <v>2</v>
      </c>
      <c r="C1855">
        <v>1004</v>
      </c>
      <c r="D1855" t="s">
        <v>4218</v>
      </c>
      <c r="E1855" s="27" t="s">
        <v>4213</v>
      </c>
      <c r="F1855">
        <v>400006</v>
      </c>
      <c r="G1855" t="s">
        <v>4219</v>
      </c>
    </row>
    <row r="1856" spans="1:7">
      <c r="A1856">
        <v>1001</v>
      </c>
      <c r="B1856">
        <v>2</v>
      </c>
      <c r="C1856">
        <v>1004</v>
      </c>
      <c r="D1856" t="s">
        <v>4220</v>
      </c>
      <c r="E1856" s="27" t="s">
        <v>4214</v>
      </c>
      <c r="F1856">
        <v>491111</v>
      </c>
      <c r="G1856" t="s">
        <v>4219</v>
      </c>
    </row>
    <row r="1857" spans="1:7">
      <c r="A1857">
        <v>1001</v>
      </c>
      <c r="B1857">
        <v>2</v>
      </c>
      <c r="C1857">
        <v>1004</v>
      </c>
      <c r="D1857" t="s">
        <v>4221</v>
      </c>
      <c r="E1857" s="27" t="s">
        <v>4222</v>
      </c>
      <c r="F1857" s="2">
        <v>511000</v>
      </c>
      <c r="G1857" t="s">
        <v>4219</v>
      </c>
    </row>
    <row r="1858" spans="1:7">
      <c r="A1858">
        <v>1001</v>
      </c>
      <c r="B1858">
        <v>2</v>
      </c>
      <c r="C1858">
        <v>1004</v>
      </c>
      <c r="D1858" t="s">
        <v>4223</v>
      </c>
      <c r="E1858" s="27" t="s">
        <v>4218</v>
      </c>
      <c r="F1858" s="2">
        <v>511001</v>
      </c>
      <c r="G1858" t="s">
        <v>4219</v>
      </c>
    </row>
    <row r="1859" spans="1:7">
      <c r="A1859">
        <v>1001</v>
      </c>
      <c r="B1859">
        <v>2</v>
      </c>
      <c r="C1859">
        <v>1004</v>
      </c>
      <c r="D1859" t="s">
        <v>4224</v>
      </c>
      <c r="E1859" s="27" t="s">
        <v>4220</v>
      </c>
      <c r="F1859">
        <v>511002</v>
      </c>
      <c r="G1859" t="s">
        <v>4219</v>
      </c>
    </row>
    <row r="1860" spans="1:7">
      <c r="A1860">
        <v>1001</v>
      </c>
      <c r="B1860">
        <v>2</v>
      </c>
      <c r="C1860">
        <v>1004</v>
      </c>
      <c r="D1860" t="s">
        <v>4225</v>
      </c>
      <c r="E1860" s="27" t="s">
        <v>4221</v>
      </c>
      <c r="F1860" s="2">
        <v>511003</v>
      </c>
      <c r="G1860" t="s">
        <v>4219</v>
      </c>
    </row>
    <row r="1861" spans="1:7">
      <c r="A1861">
        <v>1001</v>
      </c>
      <c r="B1861">
        <v>2</v>
      </c>
      <c r="C1861">
        <v>1004</v>
      </c>
      <c r="D1861" t="s">
        <v>4226</v>
      </c>
      <c r="E1861" s="27" t="s">
        <v>4223</v>
      </c>
      <c r="F1861" s="4">
        <v>511004</v>
      </c>
      <c r="G1861" t="s">
        <v>4219</v>
      </c>
    </row>
    <row r="1862" spans="1:7">
      <c r="A1862">
        <v>1001</v>
      </c>
      <c r="B1862">
        <v>2</v>
      </c>
      <c r="C1862">
        <v>1004</v>
      </c>
      <c r="D1862" t="s">
        <v>4227</v>
      </c>
      <c r="E1862" s="27" t="s">
        <v>4224</v>
      </c>
      <c r="F1862" s="2">
        <v>511005</v>
      </c>
      <c r="G1862" t="s">
        <v>4219</v>
      </c>
    </row>
    <row r="1863" spans="1:7">
      <c r="A1863">
        <v>1001</v>
      </c>
      <c r="B1863">
        <v>2</v>
      </c>
      <c r="C1863">
        <v>1004</v>
      </c>
      <c r="D1863" t="s">
        <v>4228</v>
      </c>
      <c r="E1863" s="27" t="s">
        <v>4225</v>
      </c>
      <c r="F1863" s="2">
        <v>511006</v>
      </c>
      <c r="G1863" t="s">
        <v>4219</v>
      </c>
    </row>
    <row r="1864" spans="1:7">
      <c r="A1864">
        <v>1001</v>
      </c>
      <c r="B1864">
        <v>2</v>
      </c>
      <c r="C1864">
        <v>1004</v>
      </c>
      <c r="D1864" t="s">
        <v>4229</v>
      </c>
      <c r="E1864" s="27" t="s">
        <v>4226</v>
      </c>
      <c r="F1864" s="62">
        <v>511007</v>
      </c>
      <c r="G1864" t="s">
        <v>4219</v>
      </c>
    </row>
    <row r="1865" spans="1:7">
      <c r="A1865">
        <v>1001</v>
      </c>
      <c r="B1865">
        <v>2</v>
      </c>
      <c r="C1865">
        <v>1004</v>
      </c>
      <c r="D1865" t="s">
        <v>4230</v>
      </c>
      <c r="E1865" s="27" t="s">
        <v>4227</v>
      </c>
      <c r="F1865" s="62">
        <v>511008</v>
      </c>
      <c r="G1865" t="s">
        <v>4231</v>
      </c>
    </row>
    <row r="1866" spans="1:7">
      <c r="A1866">
        <v>1001</v>
      </c>
      <c r="B1866">
        <v>2</v>
      </c>
      <c r="C1866">
        <v>1004</v>
      </c>
      <c r="D1866" t="s">
        <v>4232</v>
      </c>
      <c r="E1866" s="27" t="s">
        <v>4228</v>
      </c>
      <c r="F1866" s="2">
        <v>511009</v>
      </c>
      <c r="G1866" t="s">
        <v>4219</v>
      </c>
    </row>
    <row r="1867" spans="1:7">
      <c r="A1867">
        <v>1001</v>
      </c>
      <c r="B1867">
        <v>2</v>
      </c>
      <c r="C1867">
        <v>1004</v>
      </c>
      <c r="D1867" t="s">
        <v>4233</v>
      </c>
      <c r="E1867" s="27" t="s">
        <v>4229</v>
      </c>
      <c r="F1867" s="62">
        <v>511010</v>
      </c>
      <c r="G1867" t="s">
        <v>4219</v>
      </c>
    </row>
    <row r="1868" spans="1:7">
      <c r="A1868">
        <v>1001</v>
      </c>
      <c r="B1868">
        <v>2</v>
      </c>
      <c r="C1868">
        <v>1004</v>
      </c>
      <c r="D1868" t="s">
        <v>4234</v>
      </c>
      <c r="E1868" s="27" t="s">
        <v>4230</v>
      </c>
      <c r="F1868" s="4">
        <v>511011</v>
      </c>
      <c r="G1868" t="s">
        <v>4231</v>
      </c>
    </row>
    <row r="1869" spans="1:7">
      <c r="A1869">
        <v>1001</v>
      </c>
      <c r="B1869">
        <v>2</v>
      </c>
      <c r="C1869">
        <v>1004</v>
      </c>
      <c r="D1869" t="s">
        <v>4235</v>
      </c>
      <c r="E1869" s="27" t="s">
        <v>4232</v>
      </c>
      <c r="F1869" s="2">
        <v>511012</v>
      </c>
      <c r="G1869" t="s">
        <v>4219</v>
      </c>
    </row>
    <row r="1870" spans="1:7">
      <c r="A1870">
        <v>1001</v>
      </c>
      <c r="B1870">
        <v>2</v>
      </c>
      <c r="C1870">
        <v>1004</v>
      </c>
      <c r="D1870" t="s">
        <v>4236</v>
      </c>
      <c r="E1870" s="27" t="s">
        <v>4233</v>
      </c>
      <c r="F1870" s="62">
        <v>511013</v>
      </c>
      <c r="G1870" t="s">
        <v>4219</v>
      </c>
    </row>
    <row r="1871" spans="1:7">
      <c r="A1871">
        <v>1001</v>
      </c>
      <c r="B1871">
        <v>2</v>
      </c>
      <c r="C1871">
        <v>1004</v>
      </c>
      <c r="D1871" t="s">
        <v>4237</v>
      </c>
      <c r="E1871" s="27" t="s">
        <v>4234</v>
      </c>
      <c r="F1871" s="62">
        <v>511014</v>
      </c>
      <c r="G1871" t="s">
        <v>4231</v>
      </c>
    </row>
    <row r="1872" spans="1:7">
      <c r="A1872">
        <v>1001</v>
      </c>
      <c r="B1872">
        <v>2</v>
      </c>
      <c r="C1872">
        <v>1004</v>
      </c>
      <c r="D1872" t="s">
        <v>4238</v>
      </c>
      <c r="E1872" s="27" t="s">
        <v>4235</v>
      </c>
      <c r="F1872" s="2">
        <v>511015</v>
      </c>
      <c r="G1872" t="s">
        <v>4219</v>
      </c>
    </row>
    <row r="1873" spans="1:7">
      <c r="A1873">
        <v>1001</v>
      </c>
      <c r="B1873">
        <v>2</v>
      </c>
      <c r="C1873">
        <v>1004</v>
      </c>
      <c r="D1873" t="s">
        <v>4239</v>
      </c>
      <c r="E1873" s="27" t="s">
        <v>4236</v>
      </c>
      <c r="F1873" s="4">
        <v>511016</v>
      </c>
      <c r="G1873" t="s">
        <v>4219</v>
      </c>
    </row>
    <row r="1874" spans="1:7">
      <c r="A1874">
        <v>1001</v>
      </c>
      <c r="B1874">
        <v>2</v>
      </c>
      <c r="C1874">
        <v>1004</v>
      </c>
      <c r="D1874" t="s">
        <v>4240</v>
      </c>
      <c r="E1874" s="27" t="s">
        <v>4237</v>
      </c>
      <c r="F1874" s="62">
        <v>511017</v>
      </c>
      <c r="G1874" t="s">
        <v>4219</v>
      </c>
    </row>
    <row r="1875" spans="1:7">
      <c r="A1875">
        <v>1001</v>
      </c>
      <c r="B1875">
        <v>2</v>
      </c>
      <c r="C1875">
        <v>1004</v>
      </c>
      <c r="D1875" t="s">
        <v>4241</v>
      </c>
      <c r="E1875" s="27" t="s">
        <v>4238</v>
      </c>
      <c r="F1875" s="2">
        <v>511018</v>
      </c>
      <c r="G1875" t="s">
        <v>4219</v>
      </c>
    </row>
    <row r="1876" spans="1:7">
      <c r="A1876">
        <v>1001</v>
      </c>
      <c r="B1876">
        <v>2</v>
      </c>
      <c r="C1876">
        <v>1004</v>
      </c>
      <c r="D1876" t="s">
        <v>4242</v>
      </c>
      <c r="E1876" s="27" t="s">
        <v>4239</v>
      </c>
      <c r="F1876" s="2">
        <v>511019</v>
      </c>
      <c r="G1876" t="s">
        <v>4219</v>
      </c>
    </row>
    <row r="1877" spans="1:7">
      <c r="A1877">
        <v>1001</v>
      </c>
      <c r="B1877">
        <v>2</v>
      </c>
      <c r="C1877">
        <v>1004</v>
      </c>
      <c r="D1877" t="s">
        <v>4243</v>
      </c>
      <c r="E1877" s="27" t="s">
        <v>4240</v>
      </c>
      <c r="F1877" s="2">
        <v>511020</v>
      </c>
      <c r="G1877" t="s">
        <v>4231</v>
      </c>
    </row>
    <row r="1878" spans="1:7">
      <c r="A1878">
        <v>1001</v>
      </c>
      <c r="B1878">
        <v>2</v>
      </c>
      <c r="C1878">
        <v>1004</v>
      </c>
      <c r="D1878" t="s">
        <v>4244</v>
      </c>
      <c r="E1878" s="27" t="s">
        <v>4241</v>
      </c>
      <c r="F1878" s="2">
        <v>511021</v>
      </c>
      <c r="G1878" t="s">
        <v>4231</v>
      </c>
    </row>
    <row r="1879" spans="1:7">
      <c r="A1879">
        <v>1001</v>
      </c>
      <c r="B1879">
        <v>2</v>
      </c>
      <c r="C1879">
        <v>1004</v>
      </c>
      <c r="D1879" t="s">
        <v>4245</v>
      </c>
      <c r="E1879" s="27" t="s">
        <v>4242</v>
      </c>
      <c r="F1879" s="62">
        <v>511022</v>
      </c>
      <c r="G1879" t="s">
        <v>4231</v>
      </c>
    </row>
    <row r="1880" spans="1:7">
      <c r="A1880">
        <v>1001</v>
      </c>
      <c r="B1880">
        <v>2</v>
      </c>
      <c r="C1880">
        <v>1004</v>
      </c>
      <c r="D1880" t="s">
        <v>4246</v>
      </c>
      <c r="E1880" s="27" t="s">
        <v>4243</v>
      </c>
      <c r="F1880" s="62">
        <v>511023</v>
      </c>
      <c r="G1880" t="s">
        <v>4217</v>
      </c>
    </row>
    <row r="1881" spans="1:7">
      <c r="A1881">
        <v>1001</v>
      </c>
      <c r="B1881">
        <v>2</v>
      </c>
      <c r="C1881">
        <v>1004</v>
      </c>
      <c r="D1881" t="s">
        <v>4247</v>
      </c>
      <c r="E1881" s="27" t="s">
        <v>4244</v>
      </c>
      <c r="F1881" s="62">
        <v>511024</v>
      </c>
      <c r="G1881" t="s">
        <v>4248</v>
      </c>
    </row>
    <row r="1882" spans="1:7">
      <c r="A1882">
        <v>1001</v>
      </c>
      <c r="B1882">
        <v>2</v>
      </c>
      <c r="C1882">
        <v>1004</v>
      </c>
      <c r="D1882" t="s">
        <v>4249</v>
      </c>
      <c r="E1882" s="27" t="s">
        <v>4245</v>
      </c>
      <c r="F1882">
        <v>511025</v>
      </c>
      <c r="G1882" t="s">
        <v>4248</v>
      </c>
    </row>
    <row r="1883" spans="1:7">
      <c r="A1883">
        <v>1001</v>
      </c>
      <c r="B1883">
        <v>2</v>
      </c>
      <c r="C1883">
        <v>1004</v>
      </c>
      <c r="D1883" t="s">
        <v>4250</v>
      </c>
      <c r="E1883" s="27" t="s">
        <v>4251</v>
      </c>
      <c r="F1883">
        <v>512000</v>
      </c>
      <c r="G1883" t="s">
        <v>4248</v>
      </c>
    </row>
    <row r="1884" spans="1:7">
      <c r="A1884">
        <v>1001</v>
      </c>
      <c r="B1884">
        <v>2</v>
      </c>
      <c r="C1884">
        <v>1004</v>
      </c>
      <c r="D1884" t="s">
        <v>4252</v>
      </c>
      <c r="E1884" s="27" t="s">
        <v>4247</v>
      </c>
      <c r="F1884">
        <v>512001</v>
      </c>
      <c r="G1884" t="s">
        <v>4248</v>
      </c>
    </row>
    <row r="1885" spans="1:7">
      <c r="A1885">
        <v>1001</v>
      </c>
      <c r="B1885">
        <v>2</v>
      </c>
      <c r="C1885">
        <v>1004</v>
      </c>
      <c r="D1885" t="s">
        <v>4253</v>
      </c>
      <c r="E1885" s="27" t="s">
        <v>4249</v>
      </c>
      <c r="F1885">
        <v>512002</v>
      </c>
      <c r="G1885" t="s">
        <v>4248</v>
      </c>
    </row>
    <row r="1886" spans="1:7">
      <c r="A1886">
        <v>1001</v>
      </c>
      <c r="B1886">
        <v>2</v>
      </c>
      <c r="C1886">
        <v>1004</v>
      </c>
      <c r="D1886" t="s">
        <v>4254</v>
      </c>
      <c r="E1886" s="27" t="s">
        <v>4250</v>
      </c>
      <c r="F1886">
        <v>512003</v>
      </c>
      <c r="G1886" t="s">
        <v>4248</v>
      </c>
    </row>
    <row r="1887" spans="1:7">
      <c r="A1887">
        <v>1001</v>
      </c>
      <c r="B1887">
        <v>2</v>
      </c>
      <c r="C1887">
        <v>1004</v>
      </c>
      <c r="D1887" t="s">
        <v>4255</v>
      </c>
      <c r="E1887" s="27" t="s">
        <v>4256</v>
      </c>
      <c r="F1887">
        <v>512004</v>
      </c>
      <c r="G1887" t="s">
        <v>4248</v>
      </c>
    </row>
    <row r="1888" spans="1:7">
      <c r="A1888">
        <v>1001</v>
      </c>
      <c r="B1888">
        <v>2</v>
      </c>
      <c r="C1888">
        <v>1004</v>
      </c>
      <c r="D1888" t="s">
        <v>4257</v>
      </c>
      <c r="E1888" s="27" t="s">
        <v>4253</v>
      </c>
      <c r="F1888">
        <v>512005</v>
      </c>
      <c r="G1888" t="s">
        <v>4248</v>
      </c>
    </row>
    <row r="1889" spans="1:7">
      <c r="A1889">
        <v>1001</v>
      </c>
      <c r="B1889">
        <v>2</v>
      </c>
      <c r="C1889">
        <v>1004</v>
      </c>
      <c r="D1889" t="s">
        <v>4258</v>
      </c>
      <c r="E1889" s="27" t="s">
        <v>4254</v>
      </c>
      <c r="F1889">
        <v>512006</v>
      </c>
      <c r="G1889" t="s">
        <v>4248</v>
      </c>
    </row>
    <row r="1890" spans="1:7">
      <c r="A1890">
        <v>1001</v>
      </c>
      <c r="B1890">
        <v>2</v>
      </c>
      <c r="C1890">
        <v>1004</v>
      </c>
      <c r="D1890" t="s">
        <v>4259</v>
      </c>
      <c r="E1890" s="27" t="s">
        <v>4255</v>
      </c>
      <c r="F1890">
        <v>512007</v>
      </c>
      <c r="G1890" t="s">
        <v>4248</v>
      </c>
    </row>
    <row r="1891" spans="1:7">
      <c r="A1891">
        <v>1001</v>
      </c>
      <c r="B1891">
        <v>2</v>
      </c>
      <c r="C1891">
        <v>1004</v>
      </c>
      <c r="D1891" t="s">
        <v>4260</v>
      </c>
      <c r="E1891" s="27" t="s">
        <v>4257</v>
      </c>
      <c r="F1891">
        <v>512008</v>
      </c>
      <c r="G1891" t="s">
        <v>4261</v>
      </c>
    </row>
    <row r="1892" spans="1:7">
      <c r="A1892">
        <v>1001</v>
      </c>
      <c r="B1892">
        <v>2</v>
      </c>
      <c r="C1892">
        <v>1004</v>
      </c>
      <c r="D1892" t="s">
        <v>4262</v>
      </c>
      <c r="E1892" s="27" t="s">
        <v>4258</v>
      </c>
      <c r="F1892">
        <v>512009</v>
      </c>
      <c r="G1892" t="s">
        <v>4248</v>
      </c>
    </row>
    <row r="1893" spans="1:7">
      <c r="A1893">
        <v>1001</v>
      </c>
      <c r="B1893">
        <v>2</v>
      </c>
      <c r="C1893">
        <v>1004</v>
      </c>
      <c r="D1893" t="s">
        <v>4263</v>
      </c>
      <c r="E1893" s="27" t="s">
        <v>4259</v>
      </c>
      <c r="F1893">
        <v>512010</v>
      </c>
      <c r="G1893" t="s">
        <v>4248</v>
      </c>
    </row>
    <row r="1894" spans="1:7">
      <c r="A1894">
        <v>1001</v>
      </c>
      <c r="B1894">
        <v>2</v>
      </c>
      <c r="C1894">
        <v>1004</v>
      </c>
      <c r="D1894" t="s">
        <v>4264</v>
      </c>
      <c r="E1894" s="27" t="s">
        <v>4260</v>
      </c>
      <c r="F1894">
        <v>512011</v>
      </c>
      <c r="G1894" t="s">
        <v>4261</v>
      </c>
    </row>
    <row r="1895" spans="1:7">
      <c r="A1895">
        <v>1001</v>
      </c>
      <c r="B1895">
        <v>2</v>
      </c>
      <c r="C1895">
        <v>1004</v>
      </c>
      <c r="D1895" t="s">
        <v>4265</v>
      </c>
      <c r="E1895" s="27" t="s">
        <v>4262</v>
      </c>
      <c r="F1895">
        <v>512012</v>
      </c>
      <c r="G1895" t="s">
        <v>4248</v>
      </c>
    </row>
    <row r="1896" spans="1:7">
      <c r="A1896">
        <v>1001</v>
      </c>
      <c r="B1896">
        <v>2</v>
      </c>
      <c r="C1896">
        <v>1004</v>
      </c>
      <c r="D1896" t="s">
        <v>4266</v>
      </c>
      <c r="E1896" s="27" t="s">
        <v>4263</v>
      </c>
      <c r="F1896">
        <v>512013</v>
      </c>
      <c r="G1896" t="s">
        <v>4248</v>
      </c>
    </row>
    <row r="1897" spans="1:7">
      <c r="A1897">
        <v>1001</v>
      </c>
      <c r="B1897">
        <v>2</v>
      </c>
      <c r="C1897">
        <v>1004</v>
      </c>
      <c r="D1897" t="s">
        <v>4267</v>
      </c>
      <c r="E1897" s="27" t="s">
        <v>4264</v>
      </c>
      <c r="F1897">
        <v>512014</v>
      </c>
      <c r="G1897" t="s">
        <v>4261</v>
      </c>
    </row>
    <row r="1898" spans="1:7">
      <c r="A1898">
        <v>1001</v>
      </c>
      <c r="B1898">
        <v>2</v>
      </c>
      <c r="C1898">
        <v>1004</v>
      </c>
      <c r="D1898" t="s">
        <v>4268</v>
      </c>
      <c r="E1898" s="27" t="s">
        <v>4265</v>
      </c>
      <c r="F1898">
        <v>512015</v>
      </c>
      <c r="G1898" t="s">
        <v>4248</v>
      </c>
    </row>
    <row r="1899" spans="1:7">
      <c r="A1899">
        <v>1001</v>
      </c>
      <c r="B1899">
        <v>2</v>
      </c>
      <c r="C1899">
        <v>1004</v>
      </c>
      <c r="D1899" t="s">
        <v>4269</v>
      </c>
      <c r="E1899" s="27" t="s">
        <v>4266</v>
      </c>
      <c r="F1899">
        <v>512016</v>
      </c>
      <c r="G1899" t="s">
        <v>4248</v>
      </c>
    </row>
    <row r="1900" spans="1:7">
      <c r="A1900">
        <v>1001</v>
      </c>
      <c r="B1900">
        <v>2</v>
      </c>
      <c r="C1900">
        <v>1004</v>
      </c>
      <c r="D1900" t="s">
        <v>4252</v>
      </c>
      <c r="E1900" s="27" t="s">
        <v>4267</v>
      </c>
      <c r="F1900">
        <v>512017</v>
      </c>
      <c r="G1900" t="s">
        <v>4248</v>
      </c>
    </row>
    <row r="1901" spans="1:7">
      <c r="A1901">
        <v>1001</v>
      </c>
      <c r="B1901">
        <v>2</v>
      </c>
      <c r="C1901">
        <v>1004</v>
      </c>
      <c r="D1901" t="s">
        <v>4270</v>
      </c>
      <c r="E1901" s="27" t="s">
        <v>4268</v>
      </c>
      <c r="F1901">
        <v>512018</v>
      </c>
      <c r="G1901" t="s">
        <v>4248</v>
      </c>
    </row>
    <row r="1902" spans="1:7">
      <c r="A1902">
        <v>1001</v>
      </c>
      <c r="B1902">
        <v>2</v>
      </c>
      <c r="C1902">
        <v>1004</v>
      </c>
      <c r="D1902" t="s">
        <v>4271</v>
      </c>
      <c r="E1902" s="27" t="s">
        <v>4269</v>
      </c>
      <c r="F1902">
        <v>512019</v>
      </c>
      <c r="G1902" t="s">
        <v>4248</v>
      </c>
    </row>
    <row r="1903" spans="1:7">
      <c r="A1903">
        <v>1001</v>
      </c>
      <c r="B1903">
        <v>2</v>
      </c>
      <c r="C1903">
        <v>1004</v>
      </c>
      <c r="D1903" t="s">
        <v>4272</v>
      </c>
      <c r="E1903" s="27" t="s">
        <v>4252</v>
      </c>
      <c r="F1903" s="4">
        <v>512020</v>
      </c>
      <c r="G1903" t="s">
        <v>4261</v>
      </c>
    </row>
    <row r="1904" spans="1:7">
      <c r="A1904">
        <v>1001</v>
      </c>
      <c r="B1904">
        <v>2</v>
      </c>
      <c r="C1904">
        <v>1004</v>
      </c>
      <c r="D1904" t="s">
        <v>4273</v>
      </c>
      <c r="E1904" s="27" t="s">
        <v>4270</v>
      </c>
      <c r="F1904">
        <v>512021</v>
      </c>
      <c r="G1904" t="s">
        <v>4261</v>
      </c>
    </row>
    <row r="1905" spans="1:7">
      <c r="A1905">
        <v>1001</v>
      </c>
      <c r="B1905">
        <v>2</v>
      </c>
      <c r="C1905">
        <v>1004</v>
      </c>
      <c r="D1905" t="s">
        <v>4274</v>
      </c>
      <c r="E1905" s="27" t="s">
        <v>4271</v>
      </c>
      <c r="F1905">
        <v>512022</v>
      </c>
      <c r="G1905" t="s">
        <v>4261</v>
      </c>
    </row>
    <row r="1906" spans="1:7">
      <c r="A1906">
        <v>1001</v>
      </c>
      <c r="B1906">
        <v>2</v>
      </c>
      <c r="C1906">
        <v>1004</v>
      </c>
      <c r="D1906" t="s">
        <v>4275</v>
      </c>
      <c r="E1906" s="27" t="s">
        <v>4272</v>
      </c>
      <c r="F1906">
        <v>512023</v>
      </c>
      <c r="G1906" t="s">
        <v>4217</v>
      </c>
    </row>
    <row r="1907" spans="1:7">
      <c r="A1907">
        <v>1001</v>
      </c>
      <c r="B1907">
        <v>2</v>
      </c>
      <c r="C1907">
        <v>1004</v>
      </c>
      <c r="D1907" t="s">
        <v>4276</v>
      </c>
      <c r="E1907" s="27" t="s">
        <v>4273</v>
      </c>
      <c r="F1907">
        <v>512024</v>
      </c>
      <c r="G1907" t="s">
        <v>4277</v>
      </c>
    </row>
    <row r="1908" spans="1:7">
      <c r="A1908">
        <v>1001</v>
      </c>
      <c r="B1908">
        <v>2</v>
      </c>
      <c r="C1908">
        <v>1004</v>
      </c>
      <c r="D1908" t="s">
        <v>4278</v>
      </c>
      <c r="E1908" s="27" t="s">
        <v>4274</v>
      </c>
      <c r="F1908">
        <v>512025</v>
      </c>
      <c r="G1908" t="s">
        <v>4277</v>
      </c>
    </row>
    <row r="1909" spans="1:7">
      <c r="A1909">
        <v>1001</v>
      </c>
      <c r="B1909">
        <v>2</v>
      </c>
      <c r="C1909">
        <v>1004</v>
      </c>
      <c r="D1909" t="s">
        <v>4279</v>
      </c>
      <c r="E1909" s="27" t="s">
        <v>4280</v>
      </c>
      <c r="F1909">
        <v>513000</v>
      </c>
      <c r="G1909" t="s">
        <v>4277</v>
      </c>
    </row>
    <row r="1910" spans="1:7">
      <c r="A1910">
        <v>1001</v>
      </c>
      <c r="B1910">
        <v>2</v>
      </c>
      <c r="C1910">
        <v>1004</v>
      </c>
      <c r="D1910" t="s">
        <v>4281</v>
      </c>
      <c r="E1910" s="27" t="s">
        <v>4276</v>
      </c>
      <c r="F1910">
        <v>513001</v>
      </c>
      <c r="G1910" t="s">
        <v>4277</v>
      </c>
    </row>
    <row r="1911" spans="1:7">
      <c r="A1911">
        <v>1001</v>
      </c>
      <c r="B1911">
        <v>2</v>
      </c>
      <c r="C1911">
        <v>1004</v>
      </c>
      <c r="D1911" t="s">
        <v>4282</v>
      </c>
      <c r="E1911" s="27" t="s">
        <v>4278</v>
      </c>
      <c r="F1911">
        <v>513002</v>
      </c>
      <c r="G1911" t="s">
        <v>4277</v>
      </c>
    </row>
    <row r="1912" spans="1:7">
      <c r="A1912">
        <v>1001</v>
      </c>
      <c r="B1912">
        <v>2</v>
      </c>
      <c r="C1912">
        <v>1004</v>
      </c>
      <c r="D1912" t="s">
        <v>4283</v>
      </c>
      <c r="E1912" s="27" t="s">
        <v>4279</v>
      </c>
      <c r="F1912">
        <v>513003</v>
      </c>
      <c r="G1912" t="s">
        <v>4277</v>
      </c>
    </row>
    <row r="1913" spans="1:7">
      <c r="A1913">
        <v>1001</v>
      </c>
      <c r="B1913">
        <v>2</v>
      </c>
      <c r="C1913">
        <v>1004</v>
      </c>
      <c r="D1913" t="s">
        <v>4284</v>
      </c>
      <c r="E1913" s="27" t="s">
        <v>4285</v>
      </c>
      <c r="F1913">
        <v>513004</v>
      </c>
      <c r="G1913" t="s">
        <v>4277</v>
      </c>
    </row>
    <row r="1914" spans="1:7">
      <c r="A1914">
        <v>1001</v>
      </c>
      <c r="B1914">
        <v>2</v>
      </c>
      <c r="C1914">
        <v>1004</v>
      </c>
      <c r="D1914" t="s">
        <v>4286</v>
      </c>
      <c r="E1914" s="27" t="s">
        <v>4282</v>
      </c>
      <c r="F1914">
        <v>513005</v>
      </c>
      <c r="G1914" t="s">
        <v>4277</v>
      </c>
    </row>
    <row r="1915" spans="1:7">
      <c r="A1915">
        <v>1001</v>
      </c>
      <c r="B1915">
        <v>2</v>
      </c>
      <c r="C1915">
        <v>1004</v>
      </c>
      <c r="D1915" t="s">
        <v>4287</v>
      </c>
      <c r="E1915" s="27" t="s">
        <v>4283</v>
      </c>
      <c r="F1915">
        <v>513006</v>
      </c>
      <c r="G1915" t="s">
        <v>4277</v>
      </c>
    </row>
    <row r="1916" spans="1:7">
      <c r="A1916">
        <v>1001</v>
      </c>
      <c r="B1916">
        <v>2</v>
      </c>
      <c r="C1916">
        <v>1004</v>
      </c>
      <c r="D1916" t="s">
        <v>4288</v>
      </c>
      <c r="E1916" s="27" t="s">
        <v>4284</v>
      </c>
      <c r="F1916">
        <v>513007</v>
      </c>
      <c r="G1916" t="s">
        <v>4277</v>
      </c>
    </row>
    <row r="1917" spans="1:7">
      <c r="A1917">
        <v>1001</v>
      </c>
      <c r="B1917">
        <v>2</v>
      </c>
      <c r="C1917">
        <v>1004</v>
      </c>
      <c r="D1917" t="s">
        <v>4289</v>
      </c>
      <c r="E1917" s="27" t="s">
        <v>4286</v>
      </c>
      <c r="F1917">
        <v>513008</v>
      </c>
      <c r="G1917" t="s">
        <v>4290</v>
      </c>
    </row>
    <row r="1918" spans="1:7">
      <c r="A1918">
        <v>1001</v>
      </c>
      <c r="B1918">
        <v>2</v>
      </c>
      <c r="C1918">
        <v>1004</v>
      </c>
      <c r="D1918" t="s">
        <v>4291</v>
      </c>
      <c r="E1918" s="27" t="s">
        <v>4287</v>
      </c>
      <c r="F1918">
        <v>513009</v>
      </c>
      <c r="G1918" t="s">
        <v>4277</v>
      </c>
    </row>
    <row r="1919" spans="1:7">
      <c r="A1919">
        <v>1001</v>
      </c>
      <c r="B1919">
        <v>2</v>
      </c>
      <c r="C1919">
        <v>1004</v>
      </c>
      <c r="D1919" t="s">
        <v>4292</v>
      </c>
      <c r="E1919" s="27" t="s">
        <v>4288</v>
      </c>
      <c r="F1919">
        <v>513010</v>
      </c>
      <c r="G1919" t="s">
        <v>4277</v>
      </c>
    </row>
    <row r="1920" spans="1:7">
      <c r="A1920">
        <v>1001</v>
      </c>
      <c r="B1920">
        <v>2</v>
      </c>
      <c r="C1920">
        <v>1004</v>
      </c>
      <c r="D1920" t="s">
        <v>4293</v>
      </c>
      <c r="E1920" s="27" t="s">
        <v>4289</v>
      </c>
      <c r="F1920">
        <v>513011</v>
      </c>
      <c r="G1920" t="s">
        <v>4290</v>
      </c>
    </row>
    <row r="1921" spans="1:7">
      <c r="A1921">
        <v>1001</v>
      </c>
      <c r="B1921">
        <v>2</v>
      </c>
      <c r="C1921">
        <v>1004</v>
      </c>
      <c r="D1921" t="s">
        <v>4294</v>
      </c>
      <c r="E1921" s="27" t="s">
        <v>4291</v>
      </c>
      <c r="F1921">
        <v>513012</v>
      </c>
      <c r="G1921" t="s">
        <v>4277</v>
      </c>
    </row>
    <row r="1922" spans="1:7">
      <c r="A1922">
        <v>1001</v>
      </c>
      <c r="B1922">
        <v>2</v>
      </c>
      <c r="C1922">
        <v>1004</v>
      </c>
      <c r="D1922" t="s">
        <v>4295</v>
      </c>
      <c r="E1922" s="27" t="s">
        <v>4292</v>
      </c>
      <c r="F1922">
        <v>513013</v>
      </c>
      <c r="G1922" t="s">
        <v>4277</v>
      </c>
    </row>
    <row r="1923" spans="1:7">
      <c r="A1923">
        <v>1001</v>
      </c>
      <c r="B1923">
        <v>2</v>
      </c>
      <c r="C1923">
        <v>1004</v>
      </c>
      <c r="D1923" t="s">
        <v>4296</v>
      </c>
      <c r="E1923" s="27" t="s">
        <v>4293</v>
      </c>
      <c r="F1923">
        <v>513014</v>
      </c>
      <c r="G1923" t="s">
        <v>4290</v>
      </c>
    </row>
    <row r="1924" spans="1:7">
      <c r="A1924">
        <v>1001</v>
      </c>
      <c r="B1924">
        <v>2</v>
      </c>
      <c r="C1924">
        <v>1004</v>
      </c>
      <c r="D1924" t="s">
        <v>4297</v>
      </c>
      <c r="E1924" s="27" t="s">
        <v>4294</v>
      </c>
      <c r="F1924">
        <v>513015</v>
      </c>
      <c r="G1924" t="s">
        <v>4277</v>
      </c>
    </row>
    <row r="1925" spans="1:7">
      <c r="A1925">
        <v>1001</v>
      </c>
      <c r="B1925">
        <v>2</v>
      </c>
      <c r="C1925">
        <v>1004</v>
      </c>
      <c r="D1925" t="s">
        <v>4298</v>
      </c>
      <c r="E1925" s="27" t="s">
        <v>4295</v>
      </c>
      <c r="F1925">
        <v>513016</v>
      </c>
      <c r="G1925" t="s">
        <v>4277</v>
      </c>
    </row>
    <row r="1926" spans="1:7">
      <c r="A1926">
        <v>1001</v>
      </c>
      <c r="B1926">
        <v>2</v>
      </c>
      <c r="C1926">
        <v>1004</v>
      </c>
      <c r="D1926" t="s">
        <v>4281</v>
      </c>
      <c r="E1926" s="27" t="s">
        <v>4296</v>
      </c>
      <c r="F1926">
        <v>513017</v>
      </c>
      <c r="G1926" t="s">
        <v>4277</v>
      </c>
    </row>
    <row r="1927" spans="1:7">
      <c r="A1927">
        <v>1001</v>
      </c>
      <c r="B1927">
        <v>2</v>
      </c>
      <c r="C1927">
        <v>1004</v>
      </c>
      <c r="D1927" t="s">
        <v>4299</v>
      </c>
      <c r="E1927" s="27" t="s">
        <v>4297</v>
      </c>
      <c r="F1927">
        <v>513018</v>
      </c>
      <c r="G1927" t="s">
        <v>4277</v>
      </c>
    </row>
    <row r="1928" spans="1:7">
      <c r="A1928">
        <v>1001</v>
      </c>
      <c r="B1928">
        <v>2</v>
      </c>
      <c r="C1928">
        <v>1004</v>
      </c>
      <c r="D1928" t="s">
        <v>4300</v>
      </c>
      <c r="E1928" s="27" t="s">
        <v>4298</v>
      </c>
      <c r="F1928">
        <v>513019</v>
      </c>
      <c r="G1928" t="s">
        <v>4277</v>
      </c>
    </row>
    <row r="1929" spans="1:7">
      <c r="A1929">
        <v>1001</v>
      </c>
      <c r="B1929">
        <v>2</v>
      </c>
      <c r="C1929">
        <v>1004</v>
      </c>
      <c r="D1929" t="s">
        <v>4301</v>
      </c>
      <c r="E1929" s="27" t="s">
        <v>4281</v>
      </c>
      <c r="F1929" s="4">
        <v>513020</v>
      </c>
      <c r="G1929" t="s">
        <v>4290</v>
      </c>
    </row>
    <row r="1930" spans="1:7">
      <c r="A1930">
        <v>1001</v>
      </c>
      <c r="B1930">
        <v>2</v>
      </c>
      <c r="C1930">
        <v>1004</v>
      </c>
      <c r="D1930" t="s">
        <v>4302</v>
      </c>
      <c r="E1930" s="27" t="s">
        <v>4299</v>
      </c>
      <c r="F1930">
        <v>513021</v>
      </c>
      <c r="G1930" t="s">
        <v>4290</v>
      </c>
    </row>
    <row r="1931" spans="1:7">
      <c r="A1931">
        <v>1001</v>
      </c>
      <c r="B1931">
        <v>2</v>
      </c>
      <c r="C1931">
        <v>1004</v>
      </c>
      <c r="D1931" t="s">
        <v>4303</v>
      </c>
      <c r="E1931" s="27" t="s">
        <v>4300</v>
      </c>
      <c r="F1931">
        <v>513022</v>
      </c>
      <c r="G1931" t="s">
        <v>4290</v>
      </c>
    </row>
    <row r="1932" spans="1:7">
      <c r="A1932">
        <v>1001</v>
      </c>
      <c r="B1932">
        <v>2</v>
      </c>
      <c r="C1932">
        <v>1004</v>
      </c>
      <c r="D1932" t="s">
        <v>4304</v>
      </c>
      <c r="E1932" s="27" t="s">
        <v>4301</v>
      </c>
      <c r="F1932">
        <v>513023</v>
      </c>
      <c r="G1932" t="s">
        <v>4217</v>
      </c>
    </row>
    <row r="1933" spans="1:7">
      <c r="A1933">
        <v>1001</v>
      </c>
      <c r="B1933">
        <v>2</v>
      </c>
      <c r="C1933">
        <v>1004</v>
      </c>
      <c r="D1933" t="s">
        <v>4305</v>
      </c>
      <c r="E1933" s="27" t="s">
        <v>4302</v>
      </c>
      <c r="F1933">
        <v>513024</v>
      </c>
      <c r="G1933" t="s">
        <v>4306</v>
      </c>
    </row>
    <row r="1934" spans="1:7">
      <c r="A1934">
        <v>1001</v>
      </c>
      <c r="B1934">
        <v>2</v>
      </c>
      <c r="C1934">
        <v>1004</v>
      </c>
      <c r="D1934" t="s">
        <v>4307</v>
      </c>
      <c r="E1934" s="27" t="s">
        <v>4303</v>
      </c>
      <c r="F1934">
        <v>513025</v>
      </c>
      <c r="G1934" t="s">
        <v>4306</v>
      </c>
    </row>
    <row r="1935" spans="1:7">
      <c r="A1935">
        <v>1001</v>
      </c>
      <c r="B1935">
        <v>2</v>
      </c>
      <c r="C1935">
        <v>1004</v>
      </c>
      <c r="D1935" t="s">
        <v>4308</v>
      </c>
      <c r="E1935" s="27" t="s">
        <v>4309</v>
      </c>
      <c r="F1935">
        <v>514000</v>
      </c>
      <c r="G1935" t="s">
        <v>4306</v>
      </c>
    </row>
    <row r="1936" spans="1:7">
      <c r="A1936">
        <v>1001</v>
      </c>
      <c r="B1936">
        <v>2</v>
      </c>
      <c r="C1936">
        <v>1004</v>
      </c>
      <c r="D1936" t="s">
        <v>4310</v>
      </c>
      <c r="E1936" s="27" t="s">
        <v>4305</v>
      </c>
      <c r="F1936">
        <v>514001</v>
      </c>
      <c r="G1936" t="s">
        <v>4306</v>
      </c>
    </row>
    <row r="1937" spans="1:7">
      <c r="A1937">
        <v>1001</v>
      </c>
      <c r="B1937">
        <v>2</v>
      </c>
      <c r="C1937">
        <v>1004</v>
      </c>
      <c r="D1937" t="s">
        <v>4311</v>
      </c>
      <c r="E1937" s="27" t="s">
        <v>4307</v>
      </c>
      <c r="F1937">
        <v>514002</v>
      </c>
      <c r="G1937" t="s">
        <v>4306</v>
      </c>
    </row>
    <row r="1938" spans="1:7">
      <c r="A1938">
        <v>1001</v>
      </c>
      <c r="B1938">
        <v>2</v>
      </c>
      <c r="C1938">
        <v>1004</v>
      </c>
      <c r="D1938" t="s">
        <v>4312</v>
      </c>
      <c r="E1938" s="27" t="s">
        <v>4308</v>
      </c>
      <c r="F1938">
        <v>514003</v>
      </c>
      <c r="G1938" t="s">
        <v>4306</v>
      </c>
    </row>
    <row r="1939" spans="1:7">
      <c r="A1939">
        <v>1001</v>
      </c>
      <c r="B1939">
        <v>2</v>
      </c>
      <c r="C1939">
        <v>1004</v>
      </c>
      <c r="D1939" t="s">
        <v>4313</v>
      </c>
      <c r="E1939" s="27" t="s">
        <v>4314</v>
      </c>
      <c r="F1939">
        <v>514004</v>
      </c>
      <c r="G1939" t="s">
        <v>4306</v>
      </c>
    </row>
    <row r="1940" spans="1:7">
      <c r="A1940">
        <v>1001</v>
      </c>
      <c r="B1940">
        <v>2</v>
      </c>
      <c r="C1940">
        <v>1004</v>
      </c>
      <c r="D1940" t="s">
        <v>4315</v>
      </c>
      <c r="E1940" s="27" t="s">
        <v>4311</v>
      </c>
      <c r="F1940">
        <v>514005</v>
      </c>
      <c r="G1940" t="s">
        <v>4306</v>
      </c>
    </row>
    <row r="1941" spans="1:7">
      <c r="A1941">
        <v>1001</v>
      </c>
      <c r="B1941">
        <v>2</v>
      </c>
      <c r="C1941">
        <v>1004</v>
      </c>
      <c r="D1941" t="s">
        <v>4316</v>
      </c>
      <c r="E1941" s="27" t="s">
        <v>4312</v>
      </c>
      <c r="F1941">
        <v>514006</v>
      </c>
      <c r="G1941" t="s">
        <v>4306</v>
      </c>
    </row>
    <row r="1942" spans="1:7">
      <c r="A1942">
        <v>1001</v>
      </c>
      <c r="B1942">
        <v>2</v>
      </c>
      <c r="C1942">
        <v>1004</v>
      </c>
      <c r="D1942" t="s">
        <v>4317</v>
      </c>
      <c r="E1942" s="27" t="s">
        <v>4313</v>
      </c>
      <c r="F1942">
        <v>514007</v>
      </c>
      <c r="G1942" t="s">
        <v>4306</v>
      </c>
    </row>
    <row r="1943" spans="1:7">
      <c r="A1943">
        <v>1001</v>
      </c>
      <c r="B1943">
        <v>2</v>
      </c>
      <c r="C1943">
        <v>1004</v>
      </c>
      <c r="D1943" t="s">
        <v>4318</v>
      </c>
      <c r="E1943" s="27" t="s">
        <v>4315</v>
      </c>
      <c r="F1943">
        <v>514008</v>
      </c>
      <c r="G1943" t="s">
        <v>4319</v>
      </c>
    </row>
    <row r="1944" spans="1:7">
      <c r="A1944">
        <v>1001</v>
      </c>
      <c r="B1944">
        <v>2</v>
      </c>
      <c r="C1944">
        <v>1004</v>
      </c>
      <c r="D1944" t="s">
        <v>4320</v>
      </c>
      <c r="E1944" s="27" t="s">
        <v>4316</v>
      </c>
      <c r="F1944">
        <v>514009</v>
      </c>
      <c r="G1944" t="s">
        <v>4306</v>
      </c>
    </row>
    <row r="1945" spans="1:7">
      <c r="A1945">
        <v>1001</v>
      </c>
      <c r="B1945">
        <v>2</v>
      </c>
      <c r="C1945">
        <v>1004</v>
      </c>
      <c r="D1945" t="s">
        <v>4321</v>
      </c>
      <c r="E1945" s="27" t="s">
        <v>4317</v>
      </c>
      <c r="F1945">
        <v>514010</v>
      </c>
      <c r="G1945" t="s">
        <v>4306</v>
      </c>
    </row>
    <row r="1946" spans="1:7">
      <c r="A1946">
        <v>1001</v>
      </c>
      <c r="B1946">
        <v>2</v>
      </c>
      <c r="C1946">
        <v>1004</v>
      </c>
      <c r="D1946" t="s">
        <v>4322</v>
      </c>
      <c r="E1946" s="27" t="s">
        <v>4318</v>
      </c>
      <c r="F1946">
        <v>514011</v>
      </c>
      <c r="G1946" t="s">
        <v>4319</v>
      </c>
    </row>
    <row r="1947" spans="1:7">
      <c r="A1947">
        <v>1001</v>
      </c>
      <c r="B1947">
        <v>2</v>
      </c>
      <c r="C1947">
        <v>1004</v>
      </c>
      <c r="D1947" t="s">
        <v>4323</v>
      </c>
      <c r="E1947" s="27" t="s">
        <v>4320</v>
      </c>
      <c r="F1947">
        <v>514012</v>
      </c>
      <c r="G1947" t="s">
        <v>4306</v>
      </c>
    </row>
    <row r="1948" spans="1:7">
      <c r="A1948">
        <v>1001</v>
      </c>
      <c r="B1948">
        <v>2</v>
      </c>
      <c r="C1948">
        <v>1004</v>
      </c>
      <c r="D1948" t="s">
        <v>4324</v>
      </c>
      <c r="E1948" s="27" t="s">
        <v>4321</v>
      </c>
      <c r="F1948">
        <v>514013</v>
      </c>
      <c r="G1948" t="s">
        <v>4306</v>
      </c>
    </row>
    <row r="1949" spans="1:7">
      <c r="A1949">
        <v>1001</v>
      </c>
      <c r="B1949">
        <v>2</v>
      </c>
      <c r="C1949">
        <v>1004</v>
      </c>
      <c r="D1949" t="s">
        <v>4325</v>
      </c>
      <c r="E1949" s="27" t="s">
        <v>4322</v>
      </c>
      <c r="F1949">
        <v>514014</v>
      </c>
      <c r="G1949" t="s">
        <v>4319</v>
      </c>
    </row>
    <row r="1950" spans="1:7">
      <c r="A1950">
        <v>1001</v>
      </c>
      <c r="B1950">
        <v>2</v>
      </c>
      <c r="C1950">
        <v>1004</v>
      </c>
      <c r="D1950" t="s">
        <v>4326</v>
      </c>
      <c r="E1950" s="27" t="s">
        <v>4323</v>
      </c>
      <c r="F1950">
        <v>514015</v>
      </c>
      <c r="G1950" t="s">
        <v>4306</v>
      </c>
    </row>
    <row r="1951" spans="1:7">
      <c r="A1951">
        <v>1001</v>
      </c>
      <c r="B1951">
        <v>2</v>
      </c>
      <c r="C1951">
        <v>1004</v>
      </c>
      <c r="D1951" t="s">
        <v>4327</v>
      </c>
      <c r="E1951" s="27" t="s">
        <v>4324</v>
      </c>
      <c r="F1951">
        <v>514016</v>
      </c>
      <c r="G1951" t="s">
        <v>4306</v>
      </c>
    </row>
    <row r="1952" spans="1:7">
      <c r="A1952">
        <v>1001</v>
      </c>
      <c r="B1952">
        <v>2</v>
      </c>
      <c r="C1952">
        <v>1004</v>
      </c>
      <c r="D1952" t="s">
        <v>4310</v>
      </c>
      <c r="E1952" s="27" t="s">
        <v>4325</v>
      </c>
      <c r="F1952">
        <v>514017</v>
      </c>
      <c r="G1952" t="s">
        <v>4306</v>
      </c>
    </row>
    <row r="1953" spans="1:7">
      <c r="A1953">
        <v>1001</v>
      </c>
      <c r="B1953">
        <v>2</v>
      </c>
      <c r="C1953">
        <v>1004</v>
      </c>
      <c r="D1953" t="s">
        <v>4328</v>
      </c>
      <c r="E1953" s="27" t="s">
        <v>4326</v>
      </c>
      <c r="F1953">
        <v>514018</v>
      </c>
      <c r="G1953" t="s">
        <v>4306</v>
      </c>
    </row>
    <row r="1954" spans="1:7">
      <c r="A1954">
        <v>1001</v>
      </c>
      <c r="B1954">
        <v>2</v>
      </c>
      <c r="C1954">
        <v>1004</v>
      </c>
      <c r="D1954" t="s">
        <v>4329</v>
      </c>
      <c r="E1954" s="27" t="s">
        <v>4327</v>
      </c>
      <c r="F1954">
        <v>514019</v>
      </c>
      <c r="G1954" t="s">
        <v>4306</v>
      </c>
    </row>
    <row r="1955" spans="1:7">
      <c r="A1955">
        <v>1001</v>
      </c>
      <c r="B1955">
        <v>2</v>
      </c>
      <c r="C1955">
        <v>1004</v>
      </c>
      <c r="D1955" t="s">
        <v>4330</v>
      </c>
      <c r="E1955" s="27" t="s">
        <v>4310</v>
      </c>
      <c r="F1955" s="4">
        <v>514020</v>
      </c>
      <c r="G1955" t="s">
        <v>4319</v>
      </c>
    </row>
    <row r="1956" spans="1:7">
      <c r="A1956">
        <v>1001</v>
      </c>
      <c r="B1956">
        <v>2</v>
      </c>
      <c r="C1956">
        <v>1004</v>
      </c>
      <c r="D1956" t="s">
        <v>4331</v>
      </c>
      <c r="E1956" s="27" t="s">
        <v>4328</v>
      </c>
      <c r="F1956">
        <v>514021</v>
      </c>
      <c r="G1956" t="s">
        <v>4319</v>
      </c>
    </row>
    <row r="1957" spans="1:7">
      <c r="A1957">
        <v>1001</v>
      </c>
      <c r="B1957">
        <v>2</v>
      </c>
      <c r="C1957">
        <v>1004</v>
      </c>
      <c r="D1957" t="s">
        <v>4332</v>
      </c>
      <c r="E1957" s="27" t="s">
        <v>4329</v>
      </c>
      <c r="F1957">
        <v>514022</v>
      </c>
      <c r="G1957" t="s">
        <v>4319</v>
      </c>
    </row>
    <row r="1958" spans="1:7">
      <c r="A1958">
        <v>1001</v>
      </c>
      <c r="B1958">
        <v>2</v>
      </c>
      <c r="C1958">
        <v>1004</v>
      </c>
      <c r="D1958" t="s">
        <v>4333</v>
      </c>
      <c r="E1958" s="27" t="s">
        <v>4330</v>
      </c>
      <c r="F1958">
        <v>514023</v>
      </c>
      <c r="G1958" t="s">
        <v>4217</v>
      </c>
    </row>
    <row r="1959" spans="1:7">
      <c r="A1959">
        <v>1001</v>
      </c>
      <c r="B1959">
        <v>2</v>
      </c>
      <c r="C1959">
        <v>1004</v>
      </c>
      <c r="D1959" t="s">
        <v>4334</v>
      </c>
      <c r="E1959" s="27" t="s">
        <v>4331</v>
      </c>
      <c r="F1959">
        <v>514024</v>
      </c>
      <c r="G1959" t="s">
        <v>4335</v>
      </c>
    </row>
    <row r="1960" spans="1:7">
      <c r="A1960">
        <v>1001</v>
      </c>
      <c r="B1960">
        <v>2</v>
      </c>
      <c r="C1960">
        <v>1004</v>
      </c>
      <c r="D1960" t="s">
        <v>4336</v>
      </c>
      <c r="E1960" s="27" t="s">
        <v>4332</v>
      </c>
      <c r="F1960">
        <v>514025</v>
      </c>
      <c r="G1960" t="s">
        <v>4335</v>
      </c>
    </row>
    <row r="1961" spans="1:7">
      <c r="A1961">
        <v>1001</v>
      </c>
      <c r="B1961">
        <v>2</v>
      </c>
      <c r="C1961">
        <v>1004</v>
      </c>
      <c r="D1961" t="s">
        <v>4337</v>
      </c>
      <c r="E1961" s="27" t="s">
        <v>4338</v>
      </c>
      <c r="F1961">
        <v>515000</v>
      </c>
      <c r="G1961" t="s">
        <v>4335</v>
      </c>
    </row>
    <row r="1962" spans="1:7">
      <c r="A1962">
        <v>1001</v>
      </c>
      <c r="B1962">
        <v>2</v>
      </c>
      <c r="C1962">
        <v>1004</v>
      </c>
      <c r="D1962" t="s">
        <v>4339</v>
      </c>
      <c r="E1962" s="27" t="s">
        <v>4334</v>
      </c>
      <c r="F1962">
        <v>515001</v>
      </c>
      <c r="G1962" t="s">
        <v>4335</v>
      </c>
    </row>
    <row r="1963" spans="1:7">
      <c r="A1963">
        <v>1001</v>
      </c>
      <c r="B1963">
        <v>2</v>
      </c>
      <c r="C1963">
        <v>1004</v>
      </c>
      <c r="D1963" t="s">
        <v>4340</v>
      </c>
      <c r="E1963" s="27" t="s">
        <v>4336</v>
      </c>
      <c r="F1963">
        <v>515002</v>
      </c>
      <c r="G1963" t="s">
        <v>4335</v>
      </c>
    </row>
    <row r="1964" spans="1:7">
      <c r="A1964">
        <v>1001</v>
      </c>
      <c r="B1964">
        <v>2</v>
      </c>
      <c r="C1964">
        <v>1004</v>
      </c>
      <c r="D1964" t="s">
        <v>4341</v>
      </c>
      <c r="E1964" s="27" t="s">
        <v>4337</v>
      </c>
      <c r="F1964">
        <v>515003</v>
      </c>
      <c r="G1964" t="s">
        <v>4335</v>
      </c>
    </row>
    <row r="1965" spans="1:7">
      <c r="A1965">
        <v>1001</v>
      </c>
      <c r="B1965">
        <v>2</v>
      </c>
      <c r="C1965">
        <v>1004</v>
      </c>
      <c r="D1965" t="s">
        <v>4342</v>
      </c>
      <c r="E1965" s="27" t="s">
        <v>4343</v>
      </c>
      <c r="F1965">
        <v>515004</v>
      </c>
      <c r="G1965" t="s">
        <v>4335</v>
      </c>
    </row>
    <row r="1966" spans="1:7">
      <c r="A1966">
        <v>1001</v>
      </c>
      <c r="B1966">
        <v>2</v>
      </c>
      <c r="C1966">
        <v>1004</v>
      </c>
      <c r="D1966" t="s">
        <v>4344</v>
      </c>
      <c r="E1966" s="27" t="s">
        <v>4340</v>
      </c>
      <c r="F1966">
        <v>515005</v>
      </c>
      <c r="G1966" t="s">
        <v>4335</v>
      </c>
    </row>
    <row r="1967" spans="1:7">
      <c r="A1967">
        <v>1001</v>
      </c>
      <c r="B1967">
        <v>2</v>
      </c>
      <c r="C1967">
        <v>1004</v>
      </c>
      <c r="D1967" t="s">
        <v>4345</v>
      </c>
      <c r="E1967" s="27" t="s">
        <v>4341</v>
      </c>
      <c r="F1967">
        <v>515006</v>
      </c>
      <c r="G1967" t="s">
        <v>4335</v>
      </c>
    </row>
    <row r="1968" spans="1:7">
      <c r="A1968">
        <v>1001</v>
      </c>
      <c r="B1968">
        <v>2</v>
      </c>
      <c r="C1968">
        <v>1004</v>
      </c>
      <c r="D1968" t="s">
        <v>4346</v>
      </c>
      <c r="E1968" s="27" t="s">
        <v>4342</v>
      </c>
      <c r="F1968">
        <v>515007</v>
      </c>
      <c r="G1968" t="s">
        <v>4335</v>
      </c>
    </row>
    <row r="1969" spans="1:7">
      <c r="A1969">
        <v>1001</v>
      </c>
      <c r="B1969">
        <v>2</v>
      </c>
      <c r="C1969">
        <v>1004</v>
      </c>
      <c r="D1969" t="s">
        <v>4347</v>
      </c>
      <c r="E1969" s="27" t="s">
        <v>4344</v>
      </c>
      <c r="F1969">
        <v>515008</v>
      </c>
      <c r="G1969" t="s">
        <v>4348</v>
      </c>
    </row>
    <row r="1970" spans="1:7">
      <c r="A1970">
        <v>1001</v>
      </c>
      <c r="B1970">
        <v>2</v>
      </c>
      <c r="C1970">
        <v>1004</v>
      </c>
      <c r="D1970" t="s">
        <v>4349</v>
      </c>
      <c r="E1970" s="27" t="s">
        <v>4345</v>
      </c>
      <c r="F1970">
        <v>515009</v>
      </c>
      <c r="G1970" t="s">
        <v>4335</v>
      </c>
    </row>
    <row r="1971" spans="1:7">
      <c r="A1971">
        <v>1001</v>
      </c>
      <c r="B1971">
        <v>2</v>
      </c>
      <c r="C1971">
        <v>1004</v>
      </c>
      <c r="D1971" t="s">
        <v>4350</v>
      </c>
      <c r="E1971" s="27" t="s">
        <v>4346</v>
      </c>
      <c r="F1971">
        <v>515010</v>
      </c>
      <c r="G1971" t="s">
        <v>4335</v>
      </c>
    </row>
    <row r="1972" spans="1:7">
      <c r="A1972">
        <v>1001</v>
      </c>
      <c r="B1972">
        <v>2</v>
      </c>
      <c r="C1972">
        <v>1004</v>
      </c>
      <c r="D1972" t="s">
        <v>4351</v>
      </c>
      <c r="E1972" s="27" t="s">
        <v>4347</v>
      </c>
      <c r="F1972">
        <v>515011</v>
      </c>
      <c r="G1972" t="s">
        <v>4348</v>
      </c>
    </row>
    <row r="1973" spans="1:7">
      <c r="A1973">
        <v>1001</v>
      </c>
      <c r="B1973">
        <v>2</v>
      </c>
      <c r="C1973">
        <v>1004</v>
      </c>
      <c r="D1973" t="s">
        <v>4352</v>
      </c>
      <c r="E1973" s="27" t="s">
        <v>4349</v>
      </c>
      <c r="F1973">
        <v>515012</v>
      </c>
      <c r="G1973" t="s">
        <v>4335</v>
      </c>
    </row>
    <row r="1974" spans="1:7">
      <c r="A1974">
        <v>1001</v>
      </c>
      <c r="B1974">
        <v>2</v>
      </c>
      <c r="C1974">
        <v>1004</v>
      </c>
      <c r="D1974" t="s">
        <v>4353</v>
      </c>
      <c r="E1974" s="27" t="s">
        <v>4350</v>
      </c>
      <c r="F1974">
        <v>515013</v>
      </c>
      <c r="G1974" t="s">
        <v>4335</v>
      </c>
    </row>
    <row r="1975" spans="1:7">
      <c r="A1975">
        <v>1001</v>
      </c>
      <c r="B1975">
        <v>2</v>
      </c>
      <c r="C1975">
        <v>1004</v>
      </c>
      <c r="D1975" t="s">
        <v>4354</v>
      </c>
      <c r="E1975" s="27" t="s">
        <v>4351</v>
      </c>
      <c r="F1975">
        <v>515014</v>
      </c>
      <c r="G1975" t="s">
        <v>4348</v>
      </c>
    </row>
    <row r="1976" spans="1:7">
      <c r="A1976">
        <v>1001</v>
      </c>
      <c r="B1976">
        <v>2</v>
      </c>
      <c r="C1976">
        <v>1004</v>
      </c>
      <c r="D1976" t="s">
        <v>4355</v>
      </c>
      <c r="E1976" s="27" t="s">
        <v>4352</v>
      </c>
      <c r="F1976">
        <v>515015</v>
      </c>
      <c r="G1976" t="s">
        <v>4335</v>
      </c>
    </row>
    <row r="1977" spans="1:7">
      <c r="A1977">
        <v>1001</v>
      </c>
      <c r="B1977">
        <v>2</v>
      </c>
      <c r="C1977">
        <v>1004</v>
      </c>
      <c r="D1977" t="s">
        <v>4356</v>
      </c>
      <c r="E1977" s="27" t="s">
        <v>4353</v>
      </c>
      <c r="F1977">
        <v>515016</v>
      </c>
      <c r="G1977" t="s">
        <v>4335</v>
      </c>
    </row>
    <row r="1978" spans="1:7">
      <c r="A1978">
        <v>1001</v>
      </c>
      <c r="B1978">
        <v>2</v>
      </c>
      <c r="C1978">
        <v>1004</v>
      </c>
      <c r="D1978" t="s">
        <v>4339</v>
      </c>
      <c r="E1978" s="27" t="s">
        <v>4354</v>
      </c>
      <c r="F1978">
        <v>515017</v>
      </c>
      <c r="G1978" t="s">
        <v>4335</v>
      </c>
    </row>
    <row r="1979" spans="1:7">
      <c r="A1979">
        <v>1001</v>
      </c>
      <c r="B1979">
        <v>2</v>
      </c>
      <c r="C1979">
        <v>1004</v>
      </c>
      <c r="D1979" t="s">
        <v>4357</v>
      </c>
      <c r="E1979" s="27" t="s">
        <v>4355</v>
      </c>
      <c r="F1979">
        <v>515018</v>
      </c>
      <c r="G1979" t="s">
        <v>4335</v>
      </c>
    </row>
    <row r="1980" spans="1:7">
      <c r="A1980">
        <v>1001</v>
      </c>
      <c r="B1980">
        <v>2</v>
      </c>
      <c r="C1980">
        <v>1004</v>
      </c>
      <c r="D1980" t="s">
        <v>4358</v>
      </c>
      <c r="E1980" s="27" t="s">
        <v>4356</v>
      </c>
      <c r="F1980">
        <v>515019</v>
      </c>
      <c r="G1980" t="s">
        <v>4335</v>
      </c>
    </row>
    <row r="1981" spans="1:7">
      <c r="A1981">
        <v>1001</v>
      </c>
      <c r="B1981">
        <v>2</v>
      </c>
      <c r="C1981">
        <v>1004</v>
      </c>
      <c r="D1981" t="s">
        <v>4359</v>
      </c>
      <c r="E1981" s="27" t="s">
        <v>4339</v>
      </c>
      <c r="F1981" s="4">
        <v>515020</v>
      </c>
      <c r="G1981" t="s">
        <v>4348</v>
      </c>
    </row>
    <row r="1982" spans="1:7">
      <c r="A1982">
        <v>1001</v>
      </c>
      <c r="B1982">
        <v>2</v>
      </c>
      <c r="C1982">
        <v>1004</v>
      </c>
      <c r="D1982" t="s">
        <v>4360</v>
      </c>
      <c r="E1982" s="27" t="s">
        <v>4357</v>
      </c>
      <c r="F1982">
        <v>515021</v>
      </c>
      <c r="G1982" t="s">
        <v>4348</v>
      </c>
    </row>
    <row r="1983" spans="1:7">
      <c r="A1983">
        <v>1001</v>
      </c>
      <c r="B1983">
        <v>2</v>
      </c>
      <c r="C1983">
        <v>1004</v>
      </c>
      <c r="D1983" t="s">
        <v>4361</v>
      </c>
      <c r="E1983" s="27" t="s">
        <v>4358</v>
      </c>
      <c r="F1983">
        <v>515022</v>
      </c>
      <c r="G1983" t="s">
        <v>4348</v>
      </c>
    </row>
    <row r="1984" spans="1:7">
      <c r="A1984">
        <v>1001</v>
      </c>
      <c r="B1984">
        <v>2</v>
      </c>
      <c r="C1984">
        <v>1001</v>
      </c>
      <c r="D1984" t="s">
        <v>4362</v>
      </c>
      <c r="E1984" s="27" t="s">
        <v>4359</v>
      </c>
      <c r="F1984">
        <v>515023</v>
      </c>
      <c r="G1984" t="s">
        <v>4363</v>
      </c>
    </row>
    <row r="1985" spans="1:7">
      <c r="A1985">
        <v>1001</v>
      </c>
      <c r="B1985">
        <v>2</v>
      </c>
      <c r="C1985">
        <v>1001</v>
      </c>
      <c r="D1985" t="s">
        <v>4364</v>
      </c>
      <c r="E1985" s="27" t="s">
        <v>4360</v>
      </c>
      <c r="F1985">
        <v>515024</v>
      </c>
      <c r="G1985" t="s">
        <v>4363</v>
      </c>
    </row>
    <row r="1986" spans="1:7">
      <c r="A1986">
        <v>1001</v>
      </c>
      <c r="B1986">
        <v>2</v>
      </c>
      <c r="C1986">
        <v>1001</v>
      </c>
      <c r="D1986" t="s">
        <v>4365</v>
      </c>
      <c r="E1986" s="27" t="s">
        <v>4361</v>
      </c>
      <c r="F1986">
        <v>515025</v>
      </c>
      <c r="G1986" t="s">
        <v>4363</v>
      </c>
    </row>
    <row r="1987" spans="1:7">
      <c r="A1987">
        <v>1001</v>
      </c>
      <c r="B1987">
        <v>2</v>
      </c>
      <c r="C1987">
        <v>1001</v>
      </c>
      <c r="D1987" t="s">
        <v>4366</v>
      </c>
      <c r="E1987" t="s">
        <v>4362</v>
      </c>
      <c r="F1987">
        <v>511026</v>
      </c>
      <c r="G1987" t="s">
        <v>4363</v>
      </c>
    </row>
    <row r="1988" spans="1:7">
      <c r="A1988">
        <v>1001</v>
      </c>
      <c r="B1988">
        <v>2</v>
      </c>
      <c r="C1988">
        <v>1001</v>
      </c>
      <c r="D1988" t="s">
        <v>4367</v>
      </c>
      <c r="E1988" t="s">
        <v>4364</v>
      </c>
      <c r="F1988">
        <v>511027</v>
      </c>
      <c r="G1988" t="s">
        <v>4363</v>
      </c>
    </row>
    <row r="1989" spans="1:7">
      <c r="A1989">
        <v>1001</v>
      </c>
      <c r="B1989">
        <v>2</v>
      </c>
      <c r="C1989">
        <v>1001</v>
      </c>
      <c r="D1989" t="s">
        <v>4368</v>
      </c>
      <c r="E1989" t="s">
        <v>4365</v>
      </c>
      <c r="F1989">
        <v>511028</v>
      </c>
      <c r="G1989" t="s">
        <v>4363</v>
      </c>
    </row>
    <row r="1990" spans="1:7">
      <c r="A1990">
        <v>1001</v>
      </c>
      <c r="B1990">
        <v>2</v>
      </c>
      <c r="C1990">
        <v>1001</v>
      </c>
      <c r="D1990" t="s">
        <v>4369</v>
      </c>
      <c r="E1990" t="s">
        <v>4366</v>
      </c>
      <c r="F1990">
        <v>511029</v>
      </c>
      <c r="G1990" t="s">
        <v>4363</v>
      </c>
    </row>
    <row r="1991" spans="1:7">
      <c r="A1991">
        <v>1001</v>
      </c>
      <c r="B1991">
        <v>2</v>
      </c>
      <c r="C1991">
        <v>1001</v>
      </c>
      <c r="D1991" t="s">
        <v>4370</v>
      </c>
      <c r="E1991" t="s">
        <v>4367</v>
      </c>
      <c r="F1991">
        <v>511030</v>
      </c>
      <c r="G1991" t="s">
        <v>4363</v>
      </c>
    </row>
    <row r="1992" spans="1:7">
      <c r="A1992">
        <v>1001</v>
      </c>
      <c r="B1992">
        <v>2</v>
      </c>
      <c r="C1992">
        <v>1001</v>
      </c>
      <c r="D1992" t="s">
        <v>4371</v>
      </c>
      <c r="E1992" t="s">
        <v>4368</v>
      </c>
      <c r="F1992">
        <v>512026</v>
      </c>
      <c r="G1992" t="s">
        <v>4363</v>
      </c>
    </row>
    <row r="1993" spans="1:7">
      <c r="A1993">
        <v>1001</v>
      </c>
      <c r="B1993">
        <v>2</v>
      </c>
      <c r="C1993">
        <v>1001</v>
      </c>
      <c r="D1993" t="s">
        <v>4372</v>
      </c>
      <c r="E1993" t="s">
        <v>4369</v>
      </c>
      <c r="F1993">
        <v>512027</v>
      </c>
      <c r="G1993" t="s">
        <v>4363</v>
      </c>
    </row>
    <row r="1994" spans="1:7">
      <c r="A1994">
        <v>1001</v>
      </c>
      <c r="B1994">
        <v>2</v>
      </c>
      <c r="C1994">
        <v>1001</v>
      </c>
      <c r="D1994" t="s">
        <v>4373</v>
      </c>
      <c r="E1994" t="s">
        <v>4370</v>
      </c>
      <c r="F1994">
        <v>512028</v>
      </c>
      <c r="G1994" t="s">
        <v>4363</v>
      </c>
    </row>
    <row r="1995" spans="1:7">
      <c r="A1995">
        <v>1001</v>
      </c>
      <c r="B1995">
        <v>2</v>
      </c>
      <c r="C1995">
        <v>1001</v>
      </c>
      <c r="D1995" t="s">
        <v>4374</v>
      </c>
      <c r="E1995" t="s">
        <v>4371</v>
      </c>
      <c r="F1995">
        <v>512029</v>
      </c>
      <c r="G1995" t="s">
        <v>4363</v>
      </c>
    </row>
    <row r="1996" spans="1:7">
      <c r="A1996">
        <v>1001</v>
      </c>
      <c r="B1996">
        <v>2</v>
      </c>
      <c r="C1996">
        <v>1001</v>
      </c>
      <c r="D1996" t="s">
        <v>4375</v>
      </c>
      <c r="E1996" t="s">
        <v>4372</v>
      </c>
      <c r="F1996">
        <v>512030</v>
      </c>
      <c r="G1996" t="s">
        <v>4363</v>
      </c>
    </row>
    <row r="1997" spans="1:7">
      <c r="A1997">
        <v>1001</v>
      </c>
      <c r="B1997">
        <v>2</v>
      </c>
      <c r="C1997">
        <v>1001</v>
      </c>
      <c r="D1997" t="s">
        <v>4376</v>
      </c>
      <c r="E1997" t="s">
        <v>4373</v>
      </c>
      <c r="F1997">
        <v>513026</v>
      </c>
      <c r="G1997" t="s">
        <v>4363</v>
      </c>
    </row>
    <row r="1998" spans="1:7">
      <c r="A1998">
        <v>1001</v>
      </c>
      <c r="B1998">
        <v>2</v>
      </c>
      <c r="C1998">
        <v>1001</v>
      </c>
      <c r="D1998" t="s">
        <v>4377</v>
      </c>
      <c r="E1998" t="s">
        <v>4374</v>
      </c>
      <c r="F1998">
        <v>513027</v>
      </c>
      <c r="G1998" t="s">
        <v>4363</v>
      </c>
    </row>
    <row r="1999" spans="1:7">
      <c r="A1999">
        <v>1001</v>
      </c>
      <c r="B1999">
        <v>2</v>
      </c>
      <c r="C1999">
        <v>1001</v>
      </c>
      <c r="D1999" t="s">
        <v>4378</v>
      </c>
      <c r="E1999" t="s">
        <v>4375</v>
      </c>
      <c r="F1999">
        <v>513028</v>
      </c>
      <c r="G1999" t="s">
        <v>4363</v>
      </c>
    </row>
    <row r="2000" spans="1:7">
      <c r="A2000">
        <v>1001</v>
      </c>
      <c r="B2000">
        <v>2</v>
      </c>
      <c r="C2000">
        <v>1001</v>
      </c>
      <c r="D2000" t="s">
        <v>4379</v>
      </c>
      <c r="E2000" t="s">
        <v>4376</v>
      </c>
      <c r="F2000">
        <v>513029</v>
      </c>
      <c r="G2000" t="s">
        <v>4363</v>
      </c>
    </row>
    <row r="2001" spans="1:7">
      <c r="A2001">
        <v>1001</v>
      </c>
      <c r="B2001">
        <v>2</v>
      </c>
      <c r="C2001">
        <v>1001</v>
      </c>
      <c r="D2001" t="s">
        <v>4380</v>
      </c>
      <c r="E2001" t="s">
        <v>4377</v>
      </c>
      <c r="F2001">
        <v>513030</v>
      </c>
      <c r="G2001" t="s">
        <v>4363</v>
      </c>
    </row>
    <row r="2002" spans="1:7">
      <c r="A2002">
        <v>1001</v>
      </c>
      <c r="B2002">
        <v>2</v>
      </c>
      <c r="C2002">
        <v>1001</v>
      </c>
      <c r="D2002" t="s">
        <v>4381</v>
      </c>
      <c r="E2002" t="s">
        <v>4378</v>
      </c>
      <c r="F2002">
        <v>514026</v>
      </c>
      <c r="G2002" t="s">
        <v>4363</v>
      </c>
    </row>
    <row r="2003" spans="1:7">
      <c r="A2003">
        <v>1001</v>
      </c>
      <c r="B2003">
        <v>2</v>
      </c>
      <c r="C2003">
        <v>1001</v>
      </c>
      <c r="D2003" t="s">
        <v>4382</v>
      </c>
      <c r="E2003" t="s">
        <v>4379</v>
      </c>
      <c r="F2003">
        <v>514027</v>
      </c>
      <c r="G2003" t="s">
        <v>4363</v>
      </c>
    </row>
    <row r="2004" spans="1:7">
      <c r="A2004">
        <v>1001</v>
      </c>
      <c r="B2004">
        <v>2</v>
      </c>
      <c r="C2004">
        <v>1001</v>
      </c>
      <c r="D2004" t="s">
        <v>4383</v>
      </c>
      <c r="E2004" t="s">
        <v>4380</v>
      </c>
      <c r="F2004">
        <v>514028</v>
      </c>
      <c r="G2004" t="s">
        <v>4363</v>
      </c>
    </row>
    <row r="2005" spans="1:7">
      <c r="A2005">
        <v>1001</v>
      </c>
      <c r="B2005">
        <v>2</v>
      </c>
      <c r="C2005">
        <v>1001</v>
      </c>
      <c r="D2005" t="s">
        <v>4384</v>
      </c>
      <c r="E2005" t="s">
        <v>4381</v>
      </c>
      <c r="F2005">
        <v>514029</v>
      </c>
      <c r="G2005" t="s">
        <v>4363</v>
      </c>
    </row>
    <row r="2006" spans="1:7">
      <c r="A2006">
        <v>1001</v>
      </c>
      <c r="B2006">
        <v>2</v>
      </c>
      <c r="C2006">
        <v>1001</v>
      </c>
      <c r="D2006" t="s">
        <v>4385</v>
      </c>
      <c r="E2006" t="s">
        <v>4382</v>
      </c>
      <c r="F2006">
        <v>514030</v>
      </c>
      <c r="G2006" t="s">
        <v>4363</v>
      </c>
    </row>
    <row r="2007" spans="1:7">
      <c r="A2007">
        <v>1001</v>
      </c>
      <c r="B2007">
        <v>2</v>
      </c>
      <c r="C2007">
        <v>1001</v>
      </c>
      <c r="D2007" t="s">
        <v>4386</v>
      </c>
      <c r="E2007" t="s">
        <v>4383</v>
      </c>
      <c r="F2007">
        <v>515026</v>
      </c>
      <c r="G2007" t="s">
        <v>4363</v>
      </c>
    </row>
    <row r="2008" spans="1:7">
      <c r="A2008">
        <v>1001</v>
      </c>
      <c r="B2008">
        <v>2</v>
      </c>
      <c r="C2008">
        <v>1001</v>
      </c>
      <c r="D2008" t="s">
        <v>4387</v>
      </c>
      <c r="E2008" t="s">
        <v>4384</v>
      </c>
      <c r="F2008">
        <v>515027</v>
      </c>
      <c r="G2008" t="s">
        <v>4363</v>
      </c>
    </row>
    <row r="2009" spans="1:7">
      <c r="A2009">
        <v>1001</v>
      </c>
      <c r="B2009">
        <v>2</v>
      </c>
      <c r="C2009">
        <v>1001</v>
      </c>
      <c r="D2009" t="s">
        <v>4388</v>
      </c>
      <c r="E2009" t="s">
        <v>4385</v>
      </c>
      <c r="F2009">
        <v>515028</v>
      </c>
      <c r="G2009" t="s">
        <v>4389</v>
      </c>
    </row>
    <row r="2010" spans="1:7">
      <c r="A2010">
        <v>1001</v>
      </c>
      <c r="B2010">
        <v>2</v>
      </c>
      <c r="C2010">
        <v>1001</v>
      </c>
      <c r="D2010" t="s">
        <v>4390</v>
      </c>
      <c r="E2010" t="s">
        <v>4386</v>
      </c>
      <c r="F2010">
        <v>515029</v>
      </c>
      <c r="G2010" t="s">
        <v>4391</v>
      </c>
    </row>
    <row r="2011" spans="1:7">
      <c r="A2011">
        <v>1001</v>
      </c>
      <c r="B2011">
        <v>2</v>
      </c>
      <c r="C2011">
        <v>1001</v>
      </c>
      <c r="D2011" t="s">
        <v>4392</v>
      </c>
      <c r="E2011" t="s">
        <v>4387</v>
      </c>
      <c r="F2011">
        <v>515030</v>
      </c>
      <c r="G2011" t="s">
        <v>4393</v>
      </c>
    </row>
    <row r="2012" spans="1:7">
      <c r="A2012">
        <v>1001</v>
      </c>
      <c r="B2012">
        <v>2</v>
      </c>
      <c r="C2012">
        <v>1001</v>
      </c>
      <c r="D2012" t="s">
        <v>4394</v>
      </c>
      <c r="E2012" t="s">
        <v>4388</v>
      </c>
      <c r="F2012">
        <v>514031</v>
      </c>
      <c r="G2012" t="s">
        <v>4393</v>
      </c>
    </row>
    <row r="2013" spans="1:7">
      <c r="A2013">
        <v>1001</v>
      </c>
      <c r="B2013">
        <v>2</v>
      </c>
      <c r="C2013">
        <v>1004</v>
      </c>
      <c r="D2013" s="6" t="s">
        <v>4395</v>
      </c>
      <c r="E2013" t="s">
        <v>696</v>
      </c>
      <c r="F2013">
        <v>514032</v>
      </c>
      <c r="G2013" t="s">
        <v>4208</v>
      </c>
    </row>
    <row r="2014" spans="1:7">
      <c r="A2014">
        <v>1001</v>
      </c>
      <c r="B2014">
        <v>2</v>
      </c>
      <c r="C2014">
        <v>1004</v>
      </c>
      <c r="D2014" s="6" t="s">
        <v>4396</v>
      </c>
      <c r="E2014" s="27" t="s">
        <v>4397</v>
      </c>
      <c r="F2014">
        <v>524001</v>
      </c>
      <c r="G2014" t="s">
        <v>4208</v>
      </c>
    </row>
    <row r="2015" spans="1:7">
      <c r="A2015">
        <v>1001</v>
      </c>
      <c r="B2015">
        <v>2</v>
      </c>
      <c r="C2015">
        <v>1004</v>
      </c>
      <c r="D2015" s="6" t="s">
        <v>4398</v>
      </c>
      <c r="E2015" s="27" t="s">
        <v>4397</v>
      </c>
      <c r="F2015">
        <v>525001</v>
      </c>
      <c r="G2015" t="s">
        <v>4208</v>
      </c>
    </row>
    <row r="2016" spans="1:7">
      <c r="A2016">
        <v>1001</v>
      </c>
      <c r="B2016">
        <v>2</v>
      </c>
      <c r="C2016">
        <v>1004</v>
      </c>
      <c r="D2016" s="6" t="s">
        <v>4399</v>
      </c>
      <c r="E2016" s="27" t="s">
        <v>4395</v>
      </c>
      <c r="F2016">
        <v>511111</v>
      </c>
      <c r="G2016" t="s">
        <v>4208</v>
      </c>
    </row>
    <row r="2017" spans="1:7">
      <c r="A2017">
        <v>1001</v>
      </c>
      <c r="B2017">
        <v>2</v>
      </c>
      <c r="C2017">
        <v>1004</v>
      </c>
      <c r="D2017" s="6" t="s">
        <v>4400</v>
      </c>
      <c r="E2017" s="27" t="s">
        <v>4396</v>
      </c>
      <c r="F2017">
        <v>511112</v>
      </c>
      <c r="G2017" t="s">
        <v>4208</v>
      </c>
    </row>
    <row r="2018" spans="1:7">
      <c r="A2018">
        <v>1001</v>
      </c>
      <c r="B2018">
        <v>2</v>
      </c>
      <c r="C2018">
        <v>1004</v>
      </c>
      <c r="D2018" s="6" t="s">
        <v>4401</v>
      </c>
      <c r="E2018" s="27" t="s">
        <v>4398</v>
      </c>
      <c r="F2018">
        <v>511113</v>
      </c>
      <c r="G2018" t="s">
        <v>4208</v>
      </c>
    </row>
    <row r="2019" spans="1:7">
      <c r="A2019" s="25">
        <v>1001</v>
      </c>
      <c r="B2019" s="25">
        <v>1</v>
      </c>
      <c r="C2019" s="25">
        <v>1001</v>
      </c>
      <c r="D2019" s="30" t="s">
        <v>4402</v>
      </c>
      <c r="E2019" s="27" t="s">
        <v>4399</v>
      </c>
      <c r="F2019">
        <v>511114</v>
      </c>
      <c r="G2019" t="s">
        <v>1664</v>
      </c>
    </row>
    <row r="2020" spans="1:7">
      <c r="A2020">
        <v>1001</v>
      </c>
      <c r="B2020">
        <v>1</v>
      </c>
      <c r="C2020">
        <v>1001</v>
      </c>
      <c r="D2020" t="s">
        <v>4403</v>
      </c>
      <c r="E2020" s="27" t="s">
        <v>4400</v>
      </c>
      <c r="F2020">
        <v>511115</v>
      </c>
      <c r="G2020" t="s">
        <v>4404</v>
      </c>
    </row>
    <row r="2021" spans="1:7">
      <c r="A2021">
        <v>1001</v>
      </c>
      <c r="B2021">
        <v>1</v>
      </c>
      <c r="C2021">
        <v>1001</v>
      </c>
      <c r="D2021" t="s">
        <v>4405</v>
      </c>
      <c r="E2021" s="27" t="s">
        <v>4401</v>
      </c>
      <c r="F2021">
        <v>511116</v>
      </c>
      <c r="G2021" t="s">
        <v>4406</v>
      </c>
    </row>
    <row r="2022" spans="1:7">
      <c r="A2022">
        <v>1001</v>
      </c>
      <c r="B2022">
        <v>1</v>
      </c>
      <c r="C2022">
        <v>1001</v>
      </c>
      <c r="D2022" t="s">
        <v>4407</v>
      </c>
      <c r="E2022" s="27" t="s">
        <v>4408</v>
      </c>
      <c r="F2022">
        <v>511117</v>
      </c>
      <c r="G2022" t="s">
        <v>4409</v>
      </c>
    </row>
    <row r="2023" spans="1:7">
      <c r="A2023">
        <v>1001</v>
      </c>
      <c r="B2023">
        <v>1</v>
      </c>
      <c r="C2023">
        <v>1001</v>
      </c>
      <c r="D2023" t="s">
        <v>4410</v>
      </c>
      <c r="E2023" s="27" t="s">
        <v>4403</v>
      </c>
      <c r="F2023">
        <v>511118</v>
      </c>
      <c r="G2023" t="s">
        <v>4411</v>
      </c>
    </row>
    <row r="2024" spans="1:7">
      <c r="A2024">
        <v>1001</v>
      </c>
      <c r="B2024">
        <v>1</v>
      </c>
      <c r="C2024">
        <v>1001</v>
      </c>
      <c r="D2024" t="s">
        <v>4412</v>
      </c>
      <c r="E2024" s="27" t="s">
        <v>4405</v>
      </c>
      <c r="F2024">
        <v>511119</v>
      </c>
      <c r="G2024" t="s">
        <v>4413</v>
      </c>
    </row>
    <row r="2025" spans="1:7">
      <c r="A2025">
        <v>1001</v>
      </c>
      <c r="B2025">
        <v>1</v>
      </c>
      <c r="C2025">
        <v>1001</v>
      </c>
      <c r="D2025" t="s">
        <v>4412</v>
      </c>
      <c r="E2025" s="27" t="s">
        <v>4407</v>
      </c>
      <c r="F2025">
        <v>511120</v>
      </c>
      <c r="G2025" t="s">
        <v>4414</v>
      </c>
    </row>
    <row r="2026" spans="1:7">
      <c r="A2026">
        <v>1001</v>
      </c>
      <c r="B2026">
        <v>1</v>
      </c>
      <c r="C2026">
        <v>1001</v>
      </c>
      <c r="D2026" t="s">
        <v>4415</v>
      </c>
      <c r="E2026" s="27" t="s">
        <v>4410</v>
      </c>
      <c r="F2026">
        <v>511121</v>
      </c>
      <c r="G2026" t="s">
        <v>4416</v>
      </c>
    </row>
    <row r="2027" spans="1:7">
      <c r="A2027">
        <v>1001</v>
      </c>
      <c r="B2027">
        <v>1</v>
      </c>
      <c r="C2027">
        <v>1001</v>
      </c>
      <c r="D2027" t="s">
        <v>4417</v>
      </c>
      <c r="E2027" s="27" t="s">
        <v>4412</v>
      </c>
      <c r="F2027">
        <v>511122</v>
      </c>
      <c r="G2027" t="s">
        <v>4418</v>
      </c>
    </row>
    <row r="2028" spans="1:7">
      <c r="A2028">
        <v>1001</v>
      </c>
      <c r="B2028">
        <v>1</v>
      </c>
      <c r="C2028">
        <v>1001</v>
      </c>
      <c r="D2028" t="s">
        <v>4419</v>
      </c>
      <c r="E2028" s="27" t="s">
        <v>4420</v>
      </c>
      <c r="F2028">
        <v>511123</v>
      </c>
      <c r="G2028" t="s">
        <v>4421</v>
      </c>
    </row>
    <row r="2029" spans="1:7">
      <c r="A2029">
        <v>1001</v>
      </c>
      <c r="B2029">
        <v>1</v>
      </c>
      <c r="C2029">
        <v>1001</v>
      </c>
      <c r="D2029" t="s">
        <v>4422</v>
      </c>
      <c r="E2029" s="27" t="s">
        <v>4415</v>
      </c>
      <c r="F2029">
        <v>511124</v>
      </c>
      <c r="G2029" t="s">
        <v>4423</v>
      </c>
    </row>
    <row r="2030" spans="1:7">
      <c r="A2030">
        <v>1001</v>
      </c>
      <c r="B2030">
        <v>1</v>
      </c>
      <c r="C2030">
        <v>1001</v>
      </c>
      <c r="D2030" t="s">
        <v>4424</v>
      </c>
      <c r="E2030" s="27" t="s">
        <v>4417</v>
      </c>
      <c r="F2030">
        <v>511125</v>
      </c>
      <c r="G2030" t="s">
        <v>4423</v>
      </c>
    </row>
    <row r="2031" spans="1:7">
      <c r="A2031">
        <v>1001</v>
      </c>
      <c r="B2031">
        <v>1</v>
      </c>
      <c r="C2031">
        <v>1001</v>
      </c>
      <c r="D2031" s="27" t="s">
        <v>4425</v>
      </c>
      <c r="E2031" s="27" t="s">
        <v>4419</v>
      </c>
      <c r="F2031">
        <v>511126</v>
      </c>
      <c r="G2031" t="s">
        <v>4426</v>
      </c>
    </row>
    <row r="2032" spans="1:7">
      <c r="A2032">
        <v>1001</v>
      </c>
      <c r="B2032">
        <v>1</v>
      </c>
      <c r="C2032">
        <v>1001</v>
      </c>
      <c r="D2032" s="27" t="s">
        <v>4427</v>
      </c>
      <c r="E2032" s="27" t="s">
        <v>4422</v>
      </c>
      <c r="F2032">
        <v>511127</v>
      </c>
      <c r="G2032" t="s">
        <v>4428</v>
      </c>
    </row>
    <row r="2033" spans="1:7">
      <c r="A2033">
        <v>1001</v>
      </c>
      <c r="B2033">
        <v>1</v>
      </c>
      <c r="C2033">
        <v>1001</v>
      </c>
      <c r="D2033" t="s">
        <v>4429</v>
      </c>
      <c r="E2033" s="27" t="s">
        <v>4424</v>
      </c>
      <c r="F2033">
        <v>511128</v>
      </c>
      <c r="G2033" t="s">
        <v>4430</v>
      </c>
    </row>
    <row r="2034" spans="1:7">
      <c r="A2034">
        <v>1001</v>
      </c>
      <c r="B2034">
        <v>1</v>
      </c>
      <c r="C2034">
        <v>1001</v>
      </c>
      <c r="D2034" t="s">
        <v>4431</v>
      </c>
      <c r="E2034" s="27" t="s">
        <v>4425</v>
      </c>
      <c r="F2034">
        <v>511129</v>
      </c>
      <c r="G2034" t="s">
        <v>4432</v>
      </c>
    </row>
    <row r="2035" spans="1:7">
      <c r="A2035">
        <v>1001</v>
      </c>
      <c r="B2035">
        <v>1</v>
      </c>
      <c r="C2035">
        <v>1001</v>
      </c>
      <c r="D2035" s="27" t="s">
        <v>4433</v>
      </c>
      <c r="E2035" s="27" t="s">
        <v>4427</v>
      </c>
      <c r="F2035">
        <v>511130</v>
      </c>
      <c r="G2035" t="s">
        <v>4434</v>
      </c>
    </row>
    <row r="2036" spans="1:7">
      <c r="A2036">
        <v>1001</v>
      </c>
      <c r="B2036">
        <v>1</v>
      </c>
      <c r="C2036">
        <v>1001</v>
      </c>
      <c r="D2036" t="s">
        <v>4435</v>
      </c>
      <c r="E2036" t="s">
        <v>4429</v>
      </c>
      <c r="F2036">
        <v>511131</v>
      </c>
      <c r="G2036" t="s">
        <v>4436</v>
      </c>
    </row>
    <row r="2037" spans="1:7">
      <c r="A2037">
        <v>1001</v>
      </c>
      <c r="B2037">
        <v>1</v>
      </c>
      <c r="C2037">
        <v>1001</v>
      </c>
      <c r="D2037" t="s">
        <v>4435</v>
      </c>
      <c r="E2037" t="s">
        <v>4431</v>
      </c>
      <c r="F2037">
        <v>511132</v>
      </c>
      <c r="G2037" t="s">
        <v>4436</v>
      </c>
    </row>
    <row r="2038" spans="1:7">
      <c r="A2038">
        <v>1001</v>
      </c>
      <c r="B2038">
        <v>6</v>
      </c>
      <c r="C2038">
        <v>1001</v>
      </c>
      <c r="D2038" t="s">
        <v>4435</v>
      </c>
      <c r="E2038" s="27" t="s">
        <v>4437</v>
      </c>
      <c r="F2038">
        <v>511133</v>
      </c>
      <c r="G2038" t="s">
        <v>4438</v>
      </c>
    </row>
    <row r="2039" spans="1:7">
      <c r="A2039">
        <v>1001</v>
      </c>
      <c r="B2039">
        <v>1</v>
      </c>
      <c r="C2039">
        <v>1001</v>
      </c>
      <c r="D2039" t="s">
        <v>4439</v>
      </c>
      <c r="E2039" t="s">
        <v>4440</v>
      </c>
      <c r="F2039">
        <v>511134</v>
      </c>
      <c r="G2039" t="s">
        <v>4441</v>
      </c>
    </row>
    <row r="2040" spans="1:7">
      <c r="A2040">
        <v>1001</v>
      </c>
      <c r="B2040">
        <v>1</v>
      </c>
      <c r="C2040">
        <v>1001</v>
      </c>
      <c r="D2040" t="s">
        <v>4442</v>
      </c>
      <c r="E2040" t="s">
        <v>4443</v>
      </c>
      <c r="F2040">
        <v>511135</v>
      </c>
      <c r="G2040" t="s">
        <v>4444</v>
      </c>
    </row>
    <row r="2041" spans="1:7">
      <c r="A2041">
        <v>1001</v>
      </c>
      <c r="B2041">
        <v>1</v>
      </c>
      <c r="C2041">
        <v>1001</v>
      </c>
      <c r="D2041" t="s">
        <v>4445</v>
      </c>
      <c r="E2041" t="s">
        <v>4446</v>
      </c>
      <c r="F2041">
        <v>511136</v>
      </c>
      <c r="G2041" t="s">
        <v>4447</v>
      </c>
    </row>
    <row r="2042" spans="1:7">
      <c r="A2042">
        <v>1001</v>
      </c>
      <c r="B2042">
        <v>1</v>
      </c>
      <c r="C2042">
        <v>1001</v>
      </c>
      <c r="D2042" t="s">
        <v>4448</v>
      </c>
      <c r="E2042" t="s">
        <v>4449</v>
      </c>
      <c r="F2042">
        <v>511137</v>
      </c>
      <c r="G2042" t="s">
        <v>4450</v>
      </c>
    </row>
    <row r="2043" spans="1:7">
      <c r="A2043">
        <v>1001</v>
      </c>
      <c r="B2043">
        <v>1</v>
      </c>
      <c r="C2043">
        <v>1001</v>
      </c>
      <c r="D2043" t="s">
        <v>4451</v>
      </c>
      <c r="E2043" t="s">
        <v>4452</v>
      </c>
      <c r="F2043">
        <v>511138</v>
      </c>
      <c r="G2043" t="s">
        <v>4453</v>
      </c>
    </row>
    <row r="2044" spans="1:7">
      <c r="A2044">
        <v>1001</v>
      </c>
      <c r="B2044">
        <v>1</v>
      </c>
      <c r="C2044">
        <v>1001</v>
      </c>
      <c r="D2044" t="s">
        <v>4454</v>
      </c>
      <c r="E2044" t="s">
        <v>4445</v>
      </c>
      <c r="F2044">
        <v>511139</v>
      </c>
      <c r="G2044" t="s">
        <v>4455</v>
      </c>
    </row>
    <row r="2045" spans="1:7">
      <c r="A2045">
        <v>1001</v>
      </c>
      <c r="B2045">
        <v>6</v>
      </c>
      <c r="C2045">
        <v>1001</v>
      </c>
      <c r="D2045" t="s">
        <v>4456</v>
      </c>
      <c r="E2045" t="s">
        <v>4448</v>
      </c>
      <c r="F2045">
        <v>511140</v>
      </c>
      <c r="G2045" t="s">
        <v>4457</v>
      </c>
    </row>
    <row r="2046" spans="1:7">
      <c r="A2046">
        <v>1001</v>
      </c>
      <c r="B2046">
        <v>1</v>
      </c>
      <c r="C2046">
        <v>1001</v>
      </c>
      <c r="D2046" t="s">
        <v>4458</v>
      </c>
      <c r="E2046" t="s">
        <v>4451</v>
      </c>
      <c r="F2046">
        <v>511141</v>
      </c>
      <c r="G2046" t="s">
        <v>4459</v>
      </c>
    </row>
    <row r="2047" spans="1:7">
      <c r="A2047">
        <v>1001</v>
      </c>
      <c r="B2047">
        <v>1</v>
      </c>
      <c r="C2047">
        <v>1001</v>
      </c>
      <c r="D2047" t="s">
        <v>4460</v>
      </c>
      <c r="E2047" t="s">
        <v>4454</v>
      </c>
      <c r="F2047">
        <v>511142</v>
      </c>
      <c r="G2047" t="s">
        <v>4461</v>
      </c>
    </row>
    <row r="2048" spans="1:6">
      <c r="A2048">
        <v>1001</v>
      </c>
      <c r="B2048">
        <v>1</v>
      </c>
      <c r="C2048">
        <v>1001</v>
      </c>
      <c r="D2048" t="s">
        <v>4462</v>
      </c>
      <c r="E2048" t="s">
        <v>4456</v>
      </c>
      <c r="F2048">
        <v>511143</v>
      </c>
    </row>
    <row r="2049" spans="1:6">
      <c r="A2049">
        <v>1001</v>
      </c>
      <c r="B2049">
        <v>1</v>
      </c>
      <c r="C2049">
        <v>1001</v>
      </c>
      <c r="D2049" t="s">
        <v>4463</v>
      </c>
      <c r="E2049" t="s">
        <v>4458</v>
      </c>
      <c r="F2049">
        <v>511144</v>
      </c>
    </row>
    <row r="2050" spans="1:6">
      <c r="A2050">
        <v>1001</v>
      </c>
      <c r="B2050">
        <v>1</v>
      </c>
      <c r="C2050">
        <v>1001</v>
      </c>
      <c r="D2050" t="s">
        <v>4464</v>
      </c>
      <c r="E2050" t="s">
        <v>4465</v>
      </c>
      <c r="F2050">
        <v>511145</v>
      </c>
    </row>
    <row r="2051" spans="1:6">
      <c r="A2051">
        <v>1001</v>
      </c>
      <c r="B2051">
        <v>1</v>
      </c>
      <c r="C2051">
        <v>1001</v>
      </c>
      <c r="D2051" t="s">
        <v>4466</v>
      </c>
      <c r="E2051" t="s">
        <v>4465</v>
      </c>
      <c r="F2051">
        <v>511146</v>
      </c>
    </row>
    <row r="2052" spans="1:6">
      <c r="A2052">
        <v>1001</v>
      </c>
      <c r="B2052">
        <v>6</v>
      </c>
      <c r="C2052">
        <v>1001</v>
      </c>
      <c r="D2052" t="s">
        <v>4467</v>
      </c>
      <c r="E2052" t="s">
        <v>4465</v>
      </c>
      <c r="F2052">
        <v>511147</v>
      </c>
    </row>
    <row r="2053" spans="1:6">
      <c r="A2053">
        <v>1001</v>
      </c>
      <c r="B2053">
        <v>6</v>
      </c>
      <c r="C2053">
        <v>1001</v>
      </c>
      <c r="D2053" t="s">
        <v>4468</v>
      </c>
      <c r="E2053" t="s">
        <v>4465</v>
      </c>
      <c r="F2053">
        <v>511148</v>
      </c>
    </row>
    <row r="2054" spans="1:7">
      <c r="A2054">
        <v>1001</v>
      </c>
      <c r="B2054">
        <v>6</v>
      </c>
      <c r="C2054">
        <v>1001</v>
      </c>
      <c r="D2054" t="s">
        <v>4469</v>
      </c>
      <c r="E2054" t="s">
        <v>4465</v>
      </c>
      <c r="F2054">
        <v>511149</v>
      </c>
      <c r="G2054" t="s">
        <v>4470</v>
      </c>
    </row>
    <row r="2055" spans="1:7">
      <c r="A2055">
        <v>1001</v>
      </c>
      <c r="B2055">
        <v>1</v>
      </c>
      <c r="C2055">
        <v>1001</v>
      </c>
      <c r="D2055" t="s">
        <v>4471</v>
      </c>
      <c r="E2055" t="s">
        <v>4472</v>
      </c>
      <c r="F2055">
        <v>2001000</v>
      </c>
      <c r="G2055" t="s">
        <v>4473</v>
      </c>
    </row>
    <row r="2056" spans="1:7">
      <c r="A2056">
        <v>1001</v>
      </c>
      <c r="B2056">
        <v>1</v>
      </c>
      <c r="C2056">
        <v>1001</v>
      </c>
      <c r="D2056" t="s">
        <v>4474</v>
      </c>
      <c r="E2056" t="s">
        <v>4468</v>
      </c>
      <c r="F2056">
        <v>2001001</v>
      </c>
      <c r="G2056" t="s">
        <v>4473</v>
      </c>
    </row>
    <row r="2057" spans="1:7">
      <c r="A2057">
        <v>1001</v>
      </c>
      <c r="B2057">
        <v>6</v>
      </c>
      <c r="C2057">
        <v>1001</v>
      </c>
      <c r="D2057" t="s">
        <v>4475</v>
      </c>
      <c r="E2057" t="s">
        <v>4469</v>
      </c>
      <c r="F2057">
        <v>511150</v>
      </c>
      <c r="G2057" t="s">
        <v>4470</v>
      </c>
    </row>
    <row r="2058" spans="1:7">
      <c r="A2058">
        <v>1001</v>
      </c>
      <c r="B2058">
        <v>6</v>
      </c>
      <c r="C2058">
        <v>1001</v>
      </c>
      <c r="D2058" t="s">
        <v>4476</v>
      </c>
      <c r="E2058" t="s">
        <v>4471</v>
      </c>
      <c r="F2058">
        <v>511151</v>
      </c>
      <c r="G2058" t="s">
        <v>4470</v>
      </c>
    </row>
    <row r="2059" spans="1:7">
      <c r="A2059">
        <v>1001</v>
      </c>
      <c r="B2059">
        <v>6</v>
      </c>
      <c r="C2059">
        <v>1001</v>
      </c>
      <c r="D2059" t="s">
        <v>4477</v>
      </c>
      <c r="E2059" t="s">
        <v>4474</v>
      </c>
      <c r="F2059">
        <v>511152</v>
      </c>
      <c r="G2059" t="s">
        <v>4470</v>
      </c>
    </row>
    <row r="2060" spans="1:7">
      <c r="A2060">
        <v>1001</v>
      </c>
      <c r="B2060">
        <v>6</v>
      </c>
      <c r="C2060">
        <v>1001</v>
      </c>
      <c r="D2060" t="s">
        <v>4478</v>
      </c>
      <c r="E2060" t="s">
        <v>4475</v>
      </c>
      <c r="F2060">
        <v>511153</v>
      </c>
      <c r="G2060" t="s">
        <v>4470</v>
      </c>
    </row>
    <row r="2061" spans="1:7">
      <c r="A2061">
        <v>1001</v>
      </c>
      <c r="B2061">
        <v>6</v>
      </c>
      <c r="C2061">
        <v>1001</v>
      </c>
      <c r="D2061" t="s">
        <v>4479</v>
      </c>
      <c r="E2061" t="s">
        <v>4476</v>
      </c>
      <c r="F2061">
        <v>511154</v>
      </c>
      <c r="G2061" t="s">
        <v>4470</v>
      </c>
    </row>
    <row r="2062" spans="1:7">
      <c r="A2062">
        <v>1001</v>
      </c>
      <c r="B2062">
        <v>6</v>
      </c>
      <c r="C2062">
        <v>1001</v>
      </c>
      <c r="D2062" t="s">
        <v>4480</v>
      </c>
      <c r="E2062" t="s">
        <v>4477</v>
      </c>
      <c r="F2062">
        <v>511155</v>
      </c>
      <c r="G2062" t="s">
        <v>4470</v>
      </c>
    </row>
    <row r="2063" spans="1:7">
      <c r="A2063">
        <v>1001</v>
      </c>
      <c r="B2063">
        <v>6</v>
      </c>
      <c r="C2063">
        <v>1001</v>
      </c>
      <c r="D2063" t="s">
        <v>4481</v>
      </c>
      <c r="E2063" t="s">
        <v>4478</v>
      </c>
      <c r="F2063">
        <v>511156</v>
      </c>
      <c r="G2063" t="s">
        <v>4482</v>
      </c>
    </row>
    <row r="2064" spans="1:7">
      <c r="A2064">
        <v>1001</v>
      </c>
      <c r="B2064">
        <v>6</v>
      </c>
      <c r="C2064">
        <v>1001</v>
      </c>
      <c r="D2064" t="s">
        <v>4483</v>
      </c>
      <c r="E2064" t="s">
        <v>4479</v>
      </c>
      <c r="F2064">
        <v>511157</v>
      </c>
      <c r="G2064" t="s">
        <v>4484</v>
      </c>
    </row>
    <row r="2065" spans="1:7">
      <c r="A2065">
        <v>1001</v>
      </c>
      <c r="B2065">
        <v>6</v>
      </c>
      <c r="C2065">
        <v>1001</v>
      </c>
      <c r="D2065" t="s">
        <v>4485</v>
      </c>
      <c r="E2065" t="s">
        <v>4480</v>
      </c>
      <c r="F2065">
        <v>511158</v>
      </c>
      <c r="G2065" t="s">
        <v>4486</v>
      </c>
    </row>
    <row r="2066" spans="1:7">
      <c r="A2066">
        <v>1001</v>
      </c>
      <c r="B2066">
        <v>6</v>
      </c>
      <c r="C2066">
        <v>1001</v>
      </c>
      <c r="D2066" t="s">
        <v>4487</v>
      </c>
      <c r="E2066" t="s">
        <v>4488</v>
      </c>
      <c r="F2066">
        <v>511159</v>
      </c>
      <c r="G2066" t="s">
        <v>4489</v>
      </c>
    </row>
    <row r="2067" spans="1:7">
      <c r="A2067">
        <v>1001</v>
      </c>
      <c r="B2067">
        <v>6</v>
      </c>
      <c r="C2067">
        <v>1001</v>
      </c>
      <c r="D2067" t="s">
        <v>4490</v>
      </c>
      <c r="E2067" t="s">
        <v>4491</v>
      </c>
      <c r="F2067">
        <v>511160</v>
      </c>
      <c r="G2067" t="s">
        <v>4492</v>
      </c>
    </row>
    <row r="2068" spans="1:7">
      <c r="A2068" s="25">
        <v>1001</v>
      </c>
      <c r="B2068" s="25">
        <v>6</v>
      </c>
      <c r="C2068" s="25">
        <v>1001</v>
      </c>
      <c r="D2068" t="s">
        <v>3692</v>
      </c>
      <c r="E2068" t="s">
        <v>4485</v>
      </c>
      <c r="F2068">
        <v>511161</v>
      </c>
      <c r="G2068" t="s">
        <v>4493</v>
      </c>
    </row>
    <row r="2069" spans="1:7">
      <c r="A2069" s="25">
        <v>1001</v>
      </c>
      <c r="B2069" s="25">
        <v>6</v>
      </c>
      <c r="C2069" s="25">
        <v>1001</v>
      </c>
      <c r="D2069" t="s">
        <v>4494</v>
      </c>
      <c r="E2069" t="s">
        <v>4495</v>
      </c>
      <c r="F2069">
        <v>511162</v>
      </c>
      <c r="G2069" t="s">
        <v>4496</v>
      </c>
    </row>
    <row r="2070" spans="1:7">
      <c r="A2070" s="25">
        <v>1001</v>
      </c>
      <c r="B2070" s="25">
        <v>6</v>
      </c>
      <c r="C2070" s="25">
        <v>1001</v>
      </c>
      <c r="D2070" t="s">
        <v>4497</v>
      </c>
      <c r="E2070" t="s">
        <v>4490</v>
      </c>
      <c r="F2070">
        <v>511163</v>
      </c>
      <c r="G2070" t="s">
        <v>4498</v>
      </c>
    </row>
    <row r="2071" spans="1:7">
      <c r="A2071" s="25">
        <v>1001</v>
      </c>
      <c r="B2071" s="25">
        <v>6</v>
      </c>
      <c r="C2071" s="25">
        <v>1001</v>
      </c>
      <c r="D2071" t="s">
        <v>4499</v>
      </c>
      <c r="E2071" s="27" t="s">
        <v>3692</v>
      </c>
      <c r="F2071">
        <v>511164</v>
      </c>
      <c r="G2071" t="s">
        <v>4500</v>
      </c>
    </row>
    <row r="2072" spans="1:7">
      <c r="A2072" s="25">
        <v>1001</v>
      </c>
      <c r="B2072">
        <v>6</v>
      </c>
      <c r="C2072" s="25">
        <v>1001</v>
      </c>
      <c r="D2072" t="s">
        <v>691</v>
      </c>
      <c r="E2072" t="s">
        <v>4501</v>
      </c>
      <c r="F2072">
        <v>511165</v>
      </c>
      <c r="G2072" t="s">
        <v>4502</v>
      </c>
    </row>
    <row r="2073" spans="1:7">
      <c r="A2073" s="25">
        <v>1001</v>
      </c>
      <c r="B2073">
        <v>6</v>
      </c>
      <c r="C2073" s="25">
        <v>1001</v>
      </c>
      <c r="D2073" t="s">
        <v>4503</v>
      </c>
      <c r="E2073" t="s">
        <v>4504</v>
      </c>
      <c r="F2073">
        <v>511166</v>
      </c>
      <c r="G2073" t="s">
        <v>4505</v>
      </c>
    </row>
    <row r="2074" spans="1:7">
      <c r="A2074" s="25">
        <v>1001</v>
      </c>
      <c r="B2074">
        <v>6</v>
      </c>
      <c r="C2074" s="25">
        <v>1001</v>
      </c>
      <c r="D2074" t="s">
        <v>693</v>
      </c>
      <c r="E2074" t="s">
        <v>4506</v>
      </c>
      <c r="F2074">
        <v>511167</v>
      </c>
      <c r="G2074" t="s">
        <v>4507</v>
      </c>
    </row>
    <row r="2075" spans="1:7">
      <c r="A2075" s="25">
        <v>1001</v>
      </c>
      <c r="B2075">
        <v>6</v>
      </c>
      <c r="C2075" s="25">
        <v>1001</v>
      </c>
      <c r="D2075" t="s">
        <v>4508</v>
      </c>
      <c r="E2075" t="s">
        <v>691</v>
      </c>
      <c r="F2075">
        <v>511168</v>
      </c>
      <c r="G2075" t="s">
        <v>4509</v>
      </c>
    </row>
    <row r="2076" spans="1:7">
      <c r="A2076" s="25">
        <v>1001</v>
      </c>
      <c r="B2076">
        <v>6</v>
      </c>
      <c r="C2076" s="25">
        <v>1001</v>
      </c>
      <c r="D2076" t="s">
        <v>4510</v>
      </c>
      <c r="E2076" t="s">
        <v>4503</v>
      </c>
      <c r="F2076">
        <v>511169</v>
      </c>
      <c r="G2076" t="s">
        <v>4511</v>
      </c>
    </row>
    <row r="2077" spans="1:7">
      <c r="A2077" s="25">
        <v>1001</v>
      </c>
      <c r="B2077">
        <v>6</v>
      </c>
      <c r="C2077" s="25">
        <v>1001</v>
      </c>
      <c r="D2077" t="s">
        <v>4431</v>
      </c>
      <c r="E2077" t="s">
        <v>693</v>
      </c>
      <c r="F2077">
        <v>511170</v>
      </c>
      <c r="G2077" t="s">
        <v>4512</v>
      </c>
    </row>
    <row r="2078" spans="1:7">
      <c r="A2078" s="25">
        <v>1001</v>
      </c>
      <c r="B2078">
        <v>6</v>
      </c>
      <c r="C2078" s="25">
        <v>1001</v>
      </c>
      <c r="D2078" t="s">
        <v>4429</v>
      </c>
      <c r="E2078" t="s">
        <v>4508</v>
      </c>
      <c r="F2078">
        <v>511171</v>
      </c>
      <c r="G2078" t="s">
        <v>4513</v>
      </c>
    </row>
    <row r="2079" spans="1:7">
      <c r="A2079" s="25">
        <v>1001</v>
      </c>
      <c r="B2079">
        <v>6</v>
      </c>
      <c r="C2079" s="25">
        <v>1001</v>
      </c>
      <c r="D2079" t="s">
        <v>4508</v>
      </c>
      <c r="E2079" t="s">
        <v>4510</v>
      </c>
      <c r="F2079">
        <v>511172</v>
      </c>
      <c r="G2079" t="s">
        <v>4514</v>
      </c>
    </row>
    <row r="2080" spans="1:7">
      <c r="A2080" s="25">
        <v>1001</v>
      </c>
      <c r="B2080">
        <v>6</v>
      </c>
      <c r="C2080" s="25">
        <v>1001</v>
      </c>
      <c r="D2080" t="s">
        <v>4515</v>
      </c>
      <c r="E2080" t="s">
        <v>4431</v>
      </c>
      <c r="F2080">
        <v>511173</v>
      </c>
      <c r="G2080" t="s">
        <v>4516</v>
      </c>
    </row>
    <row r="2081" spans="1:7">
      <c r="A2081" s="25">
        <v>1001</v>
      </c>
      <c r="B2081">
        <v>6</v>
      </c>
      <c r="C2081" s="25">
        <v>1001</v>
      </c>
      <c r="D2081" t="s">
        <v>4517</v>
      </c>
      <c r="E2081" t="s">
        <v>4429</v>
      </c>
      <c r="F2081">
        <v>511174</v>
      </c>
      <c r="G2081" t="s">
        <v>4518</v>
      </c>
    </row>
    <row r="2082" spans="1:7">
      <c r="A2082" s="25">
        <v>1001</v>
      </c>
      <c r="B2082">
        <v>6</v>
      </c>
      <c r="C2082" s="25">
        <v>1001</v>
      </c>
      <c r="D2082" t="s">
        <v>4519</v>
      </c>
      <c r="E2082" t="s">
        <v>4508</v>
      </c>
      <c r="F2082">
        <v>511175</v>
      </c>
      <c r="G2082" t="s">
        <v>4520</v>
      </c>
    </row>
    <row r="2083" spans="1:7">
      <c r="A2083" s="25">
        <v>1001</v>
      </c>
      <c r="B2083">
        <v>6</v>
      </c>
      <c r="C2083" s="25">
        <v>1001</v>
      </c>
      <c r="D2083" t="s">
        <v>4521</v>
      </c>
      <c r="E2083" t="s">
        <v>4515</v>
      </c>
      <c r="F2083">
        <v>511176</v>
      </c>
      <c r="G2083" t="s">
        <v>4522</v>
      </c>
    </row>
    <row r="2084" spans="1:7">
      <c r="A2084" s="25">
        <v>1001</v>
      </c>
      <c r="B2084">
        <v>6</v>
      </c>
      <c r="C2084" s="25">
        <v>1001</v>
      </c>
      <c r="D2084" s="74" t="s">
        <v>2979</v>
      </c>
      <c r="E2084" t="s">
        <v>4517</v>
      </c>
      <c r="F2084">
        <v>511177</v>
      </c>
      <c r="G2084" s="74" t="s">
        <v>4523</v>
      </c>
    </row>
    <row r="2085" spans="1:7">
      <c r="A2085" s="25">
        <v>1001</v>
      </c>
      <c r="B2085">
        <v>6</v>
      </c>
      <c r="C2085" s="25">
        <v>1001</v>
      </c>
      <c r="D2085" s="74" t="s">
        <v>2981</v>
      </c>
      <c r="E2085" t="s">
        <v>4519</v>
      </c>
      <c r="F2085">
        <v>511178</v>
      </c>
      <c r="G2085" s="74" t="s">
        <v>4524</v>
      </c>
    </row>
    <row r="2086" spans="1:7">
      <c r="A2086" s="25">
        <v>1001</v>
      </c>
      <c r="B2086">
        <v>6</v>
      </c>
      <c r="C2086" s="25">
        <v>1001</v>
      </c>
      <c r="D2086" s="74" t="s">
        <v>2983</v>
      </c>
      <c r="E2086" t="s">
        <v>4521</v>
      </c>
      <c r="F2086">
        <v>511179</v>
      </c>
      <c r="G2086" s="74" t="s">
        <v>4525</v>
      </c>
    </row>
    <row r="2087" spans="1:7">
      <c r="A2087" s="25">
        <v>1001</v>
      </c>
      <c r="B2087">
        <v>6</v>
      </c>
      <c r="C2087" s="25">
        <v>1001</v>
      </c>
      <c r="D2087" s="74" t="s">
        <v>2985</v>
      </c>
      <c r="E2087" s="74" t="s">
        <v>2979</v>
      </c>
      <c r="F2087">
        <v>511180</v>
      </c>
      <c r="G2087" s="74" t="s">
        <v>4526</v>
      </c>
    </row>
    <row r="2088" spans="1:7">
      <c r="A2088" s="25">
        <v>1001</v>
      </c>
      <c r="B2088">
        <v>6</v>
      </c>
      <c r="C2088" s="25">
        <v>1001</v>
      </c>
      <c r="D2088" s="27" t="s">
        <v>4527</v>
      </c>
      <c r="E2088" s="74" t="s">
        <v>2981</v>
      </c>
      <c r="F2088">
        <v>511181</v>
      </c>
      <c r="G2088" s="27" t="s">
        <v>4528</v>
      </c>
    </row>
    <row r="2089" spans="1:7">
      <c r="A2089" s="25">
        <v>1001</v>
      </c>
      <c r="B2089">
        <v>6</v>
      </c>
      <c r="C2089" s="25">
        <v>1001</v>
      </c>
      <c r="D2089" s="27" t="s">
        <v>4529</v>
      </c>
      <c r="E2089" s="74" t="s">
        <v>2983</v>
      </c>
      <c r="F2089">
        <v>511182</v>
      </c>
      <c r="G2089" s="27" t="s">
        <v>4530</v>
      </c>
    </row>
    <row r="2090" spans="1:7">
      <c r="A2090" s="25">
        <v>1001</v>
      </c>
      <c r="B2090">
        <v>6</v>
      </c>
      <c r="C2090" s="25">
        <v>1001</v>
      </c>
      <c r="D2090" s="27" t="s">
        <v>4531</v>
      </c>
      <c r="E2090" s="74" t="s">
        <v>2985</v>
      </c>
      <c r="F2090">
        <v>511183</v>
      </c>
      <c r="G2090" s="27" t="s">
        <v>4532</v>
      </c>
    </row>
    <row r="2091" spans="1:7">
      <c r="A2091" s="25">
        <v>1001</v>
      </c>
      <c r="B2091">
        <v>6</v>
      </c>
      <c r="C2091" s="25">
        <v>1001</v>
      </c>
      <c r="D2091" s="27" t="s">
        <v>4533</v>
      </c>
      <c r="E2091" s="27" t="s">
        <v>4527</v>
      </c>
      <c r="F2091">
        <v>511184</v>
      </c>
      <c r="G2091" s="27" t="s">
        <v>4534</v>
      </c>
    </row>
    <row r="2092" spans="1:7">
      <c r="A2092" s="25">
        <v>1001</v>
      </c>
      <c r="B2092">
        <v>6</v>
      </c>
      <c r="C2092" s="25">
        <v>1001</v>
      </c>
      <c r="D2092" s="27" t="s">
        <v>4415</v>
      </c>
      <c r="E2092" s="27" t="s">
        <v>4529</v>
      </c>
      <c r="F2092">
        <v>511185</v>
      </c>
      <c r="G2092" t="s">
        <v>4535</v>
      </c>
    </row>
    <row r="2093" spans="1:7">
      <c r="A2093" s="25">
        <v>1001</v>
      </c>
      <c r="B2093">
        <v>6</v>
      </c>
      <c r="C2093" s="25">
        <v>1001</v>
      </c>
      <c r="D2093" t="s">
        <v>4536</v>
      </c>
      <c r="E2093" s="27" t="s">
        <v>4531</v>
      </c>
      <c r="F2093">
        <v>511186</v>
      </c>
      <c r="G2093" t="s">
        <v>4512</v>
      </c>
    </row>
    <row r="2094" spans="1:7">
      <c r="A2094" s="25">
        <v>1001</v>
      </c>
      <c r="B2094">
        <v>6</v>
      </c>
      <c r="C2094" s="25">
        <v>1001</v>
      </c>
      <c r="D2094" t="s">
        <v>4537</v>
      </c>
      <c r="E2094" s="27" t="s">
        <v>4533</v>
      </c>
      <c r="F2094">
        <v>511187</v>
      </c>
      <c r="G2094" t="s">
        <v>4513</v>
      </c>
    </row>
    <row r="2095" spans="1:7">
      <c r="A2095" s="25">
        <v>1001</v>
      </c>
      <c r="B2095" s="25">
        <v>2</v>
      </c>
      <c r="C2095" s="25">
        <v>1001</v>
      </c>
      <c r="D2095" s="27" t="s">
        <v>4538</v>
      </c>
      <c r="E2095" s="27" t="s">
        <v>4415</v>
      </c>
      <c r="F2095">
        <v>511188</v>
      </c>
      <c r="G2095" t="s">
        <v>4539</v>
      </c>
    </row>
    <row r="2096" spans="1:7">
      <c r="A2096" s="25">
        <v>1001</v>
      </c>
      <c r="B2096" s="25">
        <v>2</v>
      </c>
      <c r="C2096" s="25">
        <v>1001</v>
      </c>
      <c r="D2096" s="27" t="s">
        <v>4540</v>
      </c>
      <c r="E2096" t="s">
        <v>4536</v>
      </c>
      <c r="F2096">
        <v>511189</v>
      </c>
      <c r="G2096" t="s">
        <v>4541</v>
      </c>
    </row>
    <row r="2097" spans="1:7">
      <c r="A2097" s="25">
        <v>1001</v>
      </c>
      <c r="B2097" s="25">
        <v>2</v>
      </c>
      <c r="C2097" s="25">
        <v>1001</v>
      </c>
      <c r="D2097" s="27" t="s">
        <v>4542</v>
      </c>
      <c r="E2097" t="s">
        <v>4537</v>
      </c>
      <c r="F2097">
        <v>511190</v>
      </c>
      <c r="G2097" t="s">
        <v>4543</v>
      </c>
    </row>
    <row r="2098" spans="1:7">
      <c r="A2098" s="25">
        <v>1001</v>
      </c>
      <c r="B2098" s="25">
        <v>2</v>
      </c>
      <c r="C2098" s="25">
        <v>1001</v>
      </c>
      <c r="D2098" t="s">
        <v>2370</v>
      </c>
      <c r="E2098" s="27" t="s">
        <v>4538</v>
      </c>
      <c r="F2098">
        <v>511191</v>
      </c>
      <c r="G2098" t="s">
        <v>4544</v>
      </c>
    </row>
    <row r="2099" spans="1:7">
      <c r="A2099" s="25">
        <v>1001</v>
      </c>
      <c r="B2099" s="25">
        <v>2</v>
      </c>
      <c r="C2099" s="25">
        <v>1001</v>
      </c>
      <c r="D2099" t="s">
        <v>2375</v>
      </c>
      <c r="E2099" s="27" t="s">
        <v>4540</v>
      </c>
      <c r="F2099">
        <v>511192</v>
      </c>
      <c r="G2099" t="s">
        <v>2240</v>
      </c>
    </row>
    <row r="2100" spans="1:7">
      <c r="A2100" s="25">
        <v>1001</v>
      </c>
      <c r="B2100" s="25">
        <v>2</v>
      </c>
      <c r="C2100" s="25">
        <v>1001</v>
      </c>
      <c r="D2100" t="s">
        <v>2376</v>
      </c>
      <c r="E2100" s="27" t="s">
        <v>4545</v>
      </c>
      <c r="F2100">
        <v>511193</v>
      </c>
      <c r="G2100" t="s">
        <v>4546</v>
      </c>
    </row>
    <row r="2101" spans="1:7">
      <c r="A2101" s="25">
        <v>1001</v>
      </c>
      <c r="B2101" s="25">
        <v>2</v>
      </c>
      <c r="C2101" s="25">
        <v>1001</v>
      </c>
      <c r="D2101" t="s">
        <v>2381</v>
      </c>
      <c r="E2101" s="27" t="s">
        <v>2370</v>
      </c>
      <c r="F2101">
        <v>431001</v>
      </c>
      <c r="G2101" t="s">
        <v>2240</v>
      </c>
    </row>
    <row r="2102" spans="1:7">
      <c r="A2102" s="25">
        <v>1001</v>
      </c>
      <c r="B2102" s="25">
        <v>2</v>
      </c>
      <c r="C2102" s="25">
        <v>1001</v>
      </c>
      <c r="D2102" t="s">
        <v>2382</v>
      </c>
      <c r="E2102" s="27" t="s">
        <v>2375</v>
      </c>
      <c r="F2102">
        <v>432001</v>
      </c>
      <c r="G2102" t="s">
        <v>4547</v>
      </c>
    </row>
    <row r="2103" spans="1:7">
      <c r="A2103">
        <v>1001</v>
      </c>
      <c r="B2103">
        <v>1</v>
      </c>
      <c r="C2103">
        <v>1001</v>
      </c>
      <c r="D2103" t="s">
        <v>4548</v>
      </c>
      <c r="E2103" s="27" t="s">
        <v>2376</v>
      </c>
      <c r="F2103">
        <v>433001</v>
      </c>
      <c r="G2103" t="s">
        <v>4549</v>
      </c>
    </row>
    <row r="2104" spans="1:7">
      <c r="A2104">
        <v>1001</v>
      </c>
      <c r="B2104">
        <v>1</v>
      </c>
      <c r="C2104">
        <v>1001</v>
      </c>
      <c r="D2104" t="s">
        <v>4550</v>
      </c>
      <c r="E2104" s="27" t="s">
        <v>2381</v>
      </c>
      <c r="F2104">
        <v>434001</v>
      </c>
      <c r="G2104" t="s">
        <v>4551</v>
      </c>
    </row>
    <row r="2105" spans="1:7">
      <c r="A2105" s="25">
        <v>1001</v>
      </c>
      <c r="B2105" s="25">
        <v>6</v>
      </c>
      <c r="C2105" s="25">
        <v>1001</v>
      </c>
      <c r="D2105" t="s">
        <v>4552</v>
      </c>
      <c r="E2105" s="27" t="s">
        <v>2382</v>
      </c>
      <c r="F2105">
        <v>435001</v>
      </c>
      <c r="G2105" t="s">
        <v>4553</v>
      </c>
    </row>
    <row r="2106" spans="1:7">
      <c r="A2106" s="25">
        <v>1001</v>
      </c>
      <c r="B2106">
        <v>2</v>
      </c>
      <c r="C2106" s="25">
        <v>1001</v>
      </c>
      <c r="D2106" t="s">
        <v>4554</v>
      </c>
      <c r="E2106" t="s">
        <v>4548</v>
      </c>
      <c r="F2106">
        <v>511194</v>
      </c>
      <c r="G2106" t="s">
        <v>4555</v>
      </c>
    </row>
    <row r="2107" spans="1:7">
      <c r="A2107" s="25">
        <v>1001</v>
      </c>
      <c r="B2107">
        <v>2</v>
      </c>
      <c r="C2107" s="25">
        <v>1001</v>
      </c>
      <c r="D2107" t="s">
        <v>4556</v>
      </c>
      <c r="E2107" t="s">
        <v>4550</v>
      </c>
      <c r="F2107">
        <v>511195</v>
      </c>
      <c r="G2107" t="s">
        <v>4556</v>
      </c>
    </row>
    <row r="2108" spans="1:7">
      <c r="A2108" s="25">
        <v>1001</v>
      </c>
      <c r="B2108">
        <v>2</v>
      </c>
      <c r="C2108" s="25">
        <v>1001</v>
      </c>
      <c r="D2108" t="s">
        <v>4557</v>
      </c>
      <c r="E2108" t="s">
        <v>4552</v>
      </c>
      <c r="F2108">
        <v>511196</v>
      </c>
      <c r="G2108" t="s">
        <v>4557</v>
      </c>
    </row>
    <row r="2109" spans="1:7">
      <c r="A2109" s="25">
        <v>1001</v>
      </c>
      <c r="B2109">
        <v>6</v>
      </c>
      <c r="C2109" s="25">
        <v>1001</v>
      </c>
      <c r="D2109" t="s">
        <v>4558</v>
      </c>
      <c r="E2109" t="s">
        <v>4555</v>
      </c>
      <c r="F2109">
        <v>511197</v>
      </c>
      <c r="G2109" t="s">
        <v>4559</v>
      </c>
    </row>
    <row r="2110" spans="1:7">
      <c r="A2110" s="25">
        <v>1001</v>
      </c>
      <c r="B2110">
        <v>6</v>
      </c>
      <c r="C2110" s="25">
        <v>1001</v>
      </c>
      <c r="D2110" t="s">
        <v>4560</v>
      </c>
      <c r="E2110" t="s">
        <v>4561</v>
      </c>
      <c r="F2110">
        <v>511198</v>
      </c>
      <c r="G2110" t="s">
        <v>4562</v>
      </c>
    </row>
    <row r="2111" spans="1:7">
      <c r="A2111">
        <v>1001</v>
      </c>
      <c r="B2111">
        <v>6</v>
      </c>
      <c r="C2111">
        <v>1001</v>
      </c>
      <c r="D2111" t="s">
        <v>4563</v>
      </c>
      <c r="E2111" t="s">
        <v>4564</v>
      </c>
      <c r="F2111">
        <v>511199</v>
      </c>
      <c r="G2111" t="s">
        <v>4565</v>
      </c>
    </row>
    <row r="2112" spans="1:7">
      <c r="A2112">
        <v>1001</v>
      </c>
      <c r="B2112">
        <v>1</v>
      </c>
      <c r="C2112" s="25">
        <v>3</v>
      </c>
      <c r="D2112" t="s">
        <v>4566</v>
      </c>
      <c r="E2112" t="s">
        <v>4558</v>
      </c>
      <c r="F2112">
        <v>511200</v>
      </c>
      <c r="G2112" t="s">
        <v>4567</v>
      </c>
    </row>
    <row r="2113" spans="1:7">
      <c r="A2113">
        <v>1001</v>
      </c>
      <c r="B2113">
        <v>1</v>
      </c>
      <c r="C2113" s="25">
        <v>3</v>
      </c>
      <c r="D2113" t="s">
        <v>4568</v>
      </c>
      <c r="E2113" t="s">
        <v>4560</v>
      </c>
      <c r="F2113">
        <v>511201</v>
      </c>
      <c r="G2113" t="s">
        <v>4569</v>
      </c>
    </row>
    <row r="2114" spans="1:7">
      <c r="A2114">
        <v>1001</v>
      </c>
      <c r="B2114">
        <v>1</v>
      </c>
      <c r="C2114" s="25">
        <v>3</v>
      </c>
      <c r="D2114" t="s">
        <v>4570</v>
      </c>
      <c r="E2114" t="s">
        <v>4563</v>
      </c>
      <c r="F2114">
        <v>511202</v>
      </c>
      <c r="G2114" t="s">
        <v>4571</v>
      </c>
    </row>
    <row r="2115" spans="1:7">
      <c r="A2115">
        <v>1001</v>
      </c>
      <c r="B2115">
        <v>1</v>
      </c>
      <c r="C2115" s="25">
        <v>3</v>
      </c>
      <c r="D2115" t="s">
        <v>4572</v>
      </c>
      <c r="E2115" t="s">
        <v>4566</v>
      </c>
      <c r="F2115">
        <v>511203</v>
      </c>
      <c r="G2115" t="s">
        <v>4573</v>
      </c>
    </row>
    <row r="2116" spans="1:7">
      <c r="A2116">
        <v>1001</v>
      </c>
      <c r="B2116">
        <v>1</v>
      </c>
      <c r="C2116" s="25">
        <v>3</v>
      </c>
      <c r="D2116" t="s">
        <v>4574</v>
      </c>
      <c r="E2116" t="s">
        <v>4568</v>
      </c>
      <c r="F2116">
        <v>511204</v>
      </c>
      <c r="G2116" t="s">
        <v>4575</v>
      </c>
    </row>
    <row r="2117" spans="1:7">
      <c r="A2117">
        <v>1001</v>
      </c>
      <c r="B2117">
        <v>1</v>
      </c>
      <c r="C2117" s="25">
        <v>3</v>
      </c>
      <c r="D2117" t="s">
        <v>4576</v>
      </c>
      <c r="E2117" t="s">
        <v>4570</v>
      </c>
      <c r="F2117">
        <v>511205</v>
      </c>
      <c r="G2117" t="s">
        <v>4577</v>
      </c>
    </row>
    <row r="2118" spans="1:7">
      <c r="A2118">
        <v>1001</v>
      </c>
      <c r="B2118">
        <v>1</v>
      </c>
      <c r="C2118" s="25">
        <v>3</v>
      </c>
      <c r="D2118" t="s">
        <v>4578</v>
      </c>
      <c r="E2118" t="s">
        <v>4572</v>
      </c>
      <c r="F2118">
        <v>511206</v>
      </c>
      <c r="G2118" t="s">
        <v>4579</v>
      </c>
    </row>
    <row r="2119" spans="1:7">
      <c r="A2119">
        <v>1001</v>
      </c>
      <c r="B2119">
        <v>1</v>
      </c>
      <c r="C2119" s="25">
        <v>3</v>
      </c>
      <c r="D2119" t="s">
        <v>4580</v>
      </c>
      <c r="E2119" t="s">
        <v>4574</v>
      </c>
      <c r="F2119">
        <v>511207</v>
      </c>
      <c r="G2119" t="s">
        <v>4581</v>
      </c>
    </row>
    <row r="2120" spans="1:7">
      <c r="A2120">
        <v>1001</v>
      </c>
      <c r="B2120">
        <v>1</v>
      </c>
      <c r="C2120" s="25">
        <v>3</v>
      </c>
      <c r="D2120" t="s">
        <v>4582</v>
      </c>
      <c r="E2120" t="s">
        <v>4576</v>
      </c>
      <c r="F2120">
        <v>511208</v>
      </c>
      <c r="G2120" t="s">
        <v>4583</v>
      </c>
    </row>
    <row r="2121" spans="1:7">
      <c r="A2121">
        <v>1001</v>
      </c>
      <c r="B2121">
        <v>1</v>
      </c>
      <c r="C2121" s="25">
        <v>3</v>
      </c>
      <c r="D2121" t="s">
        <v>4584</v>
      </c>
      <c r="E2121" t="s">
        <v>4578</v>
      </c>
      <c r="F2121">
        <v>511209</v>
      </c>
      <c r="G2121" t="s">
        <v>4585</v>
      </c>
    </row>
    <row r="2122" spans="1:7">
      <c r="A2122">
        <v>1001</v>
      </c>
      <c r="B2122">
        <v>1</v>
      </c>
      <c r="C2122">
        <v>1001</v>
      </c>
      <c r="D2122" s="27" t="s">
        <v>4586</v>
      </c>
      <c r="E2122" t="s">
        <v>4580</v>
      </c>
      <c r="F2122">
        <v>511210</v>
      </c>
      <c r="G2122" t="s">
        <v>4587</v>
      </c>
    </row>
    <row r="2123" s="16" customFormat="1" spans="1:7">
      <c r="A2123" s="75">
        <v>1001</v>
      </c>
      <c r="B2123" s="75">
        <v>1</v>
      </c>
      <c r="C2123" s="75">
        <v>3</v>
      </c>
      <c r="D2123" s="76" t="s">
        <v>4588</v>
      </c>
      <c r="E2123" s="16" t="s">
        <v>4582</v>
      </c>
      <c r="F2123" s="16">
        <v>511211</v>
      </c>
      <c r="G2123" s="76" t="s">
        <v>4589</v>
      </c>
    </row>
    <row r="2124" spans="1:7">
      <c r="A2124" s="77">
        <v>1001</v>
      </c>
      <c r="B2124" s="77">
        <v>1</v>
      </c>
      <c r="C2124" s="77">
        <v>3</v>
      </c>
      <c r="D2124" t="s">
        <v>4590</v>
      </c>
      <c r="E2124" t="s">
        <v>4584</v>
      </c>
      <c r="F2124">
        <v>511212</v>
      </c>
      <c r="G2124" t="s">
        <v>4591</v>
      </c>
    </row>
    <row r="2125" spans="1:7">
      <c r="A2125">
        <v>1001</v>
      </c>
      <c r="B2125">
        <v>1</v>
      </c>
      <c r="C2125">
        <v>3</v>
      </c>
      <c r="D2125" t="s">
        <v>4592</v>
      </c>
      <c r="E2125" s="27" t="s">
        <v>4586</v>
      </c>
      <c r="F2125">
        <v>511213</v>
      </c>
      <c r="G2125" t="s">
        <v>4593</v>
      </c>
    </row>
    <row r="2126" spans="1:7">
      <c r="A2126">
        <v>1001</v>
      </c>
      <c r="B2126">
        <v>1</v>
      </c>
      <c r="C2126">
        <v>3</v>
      </c>
      <c r="D2126" t="s">
        <v>4594</v>
      </c>
      <c r="E2126" s="76" t="s">
        <v>4588</v>
      </c>
      <c r="F2126" s="16">
        <v>511214</v>
      </c>
      <c r="G2126" t="s">
        <v>4595</v>
      </c>
    </row>
    <row r="2127" s="16" customFormat="1" spans="1:7">
      <c r="A2127" s="75">
        <v>1001</v>
      </c>
      <c r="B2127" s="75">
        <v>1</v>
      </c>
      <c r="C2127" s="75">
        <v>3</v>
      </c>
      <c r="D2127" s="76" t="s">
        <v>4596</v>
      </c>
      <c r="E2127" s="16" t="s">
        <v>4590</v>
      </c>
      <c r="F2127" s="16">
        <v>511215</v>
      </c>
      <c r="G2127" s="76" t="s">
        <v>4597</v>
      </c>
    </row>
    <row r="2128" spans="1:7">
      <c r="A2128" s="75">
        <v>1001</v>
      </c>
      <c r="B2128" s="75">
        <v>1</v>
      </c>
      <c r="C2128">
        <v>1001</v>
      </c>
      <c r="D2128" t="s">
        <v>4598</v>
      </c>
      <c r="E2128" t="s">
        <v>4592</v>
      </c>
      <c r="F2128">
        <v>511216</v>
      </c>
      <c r="G2128" t="s">
        <v>4599</v>
      </c>
    </row>
    <row r="2129" spans="1:7">
      <c r="A2129" s="75">
        <v>1001</v>
      </c>
      <c r="B2129" s="75">
        <v>1</v>
      </c>
      <c r="C2129">
        <v>1001</v>
      </c>
      <c r="D2129" t="s">
        <v>4600</v>
      </c>
      <c r="E2129" t="s">
        <v>4594</v>
      </c>
      <c r="F2129">
        <v>511217</v>
      </c>
      <c r="G2129" t="s">
        <v>4599</v>
      </c>
    </row>
    <row r="2130" spans="1:7">
      <c r="A2130" s="75">
        <v>1001</v>
      </c>
      <c r="B2130" s="75">
        <v>6</v>
      </c>
      <c r="C2130">
        <v>1001</v>
      </c>
      <c r="D2130" t="s">
        <v>4601</v>
      </c>
      <c r="E2130" s="76" t="s">
        <v>4596</v>
      </c>
      <c r="F2130" s="16">
        <v>511218</v>
      </c>
      <c r="G2130" t="s">
        <v>4602</v>
      </c>
    </row>
    <row r="2131" spans="1:7">
      <c r="A2131" s="75">
        <v>1001</v>
      </c>
      <c r="B2131" s="75">
        <v>6</v>
      </c>
      <c r="C2131">
        <v>1001</v>
      </c>
      <c r="D2131" t="s">
        <v>4603</v>
      </c>
      <c r="E2131" t="s">
        <v>4598</v>
      </c>
      <c r="F2131">
        <v>511219</v>
      </c>
      <c r="G2131" t="s">
        <v>4604</v>
      </c>
    </row>
    <row r="2132" spans="1:7">
      <c r="A2132" s="75">
        <v>1001</v>
      </c>
      <c r="B2132" s="75">
        <v>6</v>
      </c>
      <c r="C2132">
        <v>1001</v>
      </c>
      <c r="D2132" t="s">
        <v>4605</v>
      </c>
      <c r="E2132" t="s">
        <v>4600</v>
      </c>
      <c r="F2132">
        <v>511220</v>
      </c>
      <c r="G2132" t="s">
        <v>4606</v>
      </c>
    </row>
    <row r="2133" spans="1:7">
      <c r="A2133" s="75">
        <v>1001</v>
      </c>
      <c r="B2133" s="75">
        <v>6</v>
      </c>
      <c r="C2133">
        <v>1001</v>
      </c>
      <c r="D2133" t="s">
        <v>4607</v>
      </c>
      <c r="E2133" t="s">
        <v>4608</v>
      </c>
      <c r="F2133">
        <v>511221</v>
      </c>
      <c r="G2133" t="s">
        <v>4609</v>
      </c>
    </row>
    <row r="2134" spans="1:7">
      <c r="A2134" s="75">
        <v>1001</v>
      </c>
      <c r="B2134" s="75">
        <v>6</v>
      </c>
      <c r="C2134">
        <v>1001</v>
      </c>
      <c r="D2134" t="s">
        <v>4610</v>
      </c>
      <c r="E2134" t="s">
        <v>4608</v>
      </c>
      <c r="F2134">
        <v>511222</v>
      </c>
      <c r="G2134" t="s">
        <v>4611</v>
      </c>
    </row>
    <row r="2135" spans="1:7">
      <c r="A2135" s="75">
        <v>1001</v>
      </c>
      <c r="B2135" s="75">
        <v>6</v>
      </c>
      <c r="C2135">
        <v>1001</v>
      </c>
      <c r="D2135" t="s">
        <v>4612</v>
      </c>
      <c r="E2135" t="s">
        <v>4608</v>
      </c>
      <c r="F2135">
        <v>511223</v>
      </c>
      <c r="G2135" t="s">
        <v>4613</v>
      </c>
    </row>
    <row r="2136" spans="1:7">
      <c r="A2136" s="75">
        <v>1001</v>
      </c>
      <c r="B2136" s="75">
        <v>6</v>
      </c>
      <c r="C2136">
        <v>1001</v>
      </c>
      <c r="D2136" t="s">
        <v>4614</v>
      </c>
      <c r="E2136" t="s">
        <v>4608</v>
      </c>
      <c r="F2136">
        <v>511224</v>
      </c>
      <c r="G2136" t="s">
        <v>4615</v>
      </c>
    </row>
    <row r="2137" spans="1:7">
      <c r="A2137" s="75">
        <v>1001</v>
      </c>
      <c r="B2137" s="75">
        <v>6</v>
      </c>
      <c r="C2137">
        <v>1001</v>
      </c>
      <c r="D2137" t="s">
        <v>4616</v>
      </c>
      <c r="E2137" t="s">
        <v>4608</v>
      </c>
      <c r="F2137">
        <v>511225</v>
      </c>
      <c r="G2137" t="s">
        <v>4617</v>
      </c>
    </row>
    <row r="2138" spans="1:7">
      <c r="A2138" s="75">
        <v>1001</v>
      </c>
      <c r="B2138" s="75">
        <v>6</v>
      </c>
      <c r="C2138">
        <v>1001</v>
      </c>
      <c r="D2138" t="s">
        <v>4618</v>
      </c>
      <c r="E2138" t="s">
        <v>4608</v>
      </c>
      <c r="F2138">
        <v>511226</v>
      </c>
      <c r="G2138" t="s">
        <v>4619</v>
      </c>
    </row>
    <row r="2139" spans="1:7">
      <c r="A2139" s="75">
        <v>1001</v>
      </c>
      <c r="B2139" s="75">
        <v>6</v>
      </c>
      <c r="C2139">
        <v>1001</v>
      </c>
      <c r="D2139" t="s">
        <v>4620</v>
      </c>
      <c r="E2139" t="s">
        <v>4608</v>
      </c>
      <c r="F2139">
        <v>511227</v>
      </c>
      <c r="G2139" t="s">
        <v>4621</v>
      </c>
    </row>
    <row r="2140" spans="1:7">
      <c r="A2140" s="25">
        <v>1001</v>
      </c>
      <c r="B2140" s="25">
        <v>2</v>
      </c>
      <c r="C2140" s="25">
        <v>1001</v>
      </c>
      <c r="D2140" t="s">
        <v>4622</v>
      </c>
      <c r="E2140" t="s">
        <v>4608</v>
      </c>
      <c r="F2140">
        <v>511228</v>
      </c>
      <c r="G2140" t="s">
        <v>4623</v>
      </c>
    </row>
    <row r="2141" spans="1:7">
      <c r="A2141" s="25">
        <v>1001</v>
      </c>
      <c r="B2141" s="25">
        <v>6</v>
      </c>
      <c r="C2141" s="25">
        <v>1001</v>
      </c>
      <c r="D2141" t="s">
        <v>4624</v>
      </c>
      <c r="E2141" t="s">
        <v>4608</v>
      </c>
      <c r="F2141">
        <v>511229</v>
      </c>
      <c r="G2141" t="s">
        <v>4625</v>
      </c>
    </row>
    <row r="2142" spans="1:7">
      <c r="A2142" s="25">
        <v>1001</v>
      </c>
      <c r="B2142" s="25">
        <v>6</v>
      </c>
      <c r="C2142" s="25">
        <v>1001</v>
      </c>
      <c r="D2142" t="s">
        <v>4626</v>
      </c>
      <c r="E2142" t="s">
        <v>4608</v>
      </c>
      <c r="F2142">
        <v>511230</v>
      </c>
      <c r="G2142" t="s">
        <v>1895</v>
      </c>
    </row>
    <row r="2143" spans="1:7">
      <c r="A2143" s="25">
        <v>1001</v>
      </c>
      <c r="B2143" s="25">
        <v>6</v>
      </c>
      <c r="C2143" s="25">
        <v>1001</v>
      </c>
      <c r="D2143" t="s">
        <v>4627</v>
      </c>
      <c r="E2143" t="s">
        <v>4622</v>
      </c>
      <c r="F2143">
        <v>511231</v>
      </c>
      <c r="G2143" t="s">
        <v>4628</v>
      </c>
    </row>
    <row r="2144" spans="1:7">
      <c r="A2144">
        <v>1001</v>
      </c>
      <c r="B2144">
        <v>6</v>
      </c>
      <c r="C2144">
        <v>1001</v>
      </c>
      <c r="D2144" t="s">
        <v>4629</v>
      </c>
      <c r="E2144" t="s">
        <v>4624</v>
      </c>
      <c r="F2144">
        <v>511232</v>
      </c>
      <c r="G2144" t="s">
        <v>4630</v>
      </c>
    </row>
    <row r="2145" spans="1:7">
      <c r="A2145">
        <v>1001</v>
      </c>
      <c r="B2145">
        <v>1</v>
      </c>
      <c r="C2145">
        <v>1001</v>
      </c>
      <c r="D2145" t="s">
        <v>4631</v>
      </c>
      <c r="E2145" t="s">
        <v>4626</v>
      </c>
      <c r="F2145">
        <v>511233</v>
      </c>
      <c r="G2145" t="s">
        <v>4632</v>
      </c>
    </row>
    <row r="2146" spans="1:7">
      <c r="A2146">
        <v>1001</v>
      </c>
      <c r="B2146">
        <v>1</v>
      </c>
      <c r="C2146">
        <v>1001</v>
      </c>
      <c r="D2146" t="s">
        <v>4633</v>
      </c>
      <c r="E2146" t="s">
        <v>4627</v>
      </c>
      <c r="F2146">
        <v>511234</v>
      </c>
      <c r="G2146" t="s">
        <v>4634</v>
      </c>
    </row>
    <row r="2147" spans="1:7">
      <c r="A2147" s="25">
        <v>1001</v>
      </c>
      <c r="B2147">
        <v>6</v>
      </c>
      <c r="C2147" s="25">
        <v>1001</v>
      </c>
      <c r="D2147" t="s">
        <v>1896</v>
      </c>
      <c r="E2147" t="s">
        <v>4635</v>
      </c>
      <c r="F2147">
        <v>511235</v>
      </c>
      <c r="G2147" t="s">
        <v>4512</v>
      </c>
    </row>
    <row r="2148" spans="1:7">
      <c r="A2148" s="25">
        <v>1001</v>
      </c>
      <c r="B2148">
        <v>6</v>
      </c>
      <c r="C2148" s="25">
        <v>1001</v>
      </c>
      <c r="D2148" t="s">
        <v>4636</v>
      </c>
      <c r="E2148" s="27" t="s">
        <v>4631</v>
      </c>
      <c r="F2148">
        <v>511236</v>
      </c>
      <c r="G2148" t="s">
        <v>4513</v>
      </c>
    </row>
    <row r="2149" spans="1:7">
      <c r="A2149">
        <v>1001</v>
      </c>
      <c r="B2149">
        <v>6</v>
      </c>
      <c r="C2149">
        <v>1001</v>
      </c>
      <c r="D2149" t="s">
        <v>4637</v>
      </c>
      <c r="E2149" s="27" t="s">
        <v>4633</v>
      </c>
      <c r="F2149">
        <v>511237</v>
      </c>
      <c r="G2149" t="s">
        <v>4637</v>
      </c>
    </row>
    <row r="2150" spans="1:7">
      <c r="A2150">
        <v>1001</v>
      </c>
      <c r="B2150">
        <v>6</v>
      </c>
      <c r="C2150">
        <v>1001</v>
      </c>
      <c r="D2150" t="s">
        <v>4638</v>
      </c>
      <c r="E2150" t="s">
        <v>1896</v>
      </c>
      <c r="F2150">
        <v>511238</v>
      </c>
      <c r="G2150" t="s">
        <v>4639</v>
      </c>
    </row>
    <row r="2151" spans="1:7">
      <c r="A2151" s="25">
        <v>1001</v>
      </c>
      <c r="B2151">
        <v>6</v>
      </c>
      <c r="C2151" s="25">
        <v>1001</v>
      </c>
      <c r="D2151" t="s">
        <v>4640</v>
      </c>
      <c r="E2151" t="s">
        <v>4636</v>
      </c>
      <c r="F2151">
        <v>511239</v>
      </c>
      <c r="G2151" t="s">
        <v>4512</v>
      </c>
    </row>
    <row r="2152" spans="1:7">
      <c r="A2152" s="25">
        <v>1001</v>
      </c>
      <c r="B2152">
        <v>6</v>
      </c>
      <c r="C2152" s="25">
        <v>1001</v>
      </c>
      <c r="D2152" t="s">
        <v>1906</v>
      </c>
      <c r="E2152" t="s">
        <v>4637</v>
      </c>
      <c r="F2152">
        <v>511240</v>
      </c>
      <c r="G2152" t="s">
        <v>4513</v>
      </c>
    </row>
    <row r="2153" spans="1:7">
      <c r="A2153">
        <v>1001</v>
      </c>
      <c r="B2153">
        <v>6</v>
      </c>
      <c r="C2153">
        <v>1001</v>
      </c>
      <c r="D2153" t="s">
        <v>4641</v>
      </c>
      <c r="E2153" t="s">
        <v>4638</v>
      </c>
      <c r="F2153">
        <v>511241</v>
      </c>
      <c r="G2153" t="s">
        <v>4642</v>
      </c>
    </row>
    <row r="2154" spans="1:7">
      <c r="A2154">
        <v>1001</v>
      </c>
      <c r="B2154">
        <v>6</v>
      </c>
      <c r="C2154">
        <v>1001</v>
      </c>
      <c r="D2154" t="s">
        <v>4643</v>
      </c>
      <c r="E2154" t="s">
        <v>4640</v>
      </c>
      <c r="F2154">
        <v>511242</v>
      </c>
      <c r="G2154" t="s">
        <v>4644</v>
      </c>
    </row>
    <row r="2155" spans="1:7">
      <c r="A2155">
        <v>1001</v>
      </c>
      <c r="B2155">
        <v>6</v>
      </c>
      <c r="C2155">
        <v>1001</v>
      </c>
      <c r="D2155" t="s">
        <v>4645</v>
      </c>
      <c r="E2155" t="s">
        <v>1906</v>
      </c>
      <c r="F2155">
        <v>511243</v>
      </c>
      <c r="G2155" s="6" t="s">
        <v>4646</v>
      </c>
    </row>
    <row r="2156" spans="1:7">
      <c r="A2156" s="25">
        <v>1001</v>
      </c>
      <c r="B2156">
        <v>6</v>
      </c>
      <c r="C2156" s="25">
        <v>1001</v>
      </c>
      <c r="D2156" t="s">
        <v>4448</v>
      </c>
      <c r="E2156" t="s">
        <v>4641</v>
      </c>
      <c r="F2156">
        <v>511244</v>
      </c>
      <c r="G2156" t="s">
        <v>4512</v>
      </c>
    </row>
    <row r="2157" spans="1:7">
      <c r="A2157" s="25">
        <v>1001</v>
      </c>
      <c r="B2157">
        <v>6</v>
      </c>
      <c r="C2157" s="25">
        <v>1001</v>
      </c>
      <c r="D2157" t="s">
        <v>4451</v>
      </c>
      <c r="E2157" t="s">
        <v>4643</v>
      </c>
      <c r="F2157">
        <v>511245</v>
      </c>
      <c r="G2157" t="s">
        <v>4513</v>
      </c>
    </row>
    <row r="2158" spans="1:7">
      <c r="A2158">
        <v>1001</v>
      </c>
      <c r="B2158">
        <v>6</v>
      </c>
      <c r="C2158">
        <v>1001</v>
      </c>
      <c r="D2158" t="s">
        <v>4647</v>
      </c>
      <c r="E2158" t="s">
        <v>4645</v>
      </c>
      <c r="F2158">
        <v>511246</v>
      </c>
      <c r="G2158" t="s">
        <v>4648</v>
      </c>
    </row>
    <row r="2159" spans="1:7">
      <c r="A2159">
        <v>1001</v>
      </c>
      <c r="B2159">
        <v>20</v>
      </c>
      <c r="C2159" s="25">
        <v>1001</v>
      </c>
      <c r="D2159" t="s">
        <v>4649</v>
      </c>
      <c r="E2159" t="s">
        <v>4448</v>
      </c>
      <c r="F2159">
        <v>511247</v>
      </c>
      <c r="G2159" t="s">
        <v>4650</v>
      </c>
    </row>
    <row r="2160" spans="1:7">
      <c r="A2160">
        <v>1001</v>
      </c>
      <c r="B2160">
        <v>20</v>
      </c>
      <c r="C2160" s="25">
        <v>1001</v>
      </c>
      <c r="D2160" t="s">
        <v>4651</v>
      </c>
      <c r="E2160" t="s">
        <v>4451</v>
      </c>
      <c r="F2160">
        <v>511248</v>
      </c>
      <c r="G2160" t="s">
        <v>4652</v>
      </c>
    </row>
    <row r="2161" spans="1:7">
      <c r="A2161">
        <v>1001</v>
      </c>
      <c r="B2161">
        <v>20</v>
      </c>
      <c r="C2161" s="25">
        <v>1001</v>
      </c>
      <c r="D2161" t="s">
        <v>4424</v>
      </c>
      <c r="E2161" t="s">
        <v>4647</v>
      </c>
      <c r="F2161">
        <v>511249</v>
      </c>
      <c r="G2161" t="s">
        <v>4653</v>
      </c>
    </row>
    <row r="2162" spans="1:7">
      <c r="A2162">
        <v>1001</v>
      </c>
      <c r="B2162">
        <v>20</v>
      </c>
      <c r="C2162" s="25">
        <v>1001</v>
      </c>
      <c r="D2162" t="s">
        <v>4654</v>
      </c>
      <c r="E2162" t="s">
        <v>4649</v>
      </c>
      <c r="F2162">
        <v>511250</v>
      </c>
      <c r="G2162" t="s">
        <v>4655</v>
      </c>
    </row>
    <row r="2163" spans="1:7">
      <c r="A2163">
        <v>1001</v>
      </c>
      <c r="B2163">
        <v>1</v>
      </c>
      <c r="C2163">
        <v>1001</v>
      </c>
      <c r="D2163" t="s">
        <v>4656</v>
      </c>
      <c r="E2163" t="s">
        <v>4651</v>
      </c>
      <c r="F2163">
        <v>511251</v>
      </c>
      <c r="G2163" t="s">
        <v>4657</v>
      </c>
    </row>
    <row r="2164" spans="1:7">
      <c r="A2164">
        <v>1001</v>
      </c>
      <c r="B2164">
        <v>1</v>
      </c>
      <c r="C2164">
        <v>1001</v>
      </c>
      <c r="D2164" t="s">
        <v>4658</v>
      </c>
      <c r="E2164" t="s">
        <v>4424</v>
      </c>
      <c r="F2164">
        <v>511252</v>
      </c>
      <c r="G2164" t="s">
        <v>4659</v>
      </c>
    </row>
    <row r="2165" spans="1:7">
      <c r="A2165">
        <v>1001</v>
      </c>
      <c r="B2165">
        <v>1</v>
      </c>
      <c r="C2165">
        <v>1001</v>
      </c>
      <c r="D2165" t="s">
        <v>4660</v>
      </c>
      <c r="E2165" t="s">
        <v>4654</v>
      </c>
      <c r="F2165">
        <v>511253</v>
      </c>
      <c r="G2165" t="s">
        <v>4661</v>
      </c>
    </row>
    <row r="2166" spans="1:7">
      <c r="A2166">
        <v>1001</v>
      </c>
      <c r="B2166">
        <v>1</v>
      </c>
      <c r="C2166">
        <v>1001</v>
      </c>
      <c r="D2166" t="s">
        <v>4662</v>
      </c>
      <c r="E2166" t="s">
        <v>4663</v>
      </c>
      <c r="F2166">
        <v>511254</v>
      </c>
      <c r="G2166" t="s">
        <v>4664</v>
      </c>
    </row>
    <row r="2167" spans="1:7">
      <c r="A2167">
        <v>1001</v>
      </c>
      <c r="B2167">
        <v>1</v>
      </c>
      <c r="C2167">
        <v>1001</v>
      </c>
      <c r="D2167" t="s">
        <v>4665</v>
      </c>
      <c r="E2167" t="s">
        <v>4666</v>
      </c>
      <c r="F2167">
        <v>511255</v>
      </c>
      <c r="G2167" t="s">
        <v>4667</v>
      </c>
    </row>
    <row r="2168" spans="1:7">
      <c r="A2168">
        <v>1001</v>
      </c>
      <c r="B2168">
        <v>1</v>
      </c>
      <c r="C2168">
        <v>1001</v>
      </c>
      <c r="D2168" t="s">
        <v>4668</v>
      </c>
      <c r="E2168" t="s">
        <v>4669</v>
      </c>
      <c r="F2168">
        <v>511256</v>
      </c>
      <c r="G2168" t="s">
        <v>4670</v>
      </c>
    </row>
    <row r="2169" spans="1:7">
      <c r="A2169">
        <v>1001</v>
      </c>
      <c r="B2169">
        <v>1</v>
      </c>
      <c r="C2169">
        <v>1001</v>
      </c>
      <c r="D2169" t="s">
        <v>4671</v>
      </c>
      <c r="E2169" t="s">
        <v>4672</v>
      </c>
      <c r="F2169">
        <v>511257</v>
      </c>
      <c r="G2169" t="s">
        <v>4673</v>
      </c>
    </row>
    <row r="2170" spans="1:7">
      <c r="A2170">
        <v>1001</v>
      </c>
      <c r="B2170">
        <v>1</v>
      </c>
      <c r="C2170">
        <v>1001</v>
      </c>
      <c r="D2170" t="s">
        <v>4674</v>
      </c>
      <c r="E2170" t="s">
        <v>4665</v>
      </c>
      <c r="F2170">
        <v>511258</v>
      </c>
      <c r="G2170" t="s">
        <v>4675</v>
      </c>
    </row>
    <row r="2171" spans="1:7">
      <c r="A2171">
        <v>1001</v>
      </c>
      <c r="B2171">
        <v>6</v>
      </c>
      <c r="C2171">
        <v>1001</v>
      </c>
      <c r="D2171" t="s">
        <v>4645</v>
      </c>
      <c r="E2171" t="s">
        <v>4676</v>
      </c>
      <c r="F2171">
        <v>511259</v>
      </c>
      <c r="G2171" s="6" t="s">
        <v>4677</v>
      </c>
    </row>
    <row r="2172" spans="1:7">
      <c r="A2172" s="25">
        <v>1001</v>
      </c>
      <c r="B2172">
        <v>6</v>
      </c>
      <c r="C2172" s="25">
        <v>1001</v>
      </c>
      <c r="D2172" t="s">
        <v>4678</v>
      </c>
      <c r="E2172" t="s">
        <v>4679</v>
      </c>
      <c r="F2172">
        <v>511260</v>
      </c>
      <c r="G2172" t="s">
        <v>4512</v>
      </c>
    </row>
    <row r="2173" spans="1:7">
      <c r="A2173" s="25">
        <v>1001</v>
      </c>
      <c r="B2173">
        <v>6</v>
      </c>
      <c r="C2173" s="25">
        <v>1001</v>
      </c>
      <c r="D2173" t="s">
        <v>4680</v>
      </c>
      <c r="E2173" t="s">
        <v>4681</v>
      </c>
      <c r="F2173">
        <v>511261</v>
      </c>
      <c r="G2173" t="s">
        <v>4513</v>
      </c>
    </row>
    <row r="2174" spans="1:7">
      <c r="A2174">
        <v>1001</v>
      </c>
      <c r="B2174">
        <v>1</v>
      </c>
      <c r="C2174">
        <v>1001</v>
      </c>
      <c r="D2174" t="s">
        <v>4682</v>
      </c>
      <c r="E2174" t="s">
        <v>4645</v>
      </c>
      <c r="F2174">
        <v>511262</v>
      </c>
      <c r="G2174" t="s">
        <v>4683</v>
      </c>
    </row>
    <row r="2175" spans="1:7">
      <c r="A2175" s="25">
        <v>1001</v>
      </c>
      <c r="B2175" s="25">
        <v>2</v>
      </c>
      <c r="C2175" s="25">
        <v>1004</v>
      </c>
      <c r="D2175" s="30" t="s">
        <v>4684</v>
      </c>
      <c r="E2175" t="s">
        <v>4678</v>
      </c>
      <c r="F2175">
        <v>511263</v>
      </c>
      <c r="G2175" t="s">
        <v>4685</v>
      </c>
    </row>
    <row r="2176" spans="1:7">
      <c r="A2176" s="25">
        <v>1001</v>
      </c>
      <c r="B2176" s="25">
        <v>2</v>
      </c>
      <c r="C2176" s="25">
        <v>1004</v>
      </c>
      <c r="D2176" s="30" t="s">
        <v>4686</v>
      </c>
      <c r="E2176" t="s">
        <v>4680</v>
      </c>
      <c r="F2176">
        <v>511264</v>
      </c>
      <c r="G2176" t="s">
        <v>4687</v>
      </c>
    </row>
    <row r="2177" spans="1:7">
      <c r="A2177" s="25">
        <v>1001</v>
      </c>
      <c r="B2177" s="25">
        <v>6</v>
      </c>
      <c r="C2177" s="25">
        <v>1001</v>
      </c>
      <c r="D2177" t="s">
        <v>4688</v>
      </c>
      <c r="E2177" t="s">
        <v>4689</v>
      </c>
      <c r="F2177">
        <v>511265</v>
      </c>
      <c r="G2177" t="s">
        <v>4690</v>
      </c>
    </row>
    <row r="2178" spans="1:7">
      <c r="A2178" s="25">
        <v>1001</v>
      </c>
      <c r="B2178" s="25">
        <v>6</v>
      </c>
      <c r="C2178" s="25">
        <v>1001</v>
      </c>
      <c r="D2178" t="s">
        <v>4691</v>
      </c>
      <c r="E2178" s="30" t="s">
        <v>4684</v>
      </c>
      <c r="F2178">
        <v>511266</v>
      </c>
      <c r="G2178" t="s">
        <v>4692</v>
      </c>
    </row>
    <row r="2179" spans="1:7">
      <c r="A2179" s="25">
        <v>1001</v>
      </c>
      <c r="B2179" s="25">
        <v>6</v>
      </c>
      <c r="C2179" s="25">
        <v>1001</v>
      </c>
      <c r="D2179" t="s">
        <v>4693</v>
      </c>
      <c r="E2179" s="30" t="s">
        <v>4686</v>
      </c>
      <c r="F2179">
        <v>511267</v>
      </c>
      <c r="G2179" t="s">
        <v>4694</v>
      </c>
    </row>
    <row r="2180" spans="1:7">
      <c r="A2180" s="75">
        <v>1001</v>
      </c>
      <c r="B2180" s="75">
        <v>6</v>
      </c>
      <c r="C2180">
        <v>1001</v>
      </c>
      <c r="D2180" t="s">
        <v>4695</v>
      </c>
      <c r="E2180" t="s">
        <v>4688</v>
      </c>
      <c r="F2180">
        <v>511268</v>
      </c>
      <c r="G2180" t="s">
        <v>4696</v>
      </c>
    </row>
    <row r="2181" spans="1:7">
      <c r="A2181" s="75">
        <v>1001</v>
      </c>
      <c r="B2181" s="75">
        <v>6</v>
      </c>
      <c r="C2181">
        <v>1001</v>
      </c>
      <c r="D2181" t="s">
        <v>4697</v>
      </c>
      <c r="E2181" t="s">
        <v>4691</v>
      </c>
      <c r="F2181">
        <v>511269</v>
      </c>
      <c r="G2181" t="s">
        <v>4698</v>
      </c>
    </row>
    <row r="2182" spans="1:7">
      <c r="A2182" s="75">
        <v>1001</v>
      </c>
      <c r="B2182" s="75">
        <v>6</v>
      </c>
      <c r="C2182">
        <v>1001</v>
      </c>
      <c r="D2182" t="s">
        <v>4699</v>
      </c>
      <c r="E2182" t="s">
        <v>4693</v>
      </c>
      <c r="F2182">
        <v>511270</v>
      </c>
      <c r="G2182" t="s">
        <v>4700</v>
      </c>
    </row>
    <row r="2183" spans="1:7">
      <c r="A2183" s="75">
        <v>1001</v>
      </c>
      <c r="B2183" s="75">
        <v>6</v>
      </c>
      <c r="C2183">
        <v>1001</v>
      </c>
      <c r="D2183" t="s">
        <v>4701</v>
      </c>
      <c r="E2183" t="s">
        <v>4695</v>
      </c>
      <c r="F2183">
        <v>511271</v>
      </c>
      <c r="G2183" t="s">
        <v>4702</v>
      </c>
    </row>
    <row r="2184" spans="1:7">
      <c r="A2184" s="75">
        <v>1001</v>
      </c>
      <c r="B2184" s="75">
        <v>6</v>
      </c>
      <c r="C2184">
        <v>1001</v>
      </c>
      <c r="D2184" t="s">
        <v>4703</v>
      </c>
      <c r="E2184" t="s">
        <v>4697</v>
      </c>
      <c r="F2184">
        <v>511272</v>
      </c>
      <c r="G2184" t="s">
        <v>4704</v>
      </c>
    </row>
    <row r="2185" spans="1:7">
      <c r="A2185" s="75">
        <v>1001</v>
      </c>
      <c r="B2185" s="75">
        <v>6</v>
      </c>
      <c r="C2185">
        <v>1001</v>
      </c>
      <c r="D2185" t="s">
        <v>4705</v>
      </c>
      <c r="E2185" t="s">
        <v>4699</v>
      </c>
      <c r="F2185">
        <v>511273</v>
      </c>
      <c r="G2185" t="s">
        <v>4706</v>
      </c>
    </row>
    <row r="2186" spans="1:7">
      <c r="A2186" s="75">
        <v>1001</v>
      </c>
      <c r="B2186" s="75">
        <v>6</v>
      </c>
      <c r="C2186">
        <v>1001</v>
      </c>
      <c r="D2186" t="s">
        <v>4707</v>
      </c>
      <c r="E2186" t="s">
        <v>4701</v>
      </c>
      <c r="F2186">
        <v>511274</v>
      </c>
      <c r="G2186" t="s">
        <v>4708</v>
      </c>
    </row>
    <row r="2187" spans="1:7">
      <c r="A2187" s="75">
        <v>1001</v>
      </c>
      <c r="B2187" s="75">
        <v>6</v>
      </c>
      <c r="C2187">
        <v>1001</v>
      </c>
      <c r="D2187" t="s">
        <v>4709</v>
      </c>
      <c r="E2187" t="s">
        <v>4703</v>
      </c>
      <c r="F2187">
        <v>511275</v>
      </c>
      <c r="G2187" t="s">
        <v>4708</v>
      </c>
    </row>
    <row r="2188" spans="1:7">
      <c r="A2188" s="75">
        <v>1001</v>
      </c>
      <c r="B2188" s="75">
        <v>6</v>
      </c>
      <c r="C2188">
        <v>1001</v>
      </c>
      <c r="D2188" t="s">
        <v>4710</v>
      </c>
      <c r="E2188" t="s">
        <v>4705</v>
      </c>
      <c r="F2188">
        <v>511276</v>
      </c>
      <c r="G2188" t="s">
        <v>4708</v>
      </c>
    </row>
    <row r="2189" spans="1:7">
      <c r="A2189" s="75">
        <v>1001</v>
      </c>
      <c r="B2189" s="75">
        <v>6</v>
      </c>
      <c r="C2189">
        <v>1001</v>
      </c>
      <c r="D2189" t="s">
        <v>4711</v>
      </c>
      <c r="E2189" t="s">
        <v>4707</v>
      </c>
      <c r="F2189">
        <v>511277</v>
      </c>
      <c r="G2189" t="s">
        <v>4712</v>
      </c>
    </row>
    <row r="2190" spans="1:7">
      <c r="A2190" s="75">
        <v>1001</v>
      </c>
      <c r="B2190" s="75">
        <v>6</v>
      </c>
      <c r="C2190">
        <v>1001</v>
      </c>
      <c r="D2190" t="s">
        <v>4713</v>
      </c>
      <c r="E2190" t="s">
        <v>4709</v>
      </c>
      <c r="F2190">
        <v>511278</v>
      </c>
      <c r="G2190" t="s">
        <v>4712</v>
      </c>
    </row>
    <row r="2191" spans="1:7">
      <c r="A2191" s="75">
        <v>1001</v>
      </c>
      <c r="B2191" s="75">
        <v>6</v>
      </c>
      <c r="C2191">
        <v>1001</v>
      </c>
      <c r="D2191" t="s">
        <v>4714</v>
      </c>
      <c r="E2191" t="s">
        <v>4710</v>
      </c>
      <c r="F2191">
        <v>511279</v>
      </c>
      <c r="G2191" t="s">
        <v>4712</v>
      </c>
    </row>
    <row r="2192" spans="1:7">
      <c r="A2192" s="75">
        <v>1001</v>
      </c>
      <c r="B2192" s="75">
        <v>2</v>
      </c>
      <c r="C2192">
        <v>1001</v>
      </c>
      <c r="D2192" t="s">
        <v>4715</v>
      </c>
      <c r="E2192" t="s">
        <v>4711</v>
      </c>
      <c r="F2192">
        <v>511280</v>
      </c>
      <c r="G2192" t="s">
        <v>4716</v>
      </c>
    </row>
    <row r="2193" spans="1:7">
      <c r="A2193" s="75">
        <v>1001</v>
      </c>
      <c r="B2193" s="75">
        <v>1</v>
      </c>
      <c r="C2193">
        <v>3</v>
      </c>
      <c r="D2193" t="s">
        <v>4717</v>
      </c>
      <c r="E2193" t="s">
        <v>4713</v>
      </c>
      <c r="F2193">
        <v>511281</v>
      </c>
      <c r="G2193" t="s">
        <v>4718</v>
      </c>
    </row>
    <row r="2194" spans="1:7">
      <c r="A2194" s="75">
        <v>1001</v>
      </c>
      <c r="B2194" s="75">
        <v>1</v>
      </c>
      <c r="C2194">
        <v>3</v>
      </c>
      <c r="D2194" t="s">
        <v>4719</v>
      </c>
      <c r="E2194" t="s">
        <v>4714</v>
      </c>
      <c r="F2194">
        <v>511282</v>
      </c>
      <c r="G2194" t="s">
        <v>4720</v>
      </c>
    </row>
    <row r="2195" spans="1:7">
      <c r="A2195" s="75">
        <v>1001</v>
      </c>
      <c r="B2195" s="75">
        <v>1</v>
      </c>
      <c r="C2195">
        <v>3</v>
      </c>
      <c r="D2195" t="s">
        <v>4721</v>
      </c>
      <c r="E2195" t="s">
        <v>4715</v>
      </c>
      <c r="F2195">
        <v>511283</v>
      </c>
      <c r="G2195" t="s">
        <v>4722</v>
      </c>
    </row>
    <row r="2196" spans="1:7">
      <c r="A2196" s="75">
        <v>1001</v>
      </c>
      <c r="B2196" s="75">
        <v>1</v>
      </c>
      <c r="C2196">
        <v>3</v>
      </c>
      <c r="D2196" t="s">
        <v>4723</v>
      </c>
      <c r="E2196" t="s">
        <v>4717</v>
      </c>
      <c r="F2196">
        <v>511284</v>
      </c>
      <c r="G2196" t="s">
        <v>4724</v>
      </c>
    </row>
    <row r="2197" spans="1:7">
      <c r="A2197" s="75">
        <v>1001</v>
      </c>
      <c r="B2197" s="75">
        <v>1</v>
      </c>
      <c r="C2197">
        <v>3</v>
      </c>
      <c r="D2197" t="s">
        <v>4725</v>
      </c>
      <c r="E2197" t="s">
        <v>4719</v>
      </c>
      <c r="F2197">
        <v>511285</v>
      </c>
      <c r="G2197" t="s">
        <v>4726</v>
      </c>
    </row>
    <row r="2198" spans="1:7">
      <c r="A2198" s="75">
        <v>1001</v>
      </c>
      <c r="B2198" s="75">
        <v>1</v>
      </c>
      <c r="C2198">
        <v>3</v>
      </c>
      <c r="D2198" t="s">
        <v>1552</v>
      </c>
      <c r="E2198" t="s">
        <v>4721</v>
      </c>
      <c r="F2198">
        <v>511286</v>
      </c>
      <c r="G2198" t="s">
        <v>4727</v>
      </c>
    </row>
    <row r="2199" spans="1:7">
      <c r="A2199" s="75">
        <v>1001</v>
      </c>
      <c r="B2199" s="75">
        <v>1</v>
      </c>
      <c r="C2199">
        <v>3</v>
      </c>
      <c r="D2199" t="s">
        <v>4728</v>
      </c>
      <c r="E2199" t="s">
        <v>4723</v>
      </c>
      <c r="F2199">
        <v>511287</v>
      </c>
      <c r="G2199" t="s">
        <v>4729</v>
      </c>
    </row>
    <row r="2200" spans="1:7">
      <c r="A2200" s="75">
        <v>1001</v>
      </c>
      <c r="B2200" s="75">
        <v>1</v>
      </c>
      <c r="C2200">
        <v>3</v>
      </c>
      <c r="D2200" t="s">
        <v>4730</v>
      </c>
      <c r="E2200" t="s">
        <v>4725</v>
      </c>
      <c r="F2200">
        <v>511288</v>
      </c>
      <c r="G2200" t="s">
        <v>4731</v>
      </c>
    </row>
    <row r="2201" spans="1:7">
      <c r="A2201" s="75">
        <v>1001</v>
      </c>
      <c r="B2201" s="75">
        <v>1</v>
      </c>
      <c r="C2201">
        <v>3</v>
      </c>
      <c r="D2201" t="s">
        <v>4732</v>
      </c>
      <c r="E2201" t="s">
        <v>1552</v>
      </c>
      <c r="F2201">
        <v>511289</v>
      </c>
      <c r="G2201" t="s">
        <v>4733</v>
      </c>
    </row>
    <row r="2202" spans="1:7">
      <c r="A2202" s="75">
        <v>1001</v>
      </c>
      <c r="B2202" s="75">
        <v>1</v>
      </c>
      <c r="C2202">
        <v>3</v>
      </c>
      <c r="D2202" t="s">
        <v>4734</v>
      </c>
      <c r="E2202" t="s">
        <v>4728</v>
      </c>
      <c r="F2202">
        <v>511290</v>
      </c>
      <c r="G2202" t="s">
        <v>4735</v>
      </c>
    </row>
    <row r="2203" spans="1:7">
      <c r="A2203" s="25">
        <v>1001</v>
      </c>
      <c r="B2203">
        <v>6</v>
      </c>
      <c r="C2203" s="25">
        <v>1001</v>
      </c>
      <c r="D2203" t="s">
        <v>4736</v>
      </c>
      <c r="E2203" t="s">
        <v>4730</v>
      </c>
      <c r="F2203">
        <v>511291</v>
      </c>
      <c r="G2203" t="s">
        <v>4512</v>
      </c>
    </row>
    <row r="2204" spans="1:7">
      <c r="A2204" s="25">
        <v>1001</v>
      </c>
      <c r="B2204">
        <v>6</v>
      </c>
      <c r="C2204" s="25">
        <v>1001</v>
      </c>
      <c r="D2204" t="s">
        <v>1912</v>
      </c>
      <c r="E2204" t="s">
        <v>4732</v>
      </c>
      <c r="F2204">
        <v>511292</v>
      </c>
      <c r="G2204" t="s">
        <v>4513</v>
      </c>
    </row>
    <row r="2205" spans="1:7">
      <c r="A2205">
        <v>1001</v>
      </c>
      <c r="B2205">
        <v>6</v>
      </c>
      <c r="C2205">
        <v>1001</v>
      </c>
      <c r="D2205" t="s">
        <v>4645</v>
      </c>
      <c r="E2205" t="s">
        <v>4734</v>
      </c>
      <c r="F2205">
        <v>511293</v>
      </c>
      <c r="G2205" s="6" t="s">
        <v>4737</v>
      </c>
    </row>
    <row r="2206" spans="1:7">
      <c r="A2206">
        <v>1001</v>
      </c>
      <c r="B2206">
        <v>6</v>
      </c>
      <c r="C2206">
        <v>1001</v>
      </c>
      <c r="D2206" t="s">
        <v>499</v>
      </c>
      <c r="E2206" t="s">
        <v>4736</v>
      </c>
      <c r="F2206">
        <v>511294</v>
      </c>
      <c r="G2206" t="s">
        <v>4738</v>
      </c>
    </row>
    <row r="2207" spans="1:7">
      <c r="A2207">
        <v>1001</v>
      </c>
      <c r="B2207">
        <v>6</v>
      </c>
      <c r="C2207">
        <v>1001</v>
      </c>
      <c r="D2207" t="s">
        <v>4739</v>
      </c>
      <c r="E2207" t="s">
        <v>1912</v>
      </c>
      <c r="F2207">
        <v>511295</v>
      </c>
      <c r="G2207" t="s">
        <v>4740</v>
      </c>
    </row>
    <row r="2208" spans="1:7">
      <c r="A2208" s="25">
        <v>1001</v>
      </c>
      <c r="B2208">
        <v>6</v>
      </c>
      <c r="C2208" s="25">
        <v>1001</v>
      </c>
      <c r="D2208" t="s">
        <v>4741</v>
      </c>
      <c r="E2208" t="s">
        <v>4645</v>
      </c>
      <c r="F2208">
        <v>511296</v>
      </c>
      <c r="G2208" t="s">
        <v>4742</v>
      </c>
    </row>
    <row r="2209" spans="1:7">
      <c r="A2209" s="25">
        <v>1001</v>
      </c>
      <c r="B2209">
        <v>6</v>
      </c>
      <c r="C2209">
        <v>1001</v>
      </c>
      <c r="D2209" t="s">
        <v>4743</v>
      </c>
      <c r="E2209" t="s">
        <v>499</v>
      </c>
      <c r="F2209">
        <v>511297</v>
      </c>
      <c r="G2209" t="s">
        <v>4744</v>
      </c>
    </row>
    <row r="2210" spans="1:7">
      <c r="A2210">
        <v>1001</v>
      </c>
      <c r="B2210">
        <v>6</v>
      </c>
      <c r="C2210">
        <v>1001</v>
      </c>
      <c r="D2210" t="s">
        <v>4745</v>
      </c>
      <c r="E2210" t="s">
        <v>4739</v>
      </c>
      <c r="F2210">
        <v>511298</v>
      </c>
      <c r="G2210" t="s">
        <v>4746</v>
      </c>
    </row>
    <row r="2211" spans="1:7">
      <c r="A2211">
        <v>1001</v>
      </c>
      <c r="B2211">
        <v>6</v>
      </c>
      <c r="C2211">
        <v>1001</v>
      </c>
      <c r="D2211" t="s">
        <v>4747</v>
      </c>
      <c r="E2211" t="s">
        <v>4741</v>
      </c>
      <c r="F2211">
        <v>511299</v>
      </c>
      <c r="G2211" t="s">
        <v>4748</v>
      </c>
    </row>
    <row r="2212" spans="1:7">
      <c r="A2212">
        <v>1001</v>
      </c>
      <c r="B2212">
        <v>6</v>
      </c>
      <c r="C2212">
        <v>1001</v>
      </c>
      <c r="D2212" t="s">
        <v>4749</v>
      </c>
      <c r="E2212" t="s">
        <v>4743</v>
      </c>
      <c r="F2212">
        <v>511300</v>
      </c>
      <c r="G2212" t="s">
        <v>4750</v>
      </c>
    </row>
    <row r="2213" spans="1:7">
      <c r="A2213" s="25">
        <v>1001</v>
      </c>
      <c r="B2213" s="25">
        <v>6</v>
      </c>
      <c r="C2213" s="25">
        <v>1001</v>
      </c>
      <c r="D2213" t="s">
        <v>4751</v>
      </c>
      <c r="E2213" t="s">
        <v>4745</v>
      </c>
      <c r="F2213">
        <v>511301</v>
      </c>
      <c r="G2213" t="s">
        <v>4752</v>
      </c>
    </row>
    <row r="2214" spans="1:7">
      <c r="A2214" s="25">
        <v>1001</v>
      </c>
      <c r="B2214">
        <v>6</v>
      </c>
      <c r="C2214" s="25">
        <v>1001</v>
      </c>
      <c r="D2214" t="s">
        <v>4753</v>
      </c>
      <c r="E2214" t="s">
        <v>4747</v>
      </c>
      <c r="F2214">
        <v>511302</v>
      </c>
      <c r="G2214" t="s">
        <v>4754</v>
      </c>
    </row>
    <row r="2215" spans="1:7">
      <c r="A2215" s="75">
        <v>1001</v>
      </c>
      <c r="B2215" s="75">
        <v>1</v>
      </c>
      <c r="C2215" s="25">
        <v>1001</v>
      </c>
      <c r="D2215" t="s">
        <v>4755</v>
      </c>
      <c r="E2215" t="s">
        <v>4749</v>
      </c>
      <c r="F2215">
        <v>511303</v>
      </c>
      <c r="G2215" t="s">
        <v>4756</v>
      </c>
    </row>
    <row r="2216" spans="1:7">
      <c r="A2216" s="75">
        <v>1001</v>
      </c>
      <c r="B2216" s="75">
        <v>1</v>
      </c>
      <c r="C2216" s="25">
        <v>1001</v>
      </c>
      <c r="D2216" t="s">
        <v>4757</v>
      </c>
      <c r="E2216" t="s">
        <v>4751</v>
      </c>
      <c r="F2216">
        <v>511304</v>
      </c>
      <c r="G2216" t="s">
        <v>4758</v>
      </c>
    </row>
    <row r="2217" spans="1:7">
      <c r="A2217" s="75">
        <v>1001</v>
      </c>
      <c r="B2217" s="75">
        <v>1</v>
      </c>
      <c r="C2217" s="25">
        <v>1001</v>
      </c>
      <c r="D2217" t="s">
        <v>4759</v>
      </c>
      <c r="E2217" t="s">
        <v>4753</v>
      </c>
      <c r="F2217">
        <v>511305</v>
      </c>
      <c r="G2217" t="s">
        <v>4760</v>
      </c>
    </row>
    <row r="2218" spans="1:7">
      <c r="A2218" s="75">
        <v>1001</v>
      </c>
      <c r="B2218" s="75">
        <v>1</v>
      </c>
      <c r="C2218" s="25">
        <v>1001</v>
      </c>
      <c r="D2218" t="s">
        <v>4761</v>
      </c>
      <c r="E2218" t="s">
        <v>4755</v>
      </c>
      <c r="F2218">
        <v>511306</v>
      </c>
      <c r="G2218" t="s">
        <v>4762</v>
      </c>
    </row>
    <row r="2219" spans="1:7">
      <c r="A2219" s="75">
        <v>1001</v>
      </c>
      <c r="B2219" s="75">
        <v>1</v>
      </c>
      <c r="C2219" s="25">
        <v>1001</v>
      </c>
      <c r="D2219" t="s">
        <v>4763</v>
      </c>
      <c r="E2219" t="s">
        <v>4757</v>
      </c>
      <c r="F2219">
        <v>511307</v>
      </c>
      <c r="G2219" t="s">
        <v>4764</v>
      </c>
    </row>
    <row r="2220" spans="1:7">
      <c r="A2220" s="75">
        <v>1001</v>
      </c>
      <c r="B2220" s="75">
        <v>1</v>
      </c>
      <c r="C2220" s="25">
        <v>1001</v>
      </c>
      <c r="D2220" t="s">
        <v>4765</v>
      </c>
      <c r="E2220" t="s">
        <v>4759</v>
      </c>
      <c r="F2220">
        <v>511308</v>
      </c>
      <c r="G2220" t="s">
        <v>4766</v>
      </c>
    </row>
    <row r="2221" spans="1:7">
      <c r="A2221" s="75">
        <v>1001</v>
      </c>
      <c r="B2221" s="75">
        <v>1</v>
      </c>
      <c r="C2221" s="25">
        <v>1001</v>
      </c>
      <c r="D2221" t="s">
        <v>4767</v>
      </c>
      <c r="E2221" t="s">
        <v>4761</v>
      </c>
      <c r="F2221">
        <v>511309</v>
      </c>
      <c r="G2221" t="s">
        <v>4768</v>
      </c>
    </row>
    <row r="2222" spans="1:7">
      <c r="A2222" s="75">
        <v>1001</v>
      </c>
      <c r="B2222" s="75">
        <v>1</v>
      </c>
      <c r="C2222" s="25">
        <v>1001</v>
      </c>
      <c r="D2222" t="s">
        <v>124</v>
      </c>
      <c r="E2222" t="s">
        <v>4763</v>
      </c>
      <c r="F2222">
        <v>511310</v>
      </c>
      <c r="G2222" t="s">
        <v>4769</v>
      </c>
    </row>
    <row r="2223" spans="1:7">
      <c r="A2223" s="75">
        <v>1001</v>
      </c>
      <c r="B2223" s="25">
        <v>6</v>
      </c>
      <c r="C2223" s="25">
        <v>1001</v>
      </c>
      <c r="D2223" s="30" t="s">
        <v>4770</v>
      </c>
      <c r="E2223" t="s">
        <v>4765</v>
      </c>
      <c r="F2223">
        <v>511311</v>
      </c>
      <c r="G2223" t="s">
        <v>4771</v>
      </c>
    </row>
    <row r="2224" spans="1:7">
      <c r="A2224" s="75">
        <v>1001</v>
      </c>
      <c r="B2224" s="25">
        <v>6</v>
      </c>
      <c r="C2224" s="25">
        <v>1001</v>
      </c>
      <c r="D2224" s="30" t="s">
        <v>4772</v>
      </c>
      <c r="E2224" t="s">
        <v>4763</v>
      </c>
      <c r="F2224">
        <v>511312</v>
      </c>
      <c r="G2224" t="s">
        <v>4773</v>
      </c>
    </row>
    <row r="2225" spans="1:7">
      <c r="A2225" s="75">
        <v>1001</v>
      </c>
      <c r="B2225">
        <v>1</v>
      </c>
      <c r="C2225" s="25">
        <v>1001</v>
      </c>
      <c r="D2225" s="3" t="s">
        <v>4774</v>
      </c>
      <c r="E2225" t="s">
        <v>124</v>
      </c>
      <c r="F2225">
        <v>511313</v>
      </c>
      <c r="G2225" t="s">
        <v>4775</v>
      </c>
    </row>
    <row r="2226" spans="1:7">
      <c r="A2226" s="75">
        <v>1001</v>
      </c>
      <c r="B2226">
        <v>1</v>
      </c>
      <c r="C2226" s="25">
        <v>1001</v>
      </c>
      <c r="D2226" s="3" t="s">
        <v>4776</v>
      </c>
      <c r="E2226" s="30" t="s">
        <v>4770</v>
      </c>
      <c r="F2226">
        <v>511314</v>
      </c>
      <c r="G2226" t="s">
        <v>4775</v>
      </c>
    </row>
    <row r="2227" spans="1:7">
      <c r="A2227">
        <v>1001</v>
      </c>
      <c r="B2227">
        <v>6</v>
      </c>
      <c r="C2227">
        <v>1001</v>
      </c>
      <c r="D2227" t="s">
        <v>4645</v>
      </c>
      <c r="E2227" s="30" t="s">
        <v>4772</v>
      </c>
      <c r="F2227">
        <v>511315</v>
      </c>
      <c r="G2227" s="6" t="s">
        <v>4777</v>
      </c>
    </row>
    <row r="2228" spans="1:7">
      <c r="A2228">
        <v>1001</v>
      </c>
      <c r="B2228">
        <v>6</v>
      </c>
      <c r="C2228">
        <v>1001</v>
      </c>
      <c r="D2228" t="s">
        <v>4643</v>
      </c>
      <c r="E2228" t="s">
        <v>4774</v>
      </c>
      <c r="F2228">
        <v>511316</v>
      </c>
      <c r="G2228" t="s">
        <v>4778</v>
      </c>
    </row>
    <row r="2229" spans="1:7">
      <c r="A2229" s="75">
        <v>1001</v>
      </c>
      <c r="B2229" s="25">
        <v>6</v>
      </c>
      <c r="C2229" s="25">
        <v>1001</v>
      </c>
      <c r="D2229" s="30" t="s">
        <v>4779</v>
      </c>
      <c r="E2229" t="s">
        <v>4776</v>
      </c>
      <c r="F2229">
        <v>511317</v>
      </c>
      <c r="G2229" t="s">
        <v>4780</v>
      </c>
    </row>
    <row r="2230" spans="1:7">
      <c r="A2230" s="75">
        <v>1001</v>
      </c>
      <c r="B2230" s="25">
        <v>6</v>
      </c>
      <c r="C2230" s="25">
        <v>1001</v>
      </c>
      <c r="D2230" s="30" t="s">
        <v>4781</v>
      </c>
      <c r="E2230" t="s">
        <v>4645</v>
      </c>
      <c r="F2230">
        <v>511318</v>
      </c>
      <c r="G2230" t="s">
        <v>4782</v>
      </c>
    </row>
    <row r="2231" spans="1:7">
      <c r="A2231" s="75">
        <v>1001</v>
      </c>
      <c r="B2231" s="25">
        <v>6</v>
      </c>
      <c r="C2231" s="25">
        <v>1001</v>
      </c>
      <c r="D2231" t="s">
        <v>4783</v>
      </c>
      <c r="E2231" t="s">
        <v>4643</v>
      </c>
      <c r="F2231">
        <v>511319</v>
      </c>
      <c r="G2231" t="s">
        <v>4784</v>
      </c>
    </row>
    <row r="2232" spans="1:7">
      <c r="A2232">
        <v>1001</v>
      </c>
      <c r="B2232">
        <v>6</v>
      </c>
      <c r="C2232">
        <v>1001</v>
      </c>
      <c r="D2232" t="s">
        <v>499</v>
      </c>
      <c r="E2232" s="30" t="s">
        <v>4779</v>
      </c>
      <c r="F2232">
        <v>511320</v>
      </c>
      <c r="G2232" t="s">
        <v>4785</v>
      </c>
    </row>
    <row r="2233" spans="1:7">
      <c r="A2233" s="25">
        <v>1001</v>
      </c>
      <c r="B2233" s="25">
        <v>1</v>
      </c>
      <c r="C2233" s="25">
        <v>1001</v>
      </c>
      <c r="D2233" t="s">
        <v>4786</v>
      </c>
      <c r="E2233" s="30" t="s">
        <v>4781</v>
      </c>
      <c r="F2233">
        <v>511321</v>
      </c>
      <c r="G2233" t="s">
        <v>4787</v>
      </c>
    </row>
    <row r="2234" spans="1:7">
      <c r="A2234" s="25">
        <v>1001</v>
      </c>
      <c r="B2234" s="25">
        <v>1</v>
      </c>
      <c r="C2234" s="25">
        <v>1001</v>
      </c>
      <c r="D2234" t="s">
        <v>4788</v>
      </c>
      <c r="E2234" t="s">
        <v>4783</v>
      </c>
      <c r="F2234">
        <v>511322</v>
      </c>
      <c r="G2234" t="s">
        <v>4789</v>
      </c>
    </row>
    <row r="2235" spans="1:7">
      <c r="A2235" s="25">
        <v>1001</v>
      </c>
      <c r="B2235" s="25">
        <v>1</v>
      </c>
      <c r="C2235" s="25">
        <v>1001</v>
      </c>
      <c r="D2235" t="s">
        <v>4790</v>
      </c>
      <c r="E2235" t="s">
        <v>499</v>
      </c>
      <c r="F2235">
        <v>511323</v>
      </c>
      <c r="G2235" t="s">
        <v>4791</v>
      </c>
    </row>
    <row r="2236" spans="1:7">
      <c r="A2236" s="25">
        <v>1001</v>
      </c>
      <c r="B2236">
        <v>6</v>
      </c>
      <c r="C2236" s="25">
        <v>1001</v>
      </c>
      <c r="D2236" s="74" t="s">
        <v>4792</v>
      </c>
      <c r="E2236" t="s">
        <v>4786</v>
      </c>
      <c r="F2236">
        <v>511324</v>
      </c>
      <c r="G2236" s="74" t="s">
        <v>4793</v>
      </c>
    </row>
    <row r="2237" spans="1:7">
      <c r="A2237" s="25">
        <v>1001</v>
      </c>
      <c r="B2237">
        <v>6</v>
      </c>
      <c r="C2237" s="25">
        <v>1001</v>
      </c>
      <c r="D2237" s="74" t="s">
        <v>4794</v>
      </c>
      <c r="E2237" t="s">
        <v>4788</v>
      </c>
      <c r="F2237">
        <v>511325</v>
      </c>
      <c r="G2237" s="74" t="s">
        <v>4795</v>
      </c>
    </row>
    <row r="2238" spans="1:7">
      <c r="A2238" s="25">
        <v>1001</v>
      </c>
      <c r="B2238">
        <v>6</v>
      </c>
      <c r="C2238" s="25">
        <v>1001</v>
      </c>
      <c r="D2238" s="74" t="s">
        <v>4796</v>
      </c>
      <c r="E2238" t="s">
        <v>4790</v>
      </c>
      <c r="F2238">
        <v>511326</v>
      </c>
      <c r="G2238" s="74" t="s">
        <v>4797</v>
      </c>
    </row>
    <row r="2239" spans="1:7">
      <c r="A2239" s="25">
        <v>1001</v>
      </c>
      <c r="B2239">
        <v>6</v>
      </c>
      <c r="C2239" s="25">
        <v>1001</v>
      </c>
      <c r="D2239" s="74" t="s">
        <v>4798</v>
      </c>
      <c r="E2239" s="74" t="s">
        <v>4792</v>
      </c>
      <c r="F2239">
        <v>511327</v>
      </c>
      <c r="G2239" s="74" t="s">
        <v>4799</v>
      </c>
    </row>
    <row r="2240" spans="1:7">
      <c r="A2240" s="25">
        <v>1001</v>
      </c>
      <c r="B2240">
        <v>6</v>
      </c>
      <c r="C2240" s="25">
        <v>1001</v>
      </c>
      <c r="D2240" s="74" t="s">
        <v>4800</v>
      </c>
      <c r="E2240" s="74" t="s">
        <v>4794</v>
      </c>
      <c r="F2240">
        <v>511328</v>
      </c>
      <c r="G2240" s="74" t="s">
        <v>4801</v>
      </c>
    </row>
    <row r="2241" spans="1:7">
      <c r="A2241" s="25">
        <v>1001</v>
      </c>
      <c r="B2241">
        <v>6</v>
      </c>
      <c r="C2241" s="25">
        <v>1001</v>
      </c>
      <c r="D2241" s="74" t="s">
        <v>4802</v>
      </c>
      <c r="E2241" s="74" t="s">
        <v>4796</v>
      </c>
      <c r="F2241">
        <v>511329</v>
      </c>
      <c r="G2241" s="74" t="s">
        <v>4803</v>
      </c>
    </row>
    <row r="2242" spans="1:7">
      <c r="A2242" s="25">
        <v>1001</v>
      </c>
      <c r="B2242">
        <v>6</v>
      </c>
      <c r="C2242" s="25">
        <v>1001</v>
      </c>
      <c r="D2242" s="74" t="s">
        <v>4804</v>
      </c>
      <c r="E2242" s="74" t="s">
        <v>4798</v>
      </c>
      <c r="F2242">
        <v>511330</v>
      </c>
      <c r="G2242" s="74" t="s">
        <v>4805</v>
      </c>
    </row>
    <row r="2243" spans="1:7">
      <c r="A2243" s="25">
        <v>1001</v>
      </c>
      <c r="B2243">
        <v>6</v>
      </c>
      <c r="C2243" s="25">
        <v>1001</v>
      </c>
      <c r="D2243" s="74" t="s">
        <v>4806</v>
      </c>
      <c r="E2243" s="74" t="s">
        <v>4800</v>
      </c>
      <c r="F2243">
        <v>511331</v>
      </c>
      <c r="G2243" s="74" t="s">
        <v>4807</v>
      </c>
    </row>
    <row r="2244" spans="1:7">
      <c r="A2244">
        <v>1001</v>
      </c>
      <c r="B2244">
        <v>6</v>
      </c>
      <c r="C2244">
        <v>1001</v>
      </c>
      <c r="D2244" t="s">
        <v>4808</v>
      </c>
      <c r="E2244" s="74" t="s">
        <v>4802</v>
      </c>
      <c r="F2244">
        <v>511332</v>
      </c>
      <c r="G2244" t="s">
        <v>4809</v>
      </c>
    </row>
    <row r="2245" spans="1:7">
      <c r="A2245">
        <v>1001</v>
      </c>
      <c r="B2245">
        <v>6</v>
      </c>
      <c r="C2245">
        <v>1001</v>
      </c>
      <c r="D2245" t="s">
        <v>4810</v>
      </c>
      <c r="E2245" s="74" t="s">
        <v>4804</v>
      </c>
      <c r="F2245">
        <v>511333</v>
      </c>
      <c r="G2245" t="s">
        <v>4811</v>
      </c>
    </row>
    <row r="2246" ht="17" spans="1:7">
      <c r="A2246">
        <v>1001</v>
      </c>
      <c r="B2246">
        <v>6</v>
      </c>
      <c r="C2246">
        <v>1001</v>
      </c>
      <c r="D2246" t="s">
        <v>4643</v>
      </c>
      <c r="E2246" s="74" t="s">
        <v>4806</v>
      </c>
      <c r="F2246">
        <v>511334</v>
      </c>
      <c r="G2246" s="78" t="s">
        <v>4812</v>
      </c>
    </row>
    <row r="2247" spans="1:7">
      <c r="A2247" s="25">
        <v>1001</v>
      </c>
      <c r="B2247">
        <v>6</v>
      </c>
      <c r="C2247" s="25">
        <v>1001</v>
      </c>
      <c r="D2247" t="s">
        <v>4813</v>
      </c>
      <c r="E2247" t="s">
        <v>4808</v>
      </c>
      <c r="F2247">
        <v>511335</v>
      </c>
      <c r="G2247" t="s">
        <v>4512</v>
      </c>
    </row>
    <row r="2248" spans="1:7">
      <c r="A2248" s="25">
        <v>1001</v>
      </c>
      <c r="B2248">
        <v>6</v>
      </c>
      <c r="C2248" s="25">
        <v>1001</v>
      </c>
      <c r="D2248" t="s">
        <v>4680</v>
      </c>
      <c r="E2248" t="s">
        <v>4810</v>
      </c>
      <c r="F2248">
        <v>511336</v>
      </c>
      <c r="G2248" t="s">
        <v>4513</v>
      </c>
    </row>
    <row r="2249" spans="1:7">
      <c r="A2249">
        <v>1001</v>
      </c>
      <c r="B2249">
        <v>6</v>
      </c>
      <c r="C2249">
        <v>1001</v>
      </c>
      <c r="D2249" t="s">
        <v>4688</v>
      </c>
      <c r="E2249" t="s">
        <v>4643</v>
      </c>
      <c r="F2249">
        <v>511337</v>
      </c>
      <c r="G2249" t="s">
        <v>4814</v>
      </c>
    </row>
    <row r="2250" spans="1:7">
      <c r="A2250">
        <v>1001</v>
      </c>
      <c r="B2250">
        <v>6</v>
      </c>
      <c r="C2250">
        <v>1001</v>
      </c>
      <c r="D2250" t="s">
        <v>4691</v>
      </c>
      <c r="E2250" t="s">
        <v>4813</v>
      </c>
      <c r="F2250">
        <v>511338</v>
      </c>
      <c r="G2250" t="s">
        <v>4690</v>
      </c>
    </row>
    <row r="2251" spans="1:7">
      <c r="A2251">
        <v>1001</v>
      </c>
      <c r="B2251">
        <v>6</v>
      </c>
      <c r="C2251">
        <v>1001</v>
      </c>
      <c r="D2251" t="s">
        <v>4815</v>
      </c>
      <c r="E2251" t="s">
        <v>4680</v>
      </c>
      <c r="F2251">
        <v>511339</v>
      </c>
      <c r="G2251" t="s">
        <v>4816</v>
      </c>
    </row>
    <row r="2252" spans="1:7">
      <c r="A2252">
        <v>1001</v>
      </c>
      <c r="B2252">
        <v>6</v>
      </c>
      <c r="C2252">
        <v>1001</v>
      </c>
      <c r="D2252" t="s">
        <v>4693</v>
      </c>
      <c r="E2252" t="s">
        <v>4688</v>
      </c>
      <c r="F2252">
        <v>511340</v>
      </c>
      <c r="G2252" t="s">
        <v>4817</v>
      </c>
    </row>
    <row r="2253" spans="1:7">
      <c r="A2253">
        <v>1001</v>
      </c>
      <c r="B2253">
        <v>6</v>
      </c>
      <c r="C2253">
        <v>1001</v>
      </c>
      <c r="D2253" t="s">
        <v>4818</v>
      </c>
      <c r="E2253" t="s">
        <v>4691</v>
      </c>
      <c r="F2253">
        <v>511341</v>
      </c>
      <c r="G2253" t="s">
        <v>4819</v>
      </c>
    </row>
    <row r="2254" spans="1:7">
      <c r="A2254">
        <v>1001</v>
      </c>
      <c r="B2254">
        <v>6</v>
      </c>
      <c r="C2254">
        <v>1001</v>
      </c>
      <c r="D2254" t="s">
        <v>4820</v>
      </c>
      <c r="E2254" t="s">
        <v>4815</v>
      </c>
      <c r="F2254">
        <v>511342</v>
      </c>
      <c r="G2254" t="s">
        <v>4821</v>
      </c>
    </row>
    <row r="2255" spans="1:7">
      <c r="A2255">
        <v>1001</v>
      </c>
      <c r="B2255">
        <v>6</v>
      </c>
      <c r="C2255">
        <v>1001</v>
      </c>
      <c r="D2255" t="s">
        <v>4701</v>
      </c>
      <c r="E2255" t="s">
        <v>4693</v>
      </c>
      <c r="F2255">
        <v>511343</v>
      </c>
      <c r="G2255" t="s">
        <v>4702</v>
      </c>
    </row>
    <row r="2256" spans="1:7">
      <c r="A2256">
        <v>1001</v>
      </c>
      <c r="B2256">
        <v>6</v>
      </c>
      <c r="C2256">
        <v>1001</v>
      </c>
      <c r="D2256" t="s">
        <v>4703</v>
      </c>
      <c r="E2256" t="s">
        <v>4818</v>
      </c>
      <c r="F2256">
        <v>511344</v>
      </c>
      <c r="G2256" t="s">
        <v>4822</v>
      </c>
    </row>
    <row r="2257" spans="1:7">
      <c r="A2257">
        <v>1001</v>
      </c>
      <c r="B2257">
        <v>6</v>
      </c>
      <c r="C2257">
        <v>1001</v>
      </c>
      <c r="D2257" t="s">
        <v>4823</v>
      </c>
      <c r="E2257" t="s">
        <v>4820</v>
      </c>
      <c r="F2257">
        <v>511345</v>
      </c>
      <c r="G2257" t="s">
        <v>4824</v>
      </c>
    </row>
    <row r="2258" spans="1:7">
      <c r="A2258">
        <v>1001</v>
      </c>
      <c r="B2258">
        <v>6</v>
      </c>
      <c r="C2258">
        <v>1001</v>
      </c>
      <c r="D2258" t="s">
        <v>4705</v>
      </c>
      <c r="E2258" t="s">
        <v>4701</v>
      </c>
      <c r="F2258">
        <v>511346</v>
      </c>
      <c r="G2258" t="s">
        <v>4825</v>
      </c>
    </row>
    <row r="2259" spans="1:7">
      <c r="A2259">
        <v>1001</v>
      </c>
      <c r="B2259">
        <v>6</v>
      </c>
      <c r="C2259">
        <v>1001</v>
      </c>
      <c r="D2259" t="s">
        <v>4826</v>
      </c>
      <c r="E2259" t="s">
        <v>4703</v>
      </c>
      <c r="F2259">
        <v>511347</v>
      </c>
      <c r="G2259" t="s">
        <v>4827</v>
      </c>
    </row>
    <row r="2260" spans="1:7">
      <c r="A2260">
        <v>1001</v>
      </c>
      <c r="B2260">
        <v>6</v>
      </c>
      <c r="C2260">
        <v>1001</v>
      </c>
      <c r="D2260" t="s">
        <v>4707</v>
      </c>
      <c r="E2260" t="s">
        <v>4823</v>
      </c>
      <c r="F2260">
        <v>511348</v>
      </c>
      <c r="G2260" t="s">
        <v>4828</v>
      </c>
    </row>
    <row r="2261" spans="1:7">
      <c r="A2261">
        <v>1001</v>
      </c>
      <c r="B2261">
        <v>6</v>
      </c>
      <c r="C2261">
        <v>1001</v>
      </c>
      <c r="D2261" t="s">
        <v>4709</v>
      </c>
      <c r="E2261" t="s">
        <v>4705</v>
      </c>
      <c r="F2261">
        <v>511349</v>
      </c>
      <c r="G2261" t="s">
        <v>4828</v>
      </c>
    </row>
    <row r="2262" spans="1:7">
      <c r="A2262">
        <v>1001</v>
      </c>
      <c r="B2262">
        <v>6</v>
      </c>
      <c r="C2262">
        <v>1001</v>
      </c>
      <c r="D2262" t="s">
        <v>4829</v>
      </c>
      <c r="E2262" t="s">
        <v>4826</v>
      </c>
      <c r="F2262">
        <v>511350</v>
      </c>
      <c r="G2262" t="s">
        <v>4828</v>
      </c>
    </row>
    <row r="2263" spans="1:7">
      <c r="A2263">
        <v>1001</v>
      </c>
      <c r="B2263">
        <v>6</v>
      </c>
      <c r="C2263">
        <v>1001</v>
      </c>
      <c r="D2263" t="s">
        <v>4710</v>
      </c>
      <c r="E2263" t="s">
        <v>4707</v>
      </c>
      <c r="F2263">
        <v>511351</v>
      </c>
      <c r="G2263" t="s">
        <v>4828</v>
      </c>
    </row>
    <row r="2264" spans="1:7">
      <c r="A2264">
        <v>1001</v>
      </c>
      <c r="B2264">
        <v>6</v>
      </c>
      <c r="C2264">
        <v>1001</v>
      </c>
      <c r="D2264" t="s">
        <v>4830</v>
      </c>
      <c r="E2264" t="s">
        <v>4709</v>
      </c>
      <c r="F2264">
        <v>511352</v>
      </c>
      <c r="G2264" t="s">
        <v>4828</v>
      </c>
    </row>
    <row r="2265" spans="1:7">
      <c r="A2265">
        <v>1001</v>
      </c>
      <c r="B2265">
        <v>6</v>
      </c>
      <c r="C2265">
        <v>1001</v>
      </c>
      <c r="D2265" t="s">
        <v>4711</v>
      </c>
      <c r="E2265" t="s">
        <v>4829</v>
      </c>
      <c r="F2265">
        <v>511353</v>
      </c>
      <c r="G2265" t="s">
        <v>4712</v>
      </c>
    </row>
    <row r="2266" spans="1:7">
      <c r="A2266">
        <v>1001</v>
      </c>
      <c r="B2266">
        <v>6</v>
      </c>
      <c r="C2266">
        <v>1001</v>
      </c>
      <c r="D2266" t="s">
        <v>4713</v>
      </c>
      <c r="E2266" t="s">
        <v>4710</v>
      </c>
      <c r="F2266">
        <v>511354</v>
      </c>
      <c r="G2266" t="s">
        <v>4712</v>
      </c>
    </row>
    <row r="2267" spans="1:7">
      <c r="A2267">
        <v>1001</v>
      </c>
      <c r="B2267">
        <v>6</v>
      </c>
      <c r="C2267">
        <v>1001</v>
      </c>
      <c r="D2267" t="s">
        <v>4831</v>
      </c>
      <c r="E2267" t="s">
        <v>4830</v>
      </c>
      <c r="F2267">
        <v>511355</v>
      </c>
      <c r="G2267" t="s">
        <v>4712</v>
      </c>
    </row>
    <row r="2268" spans="1:7">
      <c r="A2268">
        <v>1001</v>
      </c>
      <c r="B2268">
        <v>6</v>
      </c>
      <c r="C2268">
        <v>1001</v>
      </c>
      <c r="D2268" t="s">
        <v>4714</v>
      </c>
      <c r="E2268" t="s">
        <v>4711</v>
      </c>
      <c r="F2268">
        <v>511356</v>
      </c>
      <c r="G2268" t="s">
        <v>4712</v>
      </c>
    </row>
    <row r="2269" spans="1:7">
      <c r="A2269">
        <v>1001</v>
      </c>
      <c r="B2269">
        <v>6</v>
      </c>
      <c r="C2269">
        <v>1001</v>
      </c>
      <c r="D2269" t="s">
        <v>4832</v>
      </c>
      <c r="E2269" t="s">
        <v>4713</v>
      </c>
      <c r="F2269">
        <v>511357</v>
      </c>
      <c r="G2269" t="s">
        <v>4712</v>
      </c>
    </row>
    <row r="2270" spans="1:7">
      <c r="A2270" s="75">
        <v>1001</v>
      </c>
      <c r="B2270" s="75">
        <v>1</v>
      </c>
      <c r="C2270" s="25">
        <v>1001</v>
      </c>
      <c r="D2270" t="s">
        <v>4833</v>
      </c>
      <c r="E2270" t="s">
        <v>4831</v>
      </c>
      <c r="F2270">
        <v>511358</v>
      </c>
      <c r="G2270" t="s">
        <v>4834</v>
      </c>
    </row>
    <row r="2271" spans="1:7">
      <c r="A2271" s="75">
        <v>1001</v>
      </c>
      <c r="B2271" s="75">
        <v>1</v>
      </c>
      <c r="C2271" s="25">
        <v>1001</v>
      </c>
      <c r="D2271" t="s">
        <v>4835</v>
      </c>
      <c r="E2271" t="s">
        <v>4714</v>
      </c>
      <c r="F2271">
        <v>511359</v>
      </c>
      <c r="G2271" t="s">
        <v>4836</v>
      </c>
    </row>
    <row r="2272" spans="1:7">
      <c r="A2272" s="75">
        <v>1001</v>
      </c>
      <c r="B2272" s="75">
        <v>1</v>
      </c>
      <c r="C2272" s="25">
        <v>1001</v>
      </c>
      <c r="D2272" t="s">
        <v>4837</v>
      </c>
      <c r="E2272" t="s">
        <v>4832</v>
      </c>
      <c r="F2272">
        <v>511360</v>
      </c>
      <c r="G2272" t="s">
        <v>4838</v>
      </c>
    </row>
    <row r="2273" spans="1:7">
      <c r="A2273" s="75">
        <v>1001</v>
      </c>
      <c r="B2273" s="75">
        <v>1</v>
      </c>
      <c r="C2273" s="25">
        <v>1001</v>
      </c>
      <c r="D2273" t="s">
        <v>4839</v>
      </c>
      <c r="E2273" t="s">
        <v>4833</v>
      </c>
      <c r="F2273">
        <v>16010002</v>
      </c>
      <c r="G2273" t="s">
        <v>4840</v>
      </c>
    </row>
    <row r="2274" spans="1:7">
      <c r="A2274" s="75">
        <v>1001</v>
      </c>
      <c r="B2274" s="75">
        <v>1</v>
      </c>
      <c r="C2274" s="25">
        <v>1001</v>
      </c>
      <c r="D2274" t="s">
        <v>4841</v>
      </c>
      <c r="E2274" t="s">
        <v>4835</v>
      </c>
      <c r="F2274">
        <v>16010003</v>
      </c>
      <c r="G2274" t="s">
        <v>4842</v>
      </c>
    </row>
    <row r="2275" spans="1:7">
      <c r="A2275" s="75">
        <v>1001</v>
      </c>
      <c r="B2275" s="75">
        <v>1</v>
      </c>
      <c r="C2275" s="25">
        <v>1001</v>
      </c>
      <c r="D2275" t="s">
        <v>4843</v>
      </c>
      <c r="E2275" t="s">
        <v>4837</v>
      </c>
      <c r="F2275">
        <v>16010004</v>
      </c>
      <c r="G2275" t="s">
        <v>4844</v>
      </c>
    </row>
    <row r="2276" spans="1:7">
      <c r="A2276" s="75">
        <v>1001</v>
      </c>
      <c r="B2276" s="75">
        <v>1</v>
      </c>
      <c r="C2276" s="25">
        <v>1001</v>
      </c>
      <c r="D2276" t="s">
        <v>4845</v>
      </c>
      <c r="E2276" t="s">
        <v>4839</v>
      </c>
      <c r="F2276">
        <v>16010005</v>
      </c>
      <c r="G2276" t="s">
        <v>4846</v>
      </c>
    </row>
    <row r="2277" spans="1:7">
      <c r="A2277" s="75">
        <v>1001</v>
      </c>
      <c r="B2277" s="75">
        <v>1</v>
      </c>
      <c r="C2277" s="25">
        <v>1001</v>
      </c>
      <c r="D2277" t="s">
        <v>4847</v>
      </c>
      <c r="E2277" t="s">
        <v>4841</v>
      </c>
      <c r="F2277">
        <v>16010006</v>
      </c>
      <c r="G2277" t="s">
        <v>4848</v>
      </c>
    </row>
    <row r="2278" spans="1:7">
      <c r="A2278" s="75">
        <v>1001</v>
      </c>
      <c r="B2278" s="75">
        <v>1</v>
      </c>
      <c r="C2278" s="25">
        <v>1001</v>
      </c>
      <c r="D2278" t="s">
        <v>4849</v>
      </c>
      <c r="E2278" t="s">
        <v>4843</v>
      </c>
      <c r="F2278">
        <v>16010007</v>
      </c>
      <c r="G2278" t="s">
        <v>4850</v>
      </c>
    </row>
    <row r="2279" spans="1:7">
      <c r="A2279">
        <v>1001</v>
      </c>
      <c r="B2279">
        <v>6</v>
      </c>
      <c r="C2279">
        <v>1001</v>
      </c>
      <c r="D2279" t="s">
        <v>832</v>
      </c>
      <c r="E2279" t="s">
        <v>4845</v>
      </c>
      <c r="F2279">
        <v>16010008</v>
      </c>
      <c r="G2279" t="s">
        <v>4690</v>
      </c>
    </row>
    <row r="2280" spans="1:7">
      <c r="A2280" s="75">
        <v>1001</v>
      </c>
      <c r="B2280" s="25">
        <v>6</v>
      </c>
      <c r="C2280" s="25">
        <v>1001</v>
      </c>
      <c r="D2280" s="30" t="s">
        <v>4779</v>
      </c>
      <c r="E2280" t="s">
        <v>4847</v>
      </c>
      <c r="F2280">
        <v>16010009</v>
      </c>
      <c r="G2280" t="s">
        <v>4851</v>
      </c>
    </row>
    <row r="2281" ht="17" spans="1:7">
      <c r="A2281">
        <v>1001</v>
      </c>
      <c r="B2281">
        <v>6</v>
      </c>
      <c r="C2281">
        <v>1001</v>
      </c>
      <c r="D2281" t="s">
        <v>4643</v>
      </c>
      <c r="E2281" t="s">
        <v>4849</v>
      </c>
      <c r="F2281">
        <v>16010010</v>
      </c>
      <c r="G2281" s="79" t="s">
        <v>4852</v>
      </c>
    </row>
    <row r="2282" spans="1:7">
      <c r="A2282">
        <v>1001</v>
      </c>
      <c r="B2282">
        <v>6</v>
      </c>
      <c r="C2282">
        <v>1001</v>
      </c>
      <c r="D2282" t="s">
        <v>4645</v>
      </c>
      <c r="E2282" t="s">
        <v>832</v>
      </c>
      <c r="F2282">
        <v>511361</v>
      </c>
      <c r="G2282" t="s">
        <v>4853</v>
      </c>
    </row>
    <row r="2283" spans="1:7">
      <c r="A2283">
        <v>1001</v>
      </c>
      <c r="B2283">
        <v>6</v>
      </c>
      <c r="C2283">
        <v>1001</v>
      </c>
      <c r="D2283" t="s">
        <v>4854</v>
      </c>
      <c r="E2283" s="30" t="s">
        <v>4779</v>
      </c>
      <c r="F2283">
        <v>511362</v>
      </c>
      <c r="G2283" t="s">
        <v>4855</v>
      </c>
    </row>
    <row r="2284" spans="1:7">
      <c r="A2284" s="25">
        <v>1001</v>
      </c>
      <c r="B2284">
        <v>6</v>
      </c>
      <c r="C2284" s="25">
        <v>1001</v>
      </c>
      <c r="D2284" s="74" t="s">
        <v>4856</v>
      </c>
      <c r="E2284" t="s">
        <v>4643</v>
      </c>
      <c r="F2284">
        <v>511363</v>
      </c>
      <c r="G2284" s="74" t="s">
        <v>4857</v>
      </c>
    </row>
    <row r="2285" spans="1:7">
      <c r="A2285" s="25">
        <v>1001</v>
      </c>
      <c r="B2285">
        <v>6</v>
      </c>
      <c r="C2285" s="25">
        <v>1001</v>
      </c>
      <c r="D2285" s="74" t="s">
        <v>4858</v>
      </c>
      <c r="E2285" t="s">
        <v>4645</v>
      </c>
      <c r="F2285">
        <v>511364</v>
      </c>
      <c r="G2285" s="74" t="s">
        <v>4859</v>
      </c>
    </row>
    <row r="2286" spans="1:7">
      <c r="A2286" s="25">
        <v>1001</v>
      </c>
      <c r="B2286">
        <v>6</v>
      </c>
      <c r="C2286" s="25">
        <v>1001</v>
      </c>
      <c r="D2286" s="74" t="s">
        <v>4860</v>
      </c>
      <c r="E2286" t="s">
        <v>4854</v>
      </c>
      <c r="F2286">
        <v>511365</v>
      </c>
      <c r="G2286" s="74" t="s">
        <v>4861</v>
      </c>
    </row>
    <row r="2287" spans="1:7">
      <c r="A2287" s="25">
        <v>1001</v>
      </c>
      <c r="B2287">
        <v>6</v>
      </c>
      <c r="C2287" s="25">
        <v>1001</v>
      </c>
      <c r="D2287" s="74" t="s">
        <v>4862</v>
      </c>
      <c r="E2287" s="74" t="s">
        <v>4856</v>
      </c>
      <c r="F2287">
        <v>511366</v>
      </c>
      <c r="G2287" s="74" t="s">
        <v>4863</v>
      </c>
    </row>
    <row r="2288" spans="1:7">
      <c r="A2288" s="25">
        <v>1001</v>
      </c>
      <c r="B2288">
        <v>6</v>
      </c>
      <c r="C2288" s="25">
        <v>1001</v>
      </c>
      <c r="D2288" s="27" t="s">
        <v>4864</v>
      </c>
      <c r="E2288" s="74" t="s">
        <v>4858</v>
      </c>
      <c r="F2288">
        <v>511367</v>
      </c>
      <c r="G2288" s="27" t="s">
        <v>4865</v>
      </c>
    </row>
    <row r="2289" spans="1:7">
      <c r="A2289" s="25">
        <v>1001</v>
      </c>
      <c r="B2289">
        <v>6</v>
      </c>
      <c r="C2289" s="25">
        <v>1001</v>
      </c>
      <c r="D2289" s="27" t="s">
        <v>4866</v>
      </c>
      <c r="E2289" s="74" t="s">
        <v>4860</v>
      </c>
      <c r="F2289">
        <v>511368</v>
      </c>
      <c r="G2289" s="27" t="s">
        <v>4867</v>
      </c>
    </row>
    <row r="2290" spans="1:7">
      <c r="A2290" s="25">
        <v>1001</v>
      </c>
      <c r="B2290">
        <v>6</v>
      </c>
      <c r="C2290" s="25">
        <v>1001</v>
      </c>
      <c r="D2290" s="27" t="s">
        <v>4868</v>
      </c>
      <c r="E2290" s="74" t="s">
        <v>4862</v>
      </c>
      <c r="F2290">
        <v>511369</v>
      </c>
      <c r="G2290" s="27" t="s">
        <v>4869</v>
      </c>
    </row>
    <row r="2291" spans="1:7">
      <c r="A2291" s="25">
        <v>1001</v>
      </c>
      <c r="B2291">
        <v>6</v>
      </c>
      <c r="C2291" s="25">
        <v>1001</v>
      </c>
      <c r="D2291" s="27" t="s">
        <v>4870</v>
      </c>
      <c r="E2291" s="27" t="s">
        <v>4864</v>
      </c>
      <c r="F2291">
        <v>511370</v>
      </c>
      <c r="G2291" s="27" t="s">
        <v>4871</v>
      </c>
    </row>
    <row r="2292" spans="1:7">
      <c r="A2292" s="25">
        <v>1001</v>
      </c>
      <c r="B2292">
        <v>6</v>
      </c>
      <c r="C2292" s="25">
        <v>1001</v>
      </c>
      <c r="D2292" t="s">
        <v>4872</v>
      </c>
      <c r="E2292" s="27" t="s">
        <v>4866</v>
      </c>
      <c r="F2292">
        <v>511371</v>
      </c>
      <c r="G2292" t="s">
        <v>4873</v>
      </c>
    </row>
    <row r="2293" spans="1:7">
      <c r="A2293" s="25">
        <v>1001</v>
      </c>
      <c r="B2293">
        <v>6</v>
      </c>
      <c r="C2293" s="25">
        <v>1001</v>
      </c>
      <c r="D2293" t="s">
        <v>4874</v>
      </c>
      <c r="E2293" s="27" t="s">
        <v>4868</v>
      </c>
      <c r="F2293">
        <v>511372</v>
      </c>
      <c r="G2293" t="s">
        <v>4874</v>
      </c>
    </row>
    <row r="2294" spans="1:7">
      <c r="A2294" s="25">
        <v>1001</v>
      </c>
      <c r="B2294">
        <v>6</v>
      </c>
      <c r="C2294" s="25">
        <v>1001</v>
      </c>
      <c r="D2294" t="s">
        <v>4875</v>
      </c>
      <c r="E2294" s="27" t="s">
        <v>4870</v>
      </c>
      <c r="F2294">
        <v>511373</v>
      </c>
      <c r="G2294" t="s">
        <v>4609</v>
      </c>
    </row>
    <row r="2295" spans="1:7">
      <c r="A2295" s="25">
        <v>1001</v>
      </c>
      <c r="B2295">
        <v>6</v>
      </c>
      <c r="C2295" s="25">
        <v>1001</v>
      </c>
      <c r="D2295" t="s">
        <v>4876</v>
      </c>
      <c r="E2295" t="s">
        <v>4872</v>
      </c>
      <c r="F2295">
        <v>511374</v>
      </c>
      <c r="G2295" t="s">
        <v>4611</v>
      </c>
    </row>
    <row r="2296" spans="1:7">
      <c r="A2296" s="25">
        <v>1001</v>
      </c>
      <c r="B2296">
        <v>6</v>
      </c>
      <c r="C2296" s="25">
        <v>1001</v>
      </c>
      <c r="D2296" t="s">
        <v>4877</v>
      </c>
      <c r="E2296" t="s">
        <v>4874</v>
      </c>
      <c r="F2296">
        <v>511375</v>
      </c>
      <c r="G2296" t="s">
        <v>4613</v>
      </c>
    </row>
    <row r="2297" spans="1:7">
      <c r="A2297" s="25">
        <v>1001</v>
      </c>
      <c r="B2297">
        <v>6</v>
      </c>
      <c r="C2297" s="25">
        <v>1001</v>
      </c>
      <c r="D2297" t="s">
        <v>4878</v>
      </c>
      <c r="E2297" t="s">
        <v>4879</v>
      </c>
      <c r="F2297">
        <v>511376</v>
      </c>
      <c r="G2297" t="s">
        <v>4880</v>
      </c>
    </row>
    <row r="2298" spans="1:7">
      <c r="A2298" s="25">
        <v>1001</v>
      </c>
      <c r="B2298">
        <v>6</v>
      </c>
      <c r="C2298" s="25">
        <v>1001</v>
      </c>
      <c r="D2298" t="s">
        <v>4881</v>
      </c>
      <c r="E2298" t="s">
        <v>4882</v>
      </c>
      <c r="F2298">
        <v>511377</v>
      </c>
      <c r="G2298" t="s">
        <v>4883</v>
      </c>
    </row>
    <row r="2299" spans="1:7">
      <c r="A2299" s="25">
        <v>1001</v>
      </c>
      <c r="B2299">
        <v>6</v>
      </c>
      <c r="C2299" s="25">
        <v>1001</v>
      </c>
      <c r="D2299" t="s">
        <v>4884</v>
      </c>
      <c r="E2299" t="s">
        <v>4885</v>
      </c>
      <c r="F2299">
        <v>511378</v>
      </c>
      <c r="G2299" t="s">
        <v>4886</v>
      </c>
    </row>
    <row r="2300" spans="1:7">
      <c r="A2300">
        <v>1001</v>
      </c>
      <c r="B2300">
        <v>1</v>
      </c>
      <c r="C2300">
        <v>1001</v>
      </c>
      <c r="D2300" t="s">
        <v>4887</v>
      </c>
      <c r="E2300" t="s">
        <v>4888</v>
      </c>
      <c r="F2300">
        <v>511379</v>
      </c>
      <c r="G2300" t="s">
        <v>4889</v>
      </c>
    </row>
    <row r="2301" spans="1:7">
      <c r="A2301">
        <v>1001</v>
      </c>
      <c r="B2301">
        <v>1</v>
      </c>
      <c r="C2301">
        <v>1001</v>
      </c>
      <c r="D2301" t="s">
        <v>4890</v>
      </c>
      <c r="E2301" t="s">
        <v>4881</v>
      </c>
      <c r="F2301">
        <v>511380</v>
      </c>
      <c r="G2301" t="s">
        <v>4889</v>
      </c>
    </row>
    <row r="2302" spans="1:7">
      <c r="A2302">
        <v>1001</v>
      </c>
      <c r="B2302">
        <v>1</v>
      </c>
      <c r="C2302">
        <v>3</v>
      </c>
      <c r="D2302" t="s">
        <v>4891</v>
      </c>
      <c r="E2302" t="s">
        <v>4884</v>
      </c>
      <c r="F2302">
        <v>511381</v>
      </c>
      <c r="G2302" t="s">
        <v>4892</v>
      </c>
    </row>
    <row r="2303" spans="1:7">
      <c r="A2303">
        <v>1001</v>
      </c>
      <c r="B2303">
        <v>1</v>
      </c>
      <c r="C2303">
        <v>3</v>
      </c>
      <c r="D2303" t="s">
        <v>4893</v>
      </c>
      <c r="E2303" t="s">
        <v>4887</v>
      </c>
      <c r="F2303">
        <v>511382</v>
      </c>
      <c r="G2303" t="s">
        <v>4894</v>
      </c>
    </row>
    <row r="2304" spans="1:7">
      <c r="A2304">
        <v>1001</v>
      </c>
      <c r="B2304">
        <v>1</v>
      </c>
      <c r="C2304">
        <v>3</v>
      </c>
      <c r="D2304" t="s">
        <v>4895</v>
      </c>
      <c r="E2304" t="s">
        <v>4890</v>
      </c>
      <c r="F2304">
        <v>511383</v>
      </c>
      <c r="G2304" t="s">
        <v>4896</v>
      </c>
    </row>
    <row r="2305" spans="1:7">
      <c r="A2305">
        <v>1001</v>
      </c>
      <c r="B2305">
        <v>1</v>
      </c>
      <c r="C2305">
        <v>3</v>
      </c>
      <c r="D2305" t="s">
        <v>4897</v>
      </c>
      <c r="E2305" t="s">
        <v>4891</v>
      </c>
      <c r="F2305">
        <v>511384</v>
      </c>
      <c r="G2305" t="s">
        <v>4898</v>
      </c>
    </row>
    <row r="2306" spans="1:7">
      <c r="A2306">
        <v>1001</v>
      </c>
      <c r="B2306">
        <v>1</v>
      </c>
      <c r="C2306">
        <v>3</v>
      </c>
      <c r="D2306" t="s">
        <v>4899</v>
      </c>
      <c r="E2306" t="s">
        <v>4893</v>
      </c>
      <c r="F2306">
        <v>511385</v>
      </c>
      <c r="G2306" t="s">
        <v>4900</v>
      </c>
    </row>
    <row r="2307" spans="1:7">
      <c r="A2307">
        <v>1001</v>
      </c>
      <c r="B2307">
        <v>1</v>
      </c>
      <c r="C2307">
        <v>3</v>
      </c>
      <c r="D2307" t="s">
        <v>2373</v>
      </c>
      <c r="E2307" t="s">
        <v>4895</v>
      </c>
      <c r="F2307">
        <v>511386</v>
      </c>
      <c r="G2307" t="s">
        <v>4901</v>
      </c>
    </row>
    <row r="2308" spans="1:7">
      <c r="A2308">
        <v>1001</v>
      </c>
      <c r="B2308">
        <v>6</v>
      </c>
      <c r="C2308">
        <v>1001</v>
      </c>
      <c r="D2308" t="s">
        <v>4902</v>
      </c>
      <c r="E2308" t="s">
        <v>4897</v>
      </c>
      <c r="F2308">
        <v>511387</v>
      </c>
      <c r="G2308" t="s">
        <v>4903</v>
      </c>
    </row>
    <row r="2309" spans="1:7">
      <c r="A2309">
        <v>1001</v>
      </c>
      <c r="B2309">
        <v>1</v>
      </c>
      <c r="C2309">
        <v>3</v>
      </c>
      <c r="D2309" t="s">
        <v>4904</v>
      </c>
      <c r="E2309" t="s">
        <v>4899</v>
      </c>
      <c r="F2309">
        <v>511388</v>
      </c>
      <c r="G2309" t="s">
        <v>4905</v>
      </c>
    </row>
    <row r="2310" spans="1:7">
      <c r="A2310">
        <v>1001</v>
      </c>
      <c r="B2310">
        <v>1</v>
      </c>
      <c r="C2310">
        <v>3</v>
      </c>
      <c r="D2310" t="s">
        <v>4906</v>
      </c>
      <c r="E2310" t="s">
        <v>2373</v>
      </c>
      <c r="F2310">
        <v>511389</v>
      </c>
      <c r="G2310" t="s">
        <v>4907</v>
      </c>
    </row>
    <row r="2311" spans="1:7">
      <c r="A2311">
        <v>1001</v>
      </c>
      <c r="B2311">
        <v>1</v>
      </c>
      <c r="C2311">
        <v>3</v>
      </c>
      <c r="D2311" t="s">
        <v>1512</v>
      </c>
      <c r="E2311" t="s">
        <v>4902</v>
      </c>
      <c r="F2311">
        <v>511390</v>
      </c>
      <c r="G2311" t="s">
        <v>4908</v>
      </c>
    </row>
    <row r="2312" spans="1:7">
      <c r="A2312">
        <v>1001</v>
      </c>
      <c r="B2312">
        <v>1</v>
      </c>
      <c r="C2312">
        <v>3</v>
      </c>
      <c r="D2312" t="s">
        <v>4909</v>
      </c>
      <c r="E2312" t="s">
        <v>4904</v>
      </c>
      <c r="F2312">
        <v>511391</v>
      </c>
      <c r="G2312" t="s">
        <v>4910</v>
      </c>
    </row>
    <row r="2313" spans="1:7">
      <c r="A2313">
        <v>1001</v>
      </c>
      <c r="B2313">
        <v>1</v>
      </c>
      <c r="C2313">
        <v>3</v>
      </c>
      <c r="D2313" t="s">
        <v>4911</v>
      </c>
      <c r="E2313" t="s">
        <v>4906</v>
      </c>
      <c r="F2313">
        <v>511392</v>
      </c>
      <c r="G2313" t="s">
        <v>4912</v>
      </c>
    </row>
    <row r="2314" spans="1:7">
      <c r="A2314">
        <v>1001</v>
      </c>
      <c r="B2314">
        <v>1</v>
      </c>
      <c r="C2314">
        <v>3</v>
      </c>
      <c r="D2314" t="s">
        <v>4913</v>
      </c>
      <c r="E2314" t="s">
        <v>1512</v>
      </c>
      <c r="F2314">
        <v>511393</v>
      </c>
      <c r="G2314" t="s">
        <v>4914</v>
      </c>
    </row>
    <row r="2315" spans="1:7">
      <c r="A2315">
        <v>1001</v>
      </c>
      <c r="B2315">
        <v>1</v>
      </c>
      <c r="C2315">
        <v>3</v>
      </c>
      <c r="D2315" t="s">
        <v>4915</v>
      </c>
      <c r="E2315" t="s">
        <v>4909</v>
      </c>
      <c r="F2315">
        <v>511394</v>
      </c>
      <c r="G2315" t="s">
        <v>4916</v>
      </c>
    </row>
    <row r="2316" ht="17" spans="1:7">
      <c r="A2316">
        <v>1001</v>
      </c>
      <c r="B2316">
        <v>6</v>
      </c>
      <c r="C2316">
        <v>1001</v>
      </c>
      <c r="D2316" t="s">
        <v>4643</v>
      </c>
      <c r="E2316" t="s">
        <v>4911</v>
      </c>
      <c r="F2316">
        <v>511395</v>
      </c>
      <c r="G2316" s="79" t="s">
        <v>4917</v>
      </c>
    </row>
    <row r="2317" spans="1:7">
      <c r="A2317">
        <v>1001</v>
      </c>
      <c r="B2317">
        <v>6</v>
      </c>
      <c r="C2317">
        <v>1001</v>
      </c>
      <c r="D2317" t="s">
        <v>4918</v>
      </c>
      <c r="E2317" t="s">
        <v>4913</v>
      </c>
      <c r="F2317">
        <v>511396</v>
      </c>
      <c r="G2317" t="s">
        <v>4919</v>
      </c>
    </row>
    <row r="2318" spans="1:7">
      <c r="A2318" s="25">
        <v>1001</v>
      </c>
      <c r="B2318" s="25">
        <v>1</v>
      </c>
      <c r="C2318" s="25">
        <v>1001</v>
      </c>
      <c r="D2318" t="s">
        <v>3690</v>
      </c>
      <c r="E2318" t="s">
        <v>4915</v>
      </c>
      <c r="F2318">
        <v>511397</v>
      </c>
      <c r="G2318" t="s">
        <v>3691</v>
      </c>
    </row>
    <row r="2319" spans="1:7">
      <c r="A2319" s="25">
        <v>1001</v>
      </c>
      <c r="B2319" s="25">
        <v>1</v>
      </c>
      <c r="C2319" s="25">
        <v>1001</v>
      </c>
      <c r="D2319" t="s">
        <v>3692</v>
      </c>
      <c r="E2319" t="s">
        <v>4643</v>
      </c>
      <c r="F2319">
        <v>511398</v>
      </c>
      <c r="G2319" t="s">
        <v>3691</v>
      </c>
    </row>
    <row r="2320" spans="1:7">
      <c r="A2320">
        <v>1001</v>
      </c>
      <c r="B2320">
        <v>6</v>
      </c>
      <c r="C2320">
        <v>1001</v>
      </c>
      <c r="D2320" t="s">
        <v>4647</v>
      </c>
      <c r="E2320" t="s">
        <v>4918</v>
      </c>
      <c r="F2320">
        <v>511399</v>
      </c>
      <c r="G2320" t="s">
        <v>4920</v>
      </c>
    </row>
    <row r="2321" spans="1:7">
      <c r="A2321" s="75">
        <v>1001</v>
      </c>
      <c r="B2321" s="75">
        <v>1</v>
      </c>
      <c r="C2321">
        <v>3</v>
      </c>
      <c r="D2321" t="s">
        <v>4717</v>
      </c>
      <c r="E2321" s="27" t="s">
        <v>3690</v>
      </c>
      <c r="F2321" s="25">
        <v>511400</v>
      </c>
      <c r="G2321" t="s">
        <v>4718</v>
      </c>
    </row>
    <row r="2322" spans="1:7">
      <c r="A2322" s="75">
        <v>1001</v>
      </c>
      <c r="B2322" s="75">
        <v>1</v>
      </c>
      <c r="C2322">
        <v>3</v>
      </c>
      <c r="D2322" t="s">
        <v>4719</v>
      </c>
      <c r="E2322" s="27" t="s">
        <v>3692</v>
      </c>
      <c r="F2322" s="25">
        <v>511401</v>
      </c>
      <c r="G2322" t="s">
        <v>4720</v>
      </c>
    </row>
    <row r="2323" spans="1:7">
      <c r="A2323" s="75">
        <v>1001</v>
      </c>
      <c r="B2323" s="75">
        <v>1</v>
      </c>
      <c r="C2323">
        <v>3</v>
      </c>
      <c r="D2323" t="s">
        <v>4721</v>
      </c>
      <c r="E2323" t="s">
        <v>4647</v>
      </c>
      <c r="F2323">
        <v>511402</v>
      </c>
      <c r="G2323" t="s">
        <v>4722</v>
      </c>
    </row>
    <row r="2324" spans="1:7">
      <c r="A2324" s="75">
        <v>1001</v>
      </c>
      <c r="B2324" s="75">
        <v>1</v>
      </c>
      <c r="C2324">
        <v>3</v>
      </c>
      <c r="D2324" t="s">
        <v>4723</v>
      </c>
      <c r="E2324" t="s">
        <v>4717</v>
      </c>
      <c r="F2324" s="25">
        <v>511403</v>
      </c>
      <c r="G2324" t="s">
        <v>4724</v>
      </c>
    </row>
    <row r="2325" spans="1:7">
      <c r="A2325" s="75">
        <v>1001</v>
      </c>
      <c r="B2325" s="75">
        <v>1</v>
      </c>
      <c r="C2325">
        <v>3</v>
      </c>
      <c r="D2325" t="s">
        <v>4725</v>
      </c>
      <c r="E2325" t="s">
        <v>4719</v>
      </c>
      <c r="F2325">
        <v>511404</v>
      </c>
      <c r="G2325" t="s">
        <v>4726</v>
      </c>
    </row>
    <row r="2326" spans="1:7">
      <c r="A2326" s="75">
        <v>1001</v>
      </c>
      <c r="B2326" s="75">
        <v>1</v>
      </c>
      <c r="C2326">
        <v>3</v>
      </c>
      <c r="D2326" t="s">
        <v>1552</v>
      </c>
      <c r="E2326" t="s">
        <v>4721</v>
      </c>
      <c r="F2326" s="25">
        <v>511405</v>
      </c>
      <c r="G2326" t="s">
        <v>4727</v>
      </c>
    </row>
    <row r="2327" spans="1:7">
      <c r="A2327" s="75">
        <v>1001</v>
      </c>
      <c r="B2327" s="75">
        <v>1</v>
      </c>
      <c r="C2327">
        <v>3</v>
      </c>
      <c r="D2327" t="s">
        <v>4728</v>
      </c>
      <c r="E2327" t="s">
        <v>4723</v>
      </c>
      <c r="F2327">
        <v>511406</v>
      </c>
      <c r="G2327" t="s">
        <v>4729</v>
      </c>
    </row>
    <row r="2328" spans="1:7">
      <c r="A2328" s="75">
        <v>1001</v>
      </c>
      <c r="B2328" s="75">
        <v>1</v>
      </c>
      <c r="C2328">
        <v>3</v>
      </c>
      <c r="D2328" t="s">
        <v>4730</v>
      </c>
      <c r="E2328" t="s">
        <v>4725</v>
      </c>
      <c r="F2328" s="25">
        <v>511407</v>
      </c>
      <c r="G2328" t="s">
        <v>4731</v>
      </c>
    </row>
    <row r="2329" spans="1:7">
      <c r="A2329" s="75">
        <v>1001</v>
      </c>
      <c r="B2329" s="75">
        <v>1</v>
      </c>
      <c r="C2329">
        <v>3</v>
      </c>
      <c r="D2329" t="s">
        <v>4732</v>
      </c>
      <c r="E2329" t="s">
        <v>1552</v>
      </c>
      <c r="F2329">
        <v>511408</v>
      </c>
      <c r="G2329" t="s">
        <v>4733</v>
      </c>
    </row>
    <row r="2330" spans="1:7">
      <c r="A2330" s="75">
        <v>1001</v>
      </c>
      <c r="B2330" s="75">
        <v>1</v>
      </c>
      <c r="C2330">
        <v>3</v>
      </c>
      <c r="D2330" t="s">
        <v>4734</v>
      </c>
      <c r="E2330" t="s">
        <v>4728</v>
      </c>
      <c r="F2330" s="25">
        <v>511409</v>
      </c>
      <c r="G2330" t="s">
        <v>4735</v>
      </c>
    </row>
    <row r="2331" spans="1:7">
      <c r="A2331">
        <v>1001</v>
      </c>
      <c r="B2331">
        <v>6</v>
      </c>
      <c r="C2331">
        <v>1001</v>
      </c>
      <c r="D2331" t="s">
        <v>4921</v>
      </c>
      <c r="E2331" t="s">
        <v>4730</v>
      </c>
      <c r="F2331">
        <v>511410</v>
      </c>
      <c r="G2331" t="s">
        <v>4922</v>
      </c>
    </row>
    <row r="2332" spans="1:7">
      <c r="A2332" s="75">
        <v>1001</v>
      </c>
      <c r="B2332" s="25">
        <v>6</v>
      </c>
      <c r="C2332" s="25">
        <v>1001</v>
      </c>
      <c r="D2332" t="s">
        <v>4923</v>
      </c>
      <c r="E2332" t="s">
        <v>4732</v>
      </c>
      <c r="F2332" s="25">
        <v>511411</v>
      </c>
      <c r="G2332" t="s">
        <v>4924</v>
      </c>
    </row>
    <row r="2333" spans="1:7">
      <c r="A2333">
        <v>1001</v>
      </c>
      <c r="B2333">
        <v>1</v>
      </c>
      <c r="C2333">
        <v>1001</v>
      </c>
      <c r="D2333" t="s">
        <v>4925</v>
      </c>
      <c r="E2333" t="s">
        <v>4734</v>
      </c>
      <c r="F2333">
        <v>511412</v>
      </c>
      <c r="G2333" t="s">
        <v>4926</v>
      </c>
    </row>
    <row r="2334" spans="1:7">
      <c r="A2334">
        <v>1001</v>
      </c>
      <c r="B2334">
        <v>1</v>
      </c>
      <c r="C2334">
        <v>1001</v>
      </c>
      <c r="D2334" t="s">
        <v>4927</v>
      </c>
      <c r="E2334" t="s">
        <v>4635</v>
      </c>
      <c r="F2334">
        <v>511413</v>
      </c>
      <c r="G2334" t="s">
        <v>4926</v>
      </c>
    </row>
    <row r="2335" s="2" customFormat="1" spans="1:7">
      <c r="A2335" s="28">
        <v>1001</v>
      </c>
      <c r="B2335" s="28">
        <v>1</v>
      </c>
      <c r="C2335" s="25">
        <v>1001</v>
      </c>
      <c r="D2335" s="2" t="s">
        <v>4928</v>
      </c>
      <c r="E2335" s="2" t="s">
        <v>4923</v>
      </c>
      <c r="F2335" s="2">
        <v>511414</v>
      </c>
      <c r="G2335" s="2" t="s">
        <v>4929</v>
      </c>
    </row>
    <row r="2336" ht="17" spans="1:7">
      <c r="A2336">
        <v>1001</v>
      </c>
      <c r="B2336">
        <v>6</v>
      </c>
      <c r="C2336">
        <v>1001</v>
      </c>
      <c r="D2336" t="s">
        <v>4643</v>
      </c>
      <c r="E2336" t="s">
        <v>4925</v>
      </c>
      <c r="F2336">
        <v>511415</v>
      </c>
      <c r="G2336" s="79" t="s">
        <v>4930</v>
      </c>
    </row>
    <row r="2337" spans="1:7">
      <c r="A2337" s="25">
        <v>1001</v>
      </c>
      <c r="B2337">
        <v>6</v>
      </c>
      <c r="C2337" s="25">
        <v>1001</v>
      </c>
      <c r="D2337" t="s">
        <v>4931</v>
      </c>
      <c r="E2337" t="s">
        <v>4927</v>
      </c>
      <c r="F2337">
        <v>511416</v>
      </c>
      <c r="G2337" t="s">
        <v>4932</v>
      </c>
    </row>
    <row r="2338" spans="1:7">
      <c r="A2338">
        <v>1001</v>
      </c>
      <c r="B2338" s="25">
        <v>1</v>
      </c>
      <c r="C2338" s="25">
        <v>1001</v>
      </c>
      <c r="D2338" t="s">
        <v>4933</v>
      </c>
      <c r="E2338" s="2" t="s">
        <v>4928</v>
      </c>
      <c r="F2338" s="28">
        <v>511417</v>
      </c>
      <c r="G2338" t="s">
        <v>4934</v>
      </c>
    </row>
    <row r="2339" spans="1:7">
      <c r="A2339">
        <v>1001</v>
      </c>
      <c r="B2339">
        <v>1</v>
      </c>
      <c r="C2339">
        <v>1001</v>
      </c>
      <c r="D2339" t="s">
        <v>4935</v>
      </c>
      <c r="E2339" t="s">
        <v>4643</v>
      </c>
      <c r="F2339">
        <v>511418</v>
      </c>
      <c r="G2339" t="s">
        <v>4935</v>
      </c>
    </row>
    <row r="2340" spans="1:7">
      <c r="A2340">
        <v>1001</v>
      </c>
      <c r="B2340">
        <v>1</v>
      </c>
      <c r="C2340">
        <v>1001</v>
      </c>
      <c r="D2340" t="s">
        <v>4936</v>
      </c>
      <c r="E2340" t="s">
        <v>4931</v>
      </c>
      <c r="F2340">
        <v>511419</v>
      </c>
      <c r="G2340" t="s">
        <v>4937</v>
      </c>
    </row>
    <row r="2341" spans="1:7">
      <c r="A2341">
        <v>1001</v>
      </c>
      <c r="B2341">
        <v>1</v>
      </c>
      <c r="C2341">
        <v>1001</v>
      </c>
      <c r="D2341" t="s">
        <v>4938</v>
      </c>
      <c r="E2341" t="s">
        <v>4933</v>
      </c>
      <c r="F2341">
        <v>511420</v>
      </c>
      <c r="G2341" t="s">
        <v>4939</v>
      </c>
    </row>
    <row r="2342" spans="1:7">
      <c r="A2342" s="25">
        <v>1001</v>
      </c>
      <c r="B2342" s="25">
        <v>6</v>
      </c>
      <c r="C2342" s="25">
        <v>1001</v>
      </c>
      <c r="D2342" t="s">
        <v>4940</v>
      </c>
      <c r="E2342" t="s">
        <v>4935</v>
      </c>
      <c r="F2342">
        <v>511421</v>
      </c>
      <c r="G2342" t="s">
        <v>4941</v>
      </c>
    </row>
    <row r="2343" spans="1:7">
      <c r="A2343" s="25">
        <v>1001</v>
      </c>
      <c r="B2343">
        <v>6</v>
      </c>
      <c r="C2343" s="25">
        <v>1001</v>
      </c>
      <c r="D2343" s="74" t="s">
        <v>4942</v>
      </c>
      <c r="E2343" t="s">
        <v>4936</v>
      </c>
      <c r="F2343">
        <v>511422</v>
      </c>
      <c r="G2343" s="74" t="s">
        <v>4943</v>
      </c>
    </row>
    <row r="2344" spans="1:7">
      <c r="A2344" s="25">
        <v>1001</v>
      </c>
      <c r="B2344">
        <v>6</v>
      </c>
      <c r="C2344" s="25">
        <v>1001</v>
      </c>
      <c r="D2344" s="74" t="s">
        <v>4944</v>
      </c>
      <c r="E2344" t="s">
        <v>4938</v>
      </c>
      <c r="F2344">
        <v>511423</v>
      </c>
      <c r="G2344" s="74" t="s">
        <v>4945</v>
      </c>
    </row>
    <row r="2345" spans="1:7">
      <c r="A2345" s="25">
        <v>1001</v>
      </c>
      <c r="B2345">
        <v>6</v>
      </c>
      <c r="C2345" s="25">
        <v>1001</v>
      </c>
      <c r="D2345" s="74" t="s">
        <v>4946</v>
      </c>
      <c r="E2345" s="27" t="s">
        <v>1863</v>
      </c>
      <c r="F2345" s="25">
        <v>511424</v>
      </c>
      <c r="G2345" s="74" t="s">
        <v>4947</v>
      </c>
    </row>
    <row r="2346" spans="1:7">
      <c r="A2346" s="25">
        <v>1001</v>
      </c>
      <c r="B2346">
        <v>6</v>
      </c>
      <c r="C2346" s="25">
        <v>1001</v>
      </c>
      <c r="D2346" s="74" t="s">
        <v>4948</v>
      </c>
      <c r="E2346" s="74" t="s">
        <v>4942</v>
      </c>
      <c r="F2346" s="25">
        <v>511425</v>
      </c>
      <c r="G2346" s="74" t="s">
        <v>4949</v>
      </c>
    </row>
    <row r="2347" spans="1:7">
      <c r="A2347" s="25">
        <v>1001</v>
      </c>
      <c r="B2347">
        <v>6</v>
      </c>
      <c r="C2347" s="25">
        <v>1001</v>
      </c>
      <c r="D2347" s="27" t="s">
        <v>4950</v>
      </c>
      <c r="E2347" s="74" t="s">
        <v>4944</v>
      </c>
      <c r="F2347" s="25">
        <v>511426</v>
      </c>
      <c r="G2347" s="27" t="s">
        <v>4951</v>
      </c>
    </row>
    <row r="2348" spans="1:7">
      <c r="A2348" s="25">
        <v>1001</v>
      </c>
      <c r="B2348">
        <v>6</v>
      </c>
      <c r="C2348" s="25">
        <v>1001</v>
      </c>
      <c r="D2348" s="27" t="s">
        <v>4952</v>
      </c>
      <c r="E2348" s="74" t="s">
        <v>4946</v>
      </c>
      <c r="F2348" s="25">
        <v>511427</v>
      </c>
      <c r="G2348" s="27" t="s">
        <v>4953</v>
      </c>
    </row>
    <row r="2349" spans="1:7">
      <c r="A2349" s="25">
        <v>1001</v>
      </c>
      <c r="B2349">
        <v>6</v>
      </c>
      <c r="C2349" s="25">
        <v>1001</v>
      </c>
      <c r="D2349" s="27" t="s">
        <v>4954</v>
      </c>
      <c r="E2349" s="74" t="s">
        <v>4948</v>
      </c>
      <c r="F2349" s="25">
        <v>511428</v>
      </c>
      <c r="G2349" s="27" t="s">
        <v>4955</v>
      </c>
    </row>
    <row r="2350" spans="1:7">
      <c r="A2350" s="25">
        <v>1001</v>
      </c>
      <c r="B2350">
        <v>6</v>
      </c>
      <c r="C2350" s="25">
        <v>1001</v>
      </c>
      <c r="D2350" s="27" t="s">
        <v>4956</v>
      </c>
      <c r="E2350" s="27" t="s">
        <v>4950</v>
      </c>
      <c r="F2350" s="25">
        <v>511429</v>
      </c>
      <c r="G2350" s="27" t="s">
        <v>4957</v>
      </c>
    </row>
    <row r="2351" spans="1:7">
      <c r="A2351" s="25">
        <v>1001</v>
      </c>
      <c r="B2351">
        <v>6</v>
      </c>
      <c r="C2351" s="25">
        <v>1001</v>
      </c>
      <c r="D2351" s="74" t="s">
        <v>4958</v>
      </c>
      <c r="E2351" s="27" t="s">
        <v>4952</v>
      </c>
      <c r="F2351" s="25">
        <v>511430</v>
      </c>
      <c r="G2351" s="74" t="s">
        <v>4959</v>
      </c>
    </row>
    <row r="2352" spans="1:7">
      <c r="A2352" s="25">
        <v>1001</v>
      </c>
      <c r="B2352">
        <v>6</v>
      </c>
      <c r="C2352" s="25">
        <v>1001</v>
      </c>
      <c r="D2352" s="74" t="s">
        <v>4960</v>
      </c>
      <c r="E2352" s="27" t="s">
        <v>4954</v>
      </c>
      <c r="F2352" s="25">
        <v>511431</v>
      </c>
      <c r="G2352" s="74" t="s">
        <v>4961</v>
      </c>
    </row>
    <row r="2353" spans="1:7">
      <c r="A2353" s="25">
        <v>1001</v>
      </c>
      <c r="B2353">
        <v>6</v>
      </c>
      <c r="C2353" s="25">
        <v>1001</v>
      </c>
      <c r="D2353" s="74" t="s">
        <v>4962</v>
      </c>
      <c r="E2353" s="27" t="s">
        <v>4956</v>
      </c>
      <c r="F2353" s="25">
        <v>511432</v>
      </c>
      <c r="G2353" s="74" t="s">
        <v>4963</v>
      </c>
    </row>
    <row r="2354" spans="1:7">
      <c r="A2354" s="25">
        <v>1001</v>
      </c>
      <c r="B2354">
        <v>6</v>
      </c>
      <c r="C2354" s="25">
        <v>1001</v>
      </c>
      <c r="D2354" s="74" t="s">
        <v>4964</v>
      </c>
      <c r="E2354" s="74" t="s">
        <v>4958</v>
      </c>
      <c r="F2354" s="25">
        <v>511433</v>
      </c>
      <c r="G2354" s="74" t="s">
        <v>4965</v>
      </c>
    </row>
    <row r="2355" spans="1:7">
      <c r="A2355">
        <v>1001</v>
      </c>
      <c r="B2355">
        <v>1</v>
      </c>
      <c r="C2355">
        <v>3</v>
      </c>
      <c r="D2355" t="s">
        <v>4966</v>
      </c>
      <c r="E2355" s="74" t="s">
        <v>4960</v>
      </c>
      <c r="F2355" s="25">
        <v>511434</v>
      </c>
      <c r="G2355" t="s">
        <v>4967</v>
      </c>
    </row>
    <row r="2356" spans="1:7">
      <c r="A2356">
        <v>1001</v>
      </c>
      <c r="B2356">
        <v>1</v>
      </c>
      <c r="C2356">
        <v>3</v>
      </c>
      <c r="D2356" t="s">
        <v>4968</v>
      </c>
      <c r="E2356" s="74" t="s">
        <v>4962</v>
      </c>
      <c r="F2356" s="25">
        <v>511435</v>
      </c>
      <c r="G2356" t="s">
        <v>4969</v>
      </c>
    </row>
    <row r="2357" spans="1:7">
      <c r="A2357">
        <v>1001</v>
      </c>
      <c r="B2357">
        <v>6</v>
      </c>
      <c r="C2357">
        <v>1001</v>
      </c>
      <c r="D2357" t="s">
        <v>4970</v>
      </c>
      <c r="E2357" s="74" t="s">
        <v>4964</v>
      </c>
      <c r="F2357" s="25">
        <v>511436</v>
      </c>
      <c r="G2357" t="s">
        <v>4971</v>
      </c>
    </row>
    <row r="2358" spans="1:7">
      <c r="A2358" s="75">
        <v>1001</v>
      </c>
      <c r="B2358" s="25">
        <v>6</v>
      </c>
      <c r="C2358" s="25">
        <v>1001</v>
      </c>
      <c r="D2358" t="s">
        <v>4972</v>
      </c>
      <c r="E2358" t="s">
        <v>4973</v>
      </c>
      <c r="F2358">
        <v>511500</v>
      </c>
      <c r="G2358" t="s">
        <v>4924</v>
      </c>
    </row>
    <row r="2359" spans="1:7">
      <c r="A2359" s="75">
        <v>1001</v>
      </c>
      <c r="B2359" s="25">
        <v>6</v>
      </c>
      <c r="C2359" s="25">
        <v>1001</v>
      </c>
      <c r="D2359" t="s">
        <v>4974</v>
      </c>
      <c r="E2359" t="s">
        <v>4968</v>
      </c>
      <c r="F2359">
        <v>511501</v>
      </c>
      <c r="G2359" t="s">
        <v>4924</v>
      </c>
    </row>
    <row r="2360" spans="1:7">
      <c r="A2360">
        <v>1001</v>
      </c>
      <c r="B2360">
        <v>6</v>
      </c>
      <c r="C2360">
        <v>1001</v>
      </c>
      <c r="D2360" t="s">
        <v>4975</v>
      </c>
      <c r="E2360" t="s">
        <v>4970</v>
      </c>
      <c r="F2360">
        <v>511502</v>
      </c>
      <c r="G2360" t="s">
        <v>4976</v>
      </c>
    </row>
    <row r="2361" spans="1:7">
      <c r="A2361" s="75">
        <v>1001</v>
      </c>
      <c r="B2361" s="25">
        <v>6</v>
      </c>
      <c r="C2361" s="25">
        <v>1001</v>
      </c>
      <c r="D2361" t="s">
        <v>4977</v>
      </c>
      <c r="E2361" t="s">
        <v>4972</v>
      </c>
      <c r="F2361">
        <v>511503</v>
      </c>
      <c r="G2361" t="s">
        <v>4924</v>
      </c>
    </row>
    <row r="2362" spans="1:7">
      <c r="A2362">
        <v>1001</v>
      </c>
      <c r="B2362">
        <v>1</v>
      </c>
      <c r="C2362">
        <v>1001</v>
      </c>
      <c r="D2362" t="s">
        <v>4978</v>
      </c>
      <c r="E2362" t="s">
        <v>4974</v>
      </c>
      <c r="F2362">
        <v>511504</v>
      </c>
      <c r="G2362" t="s">
        <v>4979</v>
      </c>
    </row>
    <row r="2363" spans="1:7">
      <c r="A2363">
        <v>1001</v>
      </c>
      <c r="B2363">
        <v>1</v>
      </c>
      <c r="C2363">
        <v>1001</v>
      </c>
      <c r="D2363" t="s">
        <v>4980</v>
      </c>
      <c r="E2363" t="s">
        <v>4975</v>
      </c>
      <c r="F2363">
        <v>511505</v>
      </c>
      <c r="G2363" t="s">
        <v>4981</v>
      </c>
    </row>
    <row r="2364" spans="1:7">
      <c r="A2364" s="75">
        <v>1001</v>
      </c>
      <c r="B2364" s="25">
        <v>6</v>
      </c>
      <c r="C2364" s="25">
        <v>1001</v>
      </c>
      <c r="D2364" t="s">
        <v>4982</v>
      </c>
      <c r="E2364" t="s">
        <v>4977</v>
      </c>
      <c r="F2364">
        <v>511506</v>
      </c>
      <c r="G2364" t="s">
        <v>4924</v>
      </c>
    </row>
    <row r="2365" spans="1:7">
      <c r="A2365">
        <v>1001</v>
      </c>
      <c r="B2365">
        <v>1</v>
      </c>
      <c r="C2365">
        <v>1001</v>
      </c>
      <c r="D2365" t="s">
        <v>4983</v>
      </c>
      <c r="E2365" t="s">
        <v>4978</v>
      </c>
      <c r="F2365">
        <v>511507</v>
      </c>
      <c r="G2365" t="s">
        <v>4983</v>
      </c>
    </row>
    <row r="2366" spans="1:7">
      <c r="A2366">
        <v>1001</v>
      </c>
      <c r="B2366">
        <v>6</v>
      </c>
      <c r="C2366">
        <v>1001</v>
      </c>
      <c r="D2366" t="s">
        <v>4645</v>
      </c>
      <c r="E2366" t="s">
        <v>4980</v>
      </c>
      <c r="F2366">
        <v>511508</v>
      </c>
      <c r="G2366" s="6" t="s">
        <v>4984</v>
      </c>
    </row>
    <row r="2367" spans="1:7">
      <c r="A2367" s="75">
        <v>1001</v>
      </c>
      <c r="B2367" s="25">
        <v>6</v>
      </c>
      <c r="C2367" s="25">
        <v>1001</v>
      </c>
      <c r="D2367" t="s">
        <v>4985</v>
      </c>
      <c r="E2367" t="s">
        <v>4982</v>
      </c>
      <c r="F2367">
        <v>511509</v>
      </c>
      <c r="G2367" t="s">
        <v>4924</v>
      </c>
    </row>
    <row r="2368" spans="1:7">
      <c r="A2368" s="75">
        <v>1001</v>
      </c>
      <c r="B2368" s="25">
        <v>6</v>
      </c>
      <c r="C2368" s="25">
        <v>1001</v>
      </c>
      <c r="D2368" t="s">
        <v>4986</v>
      </c>
      <c r="E2368" t="s">
        <v>4983</v>
      </c>
      <c r="F2368">
        <v>511510</v>
      </c>
      <c r="G2368" t="s">
        <v>4924</v>
      </c>
    </row>
    <row r="2369" spans="1:7">
      <c r="A2369" s="25">
        <v>1001</v>
      </c>
      <c r="B2369" s="25">
        <v>1</v>
      </c>
      <c r="C2369" s="25">
        <v>1001</v>
      </c>
      <c r="D2369" t="s">
        <v>4987</v>
      </c>
      <c r="E2369" t="s">
        <v>4645</v>
      </c>
      <c r="F2369">
        <v>511511</v>
      </c>
      <c r="G2369" t="s">
        <v>4988</v>
      </c>
    </row>
    <row r="2370" spans="1:7">
      <c r="A2370">
        <v>1001</v>
      </c>
      <c r="B2370">
        <v>6</v>
      </c>
      <c r="C2370">
        <v>1001</v>
      </c>
      <c r="D2370" t="s">
        <v>4989</v>
      </c>
      <c r="E2370" t="s">
        <v>4985</v>
      </c>
      <c r="F2370">
        <v>511512</v>
      </c>
      <c r="G2370" s="6" t="s">
        <v>4990</v>
      </c>
    </row>
    <row r="2371" spans="1:7">
      <c r="A2371" s="25">
        <v>1001</v>
      </c>
      <c r="B2371" s="25">
        <v>6</v>
      </c>
      <c r="C2371" s="25">
        <v>1001</v>
      </c>
      <c r="D2371" t="s">
        <v>1894</v>
      </c>
      <c r="E2371" t="s">
        <v>4986</v>
      </c>
      <c r="F2371">
        <v>511513</v>
      </c>
      <c r="G2371" t="s">
        <v>4625</v>
      </c>
    </row>
    <row r="2372" spans="1:7">
      <c r="A2372">
        <v>1001</v>
      </c>
      <c r="B2372">
        <v>6</v>
      </c>
      <c r="C2372">
        <v>1001</v>
      </c>
      <c r="D2372" s="27" t="s">
        <v>4991</v>
      </c>
      <c r="E2372" t="s">
        <v>4987</v>
      </c>
      <c r="F2372">
        <v>511514</v>
      </c>
      <c r="G2372" t="s">
        <v>4992</v>
      </c>
    </row>
    <row r="2373" spans="1:7">
      <c r="A2373">
        <v>1001</v>
      </c>
      <c r="B2373">
        <v>6</v>
      </c>
      <c r="C2373">
        <v>1001</v>
      </c>
      <c r="D2373" s="27" t="s">
        <v>4993</v>
      </c>
      <c r="E2373" t="s">
        <v>4989</v>
      </c>
      <c r="F2373">
        <v>511515</v>
      </c>
      <c r="G2373" t="s">
        <v>4994</v>
      </c>
    </row>
    <row r="2374" spans="1:7">
      <c r="A2374">
        <v>1001</v>
      </c>
      <c r="B2374">
        <v>6</v>
      </c>
      <c r="C2374">
        <v>1001</v>
      </c>
      <c r="D2374" t="s">
        <v>4970</v>
      </c>
      <c r="E2374" t="s">
        <v>1894</v>
      </c>
      <c r="F2374">
        <v>511516</v>
      </c>
      <c r="G2374" t="s">
        <v>4971</v>
      </c>
    </row>
    <row r="2375" spans="1:7">
      <c r="A2375" s="25">
        <v>1001</v>
      </c>
      <c r="B2375" s="25">
        <v>6</v>
      </c>
      <c r="C2375" s="25">
        <v>1001</v>
      </c>
      <c r="D2375" t="s">
        <v>4995</v>
      </c>
      <c r="E2375" s="27" t="s">
        <v>4991</v>
      </c>
      <c r="F2375">
        <v>511517</v>
      </c>
      <c r="G2375" t="s">
        <v>4996</v>
      </c>
    </row>
    <row r="2376" spans="1:7">
      <c r="A2376">
        <v>1001</v>
      </c>
      <c r="B2376">
        <v>21</v>
      </c>
      <c r="C2376">
        <v>1001</v>
      </c>
      <c r="D2376" t="s">
        <v>4997</v>
      </c>
      <c r="E2376" s="27" t="s">
        <v>4993</v>
      </c>
      <c r="F2376">
        <v>511518</v>
      </c>
      <c r="G2376" t="s">
        <v>4998</v>
      </c>
    </row>
    <row r="2377" spans="1:7">
      <c r="A2377">
        <v>1001</v>
      </c>
      <c r="B2377">
        <v>21</v>
      </c>
      <c r="C2377">
        <v>1001</v>
      </c>
      <c r="D2377" t="s">
        <v>4999</v>
      </c>
      <c r="E2377" t="s">
        <v>4970</v>
      </c>
      <c r="F2377">
        <v>511519</v>
      </c>
      <c r="G2377" t="s">
        <v>5000</v>
      </c>
    </row>
    <row r="2378" spans="1:7">
      <c r="A2378">
        <v>1001</v>
      </c>
      <c r="B2378">
        <v>21</v>
      </c>
      <c r="C2378">
        <v>1001</v>
      </c>
      <c r="D2378" t="s">
        <v>5001</v>
      </c>
      <c r="E2378" t="s">
        <v>4995</v>
      </c>
      <c r="F2378">
        <v>511520</v>
      </c>
      <c r="G2378" t="s">
        <v>5002</v>
      </c>
    </row>
    <row r="2379" spans="1:7">
      <c r="A2379">
        <v>1001</v>
      </c>
      <c r="B2379">
        <v>0</v>
      </c>
      <c r="C2379">
        <v>1001</v>
      </c>
      <c r="D2379" t="s">
        <v>5003</v>
      </c>
      <c r="E2379" t="s">
        <v>4997</v>
      </c>
      <c r="F2379">
        <v>521001</v>
      </c>
      <c r="G2379" t="s">
        <v>5004</v>
      </c>
    </row>
    <row r="2380" spans="1:7">
      <c r="A2380" s="75">
        <v>1001</v>
      </c>
      <c r="B2380" s="25">
        <v>6</v>
      </c>
      <c r="C2380" s="25">
        <v>1001</v>
      </c>
      <c r="D2380" t="s">
        <v>5005</v>
      </c>
      <c r="E2380" t="s">
        <v>4999</v>
      </c>
      <c r="F2380">
        <v>521002</v>
      </c>
      <c r="G2380" t="s">
        <v>4924</v>
      </c>
    </row>
    <row r="2381" spans="1:7">
      <c r="A2381" s="25">
        <v>1001</v>
      </c>
      <c r="B2381">
        <v>6</v>
      </c>
      <c r="C2381" s="25">
        <v>1001</v>
      </c>
      <c r="D2381" t="s">
        <v>4448</v>
      </c>
      <c r="E2381" t="s">
        <v>5001</v>
      </c>
      <c r="F2381">
        <v>521003</v>
      </c>
      <c r="G2381" t="s">
        <v>4512</v>
      </c>
    </row>
    <row r="2382" spans="1:7">
      <c r="A2382" s="25">
        <v>1001</v>
      </c>
      <c r="B2382">
        <v>6</v>
      </c>
      <c r="C2382" s="25">
        <v>1001</v>
      </c>
      <c r="D2382" t="s">
        <v>5006</v>
      </c>
      <c r="E2382" t="s">
        <v>5004</v>
      </c>
      <c r="F2382">
        <v>521004</v>
      </c>
      <c r="G2382" t="s">
        <v>4512</v>
      </c>
    </row>
    <row r="2383" spans="1:7">
      <c r="A2383" s="25">
        <v>1001</v>
      </c>
      <c r="B2383">
        <v>6</v>
      </c>
      <c r="C2383" s="25">
        <v>1001</v>
      </c>
      <c r="D2383" t="s">
        <v>5007</v>
      </c>
      <c r="E2383" t="s">
        <v>5005</v>
      </c>
      <c r="F2383">
        <v>511521</v>
      </c>
      <c r="G2383" t="s">
        <v>5008</v>
      </c>
    </row>
    <row r="2384" spans="1:7">
      <c r="A2384">
        <v>1001</v>
      </c>
      <c r="B2384">
        <v>1</v>
      </c>
      <c r="C2384">
        <v>1001</v>
      </c>
      <c r="D2384" t="s">
        <v>5009</v>
      </c>
      <c r="E2384" t="s">
        <v>4448</v>
      </c>
      <c r="F2384">
        <v>511522</v>
      </c>
      <c r="G2384" t="s">
        <v>5010</v>
      </c>
    </row>
    <row r="2385" spans="1:7">
      <c r="A2385">
        <v>1001</v>
      </c>
      <c r="B2385">
        <v>1</v>
      </c>
      <c r="C2385">
        <v>1001</v>
      </c>
      <c r="D2385" t="s">
        <v>5011</v>
      </c>
      <c r="E2385" t="s">
        <v>5012</v>
      </c>
      <c r="F2385">
        <v>511523</v>
      </c>
      <c r="G2385" t="s">
        <v>5013</v>
      </c>
    </row>
    <row r="2386" spans="1:7">
      <c r="A2386" s="25">
        <v>1001</v>
      </c>
      <c r="B2386" s="25">
        <v>6</v>
      </c>
      <c r="C2386" s="25">
        <v>1001</v>
      </c>
      <c r="D2386" t="s">
        <v>5014</v>
      </c>
      <c r="E2386" t="s">
        <v>5007</v>
      </c>
      <c r="F2386">
        <v>511524</v>
      </c>
      <c r="G2386" t="s">
        <v>4924</v>
      </c>
    </row>
    <row r="2387" spans="1:7">
      <c r="A2387">
        <v>1001</v>
      </c>
      <c r="B2387">
        <v>6</v>
      </c>
      <c r="C2387">
        <v>1001</v>
      </c>
      <c r="D2387" t="s">
        <v>4970</v>
      </c>
      <c r="E2387" t="s">
        <v>5009</v>
      </c>
      <c r="F2387">
        <v>511525</v>
      </c>
      <c r="G2387" t="s">
        <v>4971</v>
      </c>
    </row>
    <row r="2388" spans="1:7">
      <c r="A2388">
        <v>1001</v>
      </c>
      <c r="B2388">
        <v>6</v>
      </c>
      <c r="C2388">
        <v>1001</v>
      </c>
      <c r="D2388" t="s">
        <v>4483</v>
      </c>
      <c r="E2388" t="s">
        <v>5011</v>
      </c>
      <c r="F2388">
        <v>511526</v>
      </c>
      <c r="G2388" t="s">
        <v>5015</v>
      </c>
    </row>
    <row r="2389" spans="1:7">
      <c r="A2389">
        <v>1001</v>
      </c>
      <c r="B2389">
        <v>1</v>
      </c>
      <c r="C2389">
        <v>1001</v>
      </c>
      <c r="D2389" t="s">
        <v>5016</v>
      </c>
      <c r="E2389" t="s">
        <v>5014</v>
      </c>
      <c r="F2389">
        <v>511527</v>
      </c>
      <c r="G2389" t="s">
        <v>5017</v>
      </c>
    </row>
    <row r="2390" spans="1:7">
      <c r="A2390" s="25">
        <v>1001</v>
      </c>
      <c r="B2390" s="25">
        <v>1</v>
      </c>
      <c r="C2390" s="25">
        <v>1001</v>
      </c>
      <c r="D2390" s="3" t="s">
        <v>5018</v>
      </c>
      <c r="E2390" t="s">
        <v>4970</v>
      </c>
      <c r="F2390">
        <v>511528</v>
      </c>
      <c r="G2390" t="s">
        <v>5019</v>
      </c>
    </row>
    <row r="2391" spans="1:7">
      <c r="A2391" s="25">
        <v>1001</v>
      </c>
      <c r="B2391" s="25">
        <v>6</v>
      </c>
      <c r="C2391" s="25">
        <v>1001</v>
      </c>
      <c r="D2391" t="s">
        <v>5020</v>
      </c>
      <c r="E2391" t="s">
        <v>4483</v>
      </c>
      <c r="F2391">
        <v>511529</v>
      </c>
      <c r="G2391" t="s">
        <v>5021</v>
      </c>
    </row>
    <row r="2392" spans="1:7">
      <c r="A2392" s="25">
        <v>1001</v>
      </c>
      <c r="B2392" s="25">
        <v>6</v>
      </c>
      <c r="C2392" s="25">
        <v>1001</v>
      </c>
      <c r="D2392" t="s">
        <v>1894</v>
      </c>
      <c r="E2392" t="s">
        <v>5016</v>
      </c>
      <c r="F2392">
        <v>511530</v>
      </c>
      <c r="G2392" t="s">
        <v>4625</v>
      </c>
    </row>
    <row r="2393" spans="1:7">
      <c r="A2393" s="75">
        <v>1001</v>
      </c>
      <c r="B2393" s="25">
        <v>6</v>
      </c>
      <c r="C2393" s="25">
        <v>1001</v>
      </c>
      <c r="D2393" t="s">
        <v>5005</v>
      </c>
      <c r="E2393" t="s">
        <v>5018</v>
      </c>
      <c r="F2393">
        <v>511531</v>
      </c>
      <c r="G2393" t="s">
        <v>5022</v>
      </c>
    </row>
    <row r="2394" spans="1:7">
      <c r="A2394">
        <v>1001</v>
      </c>
      <c r="B2394">
        <v>6</v>
      </c>
      <c r="C2394">
        <v>1001</v>
      </c>
      <c r="D2394" t="s">
        <v>5023</v>
      </c>
      <c r="E2394" t="s">
        <v>5020</v>
      </c>
      <c r="F2394">
        <v>511532</v>
      </c>
      <c r="G2394" s="79" t="s">
        <v>5024</v>
      </c>
    </row>
    <row r="2395" spans="1:7">
      <c r="A2395">
        <v>1001</v>
      </c>
      <c r="B2395">
        <v>1</v>
      </c>
      <c r="C2395">
        <v>1001</v>
      </c>
      <c r="D2395" t="s">
        <v>4451</v>
      </c>
      <c r="E2395" t="s">
        <v>1894</v>
      </c>
      <c r="F2395">
        <v>511533</v>
      </c>
      <c r="G2395" t="s">
        <v>5025</v>
      </c>
    </row>
    <row r="2396" spans="1:7">
      <c r="A2396">
        <v>1001</v>
      </c>
      <c r="B2396">
        <v>1</v>
      </c>
      <c r="C2396">
        <v>1001</v>
      </c>
      <c r="D2396" t="s">
        <v>5026</v>
      </c>
      <c r="E2396" t="s">
        <v>5005</v>
      </c>
      <c r="F2396">
        <v>511534</v>
      </c>
      <c r="G2396" t="s">
        <v>5027</v>
      </c>
    </row>
    <row r="2397" spans="1:7">
      <c r="A2397" s="25">
        <v>1001</v>
      </c>
      <c r="B2397" s="25">
        <v>6</v>
      </c>
      <c r="C2397" s="25">
        <v>1001</v>
      </c>
      <c r="D2397" t="s">
        <v>5028</v>
      </c>
      <c r="E2397" t="s">
        <v>4643</v>
      </c>
      <c r="F2397">
        <v>511535</v>
      </c>
      <c r="G2397" t="s">
        <v>5029</v>
      </c>
    </row>
    <row r="2398" spans="1:7">
      <c r="A2398" s="25">
        <v>1001</v>
      </c>
      <c r="B2398" s="25">
        <v>6</v>
      </c>
      <c r="C2398" s="25">
        <v>1001</v>
      </c>
      <c r="D2398" t="s">
        <v>5030</v>
      </c>
      <c r="E2398" t="s">
        <v>4451</v>
      </c>
      <c r="F2398">
        <v>511536</v>
      </c>
      <c r="G2398" t="s">
        <v>5031</v>
      </c>
    </row>
    <row r="2399" spans="1:7">
      <c r="A2399" s="25">
        <v>1001</v>
      </c>
      <c r="B2399" s="25">
        <v>6</v>
      </c>
      <c r="C2399" s="25">
        <v>1001</v>
      </c>
      <c r="D2399" t="s">
        <v>4736</v>
      </c>
      <c r="E2399" t="s">
        <v>5026</v>
      </c>
      <c r="F2399">
        <v>511537</v>
      </c>
      <c r="G2399" t="s">
        <v>5032</v>
      </c>
    </row>
    <row r="2400" spans="1:7">
      <c r="A2400" s="25">
        <v>1001</v>
      </c>
      <c r="B2400" s="25">
        <v>6</v>
      </c>
      <c r="C2400" s="25">
        <v>1001</v>
      </c>
      <c r="D2400" t="s">
        <v>5033</v>
      </c>
      <c r="E2400" t="s">
        <v>5028</v>
      </c>
      <c r="F2400">
        <v>511538</v>
      </c>
      <c r="G2400" t="s">
        <v>5034</v>
      </c>
    </row>
    <row r="2401" spans="1:7">
      <c r="A2401">
        <v>1001</v>
      </c>
      <c r="B2401">
        <v>6</v>
      </c>
      <c r="C2401">
        <v>1001</v>
      </c>
      <c r="D2401" t="s">
        <v>5035</v>
      </c>
      <c r="E2401" t="s">
        <v>5030</v>
      </c>
      <c r="F2401">
        <v>511539</v>
      </c>
      <c r="G2401" s="6" t="s">
        <v>5036</v>
      </c>
    </row>
    <row r="2402" spans="1:7">
      <c r="A2402" s="25">
        <v>1001</v>
      </c>
      <c r="B2402" s="25">
        <v>6</v>
      </c>
      <c r="C2402" s="25">
        <v>1001</v>
      </c>
      <c r="D2402" t="s">
        <v>5037</v>
      </c>
      <c r="E2402" t="s">
        <v>4736</v>
      </c>
      <c r="F2402">
        <v>511540</v>
      </c>
      <c r="G2402" t="s">
        <v>5038</v>
      </c>
    </row>
    <row r="2403" spans="1:7">
      <c r="A2403">
        <v>1001</v>
      </c>
      <c r="B2403">
        <v>6</v>
      </c>
      <c r="C2403">
        <v>1001</v>
      </c>
      <c r="D2403" t="s">
        <v>4483</v>
      </c>
      <c r="E2403" t="s">
        <v>5033</v>
      </c>
      <c r="F2403">
        <v>511541</v>
      </c>
      <c r="G2403" s="6" t="s">
        <v>5039</v>
      </c>
    </row>
    <row r="2404" spans="1:7">
      <c r="A2404" s="25">
        <v>1001</v>
      </c>
      <c r="B2404" s="25">
        <v>6</v>
      </c>
      <c r="C2404" s="25">
        <v>1001</v>
      </c>
      <c r="D2404" t="s">
        <v>5020</v>
      </c>
      <c r="E2404" t="s">
        <v>5035</v>
      </c>
      <c r="F2404">
        <v>511542</v>
      </c>
      <c r="G2404" t="s">
        <v>5040</v>
      </c>
    </row>
    <row r="2405" spans="1:7">
      <c r="A2405" s="25">
        <v>1001</v>
      </c>
      <c r="B2405" s="25">
        <v>6</v>
      </c>
      <c r="C2405" s="25">
        <v>1001</v>
      </c>
      <c r="D2405" t="s">
        <v>5014</v>
      </c>
      <c r="E2405" t="s">
        <v>5037</v>
      </c>
      <c r="F2405">
        <v>511543</v>
      </c>
      <c r="G2405" t="s">
        <v>5041</v>
      </c>
    </row>
    <row r="2406" spans="1:7">
      <c r="A2406">
        <v>1001</v>
      </c>
      <c r="B2406">
        <v>1</v>
      </c>
      <c r="C2406">
        <v>1001</v>
      </c>
      <c r="D2406" t="s">
        <v>5026</v>
      </c>
      <c r="E2406" t="s">
        <v>4483</v>
      </c>
      <c r="F2406">
        <v>511544</v>
      </c>
      <c r="G2406" t="s">
        <v>5042</v>
      </c>
    </row>
    <row r="2407" spans="1:7">
      <c r="A2407">
        <v>1001</v>
      </c>
      <c r="B2407">
        <v>6</v>
      </c>
      <c r="C2407">
        <v>1001</v>
      </c>
      <c r="D2407" t="s">
        <v>4483</v>
      </c>
      <c r="E2407" t="s">
        <v>5020</v>
      </c>
      <c r="F2407">
        <v>511545</v>
      </c>
      <c r="G2407" t="s">
        <v>5043</v>
      </c>
    </row>
    <row r="2408" spans="1:7">
      <c r="A2408">
        <v>1001</v>
      </c>
      <c r="B2408">
        <v>6</v>
      </c>
      <c r="C2408">
        <v>1001</v>
      </c>
      <c r="D2408" t="s">
        <v>5044</v>
      </c>
      <c r="E2408" t="s">
        <v>5014</v>
      </c>
      <c r="F2408">
        <v>511546</v>
      </c>
      <c r="G2408" t="s">
        <v>5045</v>
      </c>
    </row>
    <row r="2409" spans="1:7">
      <c r="A2409">
        <v>1001</v>
      </c>
      <c r="B2409">
        <v>6</v>
      </c>
      <c r="C2409">
        <v>1001</v>
      </c>
      <c r="D2409" t="s">
        <v>4483</v>
      </c>
      <c r="E2409" t="s">
        <v>5026</v>
      </c>
      <c r="F2409">
        <v>511547</v>
      </c>
      <c r="G2409" t="s">
        <v>5046</v>
      </c>
    </row>
    <row r="2410" spans="1:7">
      <c r="A2410">
        <v>1001</v>
      </c>
      <c r="B2410">
        <v>6</v>
      </c>
      <c r="C2410">
        <v>1001</v>
      </c>
      <c r="D2410" t="s">
        <v>4970</v>
      </c>
      <c r="E2410" t="s">
        <v>4483</v>
      </c>
      <c r="F2410">
        <v>511548</v>
      </c>
      <c r="G2410" t="s">
        <v>4971</v>
      </c>
    </row>
    <row r="2411" spans="1:7">
      <c r="A2411">
        <v>1001</v>
      </c>
      <c r="B2411">
        <v>6</v>
      </c>
      <c r="C2411">
        <v>1001</v>
      </c>
      <c r="D2411" t="s">
        <v>5035</v>
      </c>
      <c r="E2411" t="s">
        <v>5044</v>
      </c>
      <c r="F2411">
        <v>511549</v>
      </c>
      <c r="G2411" s="6" t="s">
        <v>5047</v>
      </c>
    </row>
    <row r="2412" spans="1:7">
      <c r="A2412" s="25">
        <v>1001</v>
      </c>
      <c r="B2412" s="25">
        <v>1</v>
      </c>
      <c r="C2412" s="25">
        <v>1001</v>
      </c>
      <c r="D2412" t="s">
        <v>5020</v>
      </c>
      <c r="E2412" t="s">
        <v>4483</v>
      </c>
      <c r="F2412">
        <v>511550</v>
      </c>
      <c r="G2412" t="s">
        <v>5048</v>
      </c>
    </row>
    <row r="2413" spans="1:7">
      <c r="A2413" s="25">
        <v>1001</v>
      </c>
      <c r="B2413" s="25">
        <v>6</v>
      </c>
      <c r="C2413" s="25">
        <v>1001</v>
      </c>
      <c r="D2413" t="s">
        <v>5014</v>
      </c>
      <c r="E2413" t="s">
        <v>4970</v>
      </c>
      <c r="F2413">
        <v>511551</v>
      </c>
      <c r="G2413" t="s">
        <v>5049</v>
      </c>
    </row>
    <row r="2414" spans="1:7">
      <c r="A2414">
        <v>1001</v>
      </c>
      <c r="B2414">
        <v>1</v>
      </c>
      <c r="C2414">
        <v>1001</v>
      </c>
      <c r="D2414" t="s">
        <v>5026</v>
      </c>
      <c r="E2414" t="s">
        <v>5035</v>
      </c>
      <c r="F2414">
        <v>511552</v>
      </c>
      <c r="G2414" t="s">
        <v>5050</v>
      </c>
    </row>
    <row r="2415" spans="1:7">
      <c r="A2415">
        <v>1001</v>
      </c>
      <c r="B2415">
        <v>6</v>
      </c>
      <c r="C2415">
        <v>1001</v>
      </c>
      <c r="D2415" t="s">
        <v>5051</v>
      </c>
      <c r="E2415" t="s">
        <v>5020</v>
      </c>
      <c r="F2415">
        <v>511553</v>
      </c>
      <c r="G2415" t="s">
        <v>5052</v>
      </c>
    </row>
    <row r="2416" spans="1:7">
      <c r="A2416" s="25">
        <v>1001</v>
      </c>
      <c r="B2416" s="25">
        <v>1</v>
      </c>
      <c r="C2416" s="25">
        <v>1001</v>
      </c>
      <c r="D2416" t="s">
        <v>5053</v>
      </c>
      <c r="E2416" t="s">
        <v>5014</v>
      </c>
      <c r="F2416">
        <v>511554</v>
      </c>
      <c r="G2416" t="s">
        <v>5054</v>
      </c>
    </row>
    <row r="2417" spans="1:7">
      <c r="A2417" s="25">
        <v>1001</v>
      </c>
      <c r="B2417" s="25">
        <v>6</v>
      </c>
      <c r="C2417" s="25">
        <v>1001</v>
      </c>
      <c r="D2417" t="s">
        <v>1894</v>
      </c>
      <c r="E2417" t="s">
        <v>5026</v>
      </c>
      <c r="F2417">
        <v>511555</v>
      </c>
      <c r="G2417" t="s">
        <v>4625</v>
      </c>
    </row>
    <row r="2418" spans="1:7">
      <c r="A2418" s="75">
        <v>1001</v>
      </c>
      <c r="B2418" s="25">
        <v>6</v>
      </c>
      <c r="C2418" s="25">
        <v>1001</v>
      </c>
      <c r="D2418" t="s">
        <v>5005</v>
      </c>
      <c r="E2418" t="s">
        <v>5051</v>
      </c>
      <c r="F2418">
        <v>511556</v>
      </c>
      <c r="G2418" t="s">
        <v>5022</v>
      </c>
    </row>
    <row r="2419" spans="1:7">
      <c r="A2419">
        <v>1001</v>
      </c>
      <c r="B2419">
        <v>6</v>
      </c>
      <c r="C2419">
        <v>1001</v>
      </c>
      <c r="D2419" t="s">
        <v>4483</v>
      </c>
      <c r="E2419" t="s">
        <v>5053</v>
      </c>
      <c r="F2419">
        <v>511557</v>
      </c>
      <c r="G2419" t="s">
        <v>5055</v>
      </c>
    </row>
    <row r="2420" spans="1:7">
      <c r="A2420">
        <v>1001</v>
      </c>
      <c r="B2420">
        <v>6</v>
      </c>
      <c r="C2420">
        <v>1001</v>
      </c>
      <c r="D2420" t="s">
        <v>5035</v>
      </c>
      <c r="E2420" t="s">
        <v>1894</v>
      </c>
      <c r="F2420">
        <v>511558</v>
      </c>
      <c r="G2420" s="6" t="s">
        <v>5056</v>
      </c>
    </row>
    <row r="2421" spans="1:7">
      <c r="A2421">
        <v>1001</v>
      </c>
      <c r="B2421">
        <v>6</v>
      </c>
      <c r="C2421">
        <v>1001</v>
      </c>
      <c r="D2421" t="s">
        <v>4429</v>
      </c>
      <c r="E2421" t="s">
        <v>5005</v>
      </c>
      <c r="F2421">
        <v>511559</v>
      </c>
      <c r="G2421" t="s">
        <v>5057</v>
      </c>
    </row>
    <row r="2422" spans="1:7">
      <c r="A2422">
        <v>1001</v>
      </c>
      <c r="B2422">
        <v>1</v>
      </c>
      <c r="C2422">
        <v>1001</v>
      </c>
      <c r="D2422" t="s">
        <v>4451</v>
      </c>
      <c r="E2422" t="s">
        <v>4483</v>
      </c>
      <c r="F2422">
        <v>511560</v>
      </c>
      <c r="G2422" t="s">
        <v>5058</v>
      </c>
    </row>
    <row r="2423" spans="1:7">
      <c r="A2423" s="25">
        <v>1001</v>
      </c>
      <c r="B2423">
        <v>1</v>
      </c>
      <c r="C2423" s="25">
        <v>1001</v>
      </c>
      <c r="D2423" t="s">
        <v>4448</v>
      </c>
      <c r="E2423" t="s">
        <v>5035</v>
      </c>
      <c r="F2423">
        <v>511561</v>
      </c>
      <c r="G2423" t="s">
        <v>5059</v>
      </c>
    </row>
    <row r="2424" spans="1:7">
      <c r="A2424" s="25">
        <v>1001</v>
      </c>
      <c r="B2424" s="25">
        <v>6</v>
      </c>
      <c r="C2424" s="25">
        <v>1001</v>
      </c>
      <c r="D2424" t="s">
        <v>5060</v>
      </c>
      <c r="E2424" t="s">
        <v>4429</v>
      </c>
      <c r="F2424">
        <v>511562</v>
      </c>
      <c r="G2424" t="s">
        <v>5061</v>
      </c>
    </row>
    <row r="2425" spans="1:7">
      <c r="A2425" s="25">
        <v>1001</v>
      </c>
      <c r="B2425" s="25">
        <v>6</v>
      </c>
      <c r="C2425" s="25">
        <v>1001</v>
      </c>
      <c r="D2425" s="27" t="s">
        <v>5062</v>
      </c>
      <c r="E2425" t="s">
        <v>4451</v>
      </c>
      <c r="F2425">
        <v>511563</v>
      </c>
      <c r="G2425" t="s">
        <v>5063</v>
      </c>
    </row>
    <row r="2426" spans="1:7">
      <c r="A2426" s="25">
        <v>1001</v>
      </c>
      <c r="B2426" s="25">
        <v>6</v>
      </c>
      <c r="C2426" s="25">
        <v>1001</v>
      </c>
      <c r="D2426" s="27" t="s">
        <v>5064</v>
      </c>
      <c r="E2426" t="s">
        <v>4448</v>
      </c>
      <c r="F2426">
        <v>511564</v>
      </c>
      <c r="G2426" t="s">
        <v>5065</v>
      </c>
    </row>
    <row r="2427" spans="1:7">
      <c r="A2427" s="25">
        <v>1001</v>
      </c>
      <c r="B2427">
        <v>6</v>
      </c>
      <c r="C2427">
        <v>1001</v>
      </c>
      <c r="D2427" t="s">
        <v>5066</v>
      </c>
      <c r="E2427" t="s">
        <v>5060</v>
      </c>
      <c r="F2427">
        <v>100234</v>
      </c>
      <c r="G2427" t="s">
        <v>5067</v>
      </c>
    </row>
    <row r="2428" spans="1:7">
      <c r="A2428" s="25">
        <v>1001</v>
      </c>
      <c r="B2428">
        <v>6</v>
      </c>
      <c r="C2428" s="25">
        <v>1001</v>
      </c>
      <c r="D2428" t="s">
        <v>5068</v>
      </c>
      <c r="E2428" s="27" t="s">
        <v>5062</v>
      </c>
      <c r="F2428">
        <v>800010</v>
      </c>
      <c r="G2428" t="s">
        <v>5069</v>
      </c>
    </row>
    <row r="2429" spans="1:7">
      <c r="A2429" s="25">
        <v>1001</v>
      </c>
      <c r="B2429">
        <v>6</v>
      </c>
      <c r="C2429">
        <v>1001</v>
      </c>
      <c r="D2429" t="s">
        <v>5070</v>
      </c>
      <c r="E2429" s="27" t="s">
        <v>5064</v>
      </c>
      <c r="F2429">
        <v>800011</v>
      </c>
      <c r="G2429" t="s">
        <v>5071</v>
      </c>
    </row>
    <row r="2430" spans="1:7">
      <c r="A2430" s="25">
        <v>1001</v>
      </c>
      <c r="B2430">
        <v>6</v>
      </c>
      <c r="C2430" s="25">
        <v>1001</v>
      </c>
      <c r="D2430" t="s">
        <v>5072</v>
      </c>
      <c r="E2430" t="s">
        <v>5066</v>
      </c>
      <c r="F2430">
        <v>511565</v>
      </c>
      <c r="G2430" t="s">
        <v>5073</v>
      </c>
    </row>
    <row r="2431" spans="1:7">
      <c r="A2431" s="25">
        <v>1001</v>
      </c>
      <c r="B2431">
        <v>6</v>
      </c>
      <c r="C2431">
        <v>1001</v>
      </c>
      <c r="D2431" t="s">
        <v>5074</v>
      </c>
      <c r="E2431" t="s">
        <v>5068</v>
      </c>
      <c r="F2431">
        <v>511566</v>
      </c>
      <c r="G2431" t="s">
        <v>5075</v>
      </c>
    </row>
    <row r="2432" spans="1:7">
      <c r="A2432">
        <v>1001</v>
      </c>
      <c r="B2432">
        <v>6</v>
      </c>
      <c r="C2432">
        <v>1001</v>
      </c>
      <c r="D2432" t="s">
        <v>4970</v>
      </c>
      <c r="E2432" t="s">
        <v>5070</v>
      </c>
      <c r="F2432">
        <v>511567</v>
      </c>
      <c r="G2432" t="s">
        <v>4971</v>
      </c>
    </row>
    <row r="2433" spans="1:7">
      <c r="A2433" s="25">
        <v>1001</v>
      </c>
      <c r="B2433" s="25">
        <v>6</v>
      </c>
      <c r="C2433" s="25">
        <v>1001</v>
      </c>
      <c r="D2433" t="s">
        <v>5076</v>
      </c>
      <c r="E2433" t="s">
        <v>5072</v>
      </c>
      <c r="F2433">
        <v>511568</v>
      </c>
      <c r="G2433" t="s">
        <v>5077</v>
      </c>
    </row>
    <row r="2434" spans="1:7">
      <c r="A2434" s="25">
        <v>1001</v>
      </c>
      <c r="B2434" s="25">
        <v>6</v>
      </c>
      <c r="C2434" s="25">
        <v>1001</v>
      </c>
      <c r="D2434" t="s">
        <v>5078</v>
      </c>
      <c r="E2434" t="s">
        <v>5074</v>
      </c>
      <c r="F2434">
        <v>511569</v>
      </c>
      <c r="G2434" t="s">
        <v>5077</v>
      </c>
    </row>
    <row r="2435" spans="1:7">
      <c r="A2435" s="25">
        <v>1001</v>
      </c>
      <c r="B2435" s="25">
        <v>6</v>
      </c>
      <c r="C2435" s="25">
        <v>1001</v>
      </c>
      <c r="D2435" t="s">
        <v>5079</v>
      </c>
      <c r="E2435" t="s">
        <v>4970</v>
      </c>
      <c r="F2435">
        <v>511570</v>
      </c>
      <c r="G2435" t="s">
        <v>5080</v>
      </c>
    </row>
    <row r="2436" spans="1:7">
      <c r="A2436">
        <v>1001</v>
      </c>
      <c r="B2436">
        <v>6</v>
      </c>
      <c r="C2436">
        <v>1001</v>
      </c>
      <c r="D2436" t="s">
        <v>5081</v>
      </c>
      <c r="E2436" t="s">
        <v>5076</v>
      </c>
      <c r="F2436">
        <v>511571</v>
      </c>
      <c r="G2436" t="s">
        <v>5082</v>
      </c>
    </row>
    <row r="2437" spans="1:7">
      <c r="A2437">
        <v>1001</v>
      </c>
      <c r="B2437">
        <v>6</v>
      </c>
      <c r="C2437">
        <v>1001</v>
      </c>
      <c r="D2437" t="s">
        <v>5023</v>
      </c>
      <c r="E2437" t="s">
        <v>5078</v>
      </c>
      <c r="F2437">
        <v>511572</v>
      </c>
      <c r="G2437" s="79" t="s">
        <v>5083</v>
      </c>
    </row>
    <row r="2438" spans="1:7">
      <c r="A2438">
        <v>1001</v>
      </c>
      <c r="B2438">
        <v>6</v>
      </c>
      <c r="C2438">
        <v>1001</v>
      </c>
      <c r="D2438" t="s">
        <v>4483</v>
      </c>
      <c r="E2438" t="s">
        <v>5079</v>
      </c>
      <c r="F2438">
        <v>511573</v>
      </c>
      <c r="G2438" s="6" t="s">
        <v>5084</v>
      </c>
    </row>
    <row r="2439" spans="1:7">
      <c r="A2439">
        <v>1001</v>
      </c>
      <c r="B2439">
        <v>6</v>
      </c>
      <c r="C2439">
        <v>1001</v>
      </c>
      <c r="D2439" t="s">
        <v>5085</v>
      </c>
      <c r="E2439" t="s">
        <v>5081</v>
      </c>
      <c r="F2439">
        <v>511574</v>
      </c>
      <c r="G2439" t="s">
        <v>5086</v>
      </c>
    </row>
    <row r="2440" spans="1:7">
      <c r="A2440" s="25">
        <v>1001</v>
      </c>
      <c r="B2440" s="25">
        <v>6</v>
      </c>
      <c r="C2440" s="25">
        <v>1001</v>
      </c>
      <c r="D2440" t="s">
        <v>5014</v>
      </c>
      <c r="E2440" t="s">
        <v>4643</v>
      </c>
      <c r="F2440">
        <v>511575</v>
      </c>
      <c r="G2440" t="s">
        <v>5087</v>
      </c>
    </row>
    <row r="2441" spans="1:7">
      <c r="A2441">
        <v>1001</v>
      </c>
      <c r="B2441">
        <v>1</v>
      </c>
      <c r="C2441">
        <v>1001</v>
      </c>
      <c r="D2441" t="s">
        <v>5088</v>
      </c>
      <c r="E2441" t="s">
        <v>4483</v>
      </c>
      <c r="F2441">
        <v>511576</v>
      </c>
      <c r="G2441" t="s">
        <v>5058</v>
      </c>
    </row>
    <row r="2442" spans="1:7">
      <c r="A2442" s="25">
        <v>1001</v>
      </c>
      <c r="B2442">
        <v>1</v>
      </c>
      <c r="C2442" s="25">
        <v>1001</v>
      </c>
      <c r="D2442" t="s">
        <v>5089</v>
      </c>
      <c r="E2442" t="s">
        <v>5085</v>
      </c>
      <c r="F2442">
        <v>511577</v>
      </c>
      <c r="G2442" t="s">
        <v>5059</v>
      </c>
    </row>
    <row r="2443" spans="1:7">
      <c r="A2443">
        <v>1001</v>
      </c>
      <c r="B2443">
        <v>1</v>
      </c>
      <c r="C2443">
        <v>1001</v>
      </c>
      <c r="D2443" t="s">
        <v>5090</v>
      </c>
      <c r="E2443" t="s">
        <v>5014</v>
      </c>
      <c r="F2443">
        <v>511578</v>
      </c>
      <c r="G2443" t="s">
        <v>5091</v>
      </c>
    </row>
    <row r="2444" spans="1:7">
      <c r="A2444">
        <v>1001</v>
      </c>
      <c r="B2444">
        <v>1</v>
      </c>
      <c r="C2444">
        <v>1001</v>
      </c>
      <c r="D2444" t="s">
        <v>5092</v>
      </c>
      <c r="E2444" t="s">
        <v>5088</v>
      </c>
      <c r="F2444">
        <v>511579</v>
      </c>
      <c r="G2444" t="s">
        <v>5093</v>
      </c>
    </row>
    <row r="2445" spans="1:7">
      <c r="A2445">
        <v>1001</v>
      </c>
      <c r="B2445">
        <v>1</v>
      </c>
      <c r="C2445">
        <v>1001</v>
      </c>
      <c r="D2445" t="s">
        <v>5094</v>
      </c>
      <c r="E2445" t="s">
        <v>5089</v>
      </c>
      <c r="F2445">
        <v>511580</v>
      </c>
      <c r="G2445" t="s">
        <v>5095</v>
      </c>
    </row>
    <row r="2446" spans="1:7">
      <c r="A2446">
        <v>1001</v>
      </c>
      <c r="B2446">
        <v>1</v>
      </c>
      <c r="C2446">
        <v>1001</v>
      </c>
      <c r="D2446" t="s">
        <v>5096</v>
      </c>
      <c r="E2446" t="s">
        <v>5090</v>
      </c>
      <c r="F2446">
        <v>290900</v>
      </c>
      <c r="G2446" t="s">
        <v>5097</v>
      </c>
    </row>
    <row r="2447" spans="1:7">
      <c r="A2447">
        <v>1001</v>
      </c>
      <c r="B2447">
        <v>1</v>
      </c>
      <c r="C2447">
        <v>1001</v>
      </c>
      <c r="D2447" t="s">
        <v>5098</v>
      </c>
      <c r="E2447" t="s">
        <v>5092</v>
      </c>
      <c r="F2447">
        <v>290910</v>
      </c>
      <c r="G2447" t="s">
        <v>5099</v>
      </c>
    </row>
    <row r="2448" spans="1:7">
      <c r="A2448">
        <v>1001</v>
      </c>
      <c r="B2448">
        <v>1</v>
      </c>
      <c r="C2448">
        <v>1001</v>
      </c>
      <c r="D2448" t="s">
        <v>5100</v>
      </c>
      <c r="E2448" t="s">
        <v>5094</v>
      </c>
      <c r="F2448">
        <v>290920</v>
      </c>
      <c r="G2448" t="s">
        <v>5101</v>
      </c>
    </row>
    <row r="2449" spans="1:7">
      <c r="A2449">
        <v>1001</v>
      </c>
      <c r="B2449">
        <v>1</v>
      </c>
      <c r="C2449">
        <v>1001</v>
      </c>
      <c r="D2449" t="s">
        <v>5102</v>
      </c>
      <c r="E2449" t="s">
        <v>5096</v>
      </c>
      <c r="F2449">
        <v>290930</v>
      </c>
      <c r="G2449" t="s">
        <v>5103</v>
      </c>
    </row>
    <row r="2450" spans="1:7">
      <c r="A2450">
        <v>1001</v>
      </c>
      <c r="B2450">
        <v>1</v>
      </c>
      <c r="C2450">
        <v>1001</v>
      </c>
      <c r="D2450" t="s">
        <v>5104</v>
      </c>
      <c r="E2450" t="s">
        <v>5098</v>
      </c>
      <c r="F2450">
        <v>290940</v>
      </c>
      <c r="G2450" t="s">
        <v>5105</v>
      </c>
    </row>
    <row r="2451" spans="1:7">
      <c r="A2451">
        <v>1001</v>
      </c>
      <c r="B2451">
        <v>1</v>
      </c>
      <c r="C2451">
        <v>1001</v>
      </c>
      <c r="D2451" t="s">
        <v>5106</v>
      </c>
      <c r="E2451" t="s">
        <v>5100</v>
      </c>
      <c r="F2451">
        <v>290950</v>
      </c>
      <c r="G2451" t="s">
        <v>5107</v>
      </c>
    </row>
    <row r="2452" spans="1:7">
      <c r="A2452">
        <v>1001</v>
      </c>
      <c r="B2452">
        <v>1</v>
      </c>
      <c r="C2452">
        <v>1001</v>
      </c>
      <c r="D2452" t="s">
        <v>5108</v>
      </c>
      <c r="E2452" t="s">
        <v>5102</v>
      </c>
      <c r="F2452">
        <v>290960</v>
      </c>
      <c r="G2452" t="s">
        <v>5109</v>
      </c>
    </row>
    <row r="2453" spans="1:7">
      <c r="A2453">
        <v>1001</v>
      </c>
      <c r="B2453">
        <v>1</v>
      </c>
      <c r="C2453">
        <v>1001</v>
      </c>
      <c r="D2453" t="s">
        <v>5110</v>
      </c>
      <c r="E2453" t="s">
        <v>5104</v>
      </c>
      <c r="F2453">
        <v>290970</v>
      </c>
      <c r="G2453" t="s">
        <v>5111</v>
      </c>
    </row>
    <row r="2454" spans="1:7">
      <c r="A2454">
        <v>1001</v>
      </c>
      <c r="B2454">
        <v>1</v>
      </c>
      <c r="C2454">
        <v>1001</v>
      </c>
      <c r="D2454" t="s">
        <v>5112</v>
      </c>
      <c r="E2454" t="s">
        <v>5106</v>
      </c>
      <c r="F2454">
        <v>290980</v>
      </c>
      <c r="G2454" t="s">
        <v>5113</v>
      </c>
    </row>
    <row r="2455" spans="1:7">
      <c r="A2455">
        <v>1001</v>
      </c>
      <c r="B2455">
        <v>1</v>
      </c>
      <c r="C2455">
        <v>1001</v>
      </c>
      <c r="D2455" t="s">
        <v>5114</v>
      </c>
      <c r="E2455" t="s">
        <v>5108</v>
      </c>
      <c r="F2455">
        <v>290990</v>
      </c>
      <c r="G2455" t="s">
        <v>5115</v>
      </c>
    </row>
    <row r="2456" spans="1:7">
      <c r="A2456">
        <v>1001</v>
      </c>
      <c r="B2456">
        <v>1</v>
      </c>
      <c r="C2456">
        <v>1001</v>
      </c>
      <c r="D2456" t="s">
        <v>5116</v>
      </c>
      <c r="E2456" t="s">
        <v>5110</v>
      </c>
      <c r="F2456">
        <v>291000</v>
      </c>
      <c r="G2456" t="s">
        <v>5117</v>
      </c>
    </row>
    <row r="2457" spans="1:7">
      <c r="A2457">
        <v>1001</v>
      </c>
      <c r="B2457">
        <v>1</v>
      </c>
      <c r="C2457">
        <v>1001</v>
      </c>
      <c r="D2457" t="s">
        <v>5118</v>
      </c>
      <c r="E2457" t="s">
        <v>5112</v>
      </c>
      <c r="F2457">
        <v>291010</v>
      </c>
      <c r="G2457" t="s">
        <v>5119</v>
      </c>
    </row>
    <row r="2458" spans="1:7">
      <c r="A2458">
        <v>1001</v>
      </c>
      <c r="B2458">
        <v>6</v>
      </c>
      <c r="C2458">
        <v>1001</v>
      </c>
      <c r="D2458" t="s">
        <v>4475</v>
      </c>
      <c r="E2458" t="s">
        <v>5114</v>
      </c>
      <c r="F2458">
        <v>291020</v>
      </c>
      <c r="G2458" t="s">
        <v>5120</v>
      </c>
    </row>
    <row r="2459" spans="1:7">
      <c r="A2459">
        <v>1001</v>
      </c>
      <c r="B2459">
        <v>6</v>
      </c>
      <c r="C2459">
        <v>1001</v>
      </c>
      <c r="D2459" t="s">
        <v>4476</v>
      </c>
      <c r="E2459" t="s">
        <v>5116</v>
      </c>
      <c r="F2459">
        <v>291030</v>
      </c>
      <c r="G2459" t="s">
        <v>5120</v>
      </c>
    </row>
    <row r="2460" spans="1:7">
      <c r="A2460">
        <v>1001</v>
      </c>
      <c r="B2460">
        <v>6</v>
      </c>
      <c r="C2460">
        <v>1001</v>
      </c>
      <c r="D2460" t="s">
        <v>5121</v>
      </c>
      <c r="E2460" t="s">
        <v>5118</v>
      </c>
      <c r="F2460">
        <v>291040</v>
      </c>
      <c r="G2460" t="s">
        <v>5120</v>
      </c>
    </row>
    <row r="2461" spans="1:7">
      <c r="A2461">
        <v>1001</v>
      </c>
      <c r="B2461">
        <v>6</v>
      </c>
      <c r="C2461">
        <v>1001</v>
      </c>
      <c r="D2461" t="s">
        <v>5122</v>
      </c>
      <c r="E2461" t="s">
        <v>4475</v>
      </c>
      <c r="F2461">
        <v>511581</v>
      </c>
      <c r="G2461" t="s">
        <v>5120</v>
      </c>
    </row>
    <row r="2462" spans="1:7">
      <c r="A2462">
        <v>1001</v>
      </c>
      <c r="B2462">
        <v>6</v>
      </c>
      <c r="C2462">
        <v>1001</v>
      </c>
      <c r="D2462" t="s">
        <v>4479</v>
      </c>
      <c r="E2462" t="s">
        <v>4476</v>
      </c>
      <c r="F2462">
        <v>511582</v>
      </c>
      <c r="G2462" t="s">
        <v>5120</v>
      </c>
    </row>
    <row r="2463" spans="1:7">
      <c r="A2463">
        <v>1001</v>
      </c>
      <c r="B2463">
        <v>6</v>
      </c>
      <c r="C2463">
        <v>1001</v>
      </c>
      <c r="D2463" t="s">
        <v>4480</v>
      </c>
      <c r="E2463" t="s">
        <v>5121</v>
      </c>
      <c r="F2463">
        <v>511583</v>
      </c>
      <c r="G2463" t="s">
        <v>5120</v>
      </c>
    </row>
    <row r="2464" spans="1:7">
      <c r="A2464">
        <v>1001</v>
      </c>
      <c r="B2464">
        <v>6</v>
      </c>
      <c r="C2464">
        <v>1001</v>
      </c>
      <c r="D2464" t="s">
        <v>5123</v>
      </c>
      <c r="E2464" t="s">
        <v>5122</v>
      </c>
      <c r="F2464">
        <v>511584</v>
      </c>
      <c r="G2464" t="s">
        <v>5124</v>
      </c>
    </row>
    <row r="2465" spans="1:7">
      <c r="A2465">
        <v>1001</v>
      </c>
      <c r="B2465">
        <v>6</v>
      </c>
      <c r="C2465">
        <v>1001</v>
      </c>
      <c r="D2465" t="s">
        <v>697</v>
      </c>
      <c r="E2465" t="s">
        <v>4479</v>
      </c>
      <c r="F2465">
        <v>511585</v>
      </c>
      <c r="G2465" t="s">
        <v>5125</v>
      </c>
    </row>
    <row r="2466" spans="1:7">
      <c r="A2466">
        <v>1001</v>
      </c>
      <c r="B2466">
        <v>6</v>
      </c>
      <c r="C2466">
        <v>1001</v>
      </c>
      <c r="D2466" t="s">
        <v>5126</v>
      </c>
      <c r="E2466" t="s">
        <v>4480</v>
      </c>
      <c r="F2466">
        <v>511586</v>
      </c>
      <c r="G2466" s="6" t="s">
        <v>5127</v>
      </c>
    </row>
    <row r="2467" spans="1:7">
      <c r="A2467">
        <v>1001</v>
      </c>
      <c r="B2467">
        <v>6</v>
      </c>
      <c r="C2467">
        <v>1001</v>
      </c>
      <c r="D2467" t="s">
        <v>5128</v>
      </c>
      <c r="E2467" t="s">
        <v>5123</v>
      </c>
      <c r="F2467">
        <v>511587</v>
      </c>
      <c r="G2467" t="s">
        <v>5129</v>
      </c>
    </row>
    <row r="2468" spans="1:7">
      <c r="A2468">
        <v>1001</v>
      </c>
      <c r="B2468">
        <v>6</v>
      </c>
      <c r="C2468">
        <v>1001</v>
      </c>
      <c r="D2468" t="s">
        <v>5130</v>
      </c>
      <c r="E2468" t="s">
        <v>697</v>
      </c>
      <c r="F2468">
        <v>511588</v>
      </c>
      <c r="G2468" t="s">
        <v>5131</v>
      </c>
    </row>
    <row r="2469" spans="1:7">
      <c r="A2469">
        <v>1001</v>
      </c>
      <c r="B2469">
        <v>6</v>
      </c>
      <c r="C2469">
        <v>1001</v>
      </c>
      <c r="D2469" t="s">
        <v>5132</v>
      </c>
      <c r="E2469" t="s">
        <v>5126</v>
      </c>
      <c r="F2469">
        <v>511589</v>
      </c>
      <c r="G2469" t="s">
        <v>5133</v>
      </c>
    </row>
    <row r="2470" spans="1:7">
      <c r="A2470">
        <v>1001</v>
      </c>
      <c r="B2470">
        <v>1</v>
      </c>
      <c r="C2470">
        <v>1001</v>
      </c>
      <c r="D2470" t="s">
        <v>4925</v>
      </c>
      <c r="E2470" t="s">
        <v>5128</v>
      </c>
      <c r="F2470">
        <v>511590</v>
      </c>
      <c r="G2470" t="s">
        <v>5134</v>
      </c>
    </row>
    <row r="2471" spans="1:7">
      <c r="A2471">
        <v>1001</v>
      </c>
      <c r="B2471">
        <v>1</v>
      </c>
      <c r="C2471">
        <v>1001</v>
      </c>
      <c r="D2471" t="s">
        <v>4927</v>
      </c>
      <c r="E2471" t="s">
        <v>5135</v>
      </c>
      <c r="F2471">
        <v>511591</v>
      </c>
      <c r="G2471" t="s">
        <v>5136</v>
      </c>
    </row>
    <row r="2472" spans="1:7">
      <c r="A2472" s="25">
        <v>1001</v>
      </c>
      <c r="B2472" s="25">
        <v>6</v>
      </c>
      <c r="C2472" s="25">
        <v>1001</v>
      </c>
      <c r="D2472" t="s">
        <v>5028</v>
      </c>
      <c r="E2472" t="s">
        <v>5132</v>
      </c>
      <c r="F2472">
        <v>511592</v>
      </c>
      <c r="G2472" t="s">
        <v>5137</v>
      </c>
    </row>
    <row r="2473" spans="1:7">
      <c r="A2473">
        <v>1001</v>
      </c>
      <c r="B2473">
        <v>6</v>
      </c>
      <c r="C2473">
        <v>1001</v>
      </c>
      <c r="D2473" t="s">
        <v>5138</v>
      </c>
      <c r="E2473" t="s">
        <v>4925</v>
      </c>
      <c r="F2473">
        <v>511593</v>
      </c>
      <c r="G2473" s="6" t="s">
        <v>5139</v>
      </c>
    </row>
    <row r="2474" spans="1:7">
      <c r="A2474">
        <v>1001</v>
      </c>
      <c r="B2474">
        <v>6</v>
      </c>
      <c r="C2474">
        <v>1001</v>
      </c>
      <c r="D2474" t="s">
        <v>4970</v>
      </c>
      <c r="E2474" t="s">
        <v>4927</v>
      </c>
      <c r="F2474">
        <v>511594</v>
      </c>
      <c r="G2474" t="s">
        <v>4971</v>
      </c>
    </row>
    <row r="2475" spans="1:7">
      <c r="A2475">
        <v>1001</v>
      </c>
      <c r="B2475">
        <v>6</v>
      </c>
      <c r="C2475">
        <v>1001</v>
      </c>
      <c r="D2475" t="s">
        <v>4483</v>
      </c>
      <c r="E2475" t="s">
        <v>5028</v>
      </c>
      <c r="F2475">
        <v>511595</v>
      </c>
      <c r="G2475" s="6" t="s">
        <v>5140</v>
      </c>
    </row>
    <row r="2476" spans="1:7">
      <c r="A2476" s="25">
        <v>1001</v>
      </c>
      <c r="B2476">
        <v>1</v>
      </c>
      <c r="C2476" s="25">
        <v>1001</v>
      </c>
      <c r="D2476" t="s">
        <v>5141</v>
      </c>
      <c r="E2476" t="s">
        <v>5138</v>
      </c>
      <c r="F2476">
        <v>511596</v>
      </c>
      <c r="G2476" t="s">
        <v>5059</v>
      </c>
    </row>
    <row r="2477" spans="1:7">
      <c r="A2477">
        <v>1001</v>
      </c>
      <c r="B2477">
        <v>1</v>
      </c>
      <c r="C2477">
        <v>1001</v>
      </c>
      <c r="D2477" t="s">
        <v>5142</v>
      </c>
      <c r="E2477" t="s">
        <v>4970</v>
      </c>
      <c r="F2477">
        <v>511597</v>
      </c>
      <c r="G2477" t="s">
        <v>5058</v>
      </c>
    </row>
    <row r="2478" spans="1:7">
      <c r="A2478">
        <v>1001</v>
      </c>
      <c r="B2478">
        <v>6</v>
      </c>
      <c r="C2478">
        <v>1001</v>
      </c>
      <c r="D2478" t="s">
        <v>5143</v>
      </c>
      <c r="E2478" t="s">
        <v>4483</v>
      </c>
      <c r="F2478">
        <v>511598</v>
      </c>
      <c r="G2478" t="s">
        <v>5057</v>
      </c>
    </row>
    <row r="2479" spans="1:7">
      <c r="A2479">
        <v>1001</v>
      </c>
      <c r="B2479">
        <v>6</v>
      </c>
      <c r="C2479">
        <v>1001</v>
      </c>
      <c r="D2479" t="s">
        <v>5144</v>
      </c>
      <c r="E2479" t="s">
        <v>5141</v>
      </c>
      <c r="F2479">
        <v>511599</v>
      </c>
      <c r="G2479" t="s">
        <v>5145</v>
      </c>
    </row>
    <row r="2480" spans="1:7">
      <c r="A2480">
        <v>1001</v>
      </c>
      <c r="B2480">
        <v>6</v>
      </c>
      <c r="C2480">
        <v>1001</v>
      </c>
      <c r="D2480" t="s">
        <v>5146</v>
      </c>
      <c r="E2480" t="s">
        <v>5142</v>
      </c>
      <c r="F2480">
        <v>511600</v>
      </c>
      <c r="G2480" t="s">
        <v>5147</v>
      </c>
    </row>
    <row r="2481" spans="1:7">
      <c r="A2481">
        <v>1001</v>
      </c>
      <c r="B2481">
        <v>6</v>
      </c>
      <c r="C2481">
        <v>1001</v>
      </c>
      <c r="D2481" t="s">
        <v>5148</v>
      </c>
      <c r="E2481" t="s">
        <v>5143</v>
      </c>
      <c r="F2481">
        <v>511601</v>
      </c>
      <c r="G2481" t="s">
        <v>5149</v>
      </c>
    </row>
    <row r="2482" spans="1:7">
      <c r="A2482">
        <v>1001</v>
      </c>
      <c r="B2482">
        <v>6</v>
      </c>
      <c r="C2482">
        <v>1001</v>
      </c>
      <c r="D2482" t="s">
        <v>5150</v>
      </c>
      <c r="E2482" t="s">
        <v>5144</v>
      </c>
      <c r="F2482">
        <v>511602</v>
      </c>
      <c r="G2482" t="s">
        <v>5150</v>
      </c>
    </row>
    <row r="2483" spans="1:7">
      <c r="A2483">
        <v>1001</v>
      </c>
      <c r="B2483">
        <v>6</v>
      </c>
      <c r="C2483">
        <v>1001</v>
      </c>
      <c r="D2483" t="s">
        <v>5151</v>
      </c>
      <c r="E2483" t="s">
        <v>5146</v>
      </c>
      <c r="F2483">
        <v>511603</v>
      </c>
      <c r="G2483" t="s">
        <v>5151</v>
      </c>
    </row>
    <row r="2484" spans="1:7">
      <c r="A2484">
        <v>1001</v>
      </c>
      <c r="B2484">
        <v>6</v>
      </c>
      <c r="C2484">
        <v>1001</v>
      </c>
      <c r="D2484" t="s">
        <v>4483</v>
      </c>
      <c r="E2484" t="s">
        <v>5148</v>
      </c>
      <c r="F2484">
        <v>511604</v>
      </c>
      <c r="G2484" s="6" t="s">
        <v>5152</v>
      </c>
    </row>
    <row r="2485" spans="1:7">
      <c r="A2485" s="75">
        <v>1001</v>
      </c>
      <c r="B2485" s="25">
        <v>6</v>
      </c>
      <c r="C2485" s="25">
        <v>1001</v>
      </c>
      <c r="D2485" t="s">
        <v>5153</v>
      </c>
      <c r="E2485" t="s">
        <v>5150</v>
      </c>
      <c r="F2485">
        <v>511605</v>
      </c>
      <c r="G2485" t="s">
        <v>5154</v>
      </c>
    </row>
    <row r="2486" spans="1:7">
      <c r="A2486" s="25">
        <v>1001</v>
      </c>
      <c r="B2486" s="25">
        <v>6</v>
      </c>
      <c r="C2486" s="25">
        <v>1001</v>
      </c>
      <c r="D2486" t="s">
        <v>5155</v>
      </c>
      <c r="E2486" t="s">
        <v>5151</v>
      </c>
      <c r="F2486">
        <v>511606</v>
      </c>
      <c r="G2486" t="s">
        <v>5156</v>
      </c>
    </row>
    <row r="2487" spans="1:7">
      <c r="A2487">
        <v>1001</v>
      </c>
      <c r="B2487">
        <v>6</v>
      </c>
      <c r="C2487">
        <v>1001</v>
      </c>
      <c r="D2487" t="s">
        <v>5157</v>
      </c>
      <c r="E2487" t="s">
        <v>4483</v>
      </c>
      <c r="F2487">
        <v>511607</v>
      </c>
      <c r="G2487" t="s">
        <v>5158</v>
      </c>
    </row>
    <row r="2488" spans="1:7">
      <c r="A2488">
        <v>1001</v>
      </c>
      <c r="B2488">
        <v>6</v>
      </c>
      <c r="C2488">
        <v>1001</v>
      </c>
      <c r="D2488" t="s">
        <v>5035</v>
      </c>
      <c r="E2488" t="s">
        <v>5153</v>
      </c>
      <c r="F2488">
        <v>511608</v>
      </c>
      <c r="G2488" s="6" t="s">
        <v>5159</v>
      </c>
    </row>
    <row r="2489" spans="1:7">
      <c r="A2489">
        <v>1001</v>
      </c>
      <c r="B2489">
        <v>6</v>
      </c>
      <c r="C2489">
        <v>1001</v>
      </c>
      <c r="D2489" t="s">
        <v>4483</v>
      </c>
      <c r="E2489" t="s">
        <v>5155</v>
      </c>
      <c r="F2489">
        <v>511609</v>
      </c>
      <c r="G2489" s="6" t="s">
        <v>5160</v>
      </c>
    </row>
    <row r="2490" spans="1:7">
      <c r="A2490" s="25">
        <v>1001</v>
      </c>
      <c r="B2490" s="25">
        <v>6</v>
      </c>
      <c r="C2490" s="25">
        <v>1001</v>
      </c>
      <c r="D2490" t="s">
        <v>4978</v>
      </c>
      <c r="E2490" t="s">
        <v>5157</v>
      </c>
      <c r="F2490">
        <v>100241</v>
      </c>
      <c r="G2490" t="s">
        <v>5161</v>
      </c>
    </row>
    <row r="2491" spans="1:7">
      <c r="A2491" s="25">
        <v>1001</v>
      </c>
      <c r="B2491" s="25">
        <v>6</v>
      </c>
      <c r="C2491" s="25">
        <v>1001</v>
      </c>
      <c r="D2491" t="s">
        <v>4980</v>
      </c>
      <c r="E2491" t="s">
        <v>5035</v>
      </c>
      <c r="F2491">
        <v>511610</v>
      </c>
      <c r="G2491" t="s">
        <v>5162</v>
      </c>
    </row>
    <row r="2492" spans="1:7">
      <c r="A2492">
        <v>1001</v>
      </c>
      <c r="B2492">
        <v>6</v>
      </c>
      <c r="C2492">
        <v>1001</v>
      </c>
      <c r="D2492" t="s">
        <v>4483</v>
      </c>
      <c r="E2492" t="s">
        <v>4483</v>
      </c>
      <c r="F2492">
        <v>511611</v>
      </c>
      <c r="G2492" t="s">
        <v>5163</v>
      </c>
    </row>
    <row r="2493" spans="1:7">
      <c r="A2493">
        <v>1001</v>
      </c>
      <c r="B2493">
        <v>6</v>
      </c>
      <c r="C2493">
        <v>1001</v>
      </c>
      <c r="D2493" t="s">
        <v>4483</v>
      </c>
      <c r="E2493" t="s">
        <v>4978</v>
      </c>
      <c r="F2493">
        <v>511612</v>
      </c>
      <c r="G2493" t="s">
        <v>5164</v>
      </c>
    </row>
    <row r="2494" spans="1:7">
      <c r="A2494">
        <v>1001</v>
      </c>
      <c r="B2494">
        <v>2</v>
      </c>
      <c r="C2494">
        <v>1001</v>
      </c>
      <c r="D2494" t="s">
        <v>5165</v>
      </c>
      <c r="E2494" t="s">
        <v>4980</v>
      </c>
      <c r="F2494">
        <v>511613</v>
      </c>
      <c r="G2494" t="s">
        <v>5166</v>
      </c>
    </row>
    <row r="2495" spans="1:7">
      <c r="A2495">
        <v>1001</v>
      </c>
      <c r="B2495">
        <v>1</v>
      </c>
      <c r="C2495">
        <v>1001</v>
      </c>
      <c r="D2495" t="s">
        <v>5167</v>
      </c>
      <c r="E2495" t="s">
        <v>4483</v>
      </c>
      <c r="F2495">
        <v>511614</v>
      </c>
      <c r="G2495" t="s">
        <v>5168</v>
      </c>
    </row>
    <row r="2496" spans="1:7">
      <c r="A2496">
        <v>1001</v>
      </c>
      <c r="B2496">
        <v>6</v>
      </c>
      <c r="C2496">
        <v>1001</v>
      </c>
      <c r="D2496" t="s">
        <v>5169</v>
      </c>
      <c r="E2496" t="s">
        <v>4483</v>
      </c>
      <c r="F2496">
        <v>511615</v>
      </c>
      <c r="G2496" t="s">
        <v>5170</v>
      </c>
    </row>
    <row r="2497" spans="1:7">
      <c r="A2497">
        <v>1001</v>
      </c>
      <c r="B2497">
        <v>6</v>
      </c>
      <c r="C2497">
        <v>1001</v>
      </c>
      <c r="D2497" t="s">
        <v>5171</v>
      </c>
      <c r="E2497" t="s">
        <v>5172</v>
      </c>
      <c r="F2497">
        <v>615005</v>
      </c>
      <c r="G2497" s="79" t="s">
        <v>5173</v>
      </c>
    </row>
    <row r="2498" spans="1:7">
      <c r="A2498">
        <v>1001</v>
      </c>
      <c r="B2498">
        <v>6</v>
      </c>
      <c r="C2498">
        <v>1001</v>
      </c>
      <c r="D2498" t="s">
        <v>5174</v>
      </c>
      <c r="E2498" t="s">
        <v>5167</v>
      </c>
      <c r="F2498">
        <v>616005</v>
      </c>
      <c r="G2498" s="6" t="s">
        <v>5175</v>
      </c>
    </row>
    <row r="2499" spans="1:7">
      <c r="A2499">
        <v>1001</v>
      </c>
      <c r="B2499">
        <v>6</v>
      </c>
      <c r="C2499">
        <v>1001</v>
      </c>
      <c r="D2499" t="s">
        <v>5176</v>
      </c>
      <c r="E2499" t="s">
        <v>5169</v>
      </c>
      <c r="F2499">
        <v>511620</v>
      </c>
      <c r="G2499" t="s">
        <v>5177</v>
      </c>
    </row>
    <row r="2500" spans="1:7">
      <c r="A2500">
        <v>1001</v>
      </c>
      <c r="B2500">
        <v>6</v>
      </c>
      <c r="C2500">
        <v>1001</v>
      </c>
      <c r="D2500" t="s">
        <v>5178</v>
      </c>
      <c r="E2500" t="s">
        <v>5171</v>
      </c>
      <c r="F2500">
        <v>511621</v>
      </c>
      <c r="G2500" t="s">
        <v>5179</v>
      </c>
    </row>
    <row r="2501" spans="1:7">
      <c r="A2501">
        <v>1001</v>
      </c>
      <c r="B2501">
        <v>6</v>
      </c>
      <c r="C2501">
        <v>1001</v>
      </c>
      <c r="D2501" t="s">
        <v>4483</v>
      </c>
      <c r="E2501" t="s">
        <v>5174</v>
      </c>
      <c r="F2501">
        <v>511622</v>
      </c>
      <c r="G2501" s="6" t="s">
        <v>5180</v>
      </c>
    </row>
    <row r="2502" spans="1:7">
      <c r="A2502">
        <v>1001</v>
      </c>
      <c r="B2502">
        <v>6</v>
      </c>
      <c r="C2502">
        <v>1001</v>
      </c>
      <c r="D2502" t="s">
        <v>4483</v>
      </c>
      <c r="E2502" t="s">
        <v>5176</v>
      </c>
      <c r="F2502">
        <v>511623</v>
      </c>
      <c r="G2502" s="6" t="s">
        <v>5181</v>
      </c>
    </row>
    <row r="2503" spans="1:7">
      <c r="A2503">
        <v>1001</v>
      </c>
      <c r="B2503">
        <v>6</v>
      </c>
      <c r="C2503">
        <v>1001</v>
      </c>
      <c r="D2503" t="s">
        <v>4641</v>
      </c>
      <c r="E2503" t="s">
        <v>5178</v>
      </c>
      <c r="F2503">
        <v>511624</v>
      </c>
      <c r="G2503" t="s">
        <v>5182</v>
      </c>
    </row>
    <row r="2504" spans="1:7">
      <c r="A2504">
        <v>1001</v>
      </c>
      <c r="B2504">
        <v>6</v>
      </c>
      <c r="C2504">
        <v>1001</v>
      </c>
      <c r="D2504" t="s">
        <v>5183</v>
      </c>
      <c r="E2504" t="s">
        <v>4483</v>
      </c>
      <c r="F2504">
        <v>511625</v>
      </c>
      <c r="G2504" t="s">
        <v>5184</v>
      </c>
    </row>
    <row r="2505" spans="1:7">
      <c r="A2505">
        <v>1001</v>
      </c>
      <c r="B2505">
        <v>6</v>
      </c>
      <c r="C2505">
        <v>1001</v>
      </c>
      <c r="D2505" t="s">
        <v>5185</v>
      </c>
      <c r="E2505" t="s">
        <v>4483</v>
      </c>
      <c r="F2505">
        <v>511630</v>
      </c>
      <c r="G2505" t="s">
        <v>5184</v>
      </c>
    </row>
    <row r="2506" spans="1:7">
      <c r="A2506" s="25">
        <v>1001</v>
      </c>
      <c r="B2506">
        <v>6</v>
      </c>
      <c r="C2506" s="25">
        <v>1001</v>
      </c>
      <c r="D2506" t="s">
        <v>5186</v>
      </c>
      <c r="E2506" t="s">
        <v>4641</v>
      </c>
      <c r="F2506">
        <v>511631</v>
      </c>
      <c r="G2506" t="s">
        <v>5187</v>
      </c>
    </row>
    <row r="2507" spans="1:7">
      <c r="A2507" s="25">
        <v>1001</v>
      </c>
      <c r="B2507">
        <v>6</v>
      </c>
      <c r="C2507" s="25">
        <v>1001</v>
      </c>
      <c r="D2507" t="s">
        <v>5188</v>
      </c>
      <c r="E2507" t="s">
        <v>5189</v>
      </c>
      <c r="F2507">
        <v>511632</v>
      </c>
      <c r="G2507" t="s">
        <v>5190</v>
      </c>
    </row>
    <row r="2508" spans="1:7">
      <c r="A2508" s="25">
        <v>1001</v>
      </c>
      <c r="B2508">
        <v>6</v>
      </c>
      <c r="C2508" s="25">
        <v>1001</v>
      </c>
      <c r="D2508" t="s">
        <v>5191</v>
      </c>
      <c r="E2508" t="s">
        <v>5189</v>
      </c>
      <c r="F2508">
        <v>511633</v>
      </c>
      <c r="G2508" t="s">
        <v>5192</v>
      </c>
    </row>
    <row r="2509" spans="1:7">
      <c r="A2509" s="25">
        <v>1001</v>
      </c>
      <c r="B2509">
        <v>6</v>
      </c>
      <c r="C2509" s="25">
        <v>1001</v>
      </c>
      <c r="D2509" t="s">
        <v>5193</v>
      </c>
      <c r="E2509" t="s">
        <v>5186</v>
      </c>
      <c r="F2509">
        <v>511626</v>
      </c>
      <c r="G2509" t="s">
        <v>5194</v>
      </c>
    </row>
    <row r="2510" spans="1:7">
      <c r="A2510" s="25">
        <v>1001</v>
      </c>
      <c r="B2510">
        <v>6</v>
      </c>
      <c r="C2510" s="25">
        <v>1001</v>
      </c>
      <c r="D2510" t="s">
        <v>5195</v>
      </c>
      <c r="E2510" t="s">
        <v>5188</v>
      </c>
      <c r="F2510">
        <v>511627</v>
      </c>
      <c r="G2510" t="s">
        <v>5196</v>
      </c>
    </row>
    <row r="2511" spans="1:7">
      <c r="A2511" s="25">
        <v>1001</v>
      </c>
      <c r="B2511">
        <v>6</v>
      </c>
      <c r="C2511" s="25">
        <v>1001</v>
      </c>
      <c r="D2511" t="s">
        <v>5197</v>
      </c>
      <c r="E2511" t="s">
        <v>5191</v>
      </c>
      <c r="F2511">
        <v>511628</v>
      </c>
      <c r="G2511" t="s">
        <v>5198</v>
      </c>
    </row>
    <row r="2512" spans="1:7">
      <c r="A2512" s="25">
        <v>1001</v>
      </c>
      <c r="B2512">
        <v>6</v>
      </c>
      <c r="C2512" s="25">
        <v>1001</v>
      </c>
      <c r="D2512" t="s">
        <v>5199</v>
      </c>
      <c r="E2512" t="s">
        <v>5193</v>
      </c>
      <c r="F2512">
        <v>511629</v>
      </c>
      <c r="G2512" t="s">
        <v>5200</v>
      </c>
    </row>
    <row r="2513" spans="1:7">
      <c r="A2513" s="25">
        <v>1001</v>
      </c>
      <c r="B2513">
        <v>6</v>
      </c>
      <c r="C2513" s="25">
        <v>1001</v>
      </c>
      <c r="D2513" t="s">
        <v>5201</v>
      </c>
      <c r="E2513" t="s">
        <v>5202</v>
      </c>
      <c r="F2513">
        <v>555001</v>
      </c>
      <c r="G2513" t="s">
        <v>5203</v>
      </c>
    </row>
    <row r="2514" spans="1:7">
      <c r="A2514" s="25">
        <v>1001</v>
      </c>
      <c r="B2514">
        <v>6</v>
      </c>
      <c r="C2514" s="25">
        <v>1001</v>
      </c>
      <c r="D2514" t="s">
        <v>5204</v>
      </c>
      <c r="E2514" t="s">
        <v>5205</v>
      </c>
      <c r="F2514">
        <v>555002</v>
      </c>
      <c r="G2514" t="s">
        <v>5206</v>
      </c>
    </row>
    <row r="2515" spans="1:7">
      <c r="A2515" s="25">
        <v>1001</v>
      </c>
      <c r="B2515">
        <v>6</v>
      </c>
      <c r="C2515" s="25">
        <v>1001</v>
      </c>
      <c r="D2515" t="s">
        <v>5207</v>
      </c>
      <c r="E2515" t="s">
        <v>5208</v>
      </c>
      <c r="F2515">
        <v>555003</v>
      </c>
      <c r="G2515" t="s">
        <v>5209</v>
      </c>
    </row>
    <row r="2516" spans="1:7">
      <c r="A2516" s="25">
        <v>1001</v>
      </c>
      <c r="B2516">
        <v>6</v>
      </c>
      <c r="C2516" s="25">
        <v>1001</v>
      </c>
      <c r="D2516" t="s">
        <v>5210</v>
      </c>
      <c r="E2516" t="s">
        <v>5211</v>
      </c>
      <c r="F2516">
        <v>555004</v>
      </c>
      <c r="G2516" t="s">
        <v>5212</v>
      </c>
    </row>
    <row r="2517" spans="1:7">
      <c r="A2517" s="25">
        <v>1001</v>
      </c>
      <c r="B2517">
        <v>6</v>
      </c>
      <c r="C2517" s="25">
        <v>1001</v>
      </c>
      <c r="D2517" t="s">
        <v>5213</v>
      </c>
      <c r="E2517" t="s">
        <v>5214</v>
      </c>
      <c r="F2517">
        <v>555005</v>
      </c>
      <c r="G2517" t="s">
        <v>5215</v>
      </c>
    </row>
    <row r="2518" spans="1:7">
      <c r="A2518" s="25">
        <v>1001</v>
      </c>
      <c r="B2518">
        <v>6</v>
      </c>
      <c r="C2518" s="25">
        <v>1001</v>
      </c>
      <c r="D2518" t="s">
        <v>5216</v>
      </c>
      <c r="E2518" t="s">
        <v>5217</v>
      </c>
      <c r="F2518">
        <v>555006</v>
      </c>
      <c r="G2518" t="s">
        <v>5218</v>
      </c>
    </row>
    <row r="2519" spans="1:7">
      <c r="A2519" s="25">
        <v>1001</v>
      </c>
      <c r="B2519">
        <v>6</v>
      </c>
      <c r="C2519" s="25">
        <v>1001</v>
      </c>
      <c r="D2519" t="s">
        <v>5219</v>
      </c>
      <c r="E2519" t="s">
        <v>5220</v>
      </c>
      <c r="F2519">
        <v>555007</v>
      </c>
      <c r="G2519" t="s">
        <v>5221</v>
      </c>
    </row>
    <row r="2520" spans="1:7">
      <c r="A2520" s="25">
        <v>1001</v>
      </c>
      <c r="B2520">
        <v>6</v>
      </c>
      <c r="C2520" s="25">
        <v>1001</v>
      </c>
      <c r="D2520" t="s">
        <v>5222</v>
      </c>
      <c r="E2520" t="s">
        <v>5223</v>
      </c>
      <c r="F2520">
        <v>555008</v>
      </c>
      <c r="G2520" t="s">
        <v>5224</v>
      </c>
    </row>
    <row r="2521" spans="1:7">
      <c r="A2521" s="25">
        <v>1001</v>
      </c>
      <c r="B2521">
        <v>6</v>
      </c>
      <c r="C2521" s="25">
        <v>1001</v>
      </c>
      <c r="D2521" s="30" t="s">
        <v>5225</v>
      </c>
      <c r="E2521" t="s">
        <v>5226</v>
      </c>
      <c r="F2521">
        <v>555009</v>
      </c>
      <c r="G2521" s="30" t="s">
        <v>5227</v>
      </c>
    </row>
    <row r="2522" spans="1:7">
      <c r="A2522" s="25">
        <v>1001</v>
      </c>
      <c r="B2522">
        <v>6</v>
      </c>
      <c r="C2522" s="25">
        <v>1001</v>
      </c>
      <c r="D2522" s="30" t="s">
        <v>5228</v>
      </c>
      <c r="E2522" t="s">
        <v>5229</v>
      </c>
      <c r="F2522">
        <v>555010</v>
      </c>
      <c r="G2522" s="30" t="s">
        <v>5230</v>
      </c>
    </row>
    <row r="2523" spans="1:7">
      <c r="A2523" s="25">
        <v>1001</v>
      </c>
      <c r="B2523">
        <v>6</v>
      </c>
      <c r="C2523" s="25">
        <v>1001</v>
      </c>
      <c r="D2523" s="30" t="s">
        <v>5231</v>
      </c>
      <c r="E2523" t="s">
        <v>5232</v>
      </c>
      <c r="F2523">
        <v>555011</v>
      </c>
      <c r="G2523" s="30" t="s">
        <v>5233</v>
      </c>
    </row>
    <row r="2524" spans="1:7">
      <c r="A2524" s="25">
        <v>1001</v>
      </c>
      <c r="B2524">
        <v>6</v>
      </c>
      <c r="C2524" s="25">
        <v>1001</v>
      </c>
      <c r="D2524" s="30" t="s">
        <v>5234</v>
      </c>
      <c r="E2524" s="30" t="s">
        <v>5235</v>
      </c>
      <c r="F2524">
        <v>555012</v>
      </c>
      <c r="G2524" s="30" t="s">
        <v>5236</v>
      </c>
    </row>
    <row r="2525" spans="1:7">
      <c r="A2525" s="25">
        <v>1001</v>
      </c>
      <c r="B2525">
        <v>6</v>
      </c>
      <c r="C2525" s="25">
        <v>1001</v>
      </c>
      <c r="D2525" s="30" t="s">
        <v>5237</v>
      </c>
      <c r="E2525" s="30" t="s">
        <v>5238</v>
      </c>
      <c r="F2525">
        <v>555013</v>
      </c>
      <c r="G2525" s="30" t="s">
        <v>5239</v>
      </c>
    </row>
    <row r="2526" spans="1:7">
      <c r="A2526" s="25">
        <v>1001</v>
      </c>
      <c r="B2526">
        <v>6</v>
      </c>
      <c r="C2526" s="25">
        <v>1001</v>
      </c>
      <c r="D2526" s="30" t="s">
        <v>5240</v>
      </c>
      <c r="E2526" s="30" t="s">
        <v>5241</v>
      </c>
      <c r="F2526">
        <v>555014</v>
      </c>
      <c r="G2526" s="30" t="s">
        <v>5242</v>
      </c>
    </row>
    <row r="2527" spans="1:7">
      <c r="A2527">
        <v>1001</v>
      </c>
      <c r="B2527">
        <v>2</v>
      </c>
      <c r="C2527">
        <v>1001</v>
      </c>
      <c r="D2527" t="s">
        <v>5243</v>
      </c>
      <c r="E2527" s="30" t="s">
        <v>5234</v>
      </c>
      <c r="F2527">
        <v>555015</v>
      </c>
      <c r="G2527" t="s">
        <v>5244</v>
      </c>
    </row>
    <row r="2528" spans="1:7">
      <c r="A2528" s="25">
        <v>1001</v>
      </c>
      <c r="B2528" s="25">
        <v>2</v>
      </c>
      <c r="C2528" s="25">
        <v>1001</v>
      </c>
      <c r="D2528" s="25" t="s">
        <v>5245</v>
      </c>
      <c r="E2528" s="30" t="s">
        <v>5237</v>
      </c>
      <c r="F2528">
        <v>555016</v>
      </c>
      <c r="G2528" s="25" t="s">
        <v>5246</v>
      </c>
    </row>
    <row r="2529" spans="1:7">
      <c r="A2529">
        <v>1001</v>
      </c>
      <c r="B2529">
        <v>2</v>
      </c>
      <c r="C2529">
        <v>1001</v>
      </c>
      <c r="D2529" t="s">
        <v>5247</v>
      </c>
      <c r="E2529" s="30" t="s">
        <v>5240</v>
      </c>
      <c r="F2529">
        <v>555017</v>
      </c>
      <c r="G2529" t="s">
        <v>5248</v>
      </c>
    </row>
    <row r="2530" spans="1:7">
      <c r="A2530" s="25">
        <v>1001</v>
      </c>
      <c r="B2530" s="25">
        <v>2</v>
      </c>
      <c r="C2530" s="25">
        <v>1001</v>
      </c>
      <c r="D2530" s="25" t="s">
        <v>5249</v>
      </c>
      <c r="E2530" s="16" t="s">
        <v>4448</v>
      </c>
      <c r="F2530" s="16">
        <v>555018</v>
      </c>
      <c r="G2530" s="25" t="s">
        <v>5250</v>
      </c>
    </row>
    <row r="2531" spans="1:7">
      <c r="A2531">
        <v>1001</v>
      </c>
      <c r="B2531">
        <v>2</v>
      </c>
      <c r="C2531">
        <v>1001</v>
      </c>
      <c r="D2531" t="s">
        <v>5251</v>
      </c>
      <c r="E2531" s="80" t="s">
        <v>5252</v>
      </c>
      <c r="F2531" s="16">
        <v>555019</v>
      </c>
      <c r="G2531" t="s">
        <v>5253</v>
      </c>
    </row>
    <row r="2532" spans="1:7">
      <c r="A2532">
        <v>1001</v>
      </c>
      <c r="B2532">
        <v>2</v>
      </c>
      <c r="C2532">
        <v>1001</v>
      </c>
      <c r="D2532" t="s">
        <v>5254</v>
      </c>
      <c r="E2532" s="16" t="s">
        <v>5255</v>
      </c>
      <c r="F2532" s="16">
        <v>555020</v>
      </c>
      <c r="G2532" t="s">
        <v>5256</v>
      </c>
    </row>
    <row r="2533" spans="1:7">
      <c r="A2533">
        <v>1001</v>
      </c>
      <c r="B2533">
        <v>2</v>
      </c>
      <c r="C2533">
        <v>1001</v>
      </c>
      <c r="D2533" t="s">
        <v>5257</v>
      </c>
      <c r="E2533" s="80" t="s">
        <v>5258</v>
      </c>
      <c r="F2533" s="16">
        <v>555021</v>
      </c>
      <c r="G2533" t="s">
        <v>5259</v>
      </c>
    </row>
    <row r="2534" spans="1:7">
      <c r="A2534">
        <v>1001</v>
      </c>
      <c r="B2534">
        <v>2</v>
      </c>
      <c r="C2534">
        <v>1001</v>
      </c>
      <c r="D2534" t="s">
        <v>5260</v>
      </c>
      <c r="E2534" t="s">
        <v>5243</v>
      </c>
      <c r="F2534">
        <v>615006</v>
      </c>
      <c r="G2534" t="s">
        <v>5261</v>
      </c>
    </row>
    <row r="2535" spans="1:7">
      <c r="A2535">
        <v>1001</v>
      </c>
      <c r="B2535">
        <v>2</v>
      </c>
      <c r="C2535">
        <v>1001</v>
      </c>
      <c r="D2535" t="s">
        <v>5262</v>
      </c>
      <c r="E2535" s="25" t="s">
        <v>5245</v>
      </c>
      <c r="F2535" s="25">
        <v>615007</v>
      </c>
      <c r="G2535" t="s">
        <v>5263</v>
      </c>
    </row>
    <row r="2536" spans="1:7">
      <c r="A2536">
        <v>1001</v>
      </c>
      <c r="B2536">
        <v>2</v>
      </c>
      <c r="C2536">
        <v>1001</v>
      </c>
      <c r="D2536" t="s">
        <v>5264</v>
      </c>
      <c r="E2536" t="s">
        <v>5247</v>
      </c>
      <c r="F2536">
        <v>615008</v>
      </c>
      <c r="G2536" t="s">
        <v>5265</v>
      </c>
    </row>
    <row r="2537" spans="1:7">
      <c r="A2537">
        <v>1001</v>
      </c>
      <c r="B2537">
        <v>2</v>
      </c>
      <c r="C2537">
        <v>1001</v>
      </c>
      <c r="D2537" t="s">
        <v>5266</v>
      </c>
      <c r="E2537" s="25" t="s">
        <v>5249</v>
      </c>
      <c r="F2537" s="25">
        <v>615009</v>
      </c>
      <c r="G2537" t="s">
        <v>5267</v>
      </c>
    </row>
    <row r="2538" spans="1:7">
      <c r="A2538">
        <v>1001</v>
      </c>
      <c r="B2538">
        <v>2</v>
      </c>
      <c r="C2538">
        <v>1001</v>
      </c>
      <c r="D2538" t="s">
        <v>5268</v>
      </c>
      <c r="E2538" t="s">
        <v>5251</v>
      </c>
      <c r="F2538">
        <v>615010</v>
      </c>
      <c r="G2538" t="s">
        <v>5269</v>
      </c>
    </row>
    <row r="2539" spans="1:7">
      <c r="A2539">
        <v>1001</v>
      </c>
      <c r="B2539">
        <v>2</v>
      </c>
      <c r="C2539">
        <v>1001</v>
      </c>
      <c r="D2539" t="s">
        <v>5270</v>
      </c>
      <c r="E2539" t="s">
        <v>5254</v>
      </c>
      <c r="F2539">
        <v>615011</v>
      </c>
      <c r="G2539" t="s">
        <v>5271</v>
      </c>
    </row>
    <row r="2540" s="17" customFormat="1" spans="1:7">
      <c r="A2540" s="17">
        <v>1001</v>
      </c>
      <c r="B2540" s="17">
        <v>2</v>
      </c>
      <c r="C2540" s="17">
        <v>1001</v>
      </c>
      <c r="D2540" s="17" t="s">
        <v>5272</v>
      </c>
      <c r="E2540" s="17" t="s">
        <v>5257</v>
      </c>
      <c r="F2540" s="17">
        <v>615012</v>
      </c>
      <c r="G2540" s="17" t="s">
        <v>5273</v>
      </c>
    </row>
    <row r="2541" s="17" customFormat="1" spans="1:7">
      <c r="A2541" s="17">
        <v>1001</v>
      </c>
      <c r="B2541" s="17">
        <v>2</v>
      </c>
      <c r="C2541" s="17">
        <v>1001</v>
      </c>
      <c r="D2541" s="17" t="s">
        <v>5274</v>
      </c>
      <c r="E2541" s="17" t="s">
        <v>5260</v>
      </c>
      <c r="F2541" s="17">
        <v>615013</v>
      </c>
      <c r="G2541" s="17" t="s">
        <v>5275</v>
      </c>
    </row>
    <row r="2542" spans="1:7">
      <c r="A2542">
        <v>1001</v>
      </c>
      <c r="B2542">
        <v>6</v>
      </c>
      <c r="C2542">
        <v>1001</v>
      </c>
      <c r="D2542" t="s">
        <v>5276</v>
      </c>
      <c r="E2542" t="s">
        <v>5262</v>
      </c>
      <c r="F2542">
        <v>615014</v>
      </c>
      <c r="G2542" t="s">
        <v>5277</v>
      </c>
    </row>
    <row r="2543" spans="1:7">
      <c r="A2543" s="25">
        <v>1001</v>
      </c>
      <c r="B2543" s="25">
        <v>6</v>
      </c>
      <c r="C2543" s="25">
        <v>1001</v>
      </c>
      <c r="D2543" t="s">
        <v>1782</v>
      </c>
      <c r="E2543" t="s">
        <v>5264</v>
      </c>
      <c r="F2543">
        <v>615015</v>
      </c>
      <c r="G2543" t="s">
        <v>5278</v>
      </c>
    </row>
    <row r="2544" spans="1:7">
      <c r="A2544">
        <v>1001</v>
      </c>
      <c r="B2544">
        <v>1</v>
      </c>
      <c r="C2544">
        <v>1001</v>
      </c>
      <c r="D2544" t="s">
        <v>5279</v>
      </c>
      <c r="E2544" t="s">
        <v>5266</v>
      </c>
      <c r="F2544">
        <v>615016</v>
      </c>
      <c r="G2544" t="s">
        <v>5280</v>
      </c>
    </row>
    <row r="2545" spans="1:7">
      <c r="A2545">
        <v>1001</v>
      </c>
      <c r="B2545">
        <v>6</v>
      </c>
      <c r="C2545">
        <v>1001</v>
      </c>
      <c r="D2545" t="s">
        <v>5281</v>
      </c>
      <c r="E2545" t="s">
        <v>5268</v>
      </c>
      <c r="F2545">
        <v>615017</v>
      </c>
      <c r="G2545" t="s">
        <v>5282</v>
      </c>
    </row>
    <row r="2546" spans="1:7">
      <c r="A2546">
        <v>1001</v>
      </c>
      <c r="B2546">
        <v>6</v>
      </c>
      <c r="C2546">
        <v>1001</v>
      </c>
      <c r="D2546" t="s">
        <v>5283</v>
      </c>
      <c r="E2546" t="s">
        <v>5270</v>
      </c>
      <c r="F2546">
        <v>615018</v>
      </c>
      <c r="G2546" t="s">
        <v>5284</v>
      </c>
    </row>
    <row r="2547" spans="1:7">
      <c r="A2547">
        <v>1001</v>
      </c>
      <c r="B2547">
        <v>6</v>
      </c>
      <c r="C2547">
        <v>1001</v>
      </c>
      <c r="D2547" t="s">
        <v>5285</v>
      </c>
      <c r="E2547" s="17" t="s">
        <v>5272</v>
      </c>
      <c r="F2547" s="17">
        <v>615019</v>
      </c>
      <c r="G2547" t="s">
        <v>5286</v>
      </c>
    </row>
    <row r="2548" spans="1:7">
      <c r="A2548">
        <v>1001</v>
      </c>
      <c r="B2548">
        <v>6</v>
      </c>
      <c r="C2548">
        <v>1001</v>
      </c>
      <c r="D2548" t="s">
        <v>5287</v>
      </c>
      <c r="E2548" s="17" t="s">
        <v>5274</v>
      </c>
      <c r="F2548" s="17">
        <v>615020</v>
      </c>
      <c r="G2548" t="s">
        <v>5288</v>
      </c>
    </row>
    <row r="2549" spans="1:7">
      <c r="A2549">
        <v>1001</v>
      </c>
      <c r="B2549">
        <v>6</v>
      </c>
      <c r="C2549">
        <v>1001</v>
      </c>
      <c r="D2549" t="s">
        <v>5289</v>
      </c>
      <c r="E2549" s="17" t="s">
        <v>5290</v>
      </c>
      <c r="F2549" s="17">
        <v>615021</v>
      </c>
      <c r="G2549" t="s">
        <v>5291</v>
      </c>
    </row>
    <row r="2550" spans="1:7">
      <c r="A2550" s="25">
        <v>1001</v>
      </c>
      <c r="B2550" s="25">
        <v>6</v>
      </c>
      <c r="C2550" s="25">
        <v>1001</v>
      </c>
      <c r="D2550" t="s">
        <v>5292</v>
      </c>
      <c r="E2550" s="17" t="s">
        <v>5293</v>
      </c>
      <c r="F2550" s="17">
        <v>615022</v>
      </c>
      <c r="G2550" t="s">
        <v>5294</v>
      </c>
    </row>
    <row r="2551" spans="1:7">
      <c r="A2551" s="25">
        <v>1001</v>
      </c>
      <c r="B2551" s="25">
        <v>6</v>
      </c>
      <c r="C2551" s="25">
        <v>1001</v>
      </c>
      <c r="D2551" t="s">
        <v>5295</v>
      </c>
      <c r="E2551" t="s">
        <v>5276</v>
      </c>
      <c r="F2551">
        <v>616006</v>
      </c>
      <c r="G2551" t="s">
        <v>5296</v>
      </c>
    </row>
    <row r="2552" spans="1:7">
      <c r="A2552" s="25">
        <v>1001</v>
      </c>
      <c r="B2552" s="25">
        <v>6</v>
      </c>
      <c r="C2552" s="25">
        <v>1001</v>
      </c>
      <c r="D2552" t="s">
        <v>5297</v>
      </c>
      <c r="E2552" s="27" t="s">
        <v>1782</v>
      </c>
      <c r="F2552">
        <v>616007</v>
      </c>
      <c r="G2552" t="s">
        <v>5298</v>
      </c>
    </row>
    <row r="2553" spans="1:7">
      <c r="A2553">
        <v>1001</v>
      </c>
      <c r="B2553">
        <v>2</v>
      </c>
      <c r="C2553">
        <v>1004</v>
      </c>
      <c r="D2553" t="s">
        <v>5299</v>
      </c>
      <c r="E2553" t="s">
        <v>5279</v>
      </c>
      <c r="F2553">
        <v>616008</v>
      </c>
      <c r="G2553" t="s">
        <v>5300</v>
      </c>
    </row>
    <row r="2554" spans="1:7">
      <c r="A2554">
        <v>1001</v>
      </c>
      <c r="B2554">
        <v>6</v>
      </c>
      <c r="C2554">
        <v>1001</v>
      </c>
      <c r="D2554" t="s">
        <v>5035</v>
      </c>
      <c r="E2554" t="s">
        <v>5281</v>
      </c>
      <c r="F2554">
        <v>616009</v>
      </c>
      <c r="G2554" s="6" t="s">
        <v>5301</v>
      </c>
    </row>
    <row r="2555" spans="1:7">
      <c r="A2555">
        <v>1001</v>
      </c>
      <c r="B2555">
        <v>6</v>
      </c>
      <c r="C2555">
        <v>1001</v>
      </c>
      <c r="D2555" t="s">
        <v>5302</v>
      </c>
      <c r="E2555" t="s">
        <v>5189</v>
      </c>
      <c r="F2555">
        <v>616010</v>
      </c>
      <c r="G2555" t="s">
        <v>5303</v>
      </c>
    </row>
    <row r="2556" spans="1:7">
      <c r="A2556">
        <v>1001</v>
      </c>
      <c r="B2556">
        <v>6</v>
      </c>
      <c r="C2556">
        <v>1001</v>
      </c>
      <c r="D2556" t="s">
        <v>5304</v>
      </c>
      <c r="E2556" t="s">
        <v>5305</v>
      </c>
      <c r="F2556">
        <v>616011</v>
      </c>
      <c r="G2556" s="6" t="s">
        <v>5306</v>
      </c>
    </row>
    <row r="2557" spans="1:7">
      <c r="A2557">
        <v>1001</v>
      </c>
      <c r="B2557">
        <v>6</v>
      </c>
      <c r="C2557">
        <v>1001</v>
      </c>
      <c r="D2557" t="s">
        <v>5307</v>
      </c>
      <c r="E2557" t="s">
        <v>5308</v>
      </c>
      <c r="F2557">
        <v>616012</v>
      </c>
      <c r="G2557" s="6" t="s">
        <v>5309</v>
      </c>
    </row>
    <row r="2558" spans="1:7">
      <c r="A2558">
        <v>1001</v>
      </c>
      <c r="B2558">
        <v>6</v>
      </c>
      <c r="C2558">
        <v>1001</v>
      </c>
      <c r="D2558" t="s">
        <v>5150</v>
      </c>
      <c r="E2558" t="s">
        <v>5289</v>
      </c>
      <c r="F2558">
        <v>616013</v>
      </c>
      <c r="G2558" s="6" t="s">
        <v>5310</v>
      </c>
    </row>
    <row r="2559" spans="1:7">
      <c r="A2559">
        <v>1001</v>
      </c>
      <c r="B2559">
        <v>6</v>
      </c>
      <c r="C2559">
        <v>1001</v>
      </c>
      <c r="D2559" t="s">
        <v>4483</v>
      </c>
      <c r="E2559" t="s">
        <v>5292</v>
      </c>
      <c r="F2559">
        <v>616014</v>
      </c>
      <c r="G2559" s="6" t="s">
        <v>5311</v>
      </c>
    </row>
    <row r="2560" spans="1:7">
      <c r="A2560">
        <v>1001</v>
      </c>
      <c r="B2560">
        <v>1</v>
      </c>
      <c r="C2560">
        <v>1001</v>
      </c>
      <c r="D2560" t="s">
        <v>5009</v>
      </c>
      <c r="E2560" t="s">
        <v>5295</v>
      </c>
      <c r="F2560">
        <v>616015</v>
      </c>
      <c r="G2560" t="s">
        <v>5010</v>
      </c>
    </row>
    <row r="2561" spans="1:7">
      <c r="A2561">
        <v>1001</v>
      </c>
      <c r="B2561">
        <v>1</v>
      </c>
      <c r="C2561">
        <v>1001</v>
      </c>
      <c r="D2561" t="s">
        <v>5011</v>
      </c>
      <c r="E2561" t="s">
        <v>5297</v>
      </c>
      <c r="F2561">
        <v>616016</v>
      </c>
      <c r="G2561" t="s">
        <v>5013</v>
      </c>
    </row>
    <row r="2562" spans="1:7">
      <c r="A2562" s="25">
        <v>1001</v>
      </c>
      <c r="B2562" s="25">
        <v>6</v>
      </c>
      <c r="C2562" s="25">
        <v>1001</v>
      </c>
      <c r="D2562" t="s">
        <v>5079</v>
      </c>
      <c r="E2562" t="s">
        <v>5299</v>
      </c>
      <c r="F2562">
        <v>617001</v>
      </c>
      <c r="G2562" t="s">
        <v>5312</v>
      </c>
    </row>
    <row r="2563" spans="1:7">
      <c r="A2563">
        <v>1001</v>
      </c>
      <c r="B2563">
        <v>6</v>
      </c>
      <c r="C2563">
        <v>1001</v>
      </c>
      <c r="D2563" t="s">
        <v>5150</v>
      </c>
      <c r="E2563" t="s">
        <v>5035</v>
      </c>
      <c r="F2563">
        <v>617002</v>
      </c>
      <c r="G2563" s="6" t="s">
        <v>5313</v>
      </c>
    </row>
    <row r="2564" spans="1:7">
      <c r="A2564">
        <v>1001</v>
      </c>
      <c r="B2564">
        <v>6</v>
      </c>
      <c r="C2564">
        <v>1001</v>
      </c>
      <c r="D2564" t="s">
        <v>5151</v>
      </c>
      <c r="E2564" t="s">
        <v>5302</v>
      </c>
      <c r="F2564">
        <v>617003</v>
      </c>
      <c r="G2564" s="6" t="s">
        <v>5314</v>
      </c>
    </row>
    <row r="2565" spans="1:7">
      <c r="A2565">
        <v>1001</v>
      </c>
      <c r="B2565">
        <v>6</v>
      </c>
      <c r="C2565">
        <v>1001</v>
      </c>
      <c r="D2565" t="s">
        <v>5315</v>
      </c>
      <c r="E2565" t="s">
        <v>5304</v>
      </c>
      <c r="F2565">
        <v>617004</v>
      </c>
      <c r="G2565" s="6" t="s">
        <v>5316</v>
      </c>
    </row>
    <row r="2566" spans="1:7">
      <c r="A2566">
        <v>1001</v>
      </c>
      <c r="B2566">
        <v>6</v>
      </c>
      <c r="C2566">
        <v>1001</v>
      </c>
      <c r="D2566" t="s">
        <v>5317</v>
      </c>
      <c r="E2566" t="s">
        <v>5307</v>
      </c>
      <c r="F2566">
        <v>617005</v>
      </c>
      <c r="G2566" s="6" t="s">
        <v>5318</v>
      </c>
    </row>
    <row r="2567" spans="1:7">
      <c r="A2567">
        <v>1001</v>
      </c>
      <c r="B2567">
        <v>6</v>
      </c>
      <c r="C2567">
        <v>1001</v>
      </c>
      <c r="D2567" t="s">
        <v>5319</v>
      </c>
      <c r="E2567" t="s">
        <v>5150</v>
      </c>
      <c r="F2567">
        <v>617006</v>
      </c>
      <c r="G2567" s="6" t="s">
        <v>5320</v>
      </c>
    </row>
    <row r="2568" spans="1:7">
      <c r="A2568">
        <v>1001</v>
      </c>
      <c r="B2568">
        <v>6</v>
      </c>
      <c r="C2568">
        <v>1001</v>
      </c>
      <c r="D2568" t="s">
        <v>5321</v>
      </c>
      <c r="E2568" t="s">
        <v>4483</v>
      </c>
      <c r="F2568">
        <v>617007</v>
      </c>
      <c r="G2568" s="6" t="s">
        <v>5322</v>
      </c>
    </row>
    <row r="2569" spans="1:7">
      <c r="A2569">
        <v>1001</v>
      </c>
      <c r="B2569">
        <v>6</v>
      </c>
      <c r="C2569">
        <v>1001</v>
      </c>
      <c r="D2569" t="s">
        <v>5323</v>
      </c>
      <c r="E2569" t="s">
        <v>5009</v>
      </c>
      <c r="F2569">
        <v>617008</v>
      </c>
      <c r="G2569" s="6" t="s">
        <v>5324</v>
      </c>
    </row>
    <row r="2570" spans="1:7">
      <c r="A2570">
        <v>1001</v>
      </c>
      <c r="B2570">
        <v>6</v>
      </c>
      <c r="C2570">
        <v>1001</v>
      </c>
      <c r="D2570" t="s">
        <v>5325</v>
      </c>
      <c r="E2570" t="s">
        <v>5011</v>
      </c>
      <c r="F2570">
        <v>617009</v>
      </c>
      <c r="G2570" s="6" t="s">
        <v>5326</v>
      </c>
    </row>
    <row r="2571" spans="1:7">
      <c r="A2571">
        <v>1001</v>
      </c>
      <c r="B2571">
        <v>6</v>
      </c>
      <c r="C2571">
        <v>1001</v>
      </c>
      <c r="D2571" t="s">
        <v>5327</v>
      </c>
      <c r="E2571" t="s">
        <v>5079</v>
      </c>
      <c r="F2571">
        <v>617010</v>
      </c>
      <c r="G2571" s="6" t="s">
        <v>5328</v>
      </c>
    </row>
    <row r="2572" spans="1:7">
      <c r="A2572">
        <v>1001</v>
      </c>
      <c r="B2572">
        <v>1</v>
      </c>
      <c r="C2572">
        <v>3</v>
      </c>
      <c r="D2572" t="s">
        <v>5329</v>
      </c>
      <c r="E2572" t="s">
        <v>5150</v>
      </c>
      <c r="F2572">
        <v>617011</v>
      </c>
      <c r="G2572" t="s">
        <v>5330</v>
      </c>
    </row>
    <row r="2573" spans="1:7">
      <c r="A2573">
        <v>1001</v>
      </c>
      <c r="B2573">
        <v>1</v>
      </c>
      <c r="C2573">
        <v>3</v>
      </c>
      <c r="D2573" t="s">
        <v>5331</v>
      </c>
      <c r="E2573" t="s">
        <v>5151</v>
      </c>
      <c r="F2573">
        <v>617012</v>
      </c>
      <c r="G2573" t="s">
        <v>5332</v>
      </c>
    </row>
    <row r="2574" spans="1:7">
      <c r="A2574">
        <v>1001</v>
      </c>
      <c r="B2574">
        <v>1</v>
      </c>
      <c r="C2574">
        <v>3</v>
      </c>
      <c r="D2574" t="s">
        <v>5333</v>
      </c>
      <c r="E2574" t="s">
        <v>5315</v>
      </c>
      <c r="F2574">
        <v>617013</v>
      </c>
      <c r="G2574" t="s">
        <v>5334</v>
      </c>
    </row>
    <row r="2575" spans="1:7">
      <c r="A2575">
        <v>1001</v>
      </c>
      <c r="B2575">
        <v>1</v>
      </c>
      <c r="C2575">
        <v>3</v>
      </c>
      <c r="D2575" t="s">
        <v>5335</v>
      </c>
      <c r="E2575" t="s">
        <v>5317</v>
      </c>
      <c r="F2575">
        <v>617014</v>
      </c>
      <c r="G2575" t="s">
        <v>5336</v>
      </c>
    </row>
    <row r="2576" spans="1:7">
      <c r="A2576">
        <v>1001</v>
      </c>
      <c r="B2576">
        <v>1</v>
      </c>
      <c r="C2576">
        <v>3</v>
      </c>
      <c r="D2576" t="s">
        <v>5337</v>
      </c>
      <c r="E2576" t="s">
        <v>789</v>
      </c>
      <c r="F2576">
        <v>617015</v>
      </c>
      <c r="G2576" t="s">
        <v>5338</v>
      </c>
    </row>
    <row r="2577" spans="1:7">
      <c r="A2577">
        <v>1001</v>
      </c>
      <c r="B2577">
        <v>1</v>
      </c>
      <c r="C2577">
        <v>3</v>
      </c>
      <c r="D2577" t="s">
        <v>5339</v>
      </c>
      <c r="E2577" t="s">
        <v>5340</v>
      </c>
      <c r="F2577">
        <v>617016</v>
      </c>
      <c r="G2577" t="s">
        <v>5341</v>
      </c>
    </row>
    <row r="2578" spans="1:7">
      <c r="A2578">
        <v>1001</v>
      </c>
      <c r="B2578">
        <v>1</v>
      </c>
      <c r="C2578">
        <v>3</v>
      </c>
      <c r="D2578" t="s">
        <v>5342</v>
      </c>
      <c r="E2578" t="s">
        <v>5323</v>
      </c>
      <c r="F2578">
        <v>617017</v>
      </c>
      <c r="G2578" t="s">
        <v>5343</v>
      </c>
    </row>
    <row r="2579" spans="1:7">
      <c r="A2579">
        <v>1001</v>
      </c>
      <c r="B2579">
        <v>1</v>
      </c>
      <c r="C2579">
        <v>3</v>
      </c>
      <c r="D2579" t="s">
        <v>5344</v>
      </c>
      <c r="E2579" t="s">
        <v>5325</v>
      </c>
      <c r="F2579">
        <v>617018</v>
      </c>
      <c r="G2579" t="s">
        <v>5345</v>
      </c>
    </row>
    <row r="2580" spans="1:7">
      <c r="A2580">
        <v>1001</v>
      </c>
      <c r="B2580">
        <v>1</v>
      </c>
      <c r="C2580">
        <v>3</v>
      </c>
      <c r="D2580" t="s">
        <v>5346</v>
      </c>
      <c r="E2580" t="s">
        <v>5327</v>
      </c>
      <c r="F2580">
        <v>617019</v>
      </c>
      <c r="G2580" t="s">
        <v>5347</v>
      </c>
    </row>
    <row r="2581" spans="1:7">
      <c r="A2581">
        <v>1001</v>
      </c>
      <c r="B2581">
        <v>1</v>
      </c>
      <c r="C2581">
        <v>3</v>
      </c>
      <c r="D2581" t="s">
        <v>5348</v>
      </c>
      <c r="E2581" t="s">
        <v>5329</v>
      </c>
      <c r="F2581">
        <v>617020</v>
      </c>
      <c r="G2581" t="s">
        <v>5349</v>
      </c>
    </row>
    <row r="2582" spans="1:7">
      <c r="A2582">
        <v>1001</v>
      </c>
      <c r="B2582">
        <v>1</v>
      </c>
      <c r="C2582">
        <v>3</v>
      </c>
      <c r="D2582" t="s">
        <v>5350</v>
      </c>
      <c r="E2582" t="s">
        <v>5331</v>
      </c>
      <c r="F2582">
        <v>617021</v>
      </c>
      <c r="G2582" t="s">
        <v>5351</v>
      </c>
    </row>
    <row r="2583" spans="1:7">
      <c r="A2583">
        <v>1001</v>
      </c>
      <c r="B2583">
        <v>1</v>
      </c>
      <c r="C2583">
        <v>3</v>
      </c>
      <c r="D2583" t="s">
        <v>5352</v>
      </c>
      <c r="E2583" t="s">
        <v>5333</v>
      </c>
      <c r="F2583">
        <v>617022</v>
      </c>
      <c r="G2583" t="s">
        <v>5353</v>
      </c>
    </row>
    <row r="2584" spans="1:7">
      <c r="A2584">
        <v>1001</v>
      </c>
      <c r="B2584">
        <v>1</v>
      </c>
      <c r="C2584">
        <v>3</v>
      </c>
      <c r="D2584" t="s">
        <v>5354</v>
      </c>
      <c r="E2584" t="s">
        <v>5335</v>
      </c>
      <c r="F2584">
        <v>617023</v>
      </c>
      <c r="G2584" t="s">
        <v>5355</v>
      </c>
    </row>
    <row r="2585" spans="1:7">
      <c r="A2585">
        <v>1001</v>
      </c>
      <c r="B2585">
        <v>1</v>
      </c>
      <c r="C2585">
        <v>3</v>
      </c>
      <c r="D2585" t="s">
        <v>5356</v>
      </c>
      <c r="E2585" t="s">
        <v>5337</v>
      </c>
      <c r="F2585">
        <v>617024</v>
      </c>
      <c r="G2585" t="s">
        <v>5357</v>
      </c>
    </row>
    <row r="2586" spans="1:7">
      <c r="A2586">
        <v>1001</v>
      </c>
      <c r="B2586">
        <v>1</v>
      </c>
      <c r="C2586">
        <v>3</v>
      </c>
      <c r="D2586" t="s">
        <v>5358</v>
      </c>
      <c r="E2586" t="s">
        <v>5339</v>
      </c>
      <c r="F2586">
        <v>617025</v>
      </c>
      <c r="G2586" t="s">
        <v>5359</v>
      </c>
    </row>
    <row r="2587" spans="1:7">
      <c r="A2587">
        <v>1001</v>
      </c>
      <c r="B2587">
        <v>6</v>
      </c>
      <c r="C2587" s="6">
        <v>1001</v>
      </c>
      <c r="D2587" t="s">
        <v>5360</v>
      </c>
      <c r="E2587" t="s">
        <v>5342</v>
      </c>
      <c r="F2587">
        <v>617026</v>
      </c>
      <c r="G2587" s="6" t="s">
        <v>5361</v>
      </c>
    </row>
    <row r="2588" spans="1:7">
      <c r="A2588" s="25">
        <v>1001</v>
      </c>
      <c r="B2588" s="25">
        <v>6</v>
      </c>
      <c r="C2588" s="25">
        <v>1001</v>
      </c>
      <c r="D2588" t="s">
        <v>5362</v>
      </c>
      <c r="E2588" t="s">
        <v>5344</v>
      </c>
      <c r="F2588">
        <v>617027</v>
      </c>
      <c r="G2588" s="6" t="s">
        <v>5363</v>
      </c>
    </row>
    <row r="2589" spans="1:7">
      <c r="A2589" s="25">
        <v>1001</v>
      </c>
      <c r="B2589" s="25">
        <v>6</v>
      </c>
      <c r="C2589" s="25">
        <v>1001</v>
      </c>
      <c r="D2589" t="s">
        <v>5364</v>
      </c>
      <c r="E2589" t="s">
        <v>5346</v>
      </c>
      <c r="F2589">
        <v>617028</v>
      </c>
      <c r="G2589" s="6" t="s">
        <v>5365</v>
      </c>
    </row>
    <row r="2590" s="6" customFormat="1" spans="1:7">
      <c r="A2590" s="25">
        <v>1001</v>
      </c>
      <c r="B2590" s="25">
        <v>6</v>
      </c>
      <c r="C2590" s="25">
        <v>1001</v>
      </c>
      <c r="D2590" s="6" t="s">
        <v>5366</v>
      </c>
      <c r="E2590" s="6" t="s">
        <v>5348</v>
      </c>
      <c r="F2590" s="6">
        <v>617029</v>
      </c>
      <c r="G2590" s="6" t="s">
        <v>5367</v>
      </c>
    </row>
    <row r="2591" s="6" customFormat="1" spans="1:7">
      <c r="A2591" s="6">
        <v>1001</v>
      </c>
      <c r="B2591" s="25">
        <v>6</v>
      </c>
      <c r="C2591" s="25">
        <v>1001</v>
      </c>
      <c r="D2591" s="6" t="s">
        <v>5368</v>
      </c>
      <c r="E2591" s="6" t="s">
        <v>5350</v>
      </c>
      <c r="F2591" s="6">
        <v>617030</v>
      </c>
      <c r="G2591" s="25" t="s">
        <v>5369</v>
      </c>
    </row>
    <row r="2592" s="6" customFormat="1" spans="1:7">
      <c r="A2592" s="6">
        <v>1001</v>
      </c>
      <c r="B2592" s="6">
        <v>6</v>
      </c>
      <c r="C2592" s="6">
        <v>1001</v>
      </c>
      <c r="D2592" s="6" t="s">
        <v>5370</v>
      </c>
      <c r="E2592" s="6" t="s">
        <v>5352</v>
      </c>
      <c r="F2592" s="6">
        <v>617031</v>
      </c>
      <c r="G2592" s="6" t="s">
        <v>5371</v>
      </c>
    </row>
    <row r="2593" s="6" customFormat="1" spans="1:7">
      <c r="A2593" s="25">
        <v>1001</v>
      </c>
      <c r="B2593" s="25">
        <v>6</v>
      </c>
      <c r="C2593" s="25">
        <v>1001</v>
      </c>
      <c r="D2593" s="25" t="s">
        <v>5372</v>
      </c>
      <c r="E2593" s="6" t="s">
        <v>5354</v>
      </c>
      <c r="F2593" s="6">
        <v>617032</v>
      </c>
      <c r="G2593" s="25" t="s">
        <v>5373</v>
      </c>
    </row>
    <row r="2594" s="6" customFormat="1" spans="1:7">
      <c r="A2594" s="25">
        <v>1001</v>
      </c>
      <c r="B2594" s="25">
        <v>6</v>
      </c>
      <c r="C2594" s="25">
        <v>1001</v>
      </c>
      <c r="D2594" s="25" t="s">
        <v>5374</v>
      </c>
      <c r="E2594" s="6" t="s">
        <v>5356</v>
      </c>
      <c r="F2594" s="6">
        <v>617033</v>
      </c>
      <c r="G2594" s="25" t="s">
        <v>5375</v>
      </c>
    </row>
    <row r="2595" s="6" customFormat="1" spans="1:7">
      <c r="A2595" s="25">
        <v>1001</v>
      </c>
      <c r="B2595" s="25">
        <v>6</v>
      </c>
      <c r="C2595" s="25">
        <v>1001</v>
      </c>
      <c r="D2595" s="25" t="s">
        <v>5376</v>
      </c>
      <c r="E2595" s="6" t="s">
        <v>5358</v>
      </c>
      <c r="F2595" s="6">
        <v>617034</v>
      </c>
      <c r="G2595" s="25" t="s">
        <v>5377</v>
      </c>
    </row>
    <row r="2596" s="6" customFormat="1" spans="1:7">
      <c r="A2596" s="25">
        <v>1001</v>
      </c>
      <c r="B2596" s="25">
        <v>1</v>
      </c>
      <c r="C2596" s="25">
        <v>1001</v>
      </c>
      <c r="D2596" s="29" t="s">
        <v>5378</v>
      </c>
      <c r="E2596" s="6" t="s">
        <v>5379</v>
      </c>
      <c r="F2596" s="6">
        <v>617035</v>
      </c>
      <c r="G2596" s="25" t="s">
        <v>5380</v>
      </c>
    </row>
    <row r="2597" s="6" customFormat="1" spans="1:7">
      <c r="A2597" s="25">
        <v>1001</v>
      </c>
      <c r="B2597" s="25">
        <v>1</v>
      </c>
      <c r="C2597" s="25">
        <v>1001</v>
      </c>
      <c r="D2597" s="29" t="s">
        <v>5381</v>
      </c>
      <c r="E2597" s="6" t="s">
        <v>5382</v>
      </c>
      <c r="F2597" s="6">
        <v>617036</v>
      </c>
      <c r="G2597" s="25" t="s">
        <v>5383</v>
      </c>
    </row>
    <row r="2598" s="6" customFormat="1" spans="1:7">
      <c r="A2598" s="25">
        <v>1001</v>
      </c>
      <c r="B2598" s="25">
        <v>6</v>
      </c>
      <c r="C2598" s="25">
        <v>1001</v>
      </c>
      <c r="D2598" s="25" t="s">
        <v>5384</v>
      </c>
      <c r="E2598" s="6" t="s">
        <v>4483</v>
      </c>
      <c r="F2598" s="6">
        <v>617037</v>
      </c>
      <c r="G2598" s="25" t="s">
        <v>5385</v>
      </c>
    </row>
    <row r="2599" s="6" customFormat="1" spans="1:7">
      <c r="A2599" s="25">
        <v>1001</v>
      </c>
      <c r="B2599" s="25">
        <v>2</v>
      </c>
      <c r="C2599" s="25">
        <v>1001</v>
      </c>
      <c r="D2599" s="25" t="s">
        <v>5386</v>
      </c>
      <c r="E2599" s="6" t="s">
        <v>5366</v>
      </c>
      <c r="F2599" s="6">
        <v>617038</v>
      </c>
      <c r="G2599" s="25" t="s">
        <v>5387</v>
      </c>
    </row>
    <row r="2600" s="6" customFormat="1" spans="1:7">
      <c r="A2600" s="25">
        <v>1001</v>
      </c>
      <c r="B2600" s="25">
        <v>6</v>
      </c>
      <c r="C2600" s="25">
        <v>1001</v>
      </c>
      <c r="D2600" s="25" t="s">
        <v>5035</v>
      </c>
      <c r="E2600" s="25" t="s">
        <v>4483</v>
      </c>
      <c r="F2600" s="25">
        <v>617039</v>
      </c>
      <c r="G2600" s="25" t="s">
        <v>5388</v>
      </c>
    </row>
    <row r="2601" s="6" customFormat="1" spans="1:7">
      <c r="A2601" s="25">
        <v>1001</v>
      </c>
      <c r="B2601" s="25">
        <v>6</v>
      </c>
      <c r="C2601" s="25">
        <v>1001</v>
      </c>
      <c r="D2601" s="25" t="s">
        <v>5389</v>
      </c>
      <c r="E2601" s="6" t="s">
        <v>4483</v>
      </c>
      <c r="F2601" s="6">
        <v>617040</v>
      </c>
      <c r="G2601" s="25" t="s">
        <v>5390</v>
      </c>
    </row>
    <row r="2602" s="6" customFormat="1" spans="1:7">
      <c r="A2602" s="25">
        <v>1001</v>
      </c>
      <c r="B2602" s="25">
        <v>6</v>
      </c>
      <c r="C2602" s="25">
        <v>1001</v>
      </c>
      <c r="D2602" s="25" t="s">
        <v>5391</v>
      </c>
      <c r="E2602" s="25" t="s">
        <v>4483</v>
      </c>
      <c r="F2602" s="25">
        <v>617041</v>
      </c>
      <c r="G2602" s="25" t="s">
        <v>5392</v>
      </c>
    </row>
    <row r="2603" s="6" customFormat="1" spans="1:7">
      <c r="A2603" s="25">
        <v>1001</v>
      </c>
      <c r="B2603" s="25">
        <v>6</v>
      </c>
      <c r="C2603" s="25">
        <v>1001</v>
      </c>
      <c r="D2603" s="25" t="s">
        <v>5393</v>
      </c>
      <c r="E2603" s="25" t="s">
        <v>5394</v>
      </c>
      <c r="F2603" s="25">
        <v>617042</v>
      </c>
      <c r="G2603" s="25" t="s">
        <v>5395</v>
      </c>
    </row>
    <row r="2604" s="6" customFormat="1" spans="1:7">
      <c r="A2604" s="25">
        <v>1001</v>
      </c>
      <c r="B2604" s="25">
        <v>6</v>
      </c>
      <c r="C2604" s="25">
        <v>1001</v>
      </c>
      <c r="D2604" s="25" t="s">
        <v>5035</v>
      </c>
      <c r="E2604" s="25" t="s">
        <v>4431</v>
      </c>
      <c r="F2604" s="25">
        <v>617043</v>
      </c>
      <c r="G2604" s="25" t="s">
        <v>5396</v>
      </c>
    </row>
    <row r="2605" s="6" customFormat="1" spans="1:7">
      <c r="A2605" s="25">
        <v>1001</v>
      </c>
      <c r="B2605" s="25">
        <v>6</v>
      </c>
      <c r="C2605" s="25">
        <v>1001</v>
      </c>
      <c r="D2605" s="25" t="s">
        <v>5035</v>
      </c>
      <c r="E2605" s="25" t="s">
        <v>5378</v>
      </c>
      <c r="F2605" s="25">
        <v>617044</v>
      </c>
      <c r="G2605" s="25" t="s">
        <v>5397</v>
      </c>
    </row>
    <row r="2606" s="6" customFormat="1" spans="1:7">
      <c r="A2606" s="25">
        <v>1001</v>
      </c>
      <c r="B2606" s="25">
        <v>6</v>
      </c>
      <c r="C2606" s="25">
        <v>1001</v>
      </c>
      <c r="D2606" s="25" t="s">
        <v>5398</v>
      </c>
      <c r="E2606" s="25" t="s">
        <v>5381</v>
      </c>
      <c r="F2606" s="25">
        <v>617045</v>
      </c>
      <c r="G2606" s="25" t="s">
        <v>5399</v>
      </c>
    </row>
    <row r="2607" s="6" customFormat="1" spans="1:7">
      <c r="A2607" s="25">
        <v>1001</v>
      </c>
      <c r="B2607" s="25">
        <v>6</v>
      </c>
      <c r="C2607" s="25">
        <v>1001</v>
      </c>
      <c r="D2607" s="25" t="s">
        <v>5400</v>
      </c>
      <c r="E2607" s="25" t="s">
        <v>5384</v>
      </c>
      <c r="F2607" s="25">
        <v>617046</v>
      </c>
      <c r="G2607" s="25" t="s">
        <v>5401</v>
      </c>
    </row>
    <row r="2608" s="6" customFormat="1" spans="1:7">
      <c r="A2608" s="25">
        <v>1001</v>
      </c>
      <c r="B2608" s="25">
        <v>1</v>
      </c>
      <c r="C2608" s="25">
        <v>1001</v>
      </c>
      <c r="D2608" s="6" t="s">
        <v>1890</v>
      </c>
      <c r="E2608" s="25" t="s">
        <v>5386</v>
      </c>
      <c r="F2608" s="25">
        <v>617047</v>
      </c>
      <c r="G2608" s="6" t="s">
        <v>1891</v>
      </c>
    </row>
    <row r="2609" s="6" customFormat="1" spans="1:7">
      <c r="A2609" s="25">
        <v>1001</v>
      </c>
      <c r="B2609" s="25">
        <v>1</v>
      </c>
      <c r="C2609" s="25">
        <v>1001</v>
      </c>
      <c r="D2609" s="6" t="s">
        <v>1892</v>
      </c>
      <c r="E2609" s="25" t="s">
        <v>5035</v>
      </c>
      <c r="F2609" s="25">
        <v>617048</v>
      </c>
      <c r="G2609" s="6" t="s">
        <v>1893</v>
      </c>
    </row>
    <row r="2610" s="6" customFormat="1" spans="1:7">
      <c r="A2610" s="25">
        <v>1001</v>
      </c>
      <c r="B2610" s="6">
        <v>6</v>
      </c>
      <c r="C2610" s="25">
        <v>1001</v>
      </c>
      <c r="D2610" s="6" t="s">
        <v>5402</v>
      </c>
      <c r="E2610" s="25" t="s">
        <v>5389</v>
      </c>
      <c r="F2610" s="25">
        <v>617049</v>
      </c>
      <c r="G2610" s="6" t="s">
        <v>5403</v>
      </c>
    </row>
    <row r="2611" s="6" customFormat="1" spans="1:7">
      <c r="A2611" s="25">
        <v>1001</v>
      </c>
      <c r="B2611" s="6">
        <v>6</v>
      </c>
      <c r="C2611" s="25">
        <v>1001</v>
      </c>
      <c r="D2611" s="6" t="s">
        <v>5404</v>
      </c>
      <c r="E2611" s="25" t="s">
        <v>5391</v>
      </c>
      <c r="F2611" s="25">
        <v>617050</v>
      </c>
      <c r="G2611" s="6" t="s">
        <v>5405</v>
      </c>
    </row>
    <row r="2612" s="6" customFormat="1" spans="1:7">
      <c r="A2612" s="25">
        <v>1001</v>
      </c>
      <c r="B2612" s="6">
        <v>6</v>
      </c>
      <c r="C2612" s="25">
        <v>1001</v>
      </c>
      <c r="D2612" s="6" t="s">
        <v>5406</v>
      </c>
      <c r="E2612" s="25" t="s">
        <v>4483</v>
      </c>
      <c r="F2612" s="25">
        <v>617051</v>
      </c>
      <c r="G2612" s="6" t="s">
        <v>5407</v>
      </c>
    </row>
    <row r="2613" s="6" customFormat="1" spans="1:7">
      <c r="A2613" s="25">
        <v>1001</v>
      </c>
      <c r="B2613" s="6">
        <v>6</v>
      </c>
      <c r="C2613" s="25">
        <v>1001</v>
      </c>
      <c r="D2613" s="6" t="s">
        <v>5408</v>
      </c>
      <c r="E2613" s="25" t="s">
        <v>5035</v>
      </c>
      <c r="F2613" s="25">
        <v>617052</v>
      </c>
      <c r="G2613" s="6" t="s">
        <v>5409</v>
      </c>
    </row>
    <row r="2614" s="6" customFormat="1" spans="1:7">
      <c r="A2614" s="6">
        <v>1001</v>
      </c>
      <c r="B2614" s="6">
        <v>6</v>
      </c>
      <c r="C2614" s="6">
        <v>1001</v>
      </c>
      <c r="D2614" s="6" t="s">
        <v>5410</v>
      </c>
      <c r="E2614" s="25" t="s">
        <v>5035</v>
      </c>
      <c r="F2614" s="25">
        <v>617053</v>
      </c>
      <c r="G2614" s="6" t="s">
        <v>5411</v>
      </c>
    </row>
    <row r="2615" s="6" customFormat="1" spans="1:7">
      <c r="A2615" s="25">
        <v>1001</v>
      </c>
      <c r="B2615" s="6">
        <v>6</v>
      </c>
      <c r="C2615" s="25">
        <v>1001</v>
      </c>
      <c r="D2615" s="6" t="s">
        <v>5412</v>
      </c>
      <c r="E2615" s="25" t="s">
        <v>4483</v>
      </c>
      <c r="F2615" s="25">
        <v>617054</v>
      </c>
      <c r="G2615" s="6" t="s">
        <v>5413</v>
      </c>
    </row>
    <row r="2616" s="6" customFormat="1" spans="1:7">
      <c r="A2616" s="6">
        <v>1001</v>
      </c>
      <c r="B2616" s="6">
        <v>6</v>
      </c>
      <c r="C2616" s="6">
        <v>1001</v>
      </c>
      <c r="D2616" s="6" t="s">
        <v>5414</v>
      </c>
      <c r="E2616" s="25" t="s">
        <v>5035</v>
      </c>
      <c r="F2616" s="25">
        <v>617055</v>
      </c>
      <c r="G2616" s="6" t="s">
        <v>5415</v>
      </c>
    </row>
    <row r="2617" s="6" customFormat="1" spans="1:7">
      <c r="A2617" s="25">
        <v>1001</v>
      </c>
      <c r="B2617" s="6">
        <v>6</v>
      </c>
      <c r="C2617" s="25">
        <v>1001</v>
      </c>
      <c r="D2617" s="6" t="s">
        <v>5416</v>
      </c>
      <c r="E2617" s="27" t="s">
        <v>5417</v>
      </c>
      <c r="F2617" s="6">
        <v>618001</v>
      </c>
      <c r="G2617" s="6" t="s">
        <v>5418</v>
      </c>
    </row>
    <row r="2618" s="6" customFormat="1" spans="1:7">
      <c r="A2618" s="25">
        <v>1001</v>
      </c>
      <c r="B2618" s="25">
        <v>6</v>
      </c>
      <c r="C2618" s="25">
        <v>1001</v>
      </c>
      <c r="D2618" s="25" t="s">
        <v>5419</v>
      </c>
      <c r="E2618" s="27" t="s">
        <v>5420</v>
      </c>
      <c r="F2618" s="6">
        <v>618002</v>
      </c>
      <c r="G2618" s="25" t="s">
        <v>5421</v>
      </c>
    </row>
    <row r="2619" s="6" customFormat="1" spans="1:7">
      <c r="A2619" s="25">
        <v>1001</v>
      </c>
      <c r="B2619" s="25">
        <v>6</v>
      </c>
      <c r="C2619" s="25">
        <v>1001</v>
      </c>
      <c r="D2619" s="25" t="s">
        <v>5422</v>
      </c>
      <c r="E2619" s="6" t="s">
        <v>5402</v>
      </c>
      <c r="F2619" s="6">
        <v>618003</v>
      </c>
      <c r="G2619" s="25" t="s">
        <v>5423</v>
      </c>
    </row>
    <row r="2620" s="6" customFormat="1" spans="1:7">
      <c r="A2620" s="25">
        <v>1001</v>
      </c>
      <c r="B2620" s="25">
        <v>6</v>
      </c>
      <c r="C2620" s="25">
        <v>1001</v>
      </c>
      <c r="D2620" s="25" t="s">
        <v>5424</v>
      </c>
      <c r="E2620" s="6" t="s">
        <v>5404</v>
      </c>
      <c r="F2620" s="6">
        <v>618004</v>
      </c>
      <c r="G2620" s="25" t="s">
        <v>5425</v>
      </c>
    </row>
    <row r="2621" s="6" customFormat="1" spans="1:7">
      <c r="A2621" s="25">
        <v>1001</v>
      </c>
      <c r="B2621" s="25">
        <v>1</v>
      </c>
      <c r="C2621" s="25">
        <v>1001</v>
      </c>
      <c r="D2621" s="29" t="s">
        <v>5426</v>
      </c>
      <c r="E2621" s="6" t="s">
        <v>5406</v>
      </c>
      <c r="F2621" s="6">
        <v>618005</v>
      </c>
      <c r="G2621" s="25" t="s">
        <v>5427</v>
      </c>
    </row>
    <row r="2622" s="6" customFormat="1" spans="1:7">
      <c r="A2622" s="25">
        <v>1001</v>
      </c>
      <c r="B2622" s="25">
        <v>1</v>
      </c>
      <c r="C2622" s="25">
        <v>1001</v>
      </c>
      <c r="D2622" s="29" t="s">
        <v>5428</v>
      </c>
      <c r="E2622" s="6" t="s">
        <v>5408</v>
      </c>
      <c r="F2622" s="6">
        <v>618006</v>
      </c>
      <c r="G2622" s="25" t="s">
        <v>5429</v>
      </c>
    </row>
    <row r="2623" s="6" customFormat="1" spans="1:7">
      <c r="A2623" s="25">
        <v>1001</v>
      </c>
      <c r="B2623" s="25">
        <v>6</v>
      </c>
      <c r="C2623" s="25">
        <v>1001</v>
      </c>
      <c r="D2623" s="25" t="s">
        <v>5430</v>
      </c>
      <c r="E2623" s="6" t="s">
        <v>5410</v>
      </c>
      <c r="F2623" s="6">
        <v>619001</v>
      </c>
      <c r="G2623" s="25" t="s">
        <v>5431</v>
      </c>
    </row>
    <row r="2624" s="6" customFormat="1" spans="1:7">
      <c r="A2624" s="6">
        <v>1001</v>
      </c>
      <c r="B2624" s="6">
        <v>6</v>
      </c>
      <c r="C2624" s="6">
        <v>1001</v>
      </c>
      <c r="D2624" s="6" t="s">
        <v>5432</v>
      </c>
      <c r="E2624" s="6" t="s">
        <v>5412</v>
      </c>
      <c r="F2624" s="6">
        <v>619002</v>
      </c>
      <c r="G2624" s="6" t="s">
        <v>5433</v>
      </c>
    </row>
    <row r="2625" s="6" customFormat="1" spans="1:7">
      <c r="A2625" s="25">
        <v>1001</v>
      </c>
      <c r="B2625" s="6">
        <v>6</v>
      </c>
      <c r="C2625" s="25">
        <v>1001</v>
      </c>
      <c r="D2625" s="6" t="s">
        <v>5434</v>
      </c>
      <c r="E2625" s="6" t="s">
        <v>5414</v>
      </c>
      <c r="F2625" s="6">
        <v>619003</v>
      </c>
      <c r="G2625" s="6" t="s">
        <v>5435</v>
      </c>
    </row>
    <row r="2626" s="6" customFormat="1" spans="1:7">
      <c r="A2626" s="6">
        <v>1001</v>
      </c>
      <c r="B2626" s="6">
        <v>6</v>
      </c>
      <c r="C2626" s="6">
        <v>1001</v>
      </c>
      <c r="D2626" s="6" t="s">
        <v>5436</v>
      </c>
      <c r="E2626" s="6" t="s">
        <v>5416</v>
      </c>
      <c r="F2626" s="6">
        <v>619004</v>
      </c>
      <c r="G2626" s="6" t="s">
        <v>5437</v>
      </c>
    </row>
    <row r="2627" s="6" customFormat="1" spans="1:7">
      <c r="A2627" s="25">
        <v>1001</v>
      </c>
      <c r="B2627" s="25">
        <v>6</v>
      </c>
      <c r="C2627" s="25">
        <v>1001</v>
      </c>
      <c r="D2627" s="25" t="s">
        <v>5438</v>
      </c>
      <c r="E2627" s="25" t="s">
        <v>5419</v>
      </c>
      <c r="F2627" s="25">
        <v>619005</v>
      </c>
      <c r="G2627" s="25" t="s">
        <v>5439</v>
      </c>
    </row>
    <row r="2628" s="6" customFormat="1" spans="1:7">
      <c r="A2628" s="25">
        <v>1001</v>
      </c>
      <c r="B2628" s="25">
        <v>6</v>
      </c>
      <c r="C2628" s="25">
        <v>1001</v>
      </c>
      <c r="D2628" s="25" t="s">
        <v>5440</v>
      </c>
      <c r="E2628" s="25" t="s">
        <v>5422</v>
      </c>
      <c r="F2628" s="25">
        <v>619006</v>
      </c>
      <c r="G2628" s="25" t="s">
        <v>5441</v>
      </c>
    </row>
    <row r="2629" s="6" customFormat="1" spans="1:7">
      <c r="A2629" s="25">
        <v>1001</v>
      </c>
      <c r="B2629" s="25">
        <v>6</v>
      </c>
      <c r="C2629" s="25">
        <v>1001</v>
      </c>
      <c r="D2629" s="25" t="s">
        <v>5442</v>
      </c>
      <c r="E2629" s="25" t="s">
        <v>5424</v>
      </c>
      <c r="F2629" s="25">
        <v>619007</v>
      </c>
      <c r="G2629" s="25" t="s">
        <v>5443</v>
      </c>
    </row>
    <row r="2630" spans="1:7">
      <c r="A2630" s="25">
        <v>1001</v>
      </c>
      <c r="B2630" s="25">
        <v>6</v>
      </c>
      <c r="C2630" s="25">
        <v>1001</v>
      </c>
      <c r="D2630" s="25" t="s">
        <v>5444</v>
      </c>
      <c r="E2630" s="25" t="s">
        <v>5426</v>
      </c>
      <c r="F2630" s="25">
        <v>619008</v>
      </c>
      <c r="G2630" s="25" t="s">
        <v>5445</v>
      </c>
    </row>
    <row r="2631" s="6" customFormat="1" spans="1:7">
      <c r="A2631" s="25">
        <v>1001</v>
      </c>
      <c r="B2631" s="25">
        <v>6</v>
      </c>
      <c r="C2631" s="25">
        <v>1001</v>
      </c>
      <c r="D2631" s="25" t="s">
        <v>5446</v>
      </c>
      <c r="E2631" s="25" t="s">
        <v>5428</v>
      </c>
      <c r="F2631" s="25">
        <v>619009</v>
      </c>
      <c r="G2631" s="25" t="s">
        <v>5447</v>
      </c>
    </row>
    <row r="2632" s="6" customFormat="1" spans="1:7">
      <c r="A2632" s="25">
        <v>1001</v>
      </c>
      <c r="B2632" s="25">
        <v>1</v>
      </c>
      <c r="C2632" s="25">
        <v>1001</v>
      </c>
      <c r="D2632" s="25" t="s">
        <v>5448</v>
      </c>
      <c r="E2632" s="25" t="s">
        <v>5430</v>
      </c>
      <c r="F2632" s="25">
        <v>619010</v>
      </c>
      <c r="G2632" s="25" t="s">
        <v>5449</v>
      </c>
    </row>
    <row r="2633" s="6" customFormat="1" spans="1:7">
      <c r="A2633" s="25">
        <v>1001</v>
      </c>
      <c r="B2633" s="25">
        <v>6</v>
      </c>
      <c r="C2633" s="25">
        <v>1001</v>
      </c>
      <c r="D2633" s="25" t="s">
        <v>5450</v>
      </c>
      <c r="E2633" s="6" t="s">
        <v>5432</v>
      </c>
      <c r="F2633" s="6">
        <v>619011</v>
      </c>
      <c r="G2633" s="25" t="s">
        <v>5451</v>
      </c>
    </row>
    <row r="2634" s="6" customFormat="1" spans="1:7">
      <c r="A2634" s="25">
        <v>1001</v>
      </c>
      <c r="B2634" s="25">
        <v>6</v>
      </c>
      <c r="C2634" s="25">
        <v>1001</v>
      </c>
      <c r="D2634" s="25" t="s">
        <v>5452</v>
      </c>
      <c r="E2634" s="6" t="s">
        <v>5453</v>
      </c>
      <c r="F2634" s="6">
        <v>619012</v>
      </c>
      <c r="G2634" s="25" t="s">
        <v>5454</v>
      </c>
    </row>
    <row r="2635" s="6" customFormat="1" spans="1:7">
      <c r="A2635" s="25">
        <v>1001</v>
      </c>
      <c r="B2635" s="25">
        <v>1</v>
      </c>
      <c r="C2635" s="25">
        <v>1001</v>
      </c>
      <c r="D2635" s="25" t="s">
        <v>5455</v>
      </c>
      <c r="E2635" s="6" t="s">
        <v>5436</v>
      </c>
      <c r="F2635" s="6">
        <v>619013</v>
      </c>
      <c r="G2635" s="25" t="s">
        <v>5455</v>
      </c>
    </row>
    <row r="2636" s="6" customFormat="1" spans="1:7">
      <c r="A2636" s="25">
        <v>1001</v>
      </c>
      <c r="B2636" s="25">
        <v>6</v>
      </c>
      <c r="C2636" s="25">
        <v>1001</v>
      </c>
      <c r="D2636" s="25" t="s">
        <v>5456</v>
      </c>
      <c r="E2636" s="25" t="s">
        <v>5438</v>
      </c>
      <c r="F2636" s="25">
        <v>619014</v>
      </c>
      <c r="G2636" s="25" t="s">
        <v>5457</v>
      </c>
    </row>
    <row r="2637" s="6" customFormat="1" spans="1:7">
      <c r="A2637" s="25">
        <v>1001</v>
      </c>
      <c r="B2637" s="25">
        <v>1</v>
      </c>
      <c r="C2637" s="25">
        <v>1001</v>
      </c>
      <c r="D2637" s="25" t="s">
        <v>5458</v>
      </c>
      <c r="E2637" s="25" t="s">
        <v>5440</v>
      </c>
      <c r="F2637" s="25">
        <v>619015</v>
      </c>
      <c r="G2637" s="25" t="s">
        <v>5459</v>
      </c>
    </row>
    <row r="2638" s="6" customFormat="1" spans="1:7">
      <c r="A2638" s="6">
        <v>1001</v>
      </c>
      <c r="B2638" s="6">
        <v>1</v>
      </c>
      <c r="C2638" s="6">
        <v>1001</v>
      </c>
      <c r="D2638" s="6" t="s">
        <v>5460</v>
      </c>
      <c r="E2638" s="25" t="s">
        <v>5035</v>
      </c>
      <c r="F2638" s="25">
        <v>619016</v>
      </c>
      <c r="G2638" s="6" t="s">
        <v>5461</v>
      </c>
    </row>
    <row r="2639" s="6" customFormat="1" spans="1:7">
      <c r="A2639" s="6">
        <v>1001</v>
      </c>
      <c r="B2639" s="6">
        <v>1</v>
      </c>
      <c r="C2639" s="6">
        <v>1001</v>
      </c>
      <c r="D2639" s="6" t="s">
        <v>5462</v>
      </c>
      <c r="E2639" s="25" t="s">
        <v>4643</v>
      </c>
      <c r="F2639" s="25">
        <v>619017</v>
      </c>
      <c r="G2639" s="6" t="s">
        <v>5463</v>
      </c>
    </row>
    <row r="2640" s="6" customFormat="1" spans="1:7">
      <c r="A2640" s="25">
        <v>1001</v>
      </c>
      <c r="B2640" s="25">
        <v>6</v>
      </c>
      <c r="C2640" s="25">
        <v>1001</v>
      </c>
      <c r="D2640" s="25" t="s">
        <v>5464</v>
      </c>
      <c r="E2640" s="25" t="s">
        <v>5148</v>
      </c>
      <c r="F2640" s="25">
        <v>619018</v>
      </c>
      <c r="G2640" s="25" t="s">
        <v>5465</v>
      </c>
    </row>
    <row r="2641" s="6" customFormat="1" spans="1:7">
      <c r="A2641" s="25">
        <v>1001</v>
      </c>
      <c r="B2641" s="25">
        <v>6</v>
      </c>
      <c r="C2641" s="25">
        <v>1001</v>
      </c>
      <c r="D2641" s="25" t="s">
        <v>5466</v>
      </c>
      <c r="E2641" s="25" t="s">
        <v>5448</v>
      </c>
      <c r="F2641" s="25">
        <v>619019</v>
      </c>
      <c r="G2641" s="25" t="s">
        <v>5467</v>
      </c>
    </row>
    <row r="2642" s="6" customFormat="1" spans="1:7">
      <c r="A2642" s="25">
        <v>1001</v>
      </c>
      <c r="B2642" s="25">
        <v>6</v>
      </c>
      <c r="C2642" s="25">
        <v>1001</v>
      </c>
      <c r="D2642" s="25" t="s">
        <v>5468</v>
      </c>
      <c r="E2642" s="25" t="s">
        <v>5450</v>
      </c>
      <c r="F2642" s="25">
        <v>619020</v>
      </c>
      <c r="G2642" s="25" t="s">
        <v>5469</v>
      </c>
    </row>
    <row r="2643" s="6" customFormat="1" spans="1:7">
      <c r="A2643" s="25">
        <v>1001</v>
      </c>
      <c r="B2643" s="25">
        <v>6</v>
      </c>
      <c r="C2643" s="25">
        <v>1001</v>
      </c>
      <c r="D2643" s="25" t="s">
        <v>5470</v>
      </c>
      <c r="E2643" s="25" t="s">
        <v>5452</v>
      </c>
      <c r="F2643" s="25">
        <v>619021</v>
      </c>
      <c r="G2643" s="25" t="s">
        <v>5471</v>
      </c>
    </row>
    <row r="2644" s="6" customFormat="1" spans="1:7">
      <c r="A2644" s="25">
        <v>1001</v>
      </c>
      <c r="B2644" s="25">
        <v>6</v>
      </c>
      <c r="C2644" s="25">
        <v>1001</v>
      </c>
      <c r="D2644" s="25" t="s">
        <v>5472</v>
      </c>
      <c r="E2644" s="25" t="s">
        <v>5455</v>
      </c>
      <c r="F2644" s="25">
        <v>619022</v>
      </c>
      <c r="G2644" s="25" t="s">
        <v>5473</v>
      </c>
    </row>
    <row r="2645" s="6" customFormat="1" spans="1:7">
      <c r="A2645" s="6">
        <v>1001</v>
      </c>
      <c r="B2645" s="6">
        <v>6</v>
      </c>
      <c r="C2645" s="6">
        <v>1001</v>
      </c>
      <c r="D2645" s="6" t="s">
        <v>5474</v>
      </c>
      <c r="E2645" s="25" t="s">
        <v>5475</v>
      </c>
      <c r="F2645" s="25">
        <v>619023</v>
      </c>
      <c r="G2645" s="6" t="s">
        <v>5476</v>
      </c>
    </row>
    <row r="2646" s="6" customFormat="1" spans="1:7">
      <c r="A2646" s="25">
        <v>1001</v>
      </c>
      <c r="B2646" s="25">
        <v>1</v>
      </c>
      <c r="C2646" s="25">
        <v>1001</v>
      </c>
      <c r="D2646" s="30" t="s">
        <v>5477</v>
      </c>
      <c r="E2646" s="25" t="s">
        <v>5458</v>
      </c>
      <c r="F2646" s="25">
        <v>619024</v>
      </c>
      <c r="G2646" s="6" t="s">
        <v>5478</v>
      </c>
    </row>
    <row r="2647" s="6" customFormat="1" spans="1:7">
      <c r="A2647" s="25">
        <v>1001</v>
      </c>
      <c r="B2647" s="25">
        <v>1</v>
      </c>
      <c r="C2647" s="25">
        <v>1001</v>
      </c>
      <c r="D2647" s="30" t="s">
        <v>5479</v>
      </c>
      <c r="E2647" s="6" t="s">
        <v>5460</v>
      </c>
      <c r="F2647" s="6">
        <v>619025</v>
      </c>
      <c r="G2647" s="6" t="s">
        <v>5480</v>
      </c>
    </row>
    <row r="2648" s="6" customFormat="1" spans="1:7">
      <c r="A2648" s="6">
        <v>1001</v>
      </c>
      <c r="B2648" s="6">
        <v>6</v>
      </c>
      <c r="C2648" s="6">
        <v>1001</v>
      </c>
      <c r="D2648" s="6" t="s">
        <v>5481</v>
      </c>
      <c r="E2648" s="6" t="s">
        <v>5462</v>
      </c>
      <c r="F2648" s="6">
        <v>619026</v>
      </c>
      <c r="G2648" s="6" t="s">
        <v>4971</v>
      </c>
    </row>
    <row r="2649" s="6" customFormat="1" spans="1:7">
      <c r="A2649" s="6">
        <v>1001</v>
      </c>
      <c r="B2649" s="6">
        <v>1</v>
      </c>
      <c r="C2649" s="6">
        <v>1001</v>
      </c>
      <c r="D2649" s="6" t="s">
        <v>5482</v>
      </c>
      <c r="E2649" s="25" t="s">
        <v>5464</v>
      </c>
      <c r="F2649" s="6">
        <v>619027</v>
      </c>
      <c r="G2649" s="6" t="s">
        <v>5483</v>
      </c>
    </row>
    <row r="2650" s="6" customFormat="1" spans="1:7">
      <c r="A2650" s="6">
        <v>1001</v>
      </c>
      <c r="B2650" s="6">
        <v>6</v>
      </c>
      <c r="C2650" s="6">
        <v>1001</v>
      </c>
      <c r="D2650" s="6" t="s">
        <v>5484</v>
      </c>
      <c r="E2650" s="25" t="s">
        <v>5466</v>
      </c>
      <c r="F2650" s="6">
        <v>619028</v>
      </c>
      <c r="G2650" s="6" t="s">
        <v>5485</v>
      </c>
    </row>
    <row r="2651" s="6" customFormat="1" spans="1:7">
      <c r="A2651" s="6">
        <v>1001</v>
      </c>
      <c r="B2651" s="6">
        <v>6</v>
      </c>
      <c r="C2651" s="6">
        <v>1001</v>
      </c>
      <c r="D2651" s="6" t="s">
        <v>5486</v>
      </c>
      <c r="E2651" s="25" t="s">
        <v>5468</v>
      </c>
      <c r="F2651" s="6">
        <v>619029</v>
      </c>
      <c r="G2651" s="6" t="s">
        <v>5487</v>
      </c>
    </row>
    <row r="2652" s="6" customFormat="1" spans="1:7">
      <c r="A2652" s="6">
        <v>1001</v>
      </c>
      <c r="B2652" s="6">
        <v>6</v>
      </c>
      <c r="C2652" s="6">
        <v>1001</v>
      </c>
      <c r="D2652" s="6" t="s">
        <v>5488</v>
      </c>
      <c r="E2652" s="25" t="s">
        <v>5470</v>
      </c>
      <c r="F2652" s="6">
        <v>619030</v>
      </c>
      <c r="G2652" s="6" t="s">
        <v>5489</v>
      </c>
    </row>
    <row r="2653" s="6" customFormat="1" spans="1:7">
      <c r="A2653" s="25">
        <v>1001</v>
      </c>
      <c r="B2653" s="25">
        <v>6</v>
      </c>
      <c r="C2653" s="25">
        <v>1001</v>
      </c>
      <c r="D2653" s="25" t="s">
        <v>5490</v>
      </c>
      <c r="E2653" s="25" t="s">
        <v>5472</v>
      </c>
      <c r="F2653" s="6">
        <v>619031</v>
      </c>
      <c r="G2653" s="25" t="s">
        <v>5491</v>
      </c>
    </row>
    <row r="2654" s="6" customFormat="1" spans="1:7">
      <c r="A2654" s="25">
        <v>1001</v>
      </c>
      <c r="B2654" s="25">
        <v>6</v>
      </c>
      <c r="C2654" s="25">
        <v>1001</v>
      </c>
      <c r="D2654" s="25" t="s">
        <v>5492</v>
      </c>
      <c r="E2654" s="6" t="s">
        <v>5474</v>
      </c>
      <c r="F2654" s="6">
        <v>619032</v>
      </c>
      <c r="G2654" s="25" t="s">
        <v>5493</v>
      </c>
    </row>
    <row r="2655" s="6" customFormat="1" spans="1:7">
      <c r="A2655" s="25">
        <v>1001</v>
      </c>
      <c r="B2655" s="25">
        <v>6</v>
      </c>
      <c r="C2655" s="25">
        <v>1001</v>
      </c>
      <c r="D2655" s="25" t="s">
        <v>5494</v>
      </c>
      <c r="E2655" s="30" t="s">
        <v>5477</v>
      </c>
      <c r="F2655" s="6">
        <v>619033</v>
      </c>
      <c r="G2655" s="25" t="s">
        <v>5495</v>
      </c>
    </row>
    <row r="2656" s="6" customFormat="1" spans="1:7">
      <c r="A2656" s="25">
        <v>1001</v>
      </c>
      <c r="B2656" s="25">
        <v>6</v>
      </c>
      <c r="C2656" s="25">
        <v>1001</v>
      </c>
      <c r="D2656" s="25" t="s">
        <v>5496</v>
      </c>
      <c r="E2656" s="30" t="s">
        <v>5479</v>
      </c>
      <c r="F2656" s="6">
        <v>619034</v>
      </c>
      <c r="G2656" s="25" t="s">
        <v>5497</v>
      </c>
    </row>
    <row r="2657" s="6" customFormat="1" spans="1:7">
      <c r="A2657" s="25">
        <v>1001</v>
      </c>
      <c r="B2657" s="25">
        <v>6</v>
      </c>
      <c r="C2657" s="25">
        <v>1001</v>
      </c>
      <c r="D2657" s="25" t="s">
        <v>5498</v>
      </c>
      <c r="E2657" s="6" t="s">
        <v>4970</v>
      </c>
      <c r="F2657" s="6">
        <v>619035</v>
      </c>
      <c r="G2657" s="25" t="s">
        <v>5499</v>
      </c>
    </row>
    <row r="2658" s="6" customFormat="1" spans="1:7">
      <c r="A2658" s="25">
        <v>1001</v>
      </c>
      <c r="B2658" s="25">
        <v>6</v>
      </c>
      <c r="C2658" s="25">
        <v>1001</v>
      </c>
      <c r="D2658" s="25" t="s">
        <v>5472</v>
      </c>
      <c r="E2658" s="6" t="s">
        <v>5482</v>
      </c>
      <c r="F2658" s="6">
        <v>619036</v>
      </c>
      <c r="G2658" s="25" t="s">
        <v>5473</v>
      </c>
    </row>
    <row r="2659" s="6" customFormat="1" spans="1:7">
      <c r="A2659" s="25">
        <v>1001</v>
      </c>
      <c r="B2659" s="25">
        <v>6</v>
      </c>
      <c r="C2659" s="25">
        <v>1001</v>
      </c>
      <c r="D2659" s="25" t="s">
        <v>5500</v>
      </c>
      <c r="E2659" s="6" t="s">
        <v>5484</v>
      </c>
      <c r="F2659" s="6">
        <v>619037</v>
      </c>
      <c r="G2659" s="25" t="s">
        <v>5501</v>
      </c>
    </row>
    <row r="2660" s="6" customFormat="1" spans="1:7">
      <c r="A2660" s="25">
        <v>1001</v>
      </c>
      <c r="B2660" s="25">
        <v>6</v>
      </c>
      <c r="C2660" s="25">
        <v>1001</v>
      </c>
      <c r="D2660" s="25" t="s">
        <v>5502</v>
      </c>
      <c r="E2660" s="6" t="s">
        <v>5486</v>
      </c>
      <c r="F2660" s="6">
        <v>619038</v>
      </c>
      <c r="G2660" s="25" t="s">
        <v>5503</v>
      </c>
    </row>
    <row r="2661" s="6" customFormat="1" spans="1:7">
      <c r="A2661" s="6">
        <v>1001</v>
      </c>
      <c r="B2661" s="6">
        <v>6</v>
      </c>
      <c r="C2661" s="6">
        <v>1001</v>
      </c>
      <c r="D2661" s="6" t="s">
        <v>5486</v>
      </c>
      <c r="E2661" s="6" t="s">
        <v>5488</v>
      </c>
      <c r="F2661" s="6">
        <v>619039</v>
      </c>
      <c r="G2661" s="6" t="s">
        <v>5504</v>
      </c>
    </row>
    <row r="2662" s="6" customFormat="1" spans="1:7">
      <c r="A2662" s="6">
        <v>1001</v>
      </c>
      <c r="B2662" s="6">
        <v>6</v>
      </c>
      <c r="C2662" s="6">
        <v>1001</v>
      </c>
      <c r="D2662" s="6" t="s">
        <v>5486</v>
      </c>
      <c r="E2662" s="25" t="s">
        <v>5490</v>
      </c>
      <c r="F2662" s="6">
        <v>619040</v>
      </c>
      <c r="G2662" s="6" t="s">
        <v>5505</v>
      </c>
    </row>
    <row r="2663" s="6" customFormat="1" spans="1:7">
      <c r="A2663" s="6">
        <v>1001</v>
      </c>
      <c r="B2663" s="6">
        <v>6</v>
      </c>
      <c r="C2663" s="6">
        <v>1001</v>
      </c>
      <c r="D2663" s="6" t="s">
        <v>5506</v>
      </c>
      <c r="E2663" s="25" t="s">
        <v>5492</v>
      </c>
      <c r="F2663" s="6">
        <v>619041</v>
      </c>
      <c r="G2663" s="6" t="s">
        <v>5507</v>
      </c>
    </row>
    <row r="2664" s="6" customFormat="1" spans="1:7">
      <c r="A2664" s="6">
        <v>1001</v>
      </c>
      <c r="B2664" s="6">
        <v>1</v>
      </c>
      <c r="C2664" s="6">
        <v>1001</v>
      </c>
      <c r="D2664" s="6" t="s">
        <v>5508</v>
      </c>
      <c r="E2664" s="25" t="s">
        <v>5494</v>
      </c>
      <c r="F2664" s="6">
        <v>619042</v>
      </c>
      <c r="G2664" s="6" t="s">
        <v>5509</v>
      </c>
    </row>
    <row r="2665" s="6" customFormat="1" spans="1:7">
      <c r="A2665" s="6">
        <v>1001</v>
      </c>
      <c r="B2665" s="6">
        <v>1</v>
      </c>
      <c r="C2665" s="6">
        <v>1001</v>
      </c>
      <c r="D2665" s="6" t="s">
        <v>5510</v>
      </c>
      <c r="E2665" s="25" t="s">
        <v>5496</v>
      </c>
      <c r="F2665" s="6">
        <v>619043</v>
      </c>
      <c r="G2665" s="6" t="s">
        <v>5509</v>
      </c>
    </row>
    <row r="2666" s="6" customFormat="1" spans="1:7">
      <c r="A2666" s="6">
        <v>1001</v>
      </c>
      <c r="B2666" s="6">
        <v>6</v>
      </c>
      <c r="C2666" s="6">
        <v>1001</v>
      </c>
      <c r="D2666" s="6" t="s">
        <v>5511</v>
      </c>
      <c r="E2666" s="25" t="s">
        <v>5498</v>
      </c>
      <c r="F2666" s="6">
        <v>619044</v>
      </c>
      <c r="G2666" s="6" t="s">
        <v>5512</v>
      </c>
    </row>
    <row r="2667" s="6" customFormat="1" spans="1:7">
      <c r="A2667" s="6">
        <v>1001</v>
      </c>
      <c r="B2667" s="6">
        <v>6</v>
      </c>
      <c r="C2667" s="6">
        <v>1001</v>
      </c>
      <c r="D2667" s="6" t="s">
        <v>5513</v>
      </c>
      <c r="E2667" s="25" t="s">
        <v>5472</v>
      </c>
      <c r="F2667" s="6">
        <v>619045</v>
      </c>
      <c r="G2667" s="6" t="s">
        <v>5514</v>
      </c>
    </row>
    <row r="2668" s="6" customFormat="1" spans="1:7">
      <c r="A2668" s="6">
        <v>1001</v>
      </c>
      <c r="B2668" s="6">
        <v>23</v>
      </c>
      <c r="C2668" s="6">
        <v>0</v>
      </c>
      <c r="D2668" s="16" t="s">
        <v>662</v>
      </c>
      <c r="E2668" s="25" t="s">
        <v>5500</v>
      </c>
      <c r="F2668" s="6">
        <v>619046</v>
      </c>
      <c r="G2668" s="6" t="s">
        <v>1868</v>
      </c>
    </row>
    <row r="2669" s="6" customFormat="1" spans="1:7">
      <c r="A2669" s="6">
        <v>1001</v>
      </c>
      <c r="B2669" s="6">
        <v>23</v>
      </c>
      <c r="C2669" s="6">
        <v>0</v>
      </c>
      <c r="D2669" s="16" t="s">
        <v>5515</v>
      </c>
      <c r="E2669" s="25" t="s">
        <v>5502</v>
      </c>
      <c r="F2669" s="6">
        <v>619047</v>
      </c>
      <c r="G2669" s="6" t="s">
        <v>1868</v>
      </c>
    </row>
    <row r="2670" s="6" customFormat="1" spans="1:7">
      <c r="A2670" s="25">
        <v>1001</v>
      </c>
      <c r="B2670" s="25">
        <v>1</v>
      </c>
      <c r="C2670" s="25">
        <v>1001</v>
      </c>
      <c r="D2670" s="6" t="s">
        <v>5516</v>
      </c>
      <c r="E2670" s="6" t="s">
        <v>5486</v>
      </c>
      <c r="F2670" s="6">
        <v>619048</v>
      </c>
      <c r="G2670" s="6" t="s">
        <v>5517</v>
      </c>
    </row>
    <row r="2671" s="6" customFormat="1" spans="1:7">
      <c r="A2671" s="6">
        <v>1001</v>
      </c>
      <c r="B2671" s="6">
        <v>6</v>
      </c>
      <c r="C2671" s="6">
        <v>1001</v>
      </c>
      <c r="D2671" s="6" t="s">
        <v>5518</v>
      </c>
      <c r="E2671" s="6" t="s">
        <v>5486</v>
      </c>
      <c r="F2671" s="6">
        <v>619049</v>
      </c>
      <c r="G2671" s="6" t="s">
        <v>5519</v>
      </c>
    </row>
    <row r="2672" s="6" customFormat="1" spans="1:7">
      <c r="A2672" s="35">
        <v>1001</v>
      </c>
      <c r="B2672" s="35">
        <v>6</v>
      </c>
      <c r="C2672" s="35">
        <v>1001</v>
      </c>
      <c r="D2672" s="35" t="s">
        <v>5520</v>
      </c>
      <c r="E2672" s="6" t="s">
        <v>5506</v>
      </c>
      <c r="F2672" s="6">
        <v>619050</v>
      </c>
      <c r="G2672" s="35" t="s">
        <v>5521</v>
      </c>
    </row>
    <row r="2673" s="6" customFormat="1" spans="1:7">
      <c r="A2673" s="35">
        <v>1001</v>
      </c>
      <c r="B2673" s="35">
        <v>6</v>
      </c>
      <c r="C2673" s="35">
        <v>1001</v>
      </c>
      <c r="D2673" s="35" t="s">
        <v>5522</v>
      </c>
      <c r="E2673" s="6" t="s">
        <v>5508</v>
      </c>
      <c r="F2673" s="6">
        <v>619051</v>
      </c>
      <c r="G2673" s="35" t="s">
        <v>5523</v>
      </c>
    </row>
    <row r="2674" s="6" customFormat="1" spans="1:7">
      <c r="A2674" s="35">
        <v>1001</v>
      </c>
      <c r="B2674" s="35">
        <v>6</v>
      </c>
      <c r="C2674" s="35">
        <v>1001</v>
      </c>
      <c r="D2674" s="35" t="s">
        <v>5524</v>
      </c>
      <c r="E2674" s="6" t="s">
        <v>5510</v>
      </c>
      <c r="F2674" s="6">
        <v>619052</v>
      </c>
      <c r="G2674" s="35" t="s">
        <v>5525</v>
      </c>
    </row>
    <row r="2675" s="6" customFormat="1" spans="1:7">
      <c r="A2675" s="6">
        <v>1001</v>
      </c>
      <c r="B2675" s="6">
        <v>6</v>
      </c>
      <c r="C2675" s="6">
        <v>1001</v>
      </c>
      <c r="D2675" s="6" t="s">
        <v>5526</v>
      </c>
      <c r="E2675" s="6" t="s">
        <v>5511</v>
      </c>
      <c r="F2675" s="6">
        <v>619053</v>
      </c>
      <c r="G2675" s="6" t="s">
        <v>5527</v>
      </c>
    </row>
    <row r="2676" s="6" customFormat="1" spans="1:7">
      <c r="A2676" s="6">
        <v>1001</v>
      </c>
      <c r="B2676" s="6">
        <v>6</v>
      </c>
      <c r="C2676" s="6">
        <v>1001</v>
      </c>
      <c r="D2676" s="6" t="s">
        <v>5528</v>
      </c>
      <c r="E2676" s="6" t="s">
        <v>5486</v>
      </c>
      <c r="F2676" s="6">
        <v>619054</v>
      </c>
      <c r="G2676" s="6" t="s">
        <v>5529</v>
      </c>
    </row>
    <row r="2677" s="6" customFormat="1" spans="1:7">
      <c r="A2677" s="6">
        <v>1001</v>
      </c>
      <c r="B2677" s="6">
        <v>6</v>
      </c>
      <c r="C2677" s="6">
        <v>1001</v>
      </c>
      <c r="D2677" s="6" t="s">
        <v>5530</v>
      </c>
      <c r="E2677" s="6" t="s">
        <v>662</v>
      </c>
      <c r="F2677" s="6">
        <v>619055</v>
      </c>
      <c r="G2677" s="25" t="s">
        <v>5531</v>
      </c>
    </row>
    <row r="2678" s="6" customFormat="1" spans="1:7">
      <c r="A2678" s="6">
        <v>1001</v>
      </c>
      <c r="B2678" s="6">
        <v>6</v>
      </c>
      <c r="C2678" s="6">
        <v>1001</v>
      </c>
      <c r="D2678" s="6" t="s">
        <v>5532</v>
      </c>
      <c r="E2678" s="6" t="s">
        <v>687</v>
      </c>
      <c r="F2678" s="6">
        <v>619056</v>
      </c>
      <c r="G2678" s="25" t="s">
        <v>5533</v>
      </c>
    </row>
    <row r="2679" s="6" customFormat="1" spans="1:7">
      <c r="A2679" s="25">
        <v>1001</v>
      </c>
      <c r="B2679" s="25">
        <v>1</v>
      </c>
      <c r="C2679" s="25">
        <v>1001</v>
      </c>
      <c r="D2679" s="29" t="s">
        <v>5534</v>
      </c>
      <c r="E2679" s="27" t="s">
        <v>5516</v>
      </c>
      <c r="F2679" s="6">
        <v>619057</v>
      </c>
      <c r="G2679" s="25" t="s">
        <v>5535</v>
      </c>
    </row>
    <row r="2680" s="6" customFormat="1" spans="1:7">
      <c r="A2680" s="6">
        <v>1001</v>
      </c>
      <c r="B2680" s="6">
        <v>6</v>
      </c>
      <c r="C2680" s="6">
        <v>1001</v>
      </c>
      <c r="D2680" s="6" t="s">
        <v>5536</v>
      </c>
      <c r="E2680" s="6" t="s">
        <v>5518</v>
      </c>
      <c r="F2680" s="6">
        <v>619058</v>
      </c>
      <c r="G2680" s="6" t="s">
        <v>5537</v>
      </c>
    </row>
    <row r="2681" s="6" customFormat="1" spans="1:7">
      <c r="A2681" s="6">
        <v>1001</v>
      </c>
      <c r="B2681" s="6">
        <v>23</v>
      </c>
      <c r="C2681" s="6">
        <v>0</v>
      </c>
      <c r="D2681" s="16" t="s">
        <v>5538</v>
      </c>
      <c r="E2681" s="35" t="s">
        <v>5520</v>
      </c>
      <c r="F2681" s="6">
        <v>619059</v>
      </c>
      <c r="G2681" s="6" t="s">
        <v>1868</v>
      </c>
    </row>
    <row r="2682" s="6" customFormat="1" spans="1:7">
      <c r="A2682" s="6">
        <v>1001</v>
      </c>
      <c r="B2682" s="6">
        <v>23</v>
      </c>
      <c r="C2682" s="6">
        <v>0</v>
      </c>
      <c r="D2682" s="16" t="s">
        <v>5539</v>
      </c>
      <c r="E2682" s="35" t="s">
        <v>5522</v>
      </c>
      <c r="F2682" s="6">
        <v>619060</v>
      </c>
      <c r="G2682" s="6" t="s">
        <v>1868</v>
      </c>
    </row>
    <row r="2683" s="6" customFormat="1" spans="1:7">
      <c r="A2683" s="6">
        <v>1001</v>
      </c>
      <c r="B2683" s="6">
        <v>23</v>
      </c>
      <c r="C2683" s="6">
        <v>0</v>
      </c>
      <c r="D2683" s="16" t="s">
        <v>5540</v>
      </c>
      <c r="E2683" s="35" t="s">
        <v>5524</v>
      </c>
      <c r="F2683" s="6">
        <v>619061</v>
      </c>
      <c r="G2683" s="6" t="s">
        <v>1868</v>
      </c>
    </row>
    <row r="2684" s="6" customFormat="1" spans="1:7">
      <c r="A2684" s="6">
        <v>1001</v>
      </c>
      <c r="B2684" s="6">
        <v>23</v>
      </c>
      <c r="C2684" s="6">
        <v>0</v>
      </c>
      <c r="D2684" s="16" t="s">
        <v>5541</v>
      </c>
      <c r="E2684" s="6" t="s">
        <v>5542</v>
      </c>
      <c r="F2684" s="6">
        <v>619062</v>
      </c>
      <c r="G2684" s="6" t="s">
        <v>1868</v>
      </c>
    </row>
    <row r="2685" s="6" customFormat="1" spans="1:7">
      <c r="A2685" s="6">
        <v>1001</v>
      </c>
      <c r="B2685" s="6">
        <v>6</v>
      </c>
      <c r="C2685" s="6">
        <v>1001</v>
      </c>
      <c r="D2685" s="6" t="s">
        <v>5543</v>
      </c>
      <c r="E2685" s="6" t="s">
        <v>5544</v>
      </c>
      <c r="F2685" s="6">
        <v>619063</v>
      </c>
      <c r="G2685" s="6" t="s">
        <v>5545</v>
      </c>
    </row>
    <row r="2686" s="6" customFormat="1" spans="1:7">
      <c r="A2686" s="6">
        <v>1001</v>
      </c>
      <c r="B2686" s="6">
        <v>6</v>
      </c>
      <c r="C2686" s="6">
        <v>1001</v>
      </c>
      <c r="D2686" s="6" t="s">
        <v>5546</v>
      </c>
      <c r="E2686" s="6" t="s">
        <v>5547</v>
      </c>
      <c r="F2686" s="6">
        <v>619064</v>
      </c>
      <c r="G2686" s="6" t="s">
        <v>5548</v>
      </c>
    </row>
    <row r="2687" s="6" customFormat="1" spans="1:7">
      <c r="A2687" s="6">
        <v>1001</v>
      </c>
      <c r="B2687" s="6">
        <v>6</v>
      </c>
      <c r="C2687" s="6">
        <v>1001</v>
      </c>
      <c r="D2687" s="6" t="s">
        <v>5546</v>
      </c>
      <c r="E2687" s="6" t="s">
        <v>5547</v>
      </c>
      <c r="F2687" s="6">
        <v>619065</v>
      </c>
      <c r="G2687" s="6" t="s">
        <v>5548</v>
      </c>
    </row>
    <row r="2688" s="6" customFormat="1" spans="1:7">
      <c r="A2688" s="6">
        <v>1001</v>
      </c>
      <c r="B2688" s="6">
        <v>6</v>
      </c>
      <c r="C2688" s="6">
        <v>1001</v>
      </c>
      <c r="D2688" s="6" t="s">
        <v>5549</v>
      </c>
      <c r="E2688" s="25" t="s">
        <v>5534</v>
      </c>
      <c r="F2688" s="25">
        <v>619066</v>
      </c>
      <c r="G2688" s="6" t="s">
        <v>5550</v>
      </c>
    </row>
    <row r="2689" s="6" customFormat="1" spans="1:7">
      <c r="A2689" s="6">
        <v>1001</v>
      </c>
      <c r="B2689" s="6">
        <v>6</v>
      </c>
      <c r="C2689" s="6">
        <v>1001</v>
      </c>
      <c r="D2689" s="6" t="s">
        <v>5551</v>
      </c>
      <c r="E2689" s="6" t="s">
        <v>5536</v>
      </c>
      <c r="F2689" s="6">
        <v>619067</v>
      </c>
      <c r="G2689" s="6" t="s">
        <v>5552</v>
      </c>
    </row>
    <row r="2690" s="6" customFormat="1" spans="1:7">
      <c r="A2690" s="25">
        <v>1001</v>
      </c>
      <c r="B2690" s="25">
        <v>6</v>
      </c>
      <c r="C2690" s="25">
        <v>1001</v>
      </c>
      <c r="D2690" s="6" t="s">
        <v>834</v>
      </c>
      <c r="E2690" s="6" t="s">
        <v>687</v>
      </c>
      <c r="F2690" s="6">
        <v>619068</v>
      </c>
      <c r="G2690" s="6" t="s">
        <v>5553</v>
      </c>
    </row>
    <row r="2691" s="6" customFormat="1" spans="1:7">
      <c r="A2691" s="25">
        <v>1001</v>
      </c>
      <c r="B2691" s="25">
        <v>1</v>
      </c>
      <c r="C2691" s="25">
        <v>1001</v>
      </c>
      <c r="D2691" s="6" t="s">
        <v>1890</v>
      </c>
      <c r="E2691" s="6" t="s">
        <v>687</v>
      </c>
      <c r="F2691" s="6">
        <v>619069</v>
      </c>
      <c r="G2691" s="6" t="s">
        <v>1891</v>
      </c>
    </row>
    <row r="2692" s="6" customFormat="1" spans="1:7">
      <c r="A2692" s="25">
        <v>1001</v>
      </c>
      <c r="B2692" s="25">
        <v>1</v>
      </c>
      <c r="C2692" s="25">
        <v>1001</v>
      </c>
      <c r="D2692" s="6" t="s">
        <v>1892</v>
      </c>
      <c r="E2692" s="6" t="s">
        <v>687</v>
      </c>
      <c r="F2692" s="6">
        <v>619070</v>
      </c>
      <c r="G2692" s="6" t="s">
        <v>1893</v>
      </c>
    </row>
    <row r="2693" s="6" customFormat="1" spans="1:7">
      <c r="A2693" s="25">
        <v>1001</v>
      </c>
      <c r="B2693" s="25">
        <v>1</v>
      </c>
      <c r="C2693" s="25">
        <v>1001</v>
      </c>
      <c r="D2693" s="29" t="s">
        <v>5554</v>
      </c>
      <c r="E2693" s="6" t="s">
        <v>687</v>
      </c>
      <c r="F2693" s="6">
        <v>619071</v>
      </c>
      <c r="G2693" s="25" t="s">
        <v>5555</v>
      </c>
    </row>
    <row r="2694" s="6" customFormat="1" spans="1:7">
      <c r="A2694" s="25">
        <v>1001</v>
      </c>
      <c r="B2694" s="25">
        <v>1</v>
      </c>
      <c r="C2694" s="25">
        <v>1001</v>
      </c>
      <c r="D2694" s="25" t="s">
        <v>5556</v>
      </c>
      <c r="E2694" s="6" t="s">
        <v>5543</v>
      </c>
      <c r="F2694" s="6">
        <v>619072</v>
      </c>
      <c r="G2694" s="25" t="s">
        <v>5557</v>
      </c>
    </row>
    <row r="2695" s="6" customFormat="1" spans="1:7">
      <c r="A2695" s="6">
        <v>1001</v>
      </c>
      <c r="B2695" s="6">
        <v>6</v>
      </c>
      <c r="C2695" s="6">
        <v>1001</v>
      </c>
      <c r="D2695" s="25" t="s">
        <v>5558</v>
      </c>
      <c r="E2695" s="6" t="s">
        <v>5542</v>
      </c>
      <c r="F2695" s="6">
        <v>619073</v>
      </c>
      <c r="G2695" s="25" t="s">
        <v>5559</v>
      </c>
    </row>
    <row r="2696" s="6" customFormat="1" spans="1:7">
      <c r="A2696" s="25">
        <v>1001</v>
      </c>
      <c r="B2696" s="25">
        <v>6</v>
      </c>
      <c r="C2696" s="25">
        <v>1001</v>
      </c>
      <c r="D2696" s="25" t="s">
        <v>5560</v>
      </c>
      <c r="E2696" s="6" t="s">
        <v>5542</v>
      </c>
      <c r="F2696" s="6">
        <v>619074</v>
      </c>
      <c r="G2696" s="25" t="s">
        <v>5561</v>
      </c>
    </row>
    <row r="2697" s="6" customFormat="1" spans="1:7">
      <c r="A2697" s="6">
        <v>1001</v>
      </c>
      <c r="B2697" s="6">
        <v>6</v>
      </c>
      <c r="C2697" s="6">
        <v>1001</v>
      </c>
      <c r="D2697" s="6" t="s">
        <v>5562</v>
      </c>
      <c r="E2697" s="6" t="s">
        <v>5563</v>
      </c>
      <c r="F2697" s="6">
        <v>619075</v>
      </c>
      <c r="G2697" s="6" t="s">
        <v>5564</v>
      </c>
    </row>
    <row r="2698" s="6" customFormat="1" spans="1:7">
      <c r="A2698" s="6">
        <v>1001</v>
      </c>
      <c r="B2698" s="6">
        <v>6</v>
      </c>
      <c r="C2698" s="6">
        <v>1001</v>
      </c>
      <c r="D2698" s="6" t="s">
        <v>5565</v>
      </c>
      <c r="E2698" s="6" t="s">
        <v>5563</v>
      </c>
      <c r="F2698" s="6">
        <v>619076</v>
      </c>
      <c r="G2698" s="6" t="s">
        <v>5566</v>
      </c>
    </row>
    <row r="2699" s="6" customFormat="1" spans="1:7">
      <c r="A2699" s="25">
        <v>1001</v>
      </c>
      <c r="B2699" s="25">
        <v>1</v>
      </c>
      <c r="C2699" s="25">
        <v>1001</v>
      </c>
      <c r="D2699" s="25" t="s">
        <v>5567</v>
      </c>
      <c r="E2699" s="27" t="s">
        <v>834</v>
      </c>
      <c r="F2699" s="6">
        <v>619077</v>
      </c>
      <c r="G2699" s="25" t="s">
        <v>5568</v>
      </c>
    </row>
    <row r="2700" s="6" customFormat="1" spans="1:7">
      <c r="A2700" s="6">
        <v>1001</v>
      </c>
      <c r="B2700" s="6">
        <v>6</v>
      </c>
      <c r="C2700" s="6">
        <v>1001</v>
      </c>
      <c r="D2700" s="6" t="s">
        <v>5569</v>
      </c>
      <c r="E2700" s="27" t="s">
        <v>5417</v>
      </c>
      <c r="F2700" s="6">
        <v>619080</v>
      </c>
      <c r="G2700" s="6" t="s">
        <v>5570</v>
      </c>
    </row>
    <row r="2701" s="6" customFormat="1" spans="1:7">
      <c r="A2701" s="25">
        <v>1001</v>
      </c>
      <c r="B2701" s="6">
        <v>6</v>
      </c>
      <c r="C2701" s="25">
        <v>1001</v>
      </c>
      <c r="D2701" s="6" t="s">
        <v>691</v>
      </c>
      <c r="E2701" s="27" t="s">
        <v>5420</v>
      </c>
      <c r="F2701" s="6">
        <v>619081</v>
      </c>
      <c r="G2701" s="6" t="s">
        <v>5571</v>
      </c>
    </row>
    <row r="2702" spans="1:7">
      <c r="A2702">
        <v>1001</v>
      </c>
      <c r="B2702">
        <v>1</v>
      </c>
      <c r="C2702">
        <v>1001</v>
      </c>
      <c r="D2702" t="s">
        <v>5572</v>
      </c>
      <c r="E2702" s="25" t="s">
        <v>5554</v>
      </c>
      <c r="F2702" s="25">
        <v>619082</v>
      </c>
      <c r="G2702" t="s">
        <v>5573</v>
      </c>
    </row>
    <row r="2703" spans="1:7">
      <c r="A2703" s="25">
        <v>1001</v>
      </c>
      <c r="B2703" s="25">
        <v>1</v>
      </c>
      <c r="C2703" s="25">
        <v>1001</v>
      </c>
      <c r="D2703" s="29" t="s">
        <v>5426</v>
      </c>
      <c r="E2703" s="25" t="s">
        <v>5556</v>
      </c>
      <c r="F2703" s="25">
        <v>619083</v>
      </c>
      <c r="G2703" s="25" t="s">
        <v>5427</v>
      </c>
    </row>
    <row r="2704" spans="1:7">
      <c r="A2704" s="25">
        <v>1001</v>
      </c>
      <c r="B2704" s="25">
        <v>1</v>
      </c>
      <c r="C2704" s="25">
        <v>1001</v>
      </c>
      <c r="D2704" s="29" t="s">
        <v>5428</v>
      </c>
      <c r="E2704" s="25" t="s">
        <v>5558</v>
      </c>
      <c r="F2704" s="25">
        <v>619084</v>
      </c>
      <c r="G2704" s="25" t="s">
        <v>5429</v>
      </c>
    </row>
    <row r="2705" spans="1:7">
      <c r="A2705" s="25">
        <v>1001</v>
      </c>
      <c r="B2705" s="25">
        <v>6</v>
      </c>
      <c r="C2705" s="25">
        <v>1001</v>
      </c>
      <c r="D2705" s="25" t="s">
        <v>5430</v>
      </c>
      <c r="E2705" s="25" t="s">
        <v>5475</v>
      </c>
      <c r="F2705" s="25">
        <v>619085</v>
      </c>
      <c r="G2705" s="25" t="s">
        <v>5431</v>
      </c>
    </row>
    <row r="2706" s="6" customFormat="1" spans="1:7">
      <c r="A2706" s="6">
        <v>1001</v>
      </c>
      <c r="B2706" s="6">
        <v>6</v>
      </c>
      <c r="C2706" s="6">
        <v>1001</v>
      </c>
      <c r="D2706" s="6" t="s">
        <v>5574</v>
      </c>
      <c r="E2706" s="6" t="s">
        <v>5562</v>
      </c>
      <c r="F2706" s="25">
        <v>619086</v>
      </c>
      <c r="G2706" s="6" t="s">
        <v>5575</v>
      </c>
    </row>
    <row r="2707" s="6" customFormat="1" spans="1:7">
      <c r="A2707" s="6">
        <v>1001</v>
      </c>
      <c r="B2707" s="6">
        <v>6</v>
      </c>
      <c r="C2707" s="6">
        <v>1001</v>
      </c>
      <c r="D2707" s="6" t="s">
        <v>5576</v>
      </c>
      <c r="E2707" s="6" t="s">
        <v>4483</v>
      </c>
      <c r="F2707" s="25">
        <v>619087</v>
      </c>
      <c r="G2707" s="6" t="s">
        <v>5577</v>
      </c>
    </row>
    <row r="2708" s="6" customFormat="1" spans="1:7">
      <c r="A2708" s="6">
        <v>1001</v>
      </c>
      <c r="B2708" s="6">
        <v>6</v>
      </c>
      <c r="C2708" s="6">
        <v>1001</v>
      </c>
      <c r="D2708" s="6" t="s">
        <v>5578</v>
      </c>
      <c r="E2708" s="25" t="s">
        <v>5567</v>
      </c>
      <c r="F2708" s="25">
        <v>619088</v>
      </c>
      <c r="G2708" s="6" t="s">
        <v>5579</v>
      </c>
    </row>
    <row r="2709" s="6" customFormat="1" spans="1:7">
      <c r="A2709" s="6">
        <v>1001</v>
      </c>
      <c r="B2709" s="6">
        <v>6</v>
      </c>
      <c r="C2709" s="6">
        <v>1001</v>
      </c>
      <c r="D2709" s="6" t="s">
        <v>5580</v>
      </c>
      <c r="E2709" s="6" t="s">
        <v>4483</v>
      </c>
      <c r="F2709" s="25">
        <v>619089</v>
      </c>
      <c r="G2709" s="6" t="s">
        <v>5581</v>
      </c>
    </row>
    <row r="2710" s="6" customFormat="1" spans="1:7">
      <c r="A2710" s="25">
        <v>1001</v>
      </c>
      <c r="B2710" s="25">
        <v>1</v>
      </c>
      <c r="C2710" s="25">
        <v>1001</v>
      </c>
      <c r="D2710" s="6" t="s">
        <v>4626</v>
      </c>
      <c r="E2710" s="6" t="s">
        <v>5582</v>
      </c>
      <c r="F2710" s="25">
        <v>619090</v>
      </c>
      <c r="G2710" s="6" t="s">
        <v>5583</v>
      </c>
    </row>
    <row r="2711" s="6" customFormat="1" spans="1:7">
      <c r="A2711" s="25">
        <v>1001</v>
      </c>
      <c r="B2711" s="25">
        <v>1</v>
      </c>
      <c r="C2711" s="25">
        <v>1001</v>
      </c>
      <c r="D2711" s="6" t="s">
        <v>4624</v>
      </c>
      <c r="E2711" s="6" t="s">
        <v>5584</v>
      </c>
      <c r="F2711" s="25">
        <v>619091</v>
      </c>
      <c r="G2711" s="6" t="s">
        <v>5585</v>
      </c>
    </row>
    <row r="2712" s="6" customFormat="1" spans="1:7">
      <c r="A2712" s="25">
        <v>1001</v>
      </c>
      <c r="B2712" s="25">
        <v>6</v>
      </c>
      <c r="C2712" s="25">
        <v>1001</v>
      </c>
      <c r="D2712" s="6" t="s">
        <v>5586</v>
      </c>
      <c r="E2712" s="25" t="s">
        <v>5426</v>
      </c>
      <c r="F2712" s="25">
        <v>619092</v>
      </c>
      <c r="G2712" s="6" t="s">
        <v>5587</v>
      </c>
    </row>
    <row r="2713" s="6" customFormat="1" spans="1:7">
      <c r="A2713" s="6">
        <v>1001</v>
      </c>
      <c r="B2713" s="6">
        <v>6</v>
      </c>
      <c r="C2713" s="6">
        <v>1001</v>
      </c>
      <c r="D2713" s="6" t="s">
        <v>5588</v>
      </c>
      <c r="E2713" s="25" t="s">
        <v>5428</v>
      </c>
      <c r="F2713" s="25">
        <v>619093</v>
      </c>
      <c r="G2713" s="6" t="s">
        <v>5589</v>
      </c>
    </row>
    <row r="2714" s="6" customFormat="1" spans="1:7">
      <c r="A2714" s="6">
        <v>1001</v>
      </c>
      <c r="B2714" s="6">
        <v>6</v>
      </c>
      <c r="C2714" s="6">
        <v>1001</v>
      </c>
      <c r="D2714" s="6" t="s">
        <v>5590</v>
      </c>
      <c r="E2714" s="25" t="s">
        <v>5430</v>
      </c>
      <c r="F2714" s="25">
        <v>619094</v>
      </c>
      <c r="G2714" s="6" t="s">
        <v>5591</v>
      </c>
    </row>
    <row r="2715" s="6" customFormat="1" spans="1:7">
      <c r="A2715" s="6">
        <v>1001</v>
      </c>
      <c r="B2715" s="6">
        <v>6</v>
      </c>
      <c r="C2715" s="6">
        <v>1001</v>
      </c>
      <c r="D2715" s="6" t="s">
        <v>5526</v>
      </c>
      <c r="E2715" s="6" t="s">
        <v>4483</v>
      </c>
      <c r="F2715" s="25">
        <v>619095</v>
      </c>
      <c r="G2715" s="6" t="s">
        <v>5592</v>
      </c>
    </row>
    <row r="2716" s="6" customFormat="1" spans="1:7">
      <c r="A2716" s="6">
        <v>1001</v>
      </c>
      <c r="B2716" s="6">
        <v>6</v>
      </c>
      <c r="C2716" s="6">
        <v>1001</v>
      </c>
      <c r="D2716" s="6" t="s">
        <v>5593</v>
      </c>
      <c r="E2716" s="6" t="s">
        <v>4483</v>
      </c>
      <c r="F2716" s="25">
        <v>619096</v>
      </c>
      <c r="G2716" s="6" t="s">
        <v>5594</v>
      </c>
    </row>
    <row r="2717" spans="1:7">
      <c r="A2717" s="25">
        <v>1001</v>
      </c>
      <c r="B2717">
        <v>6</v>
      </c>
      <c r="C2717" s="25">
        <v>1001</v>
      </c>
      <c r="D2717" t="s">
        <v>5595</v>
      </c>
      <c r="E2717" s="6" t="s">
        <v>5148</v>
      </c>
      <c r="F2717" s="25">
        <v>619097</v>
      </c>
      <c r="G2717" t="s">
        <v>5596</v>
      </c>
    </row>
    <row r="2718" s="6" customFormat="1" spans="1:7">
      <c r="A2718" s="6">
        <v>1001</v>
      </c>
      <c r="B2718" s="6">
        <v>6</v>
      </c>
      <c r="C2718" s="6">
        <v>1001</v>
      </c>
      <c r="D2718" s="6" t="s">
        <v>5597</v>
      </c>
      <c r="E2718" s="6" t="s">
        <v>4483</v>
      </c>
      <c r="F2718" s="25">
        <v>619098</v>
      </c>
      <c r="G2718" s="6" t="s">
        <v>5598</v>
      </c>
    </row>
    <row r="2719" spans="1:7">
      <c r="A2719" s="6">
        <v>1001</v>
      </c>
      <c r="B2719" s="6">
        <v>1</v>
      </c>
      <c r="C2719" s="6">
        <v>1001</v>
      </c>
      <c r="D2719" s="3" t="s">
        <v>5599</v>
      </c>
      <c r="E2719" s="6" t="s">
        <v>4626</v>
      </c>
      <c r="F2719" s="25">
        <v>619099</v>
      </c>
      <c r="G2719" s="6" t="s">
        <v>5600</v>
      </c>
    </row>
    <row r="2720" spans="1:7">
      <c r="A2720" s="6">
        <v>1001</v>
      </c>
      <c r="B2720" s="6">
        <v>1</v>
      </c>
      <c r="C2720" s="6">
        <v>1001</v>
      </c>
      <c r="D2720" s="3" t="s">
        <v>5601</v>
      </c>
      <c r="E2720" s="6" t="s">
        <v>4624</v>
      </c>
      <c r="F2720" s="25">
        <v>619100</v>
      </c>
      <c r="G2720" s="6" t="s">
        <v>5602</v>
      </c>
    </row>
    <row r="2721" spans="1:7">
      <c r="A2721" s="6">
        <v>1001</v>
      </c>
      <c r="B2721" s="6">
        <v>6</v>
      </c>
      <c r="C2721" s="6">
        <v>1001</v>
      </c>
      <c r="D2721" s="6" t="s">
        <v>5603</v>
      </c>
      <c r="E2721" s="6" t="s">
        <v>5586</v>
      </c>
      <c r="F2721" s="25">
        <v>619101</v>
      </c>
      <c r="G2721" s="6" t="s">
        <v>5604</v>
      </c>
    </row>
    <row r="2722" spans="1:7">
      <c r="A2722" s="25">
        <v>1001</v>
      </c>
      <c r="B2722" s="25">
        <v>1</v>
      </c>
      <c r="C2722" s="25">
        <v>1001</v>
      </c>
      <c r="D2722" s="29" t="s">
        <v>5605</v>
      </c>
      <c r="E2722" s="6" t="s">
        <v>5588</v>
      </c>
      <c r="F2722" s="25">
        <v>619102</v>
      </c>
      <c r="G2722" s="25" t="s">
        <v>5606</v>
      </c>
    </row>
    <row r="2723" spans="1:7">
      <c r="A2723" s="25">
        <v>1001</v>
      </c>
      <c r="B2723" s="25">
        <v>1</v>
      </c>
      <c r="C2723" s="25">
        <v>1001</v>
      </c>
      <c r="D2723" s="29" t="s">
        <v>5607</v>
      </c>
      <c r="E2723" s="6" t="s">
        <v>4483</v>
      </c>
      <c r="F2723" s="25">
        <v>619103</v>
      </c>
      <c r="G2723" s="25" t="s">
        <v>5608</v>
      </c>
    </row>
    <row r="2724" spans="1:7">
      <c r="A2724" s="25">
        <v>1001</v>
      </c>
      <c r="B2724" s="25">
        <v>6</v>
      </c>
      <c r="C2724" s="25">
        <v>1001</v>
      </c>
      <c r="D2724" s="25" t="s">
        <v>5609</v>
      </c>
      <c r="E2724" s="6" t="s">
        <v>5542</v>
      </c>
      <c r="F2724" s="25">
        <v>619104</v>
      </c>
      <c r="G2724" s="25" t="s">
        <v>5610</v>
      </c>
    </row>
    <row r="2725" spans="1:7">
      <c r="A2725" s="25">
        <v>1001</v>
      </c>
      <c r="B2725" s="25">
        <v>6</v>
      </c>
      <c r="C2725" s="25">
        <v>1001</v>
      </c>
      <c r="D2725" s="25" t="s">
        <v>5611</v>
      </c>
      <c r="E2725" s="6" t="s">
        <v>4483</v>
      </c>
      <c r="F2725" s="25">
        <v>619105</v>
      </c>
      <c r="G2725" s="25" t="s">
        <v>5612</v>
      </c>
    </row>
    <row r="2726" spans="1:7">
      <c r="A2726" s="25">
        <v>1001</v>
      </c>
      <c r="B2726" s="25">
        <v>6</v>
      </c>
      <c r="C2726" s="25">
        <v>1001</v>
      </c>
      <c r="D2726" s="25" t="s">
        <v>5613</v>
      </c>
      <c r="E2726" t="s">
        <v>5614</v>
      </c>
      <c r="F2726" s="25">
        <v>619106</v>
      </c>
      <c r="G2726" s="25" t="s">
        <v>5615</v>
      </c>
    </row>
    <row r="2727" spans="1:7">
      <c r="A2727" s="25">
        <v>1001</v>
      </c>
      <c r="B2727" s="25">
        <v>6</v>
      </c>
      <c r="C2727" s="25">
        <v>1001</v>
      </c>
      <c r="D2727" s="25" t="s">
        <v>5616</v>
      </c>
      <c r="E2727" s="6" t="s">
        <v>5035</v>
      </c>
      <c r="F2727" s="25">
        <v>619107</v>
      </c>
      <c r="G2727" s="25" t="s">
        <v>5617</v>
      </c>
    </row>
    <row r="2728" spans="1:7">
      <c r="A2728" s="25">
        <v>1001</v>
      </c>
      <c r="B2728" s="25">
        <v>6</v>
      </c>
      <c r="C2728" s="25">
        <v>1001</v>
      </c>
      <c r="D2728" s="25" t="s">
        <v>5400</v>
      </c>
      <c r="E2728" s="6" t="s">
        <v>5618</v>
      </c>
      <c r="F2728" s="25">
        <v>619108</v>
      </c>
      <c r="G2728" s="25" t="s">
        <v>5619</v>
      </c>
    </row>
    <row r="2729" spans="1:7">
      <c r="A2729" s="25">
        <v>1001</v>
      </c>
      <c r="B2729" s="25">
        <v>6</v>
      </c>
      <c r="C2729" s="25">
        <v>1001</v>
      </c>
      <c r="D2729" s="25" t="s">
        <v>5620</v>
      </c>
      <c r="E2729" s="6" t="s">
        <v>5621</v>
      </c>
      <c r="F2729" s="25">
        <v>619109</v>
      </c>
      <c r="G2729" s="25" t="s">
        <v>5622</v>
      </c>
    </row>
    <row r="2730" spans="1:7">
      <c r="A2730" s="25">
        <v>1001</v>
      </c>
      <c r="B2730" s="25">
        <v>1</v>
      </c>
      <c r="C2730" s="25">
        <v>1001</v>
      </c>
      <c r="D2730" s="29" t="s">
        <v>5623</v>
      </c>
      <c r="E2730" s="6" t="s">
        <v>5624</v>
      </c>
      <c r="F2730" s="25">
        <v>619110</v>
      </c>
      <c r="G2730" s="25" t="s">
        <v>5625</v>
      </c>
    </row>
    <row r="2731" spans="1:7">
      <c r="A2731" s="25">
        <v>1001</v>
      </c>
      <c r="B2731" s="25">
        <v>1</v>
      </c>
      <c r="C2731" s="25">
        <v>1001</v>
      </c>
      <c r="D2731" s="29" t="s">
        <v>5626</v>
      </c>
      <c r="E2731" s="25" t="s">
        <v>5605</v>
      </c>
      <c r="F2731" s="25">
        <v>619111</v>
      </c>
      <c r="G2731" s="25" t="s">
        <v>5627</v>
      </c>
    </row>
    <row r="2732" spans="1:7">
      <c r="A2732" s="25">
        <v>1001</v>
      </c>
      <c r="B2732" s="25">
        <v>6</v>
      </c>
      <c r="C2732" s="25">
        <v>1001</v>
      </c>
      <c r="D2732" s="25" t="s">
        <v>5628</v>
      </c>
      <c r="E2732" s="25" t="s">
        <v>5607</v>
      </c>
      <c r="F2732" s="25">
        <v>619112</v>
      </c>
      <c r="G2732" s="25" t="s">
        <v>5629</v>
      </c>
    </row>
    <row r="2733" spans="1:7">
      <c r="A2733" s="25">
        <v>1001</v>
      </c>
      <c r="B2733" s="25">
        <v>6</v>
      </c>
      <c r="C2733" s="25">
        <v>1001</v>
      </c>
      <c r="D2733" s="25" t="s">
        <v>5630</v>
      </c>
      <c r="E2733" s="25" t="s">
        <v>5609</v>
      </c>
      <c r="F2733" s="25">
        <v>619113</v>
      </c>
      <c r="G2733" s="25" t="s">
        <v>5631</v>
      </c>
    </row>
    <row r="2734" spans="1:7">
      <c r="A2734" s="25">
        <v>1001</v>
      </c>
      <c r="B2734" s="25">
        <v>6</v>
      </c>
      <c r="C2734" s="25">
        <v>1001</v>
      </c>
      <c r="D2734" s="25" t="s">
        <v>5632</v>
      </c>
      <c r="E2734" s="25" t="s">
        <v>4483</v>
      </c>
      <c r="F2734" s="25">
        <v>619114</v>
      </c>
      <c r="G2734" s="25" t="s">
        <v>5633</v>
      </c>
    </row>
    <row r="2735" spans="1:7">
      <c r="A2735" s="25">
        <v>1001</v>
      </c>
      <c r="B2735" s="25">
        <v>6</v>
      </c>
      <c r="C2735" s="25">
        <v>1001</v>
      </c>
      <c r="D2735" s="25" t="s">
        <v>5400</v>
      </c>
      <c r="E2735" s="25" t="s">
        <v>5475</v>
      </c>
      <c r="F2735" s="25">
        <v>619115</v>
      </c>
      <c r="G2735" s="25" t="s">
        <v>5634</v>
      </c>
    </row>
    <row r="2736" spans="1:7">
      <c r="A2736" s="25">
        <v>1001</v>
      </c>
      <c r="B2736" s="25">
        <v>6</v>
      </c>
      <c r="C2736" s="25">
        <v>1001</v>
      </c>
      <c r="D2736" s="25" t="s">
        <v>5635</v>
      </c>
      <c r="E2736" s="25" t="s">
        <v>4483</v>
      </c>
      <c r="F2736" s="25">
        <v>619116</v>
      </c>
      <c r="G2736" s="25" t="s">
        <v>5636</v>
      </c>
    </row>
    <row r="2737" spans="1:7">
      <c r="A2737" s="25">
        <v>1001</v>
      </c>
      <c r="B2737" s="25">
        <v>1</v>
      </c>
      <c r="C2737" s="25">
        <v>1001</v>
      </c>
      <c r="D2737" s="25" t="s">
        <v>5354</v>
      </c>
      <c r="E2737" s="25" t="s">
        <v>5035</v>
      </c>
      <c r="F2737" s="25">
        <v>619117</v>
      </c>
      <c r="G2737" s="25" t="s">
        <v>5637</v>
      </c>
    </row>
    <row r="2738" spans="1:7">
      <c r="A2738" s="25">
        <v>1001</v>
      </c>
      <c r="B2738" s="25">
        <v>1</v>
      </c>
      <c r="C2738" s="25">
        <v>1001</v>
      </c>
      <c r="D2738" s="25" t="s">
        <v>5356</v>
      </c>
      <c r="E2738" s="25" t="s">
        <v>4483</v>
      </c>
      <c r="F2738" s="25">
        <v>619118</v>
      </c>
      <c r="G2738" s="25" t="s">
        <v>5638</v>
      </c>
    </row>
    <row r="2739" spans="1:7">
      <c r="A2739" s="25">
        <v>1001</v>
      </c>
      <c r="B2739" s="25">
        <v>6</v>
      </c>
      <c r="C2739" s="25">
        <v>1001</v>
      </c>
      <c r="D2739" s="25" t="s">
        <v>5028</v>
      </c>
      <c r="E2739" s="25" t="s">
        <v>5623</v>
      </c>
      <c r="F2739" s="25">
        <v>619119</v>
      </c>
      <c r="G2739" s="25" t="s">
        <v>5639</v>
      </c>
    </row>
    <row r="2740" spans="1:7">
      <c r="A2740">
        <v>1001</v>
      </c>
      <c r="B2740">
        <v>6</v>
      </c>
      <c r="C2740">
        <v>1001</v>
      </c>
      <c r="D2740" t="s">
        <v>5640</v>
      </c>
      <c r="E2740" s="25" t="s">
        <v>5626</v>
      </c>
      <c r="F2740" s="25">
        <v>619120</v>
      </c>
      <c r="G2740" t="s">
        <v>5641</v>
      </c>
    </row>
    <row r="2741" spans="1:7">
      <c r="A2741" s="6">
        <v>1001</v>
      </c>
      <c r="B2741" s="6">
        <v>6</v>
      </c>
      <c r="C2741" s="6">
        <v>1001</v>
      </c>
      <c r="D2741" s="6" t="s">
        <v>5642</v>
      </c>
      <c r="E2741" s="25" t="s">
        <v>5628</v>
      </c>
      <c r="F2741" s="25">
        <v>619121</v>
      </c>
      <c r="G2741" s="6" t="s">
        <v>5643</v>
      </c>
    </row>
    <row r="2742" spans="1:7">
      <c r="A2742" s="6">
        <v>1001</v>
      </c>
      <c r="B2742" s="6">
        <v>6</v>
      </c>
      <c r="C2742" s="6">
        <v>1001</v>
      </c>
      <c r="D2742" s="6" t="s">
        <v>5644</v>
      </c>
      <c r="E2742" s="25" t="s">
        <v>4483</v>
      </c>
      <c r="F2742" s="25">
        <v>619122</v>
      </c>
      <c r="G2742" s="6" t="s">
        <v>5645</v>
      </c>
    </row>
    <row r="2743" spans="1:7">
      <c r="A2743" s="6">
        <v>1001</v>
      </c>
      <c r="B2743" s="6">
        <v>6</v>
      </c>
      <c r="C2743" s="6">
        <v>1001</v>
      </c>
      <c r="D2743" s="6" t="s">
        <v>5366</v>
      </c>
      <c r="E2743" s="25" t="s">
        <v>4483</v>
      </c>
      <c r="F2743" s="25">
        <v>619123</v>
      </c>
      <c r="G2743" s="6" t="s">
        <v>5646</v>
      </c>
    </row>
    <row r="2744" spans="1:7">
      <c r="A2744" s="6">
        <v>1001</v>
      </c>
      <c r="B2744" s="6">
        <v>6</v>
      </c>
      <c r="C2744" s="6">
        <v>1001</v>
      </c>
      <c r="D2744" s="6" t="s">
        <v>5366</v>
      </c>
      <c r="E2744" s="25" t="s">
        <v>5035</v>
      </c>
      <c r="F2744" s="25">
        <v>619124</v>
      </c>
      <c r="G2744" s="6" t="s">
        <v>5647</v>
      </c>
    </row>
    <row r="2745" spans="1:7">
      <c r="A2745" s="6">
        <v>1001</v>
      </c>
      <c r="B2745" s="6">
        <v>2</v>
      </c>
      <c r="C2745" s="6">
        <v>1001</v>
      </c>
      <c r="D2745" s="6" t="s">
        <v>5648</v>
      </c>
      <c r="E2745" s="25" t="s">
        <v>4483</v>
      </c>
      <c r="F2745" s="25">
        <v>619125</v>
      </c>
      <c r="G2745" s="6" t="s">
        <v>5649</v>
      </c>
    </row>
    <row r="2746" spans="1:7">
      <c r="A2746" s="6">
        <v>1001</v>
      </c>
      <c r="B2746" s="6">
        <v>6</v>
      </c>
      <c r="C2746" s="6">
        <v>1001</v>
      </c>
      <c r="D2746" s="6" t="s">
        <v>5148</v>
      </c>
      <c r="E2746" s="25" t="s">
        <v>5354</v>
      </c>
      <c r="F2746" s="25">
        <v>619126</v>
      </c>
      <c r="G2746" s="6" t="s">
        <v>5650</v>
      </c>
    </row>
    <row r="2747" spans="1:7">
      <c r="A2747" s="6">
        <v>1001</v>
      </c>
      <c r="B2747" s="6">
        <v>6</v>
      </c>
      <c r="C2747" s="6">
        <v>1001</v>
      </c>
      <c r="D2747" s="6" t="s">
        <v>5651</v>
      </c>
      <c r="E2747" s="25" t="s">
        <v>5356</v>
      </c>
      <c r="F2747" s="25">
        <v>619127</v>
      </c>
      <c r="G2747" s="6" t="s">
        <v>5652</v>
      </c>
    </row>
    <row r="2748" spans="1:7">
      <c r="A2748" s="6">
        <v>1001</v>
      </c>
      <c r="B2748" s="6">
        <v>6</v>
      </c>
      <c r="C2748" s="6">
        <v>1001</v>
      </c>
      <c r="D2748" s="6" t="s">
        <v>5653</v>
      </c>
      <c r="E2748" s="25" t="s">
        <v>5028</v>
      </c>
      <c r="F2748" s="25">
        <v>619128</v>
      </c>
      <c r="G2748" s="6" t="s">
        <v>5654</v>
      </c>
    </row>
    <row r="2749" spans="1:7">
      <c r="A2749" s="6">
        <v>1001</v>
      </c>
      <c r="B2749" s="6">
        <v>6</v>
      </c>
      <c r="C2749" s="6">
        <v>1001</v>
      </c>
      <c r="D2749" s="6" t="s">
        <v>5655</v>
      </c>
      <c r="E2749" t="s">
        <v>4483</v>
      </c>
      <c r="F2749">
        <v>619129</v>
      </c>
      <c r="G2749" s="6" t="s">
        <v>5656</v>
      </c>
    </row>
    <row r="2750" spans="1:7">
      <c r="A2750" s="6">
        <v>1001</v>
      </c>
      <c r="B2750" s="6">
        <v>6</v>
      </c>
      <c r="C2750" s="6">
        <v>1001</v>
      </c>
      <c r="D2750" s="6" t="s">
        <v>5657</v>
      </c>
      <c r="E2750" s="6" t="s">
        <v>4483</v>
      </c>
      <c r="F2750" s="6">
        <v>619130</v>
      </c>
      <c r="G2750" s="6" t="s">
        <v>5658</v>
      </c>
    </row>
    <row r="2751" spans="1:7">
      <c r="A2751" s="6">
        <v>1001</v>
      </c>
      <c r="B2751" s="6">
        <v>1</v>
      </c>
      <c r="C2751" s="6">
        <v>1001</v>
      </c>
      <c r="D2751" s="6" t="s">
        <v>5659</v>
      </c>
      <c r="E2751" s="6" t="s">
        <v>4483</v>
      </c>
      <c r="F2751" s="6">
        <v>619131</v>
      </c>
      <c r="G2751" s="6" t="s">
        <v>5660</v>
      </c>
    </row>
    <row r="2752" spans="1:7">
      <c r="A2752" s="6">
        <v>1001</v>
      </c>
      <c r="B2752" s="6">
        <v>1</v>
      </c>
      <c r="C2752" s="6">
        <v>1001</v>
      </c>
      <c r="D2752" s="6" t="s">
        <v>5661</v>
      </c>
      <c r="E2752" s="6" t="s">
        <v>5366</v>
      </c>
      <c r="F2752" s="6">
        <v>619132</v>
      </c>
      <c r="G2752" s="6" t="s">
        <v>5662</v>
      </c>
    </row>
    <row r="2753" spans="1:7">
      <c r="A2753" s="6">
        <v>1001</v>
      </c>
      <c r="B2753" s="6">
        <v>6</v>
      </c>
      <c r="C2753" s="6">
        <v>1001</v>
      </c>
      <c r="D2753" s="6" t="s">
        <v>5663</v>
      </c>
      <c r="E2753" s="6" t="s">
        <v>5366</v>
      </c>
      <c r="F2753" s="6">
        <v>619133</v>
      </c>
      <c r="G2753" s="6" t="s">
        <v>5664</v>
      </c>
    </row>
    <row r="2754" spans="1:7">
      <c r="A2754" s="6">
        <v>1001</v>
      </c>
      <c r="B2754" s="6">
        <v>6</v>
      </c>
      <c r="C2754" s="6">
        <v>1001</v>
      </c>
      <c r="D2754" s="6" t="s">
        <v>5665</v>
      </c>
      <c r="E2754" s="6" t="s">
        <v>5648</v>
      </c>
      <c r="F2754" s="6">
        <v>619134</v>
      </c>
      <c r="G2754" s="6" t="s">
        <v>5666</v>
      </c>
    </row>
    <row r="2755" spans="1:7">
      <c r="A2755" s="6">
        <v>1001</v>
      </c>
      <c r="B2755" s="6">
        <v>6</v>
      </c>
      <c r="C2755" s="6">
        <v>1001</v>
      </c>
      <c r="D2755" s="6" t="s">
        <v>5667</v>
      </c>
      <c r="E2755" s="6" t="s">
        <v>5148</v>
      </c>
      <c r="F2755" s="6">
        <v>619135</v>
      </c>
      <c r="G2755" s="6" t="s">
        <v>5668</v>
      </c>
    </row>
    <row r="2756" spans="1:7">
      <c r="A2756" s="6">
        <v>1001</v>
      </c>
      <c r="B2756" s="6">
        <v>6</v>
      </c>
      <c r="C2756" s="6">
        <v>1001</v>
      </c>
      <c r="D2756" s="6" t="s">
        <v>5669</v>
      </c>
      <c r="E2756" s="6" t="s">
        <v>4483</v>
      </c>
      <c r="F2756" s="6">
        <v>619136</v>
      </c>
      <c r="G2756" s="6" t="s">
        <v>5670</v>
      </c>
    </row>
    <row r="2757" spans="1:7">
      <c r="A2757" s="6">
        <v>1001</v>
      </c>
      <c r="B2757" s="6">
        <v>6</v>
      </c>
      <c r="C2757" s="6">
        <v>1001</v>
      </c>
      <c r="D2757" s="6" t="s">
        <v>5671</v>
      </c>
      <c r="E2757" s="6" t="s">
        <v>5653</v>
      </c>
      <c r="F2757" s="6">
        <v>619137</v>
      </c>
      <c r="G2757" s="6" t="s">
        <v>5672</v>
      </c>
    </row>
    <row r="2758" spans="1:7">
      <c r="A2758" s="6">
        <v>1001</v>
      </c>
      <c r="B2758" s="6">
        <v>1</v>
      </c>
      <c r="C2758" s="6">
        <v>1001</v>
      </c>
      <c r="D2758" s="6" t="s">
        <v>5673</v>
      </c>
      <c r="E2758" s="6" t="s">
        <v>5655</v>
      </c>
      <c r="F2758" s="6">
        <v>619138</v>
      </c>
      <c r="G2758" s="6" t="s">
        <v>5674</v>
      </c>
    </row>
    <row r="2759" s="6" customFormat="1" spans="1:7">
      <c r="A2759" s="6">
        <v>1001</v>
      </c>
      <c r="B2759" s="6">
        <v>1</v>
      </c>
      <c r="C2759" s="6">
        <v>1001</v>
      </c>
      <c r="D2759" s="6" t="s">
        <v>5675</v>
      </c>
      <c r="E2759" s="6" t="s">
        <v>4483</v>
      </c>
      <c r="F2759" s="6">
        <v>619139</v>
      </c>
      <c r="G2759" s="6" t="s">
        <v>5676</v>
      </c>
    </row>
    <row r="2760" s="6" customFormat="1" spans="1:7">
      <c r="A2760" s="6">
        <v>1001</v>
      </c>
      <c r="B2760" s="6">
        <v>6</v>
      </c>
      <c r="C2760" s="6">
        <v>1001</v>
      </c>
      <c r="D2760" s="6" t="s">
        <v>5677</v>
      </c>
      <c r="E2760" s="6" t="s">
        <v>5659</v>
      </c>
      <c r="F2760" s="6">
        <v>619140</v>
      </c>
      <c r="G2760" s="6" t="s">
        <v>5312</v>
      </c>
    </row>
    <row r="2761" s="6" customFormat="1" spans="1:7">
      <c r="A2761" s="6">
        <v>1001</v>
      </c>
      <c r="B2761" s="6">
        <v>6</v>
      </c>
      <c r="C2761" s="6">
        <v>1001</v>
      </c>
      <c r="D2761" s="6" t="s">
        <v>4643</v>
      </c>
      <c r="E2761" s="6" t="s">
        <v>5661</v>
      </c>
      <c r="F2761" s="6">
        <v>619141</v>
      </c>
      <c r="G2761" s="6" t="s">
        <v>5678</v>
      </c>
    </row>
    <row r="2762" s="6" customFormat="1" spans="1:7">
      <c r="A2762" s="25">
        <v>1001</v>
      </c>
      <c r="B2762" s="25">
        <v>6</v>
      </c>
      <c r="C2762" s="25">
        <v>1001</v>
      </c>
      <c r="D2762" s="25" t="s">
        <v>5679</v>
      </c>
      <c r="E2762" s="6" t="s">
        <v>5663</v>
      </c>
      <c r="F2762" s="6">
        <v>619142</v>
      </c>
      <c r="G2762" s="25" t="s">
        <v>5680</v>
      </c>
    </row>
    <row r="2763" s="6" customFormat="1" spans="1:7">
      <c r="A2763" s="6">
        <v>1001</v>
      </c>
      <c r="B2763" s="6">
        <v>6</v>
      </c>
      <c r="C2763" s="6">
        <v>1001</v>
      </c>
      <c r="D2763" s="6" t="s">
        <v>5681</v>
      </c>
      <c r="E2763" s="6" t="s">
        <v>4483</v>
      </c>
      <c r="F2763" s="6">
        <v>619143</v>
      </c>
      <c r="G2763" s="6" t="s">
        <v>5682</v>
      </c>
    </row>
    <row r="2764" s="6" customFormat="1" spans="1:7">
      <c r="A2764" s="6">
        <v>1001</v>
      </c>
      <c r="B2764" s="6">
        <v>6</v>
      </c>
      <c r="C2764" s="6">
        <v>1001</v>
      </c>
      <c r="D2764" s="6" t="s">
        <v>5683</v>
      </c>
      <c r="E2764" s="6" t="s">
        <v>4483</v>
      </c>
      <c r="F2764" s="6">
        <v>619144</v>
      </c>
      <c r="G2764" s="6" t="s">
        <v>5684</v>
      </c>
    </row>
    <row r="2765" s="6" customFormat="1" spans="1:7">
      <c r="A2765" s="6">
        <v>1001</v>
      </c>
      <c r="B2765" s="6">
        <v>1</v>
      </c>
      <c r="C2765" s="6">
        <v>1001</v>
      </c>
      <c r="D2765" s="6" t="s">
        <v>5685</v>
      </c>
      <c r="E2765" s="6" t="s">
        <v>5686</v>
      </c>
      <c r="F2765" s="6">
        <v>619145</v>
      </c>
      <c r="G2765" s="6" t="s">
        <v>5687</v>
      </c>
    </row>
    <row r="2766" s="6" customFormat="1" spans="1:7">
      <c r="A2766" s="6">
        <v>1001</v>
      </c>
      <c r="B2766" s="6">
        <v>1</v>
      </c>
      <c r="C2766" s="6">
        <v>1001</v>
      </c>
      <c r="D2766" s="6" t="s">
        <v>5688</v>
      </c>
      <c r="E2766" s="6" t="s">
        <v>5686</v>
      </c>
      <c r="F2766" s="6">
        <v>619146</v>
      </c>
      <c r="G2766" s="6" t="s">
        <v>5689</v>
      </c>
    </row>
    <row r="2767" spans="1:7">
      <c r="A2767" s="6">
        <v>1001</v>
      </c>
      <c r="B2767" s="6">
        <v>6</v>
      </c>
      <c r="C2767" s="6">
        <v>1001</v>
      </c>
      <c r="D2767" s="6" t="s">
        <v>5690</v>
      </c>
      <c r="E2767" s="6" t="s">
        <v>5673</v>
      </c>
      <c r="F2767" s="6">
        <v>619147</v>
      </c>
      <c r="G2767" s="6" t="s">
        <v>5691</v>
      </c>
    </row>
    <row r="2768" spans="1:7">
      <c r="A2768" s="6">
        <v>1001</v>
      </c>
      <c r="B2768" s="6">
        <v>6</v>
      </c>
      <c r="C2768" s="6">
        <v>1001</v>
      </c>
      <c r="D2768" s="6" t="s">
        <v>5692</v>
      </c>
      <c r="E2768" s="6" t="s">
        <v>5675</v>
      </c>
      <c r="F2768" s="6">
        <v>619148</v>
      </c>
      <c r="G2768" s="6" t="s">
        <v>5693</v>
      </c>
    </row>
    <row r="2769" spans="1:7">
      <c r="A2769" s="6">
        <v>1001</v>
      </c>
      <c r="B2769" s="6">
        <v>6</v>
      </c>
      <c r="C2769" s="6">
        <v>1001</v>
      </c>
      <c r="D2769" s="6" t="s">
        <v>5694</v>
      </c>
      <c r="E2769" s="6" t="s">
        <v>5677</v>
      </c>
      <c r="F2769" s="6">
        <v>619149</v>
      </c>
      <c r="G2769" s="6" t="s">
        <v>5695</v>
      </c>
    </row>
    <row r="2770" spans="1:7">
      <c r="A2770" s="6">
        <v>1001</v>
      </c>
      <c r="B2770" s="6">
        <v>1</v>
      </c>
      <c r="C2770" s="6">
        <v>1001</v>
      </c>
      <c r="D2770" s="6" t="s">
        <v>5696</v>
      </c>
      <c r="E2770" s="6" t="s">
        <v>4643</v>
      </c>
      <c r="F2770" s="6">
        <v>619150</v>
      </c>
      <c r="G2770" s="6" t="s">
        <v>5697</v>
      </c>
    </row>
    <row r="2771" spans="1:7">
      <c r="A2771" s="6">
        <v>1001</v>
      </c>
      <c r="B2771" s="6">
        <v>1</v>
      </c>
      <c r="C2771" s="6">
        <v>1001</v>
      </c>
      <c r="D2771" s="6" t="s">
        <v>5698</v>
      </c>
      <c r="E2771" s="25" t="s">
        <v>5035</v>
      </c>
      <c r="F2771" s="6">
        <v>619151</v>
      </c>
      <c r="G2771" s="6" t="s">
        <v>5699</v>
      </c>
    </row>
    <row r="2772" spans="1:7">
      <c r="A2772" s="6">
        <v>1001</v>
      </c>
      <c r="B2772" s="6">
        <v>1</v>
      </c>
      <c r="C2772" s="6">
        <v>1001</v>
      </c>
      <c r="D2772" s="6" t="s">
        <v>5700</v>
      </c>
      <c r="E2772" s="6" t="s">
        <v>5681</v>
      </c>
      <c r="F2772" s="6">
        <v>619152</v>
      </c>
      <c r="G2772" s="6" t="s">
        <v>5701</v>
      </c>
    </row>
    <row r="2773" spans="1:7">
      <c r="A2773" s="6">
        <v>1001</v>
      </c>
      <c r="B2773" s="6">
        <v>1</v>
      </c>
      <c r="C2773" s="6">
        <v>1001</v>
      </c>
      <c r="D2773" s="6" t="s">
        <v>5700</v>
      </c>
      <c r="E2773" s="6" t="s">
        <v>5683</v>
      </c>
      <c r="F2773" s="6">
        <v>619153</v>
      </c>
      <c r="G2773" s="6" t="s">
        <v>5702</v>
      </c>
    </row>
    <row r="2774" spans="1:7">
      <c r="A2774" s="6">
        <v>1001</v>
      </c>
      <c r="B2774" s="6">
        <v>1</v>
      </c>
      <c r="C2774" s="6">
        <v>1001</v>
      </c>
      <c r="D2774" s="6" t="s">
        <v>5700</v>
      </c>
      <c r="E2774" s="6" t="s">
        <v>5685</v>
      </c>
      <c r="F2774" s="6">
        <v>619154</v>
      </c>
      <c r="G2774" s="6" t="s">
        <v>5703</v>
      </c>
    </row>
    <row r="2775" spans="1:7">
      <c r="A2775" s="6">
        <v>1001</v>
      </c>
      <c r="B2775" s="6">
        <v>1</v>
      </c>
      <c r="C2775" s="6">
        <v>1001</v>
      </c>
      <c r="D2775" s="6" t="s">
        <v>5700</v>
      </c>
      <c r="E2775" s="6" t="s">
        <v>5688</v>
      </c>
      <c r="F2775" s="6">
        <v>619155</v>
      </c>
      <c r="G2775" s="6" t="s">
        <v>5704</v>
      </c>
    </row>
    <row r="2776" spans="1:7">
      <c r="A2776" s="6">
        <v>1001</v>
      </c>
      <c r="B2776" s="6">
        <v>1</v>
      </c>
      <c r="C2776" s="6">
        <v>1001</v>
      </c>
      <c r="D2776" s="6" t="s">
        <v>5700</v>
      </c>
      <c r="E2776" s="6" t="s">
        <v>5690</v>
      </c>
      <c r="F2776" s="6">
        <v>619156</v>
      </c>
      <c r="G2776" s="6" t="s">
        <v>5705</v>
      </c>
    </row>
    <row r="2777" spans="1:7">
      <c r="A2777" s="6">
        <v>1001</v>
      </c>
      <c r="B2777" s="6">
        <v>1</v>
      </c>
      <c r="C2777" s="6">
        <v>1001</v>
      </c>
      <c r="D2777" s="6" t="s">
        <v>5700</v>
      </c>
      <c r="E2777" s="6" t="s">
        <v>4483</v>
      </c>
      <c r="F2777" s="6">
        <v>619157</v>
      </c>
      <c r="G2777" s="6" t="s">
        <v>5706</v>
      </c>
    </row>
    <row r="2778" spans="1:7">
      <c r="A2778" s="6">
        <v>1001</v>
      </c>
      <c r="B2778" s="6">
        <v>1</v>
      </c>
      <c r="C2778" s="6">
        <v>1001</v>
      </c>
      <c r="D2778" s="6" t="s">
        <v>5700</v>
      </c>
      <c r="E2778" s="6" t="s">
        <v>4483</v>
      </c>
      <c r="F2778" s="6">
        <v>619158</v>
      </c>
      <c r="G2778" s="6" t="s">
        <v>5707</v>
      </c>
    </row>
    <row r="2779" spans="1:7">
      <c r="A2779" s="6">
        <v>1001</v>
      </c>
      <c r="B2779" s="6">
        <v>1</v>
      </c>
      <c r="C2779" s="6">
        <v>1001</v>
      </c>
      <c r="D2779" s="6" t="s">
        <v>5700</v>
      </c>
      <c r="E2779" s="6" t="s">
        <v>5708</v>
      </c>
      <c r="F2779" s="6">
        <v>619159</v>
      </c>
      <c r="G2779" s="6" t="s">
        <v>5709</v>
      </c>
    </row>
    <row r="2780" spans="1:7">
      <c r="A2780" s="6">
        <v>1001</v>
      </c>
      <c r="B2780" s="6">
        <v>1</v>
      </c>
      <c r="C2780" s="6">
        <v>1001</v>
      </c>
      <c r="D2780" s="6" t="s">
        <v>5700</v>
      </c>
      <c r="E2780" s="6" t="s">
        <v>5710</v>
      </c>
      <c r="F2780" s="6">
        <v>619160</v>
      </c>
      <c r="G2780" s="6" t="s">
        <v>5711</v>
      </c>
    </row>
    <row r="2781" spans="1:7">
      <c r="A2781" s="6">
        <v>1001</v>
      </c>
      <c r="B2781" s="6">
        <v>1</v>
      </c>
      <c r="C2781" s="6">
        <v>1001</v>
      </c>
      <c r="D2781" s="6" t="s">
        <v>5712</v>
      </c>
      <c r="E2781" s="6" t="s">
        <v>5700</v>
      </c>
      <c r="F2781" s="6">
        <v>619161</v>
      </c>
      <c r="G2781" s="6" t="s">
        <v>5713</v>
      </c>
    </row>
    <row r="2782" spans="1:7">
      <c r="A2782" s="6">
        <v>1001</v>
      </c>
      <c r="B2782" s="6">
        <v>1</v>
      </c>
      <c r="C2782" s="6">
        <v>1001</v>
      </c>
      <c r="D2782" s="6" t="s">
        <v>5714</v>
      </c>
      <c r="E2782" s="6" t="s">
        <v>5700</v>
      </c>
      <c r="F2782" s="6">
        <v>619162</v>
      </c>
      <c r="G2782" s="6" t="s">
        <v>5715</v>
      </c>
    </row>
    <row r="2783" spans="1:7">
      <c r="A2783" s="6">
        <v>1001</v>
      </c>
      <c r="B2783" s="6">
        <v>6</v>
      </c>
      <c r="C2783" s="6">
        <v>1001</v>
      </c>
      <c r="D2783" s="6" t="s">
        <v>5716</v>
      </c>
      <c r="E2783" s="6" t="s">
        <v>5700</v>
      </c>
      <c r="F2783" s="6">
        <v>619163</v>
      </c>
      <c r="G2783" s="6" t="s">
        <v>5717</v>
      </c>
    </row>
    <row r="2784" spans="1:7">
      <c r="A2784" s="6">
        <v>1001</v>
      </c>
      <c r="B2784" s="6">
        <v>6</v>
      </c>
      <c r="C2784" s="6">
        <v>1001</v>
      </c>
      <c r="D2784" s="6" t="s">
        <v>5718</v>
      </c>
      <c r="E2784" s="6" t="s">
        <v>5700</v>
      </c>
      <c r="F2784" s="6">
        <v>619164</v>
      </c>
      <c r="G2784" s="6" t="s">
        <v>5719</v>
      </c>
    </row>
    <row r="2785" spans="1:7">
      <c r="A2785" s="6">
        <v>1001</v>
      </c>
      <c r="B2785" s="6">
        <v>6</v>
      </c>
      <c r="C2785" s="6">
        <v>1001</v>
      </c>
      <c r="D2785" s="6" t="s">
        <v>5720</v>
      </c>
      <c r="E2785" s="6" t="s">
        <v>5700</v>
      </c>
      <c r="F2785" s="6">
        <v>619165</v>
      </c>
      <c r="G2785" s="6" t="s">
        <v>5721</v>
      </c>
    </row>
    <row r="2786" spans="1:7">
      <c r="A2786" s="6">
        <v>1001</v>
      </c>
      <c r="B2786" s="6">
        <v>6</v>
      </c>
      <c r="C2786" s="6">
        <v>1001</v>
      </c>
      <c r="D2786" s="6" t="s">
        <v>5722</v>
      </c>
      <c r="E2786" s="6" t="s">
        <v>5700</v>
      </c>
      <c r="F2786" s="6">
        <v>619166</v>
      </c>
      <c r="G2786" s="6" t="s">
        <v>5723</v>
      </c>
    </row>
    <row r="2787" spans="1:7">
      <c r="A2787" s="6">
        <v>1001</v>
      </c>
      <c r="B2787" s="6">
        <v>6</v>
      </c>
      <c r="C2787" s="6">
        <v>1001</v>
      </c>
      <c r="D2787" s="6" t="s">
        <v>5724</v>
      </c>
      <c r="E2787" s="6" t="s">
        <v>5700</v>
      </c>
      <c r="F2787" s="6">
        <v>619167</v>
      </c>
      <c r="G2787" s="6" t="s">
        <v>5725</v>
      </c>
    </row>
    <row r="2788" spans="1:7">
      <c r="A2788" s="6">
        <v>1001</v>
      </c>
      <c r="B2788" s="6">
        <v>6</v>
      </c>
      <c r="C2788" s="6">
        <v>1001</v>
      </c>
      <c r="D2788" s="6" t="s">
        <v>5726</v>
      </c>
      <c r="E2788" s="6" t="s">
        <v>5700</v>
      </c>
      <c r="F2788" s="6">
        <v>619168</v>
      </c>
      <c r="G2788" s="6" t="s">
        <v>5727</v>
      </c>
    </row>
    <row r="2789" spans="1:7">
      <c r="A2789" s="6">
        <v>1001</v>
      </c>
      <c r="B2789" s="6">
        <v>6</v>
      </c>
      <c r="C2789" s="6">
        <v>1001</v>
      </c>
      <c r="D2789" s="6" t="s">
        <v>5728</v>
      </c>
      <c r="E2789" s="6" t="s">
        <v>5700</v>
      </c>
      <c r="F2789" s="6">
        <v>619169</v>
      </c>
      <c r="G2789" s="6" t="s">
        <v>5729</v>
      </c>
    </row>
    <row r="2790" spans="1:7">
      <c r="A2790" s="6">
        <v>1001</v>
      </c>
      <c r="B2790" s="6">
        <v>6</v>
      </c>
      <c r="C2790" s="6">
        <v>1001</v>
      </c>
      <c r="D2790" s="6" t="s">
        <v>5730</v>
      </c>
      <c r="E2790" s="6" t="s">
        <v>5712</v>
      </c>
      <c r="F2790" s="6">
        <v>619170</v>
      </c>
      <c r="G2790" s="6" t="s">
        <v>5731</v>
      </c>
    </row>
    <row r="2791" spans="1:7">
      <c r="A2791" s="6">
        <v>1001</v>
      </c>
      <c r="B2791" s="6">
        <v>6</v>
      </c>
      <c r="C2791" s="6">
        <v>1001</v>
      </c>
      <c r="D2791" s="6" t="s">
        <v>5732</v>
      </c>
      <c r="E2791" s="6" t="s">
        <v>5714</v>
      </c>
      <c r="F2791" s="6">
        <v>619171</v>
      </c>
      <c r="G2791" s="6" t="s">
        <v>5733</v>
      </c>
    </row>
    <row r="2792" spans="1:7">
      <c r="A2792" s="6">
        <v>1001</v>
      </c>
      <c r="B2792" s="6">
        <v>6</v>
      </c>
      <c r="C2792" s="6">
        <v>1001</v>
      </c>
      <c r="D2792" s="6" t="s">
        <v>5734</v>
      </c>
      <c r="E2792" s="6" t="s">
        <v>5716</v>
      </c>
      <c r="F2792" s="6">
        <v>619172</v>
      </c>
      <c r="G2792" s="6" t="s">
        <v>5735</v>
      </c>
    </row>
    <row r="2793" spans="1:7">
      <c r="A2793" s="6">
        <v>1001</v>
      </c>
      <c r="B2793" s="6">
        <v>6</v>
      </c>
      <c r="C2793" s="6">
        <v>1001</v>
      </c>
      <c r="D2793" s="6" t="s">
        <v>5736</v>
      </c>
      <c r="E2793" s="6" t="s">
        <v>5718</v>
      </c>
      <c r="F2793" s="6">
        <v>619173</v>
      </c>
      <c r="G2793" s="6" t="s">
        <v>5737</v>
      </c>
    </row>
    <row r="2794" spans="1:7">
      <c r="A2794" s="6">
        <v>1001</v>
      </c>
      <c r="B2794" s="6">
        <v>6</v>
      </c>
      <c r="C2794" s="6">
        <v>1001</v>
      </c>
      <c r="D2794" s="6" t="s">
        <v>5738</v>
      </c>
      <c r="E2794" s="6" t="s">
        <v>5720</v>
      </c>
      <c r="F2794" s="6">
        <v>619174</v>
      </c>
      <c r="G2794" s="6" t="s">
        <v>5739</v>
      </c>
    </row>
    <row r="2795" spans="1:7">
      <c r="A2795" s="6">
        <v>1001</v>
      </c>
      <c r="B2795" s="6">
        <v>6</v>
      </c>
      <c r="C2795" s="6">
        <v>1001</v>
      </c>
      <c r="D2795" s="6" t="s">
        <v>5740</v>
      </c>
      <c r="E2795" s="6" t="s">
        <v>4483</v>
      </c>
      <c r="F2795" s="6">
        <v>619175</v>
      </c>
      <c r="G2795" s="6" t="s">
        <v>5741</v>
      </c>
    </row>
    <row r="2796" spans="1:7">
      <c r="A2796" s="6">
        <v>1001</v>
      </c>
      <c r="B2796" s="6">
        <v>1</v>
      </c>
      <c r="C2796" s="6">
        <v>1001</v>
      </c>
      <c r="D2796" s="6" t="s">
        <v>4995</v>
      </c>
      <c r="E2796" s="6" t="s">
        <v>4483</v>
      </c>
      <c r="F2796" s="6">
        <v>619176</v>
      </c>
      <c r="G2796" s="6" t="s">
        <v>5742</v>
      </c>
    </row>
    <row r="2797" spans="1:7">
      <c r="A2797" s="6">
        <v>1001</v>
      </c>
      <c r="B2797" s="6">
        <v>1</v>
      </c>
      <c r="C2797" s="6">
        <v>1001</v>
      </c>
      <c r="D2797" s="6" t="s">
        <v>5743</v>
      </c>
      <c r="E2797" s="6" t="s">
        <v>4483</v>
      </c>
      <c r="F2797" s="6">
        <v>619177</v>
      </c>
      <c r="G2797" s="6" t="s">
        <v>5744</v>
      </c>
    </row>
    <row r="2798" spans="1:7">
      <c r="A2798" s="6">
        <v>1001</v>
      </c>
      <c r="B2798" s="6">
        <v>6</v>
      </c>
      <c r="C2798" s="6">
        <v>1001</v>
      </c>
      <c r="D2798" s="6" t="s">
        <v>5745</v>
      </c>
      <c r="E2798" s="6" t="s">
        <v>5746</v>
      </c>
      <c r="F2798" s="6">
        <v>619178</v>
      </c>
      <c r="G2798" s="6" t="s">
        <v>5747</v>
      </c>
    </row>
    <row r="2799" spans="1:7">
      <c r="A2799" s="6">
        <v>1001</v>
      </c>
      <c r="B2799" s="6">
        <v>6</v>
      </c>
      <c r="C2799" s="6">
        <v>1001</v>
      </c>
      <c r="D2799" s="6" t="s">
        <v>5748</v>
      </c>
      <c r="E2799" s="6" t="s">
        <v>4483</v>
      </c>
      <c r="F2799" s="6">
        <v>619179</v>
      </c>
      <c r="G2799" s="6" t="s">
        <v>5749</v>
      </c>
    </row>
    <row r="2800" spans="1:7">
      <c r="A2800" s="6">
        <v>1001</v>
      </c>
      <c r="B2800" s="6">
        <v>6</v>
      </c>
      <c r="C2800" s="6">
        <v>1001</v>
      </c>
      <c r="D2800" s="6" t="s">
        <v>5750</v>
      </c>
      <c r="E2800" s="6" t="s">
        <v>4483</v>
      </c>
      <c r="F2800" s="6">
        <v>619180</v>
      </c>
      <c r="G2800" s="6" t="s">
        <v>5751</v>
      </c>
    </row>
    <row r="2801" spans="1:7">
      <c r="A2801" s="6">
        <v>1001</v>
      </c>
      <c r="B2801" s="6">
        <v>6</v>
      </c>
      <c r="C2801" s="6">
        <v>1001</v>
      </c>
      <c r="D2801" s="6" t="s">
        <v>5752</v>
      </c>
      <c r="E2801" s="6" t="s">
        <v>5734</v>
      </c>
      <c r="F2801" s="6">
        <v>619181</v>
      </c>
      <c r="G2801" s="6" t="s">
        <v>5575</v>
      </c>
    </row>
    <row r="2802" spans="1:7">
      <c r="A2802" s="6">
        <v>1001</v>
      </c>
      <c r="B2802" s="6">
        <v>6</v>
      </c>
      <c r="C2802" s="6">
        <v>1001</v>
      </c>
      <c r="D2802" s="6" t="s">
        <v>5753</v>
      </c>
      <c r="E2802" s="6" t="s">
        <v>5736</v>
      </c>
      <c r="F2802" s="6">
        <v>619182</v>
      </c>
      <c r="G2802" s="6" t="s">
        <v>5754</v>
      </c>
    </row>
    <row r="2803" spans="1:7">
      <c r="A2803" s="6">
        <v>1001</v>
      </c>
      <c r="B2803" s="6">
        <v>1</v>
      </c>
      <c r="C2803" s="6">
        <v>1001</v>
      </c>
      <c r="D2803" s="6" t="s">
        <v>5755</v>
      </c>
      <c r="E2803" s="6" t="s">
        <v>5738</v>
      </c>
      <c r="F2803" s="6">
        <v>619183</v>
      </c>
      <c r="G2803" s="6" t="s">
        <v>5756</v>
      </c>
    </row>
    <row r="2804" spans="1:7">
      <c r="A2804" s="6">
        <v>1001</v>
      </c>
      <c r="B2804" s="6">
        <v>1</v>
      </c>
      <c r="C2804" s="6">
        <v>1001</v>
      </c>
      <c r="D2804" s="6" t="s">
        <v>5757</v>
      </c>
      <c r="E2804" s="6" t="s">
        <v>4483</v>
      </c>
      <c r="F2804" s="6">
        <v>619184</v>
      </c>
      <c r="G2804" s="6" t="s">
        <v>5758</v>
      </c>
    </row>
    <row r="2805" spans="1:7">
      <c r="A2805" s="6">
        <v>1001</v>
      </c>
      <c r="B2805" s="6">
        <v>6</v>
      </c>
      <c r="C2805" s="6">
        <v>1001</v>
      </c>
      <c r="D2805" s="6" t="s">
        <v>5028</v>
      </c>
      <c r="E2805" s="6" t="s">
        <v>4995</v>
      </c>
      <c r="F2805" s="6">
        <v>619185</v>
      </c>
      <c r="G2805" s="6" t="s">
        <v>5759</v>
      </c>
    </row>
    <row r="2806" spans="1:7">
      <c r="A2806" s="6">
        <v>1001</v>
      </c>
      <c r="B2806" s="6">
        <v>6</v>
      </c>
      <c r="C2806" s="6">
        <v>1001</v>
      </c>
      <c r="D2806" s="6" t="s">
        <v>5760</v>
      </c>
      <c r="E2806" s="6" t="s">
        <v>5743</v>
      </c>
      <c r="F2806" s="6">
        <v>619186</v>
      </c>
      <c r="G2806" s="6" t="s">
        <v>5761</v>
      </c>
    </row>
    <row r="2807" spans="1:7">
      <c r="A2807" s="6">
        <v>1001</v>
      </c>
      <c r="B2807" s="6">
        <v>6</v>
      </c>
      <c r="C2807" s="6">
        <v>1001</v>
      </c>
      <c r="D2807" s="6" t="s">
        <v>5028</v>
      </c>
      <c r="E2807" s="6" t="s">
        <v>5745</v>
      </c>
      <c r="F2807" s="6">
        <v>619187</v>
      </c>
      <c r="G2807" s="6" t="s">
        <v>4513</v>
      </c>
    </row>
    <row r="2808" spans="1:7">
      <c r="A2808" s="6">
        <v>1001</v>
      </c>
      <c r="B2808" s="6">
        <v>6</v>
      </c>
      <c r="C2808" s="6">
        <v>1001</v>
      </c>
      <c r="D2808" s="6" t="s">
        <v>5677</v>
      </c>
      <c r="E2808" s="6" t="s">
        <v>4483</v>
      </c>
      <c r="F2808" s="6">
        <v>619188</v>
      </c>
      <c r="G2808" s="6" t="s">
        <v>4513</v>
      </c>
    </row>
    <row r="2809" spans="1:7">
      <c r="A2809" s="6">
        <v>1001</v>
      </c>
      <c r="B2809" s="6">
        <v>1</v>
      </c>
      <c r="C2809" s="6">
        <v>1001</v>
      </c>
      <c r="D2809" s="6" t="s">
        <v>5623</v>
      </c>
      <c r="E2809" s="6" t="s">
        <v>4483</v>
      </c>
      <c r="F2809" s="6">
        <v>619189</v>
      </c>
      <c r="G2809" s="6" t="s">
        <v>5625</v>
      </c>
    </row>
    <row r="2810" spans="1:7">
      <c r="A2810" s="6">
        <v>1001</v>
      </c>
      <c r="B2810" s="6">
        <v>1</v>
      </c>
      <c r="C2810" s="6">
        <v>1001</v>
      </c>
      <c r="D2810" s="6" t="s">
        <v>5626</v>
      </c>
      <c r="E2810" s="6" t="s">
        <v>4483</v>
      </c>
      <c r="F2810" s="6">
        <v>619190</v>
      </c>
      <c r="G2810" s="6" t="s">
        <v>5627</v>
      </c>
    </row>
    <row r="2811" spans="1:7">
      <c r="A2811" s="6">
        <v>1001</v>
      </c>
      <c r="B2811" s="6">
        <v>6</v>
      </c>
      <c r="C2811" s="6">
        <v>1001</v>
      </c>
      <c r="D2811" s="6" t="s">
        <v>5628</v>
      </c>
      <c r="E2811" s="6" t="s">
        <v>4483</v>
      </c>
      <c r="F2811" s="6">
        <v>619191</v>
      </c>
      <c r="G2811" s="6" t="s">
        <v>5629</v>
      </c>
    </row>
    <row r="2812" spans="1:7">
      <c r="A2812" s="25">
        <v>1001</v>
      </c>
      <c r="B2812" s="25">
        <v>6</v>
      </c>
      <c r="C2812" s="25">
        <v>1001</v>
      </c>
      <c r="D2812" t="s">
        <v>5762</v>
      </c>
      <c r="E2812" s="6" t="s">
        <v>5755</v>
      </c>
      <c r="F2812" s="6">
        <v>619192</v>
      </c>
      <c r="G2812" t="s">
        <v>5763</v>
      </c>
    </row>
    <row r="2813" spans="1:7">
      <c r="A2813" s="25">
        <v>1001</v>
      </c>
      <c r="B2813" s="25">
        <v>6</v>
      </c>
      <c r="C2813" s="25">
        <v>1001</v>
      </c>
      <c r="D2813" t="s">
        <v>5762</v>
      </c>
      <c r="E2813" s="6" t="s">
        <v>5757</v>
      </c>
      <c r="F2813" s="6">
        <v>619193</v>
      </c>
      <c r="G2813" t="s">
        <v>5764</v>
      </c>
    </row>
    <row r="2814" spans="1:7">
      <c r="A2814" s="25">
        <v>1001</v>
      </c>
      <c r="B2814" s="25">
        <v>6</v>
      </c>
      <c r="C2814" s="25">
        <v>1001</v>
      </c>
      <c r="D2814" t="s">
        <v>5762</v>
      </c>
      <c r="E2814" s="6" t="s">
        <v>5765</v>
      </c>
      <c r="F2814" s="6">
        <v>619194</v>
      </c>
      <c r="G2814" t="s">
        <v>5766</v>
      </c>
    </row>
    <row r="2815" spans="1:7">
      <c r="A2815" s="25">
        <v>1001</v>
      </c>
      <c r="B2815" s="25">
        <v>6</v>
      </c>
      <c r="C2815" s="25">
        <v>1001</v>
      </c>
      <c r="D2815" t="s">
        <v>5762</v>
      </c>
      <c r="E2815" s="6" t="s">
        <v>4483</v>
      </c>
      <c r="F2815" s="6">
        <v>619195</v>
      </c>
      <c r="G2815" t="s">
        <v>5767</v>
      </c>
    </row>
    <row r="2816" spans="1:7">
      <c r="A2816" s="25">
        <v>1001</v>
      </c>
      <c r="B2816" s="25">
        <v>6</v>
      </c>
      <c r="C2816" s="25">
        <v>1001</v>
      </c>
      <c r="D2816" t="s">
        <v>5762</v>
      </c>
      <c r="E2816" s="6" t="s">
        <v>5028</v>
      </c>
      <c r="F2816" s="6">
        <v>619196</v>
      </c>
      <c r="G2816" t="s">
        <v>5768</v>
      </c>
    </row>
    <row r="2817" spans="1:7">
      <c r="A2817" s="25">
        <v>1001</v>
      </c>
      <c r="B2817" s="25">
        <v>6</v>
      </c>
      <c r="C2817" s="25">
        <v>1001</v>
      </c>
      <c r="D2817" t="s">
        <v>5762</v>
      </c>
      <c r="E2817" s="6" t="s">
        <v>5677</v>
      </c>
      <c r="F2817" s="6">
        <v>619197</v>
      </c>
      <c r="G2817" t="s">
        <v>5769</v>
      </c>
    </row>
    <row r="2818" spans="1:7">
      <c r="A2818" s="25">
        <v>1001</v>
      </c>
      <c r="B2818" s="25">
        <v>6</v>
      </c>
      <c r="C2818" s="25">
        <v>1001</v>
      </c>
      <c r="D2818" t="s">
        <v>5762</v>
      </c>
      <c r="E2818" s="6" t="s">
        <v>5770</v>
      </c>
      <c r="F2818" s="6">
        <v>619198</v>
      </c>
      <c r="G2818" t="s">
        <v>5771</v>
      </c>
    </row>
    <row r="2819" spans="1:7">
      <c r="A2819" s="25">
        <v>1001</v>
      </c>
      <c r="B2819" s="25">
        <v>6</v>
      </c>
      <c r="C2819" s="25">
        <v>1001</v>
      </c>
      <c r="D2819" t="s">
        <v>5762</v>
      </c>
      <c r="E2819" s="6" t="s">
        <v>5772</v>
      </c>
      <c r="F2819" s="6">
        <v>619199</v>
      </c>
      <c r="G2819" t="s">
        <v>5773</v>
      </c>
    </row>
    <row r="2820" spans="1:7">
      <c r="A2820" s="25">
        <v>1001</v>
      </c>
      <c r="B2820" s="25">
        <v>6</v>
      </c>
      <c r="C2820" s="25">
        <v>1001</v>
      </c>
      <c r="D2820" t="s">
        <v>5762</v>
      </c>
      <c r="E2820" s="6" t="s">
        <v>5628</v>
      </c>
      <c r="F2820" s="6">
        <v>619200</v>
      </c>
      <c r="G2820" t="s">
        <v>5774</v>
      </c>
    </row>
    <row r="2821" spans="1:7">
      <c r="A2821" s="25">
        <v>1001</v>
      </c>
      <c r="B2821" s="25">
        <v>6</v>
      </c>
      <c r="C2821" s="25">
        <v>1001</v>
      </c>
      <c r="D2821" t="s">
        <v>5762</v>
      </c>
      <c r="E2821" t="s">
        <v>5762</v>
      </c>
      <c r="F2821">
        <v>619201</v>
      </c>
      <c r="G2821" t="s">
        <v>5775</v>
      </c>
    </row>
    <row r="2822" s="6" customFormat="1" spans="1:7">
      <c r="A2822" s="25">
        <v>1001</v>
      </c>
      <c r="B2822" s="25">
        <v>6</v>
      </c>
      <c r="C2822" s="25">
        <v>1001</v>
      </c>
      <c r="D2822" s="6" t="s">
        <v>5762</v>
      </c>
      <c r="E2822" s="6" t="s">
        <v>5762</v>
      </c>
      <c r="F2822" s="6">
        <v>619202</v>
      </c>
      <c r="G2822" s="6" t="s">
        <v>5776</v>
      </c>
    </row>
    <row r="2823" s="6" customFormat="1" spans="1:7">
      <c r="A2823" s="25">
        <v>1001</v>
      </c>
      <c r="B2823" s="25">
        <v>6</v>
      </c>
      <c r="C2823" s="25">
        <v>1001</v>
      </c>
      <c r="D2823" s="6" t="s">
        <v>5762</v>
      </c>
      <c r="E2823" s="6" t="s">
        <v>5762</v>
      </c>
      <c r="F2823" s="6">
        <v>619203</v>
      </c>
      <c r="G2823" s="6" t="s">
        <v>5777</v>
      </c>
    </row>
    <row r="2824" s="6" customFormat="1" spans="1:7">
      <c r="A2824" s="25">
        <v>1001</v>
      </c>
      <c r="B2824" s="25">
        <v>6</v>
      </c>
      <c r="C2824" s="25">
        <v>1001</v>
      </c>
      <c r="D2824" s="6" t="s">
        <v>5762</v>
      </c>
      <c r="E2824" s="6" t="s">
        <v>5762</v>
      </c>
      <c r="F2824" s="6">
        <v>619204</v>
      </c>
      <c r="G2824" s="6" t="s">
        <v>5778</v>
      </c>
    </row>
    <row r="2825" spans="1:7">
      <c r="A2825" s="25">
        <v>1001</v>
      </c>
      <c r="B2825" s="25">
        <v>6</v>
      </c>
      <c r="C2825" s="25">
        <v>1001</v>
      </c>
      <c r="D2825" t="s">
        <v>5762</v>
      </c>
      <c r="E2825" t="s">
        <v>5762</v>
      </c>
      <c r="F2825">
        <v>619205</v>
      </c>
      <c r="G2825" t="s">
        <v>5779</v>
      </c>
    </row>
    <row r="2826" spans="1:7">
      <c r="A2826" s="25">
        <v>1001</v>
      </c>
      <c r="B2826" s="25">
        <v>6</v>
      </c>
      <c r="C2826" s="25">
        <v>1001</v>
      </c>
      <c r="D2826" t="s">
        <v>5762</v>
      </c>
      <c r="E2826" t="s">
        <v>5762</v>
      </c>
      <c r="F2826">
        <v>619206</v>
      </c>
      <c r="G2826" t="s">
        <v>5780</v>
      </c>
    </row>
    <row r="2827" spans="1:7">
      <c r="A2827" s="25">
        <v>1001</v>
      </c>
      <c r="B2827" s="25">
        <v>6</v>
      </c>
      <c r="C2827" s="25">
        <v>1001</v>
      </c>
      <c r="D2827" t="s">
        <v>5762</v>
      </c>
      <c r="E2827" t="s">
        <v>5762</v>
      </c>
      <c r="F2827">
        <v>619207</v>
      </c>
      <c r="G2827" t="s">
        <v>5781</v>
      </c>
    </row>
    <row r="2828" spans="1:7">
      <c r="A2828" s="25">
        <v>1001</v>
      </c>
      <c r="B2828" s="25">
        <v>6</v>
      </c>
      <c r="C2828" s="25">
        <v>1001</v>
      </c>
      <c r="D2828" t="s">
        <v>5762</v>
      </c>
      <c r="E2828" t="s">
        <v>5762</v>
      </c>
      <c r="F2828">
        <v>619208</v>
      </c>
      <c r="G2828" t="s">
        <v>5782</v>
      </c>
    </row>
    <row r="2829" spans="1:7">
      <c r="A2829" s="25">
        <v>1001</v>
      </c>
      <c r="B2829" s="25">
        <v>6</v>
      </c>
      <c r="C2829" s="25">
        <v>1001</v>
      </c>
      <c r="D2829" t="s">
        <v>5762</v>
      </c>
      <c r="E2829" t="s">
        <v>5762</v>
      </c>
      <c r="F2829">
        <v>619209</v>
      </c>
      <c r="G2829" t="s">
        <v>5783</v>
      </c>
    </row>
    <row r="2830" spans="1:7">
      <c r="A2830" s="25">
        <v>1001</v>
      </c>
      <c r="B2830" s="25">
        <v>6</v>
      </c>
      <c r="C2830" s="25">
        <v>1001</v>
      </c>
      <c r="D2830" t="s">
        <v>5762</v>
      </c>
      <c r="E2830" t="s">
        <v>5762</v>
      </c>
      <c r="F2830">
        <v>619210</v>
      </c>
      <c r="G2830" t="s">
        <v>5784</v>
      </c>
    </row>
    <row r="2831" spans="1:7">
      <c r="A2831" s="25">
        <v>1001</v>
      </c>
      <c r="B2831" s="25">
        <v>6</v>
      </c>
      <c r="C2831" s="25">
        <v>1001</v>
      </c>
      <c r="D2831" t="s">
        <v>5762</v>
      </c>
      <c r="E2831" s="6" t="s">
        <v>5762</v>
      </c>
      <c r="F2831" s="6">
        <v>619211</v>
      </c>
      <c r="G2831" t="s">
        <v>5785</v>
      </c>
    </row>
    <row r="2832" spans="1:7">
      <c r="A2832" s="25">
        <v>1001</v>
      </c>
      <c r="B2832" s="25">
        <v>6</v>
      </c>
      <c r="C2832" s="25">
        <v>1001</v>
      </c>
      <c r="D2832" t="s">
        <v>5762</v>
      </c>
      <c r="E2832" s="6" t="s">
        <v>5762</v>
      </c>
      <c r="F2832" s="6">
        <v>619212</v>
      </c>
      <c r="G2832" t="s">
        <v>5786</v>
      </c>
    </row>
    <row r="2833" spans="1:7">
      <c r="A2833" s="25">
        <v>1001</v>
      </c>
      <c r="B2833" s="25">
        <v>6</v>
      </c>
      <c r="C2833" s="25">
        <v>1001</v>
      </c>
      <c r="D2833" t="s">
        <v>5762</v>
      </c>
      <c r="E2833" s="6" t="s">
        <v>5762</v>
      </c>
      <c r="F2833" s="6">
        <v>619213</v>
      </c>
      <c r="G2833" t="s">
        <v>5787</v>
      </c>
    </row>
    <row r="2834" spans="1:7">
      <c r="A2834" s="25">
        <v>1001</v>
      </c>
      <c r="B2834" s="25">
        <v>6</v>
      </c>
      <c r="C2834" s="25">
        <v>1001</v>
      </c>
      <c r="D2834" t="s">
        <v>5762</v>
      </c>
      <c r="E2834" t="s">
        <v>5762</v>
      </c>
      <c r="F2834">
        <v>619214</v>
      </c>
      <c r="G2834" t="s">
        <v>5788</v>
      </c>
    </row>
    <row r="2835" spans="1:7">
      <c r="A2835" s="25">
        <v>1001</v>
      </c>
      <c r="B2835" s="25">
        <v>6</v>
      </c>
      <c r="C2835" s="25">
        <v>1001</v>
      </c>
      <c r="D2835" t="s">
        <v>5762</v>
      </c>
      <c r="E2835" t="s">
        <v>5762</v>
      </c>
      <c r="F2835">
        <v>619215</v>
      </c>
      <c r="G2835" t="s">
        <v>5789</v>
      </c>
    </row>
    <row r="2836" spans="1:7">
      <c r="A2836" s="25">
        <v>1001</v>
      </c>
      <c r="B2836" s="25">
        <v>6</v>
      </c>
      <c r="C2836" s="25">
        <v>1001</v>
      </c>
      <c r="D2836" t="s">
        <v>5762</v>
      </c>
      <c r="E2836" t="s">
        <v>5762</v>
      </c>
      <c r="F2836">
        <v>619216</v>
      </c>
      <c r="G2836" t="s">
        <v>5790</v>
      </c>
    </row>
    <row r="2837" spans="1:7">
      <c r="A2837" s="25">
        <v>1001</v>
      </c>
      <c r="B2837" s="25">
        <v>6</v>
      </c>
      <c r="C2837" s="25">
        <v>1001</v>
      </c>
      <c r="D2837" t="s">
        <v>5762</v>
      </c>
      <c r="E2837" t="s">
        <v>5762</v>
      </c>
      <c r="F2837">
        <v>619217</v>
      </c>
      <c r="G2837" t="s">
        <v>5791</v>
      </c>
    </row>
    <row r="2838" spans="1:7">
      <c r="A2838" s="25">
        <v>1001</v>
      </c>
      <c r="B2838" s="25">
        <v>6</v>
      </c>
      <c r="C2838" s="25">
        <v>1001</v>
      </c>
      <c r="D2838" t="s">
        <v>5762</v>
      </c>
      <c r="E2838" t="s">
        <v>5762</v>
      </c>
      <c r="F2838">
        <v>619218</v>
      </c>
      <c r="G2838" t="s">
        <v>5792</v>
      </c>
    </row>
    <row r="2839" spans="1:7">
      <c r="A2839" s="25">
        <v>1001</v>
      </c>
      <c r="B2839" s="25">
        <v>6</v>
      </c>
      <c r="C2839" s="25">
        <v>1001</v>
      </c>
      <c r="D2839" t="s">
        <v>5762</v>
      </c>
      <c r="E2839" t="s">
        <v>5762</v>
      </c>
      <c r="F2839">
        <v>619219</v>
      </c>
      <c r="G2839" t="s">
        <v>5793</v>
      </c>
    </row>
    <row r="2840" spans="1:7">
      <c r="A2840" s="25">
        <v>1001</v>
      </c>
      <c r="B2840" s="25">
        <v>6</v>
      </c>
      <c r="C2840" s="25">
        <v>1001</v>
      </c>
      <c r="D2840" t="s">
        <v>5762</v>
      </c>
      <c r="E2840" t="s">
        <v>5762</v>
      </c>
      <c r="F2840">
        <v>619220</v>
      </c>
      <c r="G2840" t="s">
        <v>5794</v>
      </c>
    </row>
    <row r="2841" spans="1:7">
      <c r="A2841" s="25">
        <v>1001</v>
      </c>
      <c r="B2841" s="25">
        <v>6</v>
      </c>
      <c r="C2841" s="25">
        <v>1001</v>
      </c>
      <c r="D2841" t="s">
        <v>5762</v>
      </c>
      <c r="E2841" t="s">
        <v>5762</v>
      </c>
      <c r="F2841">
        <v>619221</v>
      </c>
      <c r="G2841" t="s">
        <v>5795</v>
      </c>
    </row>
    <row r="2842" spans="1:7">
      <c r="A2842" s="25">
        <v>1001</v>
      </c>
      <c r="B2842" s="25">
        <v>6</v>
      </c>
      <c r="C2842" s="25">
        <v>1001</v>
      </c>
      <c r="D2842" t="s">
        <v>5762</v>
      </c>
      <c r="E2842" t="s">
        <v>5762</v>
      </c>
      <c r="F2842">
        <v>619222</v>
      </c>
      <c r="G2842" t="s">
        <v>5796</v>
      </c>
    </row>
    <row r="2843" spans="1:7">
      <c r="A2843" s="25">
        <v>1001</v>
      </c>
      <c r="B2843" s="25">
        <v>6</v>
      </c>
      <c r="C2843" s="25">
        <v>1001</v>
      </c>
      <c r="D2843" t="s">
        <v>5762</v>
      </c>
      <c r="E2843" t="s">
        <v>5762</v>
      </c>
      <c r="F2843">
        <v>619223</v>
      </c>
      <c r="G2843" t="s">
        <v>5797</v>
      </c>
    </row>
    <row r="2844" spans="1:7">
      <c r="A2844" s="25">
        <v>1001</v>
      </c>
      <c r="B2844" s="25">
        <v>6</v>
      </c>
      <c r="C2844" s="25">
        <v>1001</v>
      </c>
      <c r="D2844" t="s">
        <v>5762</v>
      </c>
      <c r="E2844" t="s">
        <v>5762</v>
      </c>
      <c r="F2844">
        <v>619224</v>
      </c>
      <c r="G2844" t="s">
        <v>5798</v>
      </c>
    </row>
    <row r="2845" s="6" customFormat="1" spans="1:7">
      <c r="A2845" s="6">
        <v>1001</v>
      </c>
      <c r="B2845" s="6">
        <v>6</v>
      </c>
      <c r="C2845" s="6">
        <v>1001</v>
      </c>
      <c r="D2845" s="6" t="s">
        <v>5799</v>
      </c>
      <c r="E2845" s="6" t="s">
        <v>5762</v>
      </c>
      <c r="F2845" s="6">
        <v>619225</v>
      </c>
      <c r="G2845" s="6" t="s">
        <v>5800</v>
      </c>
    </row>
    <row r="2846" spans="1:7">
      <c r="A2846" s="25">
        <v>1001</v>
      </c>
      <c r="B2846" s="25">
        <v>6</v>
      </c>
      <c r="C2846" s="25">
        <v>1001</v>
      </c>
      <c r="D2846" t="s">
        <v>5762</v>
      </c>
      <c r="E2846" t="s">
        <v>5762</v>
      </c>
      <c r="F2846">
        <v>619226</v>
      </c>
      <c r="G2846" t="s">
        <v>5801</v>
      </c>
    </row>
    <row r="2847" spans="1:7">
      <c r="A2847" s="25">
        <v>1001</v>
      </c>
      <c r="B2847" s="25">
        <v>6</v>
      </c>
      <c r="C2847" s="25">
        <v>1001</v>
      </c>
      <c r="D2847" t="s">
        <v>5762</v>
      </c>
      <c r="E2847" t="s">
        <v>5762</v>
      </c>
      <c r="F2847">
        <v>619227</v>
      </c>
      <c r="G2847" t="s">
        <v>5802</v>
      </c>
    </row>
    <row r="2848" spans="1:7">
      <c r="A2848" s="25">
        <v>1001</v>
      </c>
      <c r="B2848" s="25">
        <v>6</v>
      </c>
      <c r="C2848" s="25">
        <v>1001</v>
      </c>
      <c r="D2848" t="s">
        <v>5762</v>
      </c>
      <c r="E2848" t="s">
        <v>5762</v>
      </c>
      <c r="F2848">
        <v>619228</v>
      </c>
      <c r="G2848" t="s">
        <v>5803</v>
      </c>
    </row>
    <row r="2849" spans="1:7">
      <c r="A2849" s="25">
        <v>1001</v>
      </c>
      <c r="B2849" s="25">
        <v>6</v>
      </c>
      <c r="C2849" s="25">
        <v>1001</v>
      </c>
      <c r="D2849" t="s">
        <v>5762</v>
      </c>
      <c r="E2849" t="s">
        <v>5762</v>
      </c>
      <c r="F2849">
        <v>619229</v>
      </c>
      <c r="G2849" t="s">
        <v>5804</v>
      </c>
    </row>
    <row r="2850" spans="1:7">
      <c r="A2850" s="25">
        <v>1001</v>
      </c>
      <c r="B2850" s="25">
        <v>6</v>
      </c>
      <c r="C2850" s="25">
        <v>1001</v>
      </c>
      <c r="D2850" t="s">
        <v>5762</v>
      </c>
      <c r="E2850" t="s">
        <v>5762</v>
      </c>
      <c r="F2850">
        <v>619230</v>
      </c>
      <c r="G2850" t="s">
        <v>5805</v>
      </c>
    </row>
    <row r="2851" spans="1:7">
      <c r="A2851">
        <v>1001</v>
      </c>
      <c r="B2851">
        <v>6</v>
      </c>
      <c r="C2851">
        <v>1001</v>
      </c>
      <c r="D2851" t="s">
        <v>5799</v>
      </c>
      <c r="E2851" t="s">
        <v>5762</v>
      </c>
      <c r="F2851">
        <v>619231</v>
      </c>
      <c r="G2851" t="s">
        <v>5800</v>
      </c>
    </row>
    <row r="2852" spans="1:7">
      <c r="A2852" s="25">
        <v>1001</v>
      </c>
      <c r="B2852" s="25">
        <v>6</v>
      </c>
      <c r="C2852" s="25">
        <v>1001</v>
      </c>
      <c r="D2852" t="s">
        <v>5762</v>
      </c>
      <c r="E2852" t="s">
        <v>5762</v>
      </c>
      <c r="F2852">
        <v>619232</v>
      </c>
      <c r="G2852" t="s">
        <v>5806</v>
      </c>
    </row>
    <row r="2853" spans="1:7">
      <c r="A2853" s="25">
        <v>1001</v>
      </c>
      <c r="B2853" s="25">
        <v>6</v>
      </c>
      <c r="C2853" s="25">
        <v>1001</v>
      </c>
      <c r="D2853" t="s">
        <v>5762</v>
      </c>
      <c r="E2853" t="s">
        <v>5762</v>
      </c>
      <c r="F2853">
        <v>619233</v>
      </c>
      <c r="G2853" t="s">
        <v>5807</v>
      </c>
    </row>
    <row r="2854" spans="1:7">
      <c r="A2854" s="25">
        <v>1001</v>
      </c>
      <c r="B2854" s="25">
        <v>6</v>
      </c>
      <c r="C2854" s="25">
        <v>1001</v>
      </c>
      <c r="D2854" t="s">
        <v>5762</v>
      </c>
      <c r="E2854" s="6" t="s">
        <v>5799</v>
      </c>
      <c r="F2854" s="6">
        <v>619234</v>
      </c>
      <c r="G2854" t="s">
        <v>5808</v>
      </c>
    </row>
    <row r="2855" spans="1:7">
      <c r="A2855" s="25">
        <v>1001</v>
      </c>
      <c r="B2855" s="25">
        <v>6</v>
      </c>
      <c r="C2855" s="25">
        <v>1001</v>
      </c>
      <c r="D2855" t="s">
        <v>5762</v>
      </c>
      <c r="E2855" t="s">
        <v>5762</v>
      </c>
      <c r="F2855">
        <v>619235</v>
      </c>
      <c r="G2855" t="s">
        <v>5809</v>
      </c>
    </row>
    <row r="2856" spans="1:7">
      <c r="A2856" s="25">
        <v>1001</v>
      </c>
      <c r="B2856" s="25">
        <v>6</v>
      </c>
      <c r="C2856" s="25">
        <v>1001</v>
      </c>
      <c r="D2856" t="s">
        <v>5762</v>
      </c>
      <c r="E2856" t="s">
        <v>5762</v>
      </c>
      <c r="F2856">
        <v>619236</v>
      </c>
      <c r="G2856" t="s">
        <v>5810</v>
      </c>
    </row>
    <row r="2857" spans="1:7">
      <c r="A2857">
        <v>1001</v>
      </c>
      <c r="B2857">
        <v>6</v>
      </c>
      <c r="C2857">
        <v>1001</v>
      </c>
      <c r="D2857" t="s">
        <v>5799</v>
      </c>
      <c r="E2857" t="s">
        <v>5762</v>
      </c>
      <c r="F2857">
        <v>619237</v>
      </c>
      <c r="G2857" t="s">
        <v>5811</v>
      </c>
    </row>
    <row r="2858" spans="1:7">
      <c r="A2858" s="25">
        <v>1001</v>
      </c>
      <c r="B2858" s="25">
        <v>6</v>
      </c>
      <c r="C2858" s="25">
        <v>1001</v>
      </c>
      <c r="D2858" t="s">
        <v>5762</v>
      </c>
      <c r="E2858" t="s">
        <v>5762</v>
      </c>
      <c r="F2858">
        <v>619238</v>
      </c>
      <c r="G2858" t="s">
        <v>5812</v>
      </c>
    </row>
    <row r="2859" spans="1:7">
      <c r="A2859" s="25">
        <v>1001</v>
      </c>
      <c r="B2859" s="25">
        <v>6</v>
      </c>
      <c r="C2859" s="25">
        <v>1001</v>
      </c>
      <c r="D2859" t="s">
        <v>5762</v>
      </c>
      <c r="E2859" t="s">
        <v>5762</v>
      </c>
      <c r="F2859">
        <v>619239</v>
      </c>
      <c r="G2859" t="s">
        <v>5813</v>
      </c>
    </row>
    <row r="2860" spans="1:7">
      <c r="A2860" s="25">
        <v>1001</v>
      </c>
      <c r="B2860" s="25">
        <v>6</v>
      </c>
      <c r="C2860" s="25">
        <v>1001</v>
      </c>
      <c r="D2860" t="s">
        <v>5762</v>
      </c>
      <c r="E2860" t="s">
        <v>5799</v>
      </c>
      <c r="F2860">
        <v>619240</v>
      </c>
      <c r="G2860" t="s">
        <v>5814</v>
      </c>
    </row>
    <row r="2861" spans="1:7">
      <c r="A2861" s="25">
        <v>1001</v>
      </c>
      <c r="B2861" s="25">
        <v>6</v>
      </c>
      <c r="C2861" s="25">
        <v>1001</v>
      </c>
      <c r="D2861" t="s">
        <v>5762</v>
      </c>
      <c r="E2861" t="s">
        <v>5762</v>
      </c>
      <c r="F2861">
        <v>619241</v>
      </c>
      <c r="G2861" t="s">
        <v>5815</v>
      </c>
    </row>
    <row r="2862" spans="1:7">
      <c r="A2862" s="25">
        <v>1001</v>
      </c>
      <c r="B2862" s="25">
        <v>6</v>
      </c>
      <c r="C2862" s="25">
        <v>1001</v>
      </c>
      <c r="D2862" t="s">
        <v>5762</v>
      </c>
      <c r="E2862" t="s">
        <v>5762</v>
      </c>
      <c r="F2862">
        <v>619242</v>
      </c>
      <c r="G2862" t="s">
        <v>5816</v>
      </c>
    </row>
    <row r="2863" spans="1:7">
      <c r="A2863">
        <v>1001</v>
      </c>
      <c r="B2863">
        <v>6</v>
      </c>
      <c r="C2863">
        <v>1001</v>
      </c>
      <c r="D2863" t="s">
        <v>5799</v>
      </c>
      <c r="E2863" t="s">
        <v>5762</v>
      </c>
      <c r="F2863">
        <v>619243</v>
      </c>
      <c r="G2863" t="s">
        <v>5811</v>
      </c>
    </row>
    <row r="2864" spans="1:7">
      <c r="A2864" s="25">
        <v>1001</v>
      </c>
      <c r="B2864" s="25">
        <v>1</v>
      </c>
      <c r="C2864" s="25">
        <v>1001</v>
      </c>
      <c r="D2864" s="25" t="s">
        <v>5143</v>
      </c>
      <c r="E2864" t="s">
        <v>5762</v>
      </c>
      <c r="F2864">
        <v>619244</v>
      </c>
      <c r="G2864" s="25" t="s">
        <v>5380</v>
      </c>
    </row>
    <row r="2865" spans="1:7">
      <c r="A2865" s="25">
        <v>1001</v>
      </c>
      <c r="B2865" s="25">
        <v>1</v>
      </c>
      <c r="C2865" s="25">
        <v>1001</v>
      </c>
      <c r="D2865" s="25" t="s">
        <v>5817</v>
      </c>
      <c r="E2865" t="s">
        <v>5762</v>
      </c>
      <c r="F2865">
        <v>619245</v>
      </c>
      <c r="G2865" s="25" t="s">
        <v>5383</v>
      </c>
    </row>
    <row r="2866" spans="1:7">
      <c r="A2866" s="6">
        <v>1001</v>
      </c>
      <c r="B2866" s="6">
        <v>6</v>
      </c>
      <c r="C2866" s="6">
        <v>1001</v>
      </c>
      <c r="D2866" s="6" t="s">
        <v>5677</v>
      </c>
      <c r="E2866" t="s">
        <v>5799</v>
      </c>
      <c r="F2866">
        <v>619246</v>
      </c>
      <c r="G2866" s="6" t="s">
        <v>5818</v>
      </c>
    </row>
    <row r="2867" spans="1:7">
      <c r="A2867" s="6">
        <v>1001</v>
      </c>
      <c r="B2867" s="6">
        <v>1</v>
      </c>
      <c r="C2867" s="6">
        <v>1001</v>
      </c>
      <c r="D2867" s="6" t="s">
        <v>5819</v>
      </c>
      <c r="E2867" t="s">
        <v>5762</v>
      </c>
      <c r="F2867">
        <v>619247</v>
      </c>
      <c r="G2867" s="6" t="s">
        <v>5742</v>
      </c>
    </row>
    <row r="2868" spans="1:7">
      <c r="A2868" s="6">
        <v>1001</v>
      </c>
      <c r="B2868" s="6">
        <v>1</v>
      </c>
      <c r="C2868" s="6">
        <v>1001</v>
      </c>
      <c r="D2868" s="6" t="s">
        <v>4626</v>
      </c>
      <c r="E2868" t="s">
        <v>5762</v>
      </c>
      <c r="F2868">
        <v>619248</v>
      </c>
      <c r="G2868" s="6" t="s">
        <v>5744</v>
      </c>
    </row>
    <row r="2869" spans="1:7">
      <c r="A2869" s="6">
        <v>1001</v>
      </c>
      <c r="B2869" s="6">
        <v>6</v>
      </c>
      <c r="C2869" s="6">
        <v>1001</v>
      </c>
      <c r="D2869" s="6" t="s">
        <v>5745</v>
      </c>
      <c r="E2869" t="s">
        <v>5762</v>
      </c>
      <c r="F2869">
        <v>619249</v>
      </c>
      <c r="G2869" s="6" t="s">
        <v>5747</v>
      </c>
    </row>
    <row r="2870" spans="1:7">
      <c r="A2870" s="6">
        <v>1001</v>
      </c>
      <c r="B2870" s="6">
        <v>6</v>
      </c>
      <c r="C2870" s="6">
        <v>1001</v>
      </c>
      <c r="D2870" s="6" t="s">
        <v>5820</v>
      </c>
      <c r="E2870" t="s">
        <v>5762</v>
      </c>
      <c r="F2870">
        <v>619250</v>
      </c>
      <c r="G2870" s="6" t="s">
        <v>5821</v>
      </c>
    </row>
    <row r="2871" spans="1:7">
      <c r="A2871" s="6">
        <v>1001</v>
      </c>
      <c r="B2871" s="6">
        <v>6</v>
      </c>
      <c r="C2871" s="6">
        <v>1001</v>
      </c>
      <c r="D2871" s="6" t="s">
        <v>5669</v>
      </c>
      <c r="E2871" t="s">
        <v>5762</v>
      </c>
      <c r="F2871">
        <v>619251</v>
      </c>
      <c r="G2871" s="6" t="s">
        <v>5822</v>
      </c>
    </row>
    <row r="2872" spans="1:7">
      <c r="A2872" s="6">
        <v>1001</v>
      </c>
      <c r="B2872" s="6">
        <v>6</v>
      </c>
      <c r="C2872" s="6">
        <v>1001</v>
      </c>
      <c r="D2872" s="6" t="s">
        <v>5671</v>
      </c>
      <c r="E2872" t="s">
        <v>5799</v>
      </c>
      <c r="F2872">
        <v>619252</v>
      </c>
      <c r="G2872" s="6" t="s">
        <v>5823</v>
      </c>
    </row>
    <row r="2873" spans="1:7">
      <c r="A2873">
        <v>1001</v>
      </c>
      <c r="B2873">
        <v>1</v>
      </c>
      <c r="C2873">
        <v>1001</v>
      </c>
      <c r="D2873" t="s">
        <v>4925</v>
      </c>
      <c r="E2873" s="25" t="s">
        <v>5143</v>
      </c>
      <c r="F2873">
        <v>619253</v>
      </c>
      <c r="G2873" t="s">
        <v>4926</v>
      </c>
    </row>
    <row r="2874" spans="1:7">
      <c r="A2874">
        <v>1001</v>
      </c>
      <c r="B2874">
        <v>1</v>
      </c>
      <c r="C2874">
        <v>1001</v>
      </c>
      <c r="D2874" t="s">
        <v>4927</v>
      </c>
      <c r="E2874" s="25" t="s">
        <v>5817</v>
      </c>
      <c r="F2874">
        <v>619254</v>
      </c>
      <c r="G2874" t="s">
        <v>4926</v>
      </c>
    </row>
    <row r="2875" spans="1:7">
      <c r="A2875" s="75">
        <v>1001</v>
      </c>
      <c r="B2875" s="25">
        <v>6</v>
      </c>
      <c r="C2875" s="25">
        <v>1001</v>
      </c>
      <c r="D2875" t="s">
        <v>4923</v>
      </c>
      <c r="E2875" s="6" t="s">
        <v>5677</v>
      </c>
      <c r="F2875">
        <v>619255</v>
      </c>
      <c r="G2875" t="s">
        <v>4924</v>
      </c>
    </row>
    <row r="2876" spans="1:7">
      <c r="A2876" s="75">
        <v>1001</v>
      </c>
      <c r="B2876" s="25">
        <v>6</v>
      </c>
      <c r="C2876" s="25">
        <v>1001</v>
      </c>
      <c r="D2876" t="s">
        <v>4643</v>
      </c>
      <c r="E2876" s="6" t="s">
        <v>5819</v>
      </c>
      <c r="F2876">
        <v>619256</v>
      </c>
      <c r="G2876" t="s">
        <v>5824</v>
      </c>
    </row>
    <row r="2877" spans="1:7">
      <c r="A2877" s="25">
        <v>1001</v>
      </c>
      <c r="B2877" s="25">
        <v>6</v>
      </c>
      <c r="C2877" s="25">
        <v>1001</v>
      </c>
      <c r="D2877" s="25" t="s">
        <v>5035</v>
      </c>
      <c r="E2877" s="6" t="s">
        <v>4626</v>
      </c>
      <c r="F2877">
        <v>619257</v>
      </c>
      <c r="G2877" s="25" t="s">
        <v>5825</v>
      </c>
    </row>
    <row r="2878" spans="1:7">
      <c r="A2878" s="6">
        <v>1001</v>
      </c>
      <c r="B2878" s="6">
        <v>6</v>
      </c>
      <c r="C2878" s="6">
        <v>1001</v>
      </c>
      <c r="D2878" s="6" t="s">
        <v>4483</v>
      </c>
      <c r="E2878" s="6" t="s">
        <v>5745</v>
      </c>
      <c r="F2878">
        <v>619258</v>
      </c>
      <c r="G2878" s="6" t="s">
        <v>5826</v>
      </c>
    </row>
    <row r="2879" spans="1:7">
      <c r="A2879">
        <v>1001</v>
      </c>
      <c r="B2879">
        <v>6</v>
      </c>
      <c r="C2879">
        <v>1001</v>
      </c>
      <c r="D2879" t="s">
        <v>5023</v>
      </c>
      <c r="E2879" s="6" t="s">
        <v>4483</v>
      </c>
      <c r="F2879">
        <v>619259</v>
      </c>
      <c r="G2879" s="79" t="s">
        <v>5827</v>
      </c>
    </row>
    <row r="2880" spans="1:7">
      <c r="A2880">
        <v>1001</v>
      </c>
      <c r="B2880">
        <v>6</v>
      </c>
      <c r="C2880">
        <v>1001</v>
      </c>
      <c r="D2880" t="s">
        <v>5828</v>
      </c>
      <c r="E2880" s="6" t="s">
        <v>5686</v>
      </c>
      <c r="F2880">
        <v>619260</v>
      </c>
      <c r="G2880" s="79" t="s">
        <v>5829</v>
      </c>
    </row>
    <row r="2881" spans="1:7">
      <c r="A2881">
        <v>1001</v>
      </c>
      <c r="B2881">
        <v>6</v>
      </c>
      <c r="C2881">
        <v>1001</v>
      </c>
      <c r="D2881" t="s">
        <v>5830</v>
      </c>
      <c r="E2881" s="6" t="s">
        <v>5686</v>
      </c>
      <c r="F2881">
        <v>619261</v>
      </c>
      <c r="G2881" s="79" t="s">
        <v>5831</v>
      </c>
    </row>
    <row r="2882" spans="1:7">
      <c r="A2882">
        <v>1001</v>
      </c>
      <c r="B2882">
        <v>6</v>
      </c>
      <c r="C2882">
        <v>1001</v>
      </c>
      <c r="D2882" t="s">
        <v>5832</v>
      </c>
      <c r="E2882" t="s">
        <v>4925</v>
      </c>
      <c r="F2882">
        <v>619262</v>
      </c>
      <c r="G2882" s="79" t="s">
        <v>5833</v>
      </c>
    </row>
    <row r="2883" spans="1:7">
      <c r="A2883">
        <v>1001</v>
      </c>
      <c r="B2883">
        <v>6</v>
      </c>
      <c r="C2883">
        <v>1001</v>
      </c>
      <c r="D2883" t="s">
        <v>5834</v>
      </c>
      <c r="E2883" t="s">
        <v>4927</v>
      </c>
      <c r="F2883">
        <v>619263</v>
      </c>
      <c r="G2883" s="79" t="s">
        <v>5835</v>
      </c>
    </row>
    <row r="2884" spans="1:7">
      <c r="A2884">
        <v>1001</v>
      </c>
      <c r="B2884">
        <v>6</v>
      </c>
      <c r="C2884">
        <v>1001</v>
      </c>
      <c r="D2884" t="s">
        <v>5836</v>
      </c>
      <c r="E2884" t="s">
        <v>4923</v>
      </c>
      <c r="F2884">
        <v>619264</v>
      </c>
      <c r="G2884" s="79" t="s">
        <v>5837</v>
      </c>
    </row>
    <row r="2885" spans="1:7">
      <c r="A2885">
        <v>1001</v>
      </c>
      <c r="B2885">
        <v>6</v>
      </c>
      <c r="C2885">
        <v>1001</v>
      </c>
      <c r="D2885" t="s">
        <v>5838</v>
      </c>
      <c r="E2885" t="s">
        <v>4643</v>
      </c>
      <c r="F2885">
        <v>619265</v>
      </c>
      <c r="G2885" s="79" t="s">
        <v>5839</v>
      </c>
    </row>
    <row r="2886" spans="1:7">
      <c r="A2886">
        <v>1001</v>
      </c>
      <c r="B2886">
        <v>6</v>
      </c>
      <c r="C2886">
        <v>1001</v>
      </c>
      <c r="D2886" t="s">
        <v>5840</v>
      </c>
      <c r="E2886" s="25" t="s">
        <v>5035</v>
      </c>
      <c r="F2886">
        <v>619266</v>
      </c>
      <c r="G2886" s="79" t="s">
        <v>5841</v>
      </c>
    </row>
    <row r="2887" spans="1:7">
      <c r="A2887">
        <v>1001</v>
      </c>
      <c r="B2887">
        <v>6</v>
      </c>
      <c r="C2887">
        <v>1001</v>
      </c>
      <c r="D2887" t="s">
        <v>5842</v>
      </c>
      <c r="E2887" s="6" t="s">
        <v>4483</v>
      </c>
      <c r="F2887">
        <v>619267</v>
      </c>
      <c r="G2887" s="79" t="s">
        <v>5843</v>
      </c>
    </row>
    <row r="2888" spans="1:7">
      <c r="A2888">
        <v>1001</v>
      </c>
      <c r="B2888">
        <v>6</v>
      </c>
      <c r="C2888">
        <v>1001</v>
      </c>
      <c r="D2888" t="s">
        <v>5844</v>
      </c>
      <c r="E2888" t="s">
        <v>4643</v>
      </c>
      <c r="F2888">
        <v>619268</v>
      </c>
      <c r="G2888" s="79" t="s">
        <v>5845</v>
      </c>
    </row>
    <row r="2889" spans="1:7">
      <c r="A2889">
        <v>1001</v>
      </c>
      <c r="B2889">
        <v>6</v>
      </c>
      <c r="C2889">
        <v>1001</v>
      </c>
      <c r="D2889" t="s">
        <v>5846</v>
      </c>
      <c r="E2889" t="s">
        <v>5847</v>
      </c>
      <c r="F2889">
        <v>619269</v>
      </c>
      <c r="G2889" s="79" t="s">
        <v>5848</v>
      </c>
    </row>
    <row r="2890" spans="1:7">
      <c r="A2890">
        <v>1001</v>
      </c>
      <c r="B2890">
        <v>6</v>
      </c>
      <c r="C2890">
        <v>1001</v>
      </c>
      <c r="D2890" t="s">
        <v>5849</v>
      </c>
      <c r="E2890" t="s">
        <v>5830</v>
      </c>
      <c r="F2890">
        <v>619270</v>
      </c>
      <c r="G2890" s="79" t="s">
        <v>5850</v>
      </c>
    </row>
    <row r="2891" spans="1:7">
      <c r="A2891">
        <v>1001</v>
      </c>
      <c r="B2891">
        <v>6</v>
      </c>
      <c r="C2891">
        <v>1001</v>
      </c>
      <c r="D2891" t="s">
        <v>5035</v>
      </c>
      <c r="E2891" t="s">
        <v>5832</v>
      </c>
      <c r="F2891">
        <v>619271</v>
      </c>
      <c r="G2891" s="6" t="s">
        <v>5851</v>
      </c>
    </row>
    <row r="2892" spans="1:7">
      <c r="A2892">
        <v>1001</v>
      </c>
      <c r="B2892">
        <v>6</v>
      </c>
      <c r="C2892">
        <v>1001</v>
      </c>
      <c r="D2892" t="s">
        <v>5852</v>
      </c>
      <c r="E2892" t="s">
        <v>5834</v>
      </c>
      <c r="F2892">
        <v>619272</v>
      </c>
      <c r="G2892" s="79" t="s">
        <v>5853</v>
      </c>
    </row>
    <row r="2893" spans="1:7">
      <c r="A2893">
        <v>1001</v>
      </c>
      <c r="B2893">
        <v>6</v>
      </c>
      <c r="C2893">
        <v>1001</v>
      </c>
      <c r="D2893" t="s">
        <v>5854</v>
      </c>
      <c r="E2893" t="s">
        <v>5836</v>
      </c>
      <c r="F2893">
        <v>619273</v>
      </c>
      <c r="G2893" t="s">
        <v>5855</v>
      </c>
    </row>
    <row r="2894" spans="1:7">
      <c r="A2894">
        <v>1001</v>
      </c>
      <c r="B2894">
        <v>6</v>
      </c>
      <c r="C2894">
        <v>1001</v>
      </c>
      <c r="D2894" t="s">
        <v>5856</v>
      </c>
      <c r="E2894" t="s">
        <v>5838</v>
      </c>
      <c r="F2894">
        <v>619274</v>
      </c>
      <c r="G2894" t="s">
        <v>5857</v>
      </c>
    </row>
    <row r="2895" spans="1:7">
      <c r="A2895" s="6">
        <v>1001</v>
      </c>
      <c r="B2895" s="6">
        <v>6</v>
      </c>
      <c r="C2895" s="6">
        <v>1001</v>
      </c>
      <c r="D2895" s="6" t="s">
        <v>5858</v>
      </c>
      <c r="E2895" t="s">
        <v>5847</v>
      </c>
      <c r="F2895">
        <v>619275</v>
      </c>
      <c r="G2895" s="6" t="s">
        <v>5859</v>
      </c>
    </row>
    <row r="2896" spans="1:7">
      <c r="A2896" s="6">
        <v>1001</v>
      </c>
      <c r="B2896" s="6">
        <v>6</v>
      </c>
      <c r="C2896" s="6">
        <v>1001</v>
      </c>
      <c r="D2896" s="6" t="s">
        <v>5860</v>
      </c>
      <c r="E2896" t="s">
        <v>5842</v>
      </c>
      <c r="F2896">
        <v>619276</v>
      </c>
      <c r="G2896" s="6" t="s">
        <v>5861</v>
      </c>
    </row>
    <row r="2897" spans="1:7">
      <c r="A2897" s="6">
        <v>1001</v>
      </c>
      <c r="B2897" s="6">
        <v>6</v>
      </c>
      <c r="C2897" s="6">
        <v>1001</v>
      </c>
      <c r="D2897" s="6" t="s">
        <v>5862</v>
      </c>
      <c r="E2897" t="s">
        <v>5844</v>
      </c>
      <c r="F2897">
        <v>619277</v>
      </c>
      <c r="G2897" s="6" t="s">
        <v>5863</v>
      </c>
    </row>
    <row r="2898" spans="1:7">
      <c r="A2898">
        <v>1001</v>
      </c>
      <c r="B2898">
        <v>1</v>
      </c>
      <c r="C2898">
        <v>1001</v>
      </c>
      <c r="D2898" t="s">
        <v>5153</v>
      </c>
      <c r="E2898" t="s">
        <v>5846</v>
      </c>
      <c r="F2898">
        <v>619278</v>
      </c>
      <c r="G2898" t="s">
        <v>5864</v>
      </c>
    </row>
    <row r="2899" spans="1:7">
      <c r="A2899">
        <v>1001</v>
      </c>
      <c r="B2899">
        <v>1</v>
      </c>
      <c r="C2899">
        <v>1001</v>
      </c>
      <c r="D2899" t="s">
        <v>5865</v>
      </c>
      <c r="E2899" t="s">
        <v>5849</v>
      </c>
      <c r="F2899">
        <v>619279</v>
      </c>
      <c r="G2899" t="s">
        <v>5864</v>
      </c>
    </row>
    <row r="2900" spans="1:7">
      <c r="A2900" s="75">
        <v>1001</v>
      </c>
      <c r="B2900" s="25">
        <v>6</v>
      </c>
      <c r="C2900" s="25">
        <v>1001</v>
      </c>
      <c r="D2900" t="s">
        <v>4408</v>
      </c>
      <c r="E2900" t="s">
        <v>5035</v>
      </c>
      <c r="F2900">
        <v>619280</v>
      </c>
      <c r="G2900" t="s">
        <v>5866</v>
      </c>
    </row>
    <row r="2901" s="6" customFormat="1" spans="1:7">
      <c r="A2901" s="25">
        <v>1001</v>
      </c>
      <c r="B2901" s="25">
        <v>1</v>
      </c>
      <c r="C2901" s="25">
        <v>1001</v>
      </c>
      <c r="D2901" s="29" t="s">
        <v>5534</v>
      </c>
      <c r="E2901" s="6" t="s">
        <v>4643</v>
      </c>
      <c r="F2901" s="6">
        <v>619281</v>
      </c>
      <c r="G2901" s="25" t="s">
        <v>5867</v>
      </c>
    </row>
    <row r="2902" spans="1:7">
      <c r="A2902">
        <v>1001</v>
      </c>
      <c r="B2902">
        <v>1</v>
      </c>
      <c r="C2902">
        <v>1001</v>
      </c>
      <c r="D2902" t="s">
        <v>4548</v>
      </c>
      <c r="E2902" t="s">
        <v>5686</v>
      </c>
      <c r="F2902">
        <v>619282</v>
      </c>
      <c r="G2902" t="s">
        <v>5868</v>
      </c>
    </row>
    <row r="2903" spans="1:7">
      <c r="A2903">
        <v>1001</v>
      </c>
      <c r="B2903">
        <v>1</v>
      </c>
      <c r="C2903">
        <v>1001</v>
      </c>
      <c r="D2903" t="s">
        <v>4550</v>
      </c>
      <c r="E2903" t="s">
        <v>5686</v>
      </c>
      <c r="F2903">
        <v>619283</v>
      </c>
      <c r="G2903" t="s">
        <v>5869</v>
      </c>
    </row>
    <row r="2904" spans="1:7">
      <c r="A2904" s="6">
        <v>1001</v>
      </c>
      <c r="B2904" s="6">
        <v>6</v>
      </c>
      <c r="C2904" s="6">
        <v>1001</v>
      </c>
      <c r="D2904" s="6" t="s">
        <v>5716</v>
      </c>
      <c r="E2904" s="6" t="s">
        <v>4483</v>
      </c>
      <c r="F2904">
        <v>619284</v>
      </c>
      <c r="G2904" s="6" t="s">
        <v>5717</v>
      </c>
    </row>
    <row r="2905" spans="1:7">
      <c r="A2905" s="6">
        <v>1001</v>
      </c>
      <c r="B2905" s="6">
        <v>6</v>
      </c>
      <c r="C2905" s="6">
        <v>1001</v>
      </c>
      <c r="D2905" s="6" t="s">
        <v>5870</v>
      </c>
      <c r="E2905" s="6" t="s">
        <v>5871</v>
      </c>
      <c r="F2905">
        <v>619285</v>
      </c>
      <c r="G2905" s="6" t="s">
        <v>5872</v>
      </c>
    </row>
    <row r="2906" spans="1:7">
      <c r="A2906">
        <v>1001</v>
      </c>
      <c r="B2906">
        <v>6</v>
      </c>
      <c r="C2906">
        <v>1001</v>
      </c>
      <c r="D2906" t="s">
        <v>5873</v>
      </c>
      <c r="E2906" s="6" t="s">
        <v>4483</v>
      </c>
      <c r="F2906">
        <v>619286</v>
      </c>
      <c r="G2906" t="s">
        <v>5874</v>
      </c>
    </row>
    <row r="2907" spans="1:7">
      <c r="A2907" s="25">
        <v>1001</v>
      </c>
      <c r="B2907">
        <v>6</v>
      </c>
      <c r="C2907" s="25">
        <v>1001</v>
      </c>
      <c r="D2907" t="s">
        <v>5875</v>
      </c>
      <c r="E2907" t="s">
        <v>5153</v>
      </c>
      <c r="F2907">
        <v>619287</v>
      </c>
      <c r="G2907" t="s">
        <v>5876</v>
      </c>
    </row>
    <row r="2908" spans="1:7">
      <c r="A2908" s="25">
        <v>1001</v>
      </c>
      <c r="B2908">
        <v>6</v>
      </c>
      <c r="C2908" s="25">
        <v>1001</v>
      </c>
      <c r="D2908" t="s">
        <v>5877</v>
      </c>
      <c r="E2908" t="s">
        <v>5865</v>
      </c>
      <c r="F2908">
        <v>619288</v>
      </c>
      <c r="G2908" t="s">
        <v>5878</v>
      </c>
    </row>
    <row r="2909" s="6" customFormat="1" spans="1:7">
      <c r="A2909" s="6">
        <v>1001</v>
      </c>
      <c r="B2909" s="6">
        <v>6</v>
      </c>
      <c r="C2909" s="6">
        <v>1001</v>
      </c>
      <c r="D2909" s="6" t="s">
        <v>5879</v>
      </c>
      <c r="E2909" s="6" t="s">
        <v>4408</v>
      </c>
      <c r="F2909" s="6">
        <v>619289</v>
      </c>
      <c r="G2909" s="6" t="s">
        <v>5880</v>
      </c>
    </row>
    <row r="2910" spans="1:7">
      <c r="A2910" s="6">
        <v>1001</v>
      </c>
      <c r="B2910" s="6">
        <v>6</v>
      </c>
      <c r="C2910" s="6">
        <v>1001</v>
      </c>
      <c r="D2910" s="6" t="s">
        <v>5881</v>
      </c>
      <c r="E2910" s="25" t="s">
        <v>5534</v>
      </c>
      <c r="F2910" s="25">
        <v>619290</v>
      </c>
      <c r="G2910" s="6" t="s">
        <v>5882</v>
      </c>
    </row>
    <row r="2911" spans="1:7">
      <c r="A2911" s="6">
        <v>1001</v>
      </c>
      <c r="B2911" s="6">
        <v>6</v>
      </c>
      <c r="C2911" s="6">
        <v>1001</v>
      </c>
      <c r="D2911" s="6" t="s">
        <v>5883</v>
      </c>
      <c r="E2911" t="s">
        <v>4548</v>
      </c>
      <c r="F2911">
        <v>619291</v>
      </c>
      <c r="G2911" s="6" t="s">
        <v>5884</v>
      </c>
    </row>
    <row r="2912" spans="1:7">
      <c r="A2912" s="6">
        <v>1001</v>
      </c>
      <c r="B2912" s="6">
        <v>6</v>
      </c>
      <c r="C2912" s="6">
        <v>1001</v>
      </c>
      <c r="D2912" s="6" t="s">
        <v>5885</v>
      </c>
      <c r="E2912" t="s">
        <v>4550</v>
      </c>
      <c r="F2912">
        <v>619292</v>
      </c>
      <c r="G2912" s="6" t="s">
        <v>5886</v>
      </c>
    </row>
    <row r="2913" spans="1:7">
      <c r="A2913">
        <v>1001</v>
      </c>
      <c r="B2913">
        <v>1</v>
      </c>
      <c r="C2913">
        <v>1001</v>
      </c>
      <c r="D2913" t="s">
        <v>5887</v>
      </c>
      <c r="E2913" s="6" t="s">
        <v>5888</v>
      </c>
      <c r="F2913">
        <v>619293</v>
      </c>
      <c r="G2913" t="s">
        <v>5889</v>
      </c>
    </row>
    <row r="2914" spans="1:7">
      <c r="A2914" s="25">
        <v>1001</v>
      </c>
      <c r="B2914">
        <v>6</v>
      </c>
      <c r="C2914" s="25">
        <v>1001</v>
      </c>
      <c r="D2914" t="s">
        <v>5890</v>
      </c>
      <c r="E2914" s="6" t="s">
        <v>4483</v>
      </c>
      <c r="F2914" s="25">
        <v>619294</v>
      </c>
      <c r="G2914" t="s">
        <v>5891</v>
      </c>
    </row>
    <row r="2915" spans="1:7">
      <c r="A2915">
        <v>1001</v>
      </c>
      <c r="B2915">
        <v>6</v>
      </c>
      <c r="C2915">
        <v>1001</v>
      </c>
      <c r="D2915" t="s">
        <v>5892</v>
      </c>
      <c r="E2915" t="s">
        <v>4608</v>
      </c>
      <c r="F2915">
        <v>619295</v>
      </c>
      <c r="G2915" t="s">
        <v>5893</v>
      </c>
    </row>
    <row r="2916" spans="1:7">
      <c r="A2916">
        <v>1001</v>
      </c>
      <c r="B2916">
        <v>1</v>
      </c>
      <c r="C2916">
        <v>1001</v>
      </c>
      <c r="D2916" t="s">
        <v>5894</v>
      </c>
      <c r="E2916" t="s">
        <v>4881</v>
      </c>
      <c r="F2916" s="25">
        <v>619296</v>
      </c>
      <c r="G2916" t="s">
        <v>5895</v>
      </c>
    </row>
    <row r="2917" spans="1:7">
      <c r="A2917">
        <v>1001</v>
      </c>
      <c r="B2917">
        <v>1</v>
      </c>
      <c r="C2917">
        <v>1001</v>
      </c>
      <c r="D2917" t="s">
        <v>5896</v>
      </c>
      <c r="E2917" t="s">
        <v>4884</v>
      </c>
      <c r="F2917">
        <v>619297</v>
      </c>
      <c r="G2917" t="s">
        <v>5895</v>
      </c>
    </row>
    <row r="2918" spans="1:7">
      <c r="A2918">
        <v>1001</v>
      </c>
      <c r="B2918">
        <v>6</v>
      </c>
      <c r="C2918">
        <v>1001</v>
      </c>
      <c r="D2918" t="s">
        <v>5897</v>
      </c>
      <c r="E2918" s="6" t="s">
        <v>5879</v>
      </c>
      <c r="F2918" s="6">
        <v>619300</v>
      </c>
      <c r="G2918" t="s">
        <v>5891</v>
      </c>
    </row>
    <row r="2919" ht="16.5" spans="1:7">
      <c r="A2919">
        <v>1001</v>
      </c>
      <c r="B2919">
        <v>6</v>
      </c>
      <c r="C2919">
        <v>1001</v>
      </c>
      <c r="D2919" t="s">
        <v>5898</v>
      </c>
      <c r="E2919" s="6" t="s">
        <v>4483</v>
      </c>
      <c r="F2919">
        <v>619301</v>
      </c>
      <c r="G2919" s="81" t="s">
        <v>5899</v>
      </c>
    </row>
    <row r="2920" ht="16.5" spans="1:7">
      <c r="A2920">
        <v>1001</v>
      </c>
      <c r="B2920">
        <v>6</v>
      </c>
      <c r="C2920">
        <v>1001</v>
      </c>
      <c r="D2920" t="s">
        <v>5900</v>
      </c>
      <c r="E2920" s="6" t="s">
        <v>5883</v>
      </c>
      <c r="F2920">
        <v>619302</v>
      </c>
      <c r="G2920" s="81" t="s">
        <v>5901</v>
      </c>
    </row>
    <row r="2921" spans="1:7">
      <c r="A2921">
        <v>1001</v>
      </c>
      <c r="B2921">
        <v>24</v>
      </c>
      <c r="C2921">
        <v>1001</v>
      </c>
      <c r="D2921" t="s">
        <v>5902</v>
      </c>
      <c r="E2921" s="6" t="s">
        <v>5885</v>
      </c>
      <c r="F2921">
        <v>619303</v>
      </c>
      <c r="G2921" t="s">
        <v>5903</v>
      </c>
    </row>
    <row r="2922" spans="1:7">
      <c r="A2922">
        <v>1001</v>
      </c>
      <c r="B2922">
        <v>24</v>
      </c>
      <c r="C2922">
        <v>1001</v>
      </c>
      <c r="D2922" t="s">
        <v>5904</v>
      </c>
      <c r="E2922" t="s">
        <v>5887</v>
      </c>
      <c r="F2922">
        <v>619304</v>
      </c>
      <c r="G2922" t="s">
        <v>5905</v>
      </c>
    </row>
    <row r="2923" spans="1:7">
      <c r="A2923">
        <v>1001</v>
      </c>
      <c r="B2923">
        <v>24</v>
      </c>
      <c r="C2923">
        <v>1001</v>
      </c>
      <c r="D2923" t="s">
        <v>5906</v>
      </c>
      <c r="E2923" t="s">
        <v>5890</v>
      </c>
      <c r="F2923">
        <v>619305</v>
      </c>
      <c r="G2923" t="s">
        <v>5907</v>
      </c>
    </row>
    <row r="2924" spans="1:7">
      <c r="A2924">
        <v>1001</v>
      </c>
      <c r="B2924">
        <v>24</v>
      </c>
      <c r="C2924">
        <v>1001</v>
      </c>
      <c r="D2924" t="s">
        <v>5908</v>
      </c>
      <c r="E2924" t="s">
        <v>5892</v>
      </c>
      <c r="F2924">
        <v>619306</v>
      </c>
      <c r="G2924" t="s">
        <v>5909</v>
      </c>
    </row>
    <row r="2925" spans="1:7">
      <c r="A2925">
        <v>1001</v>
      </c>
      <c r="B2925">
        <v>24</v>
      </c>
      <c r="C2925">
        <v>1001</v>
      </c>
      <c r="D2925" t="s">
        <v>5910</v>
      </c>
      <c r="E2925" t="s">
        <v>5894</v>
      </c>
      <c r="F2925">
        <v>619307</v>
      </c>
      <c r="G2925" t="s">
        <v>5911</v>
      </c>
    </row>
    <row r="2926" spans="1:7">
      <c r="A2926">
        <v>1001</v>
      </c>
      <c r="B2926">
        <v>24</v>
      </c>
      <c r="C2926">
        <v>1001</v>
      </c>
      <c r="D2926" t="s">
        <v>5912</v>
      </c>
      <c r="E2926" t="s">
        <v>5896</v>
      </c>
      <c r="F2926">
        <v>619308</v>
      </c>
      <c r="G2926" t="s">
        <v>5913</v>
      </c>
    </row>
    <row r="2927" spans="1:7">
      <c r="A2927">
        <v>1001</v>
      </c>
      <c r="B2927">
        <v>24</v>
      </c>
      <c r="C2927">
        <v>1001</v>
      </c>
      <c r="D2927" t="s">
        <v>5914</v>
      </c>
      <c r="E2927" t="s">
        <v>5897</v>
      </c>
      <c r="F2927">
        <v>619309</v>
      </c>
      <c r="G2927" t="s">
        <v>5915</v>
      </c>
    </row>
    <row r="2928" spans="1:7">
      <c r="A2928">
        <v>1001</v>
      </c>
      <c r="B2928">
        <v>24</v>
      </c>
      <c r="C2928">
        <v>1001</v>
      </c>
      <c r="D2928" t="s">
        <v>5916</v>
      </c>
      <c r="E2928" t="s">
        <v>5898</v>
      </c>
      <c r="F2928">
        <v>619310</v>
      </c>
      <c r="G2928" t="s">
        <v>5917</v>
      </c>
    </row>
    <row r="2929" spans="1:7">
      <c r="A2929">
        <v>1001</v>
      </c>
      <c r="B2929">
        <v>24</v>
      </c>
      <c r="C2929">
        <v>1001</v>
      </c>
      <c r="D2929" t="s">
        <v>5918</v>
      </c>
      <c r="E2929" t="s">
        <v>5900</v>
      </c>
      <c r="F2929">
        <v>619311</v>
      </c>
      <c r="G2929" t="s">
        <v>5919</v>
      </c>
    </row>
    <row r="2930" spans="1:7">
      <c r="A2930">
        <v>1001</v>
      </c>
      <c r="B2930">
        <v>24</v>
      </c>
      <c r="C2930">
        <v>1001</v>
      </c>
      <c r="D2930" t="s">
        <v>5920</v>
      </c>
      <c r="E2930" t="s">
        <v>5902</v>
      </c>
      <c r="F2930">
        <v>650000</v>
      </c>
      <c r="G2930" t="s">
        <v>5921</v>
      </c>
    </row>
    <row r="2931" spans="1:7">
      <c r="A2931">
        <v>1001</v>
      </c>
      <c r="B2931">
        <v>24</v>
      </c>
      <c r="C2931">
        <v>1001</v>
      </c>
      <c r="D2931" t="s">
        <v>5922</v>
      </c>
      <c r="E2931" t="s">
        <v>5904</v>
      </c>
      <c r="F2931">
        <v>650001</v>
      </c>
      <c r="G2931" t="s">
        <v>5923</v>
      </c>
    </row>
    <row r="2932" spans="1:7">
      <c r="A2932">
        <v>1001</v>
      </c>
      <c r="B2932">
        <v>24</v>
      </c>
      <c r="C2932">
        <v>1001</v>
      </c>
      <c r="D2932" t="s">
        <v>5924</v>
      </c>
      <c r="E2932" t="s">
        <v>5906</v>
      </c>
      <c r="F2932">
        <v>650002</v>
      </c>
      <c r="G2932" t="s">
        <v>5925</v>
      </c>
    </row>
    <row r="2933" spans="1:7">
      <c r="A2933">
        <v>1001</v>
      </c>
      <c r="B2933">
        <v>24</v>
      </c>
      <c r="C2933">
        <v>1001</v>
      </c>
      <c r="D2933" t="s">
        <v>5926</v>
      </c>
      <c r="E2933" t="s">
        <v>5908</v>
      </c>
      <c r="F2933">
        <v>650003</v>
      </c>
      <c r="G2933" t="s">
        <v>5927</v>
      </c>
    </row>
    <row r="2934" spans="1:7">
      <c r="A2934">
        <v>1001</v>
      </c>
      <c r="B2934">
        <v>24</v>
      </c>
      <c r="C2934">
        <v>1001</v>
      </c>
      <c r="D2934" t="s">
        <v>5928</v>
      </c>
      <c r="E2934" t="s">
        <v>5910</v>
      </c>
      <c r="F2934">
        <v>650004</v>
      </c>
      <c r="G2934" t="s">
        <v>5929</v>
      </c>
    </row>
    <row r="2935" spans="1:7">
      <c r="A2935">
        <v>1001</v>
      </c>
      <c r="B2935">
        <v>24</v>
      </c>
      <c r="C2935">
        <v>1001</v>
      </c>
      <c r="D2935" t="s">
        <v>5930</v>
      </c>
      <c r="E2935" t="s">
        <v>5912</v>
      </c>
      <c r="F2935">
        <v>650005</v>
      </c>
      <c r="G2935" t="s">
        <v>5931</v>
      </c>
    </row>
    <row r="2936" s="6" customFormat="1" spans="1:7">
      <c r="A2936" s="6">
        <v>1001</v>
      </c>
      <c r="B2936" s="6">
        <v>24</v>
      </c>
      <c r="C2936" s="6">
        <v>1001</v>
      </c>
      <c r="D2936" s="6" t="s">
        <v>5932</v>
      </c>
      <c r="E2936" s="6" t="s">
        <v>5914</v>
      </c>
      <c r="F2936" s="6">
        <v>650006</v>
      </c>
      <c r="G2936" s="6" t="s">
        <v>5933</v>
      </c>
    </row>
    <row r="2937" s="6" customFormat="1" spans="1:7">
      <c r="A2937" s="6">
        <v>1001</v>
      </c>
      <c r="B2937" s="6">
        <v>24</v>
      </c>
      <c r="C2937" s="6">
        <v>1001</v>
      </c>
      <c r="D2937" s="6" t="s">
        <v>5934</v>
      </c>
      <c r="E2937" s="6" t="s">
        <v>5916</v>
      </c>
      <c r="F2937" s="6">
        <v>650007</v>
      </c>
      <c r="G2937" s="6" t="s">
        <v>5935</v>
      </c>
    </row>
    <row r="2938" s="6" customFormat="1" spans="1:7">
      <c r="A2938" s="6">
        <v>1001</v>
      </c>
      <c r="B2938" s="6">
        <v>24</v>
      </c>
      <c r="C2938" s="6">
        <v>1001</v>
      </c>
      <c r="D2938" s="6" t="s">
        <v>5936</v>
      </c>
      <c r="E2938" s="6" t="s">
        <v>5918</v>
      </c>
      <c r="F2938" s="6">
        <v>650008</v>
      </c>
      <c r="G2938" s="6" t="s">
        <v>5937</v>
      </c>
    </row>
    <row r="2939" spans="1:7">
      <c r="A2939">
        <v>1001</v>
      </c>
      <c r="B2939">
        <v>24</v>
      </c>
      <c r="C2939">
        <v>1001</v>
      </c>
      <c r="D2939" t="s">
        <v>5938</v>
      </c>
      <c r="E2939" t="s">
        <v>5920</v>
      </c>
      <c r="F2939">
        <v>650009</v>
      </c>
      <c r="G2939" t="s">
        <v>5939</v>
      </c>
    </row>
    <row r="2940" spans="1:7">
      <c r="A2940">
        <v>1001</v>
      </c>
      <c r="B2940">
        <v>24</v>
      </c>
      <c r="C2940">
        <v>1001</v>
      </c>
      <c r="D2940" t="s">
        <v>5940</v>
      </c>
      <c r="E2940" t="s">
        <v>5922</v>
      </c>
      <c r="F2940">
        <v>650010</v>
      </c>
      <c r="G2940" t="s">
        <v>5941</v>
      </c>
    </row>
    <row r="2941" spans="1:7">
      <c r="A2941">
        <v>1001</v>
      </c>
      <c r="B2941">
        <v>24</v>
      </c>
      <c r="C2941">
        <v>1001</v>
      </c>
      <c r="D2941" t="s">
        <v>5942</v>
      </c>
      <c r="E2941" t="s">
        <v>5924</v>
      </c>
      <c r="F2941">
        <v>650011</v>
      </c>
      <c r="G2941" t="s">
        <v>5943</v>
      </c>
    </row>
    <row r="2942" spans="1:7">
      <c r="A2942">
        <v>1001</v>
      </c>
      <c r="B2942">
        <v>24</v>
      </c>
      <c r="C2942">
        <v>1001</v>
      </c>
      <c r="D2942" t="s">
        <v>5944</v>
      </c>
      <c r="E2942" t="s">
        <v>5926</v>
      </c>
      <c r="F2942">
        <v>650012</v>
      </c>
      <c r="G2942" t="s">
        <v>5944</v>
      </c>
    </row>
    <row r="2943" s="6" customFormat="1" spans="1:7">
      <c r="A2943" s="6">
        <v>1001</v>
      </c>
      <c r="B2943" s="6">
        <v>24</v>
      </c>
      <c r="C2943" s="6">
        <v>1001</v>
      </c>
      <c r="D2943" s="6" t="s">
        <v>5945</v>
      </c>
      <c r="E2943" s="6" t="s">
        <v>5928</v>
      </c>
      <c r="F2943" s="6">
        <v>650013</v>
      </c>
      <c r="G2943" s="6" t="s">
        <v>5945</v>
      </c>
    </row>
    <row r="2944" s="6" customFormat="1" spans="1:7">
      <c r="A2944" s="6">
        <v>1001</v>
      </c>
      <c r="B2944" s="6">
        <v>24</v>
      </c>
      <c r="C2944" s="6">
        <v>1001</v>
      </c>
      <c r="D2944" s="6" t="s">
        <v>5946</v>
      </c>
      <c r="E2944" s="6" t="s">
        <v>5930</v>
      </c>
      <c r="F2944" s="6">
        <v>650014</v>
      </c>
      <c r="G2944" s="6" t="s">
        <v>5946</v>
      </c>
    </row>
    <row r="2945" s="6" customFormat="1" spans="1:7">
      <c r="A2945" s="6">
        <v>1001</v>
      </c>
      <c r="B2945" s="6">
        <v>24</v>
      </c>
      <c r="C2945" s="6">
        <v>1001</v>
      </c>
      <c r="D2945" s="6" t="s">
        <v>5947</v>
      </c>
      <c r="E2945" s="6" t="s">
        <v>5932</v>
      </c>
      <c r="F2945" s="6">
        <v>650015</v>
      </c>
      <c r="G2945" s="6" t="s">
        <v>5947</v>
      </c>
    </row>
    <row r="2946" spans="1:7">
      <c r="A2946">
        <v>1001</v>
      </c>
      <c r="B2946">
        <v>24</v>
      </c>
      <c r="C2946">
        <v>1001</v>
      </c>
      <c r="D2946" t="s">
        <v>5948</v>
      </c>
      <c r="E2946" s="6" t="s">
        <v>5934</v>
      </c>
      <c r="F2946" s="6">
        <v>650016</v>
      </c>
      <c r="G2946" t="s">
        <v>5948</v>
      </c>
    </row>
    <row r="2947" spans="1:7">
      <c r="A2947">
        <v>1001</v>
      </c>
      <c r="B2947">
        <v>24</v>
      </c>
      <c r="C2947">
        <v>1001</v>
      </c>
      <c r="D2947" t="s">
        <v>5949</v>
      </c>
      <c r="E2947" s="6" t="s">
        <v>5936</v>
      </c>
      <c r="F2947" s="6">
        <v>650017</v>
      </c>
      <c r="G2947" t="s">
        <v>5949</v>
      </c>
    </row>
    <row r="2948" s="6" customFormat="1" spans="1:7">
      <c r="A2948" s="6">
        <v>1001</v>
      </c>
      <c r="B2948" s="6">
        <v>24</v>
      </c>
      <c r="C2948" s="6">
        <v>1001</v>
      </c>
      <c r="D2948" s="6" t="s">
        <v>5950</v>
      </c>
      <c r="E2948" s="6" t="s">
        <v>5938</v>
      </c>
      <c r="F2948" s="6">
        <v>650018</v>
      </c>
      <c r="G2948" s="6" t="s">
        <v>5950</v>
      </c>
    </row>
    <row r="2949" spans="1:7">
      <c r="A2949">
        <v>1001</v>
      </c>
      <c r="B2949">
        <v>24</v>
      </c>
      <c r="C2949">
        <v>1001</v>
      </c>
      <c r="D2949" t="s">
        <v>5951</v>
      </c>
      <c r="E2949" t="s">
        <v>5940</v>
      </c>
      <c r="F2949">
        <v>650019</v>
      </c>
      <c r="G2949" t="s">
        <v>5951</v>
      </c>
    </row>
    <row r="2950" spans="1:7">
      <c r="A2950">
        <v>1001</v>
      </c>
      <c r="B2950">
        <v>24</v>
      </c>
      <c r="C2950">
        <v>1001</v>
      </c>
      <c r="D2950" t="s">
        <v>5952</v>
      </c>
      <c r="E2950" t="s">
        <v>5942</v>
      </c>
      <c r="F2950">
        <v>650020</v>
      </c>
      <c r="G2950" t="s">
        <v>5952</v>
      </c>
    </row>
    <row r="2951" s="6" customFormat="1" spans="1:7">
      <c r="A2951" s="6">
        <v>1001</v>
      </c>
      <c r="B2951" s="6">
        <v>24</v>
      </c>
      <c r="C2951" s="6">
        <v>1001</v>
      </c>
      <c r="D2951" s="6" t="s">
        <v>5953</v>
      </c>
      <c r="E2951" s="6" t="s">
        <v>5944</v>
      </c>
      <c r="F2951" s="6">
        <v>650021</v>
      </c>
      <c r="G2951" s="6" t="s">
        <v>5953</v>
      </c>
    </row>
    <row r="2952" s="6" customFormat="1" spans="1:7">
      <c r="A2952" s="6">
        <v>1001</v>
      </c>
      <c r="B2952" s="6">
        <v>1</v>
      </c>
      <c r="C2952" s="6">
        <v>1001</v>
      </c>
      <c r="D2952" s="6" t="s">
        <v>5954</v>
      </c>
      <c r="E2952" s="6" t="s">
        <v>5945</v>
      </c>
      <c r="F2952" s="6">
        <v>650022</v>
      </c>
      <c r="G2952" s="6" t="s">
        <v>5954</v>
      </c>
    </row>
    <row r="2953" s="6" customFormat="1" spans="1:7">
      <c r="A2953" s="6">
        <v>1001</v>
      </c>
      <c r="B2953" s="6">
        <v>1</v>
      </c>
      <c r="C2953" s="6">
        <v>1001</v>
      </c>
      <c r="D2953" s="6" t="s">
        <v>5955</v>
      </c>
      <c r="E2953" s="6" t="s">
        <v>5946</v>
      </c>
      <c r="F2953" s="6">
        <v>650023</v>
      </c>
      <c r="G2953" s="6" t="s">
        <v>5954</v>
      </c>
    </row>
    <row r="2954" s="6" customFormat="1" spans="1:7">
      <c r="A2954" s="6">
        <v>1001</v>
      </c>
      <c r="B2954" s="6">
        <v>1</v>
      </c>
      <c r="C2954" s="6">
        <v>1001</v>
      </c>
      <c r="D2954" s="6" t="s">
        <v>5956</v>
      </c>
      <c r="E2954" s="6" t="s">
        <v>5947</v>
      </c>
      <c r="F2954" s="6">
        <v>650024</v>
      </c>
      <c r="G2954" s="6" t="s">
        <v>5957</v>
      </c>
    </row>
    <row r="2955" s="6" customFormat="1" spans="1:7">
      <c r="A2955" s="6">
        <v>1001</v>
      </c>
      <c r="B2955" s="6">
        <v>1</v>
      </c>
      <c r="C2955" s="6">
        <v>1001</v>
      </c>
      <c r="D2955" s="6" t="s">
        <v>5958</v>
      </c>
      <c r="E2955" s="6" t="s">
        <v>5948</v>
      </c>
      <c r="F2955" s="6">
        <v>650025</v>
      </c>
      <c r="G2955" s="6" t="s">
        <v>5957</v>
      </c>
    </row>
    <row r="2956" spans="1:7">
      <c r="A2956">
        <v>1001</v>
      </c>
      <c r="B2956">
        <v>1</v>
      </c>
      <c r="C2956">
        <v>1001</v>
      </c>
      <c r="D2956" t="s">
        <v>5959</v>
      </c>
      <c r="E2956" t="s">
        <v>5949</v>
      </c>
      <c r="F2956">
        <v>650026</v>
      </c>
      <c r="G2956" t="s">
        <v>5957</v>
      </c>
    </row>
    <row r="2957" spans="1:7">
      <c r="A2957" s="25">
        <v>1001</v>
      </c>
      <c r="B2957" s="25">
        <v>6</v>
      </c>
      <c r="C2957" s="25">
        <v>1001</v>
      </c>
      <c r="D2957" s="25" t="s">
        <v>5960</v>
      </c>
      <c r="E2957" s="6" t="s">
        <v>5950</v>
      </c>
      <c r="F2957" s="6">
        <v>650027</v>
      </c>
      <c r="G2957" s="25" t="s">
        <v>5961</v>
      </c>
    </row>
    <row r="2958" spans="1:7">
      <c r="A2958" s="25">
        <v>1001</v>
      </c>
      <c r="B2958" s="25">
        <v>6</v>
      </c>
      <c r="C2958" s="25">
        <v>1001</v>
      </c>
      <c r="D2958" s="25" t="s">
        <v>5962</v>
      </c>
      <c r="E2958" t="s">
        <v>5951</v>
      </c>
      <c r="F2958">
        <v>650028</v>
      </c>
      <c r="G2958" s="25" t="s">
        <v>5963</v>
      </c>
    </row>
    <row r="2959" spans="1:7">
      <c r="A2959" s="25">
        <v>1001</v>
      </c>
      <c r="B2959" s="25">
        <v>6</v>
      </c>
      <c r="C2959" s="25">
        <v>1001</v>
      </c>
      <c r="D2959" s="25" t="s">
        <v>5964</v>
      </c>
      <c r="E2959" t="s">
        <v>5952</v>
      </c>
      <c r="F2959">
        <v>650029</v>
      </c>
      <c r="G2959" s="25" t="s">
        <v>5965</v>
      </c>
    </row>
    <row r="2960" spans="1:7">
      <c r="A2960">
        <v>1001</v>
      </c>
      <c r="B2960">
        <v>1</v>
      </c>
      <c r="C2960">
        <v>1001</v>
      </c>
      <c r="D2960" t="s">
        <v>5966</v>
      </c>
      <c r="E2960" s="6" t="s">
        <v>5953</v>
      </c>
      <c r="F2960" s="6">
        <v>650030</v>
      </c>
      <c r="G2960" t="s">
        <v>5967</v>
      </c>
    </row>
    <row r="2961" spans="1:7">
      <c r="A2961">
        <v>1001</v>
      </c>
      <c r="B2961">
        <v>1</v>
      </c>
      <c r="C2961">
        <v>1001</v>
      </c>
      <c r="D2961" t="s">
        <v>5968</v>
      </c>
      <c r="E2961" s="6" t="s">
        <v>5954</v>
      </c>
      <c r="F2961" s="6">
        <v>790001</v>
      </c>
      <c r="G2961" t="s">
        <v>5957</v>
      </c>
    </row>
    <row r="2962" spans="1:7">
      <c r="A2962">
        <v>1001</v>
      </c>
      <c r="B2962">
        <v>1</v>
      </c>
      <c r="C2962">
        <v>1001</v>
      </c>
      <c r="D2962" t="s">
        <v>5969</v>
      </c>
      <c r="E2962" s="6" t="s">
        <v>5954</v>
      </c>
      <c r="F2962" s="6">
        <v>790002</v>
      </c>
      <c r="G2962" t="s">
        <v>5969</v>
      </c>
    </row>
    <row r="2963" spans="1:7">
      <c r="A2963">
        <v>1001</v>
      </c>
      <c r="B2963">
        <v>1</v>
      </c>
      <c r="C2963">
        <v>1001</v>
      </c>
      <c r="D2963" t="s">
        <v>5970</v>
      </c>
      <c r="E2963" s="6" t="s">
        <v>5956</v>
      </c>
      <c r="F2963" s="6">
        <v>790003</v>
      </c>
      <c r="G2963" t="s">
        <v>5971</v>
      </c>
    </row>
    <row r="2964" spans="1:7">
      <c r="A2964">
        <v>1001</v>
      </c>
      <c r="B2964">
        <v>1</v>
      </c>
      <c r="C2964">
        <v>1001</v>
      </c>
      <c r="D2964" t="s">
        <v>5972</v>
      </c>
      <c r="E2964" s="6" t="s">
        <v>5958</v>
      </c>
      <c r="F2964" s="6">
        <v>790004</v>
      </c>
      <c r="G2964" t="s">
        <v>5971</v>
      </c>
    </row>
    <row r="2965" spans="1:7">
      <c r="A2965">
        <v>1001</v>
      </c>
      <c r="B2965">
        <v>1</v>
      </c>
      <c r="C2965">
        <v>1001</v>
      </c>
      <c r="D2965" t="s">
        <v>5973</v>
      </c>
      <c r="E2965" t="s">
        <v>5959</v>
      </c>
      <c r="F2965">
        <v>790005</v>
      </c>
      <c r="G2965" t="s">
        <v>5971</v>
      </c>
    </row>
    <row r="2966" spans="1:7">
      <c r="A2966">
        <v>1001</v>
      </c>
      <c r="B2966">
        <v>1</v>
      </c>
      <c r="C2966">
        <v>1001</v>
      </c>
      <c r="D2966" t="s">
        <v>5974</v>
      </c>
      <c r="E2966" s="25" t="s">
        <v>5975</v>
      </c>
      <c r="F2966">
        <v>999801</v>
      </c>
      <c r="G2966" t="s">
        <v>5971</v>
      </c>
    </row>
    <row r="2967" spans="1:7">
      <c r="A2967">
        <v>1001</v>
      </c>
      <c r="B2967">
        <v>1</v>
      </c>
      <c r="C2967">
        <v>1001</v>
      </c>
      <c r="D2967" t="s">
        <v>5976</v>
      </c>
      <c r="E2967" s="25" t="s">
        <v>5962</v>
      </c>
      <c r="F2967">
        <v>999802</v>
      </c>
      <c r="G2967" t="s">
        <v>5977</v>
      </c>
    </row>
    <row r="2968" spans="1:7">
      <c r="A2968">
        <v>1001</v>
      </c>
      <c r="B2968">
        <v>1</v>
      </c>
      <c r="C2968">
        <v>1001</v>
      </c>
      <c r="D2968" t="s">
        <v>5978</v>
      </c>
      <c r="E2968" s="25" t="s">
        <v>5964</v>
      </c>
      <c r="F2968">
        <v>999803</v>
      </c>
      <c r="G2968" t="s">
        <v>5979</v>
      </c>
    </row>
    <row r="2969" spans="1:7">
      <c r="A2969">
        <v>1001</v>
      </c>
      <c r="B2969">
        <v>1</v>
      </c>
      <c r="C2969">
        <v>1001</v>
      </c>
      <c r="D2969" t="s">
        <v>5980</v>
      </c>
      <c r="E2969" t="s">
        <v>5981</v>
      </c>
      <c r="F2969">
        <v>999901</v>
      </c>
      <c r="G2969" t="s">
        <v>5979</v>
      </c>
    </row>
    <row r="2970" spans="1:7">
      <c r="A2970">
        <v>1001</v>
      </c>
      <c r="B2970">
        <v>1</v>
      </c>
      <c r="C2970">
        <v>1001</v>
      </c>
      <c r="D2970" t="s">
        <v>5982</v>
      </c>
      <c r="E2970" t="s">
        <v>5968</v>
      </c>
      <c r="F2970">
        <v>790006</v>
      </c>
      <c r="G2970" t="s">
        <v>5979</v>
      </c>
    </row>
    <row r="2971" spans="1:7">
      <c r="A2971">
        <v>1001</v>
      </c>
      <c r="B2971">
        <v>1</v>
      </c>
      <c r="C2971">
        <v>1001</v>
      </c>
      <c r="D2971" t="s">
        <v>5983</v>
      </c>
      <c r="E2971" t="s">
        <v>5969</v>
      </c>
      <c r="F2971">
        <v>555501</v>
      </c>
      <c r="G2971" t="s">
        <v>5979</v>
      </c>
    </row>
    <row r="2972" spans="1:7">
      <c r="A2972">
        <v>1001</v>
      </c>
      <c r="B2972">
        <v>1</v>
      </c>
      <c r="C2972">
        <v>1001</v>
      </c>
      <c r="D2972" t="s">
        <v>5984</v>
      </c>
      <c r="E2972" t="s">
        <v>5970</v>
      </c>
      <c r="F2972">
        <v>555502</v>
      </c>
      <c r="G2972" t="s">
        <v>5985</v>
      </c>
    </row>
    <row r="2973" spans="1:7">
      <c r="A2973">
        <v>1001</v>
      </c>
      <c r="B2973">
        <v>1</v>
      </c>
      <c r="C2973">
        <v>1001</v>
      </c>
      <c r="D2973" t="s">
        <v>5986</v>
      </c>
      <c r="E2973" t="s">
        <v>5972</v>
      </c>
      <c r="F2973">
        <v>555503</v>
      </c>
      <c r="G2973" t="s">
        <v>5987</v>
      </c>
    </row>
    <row r="2974" spans="1:7">
      <c r="A2974">
        <v>1001</v>
      </c>
      <c r="B2974">
        <v>1</v>
      </c>
      <c r="C2974">
        <v>1001</v>
      </c>
      <c r="D2974" t="s">
        <v>5988</v>
      </c>
      <c r="E2974" t="s">
        <v>5973</v>
      </c>
      <c r="F2974">
        <v>555504</v>
      </c>
      <c r="G2974" t="s">
        <v>5987</v>
      </c>
    </row>
    <row r="2975" spans="1:7">
      <c r="A2975">
        <v>1001</v>
      </c>
      <c r="B2975">
        <v>1</v>
      </c>
      <c r="C2975">
        <v>1001</v>
      </c>
      <c r="D2975" t="s">
        <v>5989</v>
      </c>
      <c r="E2975" t="s">
        <v>5974</v>
      </c>
      <c r="F2975">
        <v>555505</v>
      </c>
      <c r="G2975" t="s">
        <v>5987</v>
      </c>
    </row>
    <row r="2976" spans="1:7">
      <c r="A2976">
        <v>1001</v>
      </c>
      <c r="B2976">
        <v>1</v>
      </c>
      <c r="C2976">
        <v>1001</v>
      </c>
      <c r="D2976" t="s">
        <v>5990</v>
      </c>
      <c r="E2976" t="s">
        <v>5976</v>
      </c>
      <c r="F2976">
        <v>555511</v>
      </c>
      <c r="G2976" t="s">
        <v>5987</v>
      </c>
    </row>
    <row r="2977" spans="1:7">
      <c r="A2977">
        <v>1001</v>
      </c>
      <c r="B2977">
        <v>1</v>
      </c>
      <c r="C2977">
        <v>1001</v>
      </c>
      <c r="D2977" t="s">
        <v>5991</v>
      </c>
      <c r="E2977" t="s">
        <v>5978</v>
      </c>
      <c r="F2977">
        <v>555512</v>
      </c>
      <c r="G2977" t="s">
        <v>5992</v>
      </c>
    </row>
    <row r="2978" spans="1:7">
      <c r="A2978">
        <v>1001</v>
      </c>
      <c r="B2978">
        <v>1</v>
      </c>
      <c r="C2978">
        <v>1001</v>
      </c>
      <c r="D2978" t="s">
        <v>5993</v>
      </c>
      <c r="E2978" t="s">
        <v>5980</v>
      </c>
      <c r="F2978">
        <v>555513</v>
      </c>
      <c r="G2978" t="s">
        <v>5994</v>
      </c>
    </row>
    <row r="2979" spans="1:7">
      <c r="A2979">
        <v>1001</v>
      </c>
      <c r="B2979">
        <v>1</v>
      </c>
      <c r="C2979">
        <v>1001</v>
      </c>
      <c r="D2979" t="s">
        <v>5995</v>
      </c>
      <c r="E2979" t="s">
        <v>5982</v>
      </c>
      <c r="F2979">
        <v>555514</v>
      </c>
      <c r="G2979" t="s">
        <v>5994</v>
      </c>
    </row>
    <row r="2980" spans="1:7">
      <c r="A2980">
        <v>1001</v>
      </c>
      <c r="B2980">
        <v>1</v>
      </c>
      <c r="C2980">
        <v>1001</v>
      </c>
      <c r="D2980" t="s">
        <v>5996</v>
      </c>
      <c r="E2980" t="s">
        <v>5983</v>
      </c>
      <c r="F2980">
        <v>555515</v>
      </c>
      <c r="G2980" t="s">
        <v>5994</v>
      </c>
    </row>
    <row r="2981" spans="1:7">
      <c r="A2981">
        <v>1001</v>
      </c>
      <c r="B2981">
        <v>1</v>
      </c>
      <c r="C2981">
        <v>1001</v>
      </c>
      <c r="D2981" t="s">
        <v>5997</v>
      </c>
      <c r="E2981" t="s">
        <v>5984</v>
      </c>
      <c r="F2981">
        <v>555521</v>
      </c>
      <c r="G2981" t="s">
        <v>5994</v>
      </c>
    </row>
    <row r="2982" s="6" customFormat="1" spans="1:7">
      <c r="A2982" s="25">
        <v>1001</v>
      </c>
      <c r="B2982" s="25">
        <v>1</v>
      </c>
      <c r="C2982" s="25">
        <v>1001</v>
      </c>
      <c r="D2982" s="6" t="s">
        <v>1890</v>
      </c>
      <c r="E2982" s="6" t="s">
        <v>5986</v>
      </c>
      <c r="F2982" s="6">
        <v>555522</v>
      </c>
      <c r="G2982" s="6" t="s">
        <v>1891</v>
      </c>
    </row>
    <row r="2983" s="6" customFormat="1" spans="1:7">
      <c r="A2983" s="25">
        <v>1001</v>
      </c>
      <c r="B2983" s="25">
        <v>1</v>
      </c>
      <c r="C2983" s="25">
        <v>1001</v>
      </c>
      <c r="D2983" s="6" t="s">
        <v>1892</v>
      </c>
      <c r="E2983" s="6" t="s">
        <v>5988</v>
      </c>
      <c r="F2983" s="6">
        <v>555523</v>
      </c>
      <c r="G2983" s="6" t="s">
        <v>1893</v>
      </c>
    </row>
    <row r="2984" s="6" customFormat="1" spans="1:7">
      <c r="A2984" s="6">
        <v>1001</v>
      </c>
      <c r="B2984" s="6">
        <v>6</v>
      </c>
      <c r="C2984" s="6">
        <v>1001</v>
      </c>
      <c r="D2984" s="6" t="s">
        <v>5998</v>
      </c>
      <c r="E2984" s="6" t="s">
        <v>5989</v>
      </c>
      <c r="F2984" s="6">
        <v>555524</v>
      </c>
      <c r="G2984" s="6" t="s">
        <v>5999</v>
      </c>
    </row>
    <row r="2985" spans="1:7">
      <c r="A2985">
        <v>1001</v>
      </c>
      <c r="B2985">
        <v>1</v>
      </c>
      <c r="C2985">
        <v>1001</v>
      </c>
      <c r="D2985" t="s">
        <v>6000</v>
      </c>
      <c r="E2985" t="s">
        <v>5990</v>
      </c>
      <c r="F2985">
        <v>555525</v>
      </c>
      <c r="G2985" t="s">
        <v>5895</v>
      </c>
    </row>
    <row r="2986" spans="1:7">
      <c r="A2986">
        <v>1001</v>
      </c>
      <c r="B2986">
        <v>1</v>
      </c>
      <c r="C2986">
        <v>1001</v>
      </c>
      <c r="D2986" t="s">
        <v>6001</v>
      </c>
      <c r="E2986" t="s">
        <v>5991</v>
      </c>
      <c r="F2986">
        <v>555531</v>
      </c>
      <c r="G2986" t="s">
        <v>5895</v>
      </c>
    </row>
    <row r="2987" spans="1:7">
      <c r="A2987">
        <v>1001</v>
      </c>
      <c r="B2987">
        <v>6</v>
      </c>
      <c r="C2987">
        <v>1001</v>
      </c>
      <c r="D2987" t="s">
        <v>6002</v>
      </c>
      <c r="E2987" t="s">
        <v>5993</v>
      </c>
      <c r="F2987">
        <v>555532</v>
      </c>
      <c r="G2987" t="s">
        <v>5891</v>
      </c>
    </row>
    <row r="2988" spans="1:7">
      <c r="A2988">
        <v>1001</v>
      </c>
      <c r="B2988">
        <v>1</v>
      </c>
      <c r="C2988">
        <v>1001</v>
      </c>
      <c r="D2988" t="s">
        <v>6003</v>
      </c>
      <c r="E2988" t="s">
        <v>5995</v>
      </c>
      <c r="F2988">
        <v>555533</v>
      </c>
      <c r="G2988" t="s">
        <v>5895</v>
      </c>
    </row>
    <row r="2989" spans="1:7">
      <c r="A2989">
        <v>1001</v>
      </c>
      <c r="B2989">
        <v>1</v>
      </c>
      <c r="C2989">
        <v>1001</v>
      </c>
      <c r="D2989" t="s">
        <v>6004</v>
      </c>
      <c r="E2989" t="s">
        <v>5996</v>
      </c>
      <c r="F2989">
        <v>555534</v>
      </c>
      <c r="G2989" t="s">
        <v>5895</v>
      </c>
    </row>
    <row r="2990" spans="1:7">
      <c r="A2990">
        <v>1001</v>
      </c>
      <c r="B2990">
        <v>6</v>
      </c>
      <c r="C2990">
        <v>1001</v>
      </c>
      <c r="D2990" t="s">
        <v>6005</v>
      </c>
      <c r="E2990" t="s">
        <v>5997</v>
      </c>
      <c r="F2990">
        <v>555535</v>
      </c>
      <c r="G2990" t="s">
        <v>6006</v>
      </c>
    </row>
    <row r="2991" spans="1:7">
      <c r="A2991">
        <v>1001</v>
      </c>
      <c r="B2991">
        <v>6</v>
      </c>
      <c r="C2991">
        <v>1001</v>
      </c>
      <c r="D2991" t="s">
        <v>6007</v>
      </c>
      <c r="E2991" s="27" t="s">
        <v>6008</v>
      </c>
      <c r="F2991" s="6">
        <v>619312</v>
      </c>
      <c r="G2991" t="s">
        <v>6009</v>
      </c>
    </row>
    <row r="2992" spans="1:7">
      <c r="A2992">
        <v>1001</v>
      </c>
      <c r="B2992">
        <v>6</v>
      </c>
      <c r="C2992">
        <v>1001</v>
      </c>
      <c r="D2992" t="s">
        <v>6010</v>
      </c>
      <c r="E2992" s="27" t="s">
        <v>6011</v>
      </c>
      <c r="F2992" s="6">
        <v>619313</v>
      </c>
      <c r="G2992" t="s">
        <v>6012</v>
      </c>
    </row>
    <row r="2993" spans="1:7">
      <c r="A2993">
        <v>1001</v>
      </c>
      <c r="B2993">
        <v>6</v>
      </c>
      <c r="C2993">
        <v>1001</v>
      </c>
      <c r="D2993" t="s">
        <v>4483</v>
      </c>
      <c r="E2993" s="6" t="s">
        <v>5998</v>
      </c>
      <c r="F2993" s="6">
        <v>619314</v>
      </c>
      <c r="G2993" t="s">
        <v>6013</v>
      </c>
    </row>
    <row r="2994" spans="1:7">
      <c r="A2994" s="25">
        <v>1001</v>
      </c>
      <c r="B2994" s="25">
        <v>6</v>
      </c>
      <c r="C2994" s="25">
        <v>1001</v>
      </c>
      <c r="D2994" s="25" t="s">
        <v>5023</v>
      </c>
      <c r="E2994" t="s">
        <v>6000</v>
      </c>
      <c r="F2994">
        <v>619315</v>
      </c>
      <c r="G2994" t="s">
        <v>6014</v>
      </c>
    </row>
    <row r="2995" spans="1:7">
      <c r="A2995">
        <v>1001</v>
      </c>
      <c r="B2995">
        <v>6</v>
      </c>
      <c r="C2995">
        <v>1001</v>
      </c>
      <c r="D2995" t="s">
        <v>6015</v>
      </c>
      <c r="E2995" t="s">
        <v>6001</v>
      </c>
      <c r="F2995">
        <v>619316</v>
      </c>
      <c r="G2995" t="s">
        <v>6016</v>
      </c>
    </row>
    <row r="2996" spans="1:7">
      <c r="A2996">
        <v>1001</v>
      </c>
      <c r="B2996">
        <v>1</v>
      </c>
      <c r="C2996">
        <v>1001</v>
      </c>
      <c r="D2996" t="s">
        <v>6017</v>
      </c>
      <c r="E2996" t="s">
        <v>6002</v>
      </c>
      <c r="F2996">
        <v>619317</v>
      </c>
      <c r="G2996" t="s">
        <v>5895</v>
      </c>
    </row>
    <row r="2997" spans="1:7">
      <c r="A2997">
        <v>1001</v>
      </c>
      <c r="B2997">
        <v>1</v>
      </c>
      <c r="C2997">
        <v>1001</v>
      </c>
      <c r="D2997" t="s">
        <v>6018</v>
      </c>
      <c r="E2997" t="s">
        <v>6003</v>
      </c>
      <c r="F2997">
        <v>619318</v>
      </c>
      <c r="G2997" t="s">
        <v>5895</v>
      </c>
    </row>
    <row r="2998" spans="1:7">
      <c r="A2998">
        <v>1001</v>
      </c>
      <c r="B2998">
        <v>1</v>
      </c>
      <c r="C2998">
        <v>1001</v>
      </c>
      <c r="D2998" t="s">
        <v>6019</v>
      </c>
      <c r="E2998" t="s">
        <v>6004</v>
      </c>
      <c r="F2998">
        <v>619319</v>
      </c>
      <c r="G2998" s="6" t="s">
        <v>6020</v>
      </c>
    </row>
    <row r="2999" s="6" customFormat="1" spans="1:7">
      <c r="A2999" s="6">
        <v>1001</v>
      </c>
      <c r="B2999" s="6">
        <v>6</v>
      </c>
      <c r="C2999" s="6">
        <v>1001</v>
      </c>
      <c r="D2999" s="6" t="s">
        <v>4483</v>
      </c>
      <c r="E2999" s="6" t="s">
        <v>6005</v>
      </c>
      <c r="F2999" s="6">
        <v>619320</v>
      </c>
      <c r="G2999" s="6" t="s">
        <v>6021</v>
      </c>
    </row>
    <row r="3000" s="6" customFormat="1" spans="1:7">
      <c r="A3000" s="6">
        <v>1001</v>
      </c>
      <c r="B3000" s="6">
        <v>1</v>
      </c>
      <c r="C3000" s="6">
        <v>1001</v>
      </c>
      <c r="D3000" s="6" t="s">
        <v>6022</v>
      </c>
      <c r="E3000" s="6" t="s">
        <v>6007</v>
      </c>
      <c r="F3000" s="6">
        <v>619321</v>
      </c>
      <c r="G3000" s="6" t="s">
        <v>5895</v>
      </c>
    </row>
    <row r="3001" s="6" customFormat="1" spans="1:7">
      <c r="A3001" s="6">
        <v>1001</v>
      </c>
      <c r="B3001" s="6">
        <v>6</v>
      </c>
      <c r="C3001" s="6">
        <v>1001</v>
      </c>
      <c r="D3001" s="6" t="s">
        <v>6023</v>
      </c>
      <c r="E3001" s="6" t="s">
        <v>6010</v>
      </c>
      <c r="F3001" s="6">
        <v>619322</v>
      </c>
      <c r="G3001" s="6" t="s">
        <v>6024</v>
      </c>
    </row>
    <row r="3002" s="6" customFormat="1" spans="1:7">
      <c r="A3002" s="6">
        <v>1001</v>
      </c>
      <c r="B3002" s="6">
        <v>6</v>
      </c>
      <c r="C3002" s="6">
        <v>1001</v>
      </c>
      <c r="D3002" s="6" t="s">
        <v>6025</v>
      </c>
      <c r="E3002" s="6" t="s">
        <v>4483</v>
      </c>
      <c r="F3002" s="6">
        <v>619323</v>
      </c>
      <c r="G3002" s="6" t="s">
        <v>6026</v>
      </c>
    </row>
    <row r="3003" spans="1:7">
      <c r="A3003">
        <v>1001</v>
      </c>
      <c r="B3003">
        <v>1</v>
      </c>
      <c r="C3003">
        <v>1001</v>
      </c>
      <c r="D3003" s="82" t="s">
        <v>6027</v>
      </c>
      <c r="E3003" s="25" t="s">
        <v>5023</v>
      </c>
      <c r="F3003">
        <v>619324</v>
      </c>
      <c r="G3003" t="s">
        <v>5895</v>
      </c>
    </row>
    <row r="3004" spans="1:7">
      <c r="A3004">
        <v>1001</v>
      </c>
      <c r="B3004">
        <v>1</v>
      </c>
      <c r="C3004">
        <v>1001</v>
      </c>
      <c r="D3004" s="82" t="s">
        <v>6028</v>
      </c>
      <c r="E3004" t="s">
        <v>6015</v>
      </c>
      <c r="F3004">
        <v>619325</v>
      </c>
      <c r="G3004" t="s">
        <v>5895</v>
      </c>
    </row>
    <row r="3005" s="6" customFormat="1" spans="1:7">
      <c r="A3005" s="6">
        <v>1001</v>
      </c>
      <c r="B3005" s="6">
        <v>1</v>
      </c>
      <c r="C3005" s="6">
        <v>1001</v>
      </c>
      <c r="D3005" s="6" t="s">
        <v>6029</v>
      </c>
      <c r="E3005" s="6" t="s">
        <v>6017</v>
      </c>
      <c r="F3005" s="6">
        <v>619326</v>
      </c>
      <c r="G3005" s="6" t="s">
        <v>6024</v>
      </c>
    </row>
    <row r="3006" spans="1:7">
      <c r="A3006">
        <v>1001</v>
      </c>
      <c r="B3006">
        <v>1</v>
      </c>
      <c r="C3006">
        <v>1001</v>
      </c>
      <c r="D3006" s="82" t="s">
        <v>5005</v>
      </c>
      <c r="E3006" t="s">
        <v>6018</v>
      </c>
      <c r="F3006">
        <v>619327</v>
      </c>
      <c r="G3006" t="s">
        <v>5895</v>
      </c>
    </row>
    <row r="3007" spans="1:7">
      <c r="A3007">
        <v>1001</v>
      </c>
      <c r="B3007">
        <v>6</v>
      </c>
      <c r="C3007">
        <v>1001</v>
      </c>
      <c r="D3007" t="s">
        <v>6030</v>
      </c>
      <c r="E3007" t="s">
        <v>6019</v>
      </c>
      <c r="F3007">
        <v>619328</v>
      </c>
      <c r="G3007" t="s">
        <v>6024</v>
      </c>
    </row>
    <row r="3008" spans="1:7">
      <c r="A3008">
        <v>1001</v>
      </c>
      <c r="B3008">
        <v>6</v>
      </c>
      <c r="C3008">
        <v>1001</v>
      </c>
      <c r="D3008" t="s">
        <v>6031</v>
      </c>
      <c r="E3008" s="6" t="s">
        <v>4483</v>
      </c>
      <c r="F3008" s="6">
        <v>619329</v>
      </c>
      <c r="G3008" t="s">
        <v>6032</v>
      </c>
    </row>
    <row r="3009" spans="1:7">
      <c r="A3009">
        <v>1001</v>
      </c>
      <c r="B3009">
        <v>6</v>
      </c>
      <c r="C3009">
        <v>1001</v>
      </c>
      <c r="D3009" t="s">
        <v>4483</v>
      </c>
      <c r="E3009" s="6" t="s">
        <v>6022</v>
      </c>
      <c r="F3009" s="6">
        <v>619330</v>
      </c>
      <c r="G3009" t="s">
        <v>6033</v>
      </c>
    </row>
    <row r="3010" spans="1:7">
      <c r="A3010">
        <v>1001</v>
      </c>
      <c r="B3010">
        <v>1</v>
      </c>
      <c r="C3010">
        <v>1001</v>
      </c>
      <c r="D3010" t="s">
        <v>6034</v>
      </c>
      <c r="E3010" s="6" t="s">
        <v>6023</v>
      </c>
      <c r="F3010" s="6">
        <v>619331</v>
      </c>
      <c r="G3010" t="s">
        <v>5895</v>
      </c>
    </row>
    <row r="3011" spans="1:7">
      <c r="A3011">
        <v>1001</v>
      </c>
      <c r="B3011">
        <v>1</v>
      </c>
      <c r="C3011">
        <v>1001</v>
      </c>
      <c r="D3011" t="s">
        <v>6035</v>
      </c>
      <c r="E3011" s="6" t="s">
        <v>6025</v>
      </c>
      <c r="F3011" s="6">
        <v>619332</v>
      </c>
      <c r="G3011" t="s">
        <v>5895</v>
      </c>
    </row>
    <row r="3012" s="18" customFormat="1" spans="1:7">
      <c r="A3012" s="18">
        <v>1001</v>
      </c>
      <c r="B3012" s="18">
        <v>6</v>
      </c>
      <c r="C3012" s="18">
        <v>1001</v>
      </c>
      <c r="D3012" s="18" t="s">
        <v>5023</v>
      </c>
      <c r="E3012" s="18" t="s">
        <v>6027</v>
      </c>
      <c r="F3012" s="18">
        <v>619333</v>
      </c>
      <c r="G3012" s="83" t="s">
        <v>6036</v>
      </c>
    </row>
    <row r="3013" s="6" customFormat="1" spans="1:7">
      <c r="A3013" s="6">
        <v>1001</v>
      </c>
      <c r="B3013" s="6">
        <v>6</v>
      </c>
      <c r="C3013" s="6">
        <v>1001</v>
      </c>
      <c r="D3013" s="6" t="s">
        <v>6037</v>
      </c>
      <c r="E3013" s="6" t="s">
        <v>6028</v>
      </c>
      <c r="F3013" s="6">
        <v>619334</v>
      </c>
      <c r="G3013" s="6" t="s">
        <v>6038</v>
      </c>
    </row>
    <row r="3014" s="6" customFormat="1" spans="1:7">
      <c r="A3014" s="6">
        <v>1001</v>
      </c>
      <c r="B3014" s="6">
        <v>6</v>
      </c>
      <c r="C3014" s="6">
        <v>1001</v>
      </c>
      <c r="D3014" s="6" t="s">
        <v>6039</v>
      </c>
      <c r="E3014" s="6" t="s">
        <v>6029</v>
      </c>
      <c r="F3014" s="6">
        <v>619335</v>
      </c>
      <c r="G3014" s="6" t="s">
        <v>6024</v>
      </c>
    </row>
    <row r="3015" s="6" customFormat="1" spans="1:7">
      <c r="A3015" s="6">
        <v>1001</v>
      </c>
      <c r="B3015" s="6">
        <v>1</v>
      </c>
      <c r="C3015" s="6">
        <v>1001</v>
      </c>
      <c r="D3015" s="6" t="s">
        <v>1912</v>
      </c>
      <c r="E3015" s="6" t="s">
        <v>5005</v>
      </c>
      <c r="F3015" s="6">
        <v>619336</v>
      </c>
      <c r="G3015" s="6" t="s">
        <v>5895</v>
      </c>
    </row>
    <row r="3016" s="6" customFormat="1" spans="1:7">
      <c r="A3016" s="6">
        <v>1001</v>
      </c>
      <c r="B3016" s="6">
        <v>1</v>
      </c>
      <c r="C3016" s="6">
        <v>1001</v>
      </c>
      <c r="D3016" s="6" t="s">
        <v>5605</v>
      </c>
      <c r="E3016" s="6" t="s">
        <v>6030</v>
      </c>
      <c r="F3016" s="6">
        <v>619337</v>
      </c>
      <c r="G3016" s="6" t="s">
        <v>5895</v>
      </c>
    </row>
    <row r="3017" s="18" customFormat="1" spans="1:7">
      <c r="A3017" s="18">
        <v>1001</v>
      </c>
      <c r="B3017" s="18">
        <v>6</v>
      </c>
      <c r="C3017" s="18">
        <v>1001</v>
      </c>
      <c r="D3017" s="18" t="s">
        <v>5023</v>
      </c>
      <c r="E3017" s="18" t="s">
        <v>6031</v>
      </c>
      <c r="F3017" s="18">
        <v>619338</v>
      </c>
      <c r="G3017" s="83" t="s">
        <v>6040</v>
      </c>
    </row>
    <row r="3018" spans="1:7">
      <c r="A3018">
        <v>1001</v>
      </c>
      <c r="B3018">
        <v>6</v>
      </c>
      <c r="C3018">
        <v>1001</v>
      </c>
      <c r="D3018" t="s">
        <v>6041</v>
      </c>
      <c r="E3018" t="s">
        <v>4483</v>
      </c>
      <c r="F3018">
        <v>619339</v>
      </c>
      <c r="G3018" t="s">
        <v>6042</v>
      </c>
    </row>
    <row r="3019" spans="1:7">
      <c r="A3019" s="25">
        <v>1001</v>
      </c>
      <c r="B3019">
        <v>6</v>
      </c>
      <c r="C3019" s="25">
        <v>1001</v>
      </c>
      <c r="D3019" t="s">
        <v>6043</v>
      </c>
      <c r="E3019" t="s">
        <v>6034</v>
      </c>
      <c r="F3019">
        <v>619340</v>
      </c>
      <c r="G3019" t="s">
        <v>6044</v>
      </c>
    </row>
    <row r="3020" s="19" customFormat="1" spans="1:7">
      <c r="A3020" s="19">
        <v>1001</v>
      </c>
      <c r="B3020" s="19">
        <v>1</v>
      </c>
      <c r="C3020" s="19">
        <v>1001</v>
      </c>
      <c r="D3020" s="19" t="s">
        <v>4448</v>
      </c>
      <c r="E3020" s="19" t="s">
        <v>6035</v>
      </c>
      <c r="F3020" s="19">
        <v>619341</v>
      </c>
      <c r="G3020" s="19" t="s">
        <v>5895</v>
      </c>
    </row>
    <row r="3021" s="19" customFormat="1" spans="1:7">
      <c r="A3021" s="19">
        <v>1001</v>
      </c>
      <c r="B3021" s="19">
        <v>1</v>
      </c>
      <c r="C3021" s="19">
        <v>1001</v>
      </c>
      <c r="D3021" s="19" t="s">
        <v>6045</v>
      </c>
      <c r="E3021" s="18" t="s">
        <v>4643</v>
      </c>
      <c r="F3021" s="18">
        <v>619347</v>
      </c>
      <c r="G3021" s="19" t="s">
        <v>5895</v>
      </c>
    </row>
    <row r="3022" s="19" customFormat="1" spans="1:7">
      <c r="A3022" s="19">
        <v>1001</v>
      </c>
      <c r="B3022" s="19">
        <v>1</v>
      </c>
      <c r="C3022" s="19">
        <v>1001</v>
      </c>
      <c r="D3022" s="19" t="s">
        <v>1892</v>
      </c>
      <c r="E3022" s="6" t="s">
        <v>6037</v>
      </c>
      <c r="F3022" s="6">
        <v>619343</v>
      </c>
      <c r="G3022" s="19" t="s">
        <v>6024</v>
      </c>
    </row>
    <row r="3023" s="4" customFormat="1" spans="1:7">
      <c r="A3023" s="4">
        <v>1001</v>
      </c>
      <c r="B3023" s="4">
        <v>1</v>
      </c>
      <c r="C3023" s="4">
        <v>1001</v>
      </c>
      <c r="D3023" s="4" t="s">
        <v>4451</v>
      </c>
      <c r="E3023" s="6" t="s">
        <v>6039</v>
      </c>
      <c r="F3023" s="6">
        <v>619344</v>
      </c>
      <c r="G3023" s="4" t="s">
        <v>5895</v>
      </c>
    </row>
    <row r="3024" s="19" customFormat="1" spans="1:7">
      <c r="A3024" s="19">
        <v>1001</v>
      </c>
      <c r="B3024" s="19">
        <v>1</v>
      </c>
      <c r="C3024" s="19">
        <v>1001</v>
      </c>
      <c r="D3024" s="19" t="s">
        <v>6046</v>
      </c>
      <c r="E3024" s="6" t="s">
        <v>1912</v>
      </c>
      <c r="F3024" s="6">
        <v>619345</v>
      </c>
      <c r="G3024" s="19" t="s">
        <v>6047</v>
      </c>
    </row>
    <row r="3025" s="19" customFormat="1" spans="1:7">
      <c r="A3025" s="19">
        <v>1001</v>
      </c>
      <c r="B3025" s="19">
        <v>1</v>
      </c>
      <c r="C3025" s="19">
        <v>1001</v>
      </c>
      <c r="D3025" s="19" t="s">
        <v>6048</v>
      </c>
      <c r="E3025" s="6" t="s">
        <v>5605</v>
      </c>
      <c r="F3025" s="6">
        <v>619346</v>
      </c>
      <c r="G3025" s="19" t="s">
        <v>6049</v>
      </c>
    </row>
    <row r="3026" s="19" customFormat="1" spans="1:7">
      <c r="A3026" s="19">
        <v>1001</v>
      </c>
      <c r="B3026" s="19">
        <v>1</v>
      </c>
      <c r="C3026" s="19">
        <v>1001</v>
      </c>
      <c r="D3026" s="19" t="s">
        <v>6050</v>
      </c>
      <c r="E3026" s="18" t="s">
        <v>5023</v>
      </c>
      <c r="F3026" s="18">
        <v>619348</v>
      </c>
      <c r="G3026" s="19" t="s">
        <v>6051</v>
      </c>
    </row>
    <row r="3027" s="20" customFormat="1" spans="1:7">
      <c r="A3027" s="20">
        <v>1001</v>
      </c>
      <c r="B3027" s="20">
        <v>6</v>
      </c>
      <c r="C3027" s="20">
        <v>1001</v>
      </c>
      <c r="D3027" s="20" t="s">
        <v>6052</v>
      </c>
      <c r="E3027" s="20" t="s">
        <v>5189</v>
      </c>
      <c r="F3027" s="20">
        <v>619349</v>
      </c>
      <c r="G3027" s="20" t="s">
        <v>6053</v>
      </c>
    </row>
    <row r="3028" s="19" customFormat="1" spans="1:7">
      <c r="A3028" s="19">
        <v>1001</v>
      </c>
      <c r="B3028" s="19">
        <v>6</v>
      </c>
      <c r="C3028" s="19">
        <v>1001</v>
      </c>
      <c r="D3028" s="19" t="s">
        <v>6054</v>
      </c>
      <c r="E3028" s="19" t="s">
        <v>4481</v>
      </c>
      <c r="F3028" s="19">
        <v>619350</v>
      </c>
      <c r="G3028" s="19" t="s">
        <v>6055</v>
      </c>
    </row>
    <row r="3029" s="6" customFormat="1" spans="1:7">
      <c r="A3029" s="6">
        <v>1001</v>
      </c>
      <c r="B3029" s="6">
        <v>1</v>
      </c>
      <c r="C3029" s="6">
        <v>1001</v>
      </c>
      <c r="D3029" s="6" t="s">
        <v>6056</v>
      </c>
      <c r="E3029" s="19" t="s">
        <v>4448</v>
      </c>
      <c r="F3029" s="19">
        <v>619351</v>
      </c>
      <c r="G3029" s="6" t="s">
        <v>6057</v>
      </c>
    </row>
    <row r="3030" s="6" customFormat="1" spans="1:7">
      <c r="A3030" s="6">
        <v>1001</v>
      </c>
      <c r="B3030" s="6">
        <v>1</v>
      </c>
      <c r="C3030" s="6">
        <v>1001</v>
      </c>
      <c r="D3030" s="6" t="s">
        <v>6058</v>
      </c>
      <c r="E3030" s="19" t="s">
        <v>6045</v>
      </c>
      <c r="F3030" s="19">
        <v>619352</v>
      </c>
      <c r="G3030" s="6" t="s">
        <v>6024</v>
      </c>
    </row>
    <row r="3031" s="6" customFormat="1" spans="1:7">
      <c r="A3031" s="6">
        <v>1001</v>
      </c>
      <c r="B3031" s="6">
        <v>1</v>
      </c>
      <c r="C3031" s="6">
        <v>1001</v>
      </c>
      <c r="D3031" s="6" t="s">
        <v>6059</v>
      </c>
      <c r="E3031" s="19" t="s">
        <v>1892</v>
      </c>
      <c r="F3031" s="19">
        <v>619353</v>
      </c>
      <c r="G3031" s="6" t="s">
        <v>6060</v>
      </c>
    </row>
    <row r="3032" s="18" customFormat="1" spans="1:7">
      <c r="A3032" s="84">
        <v>1001</v>
      </c>
      <c r="B3032" s="84">
        <v>6</v>
      </c>
      <c r="C3032" s="84">
        <v>1001</v>
      </c>
      <c r="D3032" s="18" t="s">
        <v>6061</v>
      </c>
      <c r="E3032" s="4" t="s">
        <v>4451</v>
      </c>
      <c r="F3032" s="4">
        <v>619354</v>
      </c>
      <c r="G3032" s="18" t="s">
        <v>6062</v>
      </c>
    </row>
    <row r="3033" s="15" customFormat="1" spans="1:7">
      <c r="A3033" s="15">
        <v>1001</v>
      </c>
      <c r="B3033" s="15">
        <v>1</v>
      </c>
      <c r="C3033" s="15">
        <v>1001</v>
      </c>
      <c r="D3033" s="15" t="s">
        <v>6063</v>
      </c>
      <c r="E3033" s="19" t="s">
        <v>4483</v>
      </c>
      <c r="F3033" s="19">
        <v>619355</v>
      </c>
      <c r="G3033" s="15" t="s">
        <v>6064</v>
      </c>
    </row>
    <row r="3034" s="15" customFormat="1" spans="1:7">
      <c r="A3034" s="15">
        <v>1001</v>
      </c>
      <c r="B3034" s="15">
        <v>1</v>
      </c>
      <c r="C3034" s="15">
        <v>1001</v>
      </c>
      <c r="D3034" s="15" t="s">
        <v>6065</v>
      </c>
      <c r="E3034" s="19" t="s">
        <v>4483</v>
      </c>
      <c r="F3034" s="19">
        <v>619356</v>
      </c>
      <c r="G3034" s="15" t="s">
        <v>6066</v>
      </c>
    </row>
    <row r="3035" s="21" customFormat="1" spans="1:7">
      <c r="A3035" s="21">
        <v>1001</v>
      </c>
      <c r="B3035" s="21">
        <v>1</v>
      </c>
      <c r="C3035" s="21">
        <v>1001</v>
      </c>
      <c r="D3035" s="21" t="s">
        <v>6067</v>
      </c>
      <c r="E3035" s="19" t="s">
        <v>6050</v>
      </c>
      <c r="F3035" s="19">
        <v>619357</v>
      </c>
      <c r="G3035" s="21" t="s">
        <v>6068</v>
      </c>
    </row>
    <row r="3036" spans="1:7">
      <c r="A3036" s="18">
        <v>1001</v>
      </c>
      <c r="B3036" s="18">
        <v>6</v>
      </c>
      <c r="C3036" s="18">
        <v>1001</v>
      </c>
      <c r="D3036" s="18" t="s">
        <v>6069</v>
      </c>
      <c r="E3036" s="20" t="s">
        <v>5023</v>
      </c>
      <c r="F3036" s="20">
        <v>619358</v>
      </c>
      <c r="G3036" s="18" t="s">
        <v>6070</v>
      </c>
    </row>
    <row r="3037" s="18" customFormat="1" spans="1:7">
      <c r="A3037" s="18">
        <v>1001</v>
      </c>
      <c r="B3037" s="18">
        <v>6</v>
      </c>
      <c r="C3037" s="18">
        <v>1001</v>
      </c>
      <c r="D3037" s="18" t="s">
        <v>6071</v>
      </c>
      <c r="E3037" s="19" t="s">
        <v>6072</v>
      </c>
      <c r="F3037" s="19">
        <v>619359</v>
      </c>
      <c r="G3037" s="18" t="s">
        <v>6073</v>
      </c>
    </row>
    <row r="3038" s="18" customFormat="1" spans="1:7">
      <c r="A3038" s="18">
        <v>1001</v>
      </c>
      <c r="B3038" s="18">
        <v>6</v>
      </c>
      <c r="C3038" s="18">
        <v>1001</v>
      </c>
      <c r="D3038" s="18" t="s">
        <v>6074</v>
      </c>
      <c r="E3038" s="6" t="s">
        <v>6056</v>
      </c>
      <c r="F3038" s="6">
        <v>619360</v>
      </c>
      <c r="G3038" s="18" t="s">
        <v>6075</v>
      </c>
    </row>
    <row r="3039" s="18" customFormat="1" spans="1:7">
      <c r="A3039" s="18">
        <v>1001</v>
      </c>
      <c r="B3039" s="18">
        <v>6</v>
      </c>
      <c r="C3039" s="18">
        <v>1001</v>
      </c>
      <c r="D3039" s="18" t="s">
        <v>6076</v>
      </c>
      <c r="E3039" s="6" t="s">
        <v>6058</v>
      </c>
      <c r="F3039" s="6">
        <v>619361</v>
      </c>
      <c r="G3039" s="18" t="s">
        <v>6077</v>
      </c>
    </row>
    <row r="3040" s="18" customFormat="1" spans="1:7">
      <c r="A3040" s="18">
        <v>1001</v>
      </c>
      <c r="B3040" s="18">
        <v>6</v>
      </c>
      <c r="C3040" s="18">
        <v>1001</v>
      </c>
      <c r="D3040" s="18" t="s">
        <v>6078</v>
      </c>
      <c r="E3040" s="6" t="s">
        <v>6059</v>
      </c>
      <c r="F3040" s="6">
        <v>619362</v>
      </c>
      <c r="G3040" s="18" t="s">
        <v>6079</v>
      </c>
    </row>
    <row r="3041" s="18" customFormat="1" spans="1:7">
      <c r="A3041" s="18">
        <v>1001</v>
      </c>
      <c r="B3041" s="18">
        <v>6</v>
      </c>
      <c r="C3041" s="18">
        <v>1001</v>
      </c>
      <c r="D3041" s="18" t="s">
        <v>6080</v>
      </c>
      <c r="E3041" s="18" t="s">
        <v>6061</v>
      </c>
      <c r="F3041" s="18">
        <v>619363</v>
      </c>
      <c r="G3041" s="18" t="s">
        <v>6081</v>
      </c>
    </row>
    <row r="3042" s="18" customFormat="1" spans="1:7">
      <c r="A3042" s="18">
        <v>1001</v>
      </c>
      <c r="B3042" s="18">
        <v>6</v>
      </c>
      <c r="C3042" s="18">
        <v>1001</v>
      </c>
      <c r="D3042" s="18" t="s">
        <v>6082</v>
      </c>
      <c r="E3042" s="15" t="s">
        <v>6063</v>
      </c>
      <c r="F3042" s="15">
        <v>619365</v>
      </c>
      <c r="G3042" s="18" t="s">
        <v>6083</v>
      </c>
    </row>
    <row r="3043" s="21" customFormat="1" spans="1:7">
      <c r="A3043" s="21">
        <v>1001</v>
      </c>
      <c r="B3043" s="21">
        <v>1</v>
      </c>
      <c r="C3043" s="21">
        <v>1001</v>
      </c>
      <c r="D3043" s="21" t="s">
        <v>6072</v>
      </c>
      <c r="E3043" s="15" t="s">
        <v>6065</v>
      </c>
      <c r="F3043" s="15">
        <v>619366</v>
      </c>
      <c r="G3043" s="21" t="s">
        <v>6084</v>
      </c>
    </row>
    <row r="3044" s="20" customFormat="1" spans="1:7">
      <c r="A3044" s="20">
        <v>1001</v>
      </c>
      <c r="B3044" s="20">
        <v>6</v>
      </c>
      <c r="C3044" s="20">
        <v>1001</v>
      </c>
      <c r="D3044" s="20" t="s">
        <v>482</v>
      </c>
      <c r="E3044" s="21" t="s">
        <v>6067</v>
      </c>
      <c r="F3044" s="21">
        <v>619367</v>
      </c>
      <c r="G3044" s="20" t="s">
        <v>6085</v>
      </c>
    </row>
    <row r="3045" s="20" customFormat="1" spans="1:7">
      <c r="A3045" s="20">
        <v>1001</v>
      </c>
      <c r="B3045" s="20">
        <v>6</v>
      </c>
      <c r="C3045" s="20">
        <v>1001</v>
      </c>
      <c r="D3045" s="20" t="s">
        <v>484</v>
      </c>
      <c r="E3045" s="18" t="s">
        <v>6069</v>
      </c>
      <c r="F3045" s="18">
        <v>619370</v>
      </c>
      <c r="G3045" s="20" t="s">
        <v>6086</v>
      </c>
    </row>
    <row r="3046" s="20" customFormat="1" spans="1:7">
      <c r="A3046" s="20">
        <v>1001</v>
      </c>
      <c r="B3046" s="20">
        <v>6</v>
      </c>
      <c r="C3046" s="20">
        <v>1001</v>
      </c>
      <c r="D3046" s="20" t="s">
        <v>486</v>
      </c>
      <c r="E3046" s="18" t="s">
        <v>6071</v>
      </c>
      <c r="F3046" s="18">
        <v>619371</v>
      </c>
      <c r="G3046" s="20" t="s">
        <v>6087</v>
      </c>
    </row>
    <row r="3047" s="20" customFormat="1" spans="1:7">
      <c r="A3047" s="20">
        <v>1001</v>
      </c>
      <c r="B3047" s="20">
        <v>6</v>
      </c>
      <c r="C3047" s="20">
        <v>1001</v>
      </c>
      <c r="D3047" s="20" t="s">
        <v>488</v>
      </c>
      <c r="E3047" s="18" t="s">
        <v>6074</v>
      </c>
      <c r="F3047" s="18">
        <v>619372</v>
      </c>
      <c r="G3047" s="20" t="s">
        <v>6088</v>
      </c>
    </row>
    <row r="3048" s="20" customFormat="1" spans="1:7">
      <c r="A3048" s="20">
        <v>1001</v>
      </c>
      <c r="B3048" s="20">
        <v>1</v>
      </c>
      <c r="C3048" s="20">
        <v>1001</v>
      </c>
      <c r="D3048" s="20" t="s">
        <v>4483</v>
      </c>
      <c r="E3048" s="18" t="s">
        <v>6076</v>
      </c>
      <c r="F3048" s="18">
        <v>619373</v>
      </c>
      <c r="G3048" s="20" t="s">
        <v>6089</v>
      </c>
    </row>
    <row r="3049" s="20" customFormat="1" spans="1:7">
      <c r="A3049" s="20">
        <v>1001</v>
      </c>
      <c r="B3049" s="20">
        <v>1</v>
      </c>
      <c r="C3049" s="20">
        <v>1001</v>
      </c>
      <c r="D3049" s="20" t="s">
        <v>4483</v>
      </c>
      <c r="E3049" s="18" t="s">
        <v>6078</v>
      </c>
      <c r="F3049" s="18">
        <v>619374</v>
      </c>
      <c r="G3049" s="20" t="s">
        <v>6090</v>
      </c>
    </row>
    <row r="3050" s="20" customFormat="1" spans="1:7">
      <c r="A3050" s="20">
        <v>1001</v>
      </c>
      <c r="B3050" s="20">
        <v>1</v>
      </c>
      <c r="C3050" s="20">
        <v>1001</v>
      </c>
      <c r="D3050" s="20" t="s">
        <v>4481</v>
      </c>
      <c r="E3050" s="18" t="s">
        <v>6080</v>
      </c>
      <c r="F3050" s="18">
        <v>619375</v>
      </c>
      <c r="G3050" s="20" t="s">
        <v>6091</v>
      </c>
    </row>
    <row r="3051" s="20" customFormat="1" spans="1:7">
      <c r="A3051" s="20">
        <v>1001</v>
      </c>
      <c r="B3051" s="20">
        <v>1</v>
      </c>
      <c r="C3051" s="20">
        <v>1001</v>
      </c>
      <c r="D3051" s="20" t="s">
        <v>4483</v>
      </c>
      <c r="E3051" s="18" t="s">
        <v>6092</v>
      </c>
      <c r="F3051" s="18">
        <v>619376</v>
      </c>
      <c r="G3051" s="20" t="s">
        <v>6093</v>
      </c>
    </row>
    <row r="3052" s="20" customFormat="1" spans="1:7">
      <c r="A3052" s="20">
        <v>1001</v>
      </c>
      <c r="B3052" s="20">
        <v>1</v>
      </c>
      <c r="C3052" s="20">
        <v>1001</v>
      </c>
      <c r="D3052" s="20" t="s">
        <v>4483</v>
      </c>
      <c r="E3052" s="21" t="s">
        <v>6072</v>
      </c>
      <c r="F3052" s="21">
        <v>619377</v>
      </c>
      <c r="G3052" s="20" t="s">
        <v>6094</v>
      </c>
    </row>
    <row r="3053" s="20" customFormat="1" spans="1:7">
      <c r="A3053" s="20">
        <v>1001</v>
      </c>
      <c r="B3053" s="20">
        <v>1</v>
      </c>
      <c r="C3053" s="20">
        <v>1001</v>
      </c>
      <c r="D3053" s="20" t="s">
        <v>4481</v>
      </c>
      <c r="E3053" s="20" t="s">
        <v>482</v>
      </c>
      <c r="F3053" s="20">
        <v>619378</v>
      </c>
      <c r="G3053" s="20" t="s">
        <v>6095</v>
      </c>
    </row>
    <row r="3054" s="20" customFormat="1" spans="1:7">
      <c r="A3054" s="20">
        <v>1001</v>
      </c>
      <c r="B3054" s="20">
        <v>1</v>
      </c>
      <c r="C3054" s="20">
        <v>1001</v>
      </c>
      <c r="D3054" s="20" t="s">
        <v>4483</v>
      </c>
      <c r="E3054" s="20" t="s">
        <v>484</v>
      </c>
      <c r="F3054" s="20">
        <v>619379</v>
      </c>
      <c r="G3054" s="20" t="s">
        <v>6096</v>
      </c>
    </row>
    <row r="3055" s="20" customFormat="1" spans="1:7">
      <c r="A3055" s="20">
        <v>1001</v>
      </c>
      <c r="B3055" s="20">
        <v>1</v>
      </c>
      <c r="C3055" s="20">
        <v>1001</v>
      </c>
      <c r="D3055" s="20" t="s">
        <v>4483</v>
      </c>
      <c r="E3055" s="20" t="s">
        <v>486</v>
      </c>
      <c r="F3055" s="20">
        <v>619380</v>
      </c>
      <c r="G3055" s="20" t="s">
        <v>6097</v>
      </c>
    </row>
    <row r="3056" s="20" customFormat="1" spans="1:7">
      <c r="A3056" s="20">
        <v>1001</v>
      </c>
      <c r="B3056" s="20">
        <v>6</v>
      </c>
      <c r="C3056" s="20">
        <v>1001</v>
      </c>
      <c r="D3056" s="20" t="s">
        <v>6098</v>
      </c>
      <c r="E3056" s="20" t="s">
        <v>488</v>
      </c>
      <c r="F3056" s="20">
        <v>619381</v>
      </c>
      <c r="G3056" s="20" t="s">
        <v>6099</v>
      </c>
    </row>
    <row r="3057" s="20" customFormat="1" spans="1:7">
      <c r="A3057" s="20">
        <v>1001</v>
      </c>
      <c r="B3057" s="20">
        <v>6</v>
      </c>
      <c r="C3057" s="20">
        <v>1001</v>
      </c>
      <c r="D3057" s="20" t="s">
        <v>6100</v>
      </c>
      <c r="E3057" s="20" t="s">
        <v>4483</v>
      </c>
      <c r="F3057" s="20">
        <v>619382</v>
      </c>
      <c r="G3057" s="20" t="s">
        <v>6101</v>
      </c>
    </row>
    <row r="3058" s="20" customFormat="1" spans="1:7">
      <c r="A3058" s="20">
        <v>1001</v>
      </c>
      <c r="B3058" s="20">
        <v>6</v>
      </c>
      <c r="C3058" s="20">
        <v>1001</v>
      </c>
      <c r="D3058" s="20" t="s">
        <v>6102</v>
      </c>
      <c r="E3058" s="20" t="s">
        <v>4483</v>
      </c>
      <c r="F3058" s="20">
        <v>619383</v>
      </c>
      <c r="G3058" s="20" t="s">
        <v>6103</v>
      </c>
    </row>
    <row r="3059" s="6" customFormat="1" spans="1:7">
      <c r="A3059" s="35">
        <v>1001</v>
      </c>
      <c r="B3059" s="35">
        <v>6</v>
      </c>
      <c r="C3059" s="35">
        <v>1001</v>
      </c>
      <c r="D3059" s="35" t="s">
        <v>6104</v>
      </c>
      <c r="E3059" s="20" t="s">
        <v>4481</v>
      </c>
      <c r="F3059" s="20">
        <v>619384</v>
      </c>
      <c r="G3059" s="35" t="s">
        <v>6105</v>
      </c>
    </row>
    <row r="3060" s="6" customFormat="1" spans="1:7">
      <c r="A3060" s="6">
        <v>1001</v>
      </c>
      <c r="B3060" s="6">
        <v>1</v>
      </c>
      <c r="C3060" s="6">
        <v>1001</v>
      </c>
      <c r="D3060" s="6" t="s">
        <v>4483</v>
      </c>
      <c r="E3060" s="20" t="s">
        <v>4483</v>
      </c>
      <c r="F3060" s="20">
        <v>619385</v>
      </c>
      <c r="G3060" s="6" t="s">
        <v>6106</v>
      </c>
    </row>
    <row r="3061" s="20" customFormat="1" spans="1:7">
      <c r="A3061" s="20">
        <v>1001</v>
      </c>
      <c r="B3061" s="20">
        <v>6</v>
      </c>
      <c r="C3061" s="20">
        <v>1001</v>
      </c>
      <c r="D3061" s="20" t="s">
        <v>6107</v>
      </c>
      <c r="E3061" s="20" t="s">
        <v>4483</v>
      </c>
      <c r="F3061" s="20">
        <v>619386</v>
      </c>
      <c r="G3061" s="20" t="s">
        <v>6108</v>
      </c>
    </row>
    <row r="3062" s="20" customFormat="1" spans="1:7">
      <c r="A3062" s="20">
        <v>1001</v>
      </c>
      <c r="B3062" s="20">
        <v>6</v>
      </c>
      <c r="C3062" s="20">
        <v>1001</v>
      </c>
      <c r="D3062" s="20" t="s">
        <v>6109</v>
      </c>
      <c r="E3062" s="20" t="s">
        <v>4481</v>
      </c>
      <c r="F3062" s="20">
        <v>619387</v>
      </c>
      <c r="G3062" s="20" t="s">
        <v>6110</v>
      </c>
    </row>
    <row r="3063" s="20" customFormat="1" spans="1:7">
      <c r="A3063" s="20">
        <v>1001</v>
      </c>
      <c r="B3063" s="20">
        <v>6</v>
      </c>
      <c r="C3063" s="20">
        <v>1001</v>
      </c>
      <c r="D3063" s="20" t="s">
        <v>6111</v>
      </c>
      <c r="E3063" s="20" t="s">
        <v>4483</v>
      </c>
      <c r="F3063" s="20">
        <v>619388</v>
      </c>
      <c r="G3063" s="20" t="s">
        <v>6112</v>
      </c>
    </row>
    <row r="3064" s="20" customFormat="1" spans="1:7">
      <c r="A3064" s="20">
        <v>1001</v>
      </c>
      <c r="B3064" s="20">
        <v>6</v>
      </c>
      <c r="C3064" s="20">
        <v>1001</v>
      </c>
      <c r="D3064" s="20" t="s">
        <v>6113</v>
      </c>
      <c r="E3064" s="20" t="s">
        <v>4483</v>
      </c>
      <c r="F3064" s="20">
        <v>619389</v>
      </c>
      <c r="G3064" s="20" t="s">
        <v>6114</v>
      </c>
    </row>
    <row r="3065" s="20" customFormat="1" spans="1:7">
      <c r="A3065" s="20">
        <v>1001</v>
      </c>
      <c r="B3065" s="20">
        <v>1</v>
      </c>
      <c r="C3065" s="20">
        <v>1001</v>
      </c>
      <c r="D3065" s="20" t="s">
        <v>4483</v>
      </c>
      <c r="E3065" s="20" t="s">
        <v>6098</v>
      </c>
      <c r="F3065" s="20">
        <v>619390</v>
      </c>
      <c r="G3065" s="20" t="s">
        <v>6115</v>
      </c>
    </row>
    <row r="3066" spans="1:7">
      <c r="A3066" s="20">
        <v>1001</v>
      </c>
      <c r="B3066" s="20">
        <v>1</v>
      </c>
      <c r="C3066" s="20">
        <v>1001</v>
      </c>
      <c r="D3066" s="20" t="s">
        <v>4481</v>
      </c>
      <c r="E3066" s="20" t="s">
        <v>6100</v>
      </c>
      <c r="F3066" s="20">
        <v>619391</v>
      </c>
      <c r="G3066" s="20" t="s">
        <v>6116</v>
      </c>
    </row>
    <row r="3067" s="20" customFormat="1" spans="1:7">
      <c r="A3067" s="20">
        <v>1001</v>
      </c>
      <c r="B3067" s="20">
        <v>1</v>
      </c>
      <c r="C3067" s="20">
        <v>1001</v>
      </c>
      <c r="D3067" s="20" t="s">
        <v>4483</v>
      </c>
      <c r="E3067" s="20" t="s">
        <v>6102</v>
      </c>
      <c r="F3067" s="20">
        <v>619392</v>
      </c>
      <c r="G3067" s="20" t="s">
        <v>6117</v>
      </c>
    </row>
    <row r="3068" s="20" customFormat="1" spans="1:7">
      <c r="A3068" s="20">
        <v>1001</v>
      </c>
      <c r="B3068" s="20">
        <v>1</v>
      </c>
      <c r="C3068" s="20">
        <v>1001</v>
      </c>
      <c r="D3068" s="20" t="s">
        <v>5035</v>
      </c>
      <c r="E3068" s="35" t="s">
        <v>6104</v>
      </c>
      <c r="F3068" s="6">
        <v>619400</v>
      </c>
      <c r="G3068" s="20" t="s">
        <v>6118</v>
      </c>
    </row>
    <row r="3069" s="20" customFormat="1" spans="1:7">
      <c r="A3069" s="20">
        <v>1001</v>
      </c>
      <c r="B3069" s="20">
        <v>2</v>
      </c>
      <c r="C3069" s="20">
        <v>1001</v>
      </c>
      <c r="D3069" s="20" t="s">
        <v>3690</v>
      </c>
      <c r="E3069" s="6" t="s">
        <v>4483</v>
      </c>
      <c r="F3069" s="6">
        <v>619401</v>
      </c>
      <c r="G3069" s="20" t="s">
        <v>6119</v>
      </c>
    </row>
    <row r="3070" s="20" customFormat="1" spans="1:7">
      <c r="A3070" s="20">
        <v>1001</v>
      </c>
      <c r="B3070" s="20">
        <v>2</v>
      </c>
      <c r="C3070" s="20">
        <v>1001</v>
      </c>
      <c r="D3070" s="20" t="s">
        <v>3692</v>
      </c>
      <c r="E3070" s="20" t="s">
        <v>6107</v>
      </c>
      <c r="F3070" s="20">
        <v>619402</v>
      </c>
      <c r="G3070" s="20" t="s">
        <v>6120</v>
      </c>
    </row>
    <row r="3071" s="20" customFormat="1" spans="1:7">
      <c r="A3071" s="20">
        <v>1001</v>
      </c>
      <c r="B3071" s="20">
        <v>2</v>
      </c>
      <c r="C3071" s="20">
        <v>1001</v>
      </c>
      <c r="D3071" s="20" t="s">
        <v>6121</v>
      </c>
      <c r="E3071" s="20" t="s">
        <v>6109</v>
      </c>
      <c r="F3071" s="20">
        <v>619403</v>
      </c>
      <c r="G3071" s="20" t="s">
        <v>6122</v>
      </c>
    </row>
    <row r="3072" spans="1:7">
      <c r="A3072" s="20">
        <v>1001</v>
      </c>
      <c r="B3072" s="20">
        <v>6</v>
      </c>
      <c r="C3072" s="20">
        <v>1001</v>
      </c>
      <c r="D3072" s="20" t="s">
        <v>6123</v>
      </c>
      <c r="E3072" s="20" t="s">
        <v>6111</v>
      </c>
      <c r="F3072" s="20">
        <v>619404</v>
      </c>
      <c r="G3072" s="20" t="s">
        <v>6124</v>
      </c>
    </row>
    <row r="3073" s="20" customFormat="1" spans="1:7">
      <c r="A3073" s="20">
        <v>1001</v>
      </c>
      <c r="B3073" s="20">
        <v>1</v>
      </c>
      <c r="C3073" s="20">
        <v>1001</v>
      </c>
      <c r="D3073" s="20" t="s">
        <v>4483</v>
      </c>
      <c r="E3073" s="20" t="s">
        <v>6113</v>
      </c>
      <c r="F3073" s="20">
        <v>619405</v>
      </c>
      <c r="G3073" s="20" t="s">
        <v>6125</v>
      </c>
    </row>
    <row r="3074" s="20" customFormat="1" spans="1:7">
      <c r="A3074" s="20">
        <v>1001</v>
      </c>
      <c r="B3074" s="20">
        <v>1</v>
      </c>
      <c r="C3074" s="20">
        <v>1001</v>
      </c>
      <c r="D3074" s="20" t="s">
        <v>4481</v>
      </c>
      <c r="E3074" s="20" t="s">
        <v>4483</v>
      </c>
      <c r="F3074" s="20">
        <v>619406</v>
      </c>
      <c r="G3074" s="20" t="s">
        <v>6126</v>
      </c>
    </row>
    <row r="3075" s="20" customFormat="1" spans="1:7">
      <c r="A3075" s="20">
        <v>1001</v>
      </c>
      <c r="B3075" s="20">
        <v>1</v>
      </c>
      <c r="C3075" s="20">
        <v>1001</v>
      </c>
      <c r="D3075" s="20" t="s">
        <v>4483</v>
      </c>
      <c r="E3075" s="20" t="s">
        <v>4481</v>
      </c>
      <c r="F3075" s="20">
        <v>619407</v>
      </c>
      <c r="G3075" s="20" t="s">
        <v>6127</v>
      </c>
    </row>
    <row r="3076" s="20" customFormat="1" spans="1:7">
      <c r="A3076" s="20">
        <v>1001</v>
      </c>
      <c r="B3076" s="20">
        <v>1</v>
      </c>
      <c r="C3076" s="20">
        <v>1001</v>
      </c>
      <c r="D3076" s="20" t="s">
        <v>4483</v>
      </c>
      <c r="E3076" s="20" t="s">
        <v>4483</v>
      </c>
      <c r="F3076" s="20">
        <v>619408</v>
      </c>
      <c r="G3076" s="20" t="s">
        <v>6128</v>
      </c>
    </row>
    <row r="3077" s="20" customFormat="1" spans="1:7">
      <c r="A3077" s="20">
        <v>1001</v>
      </c>
      <c r="B3077" s="20">
        <v>1</v>
      </c>
      <c r="C3077" s="20">
        <v>1001</v>
      </c>
      <c r="D3077" s="20" t="s">
        <v>496</v>
      </c>
      <c r="E3077" s="20" t="s">
        <v>5035</v>
      </c>
      <c r="F3077" s="20">
        <v>619409</v>
      </c>
      <c r="G3077" s="20" t="s">
        <v>6129</v>
      </c>
    </row>
    <row r="3078" s="20" customFormat="1" spans="1:7">
      <c r="A3078" s="20">
        <v>1001</v>
      </c>
      <c r="B3078" s="20">
        <v>6</v>
      </c>
      <c r="C3078" s="20">
        <v>1001</v>
      </c>
      <c r="D3078" s="20" t="s">
        <v>6130</v>
      </c>
      <c r="E3078" s="20" t="s">
        <v>3690</v>
      </c>
      <c r="F3078" s="20">
        <v>619410</v>
      </c>
      <c r="G3078" s="20" t="s">
        <v>6131</v>
      </c>
    </row>
    <row r="3079" s="20" customFormat="1" spans="1:7">
      <c r="A3079" s="20">
        <v>1001</v>
      </c>
      <c r="B3079" s="20">
        <v>1</v>
      </c>
      <c r="C3079" s="20">
        <v>1001</v>
      </c>
      <c r="D3079" s="20" t="s">
        <v>6132</v>
      </c>
      <c r="E3079" s="20" t="s">
        <v>3692</v>
      </c>
      <c r="F3079" s="20">
        <v>619411</v>
      </c>
      <c r="G3079" s="20" t="s">
        <v>6133</v>
      </c>
    </row>
    <row r="3080" s="20" customFormat="1" spans="1:7">
      <c r="A3080" s="20">
        <v>1001</v>
      </c>
      <c r="B3080" s="20">
        <v>1</v>
      </c>
      <c r="C3080" s="20">
        <v>1001</v>
      </c>
      <c r="D3080" s="20" t="s">
        <v>6134</v>
      </c>
      <c r="E3080" s="20" t="s">
        <v>6121</v>
      </c>
      <c r="F3080" s="20">
        <v>619412</v>
      </c>
      <c r="G3080" s="20" t="s">
        <v>6135</v>
      </c>
    </row>
    <row r="3081" s="20" customFormat="1" spans="1:7">
      <c r="A3081" s="20">
        <v>1001</v>
      </c>
      <c r="B3081" s="20">
        <v>1</v>
      </c>
      <c r="C3081" s="20">
        <v>1001</v>
      </c>
      <c r="D3081" s="20" t="s">
        <v>6136</v>
      </c>
      <c r="E3081" s="20" t="s">
        <v>6123</v>
      </c>
      <c r="F3081" s="20">
        <v>619413</v>
      </c>
      <c r="G3081" s="20" t="s">
        <v>6137</v>
      </c>
    </row>
    <row r="3082" spans="1:7">
      <c r="A3082" s="20">
        <v>1001</v>
      </c>
      <c r="B3082" s="20">
        <v>6</v>
      </c>
      <c r="C3082" s="20">
        <v>1001</v>
      </c>
      <c r="D3082" s="20" t="s">
        <v>6138</v>
      </c>
      <c r="E3082" s="20" t="s">
        <v>4483</v>
      </c>
      <c r="F3082" s="20">
        <v>619414</v>
      </c>
      <c r="G3082" s="20" t="s">
        <v>6139</v>
      </c>
    </row>
    <row r="3083" s="6" customFormat="1" spans="1:7">
      <c r="A3083" s="6">
        <v>1001</v>
      </c>
      <c r="B3083" s="6">
        <v>23</v>
      </c>
      <c r="C3083" s="6">
        <v>0</v>
      </c>
      <c r="D3083" s="16" t="s">
        <v>662</v>
      </c>
      <c r="E3083" s="20" t="s">
        <v>4481</v>
      </c>
      <c r="F3083" s="20">
        <v>619415</v>
      </c>
      <c r="G3083" s="6" t="s">
        <v>6140</v>
      </c>
    </row>
    <row r="3084" s="6" customFormat="1" spans="1:7">
      <c r="A3084" s="6">
        <v>1001</v>
      </c>
      <c r="B3084" s="6">
        <v>23</v>
      </c>
      <c r="C3084" s="6">
        <v>0</v>
      </c>
      <c r="D3084" s="16" t="s">
        <v>5515</v>
      </c>
      <c r="E3084" s="20" t="s">
        <v>4483</v>
      </c>
      <c r="F3084" s="20">
        <v>619416</v>
      </c>
      <c r="G3084" s="6" t="s">
        <v>6140</v>
      </c>
    </row>
    <row r="3085" s="6" customFormat="1" spans="1:7">
      <c r="A3085" s="6">
        <v>1001</v>
      </c>
      <c r="B3085" s="6">
        <v>23</v>
      </c>
      <c r="C3085" s="6">
        <v>0</v>
      </c>
      <c r="D3085" s="16" t="s">
        <v>5538</v>
      </c>
      <c r="E3085" s="20" t="s">
        <v>4483</v>
      </c>
      <c r="F3085" s="20">
        <v>619417</v>
      </c>
      <c r="G3085" s="6" t="s">
        <v>6140</v>
      </c>
    </row>
    <row r="3086" s="6" customFormat="1" spans="1:7">
      <c r="A3086" s="6">
        <v>1001</v>
      </c>
      <c r="B3086" s="6">
        <v>23</v>
      </c>
      <c r="C3086" s="6">
        <v>0</v>
      </c>
      <c r="D3086" s="16" t="s">
        <v>5539</v>
      </c>
      <c r="E3086" s="20" t="s">
        <v>496</v>
      </c>
      <c r="F3086" s="20">
        <v>619418</v>
      </c>
      <c r="G3086" s="6" t="s">
        <v>6140</v>
      </c>
    </row>
    <row r="3087" s="6" customFormat="1" spans="1:7">
      <c r="A3087" s="6">
        <v>1001</v>
      </c>
      <c r="B3087" s="6">
        <v>23</v>
      </c>
      <c r="C3087" s="6">
        <v>0</v>
      </c>
      <c r="D3087" s="16" t="s">
        <v>5540</v>
      </c>
      <c r="E3087" s="20" t="s">
        <v>6130</v>
      </c>
      <c r="F3087" s="20">
        <v>619419</v>
      </c>
      <c r="G3087" s="6" t="s">
        <v>6140</v>
      </c>
    </row>
    <row r="3088" s="6" customFormat="1" spans="1:7">
      <c r="A3088" s="6">
        <v>1001</v>
      </c>
      <c r="B3088" s="6">
        <v>23</v>
      </c>
      <c r="C3088" s="6">
        <v>0</v>
      </c>
      <c r="D3088" s="16" t="s">
        <v>5541</v>
      </c>
      <c r="E3088" s="20" t="s">
        <v>4481</v>
      </c>
      <c r="F3088" s="20">
        <v>619420</v>
      </c>
      <c r="G3088" s="6" t="s">
        <v>6140</v>
      </c>
    </row>
    <row r="3089" s="20" customFormat="1" spans="1:7">
      <c r="A3089" s="20">
        <v>1001</v>
      </c>
      <c r="B3089" s="20">
        <v>2</v>
      </c>
      <c r="C3089" s="20">
        <v>1001</v>
      </c>
      <c r="D3089" s="20" t="s">
        <v>6141</v>
      </c>
      <c r="E3089" s="20" t="s">
        <v>4481</v>
      </c>
      <c r="F3089" s="20">
        <v>619421</v>
      </c>
      <c r="G3089" s="20" t="s">
        <v>6119</v>
      </c>
    </row>
    <row r="3090" s="20" customFormat="1" spans="1:7">
      <c r="A3090" s="20">
        <v>1001</v>
      </c>
      <c r="B3090" s="20">
        <v>2</v>
      </c>
      <c r="C3090" s="20">
        <v>1001</v>
      </c>
      <c r="D3090" s="20" t="s">
        <v>6142</v>
      </c>
      <c r="E3090" s="20" t="s">
        <v>4483</v>
      </c>
      <c r="F3090" s="20">
        <v>619422</v>
      </c>
      <c r="G3090" s="20" t="s">
        <v>6120</v>
      </c>
    </row>
    <row r="3091" s="20" customFormat="1" spans="1:7">
      <c r="A3091" s="20">
        <v>1001</v>
      </c>
      <c r="B3091" s="20">
        <v>6</v>
      </c>
      <c r="C3091" s="20">
        <v>1001</v>
      </c>
      <c r="D3091" s="20" t="s">
        <v>6143</v>
      </c>
      <c r="E3091" s="20" t="s">
        <v>6138</v>
      </c>
      <c r="F3091" s="20">
        <v>619423</v>
      </c>
      <c r="G3091" s="20" t="s">
        <v>6124</v>
      </c>
    </row>
    <row r="3092" s="20" customFormat="1" spans="1:7">
      <c r="A3092" s="20">
        <v>1001</v>
      </c>
      <c r="B3092" s="20">
        <v>6</v>
      </c>
      <c r="C3092" s="20">
        <v>1001</v>
      </c>
      <c r="D3092" s="20" t="s">
        <v>6144</v>
      </c>
      <c r="E3092" s="6" t="s">
        <v>662</v>
      </c>
      <c r="F3092" s="6">
        <v>619424</v>
      </c>
      <c r="G3092" s="20" t="s">
        <v>6145</v>
      </c>
    </row>
    <row r="3093" s="20" customFormat="1" spans="1:7">
      <c r="A3093" s="20">
        <v>1001</v>
      </c>
      <c r="B3093" s="20">
        <v>1</v>
      </c>
      <c r="C3093" s="20">
        <v>1001</v>
      </c>
      <c r="D3093" s="20" t="s">
        <v>6146</v>
      </c>
      <c r="E3093" s="6" t="s">
        <v>687</v>
      </c>
      <c r="F3093" s="6">
        <v>619425</v>
      </c>
      <c r="G3093" s="20" t="s">
        <v>6147</v>
      </c>
    </row>
    <row r="3094" s="20" customFormat="1" spans="1:7">
      <c r="A3094" s="20">
        <v>1001</v>
      </c>
      <c r="B3094" s="20">
        <v>6</v>
      </c>
      <c r="C3094" s="20">
        <v>1001</v>
      </c>
      <c r="D3094" s="20" t="s">
        <v>519</v>
      </c>
      <c r="E3094" s="6" t="s">
        <v>687</v>
      </c>
      <c r="F3094" s="6">
        <v>619426</v>
      </c>
      <c r="G3094" s="20" t="s">
        <v>6148</v>
      </c>
    </row>
    <row r="3095" s="20" customFormat="1" spans="1:7">
      <c r="A3095" s="20">
        <v>1001</v>
      </c>
      <c r="B3095" s="20">
        <v>1</v>
      </c>
      <c r="C3095" s="20">
        <v>1001</v>
      </c>
      <c r="D3095" s="20" t="s">
        <v>6149</v>
      </c>
      <c r="E3095" s="6" t="s">
        <v>687</v>
      </c>
      <c r="F3095" s="6">
        <v>619427</v>
      </c>
      <c r="G3095" s="20" t="s">
        <v>6150</v>
      </c>
    </row>
    <row r="3096" s="20" customFormat="1" spans="1:7">
      <c r="A3096" s="20">
        <v>1001</v>
      </c>
      <c r="B3096" s="20">
        <v>1</v>
      </c>
      <c r="C3096" s="20">
        <v>1001</v>
      </c>
      <c r="D3096" s="20" t="s">
        <v>4483</v>
      </c>
      <c r="E3096" s="6" t="s">
        <v>687</v>
      </c>
      <c r="F3096" s="6">
        <v>619428</v>
      </c>
      <c r="G3096" s="20" t="s">
        <v>6151</v>
      </c>
    </row>
    <row r="3097" s="20" customFormat="1" spans="1:7">
      <c r="A3097" s="20">
        <v>1001</v>
      </c>
      <c r="B3097" s="20">
        <v>1</v>
      </c>
      <c r="C3097" s="20">
        <v>1001</v>
      </c>
      <c r="D3097" s="20" t="s">
        <v>4483</v>
      </c>
      <c r="E3097" s="6" t="s">
        <v>687</v>
      </c>
      <c r="F3097" s="6">
        <v>619429</v>
      </c>
      <c r="G3097" s="20" t="s">
        <v>6152</v>
      </c>
    </row>
    <row r="3098" s="20" customFormat="1" spans="1:7">
      <c r="A3098" s="20">
        <v>1001</v>
      </c>
      <c r="B3098" s="20">
        <v>2</v>
      </c>
      <c r="C3098" s="20">
        <v>1001</v>
      </c>
      <c r="D3098" s="20" t="s">
        <v>1494</v>
      </c>
      <c r="E3098" s="20" t="s">
        <v>6141</v>
      </c>
      <c r="F3098" s="20">
        <v>619430</v>
      </c>
      <c r="G3098" s="20" t="s">
        <v>6119</v>
      </c>
    </row>
    <row r="3099" s="20" customFormat="1" spans="1:7">
      <c r="A3099" s="20">
        <v>1001</v>
      </c>
      <c r="B3099" s="20">
        <v>2</v>
      </c>
      <c r="C3099" s="20">
        <v>1001</v>
      </c>
      <c r="D3099" s="20" t="s">
        <v>6153</v>
      </c>
      <c r="E3099" s="20" t="s">
        <v>6142</v>
      </c>
      <c r="F3099" s="20">
        <v>619431</v>
      </c>
      <c r="G3099" s="20" t="s">
        <v>6120</v>
      </c>
    </row>
    <row r="3100" s="20" customFormat="1" spans="1:7">
      <c r="A3100" s="20">
        <v>1001</v>
      </c>
      <c r="B3100" s="20">
        <v>6</v>
      </c>
      <c r="C3100" s="20">
        <v>1001</v>
      </c>
      <c r="D3100" s="20" t="s">
        <v>6154</v>
      </c>
      <c r="E3100" s="20" t="s">
        <v>6143</v>
      </c>
      <c r="F3100" s="20">
        <v>619432</v>
      </c>
      <c r="G3100" s="20" t="s">
        <v>6124</v>
      </c>
    </row>
    <row r="3101" s="20" customFormat="1" spans="1:7">
      <c r="A3101" s="20">
        <v>1001</v>
      </c>
      <c r="B3101" s="20">
        <v>1</v>
      </c>
      <c r="C3101" s="20">
        <v>1001</v>
      </c>
      <c r="D3101" s="20" t="s">
        <v>6155</v>
      </c>
      <c r="E3101" s="20" t="s">
        <v>6144</v>
      </c>
      <c r="F3101" s="20">
        <v>619433</v>
      </c>
      <c r="G3101" s="20" t="s">
        <v>6156</v>
      </c>
    </row>
    <row r="3102" s="20" customFormat="1" spans="1:7">
      <c r="A3102" s="20">
        <v>1001</v>
      </c>
      <c r="B3102" s="20">
        <v>6</v>
      </c>
      <c r="C3102" s="20">
        <v>1001</v>
      </c>
      <c r="D3102" s="20" t="s">
        <v>6157</v>
      </c>
      <c r="E3102" s="20" t="s">
        <v>6146</v>
      </c>
      <c r="F3102" s="20">
        <v>619434</v>
      </c>
      <c r="G3102" s="20" t="s">
        <v>6158</v>
      </c>
    </row>
    <row r="3103" s="20" customFormat="1" spans="1:7">
      <c r="A3103" s="20">
        <v>1001</v>
      </c>
      <c r="B3103" s="20">
        <v>6</v>
      </c>
      <c r="C3103" s="20">
        <v>1001</v>
      </c>
      <c r="D3103" s="20" t="s">
        <v>6159</v>
      </c>
      <c r="E3103" s="20" t="s">
        <v>519</v>
      </c>
      <c r="F3103" s="20">
        <v>619435</v>
      </c>
      <c r="G3103" s="20" t="s">
        <v>6160</v>
      </c>
    </row>
    <row r="3104" s="20" customFormat="1" spans="1:7">
      <c r="A3104" s="20">
        <v>1001</v>
      </c>
      <c r="B3104" s="20">
        <v>1</v>
      </c>
      <c r="C3104" s="20">
        <v>1001</v>
      </c>
      <c r="D3104" s="20" t="s">
        <v>5023</v>
      </c>
      <c r="E3104" s="20" t="s">
        <v>6149</v>
      </c>
      <c r="F3104" s="20">
        <v>619436</v>
      </c>
      <c r="G3104" s="20" t="s">
        <v>6161</v>
      </c>
    </row>
    <row r="3105" s="20" customFormat="1" spans="1:7">
      <c r="A3105" s="20">
        <v>1001</v>
      </c>
      <c r="B3105" s="20">
        <v>1</v>
      </c>
      <c r="C3105" s="20">
        <v>1001</v>
      </c>
      <c r="D3105" s="20" t="s">
        <v>6162</v>
      </c>
      <c r="E3105" s="20" t="s">
        <v>4483</v>
      </c>
      <c r="F3105" s="20">
        <v>619437</v>
      </c>
      <c r="G3105" s="20" t="s">
        <v>6163</v>
      </c>
    </row>
    <row r="3106" s="20" customFormat="1" spans="1:7">
      <c r="A3106" s="20">
        <v>1001</v>
      </c>
      <c r="B3106" s="20">
        <v>1</v>
      </c>
      <c r="C3106" s="20">
        <v>1001</v>
      </c>
      <c r="D3106" s="20" t="s">
        <v>5372</v>
      </c>
      <c r="E3106" s="20" t="s">
        <v>4483</v>
      </c>
      <c r="F3106" s="20">
        <v>619438</v>
      </c>
      <c r="G3106" s="20" t="s">
        <v>6164</v>
      </c>
    </row>
    <row r="3107" s="20" customFormat="1" spans="1:7">
      <c r="A3107" s="20">
        <v>1001</v>
      </c>
      <c r="B3107" s="20">
        <v>1</v>
      </c>
      <c r="C3107" s="20">
        <v>1001</v>
      </c>
      <c r="D3107" s="20" t="s">
        <v>6165</v>
      </c>
      <c r="E3107" s="20" t="s">
        <v>1494</v>
      </c>
      <c r="F3107" s="20">
        <v>619439</v>
      </c>
      <c r="G3107" s="20" t="s">
        <v>6166</v>
      </c>
    </row>
    <row r="3108" s="20" customFormat="1" spans="1:7">
      <c r="A3108" s="20">
        <v>1001</v>
      </c>
      <c r="B3108" s="20">
        <v>1</v>
      </c>
      <c r="C3108" s="20">
        <v>1001</v>
      </c>
      <c r="D3108" s="20" t="s">
        <v>6167</v>
      </c>
      <c r="E3108" s="20" t="s">
        <v>6153</v>
      </c>
      <c r="F3108" s="20">
        <v>619440</v>
      </c>
      <c r="G3108" s="20" t="s">
        <v>6168</v>
      </c>
    </row>
    <row r="3109" s="20" customFormat="1" spans="1:7">
      <c r="A3109" s="20">
        <v>1001</v>
      </c>
      <c r="B3109" s="20">
        <v>1</v>
      </c>
      <c r="C3109" s="20">
        <v>1001</v>
      </c>
      <c r="D3109" s="20" t="s">
        <v>6169</v>
      </c>
      <c r="E3109" s="20" t="s">
        <v>6154</v>
      </c>
      <c r="F3109" s="20">
        <v>619441</v>
      </c>
      <c r="G3109" s="20" t="s">
        <v>6170</v>
      </c>
    </row>
    <row r="3110" s="20" customFormat="1" spans="1:7">
      <c r="A3110" s="20">
        <v>1001</v>
      </c>
      <c r="B3110" s="20">
        <v>6</v>
      </c>
      <c r="C3110" s="20">
        <v>1001</v>
      </c>
      <c r="D3110" s="20" t="s">
        <v>6171</v>
      </c>
      <c r="E3110" s="20" t="s">
        <v>6155</v>
      </c>
      <c r="F3110" s="20">
        <v>619442</v>
      </c>
      <c r="G3110" s="20" t="s">
        <v>6172</v>
      </c>
    </row>
    <row r="3111" s="20" customFormat="1" spans="1:7">
      <c r="A3111" s="20">
        <v>1001</v>
      </c>
      <c r="B3111" s="20">
        <v>6</v>
      </c>
      <c r="C3111" s="20">
        <v>1001</v>
      </c>
      <c r="D3111" s="20" t="s">
        <v>6173</v>
      </c>
      <c r="E3111" s="20" t="s">
        <v>6157</v>
      </c>
      <c r="F3111" s="20">
        <v>619443</v>
      </c>
      <c r="G3111" s="20" t="s">
        <v>6145</v>
      </c>
    </row>
    <row r="3112" s="20" customFormat="1" spans="1:7">
      <c r="A3112" s="20">
        <v>1001</v>
      </c>
      <c r="B3112" s="20">
        <v>1</v>
      </c>
      <c r="C3112" s="20">
        <v>1001</v>
      </c>
      <c r="D3112" s="20" t="s">
        <v>6174</v>
      </c>
      <c r="E3112" s="20" t="s">
        <v>6159</v>
      </c>
      <c r="F3112" s="20">
        <v>619444</v>
      </c>
      <c r="G3112" s="20" t="s">
        <v>6175</v>
      </c>
    </row>
    <row r="3113" s="20" customFormat="1" spans="1:7">
      <c r="A3113" s="20">
        <v>1001</v>
      </c>
      <c r="B3113" s="20">
        <v>2</v>
      </c>
      <c r="C3113" s="20">
        <v>1001</v>
      </c>
      <c r="D3113" s="20" t="s">
        <v>1892</v>
      </c>
      <c r="E3113" s="20" t="s">
        <v>5023</v>
      </c>
      <c r="F3113" s="20">
        <v>619445</v>
      </c>
      <c r="G3113" s="20" t="s">
        <v>6119</v>
      </c>
    </row>
    <row r="3114" s="20" customFormat="1" spans="1:7">
      <c r="A3114" s="20">
        <v>1001</v>
      </c>
      <c r="B3114" s="20">
        <v>2</v>
      </c>
      <c r="C3114" s="20">
        <v>1001</v>
      </c>
      <c r="D3114" s="20" t="s">
        <v>6176</v>
      </c>
      <c r="E3114" s="20" t="s">
        <v>4483</v>
      </c>
      <c r="F3114" s="20">
        <v>619446</v>
      </c>
      <c r="G3114" s="20" t="s">
        <v>6120</v>
      </c>
    </row>
    <row r="3115" s="20" customFormat="1" spans="1:7">
      <c r="A3115" s="20">
        <v>1001</v>
      </c>
      <c r="B3115" s="20">
        <v>6</v>
      </c>
      <c r="C3115" s="20">
        <v>1001</v>
      </c>
      <c r="D3115" s="20" t="s">
        <v>5681</v>
      </c>
      <c r="E3115" s="20" t="s">
        <v>4483</v>
      </c>
      <c r="F3115" s="20">
        <v>619447</v>
      </c>
      <c r="G3115" s="20" t="s">
        <v>6124</v>
      </c>
    </row>
    <row r="3116" s="20" customFormat="1" spans="1:7">
      <c r="A3116" s="20">
        <v>1001</v>
      </c>
      <c r="B3116" s="20">
        <v>2</v>
      </c>
      <c r="C3116" s="20">
        <v>1001</v>
      </c>
      <c r="D3116" s="20" t="s">
        <v>6177</v>
      </c>
      <c r="E3116" s="20" t="s">
        <v>4483</v>
      </c>
      <c r="F3116" s="20">
        <v>619448</v>
      </c>
      <c r="G3116" s="20" t="s">
        <v>6178</v>
      </c>
    </row>
    <row r="3117" s="20" customFormat="1" spans="1:7">
      <c r="A3117" s="20">
        <v>1001</v>
      </c>
      <c r="B3117" s="20">
        <v>1</v>
      </c>
      <c r="C3117" s="20">
        <v>1001</v>
      </c>
      <c r="D3117" s="85" t="s">
        <v>6179</v>
      </c>
      <c r="E3117" s="20" t="s">
        <v>4483</v>
      </c>
      <c r="F3117" s="20">
        <v>619449</v>
      </c>
      <c r="G3117" s="20" t="s">
        <v>6180</v>
      </c>
    </row>
    <row r="3118" s="20" customFormat="1" spans="1:7">
      <c r="A3118" s="20">
        <v>1001</v>
      </c>
      <c r="B3118" s="20">
        <v>1</v>
      </c>
      <c r="C3118" s="20">
        <v>1001</v>
      </c>
      <c r="D3118" s="85" t="s">
        <v>6181</v>
      </c>
      <c r="E3118" s="20" t="s">
        <v>6169</v>
      </c>
      <c r="F3118" s="20">
        <v>619450</v>
      </c>
      <c r="G3118" s="20" t="s">
        <v>6182</v>
      </c>
    </row>
    <row r="3119" s="20" customFormat="1" spans="1:7">
      <c r="A3119" s="20">
        <v>1001</v>
      </c>
      <c r="B3119" s="20">
        <v>1</v>
      </c>
      <c r="C3119" s="20">
        <v>1001</v>
      </c>
      <c r="D3119" s="85" t="s">
        <v>6183</v>
      </c>
      <c r="E3119" s="20" t="s">
        <v>6171</v>
      </c>
      <c r="F3119" s="20">
        <v>619451</v>
      </c>
      <c r="G3119" s="20" t="s">
        <v>6184</v>
      </c>
    </row>
    <row r="3120" s="20" customFormat="1" spans="1:7">
      <c r="A3120" s="20">
        <v>1001</v>
      </c>
      <c r="B3120" s="20">
        <v>1</v>
      </c>
      <c r="C3120" s="20">
        <v>1001</v>
      </c>
      <c r="D3120" s="85" t="s">
        <v>6185</v>
      </c>
      <c r="E3120" s="20" t="s">
        <v>6144</v>
      </c>
      <c r="F3120" s="20">
        <v>619452</v>
      </c>
      <c r="G3120" s="20" t="s">
        <v>6186</v>
      </c>
    </row>
    <row r="3121" s="20" customFormat="1" spans="1:7">
      <c r="A3121" s="20">
        <v>1001</v>
      </c>
      <c r="B3121" s="20">
        <v>1</v>
      </c>
      <c r="C3121" s="20">
        <v>1001</v>
      </c>
      <c r="D3121" s="85" t="s">
        <v>6187</v>
      </c>
      <c r="E3121" s="20" t="s">
        <v>6174</v>
      </c>
      <c r="F3121" s="20">
        <v>619453</v>
      </c>
      <c r="G3121" s="20" t="s">
        <v>6188</v>
      </c>
    </row>
    <row r="3122" s="20" customFormat="1" spans="1:7">
      <c r="A3122" s="20">
        <v>1001</v>
      </c>
      <c r="B3122" s="20">
        <v>1</v>
      </c>
      <c r="C3122" s="20">
        <v>1001</v>
      </c>
      <c r="D3122" s="85" t="s">
        <v>6189</v>
      </c>
      <c r="E3122" s="20" t="s">
        <v>1892</v>
      </c>
      <c r="F3122" s="20">
        <v>619454</v>
      </c>
      <c r="G3122" s="20" t="s">
        <v>6190</v>
      </c>
    </row>
    <row r="3123" s="20" customFormat="1" spans="1:7">
      <c r="A3123" s="20">
        <v>1001</v>
      </c>
      <c r="B3123" s="20">
        <v>1</v>
      </c>
      <c r="C3123" s="20">
        <v>1001</v>
      </c>
      <c r="D3123" s="85" t="s">
        <v>6191</v>
      </c>
      <c r="E3123" s="20" t="s">
        <v>6176</v>
      </c>
      <c r="F3123" s="20">
        <v>619455</v>
      </c>
      <c r="G3123" s="20" t="s">
        <v>6192</v>
      </c>
    </row>
    <row r="3124" s="20" customFormat="1" spans="1:7">
      <c r="A3124" s="20">
        <v>1001</v>
      </c>
      <c r="B3124" s="20">
        <v>6</v>
      </c>
      <c r="C3124" s="20">
        <v>1001</v>
      </c>
      <c r="D3124" s="20" t="s">
        <v>6193</v>
      </c>
      <c r="E3124" s="20" t="s">
        <v>5681</v>
      </c>
      <c r="F3124" s="20">
        <v>619456</v>
      </c>
      <c r="G3124" s="20" t="s">
        <v>6194</v>
      </c>
    </row>
    <row r="3125" s="20" customFormat="1" spans="1:7">
      <c r="A3125" s="20">
        <v>1001</v>
      </c>
      <c r="B3125" s="20">
        <v>6</v>
      </c>
      <c r="C3125" s="20">
        <v>1001</v>
      </c>
      <c r="D3125" s="20" t="s">
        <v>6195</v>
      </c>
      <c r="E3125" s="20" t="s">
        <v>6177</v>
      </c>
      <c r="F3125" s="20">
        <v>619457</v>
      </c>
      <c r="G3125" s="20" t="s">
        <v>6196</v>
      </c>
    </row>
    <row r="3126" s="20" customFormat="1" spans="1:7">
      <c r="A3126" s="20">
        <v>1001</v>
      </c>
      <c r="B3126" s="20">
        <v>6</v>
      </c>
      <c r="C3126" s="20">
        <v>1001</v>
      </c>
      <c r="D3126" s="20" t="s">
        <v>6197</v>
      </c>
      <c r="E3126" s="85" t="s">
        <v>6179</v>
      </c>
      <c r="F3126" s="20">
        <v>619458</v>
      </c>
      <c r="G3126" s="20" t="s">
        <v>6198</v>
      </c>
    </row>
    <row r="3127" s="20" customFormat="1" spans="1:7">
      <c r="A3127" s="20">
        <v>1001</v>
      </c>
      <c r="B3127" s="20">
        <v>6</v>
      </c>
      <c r="C3127" s="20">
        <v>1001</v>
      </c>
      <c r="D3127" s="20" t="s">
        <v>6199</v>
      </c>
      <c r="E3127" s="85" t="s">
        <v>6181</v>
      </c>
      <c r="F3127" s="20">
        <v>619459</v>
      </c>
      <c r="G3127" s="20" t="s">
        <v>6200</v>
      </c>
    </row>
    <row r="3128" s="20" customFormat="1" spans="1:7">
      <c r="A3128" s="20">
        <v>1001</v>
      </c>
      <c r="B3128" s="20">
        <v>6</v>
      </c>
      <c r="C3128" s="20">
        <v>1001</v>
      </c>
      <c r="D3128" s="20" t="s">
        <v>6201</v>
      </c>
      <c r="E3128" s="85" t="s">
        <v>6183</v>
      </c>
      <c r="F3128" s="20">
        <v>619460</v>
      </c>
      <c r="G3128" s="20" t="s">
        <v>6202</v>
      </c>
    </row>
    <row r="3129" s="20" customFormat="1" spans="1:7">
      <c r="A3129" s="20">
        <v>1001</v>
      </c>
      <c r="B3129" s="20">
        <v>1</v>
      </c>
      <c r="C3129" s="20">
        <v>1001</v>
      </c>
      <c r="D3129" s="20" t="s">
        <v>4483</v>
      </c>
      <c r="E3129" s="85" t="s">
        <v>6185</v>
      </c>
      <c r="F3129" s="20">
        <v>619461</v>
      </c>
      <c r="G3129" s="20" t="s">
        <v>6203</v>
      </c>
    </row>
    <row r="3130" s="6" customFormat="1" spans="1:7">
      <c r="A3130" s="6">
        <v>1001</v>
      </c>
      <c r="B3130" s="6">
        <v>1</v>
      </c>
      <c r="C3130" s="6">
        <v>1001</v>
      </c>
      <c r="D3130" s="6" t="s">
        <v>6204</v>
      </c>
      <c r="E3130" s="85" t="s">
        <v>6187</v>
      </c>
      <c r="F3130" s="20">
        <v>619462</v>
      </c>
      <c r="G3130" s="6" t="s">
        <v>6205</v>
      </c>
    </row>
    <row r="3131" s="6" customFormat="1" spans="1:7">
      <c r="A3131" s="6">
        <v>1001</v>
      </c>
      <c r="B3131" s="6">
        <v>1</v>
      </c>
      <c r="C3131" s="6">
        <v>1001</v>
      </c>
      <c r="D3131" s="6" t="s">
        <v>6206</v>
      </c>
      <c r="E3131" s="85" t="s">
        <v>6189</v>
      </c>
      <c r="F3131" s="20">
        <v>619463</v>
      </c>
      <c r="G3131" s="6" t="s">
        <v>6207</v>
      </c>
    </row>
    <row r="3132" s="20" customFormat="1" spans="1:7">
      <c r="A3132" s="20">
        <v>1001</v>
      </c>
      <c r="B3132" s="20">
        <v>6</v>
      </c>
      <c r="C3132" s="20">
        <v>1001</v>
      </c>
      <c r="D3132" s="20" t="s">
        <v>6208</v>
      </c>
      <c r="E3132" s="85" t="s">
        <v>6191</v>
      </c>
      <c r="F3132" s="20">
        <v>619464</v>
      </c>
      <c r="G3132" s="20" t="s">
        <v>6209</v>
      </c>
    </row>
    <row r="3133" s="20" customFormat="1" spans="1:7">
      <c r="A3133" s="20">
        <v>1001</v>
      </c>
      <c r="B3133" s="20">
        <v>6</v>
      </c>
      <c r="C3133" s="20">
        <v>1001</v>
      </c>
      <c r="D3133" s="86" t="s">
        <v>6210</v>
      </c>
      <c r="E3133" s="20" t="s">
        <v>6193</v>
      </c>
      <c r="F3133" s="20">
        <v>619465</v>
      </c>
      <c r="G3133" s="20" t="s">
        <v>6211</v>
      </c>
    </row>
    <row r="3134" s="20" customFormat="1" spans="1:7">
      <c r="A3134" s="20">
        <v>1001</v>
      </c>
      <c r="B3134" s="20">
        <v>6</v>
      </c>
      <c r="C3134" s="20">
        <v>1001</v>
      </c>
      <c r="D3134" s="86" t="s">
        <v>6212</v>
      </c>
      <c r="E3134" s="20" t="s">
        <v>6195</v>
      </c>
      <c r="F3134" s="20">
        <v>619466</v>
      </c>
      <c r="G3134" s="20" t="s">
        <v>6213</v>
      </c>
    </row>
    <row r="3135" s="20" customFormat="1" spans="1:7">
      <c r="A3135" s="20">
        <v>1001</v>
      </c>
      <c r="B3135" s="20">
        <v>6</v>
      </c>
      <c r="C3135" s="20">
        <v>1001</v>
      </c>
      <c r="D3135" s="86" t="s">
        <v>6214</v>
      </c>
      <c r="E3135" s="20" t="s">
        <v>6197</v>
      </c>
      <c r="F3135" s="20">
        <v>619467</v>
      </c>
      <c r="G3135" s="20" t="s">
        <v>6215</v>
      </c>
    </row>
    <row r="3136" s="20" customFormat="1" spans="1:7">
      <c r="A3136" s="20">
        <v>1001</v>
      </c>
      <c r="B3136" s="20">
        <v>6</v>
      </c>
      <c r="C3136" s="20">
        <v>1001</v>
      </c>
      <c r="D3136" s="86" t="s">
        <v>6216</v>
      </c>
      <c r="E3136" s="20" t="s">
        <v>6199</v>
      </c>
      <c r="F3136" s="20">
        <v>619468</v>
      </c>
      <c r="G3136" s="20" t="s">
        <v>6217</v>
      </c>
    </row>
    <row r="3137" s="20" customFormat="1" spans="1:7">
      <c r="A3137" s="20">
        <v>1001</v>
      </c>
      <c r="B3137" s="20">
        <v>1</v>
      </c>
      <c r="C3137" s="20">
        <v>1001</v>
      </c>
      <c r="D3137" s="20" t="s">
        <v>4483</v>
      </c>
      <c r="E3137" s="20" t="s">
        <v>6201</v>
      </c>
      <c r="F3137" s="20">
        <v>619469</v>
      </c>
      <c r="G3137" s="20" t="s">
        <v>6218</v>
      </c>
    </row>
    <row r="3138" s="20" customFormat="1" spans="1:7">
      <c r="A3138" s="20">
        <v>1001</v>
      </c>
      <c r="B3138" s="20">
        <v>6</v>
      </c>
      <c r="C3138" s="20">
        <v>1001</v>
      </c>
      <c r="D3138" s="20" t="s">
        <v>6219</v>
      </c>
      <c r="E3138" s="20" t="s">
        <v>4483</v>
      </c>
      <c r="F3138" s="20">
        <v>619470</v>
      </c>
      <c r="G3138" s="20" t="s">
        <v>6220</v>
      </c>
    </row>
    <row r="3139" s="20" customFormat="1" spans="1:7">
      <c r="A3139" s="20">
        <v>1001</v>
      </c>
      <c r="B3139" s="20">
        <v>6</v>
      </c>
      <c r="C3139" s="20">
        <v>1001</v>
      </c>
      <c r="D3139" s="20" t="s">
        <v>6221</v>
      </c>
      <c r="E3139" s="6" t="s">
        <v>6204</v>
      </c>
      <c r="F3139" s="20">
        <v>619471</v>
      </c>
      <c r="G3139" s="20" t="s">
        <v>6145</v>
      </c>
    </row>
    <row r="3140" s="6" customFormat="1" spans="1:7">
      <c r="A3140" s="6">
        <v>1001</v>
      </c>
      <c r="B3140" s="6">
        <v>6</v>
      </c>
      <c r="C3140" s="6">
        <v>1001</v>
      </c>
      <c r="D3140" s="6" t="s">
        <v>6222</v>
      </c>
      <c r="E3140" s="6" t="s">
        <v>6206</v>
      </c>
      <c r="F3140" s="20">
        <v>619472</v>
      </c>
      <c r="G3140" s="6" t="s">
        <v>6223</v>
      </c>
    </row>
    <row r="3141" s="6" customFormat="1" spans="1:7">
      <c r="A3141" s="6">
        <v>1001</v>
      </c>
      <c r="B3141" s="6">
        <v>6</v>
      </c>
      <c r="C3141" s="6">
        <v>1001</v>
      </c>
      <c r="D3141" s="6" t="s">
        <v>6224</v>
      </c>
      <c r="E3141" s="20" t="s">
        <v>6208</v>
      </c>
      <c r="F3141" s="20">
        <v>619473</v>
      </c>
      <c r="G3141" s="6" t="s">
        <v>6225</v>
      </c>
    </row>
    <row r="3142" s="6" customFormat="1" spans="1:7">
      <c r="A3142" s="6">
        <v>1001</v>
      </c>
      <c r="B3142" s="6">
        <v>6</v>
      </c>
      <c r="C3142" s="6">
        <v>1001</v>
      </c>
      <c r="D3142" s="6" t="s">
        <v>6226</v>
      </c>
      <c r="E3142" s="86" t="s">
        <v>6210</v>
      </c>
      <c r="F3142" s="20">
        <v>619474</v>
      </c>
      <c r="G3142" s="6" t="s">
        <v>6227</v>
      </c>
    </row>
    <row r="3143" s="6" customFormat="1" spans="1:7">
      <c r="A3143" s="6">
        <v>1001</v>
      </c>
      <c r="B3143" s="6">
        <v>6</v>
      </c>
      <c r="C3143" s="6">
        <v>1001</v>
      </c>
      <c r="D3143" s="6" t="s">
        <v>6228</v>
      </c>
      <c r="E3143" s="86" t="s">
        <v>6212</v>
      </c>
      <c r="F3143" s="20">
        <v>619475</v>
      </c>
      <c r="G3143" s="6" t="s">
        <v>6229</v>
      </c>
    </row>
    <row r="3144" s="6" customFormat="1" spans="1:7">
      <c r="A3144" s="6">
        <v>1001</v>
      </c>
      <c r="B3144" s="6">
        <v>6</v>
      </c>
      <c r="C3144" s="6">
        <v>1001</v>
      </c>
      <c r="D3144" s="6" t="s">
        <v>6230</v>
      </c>
      <c r="E3144" s="86" t="s">
        <v>6214</v>
      </c>
      <c r="F3144" s="20">
        <v>619476</v>
      </c>
      <c r="G3144" s="6" t="s">
        <v>6231</v>
      </c>
    </row>
    <row r="3145" s="6" customFormat="1" spans="1:7">
      <c r="A3145" s="6">
        <v>1001</v>
      </c>
      <c r="B3145" s="6">
        <v>1</v>
      </c>
      <c r="C3145" s="6">
        <v>1001</v>
      </c>
      <c r="D3145" s="6" t="s">
        <v>4483</v>
      </c>
      <c r="E3145" s="86" t="s">
        <v>6216</v>
      </c>
      <c r="F3145" s="20">
        <v>619477</v>
      </c>
      <c r="G3145" s="6" t="s">
        <v>6232</v>
      </c>
    </row>
    <row r="3146" s="20" customFormat="1" spans="1:7">
      <c r="A3146" s="20">
        <v>1001</v>
      </c>
      <c r="B3146" s="20">
        <v>6</v>
      </c>
      <c r="C3146" s="20">
        <v>1001</v>
      </c>
      <c r="D3146" s="20" t="s">
        <v>6233</v>
      </c>
      <c r="E3146" s="20" t="s">
        <v>4483</v>
      </c>
      <c r="F3146" s="20">
        <v>619478</v>
      </c>
      <c r="G3146" s="20" t="s">
        <v>6234</v>
      </c>
    </row>
    <row r="3147" s="20" customFormat="1" spans="1:7">
      <c r="A3147" s="20">
        <v>1001</v>
      </c>
      <c r="B3147" s="20">
        <v>6</v>
      </c>
      <c r="C3147" s="20">
        <v>1001</v>
      </c>
      <c r="D3147" s="20" t="s">
        <v>6052</v>
      </c>
      <c r="E3147" s="20" t="s">
        <v>6219</v>
      </c>
      <c r="F3147" s="20">
        <v>619479</v>
      </c>
      <c r="G3147" s="20" t="s">
        <v>6053</v>
      </c>
    </row>
    <row r="3148" s="20" customFormat="1" spans="1:7">
      <c r="A3148" s="20">
        <v>1001</v>
      </c>
      <c r="B3148" s="20">
        <v>2</v>
      </c>
      <c r="C3148" s="20">
        <v>1001</v>
      </c>
      <c r="D3148" s="20" t="s">
        <v>6235</v>
      </c>
      <c r="E3148" s="20" t="s">
        <v>6221</v>
      </c>
      <c r="F3148" s="20">
        <v>619480</v>
      </c>
      <c r="G3148" s="20" t="s">
        <v>6178</v>
      </c>
    </row>
    <row r="3149" s="20" customFormat="1" spans="1:7">
      <c r="A3149" s="20">
        <v>1001</v>
      </c>
      <c r="B3149" s="20">
        <v>6</v>
      </c>
      <c r="C3149" s="20">
        <v>1001</v>
      </c>
      <c r="D3149" s="20" t="s">
        <v>6236</v>
      </c>
      <c r="E3149" s="6" t="s">
        <v>6222</v>
      </c>
      <c r="F3149" s="6">
        <v>619481</v>
      </c>
      <c r="G3149" s="20" t="s">
        <v>6237</v>
      </c>
    </row>
    <row r="3150" s="20" customFormat="1" spans="1:7">
      <c r="A3150" s="20">
        <v>1001</v>
      </c>
      <c r="B3150" s="20">
        <v>1</v>
      </c>
      <c r="C3150" s="20">
        <v>1001</v>
      </c>
      <c r="D3150" s="20" t="s">
        <v>4483</v>
      </c>
      <c r="E3150" s="6" t="s">
        <v>6224</v>
      </c>
      <c r="F3150" s="6">
        <v>619482</v>
      </c>
      <c r="G3150" s="20" t="s">
        <v>6238</v>
      </c>
    </row>
    <row r="3151" s="6" customFormat="1" spans="1:7">
      <c r="A3151" s="6">
        <v>1001</v>
      </c>
      <c r="B3151" s="6">
        <v>1</v>
      </c>
      <c r="C3151" s="6">
        <v>1001</v>
      </c>
      <c r="D3151" s="6" t="s">
        <v>4483</v>
      </c>
      <c r="E3151" s="6" t="s">
        <v>6226</v>
      </c>
      <c r="F3151" s="6">
        <v>619483</v>
      </c>
      <c r="G3151" s="6" t="s">
        <v>6239</v>
      </c>
    </row>
    <row r="3152" s="6" customFormat="1" spans="1:7">
      <c r="A3152" s="6">
        <v>1001</v>
      </c>
      <c r="B3152" s="6">
        <v>1</v>
      </c>
      <c r="C3152" s="6">
        <v>1001</v>
      </c>
      <c r="D3152" s="20" t="s">
        <v>6240</v>
      </c>
      <c r="E3152" s="6" t="s">
        <v>6228</v>
      </c>
      <c r="F3152" s="6">
        <v>619484</v>
      </c>
      <c r="G3152" s="20" t="s">
        <v>6241</v>
      </c>
    </row>
    <row r="3153" s="20" customFormat="1" spans="1:7">
      <c r="A3153" s="20">
        <v>1001</v>
      </c>
      <c r="B3153" s="20">
        <v>6</v>
      </c>
      <c r="C3153" s="20">
        <v>1001</v>
      </c>
      <c r="D3153" s="20" t="s">
        <v>6242</v>
      </c>
      <c r="E3153" s="6" t="s">
        <v>6230</v>
      </c>
      <c r="F3153" s="6">
        <v>619485</v>
      </c>
      <c r="G3153" s="20" t="s">
        <v>6243</v>
      </c>
    </row>
    <row r="3154" s="6" customFormat="1" spans="1:7">
      <c r="A3154" s="6">
        <v>1001</v>
      </c>
      <c r="B3154" s="6">
        <v>1</v>
      </c>
      <c r="C3154" s="6">
        <v>1001</v>
      </c>
      <c r="D3154" s="20" t="s">
        <v>6244</v>
      </c>
      <c r="E3154" s="6" t="s">
        <v>4483</v>
      </c>
      <c r="F3154" s="6">
        <v>619486</v>
      </c>
      <c r="G3154" s="20" t="s">
        <v>6245</v>
      </c>
    </row>
    <row r="3155" s="6" customFormat="1" spans="1:7">
      <c r="A3155" s="6">
        <v>1001</v>
      </c>
      <c r="B3155" s="6">
        <v>1</v>
      </c>
      <c r="C3155" s="6">
        <v>1001</v>
      </c>
      <c r="D3155" s="6" t="s">
        <v>4483</v>
      </c>
      <c r="E3155" s="20" t="s">
        <v>6233</v>
      </c>
      <c r="F3155" s="6">
        <v>619487</v>
      </c>
      <c r="G3155" s="6" t="s">
        <v>6246</v>
      </c>
    </row>
    <row r="3156" s="6" customFormat="1" spans="1:7">
      <c r="A3156" s="6">
        <v>1001</v>
      </c>
      <c r="B3156" s="6">
        <v>6</v>
      </c>
      <c r="C3156" s="6">
        <v>1001</v>
      </c>
      <c r="D3156" s="6" t="s">
        <v>6247</v>
      </c>
      <c r="E3156" s="20" t="s">
        <v>6052</v>
      </c>
      <c r="F3156" s="6">
        <v>619488</v>
      </c>
      <c r="G3156" s="6" t="s">
        <v>6248</v>
      </c>
    </row>
    <row r="3157" s="6" customFormat="1" spans="1:7">
      <c r="A3157" s="6">
        <v>1001</v>
      </c>
      <c r="B3157" s="6">
        <v>1</v>
      </c>
      <c r="C3157" s="6">
        <v>1001</v>
      </c>
      <c r="D3157" s="6" t="s">
        <v>6249</v>
      </c>
      <c r="E3157" s="20" t="s">
        <v>6235</v>
      </c>
      <c r="F3157" s="6">
        <v>619489</v>
      </c>
      <c r="G3157" s="6" t="s">
        <v>6250</v>
      </c>
    </row>
    <row r="3158" s="6" customFormat="1" spans="1:7">
      <c r="A3158" s="6">
        <v>1001</v>
      </c>
      <c r="B3158" s="6">
        <v>6</v>
      </c>
      <c r="C3158" s="6">
        <v>1001</v>
      </c>
      <c r="D3158" s="6" t="s">
        <v>6251</v>
      </c>
      <c r="E3158" s="20" t="s">
        <v>6236</v>
      </c>
      <c r="F3158" s="6">
        <v>619490</v>
      </c>
      <c r="G3158" s="6" t="s">
        <v>6145</v>
      </c>
    </row>
    <row r="3159" s="6" customFormat="1" spans="1:7">
      <c r="A3159" s="6">
        <v>1001</v>
      </c>
      <c r="B3159" s="6">
        <v>1</v>
      </c>
      <c r="C3159" s="6">
        <v>1001</v>
      </c>
      <c r="D3159" s="6" t="s">
        <v>4548</v>
      </c>
      <c r="E3159" s="20" t="s">
        <v>4483</v>
      </c>
      <c r="F3159" s="6">
        <v>619491</v>
      </c>
      <c r="G3159" s="20" t="s">
        <v>6252</v>
      </c>
    </row>
    <row r="3160" s="6" customFormat="1" spans="1:7">
      <c r="A3160" s="6">
        <v>1001</v>
      </c>
      <c r="B3160" s="6">
        <v>1</v>
      </c>
      <c r="C3160" s="6">
        <v>1001</v>
      </c>
      <c r="D3160" s="6" t="s">
        <v>4550</v>
      </c>
      <c r="E3160" s="6" t="s">
        <v>4483</v>
      </c>
      <c r="F3160" s="6">
        <v>619492</v>
      </c>
      <c r="G3160" s="20" t="s">
        <v>6253</v>
      </c>
    </row>
    <row r="3161" s="6" customFormat="1" spans="1:7">
      <c r="A3161" s="87">
        <v>1001</v>
      </c>
      <c r="B3161" s="35">
        <v>6</v>
      </c>
      <c r="C3161" s="35">
        <v>1001</v>
      </c>
      <c r="D3161" s="6" t="s">
        <v>4977</v>
      </c>
      <c r="E3161" s="20" t="s">
        <v>6240</v>
      </c>
      <c r="F3161" s="6">
        <v>619493</v>
      </c>
      <c r="G3161" s="6" t="s">
        <v>4924</v>
      </c>
    </row>
    <row r="3162" s="6" customFormat="1" spans="1:7">
      <c r="A3162" s="6">
        <v>1001</v>
      </c>
      <c r="B3162" s="6">
        <v>1</v>
      </c>
      <c r="C3162" s="6">
        <v>1001</v>
      </c>
      <c r="D3162" s="6" t="s">
        <v>4483</v>
      </c>
      <c r="E3162" s="20" t="s">
        <v>6242</v>
      </c>
      <c r="F3162" s="6">
        <v>619494</v>
      </c>
      <c r="G3162" s="6" t="s">
        <v>6254</v>
      </c>
    </row>
    <row r="3163" spans="1:7">
      <c r="A3163">
        <v>1001</v>
      </c>
      <c r="B3163">
        <v>6</v>
      </c>
      <c r="C3163">
        <v>1001</v>
      </c>
      <c r="D3163" t="s">
        <v>6255</v>
      </c>
      <c r="E3163" s="20" t="s">
        <v>6244</v>
      </c>
      <c r="F3163" s="6">
        <v>619495</v>
      </c>
      <c r="G3163" t="s">
        <v>6256</v>
      </c>
    </row>
    <row r="3164" s="20" customFormat="1" spans="1:7">
      <c r="A3164" s="20">
        <v>1001</v>
      </c>
      <c r="B3164" s="20">
        <v>6</v>
      </c>
      <c r="C3164" s="20">
        <v>1001</v>
      </c>
      <c r="D3164" s="20" t="s">
        <v>6257</v>
      </c>
      <c r="E3164" s="6" t="s">
        <v>4483</v>
      </c>
      <c r="F3164" s="6">
        <v>619496</v>
      </c>
      <c r="G3164" s="20" t="s">
        <v>6258</v>
      </c>
    </row>
    <row r="3165" s="6" customFormat="1" spans="1:7">
      <c r="A3165" s="6">
        <v>1001</v>
      </c>
      <c r="B3165" s="6">
        <v>1</v>
      </c>
      <c r="C3165" s="6">
        <v>1001</v>
      </c>
      <c r="D3165" s="6" t="s">
        <v>4483</v>
      </c>
      <c r="E3165" s="6" t="s">
        <v>6247</v>
      </c>
      <c r="F3165" s="6">
        <v>619497</v>
      </c>
      <c r="G3165" s="6" t="s">
        <v>6259</v>
      </c>
    </row>
    <row r="3166" s="6" customFormat="1" spans="1:7">
      <c r="A3166" s="6">
        <v>1001</v>
      </c>
      <c r="B3166" s="6">
        <v>1</v>
      </c>
      <c r="C3166" s="6">
        <v>1001</v>
      </c>
      <c r="D3166" s="6" t="s">
        <v>4483</v>
      </c>
      <c r="E3166" s="6" t="s">
        <v>6249</v>
      </c>
      <c r="F3166" s="6">
        <v>619498</v>
      </c>
      <c r="G3166" s="6" t="s">
        <v>6260</v>
      </c>
    </row>
    <row r="3167" s="20" customFormat="1" spans="1:7">
      <c r="A3167" s="20">
        <v>1001</v>
      </c>
      <c r="B3167" s="20">
        <v>6</v>
      </c>
      <c r="C3167" s="20">
        <v>1001</v>
      </c>
      <c r="D3167" s="20" t="s">
        <v>6261</v>
      </c>
      <c r="E3167" s="6" t="s">
        <v>6251</v>
      </c>
      <c r="F3167" s="6">
        <v>619499</v>
      </c>
      <c r="G3167" s="20" t="s">
        <v>6262</v>
      </c>
    </row>
    <row r="3168" s="6" customFormat="1" spans="1:7">
      <c r="A3168" s="6">
        <v>1001</v>
      </c>
      <c r="B3168" s="6">
        <v>1</v>
      </c>
      <c r="C3168" s="6">
        <v>1001</v>
      </c>
      <c r="D3168" s="6" t="s">
        <v>6263</v>
      </c>
      <c r="E3168" s="6" t="s">
        <v>4548</v>
      </c>
      <c r="F3168" s="6">
        <v>619500</v>
      </c>
      <c r="G3168" s="6" t="s">
        <v>6264</v>
      </c>
    </row>
    <row r="3169" s="6" customFormat="1" spans="1:7">
      <c r="A3169" s="6">
        <v>1001</v>
      </c>
      <c r="B3169" s="6">
        <v>1</v>
      </c>
      <c r="C3169" s="6">
        <v>1001</v>
      </c>
      <c r="D3169" s="6" t="s">
        <v>6265</v>
      </c>
      <c r="E3169" s="6" t="s">
        <v>4550</v>
      </c>
      <c r="F3169" s="6">
        <v>619501</v>
      </c>
      <c r="G3169" s="6" t="s">
        <v>6266</v>
      </c>
    </row>
    <row r="3170" s="20" customFormat="1" spans="1:7">
      <c r="A3170" s="20">
        <v>1001</v>
      </c>
      <c r="B3170" s="20">
        <v>6</v>
      </c>
      <c r="C3170" s="20">
        <v>1001</v>
      </c>
      <c r="D3170" s="20" t="s">
        <v>6267</v>
      </c>
      <c r="E3170" s="6" t="s">
        <v>4977</v>
      </c>
      <c r="F3170" s="6">
        <v>619502</v>
      </c>
      <c r="G3170" s="20" t="s">
        <v>6268</v>
      </c>
    </row>
    <row r="3171" spans="1:7">
      <c r="A3171" s="20">
        <v>1001</v>
      </c>
      <c r="B3171" s="20">
        <v>6</v>
      </c>
      <c r="C3171" s="20">
        <v>1001</v>
      </c>
      <c r="D3171" s="20" t="s">
        <v>6269</v>
      </c>
      <c r="E3171" s="6" t="s">
        <v>4483</v>
      </c>
      <c r="F3171" s="6">
        <v>619503</v>
      </c>
      <c r="G3171" s="20" t="s">
        <v>6270</v>
      </c>
    </row>
    <row r="3172" s="6" customFormat="1" spans="1:7">
      <c r="A3172" s="6">
        <v>1001</v>
      </c>
      <c r="B3172" s="6">
        <v>1</v>
      </c>
      <c r="C3172" s="6">
        <v>1001</v>
      </c>
      <c r="D3172" s="6" t="s">
        <v>4483</v>
      </c>
      <c r="E3172" s="6" t="s">
        <v>5189</v>
      </c>
      <c r="F3172" s="6">
        <v>619504</v>
      </c>
      <c r="G3172" s="6" t="s">
        <v>6271</v>
      </c>
    </row>
    <row r="3173" spans="1:7">
      <c r="A3173">
        <v>1001</v>
      </c>
      <c r="B3173" s="25">
        <v>6</v>
      </c>
      <c r="C3173" s="25">
        <v>1001</v>
      </c>
      <c r="D3173" t="s">
        <v>6272</v>
      </c>
      <c r="E3173" s="20" t="s">
        <v>6257</v>
      </c>
      <c r="F3173" s="6">
        <v>619505</v>
      </c>
      <c r="G3173" t="s">
        <v>6273</v>
      </c>
    </row>
    <row r="3174" spans="1:7">
      <c r="A3174">
        <v>1001</v>
      </c>
      <c r="B3174">
        <v>2</v>
      </c>
      <c r="C3174">
        <v>1001</v>
      </c>
      <c r="D3174" t="s">
        <v>1867</v>
      </c>
      <c r="E3174" s="6" t="s">
        <v>4483</v>
      </c>
      <c r="F3174" s="6">
        <v>619506</v>
      </c>
      <c r="G3174" t="s">
        <v>6119</v>
      </c>
    </row>
    <row r="3175" spans="1:7">
      <c r="A3175">
        <v>1001</v>
      </c>
      <c r="B3175">
        <v>2</v>
      </c>
      <c r="C3175">
        <v>1001</v>
      </c>
      <c r="D3175" t="s">
        <v>1884</v>
      </c>
      <c r="E3175" s="6" t="s">
        <v>4483</v>
      </c>
      <c r="F3175" s="6">
        <v>619507</v>
      </c>
      <c r="G3175" t="s">
        <v>6120</v>
      </c>
    </row>
    <row r="3176" spans="1:7">
      <c r="A3176">
        <v>1001</v>
      </c>
      <c r="B3176">
        <v>6</v>
      </c>
      <c r="C3176">
        <v>1001</v>
      </c>
      <c r="D3176" t="s">
        <v>1886</v>
      </c>
      <c r="E3176" s="20" t="s">
        <v>6261</v>
      </c>
      <c r="F3176" s="6">
        <v>619508</v>
      </c>
      <c r="G3176" t="s">
        <v>6124</v>
      </c>
    </row>
    <row r="3177" s="20" customFormat="1" spans="1:7">
      <c r="A3177" s="20">
        <v>1001</v>
      </c>
      <c r="B3177" s="20">
        <v>6</v>
      </c>
      <c r="C3177" s="20">
        <v>1001</v>
      </c>
      <c r="D3177" s="20" t="s">
        <v>6274</v>
      </c>
      <c r="E3177" s="6" t="s">
        <v>6263</v>
      </c>
      <c r="F3177" s="6">
        <v>619509</v>
      </c>
      <c r="G3177" s="20" t="s">
        <v>6275</v>
      </c>
    </row>
    <row r="3178" s="6" customFormat="1" spans="1:7">
      <c r="A3178" s="6">
        <v>1001</v>
      </c>
      <c r="B3178" s="6">
        <v>1</v>
      </c>
      <c r="C3178" s="6">
        <v>1001</v>
      </c>
      <c r="D3178" s="6" t="s">
        <v>6276</v>
      </c>
      <c r="E3178" s="6" t="s">
        <v>6265</v>
      </c>
      <c r="F3178" s="6">
        <v>619510</v>
      </c>
      <c r="G3178" s="6" t="s">
        <v>6277</v>
      </c>
    </row>
    <row r="3179" s="6" customFormat="1" spans="1:7">
      <c r="A3179" s="6">
        <v>1001</v>
      </c>
      <c r="B3179" s="6">
        <v>1</v>
      </c>
      <c r="C3179" s="6">
        <v>1001</v>
      </c>
      <c r="D3179" s="6" t="s">
        <v>4483</v>
      </c>
      <c r="E3179" s="20" t="s">
        <v>6267</v>
      </c>
      <c r="F3179" s="6">
        <v>619511</v>
      </c>
      <c r="G3179" s="6" t="s">
        <v>6278</v>
      </c>
    </row>
    <row r="3180" spans="1:7">
      <c r="A3180">
        <v>1001</v>
      </c>
      <c r="B3180">
        <v>6</v>
      </c>
      <c r="C3180">
        <v>1001</v>
      </c>
      <c r="D3180" t="s">
        <v>6279</v>
      </c>
      <c r="E3180" s="20" t="s">
        <v>6269</v>
      </c>
      <c r="F3180" s="6">
        <v>619512</v>
      </c>
      <c r="G3180" t="s">
        <v>6124</v>
      </c>
    </row>
    <row r="3181" spans="1:7">
      <c r="A3181">
        <v>1001</v>
      </c>
      <c r="B3181">
        <v>2</v>
      </c>
      <c r="C3181">
        <v>1001</v>
      </c>
      <c r="D3181" s="82" t="s">
        <v>6280</v>
      </c>
      <c r="E3181" s="6" t="s">
        <v>4483</v>
      </c>
      <c r="F3181" s="6">
        <v>619513</v>
      </c>
      <c r="G3181" t="s">
        <v>6281</v>
      </c>
    </row>
    <row r="3182" spans="1:7">
      <c r="A3182">
        <v>1001</v>
      </c>
      <c r="B3182">
        <v>2</v>
      </c>
      <c r="C3182">
        <v>1001</v>
      </c>
      <c r="D3182" s="82" t="s">
        <v>6282</v>
      </c>
      <c r="E3182" t="s">
        <v>6272</v>
      </c>
      <c r="F3182" s="6">
        <v>619514</v>
      </c>
      <c r="G3182" t="s">
        <v>6281</v>
      </c>
    </row>
    <row r="3183" spans="1:7">
      <c r="A3183">
        <v>1001</v>
      </c>
      <c r="B3183">
        <v>2</v>
      </c>
      <c r="C3183">
        <v>1001</v>
      </c>
      <c r="D3183" s="82" t="s">
        <v>6283</v>
      </c>
      <c r="E3183" t="s">
        <v>1867</v>
      </c>
      <c r="F3183" s="6">
        <v>619515</v>
      </c>
      <c r="G3183" t="s">
        <v>6281</v>
      </c>
    </row>
    <row r="3184" spans="1:7">
      <c r="A3184">
        <v>1001</v>
      </c>
      <c r="B3184">
        <v>2</v>
      </c>
      <c r="C3184">
        <v>1001</v>
      </c>
      <c r="D3184" s="82" t="s">
        <v>6284</v>
      </c>
      <c r="E3184" t="s">
        <v>1884</v>
      </c>
      <c r="F3184" s="6">
        <v>619516</v>
      </c>
      <c r="G3184" t="s">
        <v>6285</v>
      </c>
    </row>
    <row r="3185" spans="1:7">
      <c r="A3185">
        <v>1001</v>
      </c>
      <c r="B3185">
        <v>2</v>
      </c>
      <c r="C3185">
        <v>1001</v>
      </c>
      <c r="D3185" s="82" t="s">
        <v>6286</v>
      </c>
      <c r="E3185" t="s">
        <v>1886</v>
      </c>
      <c r="F3185" s="6">
        <v>619517</v>
      </c>
      <c r="G3185" t="s">
        <v>6287</v>
      </c>
    </row>
    <row r="3186" spans="1:7">
      <c r="A3186">
        <v>1001</v>
      </c>
      <c r="B3186">
        <v>2</v>
      </c>
      <c r="C3186">
        <v>1001</v>
      </c>
      <c r="D3186" s="82" t="s">
        <v>6288</v>
      </c>
      <c r="E3186" s="20" t="s">
        <v>6274</v>
      </c>
      <c r="F3186" s="6">
        <v>619518</v>
      </c>
      <c r="G3186" t="s">
        <v>6289</v>
      </c>
    </row>
    <row r="3187" spans="1:7">
      <c r="A3187">
        <v>1001</v>
      </c>
      <c r="B3187">
        <v>2</v>
      </c>
      <c r="C3187">
        <v>1001</v>
      </c>
      <c r="D3187" s="82" t="s">
        <v>6290</v>
      </c>
      <c r="E3187" s="6" t="s">
        <v>6276</v>
      </c>
      <c r="F3187" s="6">
        <v>619519</v>
      </c>
      <c r="G3187" t="s">
        <v>6291</v>
      </c>
    </row>
    <row r="3188" spans="1:7">
      <c r="A3188">
        <v>1001</v>
      </c>
      <c r="B3188">
        <v>2</v>
      </c>
      <c r="C3188">
        <v>1001</v>
      </c>
      <c r="D3188" s="82" t="s">
        <v>6292</v>
      </c>
      <c r="E3188" s="6" t="s">
        <v>4483</v>
      </c>
      <c r="F3188" s="6">
        <v>619520</v>
      </c>
      <c r="G3188" t="s">
        <v>6293</v>
      </c>
    </row>
    <row r="3189" spans="1:7">
      <c r="A3189">
        <v>1001</v>
      </c>
      <c r="B3189">
        <v>1</v>
      </c>
      <c r="C3189">
        <v>1001</v>
      </c>
      <c r="D3189" t="s">
        <v>6294</v>
      </c>
      <c r="E3189" t="s">
        <v>6279</v>
      </c>
      <c r="F3189" s="6">
        <v>619521</v>
      </c>
      <c r="G3189" t="s">
        <v>6295</v>
      </c>
    </row>
    <row r="3190" s="22" customFormat="1" spans="1:7">
      <c r="A3190" s="22">
        <v>1001</v>
      </c>
      <c r="B3190" s="22">
        <v>1</v>
      </c>
      <c r="C3190" s="22">
        <v>3</v>
      </c>
      <c r="D3190" s="22" t="s">
        <v>6296</v>
      </c>
      <c r="E3190" s="6" t="s">
        <v>6297</v>
      </c>
      <c r="F3190" s="6">
        <v>619522</v>
      </c>
      <c r="G3190" s="22" t="s">
        <v>6298</v>
      </c>
    </row>
    <row r="3191" s="23" customFormat="1" spans="1:7">
      <c r="A3191" s="23">
        <v>1001</v>
      </c>
      <c r="B3191" s="23">
        <v>1</v>
      </c>
      <c r="C3191" s="23">
        <v>3</v>
      </c>
      <c r="D3191" s="23" t="s">
        <v>6299</v>
      </c>
      <c r="E3191" s="6" t="s">
        <v>4995</v>
      </c>
      <c r="F3191" s="6">
        <v>619523</v>
      </c>
      <c r="G3191" s="23" t="s">
        <v>6300</v>
      </c>
    </row>
    <row r="3192" s="23" customFormat="1" spans="1:7">
      <c r="A3192" s="23">
        <v>1001</v>
      </c>
      <c r="B3192" s="23">
        <v>1</v>
      </c>
      <c r="C3192" s="23">
        <v>3</v>
      </c>
      <c r="D3192" s="23" t="s">
        <v>6301</v>
      </c>
      <c r="E3192" s="6" t="s">
        <v>5743</v>
      </c>
      <c r="F3192" s="6">
        <v>619524</v>
      </c>
      <c r="G3192" s="23" t="s">
        <v>6302</v>
      </c>
    </row>
    <row r="3193" s="23" customFormat="1" spans="1:7">
      <c r="A3193" s="23">
        <v>1001</v>
      </c>
      <c r="B3193" s="23">
        <v>1</v>
      </c>
      <c r="C3193" s="23">
        <v>3</v>
      </c>
      <c r="D3193" s="23" t="s">
        <v>6303</v>
      </c>
      <c r="E3193" s="23" t="s">
        <v>6004</v>
      </c>
      <c r="F3193" s="6">
        <v>619525</v>
      </c>
      <c r="G3193" s="23" t="s">
        <v>6304</v>
      </c>
    </row>
    <row r="3194" s="23" customFormat="1" spans="1:7">
      <c r="A3194" s="23">
        <v>1001</v>
      </c>
      <c r="B3194" s="23">
        <v>1</v>
      </c>
      <c r="C3194" s="23">
        <v>3</v>
      </c>
      <c r="D3194" s="23" t="s">
        <v>6141</v>
      </c>
      <c r="E3194" s="23" t="s">
        <v>6305</v>
      </c>
      <c r="F3194" s="6">
        <v>619526</v>
      </c>
      <c r="G3194" s="23" t="s">
        <v>6306</v>
      </c>
    </row>
    <row r="3195" s="23" customFormat="1" spans="1:7">
      <c r="A3195" s="23">
        <v>1001</v>
      </c>
      <c r="B3195" s="23">
        <v>1</v>
      </c>
      <c r="C3195" s="23">
        <v>3</v>
      </c>
      <c r="D3195" s="23" t="s">
        <v>6307</v>
      </c>
      <c r="E3195" s="6" t="s">
        <v>6308</v>
      </c>
      <c r="F3195" s="6">
        <v>619527</v>
      </c>
      <c r="G3195" s="23" t="s">
        <v>6309</v>
      </c>
    </row>
    <row r="3196" s="23" customFormat="1" spans="1:7">
      <c r="A3196" s="23">
        <v>1001</v>
      </c>
      <c r="B3196" s="23">
        <v>1</v>
      </c>
      <c r="C3196" s="23">
        <v>3</v>
      </c>
      <c r="D3196" s="23" t="s">
        <v>6310</v>
      </c>
      <c r="E3196" s="6" t="s">
        <v>4483</v>
      </c>
      <c r="F3196" s="6">
        <v>619528</v>
      </c>
      <c r="G3196" s="23" t="s">
        <v>6311</v>
      </c>
    </row>
    <row r="3197" s="23" customFormat="1" spans="1:7">
      <c r="A3197" s="23">
        <v>1001</v>
      </c>
      <c r="B3197" s="23">
        <v>1</v>
      </c>
      <c r="C3197" s="23">
        <v>3</v>
      </c>
      <c r="D3197" s="23" t="s">
        <v>6312</v>
      </c>
      <c r="E3197" s="6" t="s">
        <v>6313</v>
      </c>
      <c r="F3197" s="6">
        <v>619529</v>
      </c>
      <c r="G3197" s="23" t="s">
        <v>6314</v>
      </c>
    </row>
    <row r="3198" s="23" customFormat="1" spans="1:7">
      <c r="A3198" s="23">
        <v>1001</v>
      </c>
      <c r="B3198" s="23">
        <v>1</v>
      </c>
      <c r="C3198" s="23">
        <v>3</v>
      </c>
      <c r="D3198" s="23" t="s">
        <v>6315</v>
      </c>
      <c r="E3198" s="23" t="s">
        <v>6280</v>
      </c>
      <c r="F3198" s="23">
        <v>720002</v>
      </c>
      <c r="G3198" s="23" t="s">
        <v>6316</v>
      </c>
    </row>
    <row r="3199" s="23" customFormat="1" spans="1:7">
      <c r="A3199" s="23">
        <v>1001</v>
      </c>
      <c r="B3199" s="23">
        <v>1</v>
      </c>
      <c r="C3199" s="23">
        <v>3</v>
      </c>
      <c r="D3199" s="23" t="s">
        <v>6317</v>
      </c>
      <c r="E3199" s="23" t="s">
        <v>6282</v>
      </c>
      <c r="F3199" s="23">
        <v>720003</v>
      </c>
      <c r="G3199" s="23" t="s">
        <v>6318</v>
      </c>
    </row>
    <row r="3200" s="23" customFormat="1" spans="1:7">
      <c r="A3200" s="23">
        <v>1001</v>
      </c>
      <c r="B3200" s="23">
        <v>1</v>
      </c>
      <c r="C3200" s="23">
        <v>3</v>
      </c>
      <c r="D3200" s="23" t="s">
        <v>6319</v>
      </c>
      <c r="E3200" s="23" t="s">
        <v>6283</v>
      </c>
      <c r="F3200" s="23">
        <v>720004</v>
      </c>
      <c r="G3200" s="23" t="s">
        <v>6320</v>
      </c>
    </row>
    <row r="3201" s="23" customFormat="1" spans="1:7">
      <c r="A3201" s="23">
        <v>1001</v>
      </c>
      <c r="B3201" s="23">
        <v>1</v>
      </c>
      <c r="C3201" s="23">
        <v>3</v>
      </c>
      <c r="D3201" s="23" t="s">
        <v>6321</v>
      </c>
      <c r="E3201" s="23" t="s">
        <v>6284</v>
      </c>
      <c r="F3201" s="23">
        <v>721001</v>
      </c>
      <c r="G3201" s="23" t="s">
        <v>6322</v>
      </c>
    </row>
    <row r="3202" s="23" customFormat="1" spans="1:7">
      <c r="A3202" s="23">
        <v>1001</v>
      </c>
      <c r="B3202" s="23">
        <v>1</v>
      </c>
      <c r="C3202" s="23">
        <v>3</v>
      </c>
      <c r="D3202" s="23" t="s">
        <v>6323</v>
      </c>
      <c r="E3202" s="23" t="s">
        <v>6286</v>
      </c>
      <c r="F3202" s="23">
        <v>721002</v>
      </c>
      <c r="G3202" s="23" t="s">
        <v>6324</v>
      </c>
    </row>
    <row r="3203" s="23" customFormat="1" spans="1:7">
      <c r="A3203" s="23">
        <v>1001</v>
      </c>
      <c r="B3203" s="23">
        <v>1</v>
      </c>
      <c r="C3203" s="23">
        <v>3</v>
      </c>
      <c r="D3203" s="23" t="s">
        <v>6325</v>
      </c>
      <c r="E3203" s="23" t="s">
        <v>6288</v>
      </c>
      <c r="F3203" s="23">
        <v>721003</v>
      </c>
      <c r="G3203" s="23" t="s">
        <v>6326</v>
      </c>
    </row>
    <row r="3204" s="23" customFormat="1" spans="1:7">
      <c r="A3204" s="23">
        <v>1001</v>
      </c>
      <c r="B3204" s="23">
        <v>1</v>
      </c>
      <c r="C3204" s="23">
        <v>3</v>
      </c>
      <c r="D3204" s="23" t="s">
        <v>6327</v>
      </c>
      <c r="E3204" s="23" t="s">
        <v>6290</v>
      </c>
      <c r="F3204" s="23">
        <v>721004</v>
      </c>
      <c r="G3204" s="23" t="s">
        <v>6328</v>
      </c>
    </row>
    <row r="3205" s="23" customFormat="1" spans="1:7">
      <c r="A3205" s="23">
        <v>1001</v>
      </c>
      <c r="B3205" s="23">
        <v>1</v>
      </c>
      <c r="C3205" s="23">
        <v>3</v>
      </c>
      <c r="D3205" s="23" t="s">
        <v>6329</v>
      </c>
      <c r="E3205" s="23" t="s">
        <v>6292</v>
      </c>
      <c r="F3205" s="23">
        <v>721005</v>
      </c>
      <c r="G3205" s="23" t="s">
        <v>6330</v>
      </c>
    </row>
    <row r="3206" spans="1:7">
      <c r="A3206">
        <v>1001</v>
      </c>
      <c r="B3206">
        <v>6</v>
      </c>
      <c r="C3206">
        <v>1001</v>
      </c>
      <c r="D3206" t="s">
        <v>791</v>
      </c>
      <c r="E3206" t="s">
        <v>6294</v>
      </c>
      <c r="F3206">
        <v>712020</v>
      </c>
      <c r="G3206" t="s">
        <v>6331</v>
      </c>
    </row>
    <row r="3207" spans="1:7">
      <c r="A3207">
        <v>1001</v>
      </c>
      <c r="B3207">
        <v>6</v>
      </c>
      <c r="C3207">
        <v>1001</v>
      </c>
      <c r="D3207" t="s">
        <v>6332</v>
      </c>
      <c r="E3207" s="22" t="s">
        <v>6296</v>
      </c>
      <c r="F3207" s="22">
        <v>720006</v>
      </c>
      <c r="G3207" t="s">
        <v>6333</v>
      </c>
    </row>
    <row r="3208" spans="1:7">
      <c r="A3208">
        <v>1001</v>
      </c>
      <c r="B3208">
        <v>6</v>
      </c>
      <c r="C3208">
        <v>1001</v>
      </c>
      <c r="D3208" t="s">
        <v>6334</v>
      </c>
      <c r="E3208" s="23" t="s">
        <v>6299</v>
      </c>
      <c r="F3208" s="23">
        <v>720007</v>
      </c>
      <c r="G3208" t="s">
        <v>6335</v>
      </c>
    </row>
    <row r="3209" spans="1:7">
      <c r="A3209">
        <v>1001</v>
      </c>
      <c r="B3209">
        <v>6</v>
      </c>
      <c r="C3209">
        <v>1001</v>
      </c>
      <c r="D3209" t="s">
        <v>6336</v>
      </c>
      <c r="E3209" s="23" t="s">
        <v>6301</v>
      </c>
      <c r="F3209" s="23">
        <v>720008</v>
      </c>
      <c r="G3209" t="s">
        <v>6337</v>
      </c>
    </row>
    <row r="3210" spans="1:7">
      <c r="A3210">
        <v>1001</v>
      </c>
      <c r="B3210">
        <v>1</v>
      </c>
      <c r="C3210">
        <v>1001</v>
      </c>
      <c r="D3210" t="s">
        <v>6338</v>
      </c>
      <c r="E3210" s="23" t="s">
        <v>6303</v>
      </c>
      <c r="F3210" s="23">
        <v>720009</v>
      </c>
      <c r="G3210" t="s">
        <v>6339</v>
      </c>
    </row>
    <row r="3211" s="6" customFormat="1" spans="1:7">
      <c r="A3211" s="25">
        <v>1001</v>
      </c>
      <c r="B3211" s="25">
        <v>6</v>
      </c>
      <c r="C3211" s="25">
        <v>1001</v>
      </c>
      <c r="D3211" s="25" t="s">
        <v>6340</v>
      </c>
      <c r="E3211" s="23" t="s">
        <v>6141</v>
      </c>
      <c r="F3211" s="23">
        <v>720010</v>
      </c>
      <c r="G3211" s="25" t="s">
        <v>6341</v>
      </c>
    </row>
    <row r="3212" spans="1:7">
      <c r="A3212" s="25">
        <v>1001</v>
      </c>
      <c r="B3212">
        <v>6</v>
      </c>
      <c r="C3212" s="25">
        <v>1001</v>
      </c>
      <c r="D3212" t="s">
        <v>6342</v>
      </c>
      <c r="E3212" s="23" t="s">
        <v>6307</v>
      </c>
      <c r="F3212" s="23">
        <v>720011</v>
      </c>
      <c r="G3212" t="s">
        <v>6343</v>
      </c>
    </row>
    <row r="3213" spans="1:7">
      <c r="A3213" s="25">
        <v>1001</v>
      </c>
      <c r="B3213" s="25">
        <v>6</v>
      </c>
      <c r="C3213" s="25">
        <v>1001</v>
      </c>
      <c r="D3213" s="25" t="s">
        <v>6344</v>
      </c>
      <c r="E3213" s="23" t="s">
        <v>6310</v>
      </c>
      <c r="F3213" s="23">
        <v>720012</v>
      </c>
      <c r="G3213" s="25" t="s">
        <v>6345</v>
      </c>
    </row>
    <row r="3214" spans="1:7">
      <c r="A3214">
        <v>1001</v>
      </c>
      <c r="B3214">
        <v>2</v>
      </c>
      <c r="C3214">
        <v>1001</v>
      </c>
      <c r="D3214" t="s">
        <v>6346</v>
      </c>
      <c r="E3214" s="23" t="s">
        <v>6312</v>
      </c>
      <c r="F3214" s="23">
        <v>720013</v>
      </c>
      <c r="G3214" t="s">
        <v>6347</v>
      </c>
    </row>
    <row r="3215" s="6" customFormat="1" spans="1:7">
      <c r="A3215" s="25">
        <v>1001</v>
      </c>
      <c r="B3215" s="25">
        <v>1</v>
      </c>
      <c r="C3215" s="25">
        <v>1001</v>
      </c>
      <c r="D3215" s="25" t="s">
        <v>678</v>
      </c>
      <c r="E3215" s="23" t="s">
        <v>6315</v>
      </c>
      <c r="F3215" s="23">
        <v>720014</v>
      </c>
      <c r="G3215" s="25" t="s">
        <v>6348</v>
      </c>
    </row>
    <row r="3216" s="6" customFormat="1" spans="1:7">
      <c r="A3216" s="25">
        <v>1001</v>
      </c>
      <c r="B3216" s="25">
        <v>1</v>
      </c>
      <c r="C3216" s="25">
        <v>1001</v>
      </c>
      <c r="D3216" s="25" t="s">
        <v>6349</v>
      </c>
      <c r="E3216" s="23" t="s">
        <v>6317</v>
      </c>
      <c r="F3216" s="23">
        <v>720015</v>
      </c>
      <c r="G3216" s="25" t="s">
        <v>6350</v>
      </c>
    </row>
    <row r="3217" s="6" customFormat="1" spans="1:7">
      <c r="A3217" s="25">
        <v>1001</v>
      </c>
      <c r="B3217" s="25">
        <v>1</v>
      </c>
      <c r="C3217" s="25">
        <v>1001</v>
      </c>
      <c r="D3217" s="25" t="s">
        <v>682</v>
      </c>
      <c r="E3217" s="23" t="s">
        <v>6319</v>
      </c>
      <c r="F3217" s="23">
        <v>720016</v>
      </c>
      <c r="G3217" s="25" t="s">
        <v>6351</v>
      </c>
    </row>
    <row r="3218" s="6" customFormat="1" spans="1:7">
      <c r="A3218" s="25">
        <v>1001</v>
      </c>
      <c r="B3218" s="25">
        <v>1</v>
      </c>
      <c r="C3218" s="25">
        <v>1001</v>
      </c>
      <c r="D3218" s="25" t="s">
        <v>6352</v>
      </c>
      <c r="E3218" s="23" t="s">
        <v>6321</v>
      </c>
      <c r="F3218" s="23">
        <v>720017</v>
      </c>
      <c r="G3218" s="25" t="s">
        <v>6353</v>
      </c>
    </row>
    <row r="3219" s="6" customFormat="1" spans="1:7">
      <c r="A3219" s="25">
        <v>1001</v>
      </c>
      <c r="B3219" s="25">
        <v>1</v>
      </c>
      <c r="C3219" s="25">
        <v>1001</v>
      </c>
      <c r="D3219" s="25" t="s">
        <v>6354</v>
      </c>
      <c r="E3219" s="23" t="s">
        <v>6323</v>
      </c>
      <c r="F3219" s="23">
        <v>720018</v>
      </c>
      <c r="G3219" s="25" t="s">
        <v>6355</v>
      </c>
    </row>
    <row r="3220" s="6" customFormat="1" spans="1:7">
      <c r="A3220" s="25">
        <v>1001</v>
      </c>
      <c r="B3220" s="25">
        <v>1</v>
      </c>
      <c r="C3220" s="25">
        <v>1001</v>
      </c>
      <c r="D3220" s="25" t="s">
        <v>6356</v>
      </c>
      <c r="E3220" s="23" t="s">
        <v>6325</v>
      </c>
      <c r="F3220" s="23">
        <v>720019</v>
      </c>
      <c r="G3220" s="25" t="s">
        <v>6357</v>
      </c>
    </row>
    <row r="3221" s="6" customFormat="1" spans="1:7">
      <c r="A3221" s="25">
        <v>1001</v>
      </c>
      <c r="B3221" s="25">
        <v>1</v>
      </c>
      <c r="C3221" s="25">
        <v>1001</v>
      </c>
      <c r="D3221" s="25" t="s">
        <v>6358</v>
      </c>
      <c r="E3221" s="23" t="s">
        <v>6327</v>
      </c>
      <c r="F3221" s="23">
        <v>720020</v>
      </c>
      <c r="G3221" s="25" t="s">
        <v>6359</v>
      </c>
    </row>
    <row r="3222" s="6" customFormat="1" spans="1:7">
      <c r="A3222" s="25">
        <v>1001</v>
      </c>
      <c r="B3222" s="25">
        <v>1</v>
      </c>
      <c r="C3222" s="25">
        <v>1001</v>
      </c>
      <c r="D3222" s="25" t="s">
        <v>6360</v>
      </c>
      <c r="E3222" s="23" t="s">
        <v>6329</v>
      </c>
      <c r="F3222" s="23">
        <v>720021</v>
      </c>
      <c r="G3222" s="25" t="s">
        <v>6361</v>
      </c>
    </row>
    <row r="3223" spans="1:7">
      <c r="A3223">
        <v>1001</v>
      </c>
      <c r="B3223">
        <v>2</v>
      </c>
      <c r="C3223">
        <v>1001</v>
      </c>
      <c r="D3223" t="s">
        <v>695</v>
      </c>
      <c r="E3223" t="s">
        <v>792</v>
      </c>
      <c r="F3223">
        <v>690111</v>
      </c>
      <c r="G3223" t="s">
        <v>6362</v>
      </c>
    </row>
    <row r="3224" spans="1:7">
      <c r="A3224" s="25">
        <v>1001</v>
      </c>
      <c r="B3224">
        <v>1</v>
      </c>
      <c r="C3224" s="25">
        <v>1001</v>
      </c>
      <c r="D3224" t="s">
        <v>6363</v>
      </c>
      <c r="E3224" t="s">
        <v>6364</v>
      </c>
      <c r="F3224">
        <v>690112</v>
      </c>
      <c r="G3224" t="s">
        <v>6365</v>
      </c>
    </row>
    <row r="3225" spans="1:7">
      <c r="A3225" s="25">
        <v>1001</v>
      </c>
      <c r="B3225" s="25">
        <v>2</v>
      </c>
      <c r="C3225" s="25">
        <v>1004</v>
      </c>
      <c r="D3225" s="30" t="s">
        <v>6366</v>
      </c>
      <c r="E3225" t="s">
        <v>6334</v>
      </c>
      <c r="F3225">
        <v>619342</v>
      </c>
      <c r="G3225" s="30" t="s">
        <v>6367</v>
      </c>
    </row>
    <row r="3226" spans="1:7">
      <c r="A3226" s="25">
        <v>1001</v>
      </c>
      <c r="B3226" s="25">
        <v>2</v>
      </c>
      <c r="C3226" s="25">
        <v>1004</v>
      </c>
      <c r="D3226" s="30" t="s">
        <v>6368</v>
      </c>
      <c r="E3226" t="s">
        <v>6336</v>
      </c>
      <c r="F3226">
        <v>511634</v>
      </c>
      <c r="G3226" s="30" t="s">
        <v>6369</v>
      </c>
    </row>
    <row r="3227" spans="1:7">
      <c r="A3227" s="25">
        <v>1001</v>
      </c>
      <c r="B3227" s="25">
        <v>2</v>
      </c>
      <c r="C3227" s="25">
        <v>1004</v>
      </c>
      <c r="D3227" s="30" t="s">
        <v>6370</v>
      </c>
      <c r="E3227" t="s">
        <v>6338</v>
      </c>
      <c r="F3227">
        <v>225003</v>
      </c>
      <c r="G3227" s="30" t="s">
        <v>6371</v>
      </c>
    </row>
    <row r="3228" spans="1:7">
      <c r="A3228" s="25">
        <v>1001</v>
      </c>
      <c r="B3228" s="25">
        <v>2</v>
      </c>
      <c r="C3228" s="25">
        <v>1004</v>
      </c>
      <c r="D3228" s="30" t="s">
        <v>6372</v>
      </c>
      <c r="E3228" s="25" t="s">
        <v>6340</v>
      </c>
      <c r="F3228" s="6">
        <v>619364</v>
      </c>
      <c r="G3228" s="30" t="s">
        <v>6373</v>
      </c>
    </row>
    <row r="3229" spans="1:7">
      <c r="A3229" s="25">
        <v>1001</v>
      </c>
      <c r="B3229" s="25">
        <v>2</v>
      </c>
      <c r="C3229" s="25">
        <v>1004</v>
      </c>
      <c r="D3229" s="30" t="s">
        <v>6374</v>
      </c>
      <c r="E3229" t="s">
        <v>6342</v>
      </c>
      <c r="F3229" s="6">
        <v>619368</v>
      </c>
      <c r="G3229" s="30" t="s">
        <v>6375</v>
      </c>
    </row>
    <row r="3230" spans="1:7">
      <c r="A3230" s="25">
        <v>1001</v>
      </c>
      <c r="B3230" s="25">
        <v>2</v>
      </c>
      <c r="C3230" s="25">
        <v>1004</v>
      </c>
      <c r="D3230" s="30" t="s">
        <v>6376</v>
      </c>
      <c r="E3230" s="25" t="s">
        <v>6344</v>
      </c>
      <c r="F3230">
        <v>619369</v>
      </c>
      <c r="G3230" s="30" t="s">
        <v>6377</v>
      </c>
    </row>
    <row r="3231" spans="1:7">
      <c r="A3231" s="25">
        <v>1001</v>
      </c>
      <c r="B3231" s="25">
        <v>2</v>
      </c>
      <c r="C3231" s="25">
        <v>1004</v>
      </c>
      <c r="D3231" s="30" t="s">
        <v>6378</v>
      </c>
      <c r="E3231" t="s">
        <v>6346</v>
      </c>
      <c r="F3231">
        <v>730001</v>
      </c>
      <c r="G3231" s="30" t="s">
        <v>6379</v>
      </c>
    </row>
    <row r="3232" spans="1:7">
      <c r="A3232" s="25">
        <v>1001</v>
      </c>
      <c r="B3232">
        <v>6</v>
      </c>
      <c r="C3232" s="25">
        <v>1001</v>
      </c>
      <c r="D3232" t="s">
        <v>6380</v>
      </c>
      <c r="E3232" s="25" t="s">
        <v>678</v>
      </c>
      <c r="F3232" s="25">
        <v>910001</v>
      </c>
      <c r="G3232" t="s">
        <v>6381</v>
      </c>
    </row>
    <row r="3233" spans="1:7">
      <c r="A3233" s="25">
        <v>1001</v>
      </c>
      <c r="B3233">
        <v>6</v>
      </c>
      <c r="C3233" s="25">
        <v>1001</v>
      </c>
      <c r="D3233" t="s">
        <v>6382</v>
      </c>
      <c r="E3233" s="25" t="s">
        <v>6349</v>
      </c>
      <c r="F3233" s="25">
        <v>910002</v>
      </c>
      <c r="G3233" t="s">
        <v>6383</v>
      </c>
    </row>
    <row r="3234" spans="1:7">
      <c r="A3234" s="25">
        <v>1001</v>
      </c>
      <c r="B3234">
        <v>6</v>
      </c>
      <c r="C3234" s="25">
        <v>1001</v>
      </c>
      <c r="D3234" t="s">
        <v>6384</v>
      </c>
      <c r="E3234" s="25" t="s">
        <v>682</v>
      </c>
      <c r="F3234" s="25">
        <v>910003</v>
      </c>
      <c r="G3234" t="s">
        <v>6385</v>
      </c>
    </row>
    <row r="3235" spans="1:7">
      <c r="A3235" s="25">
        <v>1001</v>
      </c>
      <c r="B3235">
        <v>6</v>
      </c>
      <c r="C3235" s="25">
        <v>1001</v>
      </c>
      <c r="D3235" t="s">
        <v>6386</v>
      </c>
      <c r="E3235" s="25" t="s">
        <v>6352</v>
      </c>
      <c r="F3235" s="25">
        <v>910004</v>
      </c>
      <c r="G3235" t="s">
        <v>6387</v>
      </c>
    </row>
    <row r="3236" spans="1:7">
      <c r="A3236" s="25">
        <v>1001</v>
      </c>
      <c r="B3236">
        <v>6</v>
      </c>
      <c r="C3236" s="25">
        <v>1001</v>
      </c>
      <c r="D3236" t="s">
        <v>6388</v>
      </c>
      <c r="E3236" s="25" t="s">
        <v>6354</v>
      </c>
      <c r="F3236" s="25">
        <v>910005</v>
      </c>
      <c r="G3236" t="s">
        <v>6389</v>
      </c>
    </row>
    <row r="3237" spans="1:7">
      <c r="A3237" s="25">
        <v>1001</v>
      </c>
      <c r="B3237">
        <v>6</v>
      </c>
      <c r="C3237" s="25">
        <v>1001</v>
      </c>
      <c r="D3237" t="s">
        <v>6390</v>
      </c>
      <c r="E3237" s="25" t="s">
        <v>6356</v>
      </c>
      <c r="F3237" s="6">
        <v>910006</v>
      </c>
      <c r="G3237" t="s">
        <v>6391</v>
      </c>
    </row>
    <row r="3238" spans="1:7">
      <c r="A3238" s="25">
        <v>1001</v>
      </c>
      <c r="B3238">
        <v>6</v>
      </c>
      <c r="C3238" s="25">
        <v>1001</v>
      </c>
      <c r="D3238" t="s">
        <v>6392</v>
      </c>
      <c r="E3238" s="25" t="s">
        <v>6358</v>
      </c>
      <c r="F3238" s="6">
        <v>910007</v>
      </c>
      <c r="G3238" t="s">
        <v>6393</v>
      </c>
    </row>
    <row r="3239" spans="1:7">
      <c r="A3239" s="25">
        <v>1001</v>
      </c>
      <c r="B3239">
        <v>6</v>
      </c>
      <c r="C3239" s="25">
        <v>1001</v>
      </c>
      <c r="D3239" t="s">
        <v>6394</v>
      </c>
      <c r="E3239" s="25" t="s">
        <v>6360</v>
      </c>
      <c r="F3239" s="6">
        <v>910008</v>
      </c>
      <c r="G3239" t="s">
        <v>6395</v>
      </c>
    </row>
    <row r="3240" spans="1:7">
      <c r="A3240" s="25">
        <v>1001</v>
      </c>
      <c r="B3240">
        <v>6</v>
      </c>
      <c r="C3240" s="25">
        <v>1001</v>
      </c>
      <c r="D3240" t="s">
        <v>6396</v>
      </c>
      <c r="E3240" t="s">
        <v>695</v>
      </c>
      <c r="F3240">
        <v>1200001</v>
      </c>
      <c r="G3240" t="s">
        <v>6397</v>
      </c>
    </row>
    <row r="3241" spans="1:7">
      <c r="A3241" s="25">
        <v>1001</v>
      </c>
      <c r="B3241">
        <v>6</v>
      </c>
      <c r="C3241" s="25">
        <v>1001</v>
      </c>
      <c r="D3241" t="s">
        <v>6398</v>
      </c>
      <c r="E3241" t="s">
        <v>6363</v>
      </c>
      <c r="F3241">
        <v>920001</v>
      </c>
      <c r="G3241" t="s">
        <v>6399</v>
      </c>
    </row>
    <row r="3242" spans="1:7">
      <c r="A3242" s="25">
        <v>1001</v>
      </c>
      <c r="B3242">
        <v>6</v>
      </c>
      <c r="C3242" s="25">
        <v>1001</v>
      </c>
      <c r="D3242" t="s">
        <v>6400</v>
      </c>
      <c r="E3242" s="30" t="s">
        <v>6366</v>
      </c>
      <c r="F3242">
        <v>930001</v>
      </c>
      <c r="G3242" t="s">
        <v>6401</v>
      </c>
    </row>
    <row r="3243" spans="1:7">
      <c r="A3243" s="25">
        <v>1001</v>
      </c>
      <c r="B3243">
        <v>6</v>
      </c>
      <c r="C3243" s="25">
        <v>1001</v>
      </c>
      <c r="D3243" t="s">
        <v>6402</v>
      </c>
      <c r="E3243" s="30" t="s">
        <v>6368</v>
      </c>
      <c r="F3243">
        <v>930002</v>
      </c>
      <c r="G3243" t="s">
        <v>6403</v>
      </c>
    </row>
    <row r="3244" spans="1:7">
      <c r="A3244" s="25">
        <v>1001</v>
      </c>
      <c r="B3244">
        <v>6</v>
      </c>
      <c r="C3244" s="25">
        <v>1001</v>
      </c>
      <c r="D3244" t="s">
        <v>6404</v>
      </c>
      <c r="E3244" s="30" t="s">
        <v>6370</v>
      </c>
      <c r="F3244">
        <v>930003</v>
      </c>
      <c r="G3244" t="s">
        <v>6405</v>
      </c>
    </row>
    <row r="3245" spans="1:7">
      <c r="A3245" s="25">
        <v>1001</v>
      </c>
      <c r="B3245">
        <v>6</v>
      </c>
      <c r="C3245" s="25">
        <v>1001</v>
      </c>
      <c r="D3245" t="s">
        <v>6406</v>
      </c>
      <c r="E3245" s="30" t="s">
        <v>6372</v>
      </c>
      <c r="F3245">
        <v>930004</v>
      </c>
      <c r="G3245" t="s">
        <v>6407</v>
      </c>
    </row>
    <row r="3246" spans="1:7">
      <c r="A3246" s="25">
        <v>1001</v>
      </c>
      <c r="B3246">
        <v>6</v>
      </c>
      <c r="C3246" s="25">
        <v>1001</v>
      </c>
      <c r="D3246" t="s">
        <v>6408</v>
      </c>
      <c r="E3246" s="30" t="s">
        <v>6374</v>
      </c>
      <c r="F3246">
        <v>930005</v>
      </c>
      <c r="G3246" t="s">
        <v>6409</v>
      </c>
    </row>
    <row r="3247" spans="1:7">
      <c r="A3247">
        <v>1001</v>
      </c>
      <c r="B3247">
        <v>1</v>
      </c>
      <c r="C3247">
        <v>1001</v>
      </c>
      <c r="D3247" t="s">
        <v>6410</v>
      </c>
      <c r="E3247" s="30" t="s">
        <v>6376</v>
      </c>
      <c r="F3247">
        <v>930006</v>
      </c>
      <c r="G3247" t="s">
        <v>6411</v>
      </c>
    </row>
    <row r="3248" spans="1:7">
      <c r="A3248">
        <v>1001</v>
      </c>
      <c r="B3248">
        <v>1</v>
      </c>
      <c r="C3248">
        <v>1001</v>
      </c>
      <c r="D3248" t="s">
        <v>6412</v>
      </c>
      <c r="E3248" s="30" t="s">
        <v>6378</v>
      </c>
      <c r="F3248">
        <v>930007</v>
      </c>
      <c r="G3248" t="s">
        <v>6413</v>
      </c>
    </row>
    <row r="3249" spans="1:7">
      <c r="A3249">
        <v>1001</v>
      </c>
      <c r="B3249">
        <v>2</v>
      </c>
      <c r="C3249">
        <v>1001</v>
      </c>
      <c r="D3249" t="s">
        <v>6414</v>
      </c>
      <c r="E3249" t="s">
        <v>6380</v>
      </c>
      <c r="F3249">
        <v>931008</v>
      </c>
      <c r="G3249" t="s">
        <v>6415</v>
      </c>
    </row>
    <row r="3250" spans="1:7">
      <c r="A3250">
        <v>1001</v>
      </c>
      <c r="B3250">
        <v>6</v>
      </c>
      <c r="C3250">
        <v>1001</v>
      </c>
      <c r="D3250" t="s">
        <v>6416</v>
      </c>
      <c r="E3250" t="s">
        <v>6382</v>
      </c>
      <c r="F3250">
        <v>931009</v>
      </c>
      <c r="G3250" t="s">
        <v>6417</v>
      </c>
    </row>
    <row r="3251" spans="1:7">
      <c r="A3251">
        <v>1001</v>
      </c>
      <c r="B3251">
        <v>6</v>
      </c>
      <c r="C3251">
        <v>1001</v>
      </c>
      <c r="D3251" t="s">
        <v>6418</v>
      </c>
      <c r="E3251" t="s">
        <v>6384</v>
      </c>
      <c r="F3251">
        <v>931010</v>
      </c>
      <c r="G3251" t="s">
        <v>6419</v>
      </c>
    </row>
    <row r="3252" spans="1:7">
      <c r="A3252">
        <v>1001</v>
      </c>
      <c r="B3252">
        <v>6</v>
      </c>
      <c r="C3252">
        <v>1001</v>
      </c>
      <c r="D3252" t="s">
        <v>6420</v>
      </c>
      <c r="E3252" t="s">
        <v>6386</v>
      </c>
      <c r="F3252">
        <v>931011</v>
      </c>
      <c r="G3252" t="s">
        <v>6421</v>
      </c>
    </row>
    <row r="3253" spans="1:7">
      <c r="A3253">
        <v>1001</v>
      </c>
      <c r="B3253">
        <v>6</v>
      </c>
      <c r="C3253">
        <v>1001</v>
      </c>
      <c r="D3253" t="s">
        <v>6422</v>
      </c>
      <c r="E3253" t="s">
        <v>6388</v>
      </c>
      <c r="F3253">
        <v>931012</v>
      </c>
      <c r="G3253" t="s">
        <v>6423</v>
      </c>
    </row>
    <row r="3254" spans="1:7">
      <c r="A3254">
        <v>1001</v>
      </c>
      <c r="B3254">
        <v>6</v>
      </c>
      <c r="C3254">
        <v>1001</v>
      </c>
      <c r="D3254" t="s">
        <v>6424</v>
      </c>
      <c r="E3254" t="s">
        <v>6390</v>
      </c>
      <c r="F3254">
        <v>931013</v>
      </c>
      <c r="G3254" t="s">
        <v>6425</v>
      </c>
    </row>
    <row r="3255" spans="1:7">
      <c r="A3255" s="17">
        <v>1001</v>
      </c>
      <c r="B3255" s="17">
        <v>6</v>
      </c>
      <c r="C3255" s="17">
        <v>1001</v>
      </c>
      <c r="D3255" s="17" t="s">
        <v>6426</v>
      </c>
      <c r="E3255" t="s">
        <v>6392</v>
      </c>
      <c r="F3255">
        <v>931014</v>
      </c>
      <c r="G3255" s="17" t="s">
        <v>6427</v>
      </c>
    </row>
    <row r="3256" spans="1:7">
      <c r="A3256" s="17">
        <v>1001</v>
      </c>
      <c r="B3256" s="17">
        <v>6</v>
      </c>
      <c r="C3256" s="17">
        <v>1001</v>
      </c>
      <c r="D3256" s="17" t="s">
        <v>6428</v>
      </c>
      <c r="E3256" t="s">
        <v>6394</v>
      </c>
      <c r="F3256">
        <v>931015</v>
      </c>
      <c r="G3256" s="17" t="s">
        <v>6429</v>
      </c>
    </row>
    <row r="3257" spans="1:7">
      <c r="A3257">
        <v>1001</v>
      </c>
      <c r="B3257">
        <v>1</v>
      </c>
      <c r="C3257">
        <v>1001</v>
      </c>
      <c r="D3257" t="s">
        <v>6430</v>
      </c>
      <c r="E3257" t="s">
        <v>6396</v>
      </c>
      <c r="F3257">
        <v>931016</v>
      </c>
      <c r="G3257" t="s">
        <v>6431</v>
      </c>
    </row>
    <row r="3258" spans="1:7">
      <c r="A3258">
        <v>1001</v>
      </c>
      <c r="B3258">
        <v>6</v>
      </c>
      <c r="C3258">
        <v>1001</v>
      </c>
      <c r="D3258" t="s">
        <v>6432</v>
      </c>
      <c r="E3258" t="s">
        <v>6398</v>
      </c>
      <c r="F3258">
        <v>931017</v>
      </c>
      <c r="G3258" t="s">
        <v>6433</v>
      </c>
    </row>
    <row r="3259" spans="1:7">
      <c r="A3259">
        <v>1001</v>
      </c>
      <c r="B3259">
        <v>1</v>
      </c>
      <c r="C3259">
        <v>1001</v>
      </c>
      <c r="D3259" t="s">
        <v>6434</v>
      </c>
      <c r="E3259" t="s">
        <v>6400</v>
      </c>
      <c r="F3259">
        <v>931018</v>
      </c>
      <c r="G3259" t="s">
        <v>6435</v>
      </c>
    </row>
    <row r="3260" spans="1:7">
      <c r="A3260">
        <v>1001</v>
      </c>
      <c r="B3260">
        <v>1</v>
      </c>
      <c r="C3260">
        <v>1001</v>
      </c>
      <c r="D3260" t="s">
        <v>6436</v>
      </c>
      <c r="E3260" t="s">
        <v>6402</v>
      </c>
      <c r="F3260">
        <v>931019</v>
      </c>
      <c r="G3260" t="s">
        <v>6437</v>
      </c>
    </row>
    <row r="3261" spans="1:7">
      <c r="A3261" s="25">
        <v>1001</v>
      </c>
      <c r="B3261" s="25">
        <v>2</v>
      </c>
      <c r="C3261" s="25">
        <v>1004</v>
      </c>
      <c r="D3261" s="30" t="s">
        <v>6438</v>
      </c>
      <c r="E3261" t="s">
        <v>6404</v>
      </c>
      <c r="F3261">
        <v>931020</v>
      </c>
      <c r="G3261" s="30" t="s">
        <v>6438</v>
      </c>
    </row>
    <row r="3262" s="6" customFormat="1" spans="1:7">
      <c r="A3262" s="25">
        <v>1001</v>
      </c>
      <c r="B3262" s="25">
        <v>6</v>
      </c>
      <c r="C3262" s="25">
        <v>1001</v>
      </c>
      <c r="D3262" s="6" t="s">
        <v>6439</v>
      </c>
      <c r="E3262" s="6" t="s">
        <v>6406</v>
      </c>
      <c r="F3262" s="6">
        <v>931021</v>
      </c>
      <c r="G3262" s="6" t="s">
        <v>6440</v>
      </c>
    </row>
    <row r="3263" s="6" customFormat="1" spans="1:7">
      <c r="A3263" s="25">
        <v>1001</v>
      </c>
      <c r="B3263" s="25">
        <v>6</v>
      </c>
      <c r="C3263" s="25">
        <v>1001</v>
      </c>
      <c r="D3263" s="6" t="s">
        <v>6441</v>
      </c>
      <c r="E3263" s="6" t="s">
        <v>6408</v>
      </c>
      <c r="F3263" s="6">
        <v>931022</v>
      </c>
      <c r="G3263" s="6" t="s">
        <v>6442</v>
      </c>
    </row>
    <row r="3264" s="6" customFormat="1" spans="1:7">
      <c r="A3264" s="25">
        <v>1001</v>
      </c>
      <c r="B3264" s="25">
        <v>6</v>
      </c>
      <c r="C3264" s="25">
        <v>1001</v>
      </c>
      <c r="D3264" s="6" t="s">
        <v>6443</v>
      </c>
      <c r="E3264" s="6" t="s">
        <v>6410</v>
      </c>
      <c r="F3264" s="6">
        <v>931023</v>
      </c>
      <c r="G3264" s="6" t="s">
        <v>6444</v>
      </c>
    </row>
    <row r="3265" s="24" customFormat="1" spans="1:7">
      <c r="A3265" s="88">
        <v>1001</v>
      </c>
      <c r="B3265" s="88">
        <v>1</v>
      </c>
      <c r="C3265" s="89">
        <v>1001</v>
      </c>
      <c r="D3265" s="24" t="s">
        <v>6445</v>
      </c>
      <c r="E3265" s="24" t="s">
        <v>6412</v>
      </c>
      <c r="F3265" s="24">
        <v>931024</v>
      </c>
      <c r="G3265" s="24" t="s">
        <v>6446</v>
      </c>
    </row>
    <row r="3266" s="24" customFormat="1" spans="1:7">
      <c r="A3266" s="88">
        <v>1001</v>
      </c>
      <c r="B3266" s="88">
        <v>1</v>
      </c>
      <c r="C3266" s="89">
        <v>1001</v>
      </c>
      <c r="D3266" s="24" t="s">
        <v>6447</v>
      </c>
      <c r="E3266" s="24" t="s">
        <v>6414</v>
      </c>
      <c r="F3266" s="24">
        <v>730002</v>
      </c>
      <c r="G3266" s="24" t="s">
        <v>6448</v>
      </c>
    </row>
    <row r="3267" s="24" customFormat="1" spans="1:7">
      <c r="A3267" s="88">
        <v>1001</v>
      </c>
      <c r="B3267" s="88">
        <v>1</v>
      </c>
      <c r="C3267" s="89">
        <v>1001</v>
      </c>
      <c r="D3267" s="24" t="s">
        <v>6449</v>
      </c>
      <c r="E3267" s="24" t="s">
        <v>6416</v>
      </c>
      <c r="F3267" s="24">
        <v>730004</v>
      </c>
      <c r="G3267" s="24" t="s">
        <v>6450</v>
      </c>
    </row>
    <row r="3268" s="24" customFormat="1" spans="1:7">
      <c r="A3268" s="88">
        <v>1001</v>
      </c>
      <c r="B3268" s="88">
        <v>1</v>
      </c>
      <c r="C3268" s="89">
        <v>1001</v>
      </c>
      <c r="D3268" s="24" t="s">
        <v>6451</v>
      </c>
      <c r="E3268" s="24" t="s">
        <v>6418</v>
      </c>
      <c r="F3268" s="24">
        <v>730005</v>
      </c>
      <c r="G3268" s="24" t="s">
        <v>6452</v>
      </c>
    </row>
    <row r="3269" s="24" customFormat="1" spans="1:7">
      <c r="A3269" s="88">
        <v>1001</v>
      </c>
      <c r="B3269" s="88">
        <v>1</v>
      </c>
      <c r="C3269" s="89">
        <v>1001</v>
      </c>
      <c r="D3269" s="24" t="s">
        <v>6453</v>
      </c>
      <c r="E3269" s="24" t="s">
        <v>6420</v>
      </c>
      <c r="F3269" s="24">
        <v>730006</v>
      </c>
      <c r="G3269" s="24" t="s">
        <v>6454</v>
      </c>
    </row>
    <row r="3270" s="24" customFormat="1" spans="1:7">
      <c r="A3270" s="88">
        <v>1001</v>
      </c>
      <c r="B3270" s="88">
        <v>1</v>
      </c>
      <c r="C3270" s="89">
        <v>1001</v>
      </c>
      <c r="D3270" s="24" t="s">
        <v>6455</v>
      </c>
      <c r="E3270" s="24" t="s">
        <v>6422</v>
      </c>
      <c r="F3270" s="24">
        <v>730007</v>
      </c>
      <c r="G3270" s="24" t="s">
        <v>6456</v>
      </c>
    </row>
    <row r="3271" s="24" customFormat="1" spans="1:7">
      <c r="A3271" s="88">
        <v>1001</v>
      </c>
      <c r="B3271" s="88">
        <v>1</v>
      </c>
      <c r="C3271" s="89">
        <v>1001</v>
      </c>
      <c r="D3271" s="24" t="s">
        <v>6457</v>
      </c>
      <c r="E3271" s="24" t="s">
        <v>6424</v>
      </c>
      <c r="F3271" s="24">
        <v>730008</v>
      </c>
      <c r="G3271" s="24" t="s">
        <v>6458</v>
      </c>
    </row>
    <row r="3272" s="24" customFormat="1" spans="1:7">
      <c r="A3272" s="88">
        <v>1001</v>
      </c>
      <c r="B3272" s="88">
        <v>1</v>
      </c>
      <c r="C3272" s="89">
        <v>1001</v>
      </c>
      <c r="D3272" s="24" t="s">
        <v>6459</v>
      </c>
      <c r="E3272" s="17" t="s">
        <v>6426</v>
      </c>
      <c r="F3272" s="17">
        <v>721006</v>
      </c>
      <c r="G3272" s="24" t="s">
        <v>6460</v>
      </c>
    </row>
    <row r="3273" s="24" customFormat="1" spans="1:7">
      <c r="A3273" s="88">
        <v>1001</v>
      </c>
      <c r="B3273" s="88">
        <v>1</v>
      </c>
      <c r="C3273" s="89">
        <v>1001</v>
      </c>
      <c r="D3273" s="24" t="s">
        <v>6461</v>
      </c>
      <c r="E3273" s="17" t="s">
        <v>6428</v>
      </c>
      <c r="F3273" s="17">
        <v>721007</v>
      </c>
      <c r="G3273" s="24" t="s">
        <v>6462</v>
      </c>
    </row>
    <row r="3274" s="24" customFormat="1" spans="1:7">
      <c r="A3274" s="88">
        <v>1001</v>
      </c>
      <c r="B3274" s="88">
        <v>1</v>
      </c>
      <c r="C3274" s="89">
        <v>1001</v>
      </c>
      <c r="D3274" s="24" t="s">
        <v>6463</v>
      </c>
      <c r="E3274" s="17" t="s">
        <v>6464</v>
      </c>
      <c r="F3274" s="17">
        <v>721008</v>
      </c>
      <c r="G3274" s="24" t="s">
        <v>6465</v>
      </c>
    </row>
    <row r="3275" spans="1:7">
      <c r="A3275" s="25">
        <v>1001</v>
      </c>
      <c r="B3275" s="25">
        <v>6</v>
      </c>
      <c r="C3275" s="25">
        <v>1001</v>
      </c>
      <c r="D3275" s="25" t="s">
        <v>6466</v>
      </c>
      <c r="E3275" t="s">
        <v>6430</v>
      </c>
      <c r="F3275">
        <v>931025</v>
      </c>
      <c r="G3275" t="s">
        <v>6467</v>
      </c>
    </row>
    <row r="3276" s="6" customFormat="1" spans="1:7">
      <c r="A3276" s="25">
        <v>1001</v>
      </c>
      <c r="B3276" s="25">
        <v>6</v>
      </c>
      <c r="C3276" s="25">
        <v>1001</v>
      </c>
      <c r="D3276" s="25" t="s">
        <v>6468</v>
      </c>
      <c r="E3276" s="6" t="s">
        <v>6432</v>
      </c>
      <c r="F3276" s="6">
        <v>730003</v>
      </c>
      <c r="G3276" s="25" t="s">
        <v>6469</v>
      </c>
    </row>
    <row r="3277" spans="1:7">
      <c r="A3277" s="25">
        <v>1001</v>
      </c>
      <c r="B3277">
        <v>6</v>
      </c>
      <c r="C3277" s="25">
        <v>1001</v>
      </c>
      <c r="D3277" t="s">
        <v>6470</v>
      </c>
      <c r="E3277" t="s">
        <v>6434</v>
      </c>
      <c r="F3277">
        <v>1000001</v>
      </c>
      <c r="G3277" t="s">
        <v>6471</v>
      </c>
    </row>
    <row r="3278" s="6" customFormat="1" spans="1:7">
      <c r="A3278" s="25">
        <v>1001</v>
      </c>
      <c r="B3278" s="25">
        <v>1</v>
      </c>
      <c r="C3278" s="25">
        <v>1001</v>
      </c>
      <c r="D3278" s="25" t="s">
        <v>6472</v>
      </c>
      <c r="E3278" s="6" t="s">
        <v>6436</v>
      </c>
      <c r="F3278" s="6">
        <v>1000002</v>
      </c>
      <c r="G3278" s="25" t="s">
        <v>6473</v>
      </c>
    </row>
    <row r="3279" s="6" customFormat="1" spans="1:7">
      <c r="A3279" s="6">
        <v>1001</v>
      </c>
      <c r="B3279" s="6">
        <v>1</v>
      </c>
      <c r="C3279" s="6">
        <v>1001</v>
      </c>
      <c r="D3279" s="6" t="s">
        <v>4483</v>
      </c>
      <c r="E3279" s="30" t="s">
        <v>6438</v>
      </c>
      <c r="F3279" s="6">
        <v>9300011</v>
      </c>
      <c r="G3279" s="6" t="s">
        <v>6474</v>
      </c>
    </row>
    <row r="3280" spans="1:7">
      <c r="A3280">
        <v>1001</v>
      </c>
      <c r="B3280">
        <v>1</v>
      </c>
      <c r="C3280">
        <v>1001</v>
      </c>
      <c r="D3280" t="s">
        <v>6475</v>
      </c>
      <c r="E3280" s="6" t="s">
        <v>6439</v>
      </c>
      <c r="F3280" s="6">
        <v>931026</v>
      </c>
      <c r="G3280" t="s">
        <v>6476</v>
      </c>
    </row>
    <row r="3281" spans="1:7">
      <c r="A3281">
        <v>1001</v>
      </c>
      <c r="B3281">
        <v>1</v>
      </c>
      <c r="C3281">
        <v>1001</v>
      </c>
      <c r="D3281" t="s">
        <v>6477</v>
      </c>
      <c r="E3281" s="6" t="s">
        <v>6441</v>
      </c>
      <c r="F3281" s="6">
        <v>931027</v>
      </c>
      <c r="G3281" t="s">
        <v>6478</v>
      </c>
    </row>
    <row r="3282" spans="1:7">
      <c r="A3282">
        <v>1001</v>
      </c>
      <c r="B3282">
        <v>1</v>
      </c>
      <c r="C3282">
        <v>1001</v>
      </c>
      <c r="D3282" t="s">
        <v>6479</v>
      </c>
      <c r="E3282" s="6" t="s">
        <v>6443</v>
      </c>
      <c r="F3282" s="6">
        <v>931028</v>
      </c>
      <c r="G3282" t="s">
        <v>6480</v>
      </c>
    </row>
    <row r="3283" spans="1:7">
      <c r="A3283" s="25">
        <v>1001</v>
      </c>
      <c r="B3283">
        <v>6</v>
      </c>
      <c r="C3283" s="25">
        <v>1001</v>
      </c>
      <c r="D3283" t="s">
        <v>6481</v>
      </c>
      <c r="E3283" s="24" t="s">
        <v>6445</v>
      </c>
      <c r="F3283" s="24">
        <v>11010001</v>
      </c>
      <c r="G3283" t="s">
        <v>6482</v>
      </c>
    </row>
    <row r="3284" spans="1:7">
      <c r="A3284" s="25">
        <v>1001</v>
      </c>
      <c r="B3284">
        <v>6</v>
      </c>
      <c r="C3284" s="25">
        <v>1001</v>
      </c>
      <c r="D3284" t="s">
        <v>6483</v>
      </c>
      <c r="E3284" s="24" t="s">
        <v>6447</v>
      </c>
      <c r="F3284" s="24">
        <v>11010002</v>
      </c>
      <c r="G3284" t="s">
        <v>6484</v>
      </c>
    </row>
    <row r="3285" spans="1:7">
      <c r="A3285" s="25">
        <v>1001</v>
      </c>
      <c r="B3285" s="25">
        <v>1</v>
      </c>
      <c r="C3285" s="25">
        <v>1001</v>
      </c>
      <c r="D3285" t="s">
        <v>6485</v>
      </c>
      <c r="E3285" s="24" t="s">
        <v>6449</v>
      </c>
      <c r="F3285" s="24">
        <v>11010003</v>
      </c>
      <c r="G3285" t="s">
        <v>6485</v>
      </c>
    </row>
    <row r="3286" spans="1:7">
      <c r="A3286" s="25">
        <v>1001</v>
      </c>
      <c r="B3286">
        <v>6</v>
      </c>
      <c r="C3286" s="25">
        <v>1001</v>
      </c>
      <c r="D3286" t="s">
        <v>6486</v>
      </c>
      <c r="E3286" s="24" t="s">
        <v>6451</v>
      </c>
      <c r="F3286" s="24">
        <v>11010004</v>
      </c>
      <c r="G3286" t="s">
        <v>6487</v>
      </c>
    </row>
    <row r="3287" spans="1:7">
      <c r="A3287" s="25">
        <v>1001</v>
      </c>
      <c r="B3287">
        <v>6</v>
      </c>
      <c r="C3287" s="25">
        <v>1001</v>
      </c>
      <c r="D3287" t="s">
        <v>6488</v>
      </c>
      <c r="E3287" s="24" t="s">
        <v>6453</v>
      </c>
      <c r="F3287" s="24">
        <v>11010005</v>
      </c>
      <c r="G3287" t="s">
        <v>6489</v>
      </c>
    </row>
    <row r="3288" spans="1:7">
      <c r="A3288" s="25">
        <v>1001</v>
      </c>
      <c r="B3288">
        <v>6</v>
      </c>
      <c r="C3288" s="25">
        <v>1001</v>
      </c>
      <c r="D3288" t="s">
        <v>6490</v>
      </c>
      <c r="E3288" s="24" t="s">
        <v>6455</v>
      </c>
      <c r="F3288" s="24">
        <v>11010006</v>
      </c>
      <c r="G3288" t="s">
        <v>6491</v>
      </c>
    </row>
    <row r="3289" spans="1:7">
      <c r="A3289" s="25">
        <v>1001</v>
      </c>
      <c r="B3289">
        <v>6</v>
      </c>
      <c r="C3289" s="25">
        <v>1001</v>
      </c>
      <c r="D3289" t="s">
        <v>6492</v>
      </c>
      <c r="E3289" s="24" t="s">
        <v>6457</v>
      </c>
      <c r="F3289" s="24">
        <v>11010007</v>
      </c>
      <c r="G3289" t="s">
        <v>6493</v>
      </c>
    </row>
    <row r="3290" spans="5:6">
      <c r="E3290" s="24" t="s">
        <v>6459</v>
      </c>
      <c r="F3290" s="24">
        <v>11010008</v>
      </c>
    </row>
    <row r="3291" spans="5:6">
      <c r="E3291" s="24" t="s">
        <v>6461</v>
      </c>
      <c r="F3291" s="24">
        <v>11010009</v>
      </c>
    </row>
    <row r="3292" spans="5:6">
      <c r="E3292" s="24" t="s">
        <v>6463</v>
      </c>
      <c r="F3292" s="24">
        <v>11010010</v>
      </c>
    </row>
    <row r="3293" spans="5:6">
      <c r="E3293" s="24" t="s">
        <v>6494</v>
      </c>
      <c r="F3293" s="24">
        <v>11010011</v>
      </c>
    </row>
    <row r="3294" spans="5:6">
      <c r="E3294" s="24" t="s">
        <v>6495</v>
      </c>
      <c r="F3294" s="24">
        <v>11010012</v>
      </c>
    </row>
    <row r="3295" spans="5:6">
      <c r="E3295" s="24" t="s">
        <v>6496</v>
      </c>
      <c r="F3295" s="24">
        <v>11010013</v>
      </c>
    </row>
    <row r="3296" spans="5:6">
      <c r="E3296" s="24" t="s">
        <v>6497</v>
      </c>
      <c r="F3296" s="24">
        <v>11010014</v>
      </c>
    </row>
    <row r="3297" spans="5:6">
      <c r="E3297" s="24" t="s">
        <v>6498</v>
      </c>
      <c r="F3297" s="24">
        <v>11010015</v>
      </c>
    </row>
    <row r="3298" spans="5:6">
      <c r="E3298" s="25" t="s">
        <v>6466</v>
      </c>
      <c r="F3298">
        <v>931029</v>
      </c>
    </row>
    <row r="3299" spans="5:6">
      <c r="E3299" s="25" t="s">
        <v>6468</v>
      </c>
      <c r="F3299" s="6">
        <v>931030</v>
      </c>
    </row>
    <row r="3300" spans="5:6">
      <c r="E3300" t="s">
        <v>6470</v>
      </c>
      <c r="F3300">
        <v>931031</v>
      </c>
    </row>
    <row r="3301" spans="5:6">
      <c r="E3301" s="25" t="s">
        <v>6472</v>
      </c>
      <c r="F3301" s="6">
        <v>910009</v>
      </c>
    </row>
    <row r="3302" spans="5:6">
      <c r="E3302" s="25" t="s">
        <v>6499</v>
      </c>
      <c r="F3302" s="6">
        <v>910010</v>
      </c>
    </row>
    <row r="3303" spans="5:6">
      <c r="E3303" s="6" t="s">
        <v>4483</v>
      </c>
      <c r="F3303" s="6">
        <v>931032</v>
      </c>
    </row>
    <row r="3304" spans="5:6">
      <c r="E3304" t="s">
        <v>6475</v>
      </c>
      <c r="F3304">
        <v>940001</v>
      </c>
    </row>
    <row r="3305" spans="5:6">
      <c r="E3305" t="s">
        <v>6477</v>
      </c>
      <c r="F3305">
        <v>940002</v>
      </c>
    </row>
    <row r="3306" spans="5:6">
      <c r="E3306" t="s">
        <v>6479</v>
      </c>
      <c r="F3306">
        <v>940003</v>
      </c>
    </row>
    <row r="3307" spans="5:6">
      <c r="E3307" t="s">
        <v>6500</v>
      </c>
      <c r="F3307">
        <v>940004</v>
      </c>
    </row>
    <row r="3308" spans="5:6">
      <c r="E3308" t="s">
        <v>6501</v>
      </c>
      <c r="F3308">
        <v>940005</v>
      </c>
    </row>
    <row r="3309" spans="5:6">
      <c r="E3309" t="s">
        <v>6502</v>
      </c>
      <c r="F3309">
        <v>940006</v>
      </c>
    </row>
    <row r="3310" spans="5:6">
      <c r="E3310" t="s">
        <v>6503</v>
      </c>
      <c r="F3310">
        <v>940007</v>
      </c>
    </row>
    <row r="3311" spans="5:6">
      <c r="E3311" t="s">
        <v>6504</v>
      </c>
      <c r="F3311">
        <v>940008</v>
      </c>
    </row>
    <row r="3312" spans="5:6">
      <c r="E3312" t="s">
        <v>6481</v>
      </c>
      <c r="F3312">
        <v>931033</v>
      </c>
    </row>
    <row r="3313" spans="5:6">
      <c r="E3313" t="s">
        <v>6483</v>
      </c>
      <c r="F3313">
        <v>931034</v>
      </c>
    </row>
    <row r="3314" spans="5:6">
      <c r="E3314" t="s">
        <v>6505</v>
      </c>
      <c r="F3314" s="25">
        <v>122036</v>
      </c>
    </row>
    <row r="3315" spans="5:6">
      <c r="E3315" t="s">
        <v>6486</v>
      </c>
      <c r="F3315">
        <v>931035</v>
      </c>
    </row>
    <row r="3316" spans="5:6">
      <c r="E3316" t="s">
        <v>6488</v>
      </c>
      <c r="F3316">
        <v>931036</v>
      </c>
    </row>
    <row r="3317" spans="5:6">
      <c r="E3317" t="s">
        <v>6490</v>
      </c>
      <c r="F3317">
        <v>931037</v>
      </c>
    </row>
    <row r="3318" spans="5:6">
      <c r="E3318" t="s">
        <v>6492</v>
      </c>
      <c r="F3318">
        <v>931038</v>
      </c>
    </row>
    <row r="3319" spans="5:6">
      <c r="E3319" t="s">
        <v>6506</v>
      </c>
      <c r="F3319">
        <v>931039</v>
      </c>
    </row>
    <row r="3320" spans="5:6">
      <c r="E3320" t="s">
        <v>6507</v>
      </c>
      <c r="F3320">
        <v>931040</v>
      </c>
    </row>
    <row r="3321" spans="5:6">
      <c r="E3321" t="s">
        <v>6508</v>
      </c>
      <c r="F3321">
        <v>931041</v>
      </c>
    </row>
    <row r="3322" spans="5:6">
      <c r="E3322" s="6" t="s">
        <v>4483</v>
      </c>
      <c r="F3322" s="6">
        <v>931042</v>
      </c>
    </row>
    <row r="3323" spans="5:6">
      <c r="E3323" t="s">
        <v>6509</v>
      </c>
      <c r="F3323">
        <v>931043</v>
      </c>
    </row>
    <row r="3324" spans="5:6">
      <c r="E3324" s="6" t="s">
        <v>4483</v>
      </c>
      <c r="F3324">
        <v>931044</v>
      </c>
    </row>
    <row r="3325" spans="5:6">
      <c r="E3325" t="s">
        <v>6510</v>
      </c>
      <c r="F3325">
        <v>931045</v>
      </c>
    </row>
    <row r="3326" spans="5:6">
      <c r="E3326" s="6" t="s">
        <v>4483</v>
      </c>
      <c r="F3326">
        <v>931046</v>
      </c>
    </row>
    <row r="3327" spans="5:6">
      <c r="E3327" s="6" t="s">
        <v>6511</v>
      </c>
      <c r="F3327">
        <v>931047</v>
      </c>
    </row>
    <row r="3328" ht="16.5" spans="5:6">
      <c r="E3328" s="90" t="s">
        <v>6512</v>
      </c>
      <c r="F3328">
        <v>931048</v>
      </c>
    </row>
    <row r="3329" ht="16.5" spans="5:6">
      <c r="E3329" s="90" t="s">
        <v>6513</v>
      </c>
      <c r="F3329">
        <v>931049</v>
      </c>
    </row>
    <row r="3330" ht="16.5" spans="5:6">
      <c r="E3330" s="90" t="s">
        <v>6514</v>
      </c>
      <c r="F3330">
        <v>931050</v>
      </c>
    </row>
    <row r="3331" ht="16.5" spans="5:6">
      <c r="E3331" s="90" t="s">
        <v>6515</v>
      </c>
      <c r="F3331">
        <v>931051</v>
      </c>
    </row>
    <row r="3332" spans="5:6">
      <c r="E3332" s="20" t="s">
        <v>6516</v>
      </c>
      <c r="F3332">
        <v>931052</v>
      </c>
    </row>
    <row r="3333" spans="5:6">
      <c r="E3333" s="6" t="s">
        <v>4483</v>
      </c>
      <c r="F3333">
        <v>931053</v>
      </c>
    </row>
    <row r="3334" spans="5:6">
      <c r="E3334" t="s">
        <v>6517</v>
      </c>
      <c r="F3334" s="91">
        <v>931054</v>
      </c>
    </row>
    <row r="3335" spans="5:6">
      <c r="E3335" t="s">
        <v>6518</v>
      </c>
      <c r="F3335" s="91">
        <v>931055</v>
      </c>
    </row>
    <row r="3336" spans="5:6">
      <c r="E3336" t="s">
        <v>6519</v>
      </c>
      <c r="F3336" s="91">
        <v>931056</v>
      </c>
    </row>
    <row r="3337" spans="5:6">
      <c r="E3337" t="s">
        <v>6520</v>
      </c>
      <c r="F3337" s="91">
        <v>931057</v>
      </c>
    </row>
    <row r="3338" spans="5:6">
      <c r="E3338" t="s">
        <v>6521</v>
      </c>
      <c r="F3338" s="91">
        <v>931058</v>
      </c>
    </row>
    <row r="3339" spans="5:6">
      <c r="E3339" t="s">
        <v>6522</v>
      </c>
      <c r="F3339" s="91">
        <v>931059</v>
      </c>
    </row>
    <row r="3340" spans="5:6">
      <c r="E3340" t="s">
        <v>6523</v>
      </c>
      <c r="F3340" s="91">
        <v>931060</v>
      </c>
    </row>
    <row r="3341" spans="5:6">
      <c r="E3341" s="92" t="s">
        <v>4483</v>
      </c>
      <c r="F3341" s="92">
        <v>931061</v>
      </c>
    </row>
    <row r="3342" spans="5:6">
      <c r="E3342" s="92" t="s">
        <v>4483</v>
      </c>
      <c r="F3342" s="16">
        <v>931062</v>
      </c>
    </row>
    <row r="3343" spans="5:6">
      <c r="E3343" t="s">
        <v>6524</v>
      </c>
      <c r="F3343">
        <v>932001</v>
      </c>
    </row>
    <row r="3344" spans="5:6">
      <c r="E3344" t="s">
        <v>6524</v>
      </c>
      <c r="F3344">
        <v>932002</v>
      </c>
    </row>
    <row r="3345" spans="5:6">
      <c r="E3345" t="s">
        <v>6524</v>
      </c>
      <c r="F3345">
        <v>932003</v>
      </c>
    </row>
    <row r="3346" spans="5:6">
      <c r="E3346" t="s">
        <v>6524</v>
      </c>
      <c r="F3346">
        <v>932004</v>
      </c>
    </row>
    <row r="3347" spans="5:6">
      <c r="E3347" t="s">
        <v>6524</v>
      </c>
      <c r="F3347">
        <v>932005</v>
      </c>
    </row>
    <row r="3348" spans="5:6">
      <c r="E3348" t="s">
        <v>6524</v>
      </c>
      <c r="F3348">
        <v>932006</v>
      </c>
    </row>
    <row r="3349" spans="5:6">
      <c r="E3349" t="s">
        <v>6524</v>
      </c>
      <c r="F3349">
        <v>932007</v>
      </c>
    </row>
    <row r="3350" spans="5:6">
      <c r="E3350" t="s">
        <v>6524</v>
      </c>
      <c r="F3350">
        <v>932008</v>
      </c>
    </row>
    <row r="3351" spans="5:6">
      <c r="E3351" t="s">
        <v>6524</v>
      </c>
      <c r="F3351">
        <v>932009</v>
      </c>
    </row>
    <row r="3352" spans="5:6">
      <c r="E3352" s="25" t="s">
        <v>5490</v>
      </c>
      <c r="F3352" s="6">
        <v>932010</v>
      </c>
    </row>
    <row r="3353" spans="5:6">
      <c r="E3353" s="6" t="s">
        <v>6525</v>
      </c>
      <c r="F3353" s="6">
        <v>932011</v>
      </c>
    </row>
    <row r="3354" spans="5:6">
      <c r="E3354" s="25" t="s">
        <v>5490</v>
      </c>
      <c r="F3354" s="6">
        <v>932012</v>
      </c>
    </row>
    <row r="3355" spans="5:6">
      <c r="E3355" s="6" t="s">
        <v>6526</v>
      </c>
      <c r="F3355" s="6">
        <v>932013</v>
      </c>
    </row>
    <row r="3356" spans="5:6">
      <c r="E3356" s="6" t="s">
        <v>6527</v>
      </c>
      <c r="F3356" s="6">
        <v>932014</v>
      </c>
    </row>
    <row r="3357" spans="5:6">
      <c r="E3357" s="6" t="s">
        <v>6528</v>
      </c>
      <c r="F3357" s="6">
        <v>932015</v>
      </c>
    </row>
    <row r="3358" spans="5:6">
      <c r="E3358" s="6" t="s">
        <v>6529</v>
      </c>
      <c r="F3358" s="6">
        <v>932016</v>
      </c>
    </row>
    <row r="3359" spans="5:6">
      <c r="E3359" s="6" t="s">
        <v>243</v>
      </c>
      <c r="F3359" s="6">
        <v>932017</v>
      </c>
    </row>
    <row r="3360" spans="5:6">
      <c r="E3360" s="6" t="s">
        <v>687</v>
      </c>
      <c r="F3360" s="6">
        <v>932018</v>
      </c>
    </row>
    <row r="3361" spans="5:6">
      <c r="E3361" s="6" t="s">
        <v>6530</v>
      </c>
      <c r="F3361" s="6">
        <v>932019</v>
      </c>
    </row>
    <row r="3362" spans="5:6">
      <c r="E3362" t="s">
        <v>6531</v>
      </c>
      <c r="F3362">
        <v>960001</v>
      </c>
    </row>
    <row r="3363" spans="5:6">
      <c r="E3363" t="s">
        <v>6532</v>
      </c>
      <c r="F3363">
        <v>960002</v>
      </c>
    </row>
    <row r="3364" spans="5:6">
      <c r="E3364" t="s">
        <v>689</v>
      </c>
      <c r="F3364">
        <v>690130</v>
      </c>
    </row>
  </sheetData>
  <conditionalFormatting sqref="F241">
    <cfRule type="duplicateValues" dxfId="1" priority="190"/>
  </conditionalFormatting>
  <conditionalFormatting sqref="F243">
    <cfRule type="duplicateValues" dxfId="0" priority="174"/>
    <cfRule type="duplicateValues" dxfId="0" priority="173"/>
    <cfRule type="duplicateValues" dxfId="0" priority="172"/>
  </conditionalFormatting>
  <conditionalFormatting sqref="F244">
    <cfRule type="duplicateValues" dxfId="0" priority="165"/>
    <cfRule type="duplicateValues" dxfId="0" priority="164"/>
    <cfRule type="duplicateValues" dxfId="0" priority="163"/>
  </conditionalFormatting>
  <conditionalFormatting sqref="F245">
    <cfRule type="duplicateValues" dxfId="0" priority="156"/>
    <cfRule type="duplicateValues" dxfId="0" priority="155"/>
    <cfRule type="duplicateValues" dxfId="0" priority="154"/>
  </conditionalFormatting>
  <conditionalFormatting sqref="F246">
    <cfRule type="duplicateValues" dxfId="0" priority="153"/>
    <cfRule type="duplicateValues" dxfId="0" priority="152"/>
    <cfRule type="duplicateValues" dxfId="0" priority="151"/>
  </conditionalFormatting>
  <conditionalFormatting sqref="F247">
    <cfRule type="duplicateValues" dxfId="0" priority="138"/>
    <cfRule type="duplicateValues" dxfId="0" priority="137"/>
    <cfRule type="duplicateValues" dxfId="0" priority="136"/>
  </conditionalFormatting>
  <conditionalFormatting sqref="F252">
    <cfRule type="duplicateValues" dxfId="0" priority="194"/>
    <cfRule type="duplicateValues" dxfId="0" priority="193"/>
    <cfRule type="duplicateValues" dxfId="0" priority="192"/>
    <cfRule type="duplicateValues" dxfId="0" priority="191"/>
    <cfRule type="duplicateValues" dxfId="0" priority="8"/>
    <cfRule type="duplicateValues" dxfId="0" priority="7"/>
    <cfRule type="duplicateValues" dxfId="0" priority="6"/>
    <cfRule type="duplicateValues" dxfId="0" priority="5"/>
  </conditionalFormatting>
  <conditionalFormatting sqref="F1751">
    <cfRule type="duplicateValues" dxfId="1" priority="189"/>
  </conditionalFormatting>
  <conditionalFormatting sqref="F1753">
    <cfRule type="duplicateValues" dxfId="0" priority="171"/>
    <cfRule type="duplicateValues" dxfId="0" priority="170"/>
    <cfRule type="duplicateValues" dxfId="0" priority="169"/>
  </conditionalFormatting>
  <conditionalFormatting sqref="F1754">
    <cfRule type="duplicateValues" dxfId="0" priority="162"/>
    <cfRule type="duplicateValues" dxfId="0" priority="161"/>
    <cfRule type="duplicateValues" dxfId="0" priority="160"/>
  </conditionalFormatting>
  <conditionalFormatting sqref="F1760">
    <cfRule type="duplicateValues" dxfId="0" priority="27"/>
    <cfRule type="duplicateValues" dxfId="0" priority="26"/>
    <cfRule type="duplicateValues" dxfId="0" priority="25"/>
  </conditionalFormatting>
  <conditionalFormatting sqref="F2281">
    <cfRule type="duplicateValues" dxfId="0" priority="90"/>
    <cfRule type="duplicateValues" dxfId="0" priority="89"/>
    <cfRule type="duplicateValues" dxfId="0" priority="88"/>
  </conditionalFormatting>
  <conditionalFormatting sqref="F2529">
    <cfRule type="duplicateValues" dxfId="0" priority="120"/>
    <cfRule type="duplicateValues" dxfId="0" priority="119"/>
    <cfRule type="duplicateValues" dxfId="0" priority="118"/>
  </conditionalFormatting>
  <conditionalFormatting sqref="F2546">
    <cfRule type="duplicateValues" dxfId="0" priority="184"/>
  </conditionalFormatting>
  <conditionalFormatting sqref="E2547">
    <cfRule type="duplicateValues" dxfId="0" priority="197"/>
    <cfRule type="duplicateValues" dxfId="0" priority="196"/>
    <cfRule type="duplicateValues" dxfId="0" priority="195"/>
  </conditionalFormatting>
  <conditionalFormatting sqref="F2547">
    <cfRule type="duplicateValues" dxfId="0" priority="51"/>
    <cfRule type="duplicateValues" dxfId="0" priority="50"/>
    <cfRule type="duplicateValues" dxfId="0" priority="49"/>
  </conditionalFormatting>
  <conditionalFormatting sqref="F2548">
    <cfRule type="duplicateValues" dxfId="0" priority="54"/>
    <cfRule type="duplicateValues" dxfId="0" priority="53"/>
    <cfRule type="duplicateValues" dxfId="0" priority="52"/>
  </conditionalFormatting>
  <conditionalFormatting sqref="F3022">
    <cfRule type="duplicateValues" dxfId="1" priority="182"/>
    <cfRule type="duplicateValues" dxfId="0" priority="181"/>
  </conditionalFormatting>
  <conditionalFormatting sqref="F3026">
    <cfRule type="duplicateValues" dxfId="1" priority="180"/>
    <cfRule type="duplicateValues" dxfId="0" priority="179"/>
    <cfRule type="duplicateValues" dxfId="0" priority="178"/>
  </conditionalFormatting>
  <conditionalFormatting sqref="F3068">
    <cfRule type="duplicateValues" dxfId="0" priority="144"/>
    <cfRule type="duplicateValues" dxfId="0" priority="143"/>
    <cfRule type="duplicateValues" dxfId="0" priority="142"/>
  </conditionalFormatting>
  <conditionalFormatting sqref="F3225">
    <cfRule type="duplicateValues" dxfId="0" priority="183"/>
  </conditionalFormatting>
  <conditionalFormatting sqref="F3227">
    <cfRule type="duplicateValues" dxfId="0" priority="168"/>
    <cfRule type="duplicateValues" dxfId="0" priority="167"/>
    <cfRule type="duplicateValues" dxfId="0" priority="166"/>
  </conditionalFormatting>
  <conditionalFormatting sqref="F3229">
    <cfRule type="duplicateValues" dxfId="0" priority="159"/>
    <cfRule type="duplicateValues" dxfId="0" priority="158"/>
    <cfRule type="duplicateValues" dxfId="0" priority="157"/>
  </conditionalFormatting>
  <conditionalFormatting sqref="F3235">
    <cfRule type="duplicateValues" dxfId="0" priority="123"/>
    <cfRule type="duplicateValues" dxfId="0" priority="122"/>
    <cfRule type="duplicateValues" dxfId="0" priority="121"/>
  </conditionalFormatting>
  <conditionalFormatting sqref="F3236">
    <cfRule type="duplicateValues" dxfId="0" priority="93"/>
    <cfRule type="duplicateValues" dxfId="0" priority="92"/>
    <cfRule type="duplicateValues" dxfId="0" priority="91"/>
  </conditionalFormatting>
  <conditionalFormatting sqref="F3237">
    <cfRule type="duplicateValues" dxfId="0" priority="66"/>
    <cfRule type="duplicateValues" dxfId="0" priority="65"/>
    <cfRule type="duplicateValues" dxfId="0" priority="64"/>
  </conditionalFormatting>
  <conditionalFormatting sqref="F3238">
    <cfRule type="duplicateValues" dxfId="0" priority="63"/>
    <cfRule type="duplicateValues" dxfId="0" priority="62"/>
    <cfRule type="duplicateValues" dxfId="0" priority="61"/>
  </conditionalFormatting>
  <conditionalFormatting sqref="F3239">
    <cfRule type="duplicateValues" dxfId="0" priority="60"/>
    <cfRule type="duplicateValues" dxfId="0" priority="59"/>
    <cfRule type="duplicateValues" dxfId="0" priority="58"/>
  </conditionalFormatting>
  <conditionalFormatting sqref="F3241">
    <cfRule type="duplicateValues" dxfId="0" priority="135"/>
    <cfRule type="duplicateValues" dxfId="0" priority="134"/>
    <cfRule type="duplicateValues" dxfId="0" priority="133"/>
  </conditionalFormatting>
  <conditionalFormatting sqref="F3264">
    <cfRule type="duplicateValues" dxfId="0" priority="105"/>
    <cfRule type="duplicateValues" dxfId="0" priority="104"/>
    <cfRule type="duplicateValues" dxfId="0" priority="103"/>
  </conditionalFormatting>
  <conditionalFormatting sqref="F3265">
    <cfRule type="duplicateValues" dxfId="0" priority="99"/>
    <cfRule type="duplicateValues" dxfId="0" priority="98"/>
    <cfRule type="duplicateValues" dxfId="0" priority="97"/>
  </conditionalFormatting>
  <conditionalFormatting sqref="F3275">
    <cfRule type="duplicateValues" dxfId="0" priority="96"/>
    <cfRule type="duplicateValues" dxfId="0" priority="95"/>
    <cfRule type="duplicateValues" dxfId="0" priority="94"/>
  </conditionalFormatting>
  <conditionalFormatting sqref="F3300">
    <cfRule type="duplicateValues" dxfId="0" priority="48"/>
    <cfRule type="duplicateValues" dxfId="0" priority="47"/>
    <cfRule type="duplicateValues" dxfId="0" priority="46"/>
  </conditionalFormatting>
  <conditionalFormatting sqref="F3301">
    <cfRule type="duplicateValues" dxfId="0" priority="45"/>
    <cfRule type="duplicateValues" dxfId="0" priority="44"/>
    <cfRule type="duplicateValues" dxfId="0" priority="43"/>
  </conditionalFormatting>
  <conditionalFormatting sqref="F3302">
    <cfRule type="duplicateValues" dxfId="0" priority="12"/>
    <cfRule type="duplicateValues" dxfId="0" priority="11"/>
    <cfRule type="duplicateValues" dxfId="0" priority="10"/>
  </conditionalFormatting>
  <conditionalFormatting sqref="F3303">
    <cfRule type="duplicateValues" dxfId="0" priority="42"/>
    <cfRule type="duplicateValues" dxfId="0" priority="41"/>
    <cfRule type="duplicateValues" dxfId="0" priority="40"/>
  </conditionalFormatting>
  <conditionalFormatting sqref="F3312">
    <cfRule type="duplicateValues" dxfId="0" priority="36"/>
    <cfRule type="duplicateValues" dxfId="0" priority="35"/>
    <cfRule type="duplicateValues" dxfId="0" priority="34"/>
  </conditionalFormatting>
  <conditionalFormatting sqref="F3313">
    <cfRule type="duplicateValues" dxfId="0" priority="33"/>
    <cfRule type="duplicateValues" dxfId="0" priority="32"/>
    <cfRule type="duplicateValues" dxfId="0" priority="31"/>
  </conditionalFormatting>
  <conditionalFormatting sqref="F3314">
    <cfRule type="duplicateValues" dxfId="0" priority="30"/>
    <cfRule type="duplicateValues" dxfId="0" priority="29"/>
    <cfRule type="duplicateValues" dxfId="0" priority="28"/>
  </conditionalFormatting>
  <conditionalFormatting sqref="F3315">
    <cfRule type="duplicateValues" dxfId="0" priority="24"/>
    <cfRule type="duplicateValues" dxfId="0" priority="23"/>
    <cfRule type="duplicateValues" dxfId="0" priority="22"/>
  </conditionalFormatting>
  <conditionalFormatting sqref="F3316">
    <cfRule type="duplicateValues" dxfId="0" priority="21"/>
    <cfRule type="duplicateValues" dxfId="0" priority="20"/>
    <cfRule type="duplicateValues" dxfId="0" priority="19"/>
  </conditionalFormatting>
  <conditionalFormatting sqref="F3325">
    <cfRule type="duplicateValues" dxfId="0" priority="4"/>
  </conditionalFormatting>
  <conditionalFormatting sqref="F3341">
    <cfRule type="duplicateValues" dxfId="0" priority="3"/>
  </conditionalFormatting>
  <conditionalFormatting sqref="F3342">
    <cfRule type="duplicateValues" dxfId="0" priority="1"/>
  </conditionalFormatting>
  <conditionalFormatting sqref="F249:F250">
    <cfRule type="duplicateValues" dxfId="0" priority="84"/>
    <cfRule type="duplicateValues" dxfId="0" priority="83"/>
    <cfRule type="duplicateValues" dxfId="0" priority="82"/>
  </conditionalFormatting>
  <conditionalFormatting sqref="F1755:F1757">
    <cfRule type="duplicateValues" dxfId="0" priority="147"/>
    <cfRule type="duplicateValues" dxfId="0" priority="146"/>
    <cfRule type="duplicateValues" dxfId="0" priority="145"/>
  </conditionalFormatting>
  <conditionalFormatting sqref="F1758:F1759">
    <cfRule type="duplicateValues" dxfId="0" priority="87"/>
    <cfRule type="duplicateValues" dxfId="0" priority="86"/>
    <cfRule type="duplicateValues" dxfId="0" priority="85"/>
  </conditionalFormatting>
  <conditionalFormatting sqref="F2530:F2533">
    <cfRule type="duplicateValues" dxfId="0" priority="2"/>
  </conditionalFormatting>
  <conditionalFormatting sqref="F2549:F2550">
    <cfRule type="duplicateValues" dxfId="0" priority="15"/>
    <cfRule type="duplicateValues" dxfId="0" priority="14"/>
    <cfRule type="duplicateValues" dxfId="0" priority="13"/>
  </conditionalFormatting>
  <conditionalFormatting sqref="F3027:F3067">
    <cfRule type="duplicateValues" dxfId="0" priority="177"/>
    <cfRule type="duplicateValues" dxfId="0" priority="176"/>
    <cfRule type="duplicateValues" dxfId="0" priority="175"/>
  </conditionalFormatting>
  <conditionalFormatting sqref="F3069:F3070">
    <cfRule type="duplicateValues" dxfId="0" priority="141"/>
    <cfRule type="duplicateValues" dxfId="0" priority="140"/>
    <cfRule type="duplicateValues" dxfId="0" priority="139"/>
  </conditionalFormatting>
  <conditionalFormatting sqref="F3071:F3091">
    <cfRule type="duplicateValues" dxfId="0" priority="129"/>
    <cfRule type="duplicateValues" dxfId="0" priority="128"/>
    <cfRule type="duplicateValues" dxfId="0" priority="127"/>
  </conditionalFormatting>
  <conditionalFormatting sqref="F3092:F3097">
    <cfRule type="duplicateValues" dxfId="0" priority="114"/>
    <cfRule type="duplicateValues" dxfId="0" priority="113"/>
    <cfRule type="duplicateValues" dxfId="0" priority="112"/>
  </conditionalFormatting>
  <conditionalFormatting sqref="F3098:F3100">
    <cfRule type="duplicateValues" dxfId="0" priority="111"/>
    <cfRule type="duplicateValues" dxfId="0" priority="110"/>
    <cfRule type="duplicateValues" dxfId="0" priority="109"/>
  </conditionalFormatting>
  <conditionalFormatting sqref="F3101:F3148">
    <cfRule type="duplicateValues" dxfId="0" priority="108"/>
    <cfRule type="duplicateValues" dxfId="0" priority="107"/>
    <cfRule type="duplicateValues" dxfId="0" priority="106"/>
  </conditionalFormatting>
  <conditionalFormatting sqref="F3164:F3197">
    <cfRule type="duplicateValues" dxfId="0" priority="39"/>
    <cfRule type="duplicateValues" dxfId="0" priority="38"/>
    <cfRule type="duplicateValues" dxfId="0" priority="37"/>
  </conditionalFormatting>
  <conditionalFormatting sqref="F3198:F3200">
    <cfRule type="duplicateValues" dxfId="1" priority="187"/>
  </conditionalFormatting>
  <conditionalFormatting sqref="F3201:F3205">
    <cfRule type="duplicateValues" dxfId="1" priority="188"/>
  </conditionalFormatting>
  <conditionalFormatting sqref="F3232:F3234">
    <cfRule type="duplicateValues" dxfId="0" priority="150"/>
    <cfRule type="duplicateValues" dxfId="0" priority="149"/>
    <cfRule type="duplicateValues" dxfId="0" priority="148"/>
  </conditionalFormatting>
  <conditionalFormatting sqref="F3280:F3282">
    <cfRule type="duplicateValues" dxfId="0" priority="78"/>
    <cfRule type="duplicateValues" dxfId="0" priority="77"/>
    <cfRule type="duplicateValues" dxfId="0" priority="76"/>
  </conditionalFormatting>
  <conditionalFormatting sqref="F3298:F3299">
    <cfRule type="duplicateValues" dxfId="0" priority="57"/>
    <cfRule type="duplicateValues" dxfId="0" priority="56"/>
    <cfRule type="duplicateValues" dxfId="0" priority="55"/>
  </conditionalFormatting>
  <conditionalFormatting sqref="F1:F2529 F2534:F3324 F3326:F3340 F3343:F1048576">
    <cfRule type="duplicateValues" dxfId="0" priority="9"/>
  </conditionalFormatting>
  <conditionalFormatting sqref="F248 F251">
    <cfRule type="duplicateValues" dxfId="0" priority="102"/>
    <cfRule type="duplicateValues" dxfId="0" priority="101"/>
    <cfRule type="duplicateValues" dxfId="0" priority="100"/>
  </conditionalFormatting>
  <conditionalFormatting sqref="F304 F306">
    <cfRule type="duplicateValues" dxfId="0" priority="69"/>
    <cfRule type="duplicateValues" dxfId="0" priority="68"/>
    <cfRule type="duplicateValues" dxfId="0" priority="67"/>
  </conditionalFormatting>
  <conditionalFormatting sqref="F3008 F3010">
    <cfRule type="duplicateValues" dxfId="1" priority="186"/>
  </conditionalFormatting>
  <conditionalFormatting sqref="F3009 F3011:F3021 F3023:F3025">
    <cfRule type="duplicateValues" dxfId="1" priority="185"/>
  </conditionalFormatting>
  <conditionalFormatting sqref="F3149:F3153 F3155:F3156 F3158:F3163">
    <cfRule type="duplicateValues" dxfId="0" priority="81"/>
    <cfRule type="duplicateValues" dxfId="0" priority="80"/>
    <cfRule type="duplicateValues" dxfId="0" priority="79"/>
  </conditionalFormatting>
  <conditionalFormatting sqref="F3154 F3157">
    <cfRule type="duplicateValues" dxfId="0" priority="75"/>
    <cfRule type="duplicateValues" dxfId="0" priority="74"/>
    <cfRule type="duplicateValues" dxfId="0" priority="73"/>
  </conditionalFormatting>
  <conditionalFormatting sqref="F3242:F3257 F3260 F3263">
    <cfRule type="duplicateValues" dxfId="0" priority="132"/>
    <cfRule type="duplicateValues" dxfId="0" priority="131"/>
    <cfRule type="duplicateValues" dxfId="0" priority="130"/>
  </conditionalFormatting>
  <conditionalFormatting sqref="F3258 F3261">
    <cfRule type="duplicateValues" dxfId="0" priority="126"/>
    <cfRule type="duplicateValues" dxfId="0" priority="125"/>
    <cfRule type="duplicateValues" dxfId="0" priority="124"/>
  </conditionalFormatting>
  <conditionalFormatting sqref="F3259 F3262">
    <cfRule type="duplicateValues" dxfId="0" priority="117"/>
    <cfRule type="duplicateValues" dxfId="0" priority="116"/>
    <cfRule type="duplicateValues" dxfId="0" priority="115"/>
  </conditionalFormatting>
  <conditionalFormatting sqref="F3283:F3292 F3294:F3296">
    <cfRule type="duplicateValues" dxfId="0" priority="72"/>
    <cfRule type="duplicateValues" dxfId="0" priority="71"/>
    <cfRule type="duplicateValues" dxfId="0" priority="70"/>
  </conditionalFormatting>
  <conditionalFormatting sqref="F3293 F3297">
    <cfRule type="duplicateValues" dxfId="0" priority="18"/>
    <cfRule type="duplicateValues" dxfId="0" priority="17"/>
    <cfRule type="duplicateValues" dxfId="0" priority="16"/>
  </conditionalFormatting>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Company>Microsoft</Company>
  <Application>Microsoft Excel</Application>
  <HeadingPairs>
    <vt:vector size="2" baseType="variant">
      <vt:variant>
        <vt:lpstr>工作表</vt:lpstr>
      </vt:variant>
      <vt:variant>
        <vt:i4>5</vt:i4>
      </vt:variant>
    </vt:vector>
  </HeadingPairs>
  <TitlesOfParts>
    <vt:vector size="5" baseType="lpstr">
      <vt:lpstr>Sheet1</vt:lpstr>
      <vt:lpstr>Sheet2</vt:lpstr>
      <vt:lpstr>Sheet3</vt:lpstr>
      <vt:lpstr>Sheet4</vt:lpstr>
      <vt:lpstr>Sheet5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xuyuhan</cp:lastModifiedBy>
  <dcterms:created xsi:type="dcterms:W3CDTF">2017-04-06T12:35:00Z</dcterms:created>
  <dcterms:modified xsi:type="dcterms:W3CDTF">2026-02-26T09:31:02Z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2052-11.1.0.9740</vt:lpwstr>
  </property>
  <property fmtid="{D5CDD505-2E9C-101B-9397-08002B2CF9AE}" pid="3" name="ICV">
    <vt:lpwstr>F0D9EA7CD3994385A08B9C437A52FC89</vt:lpwstr>
  </property>
  <property fmtid="{D5CDD505-2E9C-101B-9397-08002B2CF9AE}" pid="4" name="KSOReadingLayout">
    <vt:bool>true</vt:bool>
  </property>
</Properties>
</file>